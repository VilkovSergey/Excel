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УЧЁБА\EXCEL\Excel\10_Модуль\"/>
    </mc:Choice>
  </mc:AlternateContent>
  <xr:revisionPtr revIDLastSave="0" documentId="13_ncr:1_{8993974D-4C9A-4384-9768-A8EB8AA2C84B}" xr6:coauthVersionLast="47" xr6:coauthVersionMax="47" xr10:uidLastSave="{00000000-0000-0000-0000-000000000000}"/>
  <bookViews>
    <workbookView xWindow="-108" yWindow="-108" windowWidth="23256" windowHeight="12576" firstSheet="11" activeTab="15" xr2:uid="{00000000-000D-0000-FFFF-FFFF00000000}"/>
  </bookViews>
  <sheets>
    <sheet name="Преобр" sheetId="14" r:id="rId1"/>
    <sheet name="Апостроф" sheetId="16" r:id="rId2"/>
    <sheet name="Регистры" sheetId="3" r:id="rId3"/>
    <sheet name="Разделение" sheetId="15" r:id="rId4"/>
    <sheet name="Объединение" sheetId="13" r:id="rId5"/>
    <sheet name="Объединить" sheetId="7" r:id="rId6"/>
    <sheet name="С формулой" sheetId="18" r:id="rId7"/>
    <sheet name="Длина строки" sheetId="1" r:id="rId8"/>
    <sheet name="Поиск" sheetId="4" r:id="rId9"/>
    <sheet name="Подставить и заменить" sheetId="5" r:id="rId10"/>
    <sheet name="Артикулы" sheetId="2" r:id="rId11"/>
    <sheet name="Дописываем нули" sheetId="20" r:id="rId12"/>
    <sheet name="Первое слово" sheetId="19" r:id="rId13"/>
    <sheet name="Генератор кодов" sheetId="11" r:id="rId14"/>
    <sheet name="Гистограмма текстом" sheetId="12" r:id="rId15"/>
    <sheet name="Шаблонные фразы" sheetId="8"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 r="E4" i="8"/>
  <c r="E5" i="8"/>
  <c r="E6" i="8"/>
  <c r="E7" i="8"/>
  <c r="E8" i="8"/>
  <c r="E2" i="8"/>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2" i="12"/>
  <c r="B5" i="11"/>
  <c r="B6" i="11"/>
  <c r="B7" i="11"/>
  <c r="B8" i="11"/>
  <c r="B9" i="11"/>
  <c r="B10" i="11"/>
  <c r="B11" i="11"/>
  <c r="B4" i="11"/>
  <c r="A4" i="11"/>
  <c r="C2" i="11"/>
  <c r="C1" i="11"/>
  <c r="B2" i="11"/>
  <c r="B1" i="11"/>
  <c r="B6" i="19"/>
  <c r="B8" i="19"/>
  <c r="B3" i="19"/>
  <c r="B4" i="19"/>
  <c r="B5" i="19"/>
  <c r="B7" i="19"/>
  <c r="B9" i="19"/>
  <c r="B10" i="19"/>
  <c r="B11" i="19"/>
  <c r="B12" i="19"/>
  <c r="B13" i="19"/>
  <c r="B14" i="19"/>
  <c r="B15" i="19"/>
  <c r="B16" i="19"/>
  <c r="B17" i="19"/>
  <c r="B18" i="19"/>
  <c r="B19" i="19"/>
  <c r="B20" i="19"/>
  <c r="B21" i="19"/>
  <c r="B2" i="19"/>
  <c r="C12" i="20"/>
  <c r="C3" i="20"/>
  <c r="C4" i="20"/>
  <c r="C5" i="20"/>
  <c r="C6" i="20"/>
  <c r="C7" i="20"/>
  <c r="C8" i="20"/>
  <c r="C9" i="20"/>
  <c r="C10" i="20"/>
  <c r="C11" i="20"/>
  <c r="C13" i="20"/>
  <c r="C2" i="20"/>
  <c r="B3" i="20"/>
  <c r="B4" i="20"/>
  <c r="B5" i="20"/>
  <c r="B6" i="20"/>
  <c r="B7" i="20"/>
  <c r="B8" i="20"/>
  <c r="B9" i="20"/>
  <c r="B10" i="20"/>
  <c r="B11" i="20"/>
  <c r="B12" i="20"/>
  <c r="B13" i="20"/>
  <c r="B2" i="20"/>
  <c r="D3" i="2"/>
  <c r="D4" i="2"/>
  <c r="D2" i="2"/>
  <c r="C3" i="2"/>
  <c r="C4" i="2"/>
  <c r="C2" i="2"/>
  <c r="B3" i="2"/>
  <c r="B4" i="2"/>
  <c r="B2"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5" i="2"/>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2" i="5"/>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2" i="4"/>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10" i="1"/>
  <c r="B1" i="1"/>
  <c r="B2" i="1"/>
  <c r="C14" i="18"/>
  <c r="D14" i="18"/>
  <c r="E14" i="18"/>
  <c r="B14" i="18"/>
  <c r="E3" i="7"/>
  <c r="E4" i="7"/>
  <c r="E5" i="7"/>
  <c r="E6" i="7"/>
  <c r="E2" i="7"/>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2" i="13"/>
  <c r="G3"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2"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2" i="1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2" i="3"/>
  <c r="E15" i="16"/>
  <c r="B17" i="16"/>
  <c r="C16" i="16"/>
  <c r="D8" i="8"/>
  <c r="D7" i="8"/>
  <c r="D6" i="8"/>
  <c r="D5" i="8"/>
  <c r="D4" i="8"/>
  <c r="D3" i="8"/>
  <c r="D2" i="8"/>
</calcChain>
</file>

<file path=xl/sharedStrings.xml><?xml version="1.0" encoding="utf-8"?>
<sst xmlns="http://schemas.openxmlformats.org/spreadsheetml/2006/main" count="1998" uniqueCount="1381">
  <si>
    <t>Строчные</t>
  </si>
  <si>
    <t>Прописные</t>
  </si>
  <si>
    <t>Все с заглавной</t>
  </si>
  <si>
    <t>НАЙТИ</t>
  </si>
  <si>
    <t>ПОИСК</t>
  </si>
  <si>
    <t>Название</t>
  </si>
  <si>
    <t>ПОДСТАВИТЬ</t>
  </si>
  <si>
    <t>Код номенклатуры</t>
  </si>
  <si>
    <t>ЗАМЕНИТЬ</t>
  </si>
  <si>
    <t>Голова как решето. Зачем включать мозги в эпоху гаджетов и Google (твердая обложка)</t>
  </si>
  <si>
    <t>2516968</t>
  </si>
  <si>
    <t>3631142</t>
  </si>
  <si>
    <t>Финансы для нефинансистов</t>
  </si>
  <si>
    <t>8593817</t>
  </si>
  <si>
    <t>Третья книга, которой нет. 16 вопросов к себе, необходимых для выдающихся результатов</t>
  </si>
  <si>
    <t>9288527</t>
  </si>
  <si>
    <t>1779119</t>
  </si>
  <si>
    <t>3265617</t>
  </si>
  <si>
    <t>Власть голоса. Книга о главном инструменте политиков, певцов, актеров – от одного из лучших фониатров мира</t>
  </si>
  <si>
    <t>5836625</t>
  </si>
  <si>
    <t>Рывок. От отличного к гениальному</t>
  </si>
  <si>
    <t>9376464</t>
  </si>
  <si>
    <t>Мотивационное консультирование: как помочь людям измениться</t>
  </si>
  <si>
    <t>7792929</t>
  </si>
  <si>
    <t>8728875</t>
  </si>
  <si>
    <t>Тайная жизнь кошки. Как понять истинную природу питомца и стать для него лучшим другом</t>
  </si>
  <si>
    <t>6511714</t>
  </si>
  <si>
    <t>Изучаем программирование на Python</t>
  </si>
  <si>
    <t>7159371</t>
  </si>
  <si>
    <t>5568284</t>
  </si>
  <si>
    <t>С пингвином в рюкзаке. Путешествие по Южной Америке с другом, который научил меня жить</t>
  </si>
  <si>
    <t>4886999</t>
  </si>
  <si>
    <t>Хватит быть хорошим! Как перестать подстраиваться под других и стать счастливым</t>
  </si>
  <si>
    <t>4114571</t>
  </si>
  <si>
    <t>6185649</t>
  </si>
  <si>
    <t>Мальчики в лодке. Девять гребцов-любителей сотворили чудо на гитлеровской Олимпиаде</t>
  </si>
  <si>
    <t>1659429</t>
  </si>
  <si>
    <t>6965864</t>
  </si>
  <si>
    <t>Охота на биткоин. Графический роман о создателе самой известной криптовалюты</t>
  </si>
  <si>
    <t>7636561</t>
  </si>
  <si>
    <t>9531629</t>
  </si>
  <si>
    <t>GET FEEDBACK. Как негативные отзывы сделают ваш продукт лидером рынка</t>
  </si>
  <si>
    <t>5234598</t>
  </si>
  <si>
    <t>9121467</t>
  </si>
  <si>
    <t>Ученые скрывают? Мифы XXI века</t>
  </si>
  <si>
    <t>1214658</t>
  </si>
  <si>
    <t>Машинное обучение</t>
  </si>
  <si>
    <t>9744214</t>
  </si>
  <si>
    <t>Винный эксперт за 24 часа</t>
  </si>
  <si>
    <t>3335861</t>
  </si>
  <si>
    <t>7989821</t>
  </si>
  <si>
    <t>Разломанное время. Культура и общество в XX веке</t>
  </si>
  <si>
    <t>6394939</t>
  </si>
  <si>
    <t>7745243</t>
  </si>
  <si>
    <t>Золотой запас. Почему золото, а не биткоины валюта XXI века</t>
  </si>
  <si>
    <t>8496792</t>
  </si>
  <si>
    <t>Таинственный геном человека</t>
  </si>
  <si>
    <t>4226394</t>
  </si>
  <si>
    <t>6324374</t>
  </si>
  <si>
    <t>Depeche Mode. Монумент</t>
  </si>
  <si>
    <t>4236474</t>
  </si>
  <si>
    <t>9661173</t>
  </si>
  <si>
    <t>Тайны кельтов. Раскраска-антистресс для творчества и вдохновения</t>
  </si>
  <si>
    <t>1427483</t>
  </si>
  <si>
    <t>5231915</t>
  </si>
  <si>
    <t>100 дней творчества</t>
  </si>
  <si>
    <t>6144542</t>
  </si>
  <si>
    <t>5626576</t>
  </si>
  <si>
    <t>7237864</t>
  </si>
  <si>
    <t>6766211</t>
  </si>
  <si>
    <t>4496153</t>
  </si>
  <si>
    <t>9394869</t>
  </si>
  <si>
    <t>Адрес</t>
  </si>
  <si>
    <t>Город</t>
  </si>
  <si>
    <t>Область</t>
  </si>
  <si>
    <t>Индекс</t>
  </si>
  <si>
    <t>Полный адрес</t>
  </si>
  <si>
    <t>Барышиха, 14</t>
  </si>
  <si>
    <t>Москва</t>
  </si>
  <si>
    <t>Ленина, 7</t>
  </si>
  <si>
    <t>Нижний Новгород</t>
  </si>
  <si>
    <t>Нижегородская область</t>
  </si>
  <si>
    <t>Московская, 86</t>
  </si>
  <si>
    <t>Саратов</t>
  </si>
  <si>
    <t>Саратовская область</t>
  </si>
  <si>
    <t>Стратонавтов, 22</t>
  </si>
  <si>
    <t>Тула</t>
  </si>
  <si>
    <t>Советов, 63</t>
  </si>
  <si>
    <t>Кондопога</t>
  </si>
  <si>
    <t>Республика Карелия</t>
  </si>
  <si>
    <t>Книга</t>
  </si>
  <si>
    <t>янв</t>
  </si>
  <si>
    <t>фев</t>
  </si>
  <si>
    <t>Динамика</t>
  </si>
  <si>
    <t>Комментарий</t>
  </si>
  <si>
    <t>Талант ни при чем</t>
  </si>
  <si>
    <t>Технологии, которые изменят мир</t>
  </si>
  <si>
    <t>Трафик</t>
  </si>
  <si>
    <t>Удачные переговоры</t>
  </si>
  <si>
    <t>Умение слушать</t>
  </si>
  <si>
    <t>Управление для тех, кто не любит управлять</t>
  </si>
  <si>
    <t>Упрости себе жизнь</t>
  </si>
  <si>
    <t>Продажи</t>
  </si>
  <si>
    <t>Гистограмма</t>
  </si>
  <si>
    <t>ямалетдинова арина семеновна</t>
  </si>
  <si>
    <t>миронов савелий тихонович</t>
  </si>
  <si>
    <t>челомей андрей елисеевич</t>
  </si>
  <si>
    <t>тетерев серафим фролович</t>
  </si>
  <si>
    <t>рябоконь никифор феликсович</t>
  </si>
  <si>
    <t>зверева эвелина данииловна</t>
  </si>
  <si>
    <t>нестеров василий демьянович</t>
  </si>
  <si>
    <t>бабичев терентий тимурович</t>
  </si>
  <si>
    <t>бурцева наталия емельяновна</t>
  </si>
  <si>
    <t>мышелова агафья иосифовна</t>
  </si>
  <si>
    <t>януть осип денисович</t>
  </si>
  <si>
    <t>воробьева мирослава романовна</t>
  </si>
  <si>
    <t>лаер авдей мирославович</t>
  </si>
  <si>
    <t>лебедева екатерина тимофеевна</t>
  </si>
  <si>
    <t>слобожанина нина всеволодовна</t>
  </si>
  <si>
    <t>луговой регина святославовна</t>
  </si>
  <si>
    <t>дунин-барковский адам юриевич</t>
  </si>
  <si>
    <t>челпанов платон демьянович</t>
  </si>
  <si>
    <t>томсин михаил ефремович</t>
  </si>
  <si>
    <t>игошева оксана георгиевна</t>
  </si>
  <si>
    <t>закиров алексей олегович</t>
  </si>
  <si>
    <t>аюшиев терентий ермолаевич</t>
  </si>
  <si>
    <t>шапкин григорий вадимович</t>
  </si>
  <si>
    <t>савинков игорь остапович</t>
  </si>
  <si>
    <t xml:space="preserve">ржевский артемий михаилович    </t>
  </si>
  <si>
    <t xml:space="preserve">   илюшина вера борисовна</t>
  </si>
  <si>
    <t>валюхова валентина   карповна</t>
  </si>
  <si>
    <t>яганов тарас  никифорович</t>
  </si>
  <si>
    <t>Пробелы</t>
  </si>
  <si>
    <t>Если ввести несколько значений в соседние ячейки, выделить их и тянуть с зажатой левой кнопкой мыши за маркер в правом нижнем углу ячейки, то Excel продолжит последовательность.
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
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MS Office. 
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Enter и перейти к следующей строке. В примере мы ввели четыре буквы “Теле” и слово было дописано автоматически:</t>
  </si>
  <si>
    <t>Чтобы при прокрутке листа вправо и вниз несколько строк и/или столбцов оставались закрепленными, воспользуйтесь инструментом “Закрепить области” на ленте на вкладке “Вид”.
Для закрепления первого столбца или строки достаточно выбрать соответствующий вариант. Для всех остальных случаев нужно выбрать первую ячейку, которая не будет закреплена (например, если вам нужно закрепить две первые строки и три первых столбца, то это ячейка D3 - в четвертом столбце и третьей строке) и нажать “Закрепить области”</t>
  </si>
  <si>
    <t>Генкин Фока Захарович</t>
  </si>
  <si>
    <t>Домышева Евгения Владленовна</t>
  </si>
  <si>
    <t>Яблочкина Римма Ираклиевна</t>
  </si>
  <si>
    <t>Званцев Чеслав Потапович</t>
  </si>
  <si>
    <t>Ярощука Маргарита Алексеевна</t>
  </si>
  <si>
    <t>Акимова Полина Петровна</t>
  </si>
  <si>
    <t>Клокова Изольда Германовна</t>
  </si>
  <si>
    <t>Феднова Лиана Марковна</t>
  </si>
  <si>
    <t>Муравьев Наум Макарович</t>
  </si>
  <si>
    <t>Амелина Стела Владленовна</t>
  </si>
  <si>
    <t>Власова Елизавета Брониславовна</t>
  </si>
  <si>
    <t>Алеев Авдей Эдуардович</t>
  </si>
  <si>
    <t>Саянкова Агния Всеволодовна</t>
  </si>
  <si>
    <t>Глускина Алина Брониславовна</t>
  </si>
  <si>
    <t>Кирдань Сергей Чеславович</t>
  </si>
  <si>
    <t>Шурыгин Кондратий Давидович</t>
  </si>
  <si>
    <t>Шевелёка Марианна Яновна</t>
  </si>
  <si>
    <t>Ефремов Пахом Евлампиевич</t>
  </si>
  <si>
    <t>Поличев Константин Захарович</t>
  </si>
  <si>
    <t>Негуторов Михей Иванович</t>
  </si>
  <si>
    <t>Францев Валентин Касьянович</t>
  </si>
  <si>
    <t>Грибалев Тихон Миронович</t>
  </si>
  <si>
    <t>Январев Мартын Никитевич</t>
  </si>
  <si>
    <t>Карамзин Борислав Давыдович</t>
  </si>
  <si>
    <t>Кадцын Никанор Гордеевич</t>
  </si>
  <si>
    <t>Лашманова Зоя Трофимовна</t>
  </si>
  <si>
    <t>Оспищева Любовь Вячеславовна</t>
  </si>
  <si>
    <t>Бормотов Аристарх Егорович</t>
  </si>
  <si>
    <t>Муравьев Марк Адамович</t>
  </si>
  <si>
    <t>Русскиха Маргарита Анатолиевна</t>
  </si>
  <si>
    <t>Бережной Аристарх Эрнстович</t>
  </si>
  <si>
    <t>Лунина Маргарита Степановна</t>
  </si>
  <si>
    <t>ФИО</t>
  </si>
  <si>
    <t>Номер карты</t>
  </si>
  <si>
    <t>Артикул</t>
  </si>
  <si>
    <t>AONZCT-57</t>
  </si>
  <si>
    <t>SZFKQD-44</t>
  </si>
  <si>
    <t>DPRFTT-51</t>
  </si>
  <si>
    <t>YFPRJL-58</t>
  </si>
  <si>
    <t>MVXIZL-88</t>
  </si>
  <si>
    <t>QUAVYH-88</t>
  </si>
  <si>
    <t>WMAHLX-26</t>
  </si>
  <si>
    <t>XFJFYU-96</t>
  </si>
  <si>
    <t>FICZDB-91</t>
  </si>
  <si>
    <t>ZHGNNV-19</t>
  </si>
  <si>
    <t>GUPPOJ-78</t>
  </si>
  <si>
    <t>FMPHCP-13</t>
  </si>
  <si>
    <t>HYQUMU-53</t>
  </si>
  <si>
    <t>MGBPVL-79</t>
  </si>
  <si>
    <t>HYQSRR-66</t>
  </si>
  <si>
    <t>DKOPHH-14</t>
  </si>
  <si>
    <t>ERTCGN-84</t>
  </si>
  <si>
    <t>FDOIOM-63</t>
  </si>
  <si>
    <t>BUITLH-76</t>
  </si>
  <si>
    <t>MUTFHC-99</t>
  </si>
  <si>
    <t>PYOAJA-15</t>
  </si>
  <si>
    <t>XZHLHH-96</t>
  </si>
  <si>
    <t>WLSAUC-56</t>
  </si>
  <si>
    <t>OMDBHO-77</t>
  </si>
  <si>
    <t>NGLEAD-37</t>
  </si>
  <si>
    <t>QKXFOJ-96</t>
  </si>
  <si>
    <t>BNPMRI-14</t>
  </si>
  <si>
    <t>OJJGDB-77</t>
  </si>
  <si>
    <t>AFYZOA-68</t>
  </si>
  <si>
    <t>TSWZHD-77</t>
  </si>
  <si>
    <t>LEITDL-46</t>
  </si>
  <si>
    <t>CRSLAU-19</t>
  </si>
  <si>
    <t>YKHSDY-82</t>
  </si>
  <si>
    <t>HHDVTS-71</t>
  </si>
  <si>
    <t>CCDIWT-59</t>
  </si>
  <si>
    <t>FCCNRP-24</t>
  </si>
  <si>
    <t>HBENHO-71</t>
  </si>
  <si>
    <t>KXQYET-53</t>
  </si>
  <si>
    <t>DVQIAM-95</t>
  </si>
  <si>
    <t>SWOFOB-43</t>
  </si>
  <si>
    <t>UGJZJU-22</t>
  </si>
  <si>
    <t>JCHGVG-37</t>
  </si>
  <si>
    <t>CRHNZE-29</t>
  </si>
  <si>
    <t>VKMGXT-34</t>
  </si>
  <si>
    <t>LYHBJO-73</t>
  </si>
  <si>
    <t>DLFCSN-56</t>
  </si>
  <si>
    <t>RMNTGC-71</t>
  </si>
  <si>
    <t>CRQUES-84</t>
  </si>
  <si>
    <t>HDCUKD-95</t>
  </si>
  <si>
    <t>GFSHOS-11</t>
  </si>
  <si>
    <t>JFUKQP-46</t>
  </si>
  <si>
    <t>XLSJHR-91</t>
  </si>
  <si>
    <t>CNRTYH-32</t>
  </si>
  <si>
    <t>IFEVIN-43</t>
  </si>
  <si>
    <t>UACGUA-77</t>
  </si>
  <si>
    <t>TCXSYZ-83</t>
  </si>
  <si>
    <t>THMMFR-27</t>
  </si>
  <si>
    <t>TAUERK-46</t>
  </si>
  <si>
    <t>IGORBU-56</t>
  </si>
  <si>
    <t>FGLCUM-52</t>
  </si>
  <si>
    <t>FRBVZE-48</t>
  </si>
  <si>
    <t>HNNULK-52</t>
  </si>
  <si>
    <t>YDIHDR-74</t>
  </si>
  <si>
    <t>ELGOLI-56</t>
  </si>
  <si>
    <t>ENXAUQ-13</t>
  </si>
  <si>
    <t>PQEAGO-73</t>
  </si>
  <si>
    <t>LSUSMF-94</t>
  </si>
  <si>
    <t>PQGKFJ-18</t>
  </si>
  <si>
    <t>UROSKY-77</t>
  </si>
  <si>
    <t>GMJIGI-57</t>
  </si>
  <si>
    <t>AYGNME-48</t>
  </si>
  <si>
    <t>SFSNCM-56</t>
  </si>
  <si>
    <t>MTSQZO-32</t>
  </si>
  <si>
    <t>KDBHUQ-75</t>
  </si>
  <si>
    <t>NXPICV-33</t>
  </si>
  <si>
    <t>BBPNKE-32</t>
  </si>
  <si>
    <t>TBUHXX-69</t>
  </si>
  <si>
    <t>SAHBKW-22</t>
  </si>
  <si>
    <t>LWHVPD-57</t>
  </si>
  <si>
    <t>GDPNCG-88</t>
  </si>
  <si>
    <t>XTFNGE-47</t>
  </si>
  <si>
    <t>SWMLHS-14</t>
  </si>
  <si>
    <t>QIXRJJ-57</t>
  </si>
  <si>
    <t>XZITKY-97</t>
  </si>
  <si>
    <t>UXANYS-79</t>
  </si>
  <si>
    <t>ZBXGTN-21</t>
  </si>
  <si>
    <t>GZNJBY-47</t>
  </si>
  <si>
    <t>BZSWWN-33</t>
  </si>
  <si>
    <t>LJBUYM-19</t>
  </si>
  <si>
    <t>LJWVIK-94</t>
  </si>
  <si>
    <t>PRPNBD-66</t>
  </si>
  <si>
    <t>IIPZYB-35</t>
  </si>
  <si>
    <t>QTUGYQ-53</t>
  </si>
  <si>
    <t>SGHGPK-77</t>
  </si>
  <si>
    <t>FWWBPA-13</t>
  </si>
  <si>
    <t>YMEMRI-66</t>
  </si>
  <si>
    <t>TSSVQY-98</t>
  </si>
  <si>
    <t>XVCDKA-82</t>
  </si>
  <si>
    <t>EHTUDI-43</t>
  </si>
  <si>
    <t>LTCZXQ-86</t>
  </si>
  <si>
    <t>EDYEBK-11</t>
  </si>
  <si>
    <t>MBRPWJ-98</t>
  </si>
  <si>
    <t>TJQSDX-24</t>
  </si>
  <si>
    <t>WTOEIQ-71</t>
  </si>
  <si>
    <t>WGPSJH-79</t>
  </si>
  <si>
    <t>CRKFHH-45</t>
  </si>
  <si>
    <t>EZILHY-18</t>
  </si>
  <si>
    <t>XDZJOH-59</t>
  </si>
  <si>
    <t>RXPHBE-77</t>
  </si>
  <si>
    <t>EHZCJI-56</t>
  </si>
  <si>
    <t>DSYBER-47</t>
  </si>
  <si>
    <t>PKUYMC-73</t>
  </si>
  <si>
    <t>JZDERX-72</t>
  </si>
  <si>
    <t>IWPAGP-12</t>
  </si>
  <si>
    <t>WYAVOM-66</t>
  </si>
  <si>
    <t>HDPMOX-98</t>
  </si>
  <si>
    <t>VHZVVQ-43</t>
  </si>
  <si>
    <t>ZYHCZK-46</t>
  </si>
  <si>
    <t>DLXUIA-22</t>
  </si>
  <si>
    <t>DIFHXO-73</t>
  </si>
  <si>
    <t>BVQRZR-14</t>
  </si>
  <si>
    <t>BZLNGF-47</t>
  </si>
  <si>
    <t>CYOOZU-25</t>
  </si>
  <si>
    <t>BLXYGK-27</t>
  </si>
  <si>
    <t>OVKFLQ-53</t>
  </si>
  <si>
    <t>TNTBZA-45</t>
  </si>
  <si>
    <t>EYLDAA-36</t>
  </si>
  <si>
    <t>SLYEPK-86</t>
  </si>
  <si>
    <t>GVTSPD-36</t>
  </si>
  <si>
    <t>XZYUMW-92</t>
  </si>
  <si>
    <t>LWKRIK-22</t>
  </si>
  <si>
    <t>CTPBYS-31</t>
  </si>
  <si>
    <t>ZBMNUV-19</t>
  </si>
  <si>
    <t>YKOIDH-72</t>
  </si>
  <si>
    <t>IYXJMK-88</t>
  </si>
  <si>
    <t>ZRIFPG-32</t>
  </si>
  <si>
    <t>MKEFGX-33</t>
  </si>
  <si>
    <t>NOZTRQ-28</t>
  </si>
  <si>
    <t>AOBCCI-64</t>
  </si>
  <si>
    <t>RBFSUM-83</t>
  </si>
  <si>
    <t>LRPKAD-76</t>
  </si>
  <si>
    <t>GMIZWT-47</t>
  </si>
  <si>
    <t>AWAHVV-11</t>
  </si>
  <si>
    <t>NQBQKC-89</t>
  </si>
  <si>
    <t>CKWSGS-85</t>
  </si>
  <si>
    <t>SAKGAK-64</t>
  </si>
  <si>
    <t>HTIGDF-75</t>
  </si>
  <si>
    <t>FPZMOK-18</t>
  </si>
  <si>
    <t>CPEDIU-56</t>
  </si>
  <si>
    <t>MQVKEF-41</t>
  </si>
  <si>
    <t>VWNVMF-58</t>
  </si>
  <si>
    <t>RYSMKQ-76</t>
  </si>
  <si>
    <t>WGKQMI-71</t>
  </si>
  <si>
    <t>TSVIMI-34</t>
  </si>
  <si>
    <t>XDTMLL-87</t>
  </si>
  <si>
    <t>HVSQVH-62</t>
  </si>
  <si>
    <t>QTFQGJ-87</t>
  </si>
  <si>
    <t>MERVDW-55</t>
  </si>
  <si>
    <t>JYCZHH-35</t>
  </si>
  <si>
    <t>OEOQKF-12</t>
  </si>
  <si>
    <t>LZSXDA-56</t>
  </si>
  <si>
    <t>WPKMPT-95</t>
  </si>
  <si>
    <t>VYTQJE-64</t>
  </si>
  <si>
    <t>JBSBPO-48</t>
  </si>
  <si>
    <t>PSNZFA-23</t>
  </si>
  <si>
    <t>AQOVPH-92</t>
  </si>
  <si>
    <t>HZNASQ-53</t>
  </si>
  <si>
    <t>CHTIVE-96</t>
  </si>
  <si>
    <t>YSFMXI-65</t>
  </si>
  <si>
    <t>MNRRYN-75</t>
  </si>
  <si>
    <t>PQHQYL-27</t>
  </si>
  <si>
    <t>VHNKCW-71</t>
  </si>
  <si>
    <t>KOSHUZ-78</t>
  </si>
  <si>
    <t>RCIBPQ-53</t>
  </si>
  <si>
    <t>JAXBDV-86</t>
  </si>
  <si>
    <t>GFCXKY-44</t>
  </si>
  <si>
    <t>URQPEH-87</t>
  </si>
  <si>
    <t>RPJJAY-55</t>
  </si>
  <si>
    <t>GCOVDM-39</t>
  </si>
  <si>
    <t>ISTIPF-97</t>
  </si>
  <si>
    <t>GUICJV-61</t>
  </si>
  <si>
    <t>VBLTUB-56</t>
  </si>
  <si>
    <t>OXVMPA-46</t>
  </si>
  <si>
    <t>GDJTUR-69</t>
  </si>
  <si>
    <t>QASRSA-26</t>
  </si>
  <si>
    <t>CSKNEI-18</t>
  </si>
  <si>
    <t>ABOULO-48</t>
  </si>
  <si>
    <t>BENRSA-24</t>
  </si>
  <si>
    <t>WBNFHG-32</t>
  </si>
  <si>
    <t>CVNTTU-95</t>
  </si>
  <si>
    <t>MABLLX-24</t>
  </si>
  <si>
    <t>WCDTHN-42</t>
  </si>
  <si>
    <t>ZZQDHY-38</t>
  </si>
  <si>
    <t>ABDJYF-26</t>
  </si>
  <si>
    <t>PRGCPR-72</t>
  </si>
  <si>
    <t>OARIJQ-94</t>
  </si>
  <si>
    <t>LEEZSN-64</t>
  </si>
  <si>
    <t>BTQOIG-85</t>
  </si>
  <si>
    <t>VLAGOW-12</t>
  </si>
  <si>
    <t>CGXMUO-39</t>
  </si>
  <si>
    <t>MRQVCL-54</t>
  </si>
  <si>
    <t>INCBPM-42</t>
  </si>
  <si>
    <t>CBOASJ-29</t>
  </si>
  <si>
    <t>HZRTIR-83</t>
  </si>
  <si>
    <t>IXXFNJ-97</t>
  </si>
  <si>
    <t>PYNJJS-51</t>
  </si>
  <si>
    <t>UHGWGA-34</t>
  </si>
  <si>
    <t>IZCKKD-21</t>
  </si>
  <si>
    <t>ZKRENH-27</t>
  </si>
  <si>
    <t>BLMMVS-78</t>
  </si>
  <si>
    <t>SUGGEU-76</t>
  </si>
  <si>
    <t>PGAIOD-74</t>
  </si>
  <si>
    <t>MPGVTT-47</t>
  </si>
  <si>
    <t>PVXWJC-25</t>
  </si>
  <si>
    <t>VAQMVV-38</t>
  </si>
  <si>
    <t>ZPGFKV-39</t>
  </si>
  <si>
    <t>CGJGJR-71</t>
  </si>
  <si>
    <t>YTIOMV-56</t>
  </si>
  <si>
    <t>TUSGZX-18</t>
  </si>
  <si>
    <t>OTVTXU-89</t>
  </si>
  <si>
    <t>HQZGAD-96</t>
  </si>
  <si>
    <t>QRINFT-68</t>
  </si>
  <si>
    <t>FVLWMY-18</t>
  </si>
  <si>
    <t>VLMWHU-66</t>
  </si>
  <si>
    <t>AAMKJU-96</t>
  </si>
  <si>
    <t>VDRTOV-56</t>
  </si>
  <si>
    <t>DRWCNL-36</t>
  </si>
  <si>
    <t>ZTNYCG-23</t>
  </si>
  <si>
    <t>XEVYWJ-48</t>
  </si>
  <si>
    <t>PMKUIU-28</t>
  </si>
  <si>
    <t>ZTLPLB-48</t>
  </si>
  <si>
    <t>PYAINE-24</t>
  </si>
  <si>
    <t>AWZYPZ-72</t>
  </si>
  <si>
    <t>EHHGQL-99</t>
  </si>
  <si>
    <t>RQTYOT-44</t>
  </si>
  <si>
    <t>BQLBSW-49</t>
  </si>
  <si>
    <t>RCYJAL-32</t>
  </si>
  <si>
    <t>KGFSQU-18</t>
  </si>
  <si>
    <t>YKCXWE-99</t>
  </si>
  <si>
    <t>CFKRWD-29</t>
  </si>
  <si>
    <t>UCEQQS-76</t>
  </si>
  <si>
    <t>HRRYCF-96</t>
  </si>
  <si>
    <t>JKMHSK-72</t>
  </si>
  <si>
    <t>WKVFRI-61</t>
  </si>
  <si>
    <t>SGIKKL-98</t>
  </si>
  <si>
    <t>MWXZDU-44</t>
  </si>
  <si>
    <t>LRECRW-77</t>
  </si>
  <si>
    <t>TOQSKW-43</t>
  </si>
  <si>
    <t>MMWDIL-41</t>
  </si>
  <si>
    <t>OZVQEE-73</t>
  </si>
  <si>
    <t>FZMUJO-13</t>
  </si>
  <si>
    <t>VBLCFS-31</t>
  </si>
  <si>
    <t>NMXEKM-39</t>
  </si>
  <si>
    <t>PGMBHK-45</t>
  </si>
  <si>
    <t>DPBIED-82</t>
  </si>
  <si>
    <t>TQNBUJ-89</t>
  </si>
  <si>
    <t>XNAPFB-73</t>
  </si>
  <si>
    <t>HNACWS-76</t>
  </si>
  <si>
    <t>QEKFRB-57</t>
  </si>
  <si>
    <t>FJJXLF-63</t>
  </si>
  <si>
    <t>WZJRRZ-53</t>
  </si>
  <si>
    <t>VSITBT-43</t>
  </si>
  <si>
    <t>WMDGTL-95</t>
  </si>
  <si>
    <t>WISYFJ-36</t>
  </si>
  <si>
    <t>PFIFRD-87</t>
  </si>
  <si>
    <t>NDFTAM-18</t>
  </si>
  <si>
    <t>DOAOLP-13</t>
  </si>
  <si>
    <t>HUELZY-87</t>
  </si>
  <si>
    <t>DJIEVA-71</t>
  </si>
  <si>
    <t>AOYRST-55</t>
  </si>
  <si>
    <t>ABASOS-51</t>
  </si>
  <si>
    <t>OLBHYC-65</t>
  </si>
  <si>
    <t>QZVWNV-58</t>
  </si>
  <si>
    <t>SLNWJS-81</t>
  </si>
  <si>
    <t>ONGRTB-41</t>
  </si>
  <si>
    <t>YBDGHG-87</t>
  </si>
  <si>
    <t>XIDGWU-72</t>
  </si>
  <si>
    <t>LDVKQA-16</t>
  </si>
  <si>
    <t>PVBRBT-64</t>
  </si>
  <si>
    <t>BPAYRL-21</t>
  </si>
  <si>
    <t>HCWAPY-74</t>
  </si>
  <si>
    <t>DROQEM-98</t>
  </si>
  <si>
    <t>FWVHHU-73</t>
  </si>
  <si>
    <t>UUVQYK-92</t>
  </si>
  <si>
    <t>PXCJCB-76</t>
  </si>
  <si>
    <t>RLDJSY-91</t>
  </si>
  <si>
    <t>RNHIJG-33</t>
  </si>
  <si>
    <t>MQJYLG-24</t>
  </si>
  <si>
    <t>SVPYOR-18</t>
  </si>
  <si>
    <t>KSFKXW-55</t>
  </si>
  <si>
    <t>ZJNNWE-57</t>
  </si>
  <si>
    <t>FIRLAP-39</t>
  </si>
  <si>
    <t>OZVYJT-65</t>
  </si>
  <si>
    <t>UVSAFN-69</t>
  </si>
  <si>
    <t>BWQKPM-97</t>
  </si>
  <si>
    <t>MMHVSJ-85</t>
  </si>
  <si>
    <t>FCAKZT-28</t>
  </si>
  <si>
    <t>IFMRTC-46</t>
  </si>
  <si>
    <t>SELRGI-41</t>
  </si>
  <si>
    <t>OOFSRE-24</t>
  </si>
  <si>
    <t>EVSBBT-32</t>
  </si>
  <si>
    <t>UPSYYI-27</t>
  </si>
  <si>
    <t>ZJLTCE-62</t>
  </si>
  <si>
    <t>LIDDDO-99</t>
  </si>
  <si>
    <t>IIYPYK-31</t>
  </si>
  <si>
    <t>DBDQVI-43</t>
  </si>
  <si>
    <t>EQCKHX-51</t>
  </si>
  <si>
    <t>BQRTNB-43</t>
  </si>
  <si>
    <t>MDAIVC-27</t>
  </si>
  <si>
    <t>CRAAUW-66</t>
  </si>
  <si>
    <t>NEOLOX-61</t>
  </si>
  <si>
    <t>PSKZIO-68</t>
  </si>
  <si>
    <t>AZBVQH-63</t>
  </si>
  <si>
    <t>OPAIWT-82</t>
  </si>
  <si>
    <t>QDCHWG-68</t>
  </si>
  <si>
    <t>XPDBAX-93</t>
  </si>
  <si>
    <t>FWKZCT-95</t>
  </si>
  <si>
    <t>HWPHOB-17</t>
  </si>
  <si>
    <t>LTGHQW-27</t>
  </si>
  <si>
    <t>EHGMBG-78</t>
  </si>
  <si>
    <t>DUPAXW-49</t>
  </si>
  <si>
    <t>UCHHEM-34</t>
  </si>
  <si>
    <t>CXGFRK-75</t>
  </si>
  <si>
    <t>QXMCNG-73</t>
  </si>
  <si>
    <t>YGETCV-88</t>
  </si>
  <si>
    <t>BYLVGJ-49</t>
  </si>
  <si>
    <t>IRZJVM-57</t>
  </si>
  <si>
    <t>EOIPMR-45</t>
  </si>
  <si>
    <t>KYYWQD-89</t>
  </si>
  <si>
    <t>XRKQJW-79</t>
  </si>
  <si>
    <t>IMXMUH-54</t>
  </si>
  <si>
    <t>RQQWHL-43</t>
  </si>
  <si>
    <t>THEIOT-36</t>
  </si>
  <si>
    <t>IQABPI-84</t>
  </si>
  <si>
    <t>FYPOUG-48</t>
  </si>
  <si>
    <t>CFRBSW-67</t>
  </si>
  <si>
    <t>AKWCIY-54</t>
  </si>
  <si>
    <t>HBXUDT-31</t>
  </si>
  <si>
    <t>SMBHBC-59</t>
  </si>
  <si>
    <t>MLYERY-19</t>
  </si>
  <si>
    <t>SSTGUQ-28</t>
  </si>
  <si>
    <t>FTLLBM-39</t>
  </si>
  <si>
    <t>XZQQDK-72</t>
  </si>
  <si>
    <t>ANPVET-78</t>
  </si>
  <si>
    <t>OPRDVG-45</t>
  </si>
  <si>
    <t>MRJOXW-47</t>
  </si>
  <si>
    <t>FSRNWM-88</t>
  </si>
  <si>
    <t>KKPLXQ-36</t>
  </si>
  <si>
    <t>YAOLYH-87</t>
  </si>
  <si>
    <t>JJVDKH-24</t>
  </si>
  <si>
    <t>TQXIVA-58</t>
  </si>
  <si>
    <t>FYOSKY-38</t>
  </si>
  <si>
    <t>RDGETH-19</t>
  </si>
  <si>
    <t>RFGBQJ-29</t>
  </si>
  <si>
    <t>ULYHUP-42</t>
  </si>
  <si>
    <t>VNMLVF-91</t>
  </si>
  <si>
    <t>GYZNBR-35</t>
  </si>
  <si>
    <t>PRFSLB-68</t>
  </si>
  <si>
    <t>NPEPUR-47</t>
  </si>
  <si>
    <t>NFVIOT-23</t>
  </si>
  <si>
    <t>GDFVIZ-24</t>
  </si>
  <si>
    <t>FYWYQA-71</t>
  </si>
  <si>
    <t>VYXMIW-45</t>
  </si>
  <si>
    <t>OUMMMB-82</t>
  </si>
  <si>
    <t>XRXFTN-17</t>
  </si>
  <si>
    <t>PKJYFP-87</t>
  </si>
  <si>
    <t>NYHGHT-33</t>
  </si>
  <si>
    <t>QJQPTR-98</t>
  </si>
  <si>
    <t>CQRHOL-45</t>
  </si>
  <si>
    <t>YRYOKC-48</t>
  </si>
  <si>
    <t>UIPFBX-81</t>
  </si>
  <si>
    <t>TTAPYM-32</t>
  </si>
  <si>
    <t>ZVRZUC-43</t>
  </si>
  <si>
    <t>WUVMNS-11</t>
  </si>
  <si>
    <t>DEVHTW-35</t>
  </si>
  <si>
    <t>YXXHLD-82</t>
  </si>
  <si>
    <t>FUXMRM-48</t>
  </si>
  <si>
    <t>HGXVYS-33</t>
  </si>
  <si>
    <t>JJECED-85</t>
  </si>
  <si>
    <t>ZYQTKQ-58</t>
  </si>
  <si>
    <t>FZGCJX-69</t>
  </si>
  <si>
    <t>SBZHUY-61</t>
  </si>
  <si>
    <t>FHRDRJ-54</t>
  </si>
  <si>
    <t>KMLZAZ-51</t>
  </si>
  <si>
    <t>DJCDLB-33</t>
  </si>
  <si>
    <t>DIAQQN-52</t>
  </si>
  <si>
    <t>YGWKLD-81</t>
  </si>
  <si>
    <t>QKXFLQ-71</t>
  </si>
  <si>
    <t>QLFGBZ-65</t>
  </si>
  <si>
    <t>DISSTC-36</t>
  </si>
  <si>
    <t>UZKHAW-42</t>
  </si>
  <si>
    <t>VLPPLZ-63</t>
  </si>
  <si>
    <t>BTNHEM-63</t>
  </si>
  <si>
    <t>BSHARP-72</t>
  </si>
  <si>
    <t>VZVWWR-99</t>
  </si>
  <si>
    <t>NROINF-61</t>
  </si>
  <si>
    <t>DLOBTC-16</t>
  </si>
  <si>
    <t>YGPRHX-16</t>
  </si>
  <si>
    <t>XIWZYE-62</t>
  </si>
  <si>
    <t>GRSZYP-58</t>
  </si>
  <si>
    <t>LVODBY-79</t>
  </si>
  <si>
    <t>ECALJS-75</t>
  </si>
  <si>
    <t>OXESMI-76</t>
  </si>
  <si>
    <t>DSIMVJ-63</t>
  </si>
  <si>
    <t>PGPWVK-73</t>
  </si>
  <si>
    <t>PWWQBZ-88</t>
  </si>
  <si>
    <t>MZWUVY-94</t>
  </si>
  <si>
    <t>YKZDNH-37</t>
  </si>
  <si>
    <t>MXVHOP-74</t>
  </si>
  <si>
    <t>LSFZQM-61</t>
  </si>
  <si>
    <t>QBMJXT-95</t>
  </si>
  <si>
    <t>IHMTZS-72</t>
  </si>
  <si>
    <t>QUECXA-19</t>
  </si>
  <si>
    <t>LATVBJ-47</t>
  </si>
  <si>
    <t>RXZOVH-67</t>
  </si>
  <si>
    <t>DOOMCY-36</t>
  </si>
  <si>
    <t>GNGJLS-14</t>
  </si>
  <si>
    <t>OWIERU-61</t>
  </si>
  <si>
    <t>SYMVNJ-24</t>
  </si>
  <si>
    <t>QKXITX-32</t>
  </si>
  <si>
    <t>XYVBLP-72</t>
  </si>
  <si>
    <t>GSJNHX-98</t>
  </si>
  <si>
    <t>ZWQSQM-98</t>
  </si>
  <si>
    <t>MNNGOF-95</t>
  </si>
  <si>
    <t>TWLKQA-19</t>
  </si>
  <si>
    <t>HZLLYF-15</t>
  </si>
  <si>
    <t>FAXUKD-61</t>
  </si>
  <si>
    <t>GANXRT-44</t>
  </si>
  <si>
    <t>HNIVFS-74</t>
  </si>
  <si>
    <t>IVZMOT-22</t>
  </si>
  <si>
    <t>VGUTQQ-97</t>
  </si>
  <si>
    <t>ZDQFHJ-43</t>
  </si>
  <si>
    <t>RCSSRO-12</t>
  </si>
  <si>
    <t>OYVWFR-25</t>
  </si>
  <si>
    <t>AKKETV-85</t>
  </si>
  <si>
    <t>RZBLMO-59</t>
  </si>
  <si>
    <t>DVMZNR-83</t>
  </si>
  <si>
    <t>FHXOYT-92</t>
  </si>
  <si>
    <t>IYDSQB-58</t>
  </si>
  <si>
    <t>BJVMTB-46</t>
  </si>
  <si>
    <t>HWYOFX-88</t>
  </si>
  <si>
    <t>BBYTPG-31</t>
  </si>
  <si>
    <t>CGTHJH-83</t>
  </si>
  <si>
    <t>TWENUB-99</t>
  </si>
  <si>
    <t>MHBKXZ-35</t>
  </si>
  <si>
    <t>BFMQFH-14</t>
  </si>
  <si>
    <t>HDMVZU-56</t>
  </si>
  <si>
    <t>ITFXBR-63</t>
  </si>
  <si>
    <t>MQYNOC-13</t>
  </si>
  <si>
    <t>DZDLHC-59</t>
  </si>
  <si>
    <t>CZFPQQ-63</t>
  </si>
  <si>
    <t>AFJELU-12</t>
  </si>
  <si>
    <t>KBYNFT-73</t>
  </si>
  <si>
    <t>FEOGZF-46</t>
  </si>
  <si>
    <t>VWMQJE-94</t>
  </si>
  <si>
    <t>XIGBTS-82</t>
  </si>
  <si>
    <t>IOTYUB-48</t>
  </si>
  <si>
    <t>SSGIGW-55</t>
  </si>
  <si>
    <t>QKRWED-46</t>
  </si>
  <si>
    <t>RQXPCC-97</t>
  </si>
  <si>
    <t>RSJZCZ-16</t>
  </si>
  <si>
    <t>VBURZF-81</t>
  </si>
  <si>
    <t>ROBMGG-94</t>
  </si>
  <si>
    <t>LQTJTO-44</t>
  </si>
  <si>
    <t>KRYZYY-65</t>
  </si>
  <si>
    <t>UYRKLW-91</t>
  </si>
  <si>
    <t>HKEGZN-18</t>
  </si>
  <si>
    <t>GVODQB-84</t>
  </si>
  <si>
    <t>DNYUJR-67</t>
  </si>
  <si>
    <t>MGSQAK-53</t>
  </si>
  <si>
    <t>ZVVTVY-56</t>
  </si>
  <si>
    <t>BCRUKA-59</t>
  </si>
  <si>
    <t>MBAEFO-24</t>
  </si>
  <si>
    <t>DSASDJ-13</t>
  </si>
  <si>
    <t>OEHVMG-91</t>
  </si>
  <si>
    <t>KRQDSJ-35</t>
  </si>
  <si>
    <t>DEHPII-53</t>
  </si>
  <si>
    <t>RLZERH-47</t>
  </si>
  <si>
    <t>ENYXGN-48</t>
  </si>
  <si>
    <t>LUTDLX-45</t>
  </si>
  <si>
    <t>OJMFFE-63</t>
  </si>
  <si>
    <t>VMPTZZ-89</t>
  </si>
  <si>
    <t>QOVLFO-44</t>
  </si>
  <si>
    <t>OQBAWF-31</t>
  </si>
  <si>
    <t>BIVESM-65</t>
  </si>
  <si>
    <t>JJOEUO-81</t>
  </si>
  <si>
    <t>GTPFTU-88</t>
  </si>
  <si>
    <t>HPFFZY-59</t>
  </si>
  <si>
    <t>RUEGSF-52</t>
  </si>
  <si>
    <t>QILGYW-17</t>
  </si>
  <si>
    <t>XEXZDD-27</t>
  </si>
  <si>
    <t>ZLLVAM-73</t>
  </si>
  <si>
    <t>ZNLGCV-75</t>
  </si>
  <si>
    <t>JBDBYD-83</t>
  </si>
  <si>
    <t>RGROBW-98</t>
  </si>
  <si>
    <t>CGKEOL-96</t>
  </si>
  <si>
    <t>IKUGSX-99</t>
  </si>
  <si>
    <t>SOPQHZ-75</t>
  </si>
  <si>
    <t>QEJSIF-99</t>
  </si>
  <si>
    <t>XLXGQG-84</t>
  </si>
  <si>
    <t>FEPLUI-39</t>
  </si>
  <si>
    <t>UASHWZ-19</t>
  </si>
  <si>
    <t>MBWZUI-46</t>
  </si>
  <si>
    <t>AOHUUX-41</t>
  </si>
  <si>
    <t>VZRQAZ-27</t>
  </si>
  <si>
    <t>JEPODU-42</t>
  </si>
  <si>
    <t>DQNAIC-92</t>
  </si>
  <si>
    <t>CWRQIT-91</t>
  </si>
  <si>
    <t>DDFBHC-25</t>
  </si>
  <si>
    <t>BNPOZG-83</t>
  </si>
  <si>
    <t>SBZEUZ-41</t>
  </si>
  <si>
    <t>RKGWOR-53</t>
  </si>
  <si>
    <t>DZAAUY-87</t>
  </si>
  <si>
    <t>SDRBIL-73</t>
  </si>
  <si>
    <t>VXPYFL-97</t>
  </si>
  <si>
    <t>HTYPWG-63</t>
  </si>
  <si>
    <t>LZNUFK-18</t>
  </si>
  <si>
    <t>ZRQAOX-87</t>
  </si>
  <si>
    <t>IPOLLT-88</t>
  </si>
  <si>
    <t>SHPXXL-89</t>
  </si>
  <si>
    <t>EXBKUB-58</t>
  </si>
  <si>
    <t>RPHIKD-32</t>
  </si>
  <si>
    <t>YULRBI-36</t>
  </si>
  <si>
    <t>MCQKBT-76</t>
  </si>
  <si>
    <t>BLLSAG-16</t>
  </si>
  <si>
    <t>DSAMEJ-97</t>
  </si>
  <si>
    <t>UVXARL-12</t>
  </si>
  <si>
    <t>HKUSSV-96</t>
  </si>
  <si>
    <t>PLYGDA-31</t>
  </si>
  <si>
    <t>RUGGAA-59</t>
  </si>
  <si>
    <t>KZUVFT-36</t>
  </si>
  <si>
    <t>PFNAQY-98</t>
  </si>
  <si>
    <t>NXIQRY-39</t>
  </si>
  <si>
    <t>EHIIPI-42</t>
  </si>
  <si>
    <t>EDLLWW-93</t>
  </si>
  <si>
    <t>NBIBYI-95</t>
  </si>
  <si>
    <t>HVWGXU-83</t>
  </si>
  <si>
    <t>RLTOQI-14</t>
  </si>
  <si>
    <t>EOQJED-22</t>
  </si>
  <si>
    <t>WHBQPX-11</t>
  </si>
  <si>
    <t>KUCDBJ-47</t>
  </si>
  <si>
    <t>UWRKWX-58</t>
  </si>
  <si>
    <t>NWEFRD-59</t>
  </si>
  <si>
    <t>STZWJS-37</t>
  </si>
  <si>
    <t>ZSDQBG-74</t>
  </si>
  <si>
    <t>WKQLTL-48</t>
  </si>
  <si>
    <t>QGEPTU-53</t>
  </si>
  <si>
    <t>DODIWV-72</t>
  </si>
  <si>
    <t>HOOYRE-56</t>
  </si>
  <si>
    <t>ZFUWLB-53</t>
  </si>
  <si>
    <t>ZGBYRS-69</t>
  </si>
  <si>
    <t>NIPNKN-33</t>
  </si>
  <si>
    <t>SVJRAA-14</t>
  </si>
  <si>
    <t>HWCXHX-94</t>
  </si>
  <si>
    <t>XOYWKS-26</t>
  </si>
  <si>
    <t>YITJQA-27</t>
  </si>
  <si>
    <t>HJTESX-27</t>
  </si>
  <si>
    <t>CTDYRA-17</t>
  </si>
  <si>
    <t>GMWCGJ-12</t>
  </si>
  <si>
    <t>HQMGZG-61</t>
  </si>
  <si>
    <t>EVUMRF-61</t>
  </si>
  <si>
    <t>IUJCXZ-64</t>
  </si>
  <si>
    <t>ZKTSHZ-42</t>
  </si>
  <si>
    <t>WPUZFL-36</t>
  </si>
  <si>
    <t>HWAUOS-57</t>
  </si>
  <si>
    <t>AYFCUE-82</t>
  </si>
  <si>
    <t>EBXBWX-95</t>
  </si>
  <si>
    <t>MTRGAD-38</t>
  </si>
  <si>
    <t>GQIRGU-19</t>
  </si>
  <si>
    <t>IPFSLK-98</t>
  </si>
  <si>
    <t>ZGOLSR-84</t>
  </si>
  <si>
    <t>EFCIER-15</t>
  </si>
  <si>
    <t>BRQSBZ-43</t>
  </si>
  <si>
    <t>MRDTOL-14</t>
  </si>
  <si>
    <t>KUATRG-13</t>
  </si>
  <si>
    <t>LCBOLF-71</t>
  </si>
  <si>
    <t>YFCHQP-38</t>
  </si>
  <si>
    <t>VASXPC-99</t>
  </si>
  <si>
    <t>DWQICW-65</t>
  </si>
  <si>
    <t>JWRURI-98</t>
  </si>
  <si>
    <t>UCYDYZ-31</t>
  </si>
  <si>
    <t>KBQNCK-57</t>
  </si>
  <si>
    <t>CTQQLF-89</t>
  </si>
  <si>
    <t>SNEKDU-63</t>
  </si>
  <si>
    <t>JTCRFF-51</t>
  </si>
  <si>
    <t>PNPAPX-18</t>
  </si>
  <si>
    <t>PABCXX-82</t>
  </si>
  <si>
    <t>EBTENS-86</t>
  </si>
  <si>
    <t>QVOLQA-68</t>
  </si>
  <si>
    <t>DYDYMD-89</t>
  </si>
  <si>
    <t>PXCHHZ-79</t>
  </si>
  <si>
    <t>WVAURA-21</t>
  </si>
  <si>
    <t>TLTELG-49</t>
  </si>
  <si>
    <t>ECHKQT-87</t>
  </si>
  <si>
    <t>WALNSV-72</t>
  </si>
  <si>
    <t>GYIAWT-78</t>
  </si>
  <si>
    <t>RKOZDJ-16</t>
  </si>
  <si>
    <t>EBPTNP-47</t>
  </si>
  <si>
    <t>LIEVRH-14</t>
  </si>
  <si>
    <t>ZBBFHA-58</t>
  </si>
  <si>
    <t>OXZPFC-44</t>
  </si>
  <si>
    <t>ZZVIJG-71</t>
  </si>
  <si>
    <t>YOWWHU-32</t>
  </si>
  <si>
    <t>JYANUO-73</t>
  </si>
  <si>
    <t>YPHANU-39</t>
  </si>
  <si>
    <t>GWGRPQ-35</t>
  </si>
  <si>
    <t>AXDEZO-17</t>
  </si>
  <si>
    <t>QJSTAI-74</t>
  </si>
  <si>
    <t>DPPHZG-53</t>
  </si>
  <si>
    <t>YDJJRR-81</t>
  </si>
  <si>
    <t>GMAOAV-95</t>
  </si>
  <si>
    <t>KDWAFK-93</t>
  </si>
  <si>
    <t>KCNQIE-29</t>
  </si>
  <si>
    <t>URSSRP-56</t>
  </si>
  <si>
    <t>WAAJBO-78</t>
  </si>
  <si>
    <t>LZQMVT-81</t>
  </si>
  <si>
    <t>IELMZN-15</t>
  </si>
  <si>
    <t>KXPXPX-79</t>
  </si>
  <si>
    <t>QMCVXE-92</t>
  </si>
  <si>
    <t>CDCRZR-93</t>
  </si>
  <si>
    <t>PJZJCA-67</t>
  </si>
  <si>
    <t>BKCGYW-75</t>
  </si>
  <si>
    <t>JGNFXN-24</t>
  </si>
  <si>
    <t>HETZBF-26</t>
  </si>
  <si>
    <t>ILKRBR-97</t>
  </si>
  <si>
    <t>QCVKCM-57</t>
  </si>
  <si>
    <t>OZFHSW-52</t>
  </si>
  <si>
    <t>UDVVMR-32</t>
  </si>
  <si>
    <t>KJCVXO-15</t>
  </si>
  <si>
    <t>FDATKD-66</t>
  </si>
  <si>
    <t>CJBFGH-19</t>
  </si>
  <si>
    <t>WRNUQD-37</t>
  </si>
  <si>
    <t>WHYLTA-93</t>
  </si>
  <si>
    <t>OSQUHU-19</t>
  </si>
  <si>
    <t>HDOAGE-74</t>
  </si>
  <si>
    <t>AYMQRA-28</t>
  </si>
  <si>
    <t>HKWTSK-63</t>
  </si>
  <si>
    <t>AWLGXA-53</t>
  </si>
  <si>
    <t>FDRBZX-72</t>
  </si>
  <si>
    <t>IOOWMV-35</t>
  </si>
  <si>
    <t>ICHZCU-75</t>
  </si>
  <si>
    <t>VPROSW-87</t>
  </si>
  <si>
    <t>LARKPN-91</t>
  </si>
  <si>
    <t>BRWOTP-83</t>
  </si>
  <si>
    <t>QRGYYO-97</t>
  </si>
  <si>
    <t>JEWTUG-97</t>
  </si>
  <si>
    <t>FEKZCZ-78</t>
  </si>
  <si>
    <t>HTCJCK-41</t>
  </si>
  <si>
    <t>BBESQP-37</t>
  </si>
  <si>
    <t>XRSZSY-19</t>
  </si>
  <si>
    <t>ZCWSLX-88</t>
  </si>
  <si>
    <t>VUWSOA-56</t>
  </si>
  <si>
    <t>TZYNOS-49</t>
  </si>
  <si>
    <t>COOLXV-32</t>
  </si>
  <si>
    <t>GTZKCL-75</t>
  </si>
  <si>
    <t>AVQHFG-79</t>
  </si>
  <si>
    <t>EZKUTR-45</t>
  </si>
  <si>
    <t>FQBGFY-52</t>
  </si>
  <si>
    <t>CUPLCB-49</t>
  </si>
  <si>
    <t>NKQWQB-74</t>
  </si>
  <si>
    <t>MQLEMP-43</t>
  </si>
  <si>
    <t>BVXDRD-41</t>
  </si>
  <si>
    <t>HTKBDM-99</t>
  </si>
  <si>
    <t>VLVERI-64</t>
  </si>
  <si>
    <t>XRDAWQ-71</t>
  </si>
  <si>
    <t>YJUPBL-39</t>
  </si>
  <si>
    <t>ZGDFAI-56</t>
  </si>
  <si>
    <t>NLMTPJ-17</t>
  </si>
  <si>
    <t>NVUFZZ-67</t>
  </si>
  <si>
    <t>MRICTW-18</t>
  </si>
  <si>
    <t>FYFUHO-64</t>
  </si>
  <si>
    <t>INJNKA-91</t>
  </si>
  <si>
    <t>ZAVVOY-92</t>
  </si>
  <si>
    <t>TBOYAK-33</t>
  </si>
  <si>
    <t>OBIEZI-63</t>
  </si>
  <si>
    <t>ZRKAKV-49</t>
  </si>
  <si>
    <t>SDGQDC-77</t>
  </si>
  <si>
    <t>HZMXRX-62</t>
  </si>
  <si>
    <t>MKRGKR-83</t>
  </si>
  <si>
    <t>HXBURR-17</t>
  </si>
  <si>
    <t>ZRCOLI-13</t>
  </si>
  <si>
    <t>SPOZOT-96</t>
  </si>
  <si>
    <t>DPOQUO-15</t>
  </si>
  <si>
    <t>VPODKL-73</t>
  </si>
  <si>
    <t>AAHQZU-21</t>
  </si>
  <si>
    <t>YEPVUB-67</t>
  </si>
  <si>
    <t>CYRHFU-45</t>
  </si>
  <si>
    <t>ADFACT-88</t>
  </si>
  <si>
    <t>FBLAEJ-74</t>
  </si>
  <si>
    <t>MLGOGU-15</t>
  </si>
  <si>
    <t>PEAFWI-92</t>
  </si>
  <si>
    <t>MSRMGN-21</t>
  </si>
  <si>
    <t>AYCTRW-93</t>
  </si>
  <si>
    <t>GHLCZH-98</t>
  </si>
  <si>
    <t>WEKUKW-66</t>
  </si>
  <si>
    <t>UDRDOE-46</t>
  </si>
  <si>
    <t>ECGMPR-53</t>
  </si>
  <si>
    <t>OQTLYC-99</t>
  </si>
  <si>
    <t>ZUEYPW-28</t>
  </si>
  <si>
    <t>MEIBXD-15</t>
  </si>
  <si>
    <t>KBDPXS-95</t>
  </si>
  <si>
    <t>UCJBPJ-18</t>
  </si>
  <si>
    <t>CNBUDZ-95</t>
  </si>
  <si>
    <t>POWPOL-19</t>
  </si>
  <si>
    <t>HYNAXA-91</t>
  </si>
  <si>
    <t>RHKMBZ-34</t>
  </si>
  <si>
    <t>AVZTGZ-86</t>
  </si>
  <si>
    <t>NWMNMO-84</t>
  </si>
  <si>
    <t>COHKEQ-28</t>
  </si>
  <si>
    <t>UXFHUO-73</t>
  </si>
  <si>
    <t>URAKNX-26</t>
  </si>
  <si>
    <t>RASHXY-92</t>
  </si>
  <si>
    <t>QREAND-47</t>
  </si>
  <si>
    <t>JZGEDS-86</t>
  </si>
  <si>
    <t>UJYQFZ-22</t>
  </si>
  <si>
    <t>LVVVIC-29</t>
  </si>
  <si>
    <t>JGUXLL-17</t>
  </si>
  <si>
    <t>DBJDZZ-93</t>
  </si>
  <si>
    <t>QVCUCJ-24</t>
  </si>
  <si>
    <t>CYMWHA-39</t>
  </si>
  <si>
    <t>Первые 6 символов</t>
  </si>
  <si>
    <t>Посл 2 символа</t>
  </si>
  <si>
    <t>Посл 2 буквы</t>
  </si>
  <si>
    <t>Месяц</t>
  </si>
  <si>
    <t>План</t>
  </si>
  <si>
    <t>Факт</t>
  </si>
  <si>
    <t>Январь</t>
  </si>
  <si>
    <t>Февраль</t>
  </si>
  <si>
    <t>Март</t>
  </si>
  <si>
    <t>Апрель</t>
  </si>
  <si>
    <t>Май</t>
  </si>
  <si>
    <t>Июнь</t>
  </si>
  <si>
    <t>Июль</t>
  </si>
  <si>
    <t>Август</t>
  </si>
  <si>
    <t>Сентябрь</t>
  </si>
  <si>
    <t>Октябрь</t>
  </si>
  <si>
    <t>Ноябрь</t>
  </si>
  <si>
    <t>Декабрь</t>
  </si>
  <si>
    <t>Генкин</t>
  </si>
  <si>
    <t>Фока</t>
  </si>
  <si>
    <t>Захарович</t>
  </si>
  <si>
    <t>Домышева</t>
  </si>
  <si>
    <t>Евгения</t>
  </si>
  <si>
    <t>Владленовна</t>
  </si>
  <si>
    <t>Яблочкина</t>
  </si>
  <si>
    <t>Римма</t>
  </si>
  <si>
    <t>Ираклиевна</t>
  </si>
  <si>
    <t>Званцев</t>
  </si>
  <si>
    <t>Чеслав</t>
  </si>
  <si>
    <t>Потапович</t>
  </si>
  <si>
    <t>Ярощука</t>
  </si>
  <si>
    <t>Маргарита</t>
  </si>
  <si>
    <t>Алексеевна</t>
  </si>
  <si>
    <t>Акимова</t>
  </si>
  <si>
    <t>Полина</t>
  </si>
  <si>
    <t>Петровна</t>
  </si>
  <si>
    <t>Клокова</t>
  </si>
  <si>
    <t>Изольда</t>
  </si>
  <si>
    <t>Германовна</t>
  </si>
  <si>
    <t>Феднова</t>
  </si>
  <si>
    <t>Лиана</t>
  </si>
  <si>
    <t>Марковна</t>
  </si>
  <si>
    <t>Муравьев</t>
  </si>
  <si>
    <t>Наум</t>
  </si>
  <si>
    <t>Макарович</t>
  </si>
  <si>
    <t>Амелина</t>
  </si>
  <si>
    <t>Стела</t>
  </si>
  <si>
    <t>Власова</t>
  </si>
  <si>
    <t>Елизавета</t>
  </si>
  <si>
    <t>Брониславовна</t>
  </si>
  <si>
    <t>Алеев</t>
  </si>
  <si>
    <t>Авдей</t>
  </si>
  <si>
    <t>Эдуардович</t>
  </si>
  <si>
    <t>Саянкова</t>
  </si>
  <si>
    <t>Агния</t>
  </si>
  <si>
    <t>Всеволодовна</t>
  </si>
  <si>
    <t>Глускина</t>
  </si>
  <si>
    <t>Алина</t>
  </si>
  <si>
    <t>Кирдань</t>
  </si>
  <si>
    <t>Сергей</t>
  </si>
  <si>
    <t>Чеславович</t>
  </si>
  <si>
    <t>Шурыгин</t>
  </si>
  <si>
    <t>Кондратий</t>
  </si>
  <si>
    <t>Давидович</t>
  </si>
  <si>
    <t>Шевелёка</t>
  </si>
  <si>
    <t>Марианна</t>
  </si>
  <si>
    <t>Яновна</t>
  </si>
  <si>
    <t>Ефремов</t>
  </si>
  <si>
    <t>Пахом</t>
  </si>
  <si>
    <t>Евлампиевич</t>
  </si>
  <si>
    <t>Поличев</t>
  </si>
  <si>
    <t>Константин</t>
  </si>
  <si>
    <t>Негуторов</t>
  </si>
  <si>
    <t>Михей</t>
  </si>
  <si>
    <t>Иванович</t>
  </si>
  <si>
    <t>Францев</t>
  </si>
  <si>
    <t>Валентин</t>
  </si>
  <si>
    <t>Касьянович</t>
  </si>
  <si>
    <t>Грибалев</t>
  </si>
  <si>
    <t>Тихон</t>
  </si>
  <si>
    <t>Миронович</t>
  </si>
  <si>
    <t>Январев</t>
  </si>
  <si>
    <t>Мартын</t>
  </si>
  <si>
    <t>Никитевич</t>
  </si>
  <si>
    <t>Карамзин</t>
  </si>
  <si>
    <t>Борислав</t>
  </si>
  <si>
    <t>Давыдович</t>
  </si>
  <si>
    <t>Кадцын</t>
  </si>
  <si>
    <t>Никанор</t>
  </si>
  <si>
    <t>Гордеевич</t>
  </si>
  <si>
    <t>Лашманова</t>
  </si>
  <si>
    <t>Зоя</t>
  </si>
  <si>
    <t>Трофимовна</t>
  </si>
  <si>
    <t>Оспищева</t>
  </si>
  <si>
    <t>Любовь</t>
  </si>
  <si>
    <t>Вячеславовна</t>
  </si>
  <si>
    <t>Бормотов</t>
  </si>
  <si>
    <t>Аристарх</t>
  </si>
  <si>
    <t>Егорович</t>
  </si>
  <si>
    <t>Марк</t>
  </si>
  <si>
    <t>Адамович</t>
  </si>
  <si>
    <t>Русскиха</t>
  </si>
  <si>
    <t>Анатолиевна</t>
  </si>
  <si>
    <t>Бережной</t>
  </si>
  <si>
    <t>Эрнстович</t>
  </si>
  <si>
    <t>Лунина</t>
  </si>
  <si>
    <t>Степановна</t>
  </si>
  <si>
    <t>«Властелин колец» — Джон Р. Р. Толкин</t>
  </si>
  <si>
    <t>«Гордость и предубеждение» — Джейн Остин</t>
  </si>
  <si>
    <t>«Тёмные начала» — Филип Пулман</t>
  </si>
  <si>
    <t>«Автостопом по галактике» — Дуглас Адамс</t>
  </si>
  <si>
    <t>«Гарри Поттер и Кубок огня» — Джоан Роулинг</t>
  </si>
  <si>
    <t>«Убить пересмешника» — Харпер Ли</t>
  </si>
  <si>
    <t>«Винни Пух» — Алан Александр Милн</t>
  </si>
  <si>
    <t>«1984» — Джордж Оруэлл</t>
  </si>
  <si>
    <t>«Лев, колдунья и платяной шкаф» — Клайв Стэйплз Льюис</t>
  </si>
  <si>
    <t>«Джейн Эйр» — Шарлотта Бронте</t>
  </si>
  <si>
    <t>«Уловка-22» — Джозеф Хеллер</t>
  </si>
  <si>
    <t>«Грозовой перевал» — Эмили Бронте</t>
  </si>
  <si>
    <t>«Пение птиц» — Себастьян Фолкс</t>
  </si>
  <si>
    <t>«Ребекка» — Дафна Дюморье</t>
  </si>
  <si>
    <t>«Над пропастью во ржи» — Джером Сэлинджер</t>
  </si>
  <si>
    <t>«Ветер в ивах» — Кеннет Грэм</t>
  </si>
  <si>
    <t>«Большие надежды» — Чарльз Диккенс</t>
  </si>
  <si>
    <t>«Маленькие женщины» — Луиза Мэй Олкотт</t>
  </si>
  <si>
    <t>«Мандолина капитана Корелли» — Луи де Берньер</t>
  </si>
  <si>
    <t>«Война и мир» — Лев Толстой</t>
  </si>
  <si>
    <t>«Унесённые ветром» — Маргарет Митчелл</t>
  </si>
  <si>
    <t>«Гарри Поттер и философский камень» — Джоан Роулинг</t>
  </si>
  <si>
    <t>«Гарри Поттер и Тайная комната» — Джоан Роулинг</t>
  </si>
  <si>
    <t>«Гарри Поттер и узник Азкабана» — Джоан Роулинг</t>
  </si>
  <si>
    <t>«Хоббит, или Туда и обратно» — Джон Р. Р. Толкин</t>
  </si>
  <si>
    <t>«Тэсс из рода д’Эрбервиллей» — Томас Харди</t>
  </si>
  <si>
    <t>«Миддлмарч» — Джордж Элиот</t>
  </si>
  <si>
    <t>«Молитва об Оуэне Мини» — Джон Ирвинг</t>
  </si>
  <si>
    <t>«Гроздья гнева» — Джон Стейнбек</t>
  </si>
  <si>
    <t>«Алиса в Стране чудес» — Льюис Кэрролл</t>
  </si>
  <si>
    <t>«Дневник Трейси Бикер» — Жаклин Уилсон</t>
  </si>
  <si>
    <t>«Сто лет одиночества» — Габриэль Гарсиа Маркес</t>
  </si>
  <si>
    <t>«Столпы Земли» — Кен Фоллетт</t>
  </si>
  <si>
    <t>«Дэвид Копперфильд» — Чарльз Диккенс</t>
  </si>
  <si>
    <t>«Чарли и шоколадная фабрика» — Роальд Даль</t>
  </si>
  <si>
    <t>«Остров сокровищ» — Роберт Стивенсон</t>
  </si>
  <si>
    <t>«Город как Элис» — Невил Шют</t>
  </si>
  <si>
    <t>«Доводы рассудка» — Джейн Остин</t>
  </si>
  <si>
    <t>«Дюна» — Фрэнк Герберт</t>
  </si>
  <si>
    <t>«Эмма» — Джейн Остин</t>
  </si>
  <si>
    <t>«Аня из Зелёных Мезонинов» — Люси Мод Монтгомери</t>
  </si>
  <si>
    <t>«Обитатели холмов» — Ричард Адамс</t>
  </si>
  <si>
    <t>«Великий Гэтсби» — Фрэнсис Скотт Фицджеральд</t>
  </si>
  <si>
    <t>«Граф Монте-Кристо» — Александр Дюма</t>
  </si>
  <si>
    <t>«Возвращение в Брайдсхед» — Ивлин Во</t>
  </si>
  <si>
    <t>«Скотный двор» — Джордж Оруэлл</t>
  </si>
  <si>
    <t>«Рождественская песнь» — Чарльз Диккенс</t>
  </si>
  <si>
    <t>«Вдали от обезумевшей толпы» — Томас Харди</t>
  </si>
  <si>
    <t>«Спокойной ночи, мистер Том» — Мишель Магориан</t>
  </si>
  <si>
    <t>«Семейная реликвия» — Розамунд Пилчер</t>
  </si>
  <si>
    <t>«Таинственный сад» — Фрэнсис Бернетт</t>
  </si>
  <si>
    <t>«О мышах и людях» — Джон Стейнбек</t>
  </si>
  <si>
    <t>«Противостояние» — Стивен Кинг</t>
  </si>
  <si>
    <t>«Анна Каренина» — Лев Толстой</t>
  </si>
  <si>
    <t>«Подходящий жених» — Викрам Сет</t>
  </si>
  <si>
    <t>«БДВ, или Большой и добрый великан» — Роальд Даль</t>
  </si>
  <si>
    <t>«Ласточки и амазонки» — Артур Рэнсом</t>
  </si>
  <si>
    <t>«Чёрный красавчик» — Анна Сьюэлл</t>
  </si>
  <si>
    <t>«Артемис Фаул» — Йон Колфер</t>
  </si>
  <si>
    <t>«Преступление и наказание» — Фёдор Достоевский</t>
  </si>
  <si>
    <t>«Крестики-нолики» — Мэлори Блэкмен</t>
  </si>
  <si>
    <t>«Мемуары гейши» — Артур Голден</t>
  </si>
  <si>
    <t>«Повесть о двух городах» — Чарльз Диккенс</t>
  </si>
  <si>
    <t>«Поющие в терновнике» — Колин Маккалоу</t>
  </si>
  <si>
    <t>«Мор, ученик Смерти» — Терри Пратчетт</t>
  </si>
  <si>
    <t>«Далёкое волшебное дерево» — Энид Блайтон</t>
  </si>
  <si>
    <t>«Волхв» — Джон Фаулз</t>
  </si>
  <si>
    <t>«Благие знамения» — Терри Пратчетт и Нил Гейман</t>
  </si>
  <si>
    <t>«Стража! Стража!» — Терри Пратчетт</t>
  </si>
  <si>
    <t>«Повелитель мух» — Уильям Голдинг</t>
  </si>
  <si>
    <t>«Парфюмер» — Патрик Зюскинд</t>
  </si>
  <si>
    <t>«Филантропы в рваных штанах» — Роберт Тресселл</t>
  </si>
  <si>
    <t>«Ночная стража» — Терри Пратчетт</t>
  </si>
  <si>
    <t>«Матильда» — Роальд Даль</t>
  </si>
  <si>
    <t>«Дневник Бриджит Джонс» — Хелен Филдинг</t>
  </si>
  <si>
    <t>«Тайная история» — Донна Тартт</t>
  </si>
  <si>
    <t>«Женщина в белом» — Уильям Уилки Коллинз</t>
  </si>
  <si>
    <t>«Улисс» — Джеймс Джойс</t>
  </si>
  <si>
    <t>«Холодный дом» — Чарльз Диккенс</t>
  </si>
  <si>
    <t>«Двойняшки» — Жаклин Уилсон</t>
  </si>
  <si>
    <t>«Семейство Твит» — Роальд Даль</t>
  </si>
  <si>
    <t>«Я захватываю замок» — Доди Смит</t>
  </si>
  <si>
    <t>«Ямы» — Луис Сейкер</t>
  </si>
  <si>
    <t>«Горменгаст» — Мервин Пик</t>
  </si>
  <si>
    <t>«Бог мелочей» — Арундати Рой</t>
  </si>
  <si>
    <t>«Вики-Ангел» — Жаклин Уилсон</t>
  </si>
  <si>
    <t>«О дивный новый мир» — Олдос Хаксли</t>
  </si>
  <si>
    <t>«Неуютная ферма» — Стелла Гиббонс</t>
  </si>
  <si>
    <t>«Чародей» — Раймонд Фэйст</t>
  </si>
  <si>
    <t>«В дороге» — Джек Керуак</t>
  </si>
  <si>
    <t>«Крестный отец» — Марио Пьюзо</t>
  </si>
  <si>
    <t>«Клан пещерного медведя» — Джин Ауэл</t>
  </si>
  <si>
    <t>«Цвет волшебства» — Терри Пратчетт</t>
  </si>
  <si>
    <t>«Алхимик» — Пауло Коэльо</t>
  </si>
  <si>
    <t>«Кэтрин» — Аня Сетон</t>
  </si>
  <si>
    <t>«Каин и Авель» — Джеффри Арчер</t>
  </si>
  <si>
    <t>«Любовь во время холеры» — Габриэль Гарсиа Маркес</t>
  </si>
  <si>
    <t>«Девчонки в поисках любви» — Жаклин Уилсон</t>
  </si>
  <si>
    <t>«Дневники принцессы» — Мэг Кэбот</t>
  </si>
  <si>
    <t>«Дети полуночи» — Салман Рушди</t>
  </si>
  <si>
    <t>«Трое в лодке, не считая собаки» — Джером К</t>
  </si>
  <si>
    <t>«Мелкие боги» — Терри Пратчетт</t>
  </si>
  <si>
    <t>«Пляж» — Алекс Гарленд</t>
  </si>
  <si>
    <t>«Дракула» — Брэм Стокер</t>
  </si>
  <si>
    <t>«Белый пик» — Энтони Горовиц</t>
  </si>
  <si>
    <t>«Посмертные записки Пиквикского клуба» — Чарльз Диккенс</t>
  </si>
  <si>
    <t>«Громобой» — Энтони Горовиц</t>
  </si>
  <si>
    <t>«Осиная фабрика» — Иэн Бэнкс</t>
  </si>
  <si>
    <t>«День Шакала» — Фредерик Форсайт</t>
  </si>
  <si>
    <t>«Разрисованная мама» — Жаклин Уилсон</t>
  </si>
  <si>
    <t>«Джуд Незаметный» — Томас Харди</t>
  </si>
  <si>
    <t>«Тайный дневник Адриана Моула, 13 3/4 лет» — Сью Таунсенд</t>
  </si>
  <si>
    <t>«Жестокое море» — Николас Монсаррат</t>
  </si>
  <si>
    <t>«Отверженные» — Виктор Гюго</t>
  </si>
  <si>
    <t>«Мэр Кэстербриджа» — Томас Харди</t>
  </si>
  <si>
    <t>«Рискованные игры» — Жаклин Уилсон</t>
  </si>
  <si>
    <t>«Плохие девчонки» — Жаклин Уилсон</t>
  </si>
  <si>
    <t>«Портрет Дориана Грея» — Оскар Уайльд</t>
  </si>
  <si>
    <t>«Сёгун» — Джеймс Клавелл</t>
  </si>
  <si>
    <t>«День триффидов» — Джон Уиндем</t>
  </si>
  <si>
    <t>«Лола Роза» — Жаклин Уилсон</t>
  </si>
  <si>
    <t>«Ярмарка тщеславия» — Уильям Теккерей</t>
  </si>
  <si>
    <t>«Дом из листьев» — Марк Данилевски</t>
  </si>
  <si>
    <t>«Сага о Форсайтах» — Джон Голсуорси</t>
  </si>
  <si>
    <t>«Библия ядовитого леса» — Барбара Кингсолвер</t>
  </si>
  <si>
    <t>«Мрачный Жнец» — Терри Пратчетт</t>
  </si>
  <si>
    <t>«Ангус, ремни и конкретные обжимашки» — Луиз Рэннисон</t>
  </si>
  <si>
    <t>«Собака Баскервилей» — Артур Конан Дойль</t>
  </si>
  <si>
    <t>«Обладать» — Антония Сьюзен Байетт</t>
  </si>
  <si>
    <t>«Мастер и Маргарита» — Михаил Булгаков</t>
  </si>
  <si>
    <t>«Рассказ служанки» — Маргарет Этвуд</t>
  </si>
  <si>
    <t>«Денни — чемпион мира» — Роальд Даль</t>
  </si>
  <si>
    <t>«К востоку от рая» — Джон Стейнбек</t>
  </si>
  <si>
    <t>«Лечение Джорджа Марвелуса» — Роальд Даль</t>
  </si>
  <si>
    <t>«Вещие сестрички» — Терри Пратчетт</t>
  </si>
  <si>
    <t>«Пурпурный цвет» — Элис Уокер</t>
  </si>
  <si>
    <t>«Санта-Хрякус» — Терри Пратчетт</t>
  </si>
  <si>
    <t>«39 ступеней" — Джон Бьюкен</t>
  </si>
  <si>
    <t>«Девчонки в слезах» — Жаклин Уилсон</t>
  </si>
  <si>
    <t>«Вечеринка с ночёвкой» — Жаклин Уилсон</t>
  </si>
  <si>
    <t>«На западном фронте без перемен» — Эрих Мария Ремарк</t>
  </si>
  <si>
    <t>«В хранилищах музея» — Кейт Аткинсон</t>
  </si>
  <si>
    <t>«Hi-Fi» — Ник Хорнби</t>
  </si>
  <si>
    <t>«Оно» — Стивен Кинг</t>
  </si>
  <si>
    <t>«Джеймс и гигантский персик» — Роальд Даль</t>
  </si>
  <si>
    <t>«Зелёная миля» — Стивен Кинг</t>
  </si>
  <si>
    <t>«Мотылёк» — Анри Шарьер</t>
  </si>
  <si>
    <t>«К оружию! К оружию!» — Терри Пратчетт</t>
  </si>
  <si>
    <t>«Хозяин морей: Командир и штурман» — Патрик О’Брайан</t>
  </si>
  <si>
    <t>«Ключ от всех дверей» — Энтони Горовиц</t>
  </si>
  <si>
    <t>«Роковая музыка» — Терри Пратчетт</t>
  </si>
  <si>
    <t>«Вор времени» — Терри Пратчетт</t>
  </si>
  <si>
    <t>«Пятый элефант» — Терри Пратчетт</t>
  </si>
  <si>
    <t>«Искупление» — Иэн Макьюэн</t>
  </si>
  <si>
    <t>«Секреты» — Жаклин Уилсон</t>
  </si>
  <si>
    <t>«Серебряный меч» — Ян Серрэйлер</t>
  </si>
  <si>
    <t>«Пролетая над гнездом кукушки» — Кен Кизи</t>
  </si>
  <si>
    <t>«Сердце тьмы» — Джозеф Конрад</t>
  </si>
  <si>
    <t>«Ким» — Редьярд Киплинг</t>
  </si>
  <si>
    <t>«Чужестранка» — Диана Гэблдон</t>
  </si>
  <si>
    <t>«Моби Дик» — Герман Мелвилл</t>
  </si>
  <si>
    <t>«Песнь на закате» — Льюис Грессик Гиббон</t>
  </si>
  <si>
    <t>«Корабельные новости» — Энни Пру</t>
  </si>
  <si>
    <t>«Божество реки» — Уилбур Смит</t>
  </si>
  <si>
    <t>«Мир глазами Гарпа» — Джон Ирвинг</t>
  </si>
  <si>
    <t>«Лорна Дун» — Ричард Блэкмор</t>
  </si>
  <si>
    <t>«Девчонки гуляют допоздна» — Жаклин Уилсон</t>
  </si>
  <si>
    <t>«Далёкие шатры» — Мэри Маргарет Кей</t>
  </si>
  <si>
    <t>«Ведьмы» — Роальд Даль</t>
  </si>
  <si>
    <t>«Паутина Шарлотты» — Элвин Брукс Уайт</t>
  </si>
  <si>
    <t>«Франкенштейн, или Современный Прометей» — Мэри Шелли</t>
  </si>
  <si>
    <t>«Они играли на траве» — Терри Венейблс и Гордон М</t>
  </si>
  <si>
    <t>«Старик и море» — Эрнест Хемингуэй</t>
  </si>
  <si>
    <t>«Лолита» — Владимир Набоков</t>
  </si>
  <si>
    <t>«Имя розы» — Умберто Эко</t>
  </si>
  <si>
    <t>«Мир Софии» — Йостейн Гордер</t>
  </si>
  <si>
    <t>«Девочка-находка» — Жаклин Уилсон</t>
  </si>
  <si>
    <t>«Изумительный мистер Лис» — Роальд Даль</t>
  </si>
  <si>
    <t>«Чайка по имени Джонатан Ливингстон» — Ричард Бах</t>
  </si>
  <si>
    <t>«Маленький принц» — Антуан де Сент-Экзюпери</t>
  </si>
  <si>
    <t>«Дитя из чемодана» — Жаклин Уилсон</t>
  </si>
  <si>
    <t>«Приключения Оливера Твиста» — Чарльз Диккенс</t>
  </si>
  <si>
    <t>«Сила единства» — Брайс Куртене</t>
  </si>
  <si>
    <t>«Сайлес Марнер» — Джордж Элиот</t>
  </si>
  <si>
    <t>«Американский психопат» — Брет Истон Эллис</t>
  </si>
  <si>
    <t>«Дневник незначительного лица» — Джордж и Уидон Гроссмит</t>
  </si>
  <si>
    <t>«На игле» — Ирвин Уэлш</t>
  </si>
  <si>
    <t>«Хайди» — Иоганна Шпири</t>
  </si>
  <si>
    <t>«Сыновья и любовники» — Дэвид Герберт Лоуренс</t>
  </si>
  <si>
    <t>«Невыносимая лёгкость бытия» — Милан Кундера</t>
  </si>
  <si>
    <t>«Мужчина и мальчик» — Тони Парсонс</t>
  </si>
  <si>
    <t>«Правда» — Терри Пратчетт</t>
  </si>
  <si>
    <t>«Война миров» — Герберт Уэллс</t>
  </si>
  <si>
    <t>«Ужастики» — Роберт Лоуренс Стайн</t>
  </si>
  <si>
    <t>«Заклинатель лошадей» — Николас Эванс</t>
  </si>
  <si>
    <t>«Хрупкое равновесие» — Рохинтон Мистри</t>
  </si>
  <si>
    <t>«Ведьмы за границей» — Терри Пратчетт</t>
  </si>
  <si>
    <t>«Король былого и грядущего» — Теренс Уайт</t>
  </si>
  <si>
    <t>«Очень голодная гусеница» — Эрик Карл</t>
  </si>
  <si>
    <t>«Цветы на чердаке» — Вирджиния Эндрюс</t>
  </si>
  <si>
    <t>Фамилия</t>
  </si>
  <si>
    <t>Имя</t>
  </si>
  <si>
    <t>Отчество</t>
  </si>
  <si>
    <t>5171</t>
  </si>
  <si>
    <t>9956</t>
  </si>
  <si>
    <t>8371</t>
  </si>
  <si>
    <t>4361</t>
  </si>
  <si>
    <t>8248</t>
  </si>
  <si>
    <t>7758</t>
  </si>
  <si>
    <t>6424</t>
  </si>
  <si>
    <t>1116</t>
  </si>
  <si>
    <t>9845</t>
  </si>
  <si>
    <t>3687</t>
  </si>
  <si>
    <t>8588</t>
  </si>
  <si>
    <t>3299</t>
  </si>
  <si>
    <t>1668</t>
  </si>
  <si>
    <t>4913</t>
  </si>
  <si>
    <t>3821</t>
  </si>
  <si>
    <t>3564</t>
  </si>
  <si>
    <t>2212</t>
  </si>
  <si>
    <t>8663</t>
  </si>
  <si>
    <t>6198</t>
  </si>
  <si>
    <t>7427</t>
  </si>
  <si>
    <t>1352</t>
  </si>
  <si>
    <t>8386</t>
  </si>
  <si>
    <t>4789</t>
  </si>
  <si>
    <t>1998</t>
  </si>
  <si>
    <t>1732</t>
  </si>
  <si>
    <t>8654</t>
  </si>
  <si>
    <t>5116</t>
  </si>
  <si>
    <t>1919</t>
  </si>
  <si>
    <t>1644</t>
  </si>
  <si>
    <t>1494</t>
  </si>
  <si>
    <t>8851</t>
  </si>
  <si>
    <t>8357</t>
  </si>
  <si>
    <t>Центр</t>
  </si>
  <si>
    <t>Юг</t>
  </si>
  <si>
    <t>Поволжье</t>
  </si>
  <si>
    <t>Север</t>
  </si>
  <si>
    <t>HP 15-bw079ur (1VJ01EA)</t>
  </si>
  <si>
    <t>HP 17-ca0030ur (4JV93EA)</t>
  </si>
  <si>
    <t>ASUS Zenbook UX430UA-GV421T (90NB0EC6-M09530)</t>
  </si>
  <si>
    <t>Lenovo IdeaPad 330s-15 (81F50174RU)</t>
  </si>
  <si>
    <t>Lenovo ThinkPad P1 (20MD0014RT)</t>
  </si>
  <si>
    <t>Планшет Apple iPad Pro 11 1Tb Wi-Fi + Cellular Space Gray Серый космос 
MU1V2RU/A</t>
  </si>
  <si>
    <t>Lenovo ThinkPad X390 (20Q0000PRT)</t>
  </si>
  <si>
    <t>HP Pavilion x360 14-cd1010ur (5SU80EA)</t>
  </si>
  <si>
    <t>ASUS VivoBook S15 S510UA-BQ905R (90NB0FQ5-M21090)</t>
  </si>
  <si>
    <t>Dell G3 3779 (G317-7664)</t>
  </si>
  <si>
    <t>HP 15-bw015ur (1ZK04EA)</t>
  </si>
  <si>
    <t>Планшет Apple iPad Pro 11 512Gb Wi-Fi + Cellular Silver Серебристый 
MU1M2RU/A</t>
  </si>
  <si>
    <t>HP 17-by1014ur (5SW96EA)</t>
  </si>
  <si>
    <t>Lenovo IdeaPad 330-15 (81D1003KRU)</t>
  </si>
  <si>
    <t>Lenovo IdeaPad 530s-15 (81EV00D8RU)</t>
  </si>
  <si>
    <t>MSI GT63 8RG-001RU Titan (9S7-16L411-001)</t>
  </si>
  <si>
    <t>Acer Aspire 7 A717-71G-7167 (NH.GPFER.007)</t>
  </si>
  <si>
    <t>Acer Predator Helios 300 PH317-52-5788 (NH.Q3EER.009)</t>
  </si>
  <si>
    <t>Dell G3 3579 (G315-7282)</t>
  </si>
  <si>
    <t>MSI GL63 8RD-470XRU (9S7-16P612-470)</t>
  </si>
  <si>
    <t>HP Pavilion x360 14-cd0013ur (4GP75EA)</t>
  </si>
  <si>
    <t>Lenovo IdeaPad 330-15 (81D200E1RU)</t>
  </si>
  <si>
    <t>Монитор 19.5" Dell E2016H, WXGA++ , TN, VGA, DP, Черный 016H-1934</t>
  </si>
  <si>
    <t>Первое слово</t>
  </si>
  <si>
    <t>Apple MacBook Pro 2017 MPXT2RU/A (MPXT2RU/A)</t>
  </si>
  <si>
    <t>HP 17-by1013ur (5SX24EA)</t>
  </si>
  <si>
    <t>HP EliteBook 1040 G4 (1EP75EA)</t>
  </si>
  <si>
    <t>Смартфон Apple iPhone XS 512Gb Space Gray Темно-серый MT9L2RU/A</t>
  </si>
  <si>
    <t>Acer Extensa EX2519-C5G3 (NX.EFAER.071)</t>
  </si>
  <si>
    <t>Dell Latitude 7390 2-in-1 (7390-6971)</t>
  </si>
  <si>
    <t>HP Pavilion 15-cw0005ur (4GZ10EA)</t>
  </si>
  <si>
    <t>HP Pavilion 15-cw0025ur (4MU20EA)</t>
  </si>
  <si>
    <t>Монитор 24" Dell U2412M Black, WUXGA, IPS, DP, DVI, VGA. 4xUSB 2.0 Черный 
2412-0896</t>
  </si>
  <si>
    <t>Монитор 27" Dell P2719H, FHD, IPS, HDMI, DP, VGA, 5xUSB, Черный 2719-2422</t>
  </si>
  <si>
    <t>Acer Swift SF314-54G-82LL (NX.GY0ER.004)</t>
  </si>
  <si>
    <t>HP 15-da0059ur (4JR07EA)</t>
  </si>
  <si>
    <t>Lenovo ThinkPad L480 (20LS0016RT)</t>
  </si>
  <si>
    <t>Acer Swift SF514-53T-75D7 (NX.H7KER.003)</t>
  </si>
  <si>
    <t>HP 15-da1019ur (5SV77EA)</t>
  </si>
  <si>
    <t>HP 17-ca0043ur (4KB94EA)</t>
  </si>
  <si>
    <t>Монитор 23.8" Dell P2418D, WQXGA , IPS, HDMI, DP, 4xUSB Черный 2418-7100</t>
  </si>
  <si>
    <t>Dell XPS 13 9380 (9380-3984)</t>
  </si>
  <si>
    <t>HP 15-db0166ur (4MG47EA)</t>
  </si>
  <si>
    <t>HP Pavilion 14-ce0016ur (4HD06EA)</t>
  </si>
  <si>
    <t>Lenovo ThinkPad L580 (20LW003BRT)</t>
  </si>
  <si>
    <t>Lenovo ThinkPad Yoga 370 (20JH003DRT)</t>
  </si>
  <si>
    <t>MSI PS42 8RB-205RU (9S7-14B121-205)</t>
  </si>
  <si>
    <t>Acer Aspire 3 A315-41G-R3HU (NX.GYBER.048)</t>
  </si>
  <si>
    <t>HP Spectre 13-af009ur (2PT12EA)</t>
  </si>
  <si>
    <t>Acer Swift SF314-54-88QB (NX.GYGER.003)</t>
  </si>
  <si>
    <t>Dell Vostro 5568 (5568-7257)</t>
  </si>
  <si>
    <t>HP Pavilion 15-cw0027ur (4MW78EA)</t>
  </si>
  <si>
    <t>Lenovo V130-15 (81HN00KTRU)</t>
  </si>
  <si>
    <t>Acer Aspire 3 A315-21-60DQ (NX.GNVER.074)</t>
  </si>
  <si>
    <t>MSI GT75 8RG-281RU Titan (9S7-17A311-281)</t>
  </si>
  <si>
    <t>Dell Vostro 5471 (5471-7437)</t>
  </si>
  <si>
    <t>Монитор 27" HP Omen 27, WQXGA, TN, HDMI, DP, 2xUSB 3.0, Черный Z4D33AA</t>
  </si>
  <si>
    <t>Acer Nitro 5 AN515-52-74NJ (NH.Q3LER.006)</t>
  </si>
  <si>
    <t>Acer Swift SF315-52-51NX (NX.GZ9ER.002)</t>
  </si>
  <si>
    <t>Lenovo V130-15 (81HN00E0RU)</t>
  </si>
  <si>
    <t>HP 14-cm0009ur (4KJ15EA)</t>
  </si>
  <si>
    <t>ASUS ROG SCAR II Edition GL704GM-EV054T (90NR00N1-M01090)</t>
  </si>
  <si>
    <t>HP Spectre x360 13-ae012ur (2VZ72EA)</t>
  </si>
  <si>
    <t>HP 15-da0022ur (4GM27EA)</t>
  </si>
  <si>
    <t>Lenovo IdeaPad 330-15 (81D200J6RU)</t>
  </si>
  <si>
    <t>Lenovo IdeaPad 720S-13 (81BR002URU)</t>
  </si>
  <si>
    <t>HP 17-ca0040ur (4KF57EA)</t>
  </si>
  <si>
    <t>Apple iPad Pro 10.5 64Gb Wi-Fi планшет Space Gray Серый космос MQDT2RU/A</t>
  </si>
  <si>
    <t>Планшет Samsung Galaxy TAB S3 9.7(2048x1536) Cam(13/5) LTE MSM8996</t>
  </si>
  <si>
    <t>Планшет Lenovo TAB 4 7 TB-7504X 16Gb DS 7,0(1280x720)IPS LTE Cam(5/2)</t>
  </si>
  <si>
    <t>Нули слева</t>
  </si>
  <si>
    <t>Нули справа</t>
  </si>
  <si>
    <t>Самсонов святослав потапович</t>
  </si>
  <si>
    <t>Чашин никон    панкратиевич</t>
  </si>
  <si>
    <t>ФАНИНА любовь мироновна</t>
  </si>
  <si>
    <t>буланов АРТЕМИЙ тарасович</t>
  </si>
  <si>
    <t>бодрова Юнона Всеволодовна</t>
  </si>
  <si>
    <t>дрёмин   ВАСИЛИЙ самуилович</t>
  </si>
  <si>
    <t xml:space="preserve">Гареев  кондратий севастьянович  </t>
  </si>
  <si>
    <t>65117144</t>
  </si>
  <si>
    <t>№ рейса</t>
  </si>
  <si>
    <t>S7758</t>
  </si>
  <si>
    <t>S7427</t>
  </si>
  <si>
    <t>S7732</t>
  </si>
  <si>
    <t>СЦЕПИТЬ</t>
  </si>
  <si>
    <t>СЦЕП</t>
  </si>
  <si>
    <t>ОБЪЕДИНИТЬ</t>
  </si>
  <si>
    <t xml:space="preserve">Рок-презентация: как придать своему выступлению страсть и экспрессию </t>
  </si>
  <si>
    <t xml:space="preserve">История Соединенных Штатов. Краткий курс в комиксах </t>
  </si>
  <si>
    <t xml:space="preserve">Очки-костыли. Почему очки опасны и как улучшить зрение, не пользуясь оптикой </t>
  </si>
  <si>
    <t xml:space="preserve">Что со мной, доктор? Вся правда о щитовидной железе </t>
  </si>
  <si>
    <t xml:space="preserve">KenKen. Японская система тренировки мозга </t>
  </si>
  <si>
    <t xml:space="preserve">Мохаммед Али. Семья в память о великом. Неизданное </t>
  </si>
  <si>
    <t xml:space="preserve">Как работать на идиота </t>
  </si>
  <si>
    <t xml:space="preserve">Диетологические глупости. Низвержение мифов </t>
  </si>
  <si>
    <t xml:space="preserve">Машина песен. Внутри фабрики хитов </t>
  </si>
  <si>
    <t xml:space="preserve">Самая большая ошибка Эйнштейна </t>
  </si>
  <si>
    <t xml:space="preserve">Дао благополучия. История вашего будущего </t>
  </si>
  <si>
    <t xml:space="preserve">Ленинград. Невероятная и правдивая история </t>
  </si>
  <si>
    <t xml:space="preserve">Офлайн-режим: 365 способов отказаться от гаджетов и улучшить свою жизнь </t>
  </si>
  <si>
    <t xml:space="preserve">Сильнобеременная: комиксы о плюсах и минусах беременности </t>
  </si>
  <si>
    <t xml:space="preserve">Большой и мягкий комочек счастья. Комиксы Сары Андерсен </t>
  </si>
  <si>
    <t xml:space="preserve">Анатомия. Физиология. Фундаментальные основы </t>
  </si>
  <si>
    <t xml:space="preserve">Куриный бульон для души: 101 история о чудесах </t>
  </si>
  <si>
    <t xml:space="preserve">Отели и их секреты </t>
  </si>
  <si>
    <t>A</t>
  </si>
  <si>
    <t>Z</t>
  </si>
  <si>
    <t>1637585918234248</t>
  </si>
  <si>
    <t>2825738895511391</t>
  </si>
  <si>
    <t>8524269559916833</t>
  </si>
  <si>
    <t>1497283824157814</t>
  </si>
  <si>
    <t>4691355684652696</t>
  </si>
  <si>
    <t>6137862866682365</t>
  </si>
  <si>
    <t>2369231658379139</t>
  </si>
  <si>
    <t>1514968527741255</t>
  </si>
  <si>
    <t>5664235236815691</t>
  </si>
  <si>
    <t>1126456532631287</t>
  </si>
  <si>
    <t>1342223169134879</t>
  </si>
  <si>
    <t>9176722939564352</t>
  </si>
  <si>
    <t>7722453686899273</t>
  </si>
  <si>
    <t>4549626727822942</t>
  </si>
  <si>
    <t>6444746817375167</t>
  </si>
  <si>
    <t>4452952568256363</t>
  </si>
  <si>
    <t>8929851735982189</t>
  </si>
  <si>
    <t>9112742925369734</t>
  </si>
  <si>
    <t>6184716474668544</t>
  </si>
  <si>
    <t>6273756274792581</t>
  </si>
  <si>
    <t>8945611424592756</t>
  </si>
  <si>
    <t>3744165524827177</t>
  </si>
  <si>
    <t>4439929646581723</t>
  </si>
  <si>
    <t>3983122227178935</t>
  </si>
  <si>
    <t>8553689146927343</t>
  </si>
  <si>
    <t>9295818776148416</t>
  </si>
  <si>
    <t>8734178943667632</t>
  </si>
  <si>
    <t>3623336191987492</t>
  </si>
  <si>
    <t>3777841837151986</t>
  </si>
  <si>
    <t>4673352898382157</t>
  </si>
  <si>
    <t>3696864974786838</t>
  </si>
  <si>
    <t>3519784422811185</t>
  </si>
  <si>
    <t>40000</t>
  </si>
  <si>
    <t>=СУММ(B2:B13)</t>
  </si>
  <si>
    <t>=СУММ(C2:C13)</t>
  </si>
  <si>
    <t>Фамилие</t>
  </si>
  <si>
    <t>ПОЗИТИВНОЕ МЫШЛЕНИЕ. Как найти счастье и достичь своих целей силой позитивного мышления  (твердая обложка)</t>
  </si>
  <si>
    <r>
      <t xml:space="preserve">Продажи книги </t>
    </r>
    <r>
      <rPr>
        <b/>
        <sz val="10"/>
        <color rgb="FF000000"/>
        <rFont val="Arial"/>
        <family val="2"/>
        <charset val="204"/>
      </rPr>
      <t>"талант ни при чем" выросли на 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</si>
</sst>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color rgb="FF000000"/>
      <name val="Arial"/>
    </font>
    <font>
      <sz val="10"/>
      <name val="Arial"/>
      <family val="2"/>
      <charset val="204"/>
    </font>
    <font>
      <sz val="10"/>
      <name val="Arial"/>
      <family val="2"/>
      <charset val="204"/>
    </font>
    <font>
      <sz val="11"/>
      <name val="Arial"/>
      <family val="2"/>
      <charset val="204"/>
    </font>
    <font>
      <sz val="11"/>
      <color rgb="FF000000"/>
      <name val="Calibri"/>
      <family val="2"/>
      <charset val="204"/>
    </font>
    <font>
      <sz val="14"/>
      <name val="Arial"/>
      <family val="2"/>
      <charset val="204"/>
    </font>
    <font>
      <sz val="10"/>
      <color rgb="FF000000"/>
      <name val="Arial"/>
      <family val="2"/>
      <charset val="204"/>
    </font>
    <font>
      <sz val="10"/>
      <name val="Arial"/>
      <family val="2"/>
      <charset val="204"/>
    </font>
    <font>
      <b/>
      <sz val="11"/>
      <color theme="3"/>
      <name val="Calibri"/>
      <family val="2"/>
      <charset val="204"/>
      <scheme val="minor"/>
    </font>
    <font>
      <sz val="11"/>
      <name val="Arial"/>
      <family val="2"/>
      <charset val="204"/>
    </font>
    <font>
      <sz val="14"/>
      <name val="Arial"/>
      <family val="2"/>
      <charset val="204"/>
    </font>
    <font>
      <sz val="11"/>
      <color rgb="FF000000"/>
      <name val="Calibri"/>
      <family val="2"/>
      <charset val="204"/>
    </font>
    <font>
      <b/>
      <sz val="10"/>
      <color rgb="FF000000"/>
      <name val="Arial"/>
      <family val="2"/>
      <charset val="204"/>
    </font>
  </fonts>
  <fills count="3">
    <fill>
      <patternFill patternType="none"/>
    </fill>
    <fill>
      <patternFill patternType="gray125"/>
    </fill>
    <fill>
      <patternFill patternType="solid">
        <fgColor rgb="FFFFFF00"/>
        <bgColor indexed="64"/>
      </patternFill>
    </fill>
  </fills>
  <borders count="6">
    <border>
      <left/>
      <right/>
      <top/>
      <bottom/>
      <diagonal/>
    </border>
    <border>
      <left/>
      <right style="thin">
        <color rgb="FF000000"/>
      </right>
      <top/>
      <bottom style="thin">
        <color rgb="FF000000"/>
      </bottom>
      <diagonal/>
    </border>
    <border>
      <left/>
      <right/>
      <top/>
      <bottom/>
      <diagonal/>
    </border>
    <border>
      <left/>
      <right/>
      <top/>
      <bottom style="medium">
        <color theme="4" tint="0.39997558519241921"/>
      </bottom>
      <diagonal/>
    </border>
    <border>
      <left style="thick">
        <color indexed="64"/>
      </left>
      <right/>
      <top style="medium">
        <color theme="4" tint="0.39997558519241921"/>
      </top>
      <bottom/>
      <diagonal/>
    </border>
    <border>
      <left style="thick">
        <color indexed="64"/>
      </left>
      <right/>
      <top/>
      <bottom/>
      <diagonal/>
    </border>
  </borders>
  <cellStyleXfs count="2">
    <xf numFmtId="0" fontId="0" fillId="0" borderId="0"/>
    <xf numFmtId="0" fontId="8" fillId="0" borderId="3" applyNumberFormat="0" applyFill="0" applyAlignment="0" applyProtection="0"/>
  </cellStyleXfs>
  <cellXfs count="43">
    <xf numFmtId="0" fontId="0" fillId="0" borderId="0" xfId="0"/>
    <xf numFmtId="0" fontId="1" fillId="0" borderId="0" xfId="0" applyFont="1"/>
    <xf numFmtId="0" fontId="2" fillId="0" borderId="0" xfId="0" applyFont="1"/>
    <xf numFmtId="0" fontId="2" fillId="0" borderId="0" xfId="0" applyFont="1" applyAlignment="1">
      <alignment horizontal="right"/>
    </xf>
    <xf numFmtId="0" fontId="4" fillId="0" borderId="0" xfId="0" applyFont="1"/>
    <xf numFmtId="0" fontId="4" fillId="0" borderId="0" xfId="0" applyFont="1" applyAlignment="1">
      <alignment horizontal="center"/>
    </xf>
    <xf numFmtId="164" fontId="4" fillId="0" borderId="0" xfId="0" applyNumberFormat="1" applyFont="1" applyAlignment="1">
      <alignment horizontal="center"/>
    </xf>
    <xf numFmtId="0" fontId="2" fillId="0" borderId="0" xfId="0" applyFont="1" applyAlignment="1">
      <alignment horizontal="center"/>
    </xf>
    <xf numFmtId="0" fontId="5" fillId="0" borderId="0" xfId="0" applyFont="1" applyAlignment="1">
      <alignment horizontal="right"/>
    </xf>
    <xf numFmtId="0" fontId="2" fillId="0" borderId="2" xfId="0" applyFont="1" applyBorder="1"/>
    <xf numFmtId="0" fontId="5" fillId="0" borderId="0" xfId="0" applyFont="1"/>
    <xf numFmtId="0" fontId="6" fillId="0" borderId="0" xfId="0" applyFont="1"/>
    <xf numFmtId="0" fontId="7" fillId="0" borderId="0" xfId="0" applyFont="1"/>
    <xf numFmtId="14" fontId="0" fillId="0" borderId="0" xfId="0" applyNumberFormat="1"/>
    <xf numFmtId="3" fontId="0" fillId="0" borderId="0" xfId="0" applyNumberFormat="1" applyAlignment="1">
      <alignment horizontal="center"/>
    </xf>
    <xf numFmtId="3" fontId="0" fillId="0" borderId="0" xfId="0" applyNumberFormat="1"/>
    <xf numFmtId="0" fontId="8" fillId="0" borderId="3" xfId="1" applyAlignment="1">
      <alignment horizontal="center"/>
    </xf>
    <xf numFmtId="0" fontId="0" fillId="0" borderId="0" xfId="0" applyAlignment="1">
      <alignment horizontal="center" vertical="center"/>
    </xf>
    <xf numFmtId="0" fontId="3" fillId="0" borderId="2" xfId="0" applyFont="1" applyBorder="1"/>
    <xf numFmtId="0" fontId="0" fillId="0" borderId="2" xfId="0" applyBorder="1"/>
    <xf numFmtId="0" fontId="3" fillId="0" borderId="2" xfId="0" applyFont="1" applyBorder="1" applyAlignment="1">
      <alignment horizontal="center"/>
    </xf>
    <xf numFmtId="0" fontId="3" fillId="0" borderId="2" xfId="0" applyFont="1" applyBorder="1" applyAlignment="1">
      <alignment horizontal="left" vertical="center" wrapText="1"/>
    </xf>
    <xf numFmtId="0" fontId="9" fillId="0" borderId="2" xfId="0" applyFont="1" applyBorder="1" applyAlignment="1">
      <alignment horizontal="left" vertical="center" wrapText="1"/>
    </xf>
    <xf numFmtId="0" fontId="8" fillId="0" borderId="2" xfId="1" applyBorder="1" applyAlignment="1">
      <alignment horizontal="center"/>
    </xf>
    <xf numFmtId="0" fontId="7" fillId="0" borderId="2" xfId="0" applyFont="1" applyBorder="1"/>
    <xf numFmtId="49" fontId="3" fillId="0" borderId="2" xfId="0" applyNumberFormat="1" applyFont="1" applyBorder="1"/>
    <xf numFmtId="3" fontId="0" fillId="0" borderId="0" xfId="0" quotePrefix="1" applyNumberFormat="1" applyAlignment="1">
      <alignment horizontal="center"/>
    </xf>
    <xf numFmtId="3" fontId="0" fillId="0" borderId="0" xfId="0" quotePrefix="1" applyNumberFormat="1"/>
    <xf numFmtId="0" fontId="1" fillId="0" borderId="0" xfId="0" applyFont="1" applyAlignment="1">
      <alignment wrapText="1"/>
    </xf>
    <xf numFmtId="49" fontId="3" fillId="0" borderId="1" xfId="0" applyNumberFormat="1" applyFont="1" applyBorder="1"/>
    <xf numFmtId="0" fontId="8" fillId="0" borderId="2" xfId="1" applyFill="1" applyBorder="1" applyAlignment="1">
      <alignment horizontal="center"/>
    </xf>
    <xf numFmtId="49" fontId="0" fillId="0" borderId="0" xfId="0" applyNumberFormat="1"/>
    <xf numFmtId="0" fontId="7" fillId="0" borderId="2" xfId="0" applyFont="1" applyBorder="1" applyAlignment="1">
      <alignment wrapText="1"/>
    </xf>
    <xf numFmtId="0" fontId="11" fillId="0" borderId="0" xfId="0" applyFont="1"/>
    <xf numFmtId="0" fontId="2" fillId="0" borderId="4" xfId="0" applyFont="1" applyBorder="1"/>
    <xf numFmtId="0" fontId="2" fillId="0" borderId="5" xfId="0" applyFont="1" applyBorder="1"/>
    <xf numFmtId="0" fontId="7" fillId="2" borderId="2" xfId="0" applyFont="1" applyFill="1" applyBorder="1"/>
    <xf numFmtId="0" fontId="3" fillId="2" borderId="2" xfId="0" applyFont="1" applyFill="1" applyBorder="1" applyAlignment="1">
      <alignment horizontal="center"/>
    </xf>
    <xf numFmtId="0" fontId="7" fillId="2" borderId="2" xfId="0" applyFont="1" applyFill="1" applyBorder="1" applyAlignment="1">
      <alignment wrapText="1"/>
    </xf>
    <xf numFmtId="0" fontId="3" fillId="2" borderId="2" xfId="0" applyFont="1" applyFill="1" applyBorder="1" applyAlignment="1">
      <alignment horizontal="left" vertical="center" wrapText="1"/>
    </xf>
    <xf numFmtId="0" fontId="8" fillId="0" borderId="3" xfId="1" applyAlignment="1">
      <alignment horizontal="center" wrapText="1"/>
    </xf>
    <xf numFmtId="0" fontId="10" fillId="0" borderId="0" xfId="0" applyFont="1" applyAlignment="1">
      <alignment horizontal="center"/>
    </xf>
    <xf numFmtId="0" fontId="6" fillId="0" borderId="0" xfId="0" applyFont="1" applyAlignment="1">
      <alignment wrapText="1"/>
    </xf>
  </cellXfs>
  <cellStyles count="2">
    <cellStyle name="Заголовок 3" xfId="1" builtinId="1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2</xdr:col>
      <xdr:colOff>265044</xdr:colOff>
      <xdr:row>0</xdr:row>
      <xdr:rowOff>139148</xdr:rowOff>
    </xdr:from>
    <xdr:to>
      <xdr:col>7</xdr:col>
      <xdr:colOff>284921</xdr:colOff>
      <xdr:row>1</xdr:row>
      <xdr:rowOff>53009</xdr:rowOff>
    </xdr:to>
    <xdr:sp macro="" textlink="">
      <xdr:nvSpPr>
        <xdr:cNvPr id="2" name="TextBox 1">
          <a:extLst>
            <a:ext uri="{FF2B5EF4-FFF2-40B4-BE49-F238E27FC236}">
              <a16:creationId xmlns:a16="http://schemas.microsoft.com/office/drawing/2014/main" id="{BE8BB41E-FDBC-E33F-56CD-F6FA551D5585}"/>
            </a:ext>
          </a:extLst>
        </xdr:cNvPr>
        <xdr:cNvSpPr txBox="1"/>
      </xdr:nvSpPr>
      <xdr:spPr>
        <a:xfrm>
          <a:off x="6778487" y="139148"/>
          <a:ext cx="4989443" cy="2763078"/>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1000"/>
            <a:t>Если ввести несколько значений в соседние ячейки, выделить их и тянуть с зажатой левой кнопкой мыши за маркер в правом нижнем углу ячейки, то </a:t>
          </a:r>
          <a:r>
            <a:rPr lang="en-US" sz="1000"/>
            <a:t>Excel </a:t>
          </a:r>
          <a:r>
            <a:rPr lang="ru-RU" sz="1000"/>
            <a:t>продолжит последовательность.</a:t>
          </a:r>
        </a:p>
        <a:p>
          <a:endParaRPr lang="ru-RU" sz="1000"/>
        </a:p>
        <a:p>
          <a:r>
            <a:rPr lang="ru-RU" sz="1000"/>
            <a:t>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a:t>
          </a:r>
        </a:p>
        <a:p>
          <a:endParaRPr lang="ru-RU" sz="1000"/>
        </a:p>
        <a:p>
          <a:r>
            <a:rPr lang="ru-RU" sz="1000"/>
            <a:t>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a:t>
          </a:r>
          <a:r>
            <a:rPr lang="en-US" sz="1000"/>
            <a:t>MS Office. </a:t>
          </a:r>
        </a:p>
        <a:p>
          <a:endParaRPr lang="en-US" sz="1000"/>
        </a:p>
        <a:p>
          <a:r>
            <a:rPr lang="ru-RU" sz="1000"/>
            <a:t>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a:t>
          </a:r>
          <a:r>
            <a:rPr lang="en-US" sz="1000"/>
            <a:t>Enter </a:t>
          </a:r>
          <a:r>
            <a:rPr lang="ru-RU" sz="1000"/>
            <a:t>и перейти к следующей строке. В примере мы ввели четыре буквы “Теле” и слово было дописано автоматически: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157490</xdr:colOff>
      <xdr:row>1</xdr:row>
      <xdr:rowOff>133126</xdr:rowOff>
    </xdr:from>
    <xdr:to>
      <xdr:col>11</xdr:col>
      <xdr:colOff>135079</xdr:colOff>
      <xdr:row>9</xdr:row>
      <xdr:rowOff>160020</xdr:rowOff>
    </xdr:to>
    <xdr:sp macro="" textlink="">
      <xdr:nvSpPr>
        <xdr:cNvPr id="2" name="TextBox 1">
          <a:extLst>
            <a:ext uri="{FF2B5EF4-FFF2-40B4-BE49-F238E27FC236}">
              <a16:creationId xmlns:a16="http://schemas.microsoft.com/office/drawing/2014/main" id="{88FB2290-1BED-4465-97E6-10FFFFF94648}"/>
            </a:ext>
          </a:extLst>
        </xdr:cNvPr>
        <xdr:cNvSpPr txBox="1"/>
      </xdr:nvSpPr>
      <xdr:spPr>
        <a:xfrm>
          <a:off x="14345930" y="331246"/>
          <a:ext cx="5921189" cy="1779494"/>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2400"/>
            <a:t>1 Поменять "обложка" на "переплет"</a:t>
          </a:r>
        </a:p>
        <a:p>
          <a:r>
            <a:rPr lang="ru-RU" sz="2400"/>
            <a:t>2 Убрать</a:t>
          </a:r>
          <a:r>
            <a:rPr lang="ru-RU" sz="2400" baseline="0"/>
            <a:t> все в скобках</a:t>
          </a:r>
        </a:p>
        <a:p>
          <a:r>
            <a:rPr lang="ru-RU" sz="2400" baseline="0"/>
            <a:t>3 Поменять первые два знака в коде на нули</a:t>
          </a:r>
          <a:endParaRPr lang="ru-RU" sz="24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44F6-DDE0-49FF-960B-8B6DEB5D982E}">
  <sheetPr>
    <tabColor rgb="FF00B0F0"/>
  </sheetPr>
  <dimension ref="A1:A42"/>
  <sheetViews>
    <sheetView workbookViewId="0">
      <pane ySplit="1" topLeftCell="A2" activePane="bottomLeft" state="frozen"/>
      <selection pane="bottomLeft" activeCell="A2" sqref="A2"/>
    </sheetView>
  </sheetViews>
  <sheetFormatPr defaultRowHeight="13.2" x14ac:dyDescent="0.25"/>
  <cols>
    <col min="1" max="1" width="19.109375" bestFit="1" customWidth="1"/>
  </cols>
  <sheetData>
    <row r="1" spans="1:1" ht="15" thickBot="1" x14ac:dyDescent="0.35">
      <c r="A1" s="16" t="s">
        <v>7</v>
      </c>
    </row>
    <row r="2" spans="1:1" ht="13.8" x14ac:dyDescent="0.25">
      <c r="A2" s="29" t="s">
        <v>10</v>
      </c>
    </row>
    <row r="3" spans="1:1" ht="13.8" x14ac:dyDescent="0.25">
      <c r="A3" s="29" t="s">
        <v>11</v>
      </c>
    </row>
    <row r="4" spans="1:1" ht="13.8" x14ac:dyDescent="0.25">
      <c r="A4" s="29" t="s">
        <v>13</v>
      </c>
    </row>
    <row r="5" spans="1:1" ht="13.8" x14ac:dyDescent="0.25">
      <c r="A5" s="29" t="s">
        <v>15</v>
      </c>
    </row>
    <row r="6" spans="1:1" ht="13.8" x14ac:dyDescent="0.25">
      <c r="A6" s="29" t="s">
        <v>16</v>
      </c>
    </row>
    <row r="7" spans="1:1" ht="13.8" x14ac:dyDescent="0.25">
      <c r="A7" s="29" t="s">
        <v>17</v>
      </c>
    </row>
    <row r="8" spans="1:1" ht="13.8" x14ac:dyDescent="0.25">
      <c r="A8" s="29" t="s">
        <v>19</v>
      </c>
    </row>
    <row r="9" spans="1:1" ht="13.8" x14ac:dyDescent="0.25">
      <c r="A9" s="29" t="s">
        <v>21</v>
      </c>
    </row>
    <row r="10" spans="1:1" ht="13.8" x14ac:dyDescent="0.25">
      <c r="A10" s="29" t="s">
        <v>23</v>
      </c>
    </row>
    <row r="11" spans="1:1" ht="13.8" x14ac:dyDescent="0.25">
      <c r="A11" s="29" t="s">
        <v>24</v>
      </c>
    </row>
    <row r="12" spans="1:1" ht="13.8" x14ac:dyDescent="0.25">
      <c r="A12" s="29" t="s">
        <v>26</v>
      </c>
    </row>
    <row r="13" spans="1:1" ht="13.8" x14ac:dyDescent="0.25">
      <c r="A13" s="29" t="s">
        <v>28</v>
      </c>
    </row>
    <row r="14" spans="1:1" ht="13.8" x14ac:dyDescent="0.25">
      <c r="A14" s="29" t="s">
        <v>29</v>
      </c>
    </row>
    <row r="15" spans="1:1" ht="13.8" x14ac:dyDescent="0.25">
      <c r="A15" s="29" t="s">
        <v>31</v>
      </c>
    </row>
    <row r="16" spans="1:1" ht="13.8" x14ac:dyDescent="0.25">
      <c r="A16" s="29" t="s">
        <v>33</v>
      </c>
    </row>
    <row r="17" spans="1:1" ht="13.8" x14ac:dyDescent="0.25">
      <c r="A17" s="29" t="s">
        <v>34</v>
      </c>
    </row>
    <row r="18" spans="1:1" ht="13.8" x14ac:dyDescent="0.25">
      <c r="A18" s="29" t="s">
        <v>36</v>
      </c>
    </row>
    <row r="19" spans="1:1" ht="13.8" x14ac:dyDescent="0.25">
      <c r="A19" s="29" t="s">
        <v>37</v>
      </c>
    </row>
    <row r="20" spans="1:1" ht="13.8" x14ac:dyDescent="0.25">
      <c r="A20" s="29" t="s">
        <v>39</v>
      </c>
    </row>
    <row r="21" spans="1:1" ht="13.8" x14ac:dyDescent="0.25">
      <c r="A21" s="29" t="s">
        <v>40</v>
      </c>
    </row>
    <row r="22" spans="1:1" ht="13.8" x14ac:dyDescent="0.25">
      <c r="A22" s="29" t="s">
        <v>42</v>
      </c>
    </row>
    <row r="23" spans="1:1" ht="13.8" x14ac:dyDescent="0.25">
      <c r="A23" s="29" t="s">
        <v>43</v>
      </c>
    </row>
    <row r="24" spans="1:1" ht="13.8" x14ac:dyDescent="0.25">
      <c r="A24" s="29" t="s">
        <v>45</v>
      </c>
    </row>
    <row r="25" spans="1:1" ht="13.8" x14ac:dyDescent="0.25">
      <c r="A25" s="29" t="s">
        <v>47</v>
      </c>
    </row>
    <row r="26" spans="1:1" ht="13.8" x14ac:dyDescent="0.25">
      <c r="A26" s="29" t="s">
        <v>49</v>
      </c>
    </row>
    <row r="27" spans="1:1" ht="13.8" x14ac:dyDescent="0.25">
      <c r="A27" s="29" t="s">
        <v>50</v>
      </c>
    </row>
    <row r="28" spans="1:1" ht="13.8" x14ac:dyDescent="0.25">
      <c r="A28" s="29" t="s">
        <v>52</v>
      </c>
    </row>
    <row r="29" spans="1:1" ht="13.8" x14ac:dyDescent="0.25">
      <c r="A29" s="29" t="s">
        <v>53</v>
      </c>
    </row>
    <row r="30" spans="1:1" ht="13.8" x14ac:dyDescent="0.25">
      <c r="A30" s="29" t="s">
        <v>55</v>
      </c>
    </row>
    <row r="31" spans="1:1" ht="13.8" x14ac:dyDescent="0.25">
      <c r="A31" s="29" t="s">
        <v>57</v>
      </c>
    </row>
    <row r="32" spans="1:1" ht="13.8" x14ac:dyDescent="0.25">
      <c r="A32" s="29" t="s">
        <v>58</v>
      </c>
    </row>
    <row r="33" spans="1:1" ht="13.8" x14ac:dyDescent="0.25">
      <c r="A33" s="29" t="s">
        <v>60</v>
      </c>
    </row>
    <row r="34" spans="1:1" ht="13.8" x14ac:dyDescent="0.25">
      <c r="A34" s="29" t="s">
        <v>61</v>
      </c>
    </row>
    <row r="35" spans="1:1" ht="13.8" x14ac:dyDescent="0.25">
      <c r="A35" s="29" t="s">
        <v>63</v>
      </c>
    </row>
    <row r="36" spans="1:1" ht="13.8" x14ac:dyDescent="0.25">
      <c r="A36" s="29" t="s">
        <v>64</v>
      </c>
    </row>
    <row r="37" spans="1:1" ht="13.8" x14ac:dyDescent="0.25">
      <c r="A37" s="29" t="s">
        <v>66</v>
      </c>
    </row>
    <row r="38" spans="1:1" ht="13.8" x14ac:dyDescent="0.25">
      <c r="A38" s="29" t="s">
        <v>67</v>
      </c>
    </row>
    <row r="39" spans="1:1" ht="13.8" x14ac:dyDescent="0.25">
      <c r="A39" s="29" t="s">
        <v>68</v>
      </c>
    </row>
    <row r="40" spans="1:1" ht="13.8" x14ac:dyDescent="0.25">
      <c r="A40" s="29" t="s">
        <v>69</v>
      </c>
    </row>
    <row r="41" spans="1:1" ht="13.8" x14ac:dyDescent="0.25">
      <c r="A41" s="29" t="s">
        <v>70</v>
      </c>
    </row>
    <row r="42" spans="1:1" ht="13.8" x14ac:dyDescent="0.25">
      <c r="A42" s="29" t="s">
        <v>71</v>
      </c>
    </row>
  </sheetData>
  <pageMargins left="0.7" right="0.7" top="0.75" bottom="0.75" header="0.3" footer="0.3"/>
  <ignoredErrors>
    <ignoredError sqref="A2:A4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4FC-5B83-446E-AB5A-38D9557A04D2}">
  <dimension ref="A1:E17"/>
  <sheetViews>
    <sheetView workbookViewId="0">
      <selection activeCell="F18" sqref="F18"/>
    </sheetView>
  </sheetViews>
  <sheetFormatPr defaultRowHeight="13.2" x14ac:dyDescent="0.25"/>
  <cols>
    <col min="2" max="2" width="15" bestFit="1" customWidth="1"/>
  </cols>
  <sheetData>
    <row r="1" spans="1:5" ht="15" thickBot="1" x14ac:dyDescent="0.35">
      <c r="A1" s="16" t="s">
        <v>893</v>
      </c>
      <c r="B1" s="16" t="s">
        <v>894</v>
      </c>
      <c r="C1" s="16" t="s">
        <v>895</v>
      </c>
    </row>
    <row r="2" spans="1:5" x14ac:dyDescent="0.25">
      <c r="A2" t="s">
        <v>896</v>
      </c>
      <c r="B2" s="14">
        <v>20000</v>
      </c>
      <c r="C2" s="14">
        <v>22834</v>
      </c>
    </row>
    <row r="3" spans="1:5" x14ac:dyDescent="0.25">
      <c r="A3" t="s">
        <v>897</v>
      </c>
      <c r="B3" s="14">
        <v>20000</v>
      </c>
      <c r="C3" s="14">
        <v>20897</v>
      </c>
    </row>
    <row r="4" spans="1:5" x14ac:dyDescent="0.25">
      <c r="A4" t="s">
        <v>898</v>
      </c>
      <c r="B4" s="14">
        <v>25000</v>
      </c>
      <c r="C4" s="14">
        <v>21177</v>
      </c>
    </row>
    <row r="5" spans="1:5" x14ac:dyDescent="0.25">
      <c r="A5" t="s">
        <v>899</v>
      </c>
      <c r="B5" s="14">
        <v>30000</v>
      </c>
      <c r="C5" s="14">
        <v>28610</v>
      </c>
    </row>
    <row r="6" spans="1:5" x14ac:dyDescent="0.25">
      <c r="A6" t="s">
        <v>900</v>
      </c>
      <c r="B6" s="14">
        <v>30000</v>
      </c>
      <c r="C6" s="14">
        <v>29355</v>
      </c>
    </row>
    <row r="7" spans="1:5" x14ac:dyDescent="0.25">
      <c r="A7" t="s">
        <v>901</v>
      </c>
      <c r="B7" s="14">
        <v>25000</v>
      </c>
      <c r="C7" s="14">
        <v>22589</v>
      </c>
    </row>
    <row r="8" spans="1:5" x14ac:dyDescent="0.25">
      <c r="A8" t="s">
        <v>902</v>
      </c>
      <c r="B8" s="14">
        <v>25000</v>
      </c>
      <c r="C8" s="14">
        <v>28084</v>
      </c>
    </row>
    <row r="9" spans="1:5" x14ac:dyDescent="0.25">
      <c r="A9" t="s">
        <v>903</v>
      </c>
      <c r="B9" s="14">
        <v>30000</v>
      </c>
      <c r="C9" s="14">
        <v>31857</v>
      </c>
    </row>
    <row r="10" spans="1:5" x14ac:dyDescent="0.25">
      <c r="A10" t="s">
        <v>904</v>
      </c>
      <c r="B10" s="14">
        <v>45000</v>
      </c>
      <c r="C10" s="14">
        <v>43288</v>
      </c>
    </row>
    <row r="11" spans="1:5" x14ac:dyDescent="0.25">
      <c r="A11" t="s">
        <v>905</v>
      </c>
      <c r="B11" s="14">
        <v>45000</v>
      </c>
      <c r="C11" s="14">
        <v>48352</v>
      </c>
    </row>
    <row r="12" spans="1:5" x14ac:dyDescent="0.25">
      <c r="A12" t="s">
        <v>906</v>
      </c>
      <c r="B12" s="14">
        <v>50000</v>
      </c>
      <c r="C12" s="14">
        <v>53224</v>
      </c>
    </row>
    <row r="13" spans="1:5" x14ac:dyDescent="0.25">
      <c r="A13" t="s">
        <v>907</v>
      </c>
      <c r="B13" s="26" t="s">
        <v>1375</v>
      </c>
      <c r="C13" s="14">
        <v>38485</v>
      </c>
    </row>
    <row r="14" spans="1:5" x14ac:dyDescent="0.25">
      <c r="E14" s="27" t="s">
        <v>1377</v>
      </c>
    </row>
    <row r="15" spans="1:5" x14ac:dyDescent="0.25">
      <c r="B15" s="27"/>
      <c r="C15" s="15"/>
      <c r="E15" s="15">
        <f>SUM(C2:C13)</f>
        <v>388752</v>
      </c>
    </row>
    <row r="16" spans="1:5" x14ac:dyDescent="0.25">
      <c r="B16" s="27" t="s">
        <v>1376</v>
      </c>
      <c r="C16" s="15">
        <f>SUM(C2:C13)</f>
        <v>388752</v>
      </c>
    </row>
    <row r="17" spans="2:2" x14ac:dyDescent="0.25">
      <c r="B17" s="15">
        <f>SUM(B2:B13)</f>
        <v>345000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6"/>
  <sheetViews>
    <sheetView workbookViewId="0">
      <pane ySplit="1" topLeftCell="A2" activePane="bottomLeft" state="frozen"/>
      <selection pane="bottomLeft" activeCell="E2" sqref="E2"/>
    </sheetView>
  </sheetViews>
  <sheetFormatPr defaultColWidth="14.44140625" defaultRowHeight="15.75" customHeight="1" x14ac:dyDescent="0.25"/>
  <cols>
    <col min="1" max="1" width="40.5546875" customWidth="1"/>
    <col min="2" max="2" width="29.88671875" bestFit="1" customWidth="1"/>
    <col min="3" max="3" width="38.6640625" bestFit="1" customWidth="1"/>
    <col min="4" max="4" width="30.88671875" bestFit="1" customWidth="1"/>
    <col min="5" max="5" width="31" bestFit="1" customWidth="1"/>
  </cols>
  <sheetData>
    <row r="1" spans="1:5" ht="15.75" customHeight="1" thickBot="1" x14ac:dyDescent="0.35">
      <c r="A1" s="2"/>
      <c r="B1" s="16" t="s">
        <v>0</v>
      </c>
      <c r="C1" s="16" t="s">
        <v>1</v>
      </c>
      <c r="D1" s="16" t="s">
        <v>2</v>
      </c>
      <c r="E1" s="16" t="s">
        <v>132</v>
      </c>
    </row>
    <row r="2" spans="1:5" ht="15.75" customHeight="1" x14ac:dyDescent="0.25">
      <c r="A2" s="12" t="s">
        <v>1314</v>
      </c>
      <c r="B2" s="1" t="str">
        <f>LOWER(A2)</f>
        <v xml:space="preserve">гареев  кондратий севастьянович  </v>
      </c>
      <c r="C2" s="2" t="str">
        <f>UPPER(A2)</f>
        <v xml:space="preserve">ГАРЕЕВ  КОНДРАТИЙ СЕВАСТЬЯНОВИЧ  </v>
      </c>
      <c r="D2" s="2" t="str">
        <f>PROPER(A2)</f>
        <v xml:space="preserve">Гареев  Кондратий Севастьянович  </v>
      </c>
      <c r="E2" t="str">
        <f>TRIM(D2)</f>
        <v>Гареев Кондратий Севастьянович</v>
      </c>
    </row>
    <row r="3" spans="1:5" ht="15.75" customHeight="1" x14ac:dyDescent="0.25">
      <c r="A3" s="12" t="s">
        <v>131</v>
      </c>
      <c r="B3" s="1" t="str">
        <f t="shared" ref="B3:B36" si="0">LOWER(A3)</f>
        <v>яганов тарас  никифорович</v>
      </c>
      <c r="C3" s="2" t="str">
        <f t="shared" ref="C3:C36" si="1">UPPER(A3)</f>
        <v>ЯГАНОВ ТАРАС  НИКИФОРОВИЧ</v>
      </c>
      <c r="D3" s="2" t="str">
        <f t="shared" ref="D3:D36" si="2">PROPER(A3)</f>
        <v>Яганов Тарас  Никифорович</v>
      </c>
      <c r="E3" t="str">
        <f t="shared" ref="E3:E36" si="3">TRIM(D3)</f>
        <v>Яганов Тарас Никифорович</v>
      </c>
    </row>
    <row r="4" spans="1:5" ht="15.75" customHeight="1" x14ac:dyDescent="0.25">
      <c r="A4" s="12" t="s">
        <v>130</v>
      </c>
      <c r="B4" s="1" t="str">
        <f t="shared" si="0"/>
        <v>валюхова валентина   карповна</v>
      </c>
      <c r="C4" s="2" t="str">
        <f t="shared" si="1"/>
        <v>ВАЛЮХОВА ВАЛЕНТИНА   КАРПОВНА</v>
      </c>
      <c r="D4" s="2" t="str">
        <f t="shared" si="2"/>
        <v>Валюхова Валентина   Карповна</v>
      </c>
      <c r="E4" t="str">
        <f t="shared" si="3"/>
        <v>Валюхова Валентина Карповна</v>
      </c>
    </row>
    <row r="5" spans="1:5" ht="15.75" customHeight="1" x14ac:dyDescent="0.25">
      <c r="A5" s="11" t="s">
        <v>1309</v>
      </c>
      <c r="B5" s="1" t="str">
        <f t="shared" si="0"/>
        <v>чашин никон    панкратиевич</v>
      </c>
      <c r="C5" s="2" t="str">
        <f t="shared" si="1"/>
        <v>ЧАШИН НИКОН    ПАНКРАТИЕВИЧ</v>
      </c>
      <c r="D5" s="2" t="str">
        <f t="shared" si="2"/>
        <v>Чашин Никон    Панкратиевич</v>
      </c>
      <c r="E5" t="str">
        <f t="shared" si="3"/>
        <v>Чашин Никон Панкратиевич</v>
      </c>
    </row>
    <row r="6" spans="1:5" ht="15.75" customHeight="1" x14ac:dyDescent="0.25">
      <c r="A6" s="11" t="s">
        <v>1313</v>
      </c>
      <c r="B6" s="1" t="str">
        <f t="shared" si="0"/>
        <v>дрёмин   василий самуилович</v>
      </c>
      <c r="C6" s="2" t="str">
        <f t="shared" si="1"/>
        <v>ДРЁМИН   ВАСИЛИЙ САМУИЛОВИЧ</v>
      </c>
      <c r="D6" s="2" t="str">
        <f t="shared" si="2"/>
        <v>Дрёмин   Василий Самуилович</v>
      </c>
      <c r="E6" t="str">
        <f t="shared" si="3"/>
        <v>Дрёмин Василий Самуилович</v>
      </c>
    </row>
    <row r="7" spans="1:5" ht="15.75" customHeight="1" x14ac:dyDescent="0.25">
      <c r="A7" t="s">
        <v>104</v>
      </c>
      <c r="B7" s="1" t="str">
        <f t="shared" si="0"/>
        <v>ямалетдинова арина семеновна</v>
      </c>
      <c r="C7" s="2" t="str">
        <f t="shared" si="1"/>
        <v>ЯМАЛЕТДИНОВА АРИНА СЕМЕНОВНА</v>
      </c>
      <c r="D7" s="2" t="str">
        <f t="shared" si="2"/>
        <v>Ямалетдинова Арина Семеновна</v>
      </c>
      <c r="E7" t="str">
        <f t="shared" si="3"/>
        <v>Ямалетдинова Арина Семеновна</v>
      </c>
    </row>
    <row r="8" spans="1:5" ht="15.75" customHeight="1" x14ac:dyDescent="0.25">
      <c r="A8" t="s">
        <v>105</v>
      </c>
      <c r="B8" s="1" t="str">
        <f t="shared" si="0"/>
        <v>миронов савелий тихонович</v>
      </c>
      <c r="C8" s="2" t="str">
        <f t="shared" si="1"/>
        <v>МИРОНОВ САВЕЛИЙ ТИХОНОВИЧ</v>
      </c>
      <c r="D8" s="2" t="str">
        <f t="shared" si="2"/>
        <v>Миронов Савелий Тихонович</v>
      </c>
      <c r="E8" t="str">
        <f t="shared" si="3"/>
        <v>Миронов Савелий Тихонович</v>
      </c>
    </row>
    <row r="9" spans="1:5" ht="15.75" customHeight="1" x14ac:dyDescent="0.25">
      <c r="A9" t="s">
        <v>106</v>
      </c>
      <c r="B9" s="1" t="str">
        <f t="shared" si="0"/>
        <v>челомей андрей елисеевич</v>
      </c>
      <c r="C9" s="2" t="str">
        <f t="shared" si="1"/>
        <v>ЧЕЛОМЕЙ АНДРЕЙ ЕЛИСЕЕВИЧ</v>
      </c>
      <c r="D9" s="2" t="str">
        <f t="shared" si="2"/>
        <v>Челомей Андрей Елисеевич</v>
      </c>
      <c r="E9" t="str">
        <f t="shared" si="3"/>
        <v>Челомей Андрей Елисеевич</v>
      </c>
    </row>
    <row r="10" spans="1:5" ht="15.75" customHeight="1" x14ac:dyDescent="0.25">
      <c r="A10" t="s">
        <v>1310</v>
      </c>
      <c r="B10" s="1" t="str">
        <f t="shared" si="0"/>
        <v>фанина любовь мироновна</v>
      </c>
      <c r="C10" s="2" t="str">
        <f t="shared" si="1"/>
        <v>ФАНИНА ЛЮБОВЬ МИРОНОВНА</v>
      </c>
      <c r="D10" s="2" t="str">
        <f t="shared" si="2"/>
        <v>Фанина Любовь Мироновна</v>
      </c>
      <c r="E10" t="str">
        <f t="shared" si="3"/>
        <v>Фанина Любовь Мироновна</v>
      </c>
    </row>
    <row r="11" spans="1:5" ht="15.75" customHeight="1" x14ac:dyDescent="0.25">
      <c r="A11" t="s">
        <v>107</v>
      </c>
      <c r="B11" s="1" t="str">
        <f t="shared" si="0"/>
        <v>тетерев серафим фролович</v>
      </c>
      <c r="C11" s="2" t="str">
        <f t="shared" si="1"/>
        <v>ТЕТЕРЕВ СЕРАФИМ ФРОЛОВИЧ</v>
      </c>
      <c r="D11" s="2" t="str">
        <f t="shared" si="2"/>
        <v>Тетерев Серафим Фролович</v>
      </c>
      <c r="E11" t="str">
        <f t="shared" si="3"/>
        <v>Тетерев Серафим Фролович</v>
      </c>
    </row>
    <row r="12" spans="1:5" ht="15.75" customHeight="1" x14ac:dyDescent="0.25">
      <c r="A12" t="s">
        <v>108</v>
      </c>
      <c r="B12" s="1" t="str">
        <f t="shared" si="0"/>
        <v>рябоконь никифор феликсович</v>
      </c>
      <c r="C12" s="2" t="str">
        <f t="shared" si="1"/>
        <v>РЯБОКОНЬ НИКИФОР ФЕЛИКСОВИЧ</v>
      </c>
      <c r="D12" s="2" t="str">
        <f t="shared" si="2"/>
        <v>Рябоконь Никифор Феликсович</v>
      </c>
      <c r="E12" t="str">
        <f t="shared" si="3"/>
        <v>Рябоконь Никифор Феликсович</v>
      </c>
    </row>
    <row r="13" spans="1:5" ht="15.75" customHeight="1" x14ac:dyDescent="0.25">
      <c r="A13" t="s">
        <v>109</v>
      </c>
      <c r="B13" s="1" t="str">
        <f t="shared" si="0"/>
        <v>зверева эвелина данииловна</v>
      </c>
      <c r="C13" s="2" t="str">
        <f t="shared" si="1"/>
        <v>ЗВЕРЕВА ЭВЕЛИНА ДАНИИЛОВНА</v>
      </c>
      <c r="D13" s="2" t="str">
        <f t="shared" si="2"/>
        <v>Зверева Эвелина Данииловна</v>
      </c>
      <c r="E13" t="str">
        <f t="shared" si="3"/>
        <v>Зверева Эвелина Данииловна</v>
      </c>
    </row>
    <row r="14" spans="1:5" ht="15.75" customHeight="1" x14ac:dyDescent="0.25">
      <c r="A14" t="s">
        <v>110</v>
      </c>
      <c r="B14" s="1" t="str">
        <f t="shared" si="0"/>
        <v>нестеров василий демьянович</v>
      </c>
      <c r="C14" s="2" t="str">
        <f t="shared" si="1"/>
        <v>НЕСТЕРОВ ВАСИЛИЙ ДЕМЬЯНОВИЧ</v>
      </c>
      <c r="D14" s="2" t="str">
        <f t="shared" si="2"/>
        <v>Нестеров Василий Демьянович</v>
      </c>
      <c r="E14" t="str">
        <f t="shared" si="3"/>
        <v>Нестеров Василий Демьянович</v>
      </c>
    </row>
    <row r="15" spans="1:5" ht="15.75" customHeight="1" x14ac:dyDescent="0.25">
      <c r="A15" t="s">
        <v>111</v>
      </c>
      <c r="B15" s="1" t="str">
        <f t="shared" si="0"/>
        <v>бабичев терентий тимурович</v>
      </c>
      <c r="C15" s="2" t="str">
        <f t="shared" si="1"/>
        <v>БАБИЧЕВ ТЕРЕНТИЙ ТИМУРОВИЧ</v>
      </c>
      <c r="D15" s="2" t="str">
        <f t="shared" si="2"/>
        <v>Бабичев Терентий Тимурович</v>
      </c>
      <c r="E15" t="str">
        <f t="shared" si="3"/>
        <v>Бабичев Терентий Тимурович</v>
      </c>
    </row>
    <row r="16" spans="1:5" ht="15.75" customHeight="1" x14ac:dyDescent="0.25">
      <c r="A16" t="s">
        <v>1311</v>
      </c>
      <c r="B16" s="1" t="str">
        <f t="shared" si="0"/>
        <v>буланов артемий тарасович</v>
      </c>
      <c r="C16" s="2" t="str">
        <f t="shared" si="1"/>
        <v>БУЛАНОВ АРТЕМИЙ ТАРАСОВИЧ</v>
      </c>
      <c r="D16" s="2" t="str">
        <f t="shared" si="2"/>
        <v>Буланов Артемий Тарасович</v>
      </c>
      <c r="E16" t="str">
        <f t="shared" si="3"/>
        <v>Буланов Артемий Тарасович</v>
      </c>
    </row>
    <row r="17" spans="1:5" ht="15.75" customHeight="1" x14ac:dyDescent="0.25">
      <c r="A17" t="s">
        <v>112</v>
      </c>
      <c r="B17" s="1" t="str">
        <f t="shared" si="0"/>
        <v>бурцева наталия емельяновна</v>
      </c>
      <c r="C17" s="2" t="str">
        <f t="shared" si="1"/>
        <v>БУРЦЕВА НАТАЛИЯ ЕМЕЛЬЯНОВНА</v>
      </c>
      <c r="D17" s="2" t="str">
        <f t="shared" si="2"/>
        <v>Бурцева Наталия Емельяновна</v>
      </c>
      <c r="E17" t="str">
        <f t="shared" si="3"/>
        <v>Бурцева Наталия Емельяновна</v>
      </c>
    </row>
    <row r="18" spans="1:5" ht="15.75" customHeight="1" x14ac:dyDescent="0.25">
      <c r="A18" t="s">
        <v>113</v>
      </c>
      <c r="B18" s="1" t="str">
        <f t="shared" si="0"/>
        <v>мышелова агафья иосифовна</v>
      </c>
      <c r="C18" s="2" t="str">
        <f t="shared" si="1"/>
        <v>МЫШЕЛОВА АГАФЬЯ ИОСИФОВНА</v>
      </c>
      <c r="D18" s="2" t="str">
        <f t="shared" si="2"/>
        <v>Мышелова Агафья Иосифовна</v>
      </c>
      <c r="E18" t="str">
        <f t="shared" si="3"/>
        <v>Мышелова Агафья Иосифовна</v>
      </c>
    </row>
    <row r="19" spans="1:5" ht="15.75" customHeight="1" x14ac:dyDescent="0.25">
      <c r="A19" t="s">
        <v>1312</v>
      </c>
      <c r="B19" s="1" t="str">
        <f t="shared" si="0"/>
        <v>бодрова юнона всеволодовна</v>
      </c>
      <c r="C19" s="2" t="str">
        <f t="shared" si="1"/>
        <v>БОДРОВА ЮНОНА ВСЕВОЛОДОВНА</v>
      </c>
      <c r="D19" s="2" t="str">
        <f t="shared" si="2"/>
        <v>Бодрова Юнона Всеволодовна</v>
      </c>
      <c r="E19" t="str">
        <f t="shared" si="3"/>
        <v>Бодрова Юнона Всеволодовна</v>
      </c>
    </row>
    <row r="20" spans="1:5" ht="15.75" customHeight="1" x14ac:dyDescent="0.25">
      <c r="A20" t="s">
        <v>114</v>
      </c>
      <c r="B20" s="1" t="str">
        <f t="shared" si="0"/>
        <v>януть осип денисович</v>
      </c>
      <c r="C20" s="2" t="str">
        <f t="shared" si="1"/>
        <v>ЯНУТЬ ОСИП ДЕНИСОВИЧ</v>
      </c>
      <c r="D20" s="2" t="str">
        <f t="shared" si="2"/>
        <v>Януть Осип Денисович</v>
      </c>
      <c r="E20" t="str">
        <f t="shared" si="3"/>
        <v>Януть Осип Денисович</v>
      </c>
    </row>
    <row r="21" spans="1:5" ht="15.75" customHeight="1" x14ac:dyDescent="0.25">
      <c r="A21" t="s">
        <v>115</v>
      </c>
      <c r="B21" s="1" t="str">
        <f t="shared" si="0"/>
        <v>воробьева мирослава романовна</v>
      </c>
      <c r="C21" s="2" t="str">
        <f t="shared" si="1"/>
        <v>ВОРОБЬЕВА МИРОСЛАВА РОМАНОВНА</v>
      </c>
      <c r="D21" s="2" t="str">
        <f t="shared" si="2"/>
        <v>Воробьева Мирослава Романовна</v>
      </c>
      <c r="E21" t="str">
        <f t="shared" si="3"/>
        <v>Воробьева Мирослава Романовна</v>
      </c>
    </row>
    <row r="22" spans="1:5" ht="15.75" customHeight="1" x14ac:dyDescent="0.25">
      <c r="A22" t="s">
        <v>116</v>
      </c>
      <c r="B22" s="1" t="str">
        <f t="shared" si="0"/>
        <v>лаер авдей мирославович</v>
      </c>
      <c r="C22" s="2" t="str">
        <f t="shared" si="1"/>
        <v>ЛАЕР АВДЕЙ МИРОСЛАВОВИЧ</v>
      </c>
      <c r="D22" s="2" t="str">
        <f t="shared" si="2"/>
        <v>Лаер Авдей Мирославович</v>
      </c>
      <c r="E22" t="str">
        <f t="shared" si="3"/>
        <v>Лаер Авдей Мирославович</v>
      </c>
    </row>
    <row r="23" spans="1:5" ht="15.75" customHeight="1" x14ac:dyDescent="0.25">
      <c r="A23" t="s">
        <v>117</v>
      </c>
      <c r="B23" s="1" t="str">
        <f t="shared" si="0"/>
        <v>лебедева екатерина тимофеевна</v>
      </c>
      <c r="C23" s="2" t="str">
        <f t="shared" si="1"/>
        <v>ЛЕБЕДЕВА ЕКАТЕРИНА ТИМОФЕЕВНА</v>
      </c>
      <c r="D23" s="2" t="str">
        <f t="shared" si="2"/>
        <v>Лебедева Екатерина Тимофеевна</v>
      </c>
      <c r="E23" t="str">
        <f t="shared" si="3"/>
        <v>Лебедева Екатерина Тимофеевна</v>
      </c>
    </row>
    <row r="24" spans="1:5" ht="15.75" customHeight="1" x14ac:dyDescent="0.25">
      <c r="A24" s="11" t="s">
        <v>128</v>
      </c>
      <c r="B24" s="1" t="str">
        <f t="shared" si="0"/>
        <v xml:space="preserve">ржевский артемий михаилович    </v>
      </c>
      <c r="C24" s="2" t="str">
        <f t="shared" si="1"/>
        <v xml:space="preserve">РЖЕВСКИЙ АРТЕМИЙ МИХАИЛОВИЧ    </v>
      </c>
      <c r="D24" s="2" t="str">
        <f t="shared" si="2"/>
        <v xml:space="preserve">Ржевский Артемий Михаилович    </v>
      </c>
      <c r="E24" t="str">
        <f t="shared" si="3"/>
        <v>Ржевский Артемий Михаилович</v>
      </c>
    </row>
    <row r="25" spans="1:5" ht="15.75" customHeight="1" x14ac:dyDescent="0.25">
      <c r="A25" t="s">
        <v>118</v>
      </c>
      <c r="B25" s="1" t="str">
        <f t="shared" si="0"/>
        <v>слобожанина нина всеволодовна</v>
      </c>
      <c r="C25" s="2" t="str">
        <f t="shared" si="1"/>
        <v>СЛОБОЖАНИНА НИНА ВСЕВОЛОДОВНА</v>
      </c>
      <c r="D25" s="2" t="str">
        <f t="shared" si="2"/>
        <v>Слобожанина Нина Всеволодовна</v>
      </c>
      <c r="E25" t="str">
        <f t="shared" si="3"/>
        <v>Слобожанина Нина Всеволодовна</v>
      </c>
    </row>
    <row r="26" spans="1:5" ht="15.75" customHeight="1" x14ac:dyDescent="0.25">
      <c r="A26" s="11" t="s">
        <v>129</v>
      </c>
      <c r="B26" s="1" t="str">
        <f t="shared" si="0"/>
        <v xml:space="preserve">   илюшина вера борисовна</v>
      </c>
      <c r="C26" s="2" t="str">
        <f t="shared" si="1"/>
        <v xml:space="preserve">   ИЛЮШИНА ВЕРА БОРИСОВНА</v>
      </c>
      <c r="D26" s="2" t="str">
        <f t="shared" si="2"/>
        <v xml:space="preserve">   Илюшина Вера Борисовна</v>
      </c>
      <c r="E26" t="str">
        <f t="shared" si="3"/>
        <v>Илюшина Вера Борисовна</v>
      </c>
    </row>
    <row r="27" spans="1:5" ht="15.75" customHeight="1" x14ac:dyDescent="0.25">
      <c r="A27" t="s">
        <v>119</v>
      </c>
      <c r="B27" s="1" t="str">
        <f t="shared" si="0"/>
        <v>луговой регина святославовна</v>
      </c>
      <c r="C27" s="2" t="str">
        <f t="shared" si="1"/>
        <v>ЛУГОВОЙ РЕГИНА СВЯТОСЛАВОВНА</v>
      </c>
      <c r="D27" s="2" t="str">
        <f t="shared" si="2"/>
        <v>Луговой Регина Святославовна</v>
      </c>
      <c r="E27" t="str">
        <f t="shared" si="3"/>
        <v>Луговой Регина Святославовна</v>
      </c>
    </row>
    <row r="28" spans="1:5" ht="15.75" customHeight="1" x14ac:dyDescent="0.25">
      <c r="A28" t="s">
        <v>120</v>
      </c>
      <c r="B28" s="1" t="str">
        <f t="shared" si="0"/>
        <v>дунин-барковский адам юриевич</v>
      </c>
      <c r="C28" s="2" t="str">
        <f t="shared" si="1"/>
        <v>ДУНИН-БАРКОВСКИЙ АДАМ ЮРИЕВИЧ</v>
      </c>
      <c r="D28" s="2" t="str">
        <f t="shared" si="2"/>
        <v>Дунин-Барковский Адам Юриевич</v>
      </c>
      <c r="E28" t="str">
        <f t="shared" si="3"/>
        <v>Дунин-Барковский Адам Юриевич</v>
      </c>
    </row>
    <row r="29" spans="1:5" ht="15.75" customHeight="1" x14ac:dyDescent="0.25">
      <c r="A29" t="s">
        <v>121</v>
      </c>
      <c r="B29" s="1" t="str">
        <f t="shared" si="0"/>
        <v>челпанов платон демьянович</v>
      </c>
      <c r="C29" s="2" t="str">
        <f t="shared" si="1"/>
        <v>ЧЕЛПАНОВ ПЛАТОН ДЕМЬЯНОВИЧ</v>
      </c>
      <c r="D29" s="2" t="str">
        <f t="shared" si="2"/>
        <v>Челпанов Платон Демьянович</v>
      </c>
      <c r="E29" t="str">
        <f t="shared" si="3"/>
        <v>Челпанов Платон Демьянович</v>
      </c>
    </row>
    <row r="30" spans="1:5" ht="15.75" customHeight="1" x14ac:dyDescent="0.25">
      <c r="A30" t="s">
        <v>122</v>
      </c>
      <c r="B30" s="1" t="str">
        <f t="shared" si="0"/>
        <v>томсин михаил ефремович</v>
      </c>
      <c r="C30" s="2" t="str">
        <f t="shared" si="1"/>
        <v>ТОМСИН МИХАИЛ ЕФРЕМОВИЧ</v>
      </c>
      <c r="D30" s="2" t="str">
        <f t="shared" si="2"/>
        <v>Томсин Михаил Ефремович</v>
      </c>
      <c r="E30" t="str">
        <f t="shared" si="3"/>
        <v>Томсин Михаил Ефремович</v>
      </c>
    </row>
    <row r="31" spans="1:5" ht="15.75" customHeight="1" x14ac:dyDescent="0.25">
      <c r="A31" t="s">
        <v>123</v>
      </c>
      <c r="B31" s="1" t="str">
        <f t="shared" si="0"/>
        <v>игошева оксана георгиевна</v>
      </c>
      <c r="C31" s="2" t="str">
        <f t="shared" si="1"/>
        <v>ИГОШЕВА ОКСАНА ГЕОРГИЕВНА</v>
      </c>
      <c r="D31" s="2" t="str">
        <f t="shared" si="2"/>
        <v>Игошева Оксана Георгиевна</v>
      </c>
      <c r="E31" t="str">
        <f t="shared" si="3"/>
        <v>Игошева Оксана Георгиевна</v>
      </c>
    </row>
    <row r="32" spans="1:5" ht="15.75" customHeight="1" x14ac:dyDescent="0.25">
      <c r="A32" t="s">
        <v>1308</v>
      </c>
      <c r="B32" s="1" t="str">
        <f t="shared" si="0"/>
        <v>самсонов святослав потапович</v>
      </c>
      <c r="C32" s="2" t="str">
        <f t="shared" si="1"/>
        <v>САМСОНОВ СВЯТОСЛАВ ПОТАПОВИЧ</v>
      </c>
      <c r="D32" s="2" t="str">
        <f t="shared" si="2"/>
        <v>Самсонов Святослав Потапович</v>
      </c>
      <c r="E32" t="str">
        <f t="shared" si="3"/>
        <v>Самсонов Святослав Потапович</v>
      </c>
    </row>
    <row r="33" spans="1:5" ht="15.75" customHeight="1" x14ac:dyDescent="0.25">
      <c r="A33" t="s">
        <v>124</v>
      </c>
      <c r="B33" s="1" t="str">
        <f t="shared" si="0"/>
        <v>закиров алексей олегович</v>
      </c>
      <c r="C33" s="2" t="str">
        <f t="shared" si="1"/>
        <v>ЗАКИРОВ АЛЕКСЕЙ ОЛЕГОВИЧ</v>
      </c>
      <c r="D33" s="2" t="str">
        <f t="shared" si="2"/>
        <v>Закиров Алексей Олегович</v>
      </c>
      <c r="E33" t="str">
        <f t="shared" si="3"/>
        <v>Закиров Алексей Олегович</v>
      </c>
    </row>
    <row r="34" spans="1:5" ht="15.75" customHeight="1" x14ac:dyDescent="0.25">
      <c r="A34" t="s">
        <v>125</v>
      </c>
      <c r="B34" s="1" t="str">
        <f t="shared" si="0"/>
        <v>аюшиев терентий ермолаевич</v>
      </c>
      <c r="C34" s="2" t="str">
        <f t="shared" si="1"/>
        <v>АЮШИЕВ ТЕРЕНТИЙ ЕРМОЛАЕВИЧ</v>
      </c>
      <c r="D34" s="2" t="str">
        <f t="shared" si="2"/>
        <v>Аюшиев Терентий Ермолаевич</v>
      </c>
      <c r="E34" t="str">
        <f t="shared" si="3"/>
        <v>Аюшиев Терентий Ермолаевич</v>
      </c>
    </row>
    <row r="35" spans="1:5" ht="15.75" customHeight="1" x14ac:dyDescent="0.25">
      <c r="A35" t="s">
        <v>126</v>
      </c>
      <c r="B35" s="1" t="str">
        <f t="shared" si="0"/>
        <v>шапкин григорий вадимович</v>
      </c>
      <c r="C35" s="2" t="str">
        <f t="shared" si="1"/>
        <v>ШАПКИН ГРИГОРИЙ ВАДИМОВИЧ</v>
      </c>
      <c r="D35" s="2" t="str">
        <f t="shared" si="2"/>
        <v>Шапкин Григорий Вадимович</v>
      </c>
      <c r="E35" t="str">
        <f t="shared" si="3"/>
        <v>Шапкин Григорий Вадимович</v>
      </c>
    </row>
    <row r="36" spans="1:5" ht="15.75" customHeight="1" x14ac:dyDescent="0.25">
      <c r="A36" t="s">
        <v>127</v>
      </c>
      <c r="B36" s="1" t="str">
        <f t="shared" si="0"/>
        <v>савинков игорь остапович</v>
      </c>
      <c r="C36" s="2" t="str">
        <f t="shared" si="1"/>
        <v>САВИНКОВ ИГОРЬ ОСТАПОВИЧ</v>
      </c>
      <c r="D36" s="2" t="str">
        <f t="shared" si="2"/>
        <v>Савинков Игорь Остапович</v>
      </c>
      <c r="E36" t="str">
        <f t="shared" si="3"/>
        <v>Савинков Игорь Остапович</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9931-CD0F-46F9-B801-C39180D3577F}">
  <sheetPr>
    <tabColor rgb="FF00B0F0"/>
  </sheetPr>
  <dimension ref="A1:L33"/>
  <sheetViews>
    <sheetView workbookViewId="0">
      <pane ySplit="1" topLeftCell="A8" activePane="bottomLeft" state="frozen"/>
      <selection pane="bottomLeft" activeCell="G12" sqref="G12"/>
    </sheetView>
  </sheetViews>
  <sheetFormatPr defaultRowHeight="13.2" x14ac:dyDescent="0.25"/>
  <cols>
    <col min="1" max="1" width="33" bestFit="1" customWidth="1"/>
    <col min="2" max="3" width="10.88671875" bestFit="1" customWidth="1"/>
    <col min="4" max="4" width="14.44140625" bestFit="1" customWidth="1"/>
    <col min="7" max="7" width="17.21875" bestFit="1" customWidth="1"/>
    <col min="9" max="9" width="6.77734375" customWidth="1"/>
    <col min="10" max="10" width="7.5546875" customWidth="1"/>
    <col min="11" max="11" width="6.77734375" customWidth="1"/>
    <col min="12" max="12" width="6.6640625" customWidth="1"/>
  </cols>
  <sheetData>
    <row r="1" spans="1:12" ht="15" thickBot="1" x14ac:dyDescent="0.35">
      <c r="A1" s="16" t="s">
        <v>167</v>
      </c>
      <c r="B1" s="16" t="s">
        <v>1378</v>
      </c>
      <c r="C1" s="16" t="s">
        <v>1198</v>
      </c>
      <c r="D1" s="16" t="s">
        <v>1199</v>
      </c>
      <c r="G1" s="16" t="s">
        <v>168</v>
      </c>
    </row>
    <row r="2" spans="1:12" x14ac:dyDescent="0.25">
      <c r="A2" t="s">
        <v>135</v>
      </c>
      <c r="B2" s="31" t="s">
        <v>908</v>
      </c>
      <c r="C2" t="s">
        <v>909</v>
      </c>
      <c r="D2" t="s">
        <v>910</v>
      </c>
      <c r="G2" s="31" t="s">
        <v>1343</v>
      </c>
      <c r="I2" s="31">
        <v>1637</v>
      </c>
      <c r="J2" s="31">
        <v>5859</v>
      </c>
      <c r="K2" s="31">
        <v>1823</v>
      </c>
      <c r="L2" s="31">
        <v>4248</v>
      </c>
    </row>
    <row r="3" spans="1:12" x14ac:dyDescent="0.25">
      <c r="A3" t="s">
        <v>136</v>
      </c>
      <c r="B3" s="31" t="s">
        <v>911</v>
      </c>
      <c r="C3" t="s">
        <v>912</v>
      </c>
      <c r="D3" t="s">
        <v>913</v>
      </c>
      <c r="G3" s="31" t="s">
        <v>1344</v>
      </c>
      <c r="I3" s="31">
        <v>2825</v>
      </c>
      <c r="J3" s="31">
        <v>7388</v>
      </c>
      <c r="K3" s="31">
        <v>9551</v>
      </c>
      <c r="L3" s="31">
        <v>1391</v>
      </c>
    </row>
    <row r="4" spans="1:12" x14ac:dyDescent="0.25">
      <c r="A4" t="s">
        <v>137</v>
      </c>
      <c r="B4" s="31" t="s">
        <v>914</v>
      </c>
      <c r="C4" t="s">
        <v>915</v>
      </c>
      <c r="D4" t="s">
        <v>916</v>
      </c>
      <c r="G4" s="31" t="s">
        <v>1345</v>
      </c>
      <c r="I4" s="31">
        <v>8524</v>
      </c>
      <c r="J4" s="31">
        <v>2695</v>
      </c>
      <c r="K4" s="31">
        <v>5991</v>
      </c>
      <c r="L4" s="31">
        <v>6833</v>
      </c>
    </row>
    <row r="5" spans="1:12" x14ac:dyDescent="0.25">
      <c r="A5" t="s">
        <v>138</v>
      </c>
      <c r="B5" s="31" t="s">
        <v>917</v>
      </c>
      <c r="C5" t="s">
        <v>918</v>
      </c>
      <c r="D5" t="s">
        <v>919</v>
      </c>
      <c r="G5" s="31" t="s">
        <v>1346</v>
      </c>
      <c r="I5" s="31">
        <v>1497</v>
      </c>
      <c r="J5" s="31">
        <v>2838</v>
      </c>
      <c r="K5" s="31">
        <v>2415</v>
      </c>
      <c r="L5" s="31">
        <v>7814</v>
      </c>
    </row>
    <row r="6" spans="1:12" x14ac:dyDescent="0.25">
      <c r="A6" t="s">
        <v>139</v>
      </c>
      <c r="B6" s="31" t="s">
        <v>920</v>
      </c>
      <c r="C6" t="s">
        <v>921</v>
      </c>
      <c r="D6" t="s">
        <v>922</v>
      </c>
      <c r="G6" s="31" t="s">
        <v>1347</v>
      </c>
      <c r="I6" s="31">
        <v>4691</v>
      </c>
      <c r="J6" s="31">
        <v>3556</v>
      </c>
      <c r="K6" s="31">
        <v>8465</v>
      </c>
      <c r="L6" s="31">
        <v>2696</v>
      </c>
    </row>
    <row r="7" spans="1:12" x14ac:dyDescent="0.25">
      <c r="A7" t="s">
        <v>140</v>
      </c>
      <c r="B7" s="31" t="s">
        <v>923</v>
      </c>
      <c r="C7" t="s">
        <v>924</v>
      </c>
      <c r="D7" t="s">
        <v>925</v>
      </c>
      <c r="G7" s="31" t="s">
        <v>1348</v>
      </c>
      <c r="I7" s="31">
        <v>6137</v>
      </c>
      <c r="J7" s="31">
        <v>8628</v>
      </c>
      <c r="K7" s="31">
        <v>6668</v>
      </c>
      <c r="L7" s="31">
        <v>2365</v>
      </c>
    </row>
    <row r="8" spans="1:12" x14ac:dyDescent="0.25">
      <c r="A8" t="s">
        <v>141</v>
      </c>
      <c r="B8" s="31" t="s">
        <v>926</v>
      </c>
      <c r="C8" t="s">
        <v>927</v>
      </c>
      <c r="D8" t="s">
        <v>928</v>
      </c>
      <c r="G8" s="31" t="s">
        <v>1349</v>
      </c>
      <c r="I8" s="31">
        <v>2369</v>
      </c>
      <c r="J8" s="31">
        <v>2316</v>
      </c>
      <c r="K8" s="31">
        <v>5837</v>
      </c>
      <c r="L8" s="31">
        <v>9139</v>
      </c>
    </row>
    <row r="9" spans="1:12" x14ac:dyDescent="0.25">
      <c r="A9" t="s">
        <v>142</v>
      </c>
      <c r="B9" s="31" t="s">
        <v>929</v>
      </c>
      <c r="C9" t="s">
        <v>930</v>
      </c>
      <c r="D9" t="s">
        <v>931</v>
      </c>
      <c r="G9" s="31" t="s">
        <v>1350</v>
      </c>
      <c r="I9" s="31">
        <v>1514</v>
      </c>
      <c r="J9" s="31">
        <v>9685</v>
      </c>
      <c r="K9" s="31">
        <v>2774</v>
      </c>
      <c r="L9" s="31">
        <v>1255</v>
      </c>
    </row>
    <row r="10" spans="1:12" x14ac:dyDescent="0.25">
      <c r="A10" t="s">
        <v>143</v>
      </c>
      <c r="B10" s="31" t="s">
        <v>932</v>
      </c>
      <c r="C10" t="s">
        <v>933</v>
      </c>
      <c r="D10" t="s">
        <v>934</v>
      </c>
      <c r="G10" s="31" t="s">
        <v>1351</v>
      </c>
      <c r="I10" s="31">
        <v>5664</v>
      </c>
      <c r="J10" s="31">
        <v>2352</v>
      </c>
      <c r="K10" s="31">
        <v>3681</v>
      </c>
      <c r="L10" s="31">
        <v>5691</v>
      </c>
    </row>
    <row r="11" spans="1:12" x14ac:dyDescent="0.25">
      <c r="A11" t="s">
        <v>144</v>
      </c>
      <c r="B11" s="31" t="s">
        <v>935</v>
      </c>
      <c r="C11" t="s">
        <v>936</v>
      </c>
      <c r="D11" t="s">
        <v>913</v>
      </c>
      <c r="G11" s="31" t="s">
        <v>1352</v>
      </c>
      <c r="I11" s="31">
        <v>1126</v>
      </c>
      <c r="J11" s="31">
        <v>4565</v>
      </c>
      <c r="K11" s="31">
        <v>3263</v>
      </c>
      <c r="L11" s="31">
        <v>1287</v>
      </c>
    </row>
    <row r="12" spans="1:12" x14ac:dyDescent="0.25">
      <c r="A12" t="s">
        <v>145</v>
      </c>
      <c r="B12" s="31" t="s">
        <v>937</v>
      </c>
      <c r="C12" t="s">
        <v>938</v>
      </c>
      <c r="D12" t="s">
        <v>939</v>
      </c>
      <c r="G12" s="31" t="s">
        <v>1353</v>
      </c>
      <c r="I12" s="31">
        <v>1342</v>
      </c>
      <c r="J12" s="31">
        <v>2231</v>
      </c>
      <c r="K12" s="31">
        <v>6913</v>
      </c>
      <c r="L12" s="31">
        <v>4879</v>
      </c>
    </row>
    <row r="13" spans="1:12" x14ac:dyDescent="0.25">
      <c r="A13" t="s">
        <v>146</v>
      </c>
      <c r="B13" s="31" t="s">
        <v>940</v>
      </c>
      <c r="C13" t="s">
        <v>941</v>
      </c>
      <c r="D13" t="s">
        <v>942</v>
      </c>
      <c r="G13" s="31" t="s">
        <v>1354</v>
      </c>
      <c r="I13" s="31">
        <v>9176</v>
      </c>
      <c r="J13" s="31">
        <v>7229</v>
      </c>
      <c r="K13" s="31">
        <v>3956</v>
      </c>
      <c r="L13" s="31">
        <v>4352</v>
      </c>
    </row>
    <row r="14" spans="1:12" x14ac:dyDescent="0.25">
      <c r="A14" t="s">
        <v>147</v>
      </c>
      <c r="B14" s="31" t="s">
        <v>943</v>
      </c>
      <c r="C14" t="s">
        <v>944</v>
      </c>
      <c r="D14" t="s">
        <v>945</v>
      </c>
      <c r="G14" s="31" t="s">
        <v>1355</v>
      </c>
      <c r="I14" s="31">
        <v>7722</v>
      </c>
      <c r="J14" s="31">
        <v>4536</v>
      </c>
      <c r="K14" s="31">
        <v>8689</v>
      </c>
      <c r="L14" s="31">
        <v>9273</v>
      </c>
    </row>
    <row r="15" spans="1:12" x14ac:dyDescent="0.25">
      <c r="A15" t="s">
        <v>148</v>
      </c>
      <c r="B15" s="31" t="s">
        <v>946</v>
      </c>
      <c r="C15" t="s">
        <v>947</v>
      </c>
      <c r="D15" t="s">
        <v>939</v>
      </c>
      <c r="G15" s="31" t="s">
        <v>1356</v>
      </c>
      <c r="I15" s="31">
        <v>4549</v>
      </c>
      <c r="J15" s="31">
        <v>6267</v>
      </c>
      <c r="K15" s="31">
        <v>2782</v>
      </c>
      <c r="L15" s="31">
        <v>2942</v>
      </c>
    </row>
    <row r="16" spans="1:12" x14ac:dyDescent="0.25">
      <c r="A16" t="s">
        <v>149</v>
      </c>
      <c r="B16" s="31" t="s">
        <v>948</v>
      </c>
      <c r="C16" t="s">
        <v>949</v>
      </c>
      <c r="D16" t="s">
        <v>950</v>
      </c>
      <c r="G16" s="31" t="s">
        <v>1357</v>
      </c>
      <c r="I16" s="31">
        <v>6444</v>
      </c>
      <c r="J16" s="31">
        <v>7468</v>
      </c>
      <c r="K16" s="31">
        <v>1737</v>
      </c>
      <c r="L16" s="31">
        <v>5167</v>
      </c>
    </row>
    <row r="17" spans="1:12" x14ac:dyDescent="0.25">
      <c r="A17" t="s">
        <v>150</v>
      </c>
      <c r="B17" s="31" t="s">
        <v>951</v>
      </c>
      <c r="C17" t="s">
        <v>952</v>
      </c>
      <c r="D17" t="s">
        <v>953</v>
      </c>
      <c r="G17" s="31" t="s">
        <v>1358</v>
      </c>
      <c r="I17" s="31">
        <v>4452</v>
      </c>
      <c r="J17" s="31">
        <v>9525</v>
      </c>
      <c r="K17" s="31">
        <v>6825</v>
      </c>
      <c r="L17" s="31">
        <v>6363</v>
      </c>
    </row>
    <row r="18" spans="1:12" x14ac:dyDescent="0.25">
      <c r="A18" t="s">
        <v>151</v>
      </c>
      <c r="B18" s="31" t="s">
        <v>954</v>
      </c>
      <c r="C18" t="s">
        <v>955</v>
      </c>
      <c r="D18" t="s">
        <v>956</v>
      </c>
      <c r="G18" s="31" t="s">
        <v>1359</v>
      </c>
      <c r="I18" s="31">
        <v>8929</v>
      </c>
      <c r="J18" s="31">
        <v>8517</v>
      </c>
      <c r="K18" s="31">
        <v>3598</v>
      </c>
      <c r="L18" s="31">
        <v>2189</v>
      </c>
    </row>
    <row r="19" spans="1:12" x14ac:dyDescent="0.25">
      <c r="A19" t="s">
        <v>152</v>
      </c>
      <c r="B19" s="31" t="s">
        <v>957</v>
      </c>
      <c r="C19" t="s">
        <v>958</v>
      </c>
      <c r="D19" t="s">
        <v>959</v>
      </c>
      <c r="G19" s="31" t="s">
        <v>1360</v>
      </c>
      <c r="I19" s="31">
        <v>9112</v>
      </c>
      <c r="J19" s="31">
        <v>7429</v>
      </c>
      <c r="K19" s="31">
        <v>2536</v>
      </c>
      <c r="L19" s="31">
        <v>9734</v>
      </c>
    </row>
    <row r="20" spans="1:12" x14ac:dyDescent="0.25">
      <c r="A20" t="s">
        <v>153</v>
      </c>
      <c r="B20" s="31" t="s">
        <v>960</v>
      </c>
      <c r="C20" t="s">
        <v>961</v>
      </c>
      <c r="D20" t="s">
        <v>910</v>
      </c>
      <c r="G20" s="31" t="s">
        <v>1361</v>
      </c>
      <c r="I20" s="31">
        <v>6184</v>
      </c>
      <c r="J20" s="31">
        <v>7164</v>
      </c>
      <c r="K20" s="31">
        <v>7466</v>
      </c>
      <c r="L20" s="31">
        <v>8544</v>
      </c>
    </row>
    <row r="21" spans="1:12" x14ac:dyDescent="0.25">
      <c r="A21" t="s">
        <v>154</v>
      </c>
      <c r="B21" s="31" t="s">
        <v>962</v>
      </c>
      <c r="C21" t="s">
        <v>963</v>
      </c>
      <c r="D21" t="s">
        <v>964</v>
      </c>
      <c r="G21" s="31" t="s">
        <v>1362</v>
      </c>
      <c r="I21" s="31">
        <v>6273</v>
      </c>
      <c r="J21" s="31">
        <v>7562</v>
      </c>
      <c r="K21" s="31">
        <v>7479</v>
      </c>
      <c r="L21" s="31">
        <v>2581</v>
      </c>
    </row>
    <row r="22" spans="1:12" x14ac:dyDescent="0.25">
      <c r="A22" t="s">
        <v>155</v>
      </c>
      <c r="B22" s="31" t="s">
        <v>965</v>
      </c>
      <c r="C22" t="s">
        <v>966</v>
      </c>
      <c r="D22" t="s">
        <v>967</v>
      </c>
      <c r="G22" s="31" t="s">
        <v>1363</v>
      </c>
      <c r="I22" s="31">
        <v>8945</v>
      </c>
      <c r="J22" s="31">
        <v>6114</v>
      </c>
      <c r="K22" s="31">
        <v>2459</v>
      </c>
      <c r="L22" s="31">
        <v>2756</v>
      </c>
    </row>
    <row r="23" spans="1:12" x14ac:dyDescent="0.25">
      <c r="A23" t="s">
        <v>156</v>
      </c>
      <c r="B23" s="31" t="s">
        <v>968</v>
      </c>
      <c r="C23" t="s">
        <v>969</v>
      </c>
      <c r="D23" t="s">
        <v>970</v>
      </c>
      <c r="G23" s="31" t="s">
        <v>1364</v>
      </c>
      <c r="I23" s="31">
        <v>3744</v>
      </c>
      <c r="J23" s="31">
        <v>1655</v>
      </c>
      <c r="K23" s="31">
        <v>2482</v>
      </c>
      <c r="L23" s="31">
        <v>7177</v>
      </c>
    </row>
    <row r="24" spans="1:12" x14ac:dyDescent="0.25">
      <c r="A24" t="s">
        <v>157</v>
      </c>
      <c r="B24" s="31" t="s">
        <v>971</v>
      </c>
      <c r="C24" t="s">
        <v>972</v>
      </c>
      <c r="D24" t="s">
        <v>973</v>
      </c>
      <c r="G24" s="31" t="s">
        <v>1365</v>
      </c>
      <c r="I24" s="31">
        <v>4439</v>
      </c>
      <c r="J24" s="31">
        <v>9296</v>
      </c>
      <c r="K24" s="31">
        <v>4658</v>
      </c>
      <c r="L24" s="31">
        <v>1723</v>
      </c>
    </row>
    <row r="25" spans="1:12" x14ac:dyDescent="0.25">
      <c r="A25" t="s">
        <v>158</v>
      </c>
      <c r="B25" s="31" t="s">
        <v>974</v>
      </c>
      <c r="C25" t="s">
        <v>975</v>
      </c>
      <c r="D25" t="s">
        <v>976</v>
      </c>
      <c r="G25" s="31" t="s">
        <v>1366</v>
      </c>
      <c r="I25" s="31">
        <v>3983</v>
      </c>
      <c r="J25" s="31">
        <v>1222</v>
      </c>
      <c r="K25" s="31">
        <v>2717</v>
      </c>
      <c r="L25" s="31">
        <v>8935</v>
      </c>
    </row>
    <row r="26" spans="1:12" x14ac:dyDescent="0.25">
      <c r="A26" t="s">
        <v>159</v>
      </c>
      <c r="B26" s="31" t="s">
        <v>977</v>
      </c>
      <c r="C26" t="s">
        <v>978</v>
      </c>
      <c r="D26" t="s">
        <v>979</v>
      </c>
      <c r="G26" s="31" t="s">
        <v>1367</v>
      </c>
      <c r="I26" s="31">
        <v>8553</v>
      </c>
      <c r="J26" s="31">
        <v>6891</v>
      </c>
      <c r="K26" s="31">
        <v>4692</v>
      </c>
      <c r="L26" s="31">
        <v>7343</v>
      </c>
    </row>
    <row r="27" spans="1:12" x14ac:dyDescent="0.25">
      <c r="A27" t="s">
        <v>160</v>
      </c>
      <c r="B27" s="31" t="s">
        <v>980</v>
      </c>
      <c r="C27" t="s">
        <v>981</v>
      </c>
      <c r="D27" t="s">
        <v>982</v>
      </c>
      <c r="G27" s="31" t="s">
        <v>1368</v>
      </c>
      <c r="I27" s="31">
        <v>9295</v>
      </c>
      <c r="J27" s="31">
        <v>8187</v>
      </c>
      <c r="K27" s="31">
        <v>7614</v>
      </c>
      <c r="L27" s="31">
        <v>8416</v>
      </c>
    </row>
    <row r="28" spans="1:12" x14ac:dyDescent="0.25">
      <c r="A28" t="s">
        <v>161</v>
      </c>
      <c r="B28" s="31" t="s">
        <v>983</v>
      </c>
      <c r="C28" t="s">
        <v>984</v>
      </c>
      <c r="D28" t="s">
        <v>985</v>
      </c>
      <c r="G28" s="31" t="s">
        <v>1369</v>
      </c>
      <c r="I28" s="31">
        <v>8734</v>
      </c>
      <c r="J28" s="31">
        <v>1789</v>
      </c>
      <c r="K28" s="31">
        <v>4366</v>
      </c>
      <c r="L28" s="31">
        <v>7632</v>
      </c>
    </row>
    <row r="29" spans="1:12" x14ac:dyDescent="0.25">
      <c r="A29" t="s">
        <v>162</v>
      </c>
      <c r="B29" s="31" t="s">
        <v>986</v>
      </c>
      <c r="C29" t="s">
        <v>987</v>
      </c>
      <c r="D29" t="s">
        <v>988</v>
      </c>
      <c r="G29" s="31" t="s">
        <v>1370</v>
      </c>
      <c r="I29" s="31">
        <v>3623</v>
      </c>
      <c r="J29" s="31">
        <v>3361</v>
      </c>
      <c r="K29" s="31">
        <v>9198</v>
      </c>
      <c r="L29" s="31">
        <v>7492</v>
      </c>
    </row>
    <row r="30" spans="1:12" x14ac:dyDescent="0.25">
      <c r="A30" t="s">
        <v>163</v>
      </c>
      <c r="B30" s="31" t="s">
        <v>932</v>
      </c>
      <c r="C30" t="s">
        <v>989</v>
      </c>
      <c r="D30" t="s">
        <v>990</v>
      </c>
      <c r="G30" s="31" t="s">
        <v>1371</v>
      </c>
      <c r="I30" s="31">
        <v>3777</v>
      </c>
      <c r="J30" s="31">
        <v>8418</v>
      </c>
      <c r="K30" s="31">
        <v>3715</v>
      </c>
      <c r="L30" s="31">
        <v>1986</v>
      </c>
    </row>
    <row r="31" spans="1:12" x14ac:dyDescent="0.25">
      <c r="A31" t="s">
        <v>164</v>
      </c>
      <c r="B31" s="31" t="s">
        <v>991</v>
      </c>
      <c r="C31" t="s">
        <v>921</v>
      </c>
      <c r="D31" t="s">
        <v>992</v>
      </c>
      <c r="G31" s="31" t="s">
        <v>1372</v>
      </c>
      <c r="I31" s="31">
        <v>4673</v>
      </c>
      <c r="J31" s="31">
        <v>3528</v>
      </c>
      <c r="K31" s="31">
        <v>9838</v>
      </c>
      <c r="L31" s="31">
        <v>2157</v>
      </c>
    </row>
    <row r="32" spans="1:12" x14ac:dyDescent="0.25">
      <c r="A32" t="s">
        <v>165</v>
      </c>
      <c r="B32" s="31" t="s">
        <v>993</v>
      </c>
      <c r="C32" t="s">
        <v>987</v>
      </c>
      <c r="D32" t="s">
        <v>994</v>
      </c>
      <c r="G32" s="31" t="s">
        <v>1373</v>
      </c>
      <c r="I32" s="31">
        <v>3696</v>
      </c>
      <c r="J32" s="31">
        <v>8649</v>
      </c>
      <c r="K32" s="31">
        <v>7478</v>
      </c>
      <c r="L32" s="31">
        <v>6838</v>
      </c>
    </row>
    <row r="33" spans="1:12" x14ac:dyDescent="0.25">
      <c r="A33" t="s">
        <v>166</v>
      </c>
      <c r="B33" s="31" t="s">
        <v>995</v>
      </c>
      <c r="C33" t="s">
        <v>921</v>
      </c>
      <c r="D33" t="s">
        <v>996</v>
      </c>
      <c r="G33" s="31" t="s">
        <v>1374</v>
      </c>
      <c r="I33" s="31">
        <v>3519</v>
      </c>
      <c r="J33" s="31">
        <v>7844</v>
      </c>
      <c r="K33" s="31">
        <v>2281</v>
      </c>
      <c r="L33" s="31">
        <v>1185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EC18-AD4D-4FD9-B030-793D401C139B}">
  <dimension ref="A1:I33"/>
  <sheetViews>
    <sheetView workbookViewId="0">
      <pane ySplit="1" topLeftCell="A2" activePane="bottomLeft" state="frozen"/>
      <selection pane="bottomLeft" activeCell="H11" sqref="H11"/>
    </sheetView>
  </sheetViews>
  <sheetFormatPr defaultRowHeight="13.2" x14ac:dyDescent="0.25"/>
  <cols>
    <col min="2" max="2" width="13.109375" customWidth="1"/>
    <col min="3" max="3" width="11.109375" bestFit="1" customWidth="1"/>
    <col min="4" max="4" width="10.5546875" bestFit="1" customWidth="1"/>
    <col min="5" max="5" width="14.44140625" bestFit="1" customWidth="1"/>
    <col min="6" max="7" width="32.44140625" bestFit="1" customWidth="1"/>
    <col min="8" max="8" width="31.33203125" bestFit="1" customWidth="1"/>
    <col min="9" max="9" width="32.44140625" bestFit="1" customWidth="1"/>
  </cols>
  <sheetData>
    <row r="1" spans="1:9" ht="15" thickBot="1" x14ac:dyDescent="0.35">
      <c r="A1" s="16" t="s">
        <v>1316</v>
      </c>
      <c r="B1" s="16"/>
      <c r="C1" s="16" t="s">
        <v>1197</v>
      </c>
      <c r="D1" s="16" t="s">
        <v>1198</v>
      </c>
      <c r="E1" s="16" t="s">
        <v>1199</v>
      </c>
      <c r="G1" s="30" t="s">
        <v>1320</v>
      </c>
      <c r="H1" s="30" t="s">
        <v>1321</v>
      </c>
      <c r="I1" s="30" t="s">
        <v>1322</v>
      </c>
    </row>
    <row r="2" spans="1:9" x14ac:dyDescent="0.25">
      <c r="A2" t="s">
        <v>1200</v>
      </c>
      <c r="B2" t="str">
        <f>"АВ"&amp;A2</f>
        <v>АВ5171</v>
      </c>
      <c r="C2" t="s">
        <v>908</v>
      </c>
      <c r="D2" t="s">
        <v>909</v>
      </c>
      <c r="E2" t="s">
        <v>910</v>
      </c>
      <c r="F2" t="str">
        <f>C2&amp;" "&amp;D2&amp;" "&amp;E2</f>
        <v>Генкин Фока Захарович</v>
      </c>
      <c r="G2" t="str">
        <f>_xlfn.CONCAT(C2," ",D2," ",E2)</f>
        <v>Генкин Фока Захарович</v>
      </c>
      <c r="H2" t="str">
        <f>_xlfn.CONCAT(C2:E2)</f>
        <v>ГенкинФокаЗахарович</v>
      </c>
      <c r="I2" t="str">
        <f>_xlfn.TEXTJOIN(" ",TRUE,C2:E2)</f>
        <v>Генкин Фока Захарович</v>
      </c>
    </row>
    <row r="3" spans="1:9" x14ac:dyDescent="0.25">
      <c r="A3" t="s">
        <v>1201</v>
      </c>
      <c r="B3" t="str">
        <f t="shared" ref="B3:B33" si="0">"АВ"&amp;A3</f>
        <v>АВ9956</v>
      </c>
      <c r="C3" t="s">
        <v>911</v>
      </c>
      <c r="D3" t="s">
        <v>912</v>
      </c>
      <c r="E3" t="s">
        <v>913</v>
      </c>
      <c r="F3" t="str">
        <f t="shared" ref="F3:F33" si="1">C3&amp;" "&amp;D3&amp;" "&amp;E3</f>
        <v>Домышева Евгения Владленовна</v>
      </c>
      <c r="G3" t="str">
        <f>_xlfn.CONCAT(C3," ",D3," ",E3)</f>
        <v>Домышева Евгения Владленовна</v>
      </c>
      <c r="H3" t="str">
        <f t="shared" ref="H3:H33" si="2">_xlfn.CONCAT(C3:E3)</f>
        <v>ДомышеваЕвгенияВладленовна</v>
      </c>
      <c r="I3" t="str">
        <f t="shared" ref="I3:I33" si="3">_xlfn.TEXTJOIN(" ",TRUE,C3:E3)</f>
        <v>Домышева Евгения Владленовна</v>
      </c>
    </row>
    <row r="4" spans="1:9" x14ac:dyDescent="0.25">
      <c r="A4" t="s">
        <v>1202</v>
      </c>
      <c r="B4" t="str">
        <f t="shared" si="0"/>
        <v>АВ8371</v>
      </c>
      <c r="C4" t="s">
        <v>914</v>
      </c>
      <c r="D4" t="s">
        <v>915</v>
      </c>
      <c r="E4" t="s">
        <v>916</v>
      </c>
      <c r="F4" t="str">
        <f t="shared" si="1"/>
        <v>Яблочкина Римма Ираклиевна</v>
      </c>
      <c r="G4" t="str">
        <f t="shared" ref="G4:G33" si="4">_xlfn.CONCAT(C4," ",D4," ",E4)</f>
        <v>Яблочкина Римма Ираклиевна</v>
      </c>
      <c r="H4" t="str">
        <f t="shared" si="2"/>
        <v>ЯблочкинаРиммаИраклиевна</v>
      </c>
      <c r="I4" t="str">
        <f t="shared" si="3"/>
        <v>Яблочкина Римма Ираклиевна</v>
      </c>
    </row>
    <row r="5" spans="1:9" x14ac:dyDescent="0.25">
      <c r="A5" t="s">
        <v>1203</v>
      </c>
      <c r="B5" t="str">
        <f t="shared" si="0"/>
        <v>АВ4361</v>
      </c>
      <c r="C5" t="s">
        <v>917</v>
      </c>
      <c r="D5" t="s">
        <v>918</v>
      </c>
      <c r="E5" t="s">
        <v>919</v>
      </c>
      <c r="F5" t="str">
        <f t="shared" si="1"/>
        <v>Званцев Чеслав Потапович</v>
      </c>
      <c r="G5" t="str">
        <f t="shared" si="4"/>
        <v>Званцев Чеслав Потапович</v>
      </c>
      <c r="H5" t="str">
        <f t="shared" si="2"/>
        <v>ЗванцевЧеславПотапович</v>
      </c>
      <c r="I5" t="str">
        <f t="shared" si="3"/>
        <v>Званцев Чеслав Потапович</v>
      </c>
    </row>
    <row r="6" spans="1:9" x14ac:dyDescent="0.25">
      <c r="A6" t="s">
        <v>1204</v>
      </c>
      <c r="B6" t="str">
        <f t="shared" si="0"/>
        <v>АВ8248</v>
      </c>
      <c r="C6" t="s">
        <v>920</v>
      </c>
      <c r="D6" t="s">
        <v>921</v>
      </c>
      <c r="E6" t="s">
        <v>922</v>
      </c>
      <c r="F6" t="str">
        <f t="shared" si="1"/>
        <v>Ярощука Маргарита Алексеевна</v>
      </c>
      <c r="G6" t="str">
        <f t="shared" si="4"/>
        <v>Ярощука Маргарита Алексеевна</v>
      </c>
      <c r="H6" t="str">
        <f t="shared" si="2"/>
        <v>ЯрощукаМаргаритаАлексеевна</v>
      </c>
      <c r="I6" t="str">
        <f t="shared" si="3"/>
        <v>Ярощука Маргарита Алексеевна</v>
      </c>
    </row>
    <row r="7" spans="1:9" x14ac:dyDescent="0.25">
      <c r="A7" t="s">
        <v>1205</v>
      </c>
      <c r="B7" t="str">
        <f t="shared" si="0"/>
        <v>АВ7758</v>
      </c>
      <c r="C7" t="s">
        <v>923</v>
      </c>
      <c r="D7" t="s">
        <v>924</v>
      </c>
      <c r="E7" t="s">
        <v>925</v>
      </c>
      <c r="F7" t="str">
        <f t="shared" si="1"/>
        <v>Акимова Полина Петровна</v>
      </c>
      <c r="G7" t="str">
        <f t="shared" si="4"/>
        <v>Акимова Полина Петровна</v>
      </c>
      <c r="H7" t="str">
        <f t="shared" si="2"/>
        <v>АкимоваПолинаПетровна</v>
      </c>
      <c r="I7" t="str">
        <f t="shared" si="3"/>
        <v>Акимова Полина Петровна</v>
      </c>
    </row>
    <row r="8" spans="1:9" x14ac:dyDescent="0.25">
      <c r="A8" t="s">
        <v>1206</v>
      </c>
      <c r="B8" t="str">
        <f t="shared" si="0"/>
        <v>АВ6424</v>
      </c>
      <c r="C8" t="s">
        <v>926</v>
      </c>
      <c r="D8" t="s">
        <v>927</v>
      </c>
      <c r="E8" t="s">
        <v>928</v>
      </c>
      <c r="F8" t="str">
        <f t="shared" si="1"/>
        <v>Клокова Изольда Германовна</v>
      </c>
      <c r="G8" t="str">
        <f t="shared" si="4"/>
        <v>Клокова Изольда Германовна</v>
      </c>
      <c r="H8" t="str">
        <f t="shared" si="2"/>
        <v>КлоковаИзольдаГермановна</v>
      </c>
      <c r="I8" t="str">
        <f t="shared" si="3"/>
        <v>Клокова Изольда Германовна</v>
      </c>
    </row>
    <row r="9" spans="1:9" x14ac:dyDescent="0.25">
      <c r="A9" t="s">
        <v>1207</v>
      </c>
      <c r="B9" t="str">
        <f t="shared" si="0"/>
        <v>АВ1116</v>
      </c>
      <c r="C9" t="s">
        <v>929</v>
      </c>
      <c r="D9" t="s">
        <v>930</v>
      </c>
      <c r="E9" t="s">
        <v>931</v>
      </c>
      <c r="F9" t="str">
        <f t="shared" si="1"/>
        <v>Феднова Лиана Марковна</v>
      </c>
      <c r="G9" t="str">
        <f t="shared" si="4"/>
        <v>Феднова Лиана Марковна</v>
      </c>
      <c r="H9" t="str">
        <f t="shared" si="2"/>
        <v>ФедноваЛианаМарковна</v>
      </c>
      <c r="I9" t="str">
        <f t="shared" si="3"/>
        <v>Феднова Лиана Марковна</v>
      </c>
    </row>
    <row r="10" spans="1:9" x14ac:dyDescent="0.25">
      <c r="A10" t="s">
        <v>1208</v>
      </c>
      <c r="B10" t="str">
        <f t="shared" si="0"/>
        <v>АВ9845</v>
      </c>
      <c r="C10" t="s">
        <v>932</v>
      </c>
      <c r="D10" t="s">
        <v>933</v>
      </c>
      <c r="E10" t="s">
        <v>934</v>
      </c>
      <c r="F10" t="str">
        <f t="shared" si="1"/>
        <v>Муравьев Наум Макарович</v>
      </c>
      <c r="G10" t="str">
        <f t="shared" si="4"/>
        <v>Муравьев Наум Макарович</v>
      </c>
      <c r="H10" t="str">
        <f t="shared" si="2"/>
        <v>МуравьевНаумМакарович</v>
      </c>
      <c r="I10" t="str">
        <f t="shared" si="3"/>
        <v>Муравьев Наум Макарович</v>
      </c>
    </row>
    <row r="11" spans="1:9" x14ac:dyDescent="0.25">
      <c r="A11" t="s">
        <v>1209</v>
      </c>
      <c r="B11" t="str">
        <f t="shared" si="0"/>
        <v>АВ3687</v>
      </c>
      <c r="C11" t="s">
        <v>935</v>
      </c>
      <c r="D11" t="s">
        <v>936</v>
      </c>
      <c r="E11" t="s">
        <v>913</v>
      </c>
      <c r="F11" t="str">
        <f t="shared" si="1"/>
        <v>Амелина Стела Владленовна</v>
      </c>
      <c r="G11" t="str">
        <f t="shared" si="4"/>
        <v>Амелина Стела Владленовна</v>
      </c>
      <c r="H11" t="str">
        <f t="shared" si="2"/>
        <v>АмелинаСтелаВладленовна</v>
      </c>
      <c r="I11" t="str">
        <f t="shared" si="3"/>
        <v>Амелина Стела Владленовна</v>
      </c>
    </row>
    <row r="12" spans="1:9" x14ac:dyDescent="0.25">
      <c r="A12" t="s">
        <v>1210</v>
      </c>
      <c r="B12" t="str">
        <f t="shared" si="0"/>
        <v>АВ8588</v>
      </c>
      <c r="C12" t="s">
        <v>937</v>
      </c>
      <c r="D12" t="s">
        <v>938</v>
      </c>
      <c r="E12" t="s">
        <v>939</v>
      </c>
      <c r="F12" t="str">
        <f t="shared" si="1"/>
        <v>Власова Елизавета Брониславовна</v>
      </c>
      <c r="G12" t="str">
        <f t="shared" si="4"/>
        <v>Власова Елизавета Брониславовна</v>
      </c>
      <c r="H12" t="str">
        <f t="shared" si="2"/>
        <v>ВласоваЕлизаветаБрониславовна</v>
      </c>
      <c r="I12" t="str">
        <f t="shared" si="3"/>
        <v>Власова Елизавета Брониславовна</v>
      </c>
    </row>
    <row r="13" spans="1:9" x14ac:dyDescent="0.25">
      <c r="A13" t="s">
        <v>1211</v>
      </c>
      <c r="B13" t="str">
        <f t="shared" si="0"/>
        <v>АВ3299</v>
      </c>
      <c r="C13" t="s">
        <v>940</v>
      </c>
      <c r="D13" t="s">
        <v>941</v>
      </c>
      <c r="E13" t="s">
        <v>942</v>
      </c>
      <c r="F13" t="str">
        <f t="shared" si="1"/>
        <v>Алеев Авдей Эдуардович</v>
      </c>
      <c r="G13" t="str">
        <f t="shared" si="4"/>
        <v>Алеев Авдей Эдуардович</v>
      </c>
      <c r="H13" t="str">
        <f t="shared" si="2"/>
        <v>АлеевАвдейЭдуардович</v>
      </c>
      <c r="I13" t="str">
        <f t="shared" si="3"/>
        <v>Алеев Авдей Эдуардович</v>
      </c>
    </row>
    <row r="14" spans="1:9" x14ac:dyDescent="0.25">
      <c r="A14" t="s">
        <v>1212</v>
      </c>
      <c r="B14" t="str">
        <f t="shared" si="0"/>
        <v>АВ1668</v>
      </c>
      <c r="C14" t="s">
        <v>943</v>
      </c>
      <c r="D14" t="s">
        <v>944</v>
      </c>
      <c r="E14" t="s">
        <v>945</v>
      </c>
      <c r="F14" t="str">
        <f t="shared" si="1"/>
        <v>Саянкова Агния Всеволодовна</v>
      </c>
      <c r="G14" t="str">
        <f t="shared" si="4"/>
        <v>Саянкова Агния Всеволодовна</v>
      </c>
      <c r="H14" t="str">
        <f t="shared" si="2"/>
        <v>СаянковаАгнияВсеволодовна</v>
      </c>
      <c r="I14" t="str">
        <f t="shared" si="3"/>
        <v>Саянкова Агния Всеволодовна</v>
      </c>
    </row>
    <row r="15" spans="1:9" x14ac:dyDescent="0.25">
      <c r="A15" t="s">
        <v>1213</v>
      </c>
      <c r="B15" t="str">
        <f t="shared" si="0"/>
        <v>АВ4913</v>
      </c>
      <c r="C15" t="s">
        <v>946</v>
      </c>
      <c r="D15" t="s">
        <v>947</v>
      </c>
      <c r="E15" t="s">
        <v>939</v>
      </c>
      <c r="F15" t="str">
        <f t="shared" si="1"/>
        <v>Глускина Алина Брониславовна</v>
      </c>
      <c r="G15" t="str">
        <f t="shared" si="4"/>
        <v>Глускина Алина Брониславовна</v>
      </c>
      <c r="H15" t="str">
        <f t="shared" si="2"/>
        <v>ГлускинаАлинаБрониславовна</v>
      </c>
      <c r="I15" t="str">
        <f t="shared" si="3"/>
        <v>Глускина Алина Брониславовна</v>
      </c>
    </row>
    <row r="16" spans="1:9" x14ac:dyDescent="0.25">
      <c r="A16" t="s">
        <v>1214</v>
      </c>
      <c r="B16" t="str">
        <f t="shared" si="0"/>
        <v>АВ3821</v>
      </c>
      <c r="C16" t="s">
        <v>948</v>
      </c>
      <c r="D16" t="s">
        <v>949</v>
      </c>
      <c r="E16" t="s">
        <v>950</v>
      </c>
      <c r="F16" t="str">
        <f t="shared" si="1"/>
        <v>Кирдань Сергей Чеславович</v>
      </c>
      <c r="G16" t="str">
        <f t="shared" si="4"/>
        <v>Кирдань Сергей Чеславович</v>
      </c>
      <c r="H16" t="str">
        <f t="shared" si="2"/>
        <v>КирданьСергейЧеславович</v>
      </c>
      <c r="I16" t="str">
        <f t="shared" si="3"/>
        <v>Кирдань Сергей Чеславович</v>
      </c>
    </row>
    <row r="17" spans="1:9" x14ac:dyDescent="0.25">
      <c r="A17" t="s">
        <v>1215</v>
      </c>
      <c r="B17" t="str">
        <f t="shared" si="0"/>
        <v>АВ3564</v>
      </c>
      <c r="C17" t="s">
        <v>951</v>
      </c>
      <c r="D17" t="s">
        <v>952</v>
      </c>
      <c r="E17" t="s">
        <v>953</v>
      </c>
      <c r="F17" t="str">
        <f t="shared" si="1"/>
        <v>Шурыгин Кондратий Давидович</v>
      </c>
      <c r="G17" t="str">
        <f t="shared" si="4"/>
        <v>Шурыгин Кондратий Давидович</v>
      </c>
      <c r="H17" t="str">
        <f t="shared" si="2"/>
        <v>ШурыгинКондратийДавидович</v>
      </c>
      <c r="I17" t="str">
        <f t="shared" si="3"/>
        <v>Шурыгин Кондратий Давидович</v>
      </c>
    </row>
    <row r="18" spans="1:9" x14ac:dyDescent="0.25">
      <c r="A18" t="s">
        <v>1216</v>
      </c>
      <c r="B18" t="str">
        <f t="shared" si="0"/>
        <v>АВ2212</v>
      </c>
      <c r="C18" t="s">
        <v>954</v>
      </c>
      <c r="D18" t="s">
        <v>955</v>
      </c>
      <c r="E18" t="s">
        <v>956</v>
      </c>
      <c r="F18" t="str">
        <f t="shared" si="1"/>
        <v>Шевелёка Марианна Яновна</v>
      </c>
      <c r="G18" t="str">
        <f t="shared" si="4"/>
        <v>Шевелёка Марианна Яновна</v>
      </c>
      <c r="H18" t="str">
        <f t="shared" si="2"/>
        <v>ШевелёкаМарианнаЯновна</v>
      </c>
      <c r="I18" t="str">
        <f t="shared" si="3"/>
        <v>Шевелёка Марианна Яновна</v>
      </c>
    </row>
    <row r="19" spans="1:9" x14ac:dyDescent="0.25">
      <c r="A19" t="s">
        <v>1217</v>
      </c>
      <c r="B19" t="str">
        <f t="shared" si="0"/>
        <v>АВ8663</v>
      </c>
      <c r="C19" t="s">
        <v>957</v>
      </c>
      <c r="D19" t="s">
        <v>958</v>
      </c>
      <c r="E19" t="s">
        <v>959</v>
      </c>
      <c r="F19" t="str">
        <f t="shared" si="1"/>
        <v>Ефремов Пахом Евлампиевич</v>
      </c>
      <c r="G19" t="str">
        <f t="shared" si="4"/>
        <v>Ефремов Пахом Евлампиевич</v>
      </c>
      <c r="H19" t="str">
        <f t="shared" si="2"/>
        <v>ЕфремовПахомЕвлампиевич</v>
      </c>
      <c r="I19" t="str">
        <f t="shared" si="3"/>
        <v>Ефремов Пахом Евлампиевич</v>
      </c>
    </row>
    <row r="20" spans="1:9" x14ac:dyDescent="0.25">
      <c r="A20" t="s">
        <v>1218</v>
      </c>
      <c r="B20" t="str">
        <f t="shared" si="0"/>
        <v>АВ6198</v>
      </c>
      <c r="C20" t="s">
        <v>960</v>
      </c>
      <c r="D20" t="s">
        <v>961</v>
      </c>
      <c r="E20" t="s">
        <v>910</v>
      </c>
      <c r="F20" t="str">
        <f t="shared" si="1"/>
        <v>Поличев Константин Захарович</v>
      </c>
      <c r="G20" t="str">
        <f t="shared" si="4"/>
        <v>Поличев Константин Захарович</v>
      </c>
      <c r="H20" t="str">
        <f t="shared" si="2"/>
        <v>ПоличевКонстантинЗахарович</v>
      </c>
      <c r="I20" t="str">
        <f t="shared" si="3"/>
        <v>Поличев Константин Захарович</v>
      </c>
    </row>
    <row r="21" spans="1:9" x14ac:dyDescent="0.25">
      <c r="A21" t="s">
        <v>1219</v>
      </c>
      <c r="B21" t="str">
        <f t="shared" si="0"/>
        <v>АВ7427</v>
      </c>
      <c r="C21" t="s">
        <v>962</v>
      </c>
      <c r="D21" t="s">
        <v>963</v>
      </c>
      <c r="E21" t="s">
        <v>964</v>
      </c>
      <c r="F21" t="str">
        <f t="shared" si="1"/>
        <v>Негуторов Михей Иванович</v>
      </c>
      <c r="G21" t="str">
        <f t="shared" si="4"/>
        <v>Негуторов Михей Иванович</v>
      </c>
      <c r="H21" t="str">
        <f t="shared" si="2"/>
        <v>НегуторовМихейИванович</v>
      </c>
      <c r="I21" t="str">
        <f t="shared" si="3"/>
        <v>Негуторов Михей Иванович</v>
      </c>
    </row>
    <row r="22" spans="1:9" x14ac:dyDescent="0.25">
      <c r="A22" t="s">
        <v>1220</v>
      </c>
      <c r="B22" t="str">
        <f t="shared" si="0"/>
        <v>АВ1352</v>
      </c>
      <c r="C22" t="s">
        <v>965</v>
      </c>
      <c r="D22" t="s">
        <v>966</v>
      </c>
      <c r="E22" t="s">
        <v>967</v>
      </c>
      <c r="F22" t="str">
        <f t="shared" si="1"/>
        <v>Францев Валентин Касьянович</v>
      </c>
      <c r="G22" t="str">
        <f t="shared" si="4"/>
        <v>Францев Валентин Касьянович</v>
      </c>
      <c r="H22" t="str">
        <f t="shared" si="2"/>
        <v>ФранцевВалентинКасьянович</v>
      </c>
      <c r="I22" t="str">
        <f t="shared" si="3"/>
        <v>Францев Валентин Касьянович</v>
      </c>
    </row>
    <row r="23" spans="1:9" x14ac:dyDescent="0.25">
      <c r="A23" t="s">
        <v>1221</v>
      </c>
      <c r="B23" t="str">
        <f t="shared" si="0"/>
        <v>АВ8386</v>
      </c>
      <c r="C23" t="s">
        <v>968</v>
      </c>
      <c r="D23" t="s">
        <v>969</v>
      </c>
      <c r="E23" t="s">
        <v>970</v>
      </c>
      <c r="F23" t="str">
        <f t="shared" si="1"/>
        <v>Грибалев Тихон Миронович</v>
      </c>
      <c r="G23" t="str">
        <f t="shared" si="4"/>
        <v>Грибалев Тихон Миронович</v>
      </c>
      <c r="H23" t="str">
        <f t="shared" si="2"/>
        <v>ГрибалевТихонМиронович</v>
      </c>
      <c r="I23" t="str">
        <f t="shared" si="3"/>
        <v>Грибалев Тихон Миронович</v>
      </c>
    </row>
    <row r="24" spans="1:9" x14ac:dyDescent="0.25">
      <c r="A24" t="s">
        <v>1222</v>
      </c>
      <c r="B24" t="str">
        <f t="shared" si="0"/>
        <v>АВ4789</v>
      </c>
      <c r="C24" t="s">
        <v>971</v>
      </c>
      <c r="D24" t="s">
        <v>972</v>
      </c>
      <c r="E24" t="s">
        <v>973</v>
      </c>
      <c r="F24" t="str">
        <f t="shared" si="1"/>
        <v>Январев Мартын Никитевич</v>
      </c>
      <c r="G24" t="str">
        <f t="shared" si="4"/>
        <v>Январев Мартын Никитевич</v>
      </c>
      <c r="H24" t="str">
        <f t="shared" si="2"/>
        <v>ЯнваревМартынНикитевич</v>
      </c>
      <c r="I24" t="str">
        <f t="shared" si="3"/>
        <v>Январев Мартын Никитевич</v>
      </c>
    </row>
    <row r="25" spans="1:9" x14ac:dyDescent="0.25">
      <c r="A25" t="s">
        <v>1223</v>
      </c>
      <c r="B25" t="str">
        <f t="shared" si="0"/>
        <v>АВ1998</v>
      </c>
      <c r="C25" t="s">
        <v>974</v>
      </c>
      <c r="D25" t="s">
        <v>975</v>
      </c>
      <c r="E25" t="s">
        <v>976</v>
      </c>
      <c r="F25" t="str">
        <f t="shared" si="1"/>
        <v>Карамзин Борислав Давыдович</v>
      </c>
      <c r="G25" t="str">
        <f t="shared" si="4"/>
        <v>Карамзин Борислав Давыдович</v>
      </c>
      <c r="H25" t="str">
        <f t="shared" si="2"/>
        <v>КарамзинБориславДавыдович</v>
      </c>
      <c r="I25" t="str">
        <f t="shared" si="3"/>
        <v>Карамзин Борислав Давыдович</v>
      </c>
    </row>
    <row r="26" spans="1:9" x14ac:dyDescent="0.25">
      <c r="A26" t="s">
        <v>1224</v>
      </c>
      <c r="B26" t="str">
        <f t="shared" si="0"/>
        <v>АВ1732</v>
      </c>
      <c r="C26" t="s">
        <v>977</v>
      </c>
      <c r="D26" t="s">
        <v>978</v>
      </c>
      <c r="E26" t="s">
        <v>979</v>
      </c>
      <c r="F26" t="str">
        <f t="shared" si="1"/>
        <v>Кадцын Никанор Гордеевич</v>
      </c>
      <c r="G26" t="str">
        <f t="shared" si="4"/>
        <v>Кадцын Никанор Гордеевич</v>
      </c>
      <c r="H26" t="str">
        <f t="shared" si="2"/>
        <v>КадцынНиканорГордеевич</v>
      </c>
      <c r="I26" t="str">
        <f t="shared" si="3"/>
        <v>Кадцын Никанор Гордеевич</v>
      </c>
    </row>
    <row r="27" spans="1:9" x14ac:dyDescent="0.25">
      <c r="A27" t="s">
        <v>1225</v>
      </c>
      <c r="B27" t="str">
        <f t="shared" si="0"/>
        <v>АВ8654</v>
      </c>
      <c r="C27" t="s">
        <v>980</v>
      </c>
      <c r="D27" t="s">
        <v>981</v>
      </c>
      <c r="E27" t="s">
        <v>982</v>
      </c>
      <c r="F27" t="str">
        <f t="shared" si="1"/>
        <v>Лашманова Зоя Трофимовна</v>
      </c>
      <c r="G27" t="str">
        <f t="shared" si="4"/>
        <v>Лашманова Зоя Трофимовна</v>
      </c>
      <c r="H27" t="str">
        <f t="shared" si="2"/>
        <v>ЛашмановаЗояТрофимовна</v>
      </c>
      <c r="I27" t="str">
        <f t="shared" si="3"/>
        <v>Лашманова Зоя Трофимовна</v>
      </c>
    </row>
    <row r="28" spans="1:9" x14ac:dyDescent="0.25">
      <c r="A28" t="s">
        <v>1226</v>
      </c>
      <c r="B28" t="str">
        <f t="shared" si="0"/>
        <v>АВ5116</v>
      </c>
      <c r="C28" t="s">
        <v>983</v>
      </c>
      <c r="D28" t="s">
        <v>984</v>
      </c>
      <c r="E28" t="s">
        <v>985</v>
      </c>
      <c r="F28" t="str">
        <f t="shared" si="1"/>
        <v>Оспищева Любовь Вячеславовна</v>
      </c>
      <c r="G28" t="str">
        <f t="shared" si="4"/>
        <v>Оспищева Любовь Вячеславовна</v>
      </c>
      <c r="H28" t="str">
        <f t="shared" si="2"/>
        <v>ОспищеваЛюбовьВячеславовна</v>
      </c>
      <c r="I28" t="str">
        <f t="shared" si="3"/>
        <v>Оспищева Любовь Вячеславовна</v>
      </c>
    </row>
    <row r="29" spans="1:9" x14ac:dyDescent="0.25">
      <c r="A29" t="s">
        <v>1227</v>
      </c>
      <c r="B29" t="str">
        <f t="shared" si="0"/>
        <v>АВ1919</v>
      </c>
      <c r="C29" t="s">
        <v>986</v>
      </c>
      <c r="D29" t="s">
        <v>987</v>
      </c>
      <c r="E29" t="s">
        <v>988</v>
      </c>
      <c r="F29" t="str">
        <f t="shared" si="1"/>
        <v>Бормотов Аристарх Егорович</v>
      </c>
      <c r="G29" t="str">
        <f t="shared" si="4"/>
        <v>Бормотов Аристарх Егорович</v>
      </c>
      <c r="H29" t="str">
        <f t="shared" si="2"/>
        <v>БормотовАристархЕгорович</v>
      </c>
      <c r="I29" t="str">
        <f t="shared" si="3"/>
        <v>Бормотов Аристарх Егорович</v>
      </c>
    </row>
    <row r="30" spans="1:9" x14ac:dyDescent="0.25">
      <c r="A30" t="s">
        <v>1228</v>
      </c>
      <c r="B30" t="str">
        <f t="shared" si="0"/>
        <v>АВ1644</v>
      </c>
      <c r="C30" t="s">
        <v>932</v>
      </c>
      <c r="D30" t="s">
        <v>989</v>
      </c>
      <c r="E30" t="s">
        <v>990</v>
      </c>
      <c r="F30" t="str">
        <f t="shared" si="1"/>
        <v>Муравьев Марк Адамович</v>
      </c>
      <c r="G30" t="str">
        <f t="shared" si="4"/>
        <v>Муравьев Марк Адамович</v>
      </c>
      <c r="H30" t="str">
        <f t="shared" si="2"/>
        <v>МуравьевМаркАдамович</v>
      </c>
      <c r="I30" t="str">
        <f t="shared" si="3"/>
        <v>Муравьев Марк Адамович</v>
      </c>
    </row>
    <row r="31" spans="1:9" x14ac:dyDescent="0.25">
      <c r="A31" t="s">
        <v>1229</v>
      </c>
      <c r="B31" t="str">
        <f t="shared" si="0"/>
        <v>АВ1494</v>
      </c>
      <c r="C31" t="s">
        <v>991</v>
      </c>
      <c r="D31" t="s">
        <v>921</v>
      </c>
      <c r="E31" t="s">
        <v>992</v>
      </c>
      <c r="F31" t="str">
        <f t="shared" si="1"/>
        <v>Русскиха Маргарита Анатолиевна</v>
      </c>
      <c r="G31" t="str">
        <f t="shared" si="4"/>
        <v>Русскиха Маргарита Анатолиевна</v>
      </c>
      <c r="H31" t="str">
        <f t="shared" si="2"/>
        <v>РусскихаМаргаритаАнатолиевна</v>
      </c>
      <c r="I31" t="str">
        <f t="shared" si="3"/>
        <v>Русскиха Маргарита Анатолиевна</v>
      </c>
    </row>
    <row r="32" spans="1:9" x14ac:dyDescent="0.25">
      <c r="A32" t="s">
        <v>1230</v>
      </c>
      <c r="B32" t="str">
        <f t="shared" si="0"/>
        <v>АВ8851</v>
      </c>
      <c r="C32" t="s">
        <v>993</v>
      </c>
      <c r="D32" t="s">
        <v>987</v>
      </c>
      <c r="E32" t="s">
        <v>994</v>
      </c>
      <c r="F32" t="str">
        <f t="shared" si="1"/>
        <v>Бережной Аристарх Эрнстович</v>
      </c>
      <c r="G32" t="str">
        <f t="shared" si="4"/>
        <v>Бережной Аристарх Эрнстович</v>
      </c>
      <c r="H32" t="str">
        <f t="shared" si="2"/>
        <v>БережнойАристархЭрнстович</v>
      </c>
      <c r="I32" t="str">
        <f t="shared" si="3"/>
        <v>Бережной Аристарх Эрнстович</v>
      </c>
    </row>
    <row r="33" spans="1:9" x14ac:dyDescent="0.25">
      <c r="A33" t="s">
        <v>1231</v>
      </c>
      <c r="B33" t="str">
        <f t="shared" si="0"/>
        <v>АВ8357</v>
      </c>
      <c r="C33" t="s">
        <v>995</v>
      </c>
      <c r="D33" t="s">
        <v>921</v>
      </c>
      <c r="E33" t="s">
        <v>996</v>
      </c>
      <c r="F33" t="str">
        <f t="shared" si="1"/>
        <v>Лунина Маргарита Степановна</v>
      </c>
      <c r="G33" t="str">
        <f t="shared" si="4"/>
        <v>Лунина Маргарита Степановна</v>
      </c>
      <c r="H33" t="str">
        <f t="shared" si="2"/>
        <v>ЛунинаМаргаритаСтепановна</v>
      </c>
      <c r="I33" t="str">
        <f t="shared" si="3"/>
        <v>Лунина Маргарита Степановна</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
  <sheetViews>
    <sheetView workbookViewId="0">
      <pane ySplit="1" topLeftCell="A2" activePane="bottomLeft" state="frozen"/>
      <selection pane="bottomLeft" activeCell="E10" sqref="E10"/>
    </sheetView>
  </sheetViews>
  <sheetFormatPr defaultColWidth="14.44140625" defaultRowHeight="15.75" customHeight="1" x14ac:dyDescent="0.25"/>
  <cols>
    <col min="1" max="1" width="16.109375" customWidth="1"/>
    <col min="2" max="2" width="16.5546875" customWidth="1"/>
    <col min="3" max="3" width="21.77734375" customWidth="1"/>
    <col min="4" max="4" width="11.109375" customWidth="1"/>
    <col min="5" max="5" width="54.77734375" customWidth="1"/>
  </cols>
  <sheetData>
    <row r="1" spans="1:5" ht="15.75" customHeight="1" thickBot="1" x14ac:dyDescent="0.35">
      <c r="A1" s="16" t="s">
        <v>72</v>
      </c>
      <c r="B1" s="16" t="s">
        <v>73</v>
      </c>
      <c r="C1" s="16" t="s">
        <v>74</v>
      </c>
      <c r="D1" s="16" t="s">
        <v>75</v>
      </c>
      <c r="E1" s="16" t="s">
        <v>76</v>
      </c>
    </row>
    <row r="2" spans="1:5" ht="15.75" customHeight="1" x14ac:dyDescent="0.25">
      <c r="A2" s="2" t="s">
        <v>77</v>
      </c>
      <c r="B2" s="2" t="s">
        <v>78</v>
      </c>
      <c r="C2" s="2"/>
      <c r="D2" s="3">
        <v>125222</v>
      </c>
      <c r="E2" s="34" t="str">
        <f>_xlfn.TEXTJOIN(", ",TRUE,D2,C2,B2,A2)</f>
        <v>125222, Москва, Барышиха, 14</v>
      </c>
    </row>
    <row r="3" spans="1:5" ht="15.75" customHeight="1" x14ac:dyDescent="0.25">
      <c r="A3" s="2" t="s">
        <v>79</v>
      </c>
      <c r="B3" s="2" t="s">
        <v>80</v>
      </c>
      <c r="C3" s="2" t="s">
        <v>81</v>
      </c>
      <c r="D3" s="3">
        <v>924142</v>
      </c>
      <c r="E3" s="35" t="str">
        <f t="shared" ref="E3:E6" si="0">_xlfn.TEXTJOIN(", ",TRUE,D3,C3,B3,A3)</f>
        <v>924142, Нижегородская область, Нижний Новгород, Ленина, 7</v>
      </c>
    </row>
    <row r="4" spans="1:5" ht="15.75" customHeight="1" x14ac:dyDescent="0.25">
      <c r="A4" s="2" t="s">
        <v>82</v>
      </c>
      <c r="B4" s="2" t="s">
        <v>83</v>
      </c>
      <c r="C4" s="2" t="s">
        <v>84</v>
      </c>
      <c r="D4" s="3">
        <v>762762</v>
      </c>
      <c r="E4" s="35" t="str">
        <f t="shared" si="0"/>
        <v>762762, Саратовская область, Саратов, Московская, 86</v>
      </c>
    </row>
    <row r="5" spans="1:5" ht="15.75" customHeight="1" x14ac:dyDescent="0.25">
      <c r="A5" s="2" t="s">
        <v>85</v>
      </c>
      <c r="B5" s="2" t="s">
        <v>86</v>
      </c>
      <c r="C5" s="2"/>
      <c r="D5" s="3">
        <v>234615</v>
      </c>
      <c r="E5" s="35" t="str">
        <f t="shared" si="0"/>
        <v>234615, Тула, Стратонавтов, 22</v>
      </c>
    </row>
    <row r="6" spans="1:5" ht="15.75" customHeight="1" x14ac:dyDescent="0.25">
      <c r="A6" s="2" t="s">
        <v>87</v>
      </c>
      <c r="B6" s="2" t="s">
        <v>88</v>
      </c>
      <c r="C6" s="2" t="s">
        <v>89</v>
      </c>
      <c r="D6" s="3">
        <v>235624</v>
      </c>
      <c r="E6" s="35" t="str">
        <f t="shared" si="0"/>
        <v>235624, Республика Карелия, Кондопога, Советов, 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CF6D-0703-469D-8083-605B1848B225}">
  <dimension ref="A1:E14"/>
  <sheetViews>
    <sheetView workbookViewId="0">
      <pane ySplit="1" topLeftCell="A2" activePane="bottomLeft" state="frozen"/>
      <selection pane="bottomLeft" activeCell="D18" sqref="D18"/>
    </sheetView>
  </sheetViews>
  <sheetFormatPr defaultRowHeight="13.2" x14ac:dyDescent="0.25"/>
  <cols>
    <col min="2" max="2" width="29.77734375" bestFit="1" customWidth="1"/>
    <col min="3" max="3" width="26.77734375" bestFit="1" customWidth="1"/>
    <col min="4" max="4" width="33" bestFit="1" customWidth="1"/>
    <col min="5" max="5" width="29.77734375" bestFit="1" customWidth="1"/>
  </cols>
  <sheetData>
    <row r="1" spans="1:5" ht="15" thickBot="1" x14ac:dyDescent="0.35">
      <c r="B1" s="16" t="s">
        <v>1232</v>
      </c>
      <c r="C1" s="16" t="s">
        <v>1233</v>
      </c>
      <c r="D1" s="16" t="s">
        <v>1234</v>
      </c>
      <c r="E1" s="16" t="s">
        <v>1235</v>
      </c>
    </row>
    <row r="2" spans="1:5" x14ac:dyDescent="0.25">
      <c r="A2" t="s">
        <v>896</v>
      </c>
      <c r="B2" s="17">
        <v>175</v>
      </c>
      <c r="C2" s="17">
        <v>233</v>
      </c>
      <c r="D2" s="17">
        <v>262</v>
      </c>
      <c r="E2" s="17">
        <v>161</v>
      </c>
    </row>
    <row r="3" spans="1:5" x14ac:dyDescent="0.25">
      <c r="A3" t="s">
        <v>897</v>
      </c>
      <c r="B3" s="17">
        <v>201</v>
      </c>
      <c r="C3" s="17">
        <v>261</v>
      </c>
      <c r="D3" s="17">
        <v>131</v>
      </c>
      <c r="E3" s="17">
        <v>340</v>
      </c>
    </row>
    <row r="4" spans="1:5" x14ac:dyDescent="0.25">
      <c r="A4" t="s">
        <v>898</v>
      </c>
      <c r="B4" s="17">
        <v>333</v>
      </c>
      <c r="C4" s="17">
        <v>144</v>
      </c>
      <c r="D4" s="17">
        <v>313</v>
      </c>
      <c r="E4" s="17">
        <v>181</v>
      </c>
    </row>
    <row r="5" spans="1:5" x14ac:dyDescent="0.25">
      <c r="A5" t="s">
        <v>899</v>
      </c>
      <c r="B5" s="17">
        <v>347</v>
      </c>
      <c r="C5" s="17">
        <v>285</v>
      </c>
      <c r="D5" s="17">
        <v>242</v>
      </c>
      <c r="E5" s="17">
        <v>267</v>
      </c>
    </row>
    <row r="6" spans="1:5" x14ac:dyDescent="0.25">
      <c r="A6" t="s">
        <v>900</v>
      </c>
      <c r="B6" s="17">
        <v>193</v>
      </c>
      <c r="C6" s="17">
        <v>313</v>
      </c>
      <c r="D6" s="17">
        <v>184</v>
      </c>
      <c r="E6" s="17">
        <v>135</v>
      </c>
    </row>
    <row r="7" spans="1:5" x14ac:dyDescent="0.25">
      <c r="A7" t="s">
        <v>901</v>
      </c>
      <c r="B7" s="17">
        <v>161</v>
      </c>
      <c r="C7" s="17">
        <v>337</v>
      </c>
      <c r="D7" s="17">
        <v>245</v>
      </c>
      <c r="E7" s="17">
        <v>293</v>
      </c>
    </row>
    <row r="8" spans="1:5" x14ac:dyDescent="0.25">
      <c r="A8" t="s">
        <v>902</v>
      </c>
      <c r="B8" s="17">
        <v>374</v>
      </c>
      <c r="C8" s="17">
        <v>351</v>
      </c>
      <c r="D8" s="17">
        <v>194</v>
      </c>
      <c r="E8" s="17">
        <v>139</v>
      </c>
    </row>
    <row r="9" spans="1:5" x14ac:dyDescent="0.25">
      <c r="A9" t="s">
        <v>903</v>
      </c>
      <c r="B9" s="17">
        <v>188</v>
      </c>
      <c r="C9" s="17">
        <v>260</v>
      </c>
      <c r="D9" s="17">
        <v>198</v>
      </c>
      <c r="E9" s="17">
        <v>134</v>
      </c>
    </row>
    <row r="10" spans="1:5" x14ac:dyDescent="0.25">
      <c r="A10" t="s">
        <v>904</v>
      </c>
      <c r="B10" s="17">
        <v>197</v>
      </c>
      <c r="C10" s="17">
        <v>172</v>
      </c>
      <c r="D10" s="17">
        <v>221</v>
      </c>
      <c r="E10" s="17">
        <v>215</v>
      </c>
    </row>
    <row r="11" spans="1:5" x14ac:dyDescent="0.25">
      <c r="A11" t="s">
        <v>905</v>
      </c>
      <c r="B11" s="17">
        <v>193</v>
      </c>
      <c r="C11" s="17">
        <v>225</v>
      </c>
      <c r="D11" s="17">
        <v>150</v>
      </c>
      <c r="E11" s="17">
        <v>264</v>
      </c>
    </row>
    <row r="12" spans="1:5" x14ac:dyDescent="0.25">
      <c r="A12" t="s">
        <v>906</v>
      </c>
      <c r="B12" s="17">
        <v>240</v>
      </c>
      <c r="C12" s="17">
        <v>198</v>
      </c>
      <c r="D12" s="17">
        <v>336</v>
      </c>
      <c r="E12" s="17">
        <v>307</v>
      </c>
    </row>
    <row r="13" spans="1:5" x14ac:dyDescent="0.25">
      <c r="A13" t="s">
        <v>907</v>
      </c>
      <c r="B13" s="17">
        <v>176</v>
      </c>
      <c r="C13" s="17">
        <v>149</v>
      </c>
      <c r="D13" s="17">
        <v>259</v>
      </c>
      <c r="E13" s="17">
        <v>342</v>
      </c>
    </row>
    <row r="14" spans="1:5" x14ac:dyDescent="0.25">
      <c r="B14" t="str">
        <f>"Сумма по региону "&amp;B1&amp;" = "&amp;SUM(B2:B13)</f>
        <v>Сумма по региону Центр = 2778</v>
      </c>
      <c r="C14" t="str">
        <f t="shared" ref="C14:E14" si="0">"Сумма по региону "&amp;C1&amp;" = "&amp;SUM(C2:C13)</f>
        <v>Сумма по региону Юг = 2928</v>
      </c>
      <c r="D14" t="str">
        <f t="shared" si="0"/>
        <v>Сумма по региону Поволжье = 2735</v>
      </c>
      <c r="E14" t="str">
        <f t="shared" si="0"/>
        <v>Сумма по региону Север = 2778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outlinePr summaryBelow="0" summaryRight="0"/>
  </sheetPr>
  <dimension ref="A1:B41"/>
  <sheetViews>
    <sheetView zoomScale="115" zoomScaleNormal="115" workbookViewId="0">
      <selection activeCell="B19" sqref="B19"/>
    </sheetView>
  </sheetViews>
  <sheetFormatPr defaultColWidth="14.44140625" defaultRowHeight="15.75" customHeight="1" x14ac:dyDescent="0.25"/>
  <cols>
    <col min="1" max="1" width="80.44140625" customWidth="1"/>
  </cols>
  <sheetData>
    <row r="1" spans="1:2" ht="224.4" x14ac:dyDescent="0.25">
      <c r="A1" s="28" t="s">
        <v>133</v>
      </c>
      <c r="B1" s="17">
        <f>LEN(A1)</f>
        <v>867</v>
      </c>
    </row>
    <row r="2" spans="1:2" ht="118.8" x14ac:dyDescent="0.25">
      <c r="A2" s="28" t="s">
        <v>134</v>
      </c>
      <c r="B2" s="17">
        <f>LEN(A2)</f>
        <v>505</v>
      </c>
    </row>
    <row r="3" spans="1:2" ht="15.75" customHeight="1" x14ac:dyDescent="0.25">
      <c r="A3" s="1"/>
    </row>
    <row r="4" spans="1:2" ht="15.75" customHeight="1" x14ac:dyDescent="0.25">
      <c r="A4" s="1"/>
    </row>
    <row r="5" spans="1:2" ht="15.75" customHeight="1" x14ac:dyDescent="0.25">
      <c r="A5" s="1"/>
    </row>
    <row r="9" spans="1:2" ht="15.75" customHeight="1" thickBot="1" x14ac:dyDescent="0.35">
      <c r="A9" s="16" t="s">
        <v>1316</v>
      </c>
      <c r="B9" s="16"/>
    </row>
    <row r="10" spans="1:2" ht="15.75" customHeight="1" x14ac:dyDescent="0.25">
      <c r="A10" t="s">
        <v>1200</v>
      </c>
      <c r="B10" t="str">
        <f>IF(LEN(A10)=4,"S"&amp;A10,A10)</f>
        <v>S5171</v>
      </c>
    </row>
    <row r="11" spans="1:2" ht="15.75" customHeight="1" x14ac:dyDescent="0.25">
      <c r="A11" t="s">
        <v>1201</v>
      </c>
      <c r="B11" t="str">
        <f t="shared" ref="B11:B41" si="0">IF(LEN(A11)=4,"S"&amp;A11,A11)</f>
        <v>S9956</v>
      </c>
    </row>
    <row r="12" spans="1:2" ht="15.75" customHeight="1" x14ac:dyDescent="0.25">
      <c r="A12" t="s">
        <v>1202</v>
      </c>
      <c r="B12" t="str">
        <f t="shared" si="0"/>
        <v>S8371</v>
      </c>
    </row>
    <row r="13" spans="1:2" ht="15.75" customHeight="1" x14ac:dyDescent="0.25">
      <c r="A13" t="s">
        <v>1203</v>
      </c>
      <c r="B13" t="str">
        <f t="shared" si="0"/>
        <v>S4361</v>
      </c>
    </row>
    <row r="14" spans="1:2" ht="15.75" customHeight="1" x14ac:dyDescent="0.25">
      <c r="A14" t="s">
        <v>1204</v>
      </c>
      <c r="B14" t="str">
        <f t="shared" si="0"/>
        <v>S8248</v>
      </c>
    </row>
    <row r="15" spans="1:2" ht="15.75" customHeight="1" x14ac:dyDescent="0.25">
      <c r="A15" s="11" t="s">
        <v>1317</v>
      </c>
      <c r="B15" t="str">
        <f t="shared" si="0"/>
        <v>S7758</v>
      </c>
    </row>
    <row r="16" spans="1:2" ht="15.75" customHeight="1" x14ac:dyDescent="0.25">
      <c r="A16" t="s">
        <v>1206</v>
      </c>
      <c r="B16" t="str">
        <f t="shared" si="0"/>
        <v>S6424</v>
      </c>
    </row>
    <row r="17" spans="1:2" ht="15.75" customHeight="1" x14ac:dyDescent="0.25">
      <c r="A17" t="s">
        <v>1207</v>
      </c>
      <c r="B17" t="str">
        <f t="shared" si="0"/>
        <v>S1116</v>
      </c>
    </row>
    <row r="18" spans="1:2" ht="15.75" customHeight="1" x14ac:dyDescent="0.25">
      <c r="A18" t="s">
        <v>1208</v>
      </c>
      <c r="B18" t="str">
        <f t="shared" si="0"/>
        <v>S9845</v>
      </c>
    </row>
    <row r="19" spans="1:2" ht="15.75" customHeight="1" x14ac:dyDescent="0.25">
      <c r="A19" t="s">
        <v>1209</v>
      </c>
      <c r="B19" t="str">
        <f t="shared" si="0"/>
        <v>S3687</v>
      </c>
    </row>
    <row r="20" spans="1:2" ht="15.75" customHeight="1" x14ac:dyDescent="0.25">
      <c r="A20" t="s">
        <v>1210</v>
      </c>
      <c r="B20" t="str">
        <f t="shared" si="0"/>
        <v>S8588</v>
      </c>
    </row>
    <row r="21" spans="1:2" ht="15.75" customHeight="1" x14ac:dyDescent="0.25">
      <c r="A21" t="s">
        <v>1211</v>
      </c>
      <c r="B21" t="str">
        <f t="shared" si="0"/>
        <v>S3299</v>
      </c>
    </row>
    <row r="22" spans="1:2" ht="15.75" customHeight="1" x14ac:dyDescent="0.25">
      <c r="A22" t="s">
        <v>1212</v>
      </c>
      <c r="B22" t="str">
        <f t="shared" si="0"/>
        <v>S1668</v>
      </c>
    </row>
    <row r="23" spans="1:2" ht="15.75" customHeight="1" x14ac:dyDescent="0.25">
      <c r="A23" t="s">
        <v>1213</v>
      </c>
      <c r="B23" t="str">
        <f t="shared" si="0"/>
        <v>S4913</v>
      </c>
    </row>
    <row r="24" spans="1:2" ht="15.75" customHeight="1" x14ac:dyDescent="0.25">
      <c r="A24" t="s">
        <v>1214</v>
      </c>
      <c r="B24" t="str">
        <f t="shared" si="0"/>
        <v>S3821</v>
      </c>
    </row>
    <row r="25" spans="1:2" ht="15.75" customHeight="1" x14ac:dyDescent="0.25">
      <c r="A25" t="s">
        <v>1215</v>
      </c>
      <c r="B25" t="str">
        <f t="shared" si="0"/>
        <v>S3564</v>
      </c>
    </row>
    <row r="26" spans="1:2" ht="15.75" customHeight="1" x14ac:dyDescent="0.25">
      <c r="A26" t="s">
        <v>1216</v>
      </c>
      <c r="B26" t="str">
        <f t="shared" si="0"/>
        <v>S2212</v>
      </c>
    </row>
    <row r="27" spans="1:2" ht="15.75" customHeight="1" x14ac:dyDescent="0.25">
      <c r="A27" t="s">
        <v>1217</v>
      </c>
      <c r="B27" t="str">
        <f t="shared" si="0"/>
        <v>S8663</v>
      </c>
    </row>
    <row r="28" spans="1:2" ht="15.75" customHeight="1" x14ac:dyDescent="0.25">
      <c r="A28" t="s">
        <v>1218</v>
      </c>
      <c r="B28" t="str">
        <f t="shared" si="0"/>
        <v>S6198</v>
      </c>
    </row>
    <row r="29" spans="1:2" ht="15.75" customHeight="1" x14ac:dyDescent="0.25">
      <c r="A29" t="s">
        <v>1318</v>
      </c>
      <c r="B29" t="str">
        <f t="shared" si="0"/>
        <v>S7427</v>
      </c>
    </row>
    <row r="30" spans="1:2" ht="15.75" customHeight="1" x14ac:dyDescent="0.25">
      <c r="A30" t="s">
        <v>1220</v>
      </c>
      <c r="B30" t="str">
        <f t="shared" si="0"/>
        <v>S1352</v>
      </c>
    </row>
    <row r="31" spans="1:2" ht="15.75" customHeight="1" x14ac:dyDescent="0.25">
      <c r="A31" t="s">
        <v>1221</v>
      </c>
      <c r="B31" t="str">
        <f t="shared" si="0"/>
        <v>S8386</v>
      </c>
    </row>
    <row r="32" spans="1:2" ht="15.75" customHeight="1" x14ac:dyDescent="0.25">
      <c r="A32" t="s">
        <v>1222</v>
      </c>
      <c r="B32" t="str">
        <f t="shared" si="0"/>
        <v>S4789</v>
      </c>
    </row>
    <row r="33" spans="1:2" ht="15.75" customHeight="1" x14ac:dyDescent="0.25">
      <c r="A33" t="s">
        <v>1223</v>
      </c>
      <c r="B33" t="str">
        <f t="shared" si="0"/>
        <v>S1998</v>
      </c>
    </row>
    <row r="34" spans="1:2" ht="15.75" customHeight="1" x14ac:dyDescent="0.25">
      <c r="A34" t="s">
        <v>1319</v>
      </c>
      <c r="B34" t="str">
        <f t="shared" si="0"/>
        <v>S7732</v>
      </c>
    </row>
    <row r="35" spans="1:2" ht="15.75" customHeight="1" x14ac:dyDescent="0.25">
      <c r="A35" t="s">
        <v>1225</v>
      </c>
      <c r="B35" t="str">
        <f t="shared" si="0"/>
        <v>S8654</v>
      </c>
    </row>
    <row r="36" spans="1:2" ht="15.75" customHeight="1" x14ac:dyDescent="0.25">
      <c r="A36" t="s">
        <v>1226</v>
      </c>
      <c r="B36" t="str">
        <f t="shared" si="0"/>
        <v>S5116</v>
      </c>
    </row>
    <row r="37" spans="1:2" ht="15.75" customHeight="1" x14ac:dyDescent="0.25">
      <c r="A37" t="s">
        <v>1227</v>
      </c>
      <c r="B37" t="str">
        <f t="shared" si="0"/>
        <v>S1919</v>
      </c>
    </row>
    <row r="38" spans="1:2" ht="15.75" customHeight="1" x14ac:dyDescent="0.25">
      <c r="A38" t="s">
        <v>1228</v>
      </c>
      <c r="B38" t="str">
        <f t="shared" si="0"/>
        <v>S1644</v>
      </c>
    </row>
    <row r="39" spans="1:2" ht="15.75" customHeight="1" x14ac:dyDescent="0.25">
      <c r="A39" t="s">
        <v>1229</v>
      </c>
      <c r="B39" t="str">
        <f t="shared" si="0"/>
        <v>S1494</v>
      </c>
    </row>
    <row r="40" spans="1:2" ht="15.75" customHeight="1" x14ac:dyDescent="0.25">
      <c r="A40" t="s">
        <v>1230</v>
      </c>
      <c r="B40" t="str">
        <f t="shared" si="0"/>
        <v>S8851</v>
      </c>
    </row>
    <row r="41" spans="1:2" ht="15.75" customHeight="1" x14ac:dyDescent="0.25">
      <c r="A41" t="s">
        <v>1231</v>
      </c>
      <c r="B41" t="str">
        <f t="shared" si="0"/>
        <v>S8357</v>
      </c>
    </row>
  </sheetData>
  <pageMargins left="0.7" right="0.7" top="0.75" bottom="0.75" header="0.3" footer="0.3"/>
  <ignoredErrors>
    <ignoredError sqref="A10:A14 A30:A41 A16:A28"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outlinePr summaryBelow="0" summaryRight="0"/>
  </sheetPr>
  <dimension ref="A1:C72"/>
  <sheetViews>
    <sheetView zoomScaleNormal="100" workbookViewId="0">
      <pane ySplit="1" topLeftCell="A2" activePane="bottomLeft" state="frozen"/>
      <selection activeCell="G35" sqref="G35"/>
      <selection pane="bottomLeft" activeCell="E9" sqref="E9"/>
    </sheetView>
  </sheetViews>
  <sheetFormatPr defaultColWidth="14.44140625" defaultRowHeight="15.75" customHeight="1" x14ac:dyDescent="0.25"/>
  <cols>
    <col min="1" max="1" width="84.77734375" style="19" customWidth="1"/>
  </cols>
  <sheetData>
    <row r="1" spans="1:3" ht="15.75" customHeight="1" thickBot="1" x14ac:dyDescent="0.35">
      <c r="A1" s="23" t="s">
        <v>169</v>
      </c>
      <c r="B1" s="16" t="s">
        <v>3</v>
      </c>
      <c r="C1" s="16" t="s">
        <v>4</v>
      </c>
    </row>
    <row r="2" spans="1:3" ht="15.75" customHeight="1" x14ac:dyDescent="0.25">
      <c r="A2" s="24" t="s">
        <v>1236</v>
      </c>
      <c r="B2" s="20" t="str">
        <f>IFERROR(FIND("планшет",A2),"")</f>
        <v/>
      </c>
      <c r="C2" s="20" t="str">
        <f>IFERROR(SEARCH("планшет",A2),"")</f>
        <v/>
      </c>
    </row>
    <row r="3" spans="1:3" ht="15.75" customHeight="1" x14ac:dyDescent="0.25">
      <c r="A3" s="24" t="s">
        <v>1237</v>
      </c>
      <c r="B3" s="20" t="str">
        <f t="shared" ref="B3:B66" si="0">IFERROR(FIND("планшет",A3),"")</f>
        <v/>
      </c>
      <c r="C3" s="20" t="str">
        <f t="shared" ref="C3:C66" si="1">IFERROR(SEARCH("планшет",A3),"")</f>
        <v/>
      </c>
    </row>
    <row r="4" spans="1:3" ht="15.75" customHeight="1" x14ac:dyDescent="0.25">
      <c r="A4" s="24" t="s">
        <v>1238</v>
      </c>
      <c r="B4" s="20" t="str">
        <f t="shared" si="0"/>
        <v/>
      </c>
      <c r="C4" s="20" t="str">
        <f t="shared" si="1"/>
        <v/>
      </c>
    </row>
    <row r="5" spans="1:3" ht="15.75" customHeight="1" x14ac:dyDescent="0.25">
      <c r="A5" s="24" t="s">
        <v>1239</v>
      </c>
      <c r="B5" s="20" t="str">
        <f t="shared" si="0"/>
        <v/>
      </c>
      <c r="C5" s="20" t="str">
        <f t="shared" si="1"/>
        <v/>
      </c>
    </row>
    <row r="6" spans="1:3" ht="15.75" customHeight="1" x14ac:dyDescent="0.25">
      <c r="A6" s="24" t="s">
        <v>1240</v>
      </c>
      <c r="B6" s="20" t="str">
        <f t="shared" si="0"/>
        <v/>
      </c>
      <c r="C6" s="20" t="str">
        <f t="shared" si="1"/>
        <v/>
      </c>
    </row>
    <row r="7" spans="1:3" ht="15.75" customHeight="1" x14ac:dyDescent="0.25">
      <c r="A7" s="38" t="s">
        <v>1241</v>
      </c>
      <c r="B7" s="20" t="str">
        <f t="shared" si="0"/>
        <v/>
      </c>
      <c r="C7" s="37">
        <f t="shared" si="1"/>
        <v>1</v>
      </c>
    </row>
    <row r="8" spans="1:3" ht="15.75" customHeight="1" x14ac:dyDescent="0.25">
      <c r="A8" s="24" t="s">
        <v>1242</v>
      </c>
      <c r="B8" s="20" t="str">
        <f t="shared" si="0"/>
        <v/>
      </c>
      <c r="C8" s="20" t="str">
        <f t="shared" si="1"/>
        <v/>
      </c>
    </row>
    <row r="9" spans="1:3" ht="15.75" customHeight="1" x14ac:dyDescent="0.25">
      <c r="A9" s="36" t="s">
        <v>1304</v>
      </c>
      <c r="B9" s="20" t="str">
        <f t="shared" si="0"/>
        <v/>
      </c>
      <c r="C9" s="37">
        <f t="shared" si="1"/>
        <v>1</v>
      </c>
    </row>
    <row r="10" spans="1:3" ht="15.75" customHeight="1" x14ac:dyDescent="0.25">
      <c r="A10" s="24" t="s">
        <v>1243</v>
      </c>
      <c r="B10" s="20" t="str">
        <f t="shared" si="0"/>
        <v/>
      </c>
      <c r="C10" s="20" t="str">
        <f t="shared" si="1"/>
        <v/>
      </c>
    </row>
    <row r="11" spans="1:3" ht="15.75" customHeight="1" x14ac:dyDescent="0.25">
      <c r="A11" s="24" t="s">
        <v>1244</v>
      </c>
      <c r="B11" s="20" t="str">
        <f t="shared" si="0"/>
        <v/>
      </c>
      <c r="C11" s="20" t="str">
        <f t="shared" si="1"/>
        <v/>
      </c>
    </row>
    <row r="12" spans="1:3" ht="15.75" customHeight="1" x14ac:dyDescent="0.25">
      <c r="A12" s="24" t="s">
        <v>1245</v>
      </c>
      <c r="B12" s="20" t="str">
        <f t="shared" si="0"/>
        <v/>
      </c>
      <c r="C12" s="20" t="str">
        <f t="shared" si="1"/>
        <v/>
      </c>
    </row>
    <row r="13" spans="1:3" ht="15.75" customHeight="1" x14ac:dyDescent="0.25">
      <c r="A13" s="24" t="s">
        <v>1246</v>
      </c>
      <c r="B13" s="20" t="str">
        <f t="shared" si="0"/>
        <v/>
      </c>
      <c r="C13" s="20" t="str">
        <f t="shared" si="1"/>
        <v/>
      </c>
    </row>
    <row r="14" spans="1:3" ht="15.75" customHeight="1" x14ac:dyDescent="0.25">
      <c r="A14" s="36" t="s">
        <v>1247</v>
      </c>
      <c r="B14" s="20" t="str">
        <f t="shared" si="0"/>
        <v/>
      </c>
      <c r="C14" s="37">
        <f t="shared" si="1"/>
        <v>1</v>
      </c>
    </row>
    <row r="15" spans="1:3" ht="15.75" customHeight="1" x14ac:dyDescent="0.25">
      <c r="A15" s="24" t="s">
        <v>1248</v>
      </c>
      <c r="B15" s="20" t="str">
        <f t="shared" si="0"/>
        <v/>
      </c>
      <c r="C15" s="20" t="str">
        <f t="shared" si="1"/>
        <v/>
      </c>
    </row>
    <row r="16" spans="1:3" ht="15.75" customHeight="1" x14ac:dyDescent="0.25">
      <c r="A16" s="24" t="s">
        <v>1249</v>
      </c>
      <c r="B16" s="20" t="str">
        <f t="shared" si="0"/>
        <v/>
      </c>
      <c r="C16" s="20" t="str">
        <f t="shared" si="1"/>
        <v/>
      </c>
    </row>
    <row r="17" spans="1:3" ht="15.75" customHeight="1" x14ac:dyDescent="0.25">
      <c r="A17" s="24" t="s">
        <v>1250</v>
      </c>
      <c r="B17" s="20" t="str">
        <f t="shared" si="0"/>
        <v/>
      </c>
      <c r="C17" s="20" t="str">
        <f t="shared" si="1"/>
        <v/>
      </c>
    </row>
    <row r="18" spans="1:3" ht="15.75" customHeight="1" x14ac:dyDescent="0.25">
      <c r="A18" s="24" t="s">
        <v>1251</v>
      </c>
      <c r="B18" s="20" t="str">
        <f t="shared" si="0"/>
        <v/>
      </c>
      <c r="C18" s="20" t="str">
        <f t="shared" si="1"/>
        <v/>
      </c>
    </row>
    <row r="19" spans="1:3" ht="15.75" customHeight="1" x14ac:dyDescent="0.25">
      <c r="A19" s="24" t="s">
        <v>1252</v>
      </c>
      <c r="B19" s="20" t="str">
        <f t="shared" si="0"/>
        <v/>
      </c>
      <c r="C19" s="20" t="str">
        <f t="shared" si="1"/>
        <v/>
      </c>
    </row>
    <row r="20" spans="1:3" ht="15.75" customHeight="1" x14ac:dyDescent="0.25">
      <c r="A20" s="24" t="s">
        <v>1253</v>
      </c>
      <c r="B20" s="20" t="str">
        <f t="shared" si="0"/>
        <v/>
      </c>
      <c r="C20" s="20" t="str">
        <f t="shared" si="1"/>
        <v/>
      </c>
    </row>
    <row r="21" spans="1:3" ht="15.75" customHeight="1" x14ac:dyDescent="0.25">
      <c r="A21" s="24" t="s">
        <v>1254</v>
      </c>
      <c r="B21" s="20" t="str">
        <f t="shared" si="0"/>
        <v/>
      </c>
      <c r="C21" s="20" t="str">
        <f t="shared" si="1"/>
        <v/>
      </c>
    </row>
    <row r="22" spans="1:3" ht="15.75" customHeight="1" x14ac:dyDescent="0.25">
      <c r="A22" s="24" t="s">
        <v>1255</v>
      </c>
      <c r="B22" s="20" t="str">
        <f t="shared" si="0"/>
        <v/>
      </c>
      <c r="C22" s="20" t="str">
        <f t="shared" si="1"/>
        <v/>
      </c>
    </row>
    <row r="23" spans="1:3" ht="15.75" customHeight="1" x14ac:dyDescent="0.25">
      <c r="A23" s="24" t="s">
        <v>1256</v>
      </c>
      <c r="B23" s="20" t="str">
        <f t="shared" si="0"/>
        <v/>
      </c>
      <c r="C23" s="20" t="str">
        <f t="shared" si="1"/>
        <v/>
      </c>
    </row>
    <row r="24" spans="1:3" ht="15.75" customHeight="1" x14ac:dyDescent="0.25">
      <c r="A24" s="24" t="s">
        <v>1257</v>
      </c>
      <c r="B24" s="20" t="str">
        <f t="shared" si="0"/>
        <v/>
      </c>
      <c r="C24" s="20" t="str">
        <f t="shared" si="1"/>
        <v/>
      </c>
    </row>
    <row r="25" spans="1:3" ht="15.75" customHeight="1" x14ac:dyDescent="0.25">
      <c r="A25" s="24" t="s">
        <v>1258</v>
      </c>
      <c r="B25" s="20" t="str">
        <f t="shared" si="0"/>
        <v/>
      </c>
      <c r="C25" s="20" t="str">
        <f t="shared" si="1"/>
        <v/>
      </c>
    </row>
    <row r="26" spans="1:3" ht="15.75" customHeight="1" x14ac:dyDescent="0.25">
      <c r="A26" s="24" t="s">
        <v>1260</v>
      </c>
      <c r="B26" s="20" t="str">
        <f t="shared" si="0"/>
        <v/>
      </c>
      <c r="C26" s="20" t="str">
        <f t="shared" si="1"/>
        <v/>
      </c>
    </row>
    <row r="27" spans="1:3" ht="15.75" customHeight="1" x14ac:dyDescent="0.25">
      <c r="A27" s="24" t="s">
        <v>1261</v>
      </c>
      <c r="B27" s="20" t="str">
        <f t="shared" si="0"/>
        <v/>
      </c>
      <c r="C27" s="20" t="str">
        <f t="shared" si="1"/>
        <v/>
      </c>
    </row>
    <row r="28" spans="1:3" ht="15.75" customHeight="1" x14ac:dyDescent="0.25">
      <c r="A28" s="24" t="s">
        <v>1262</v>
      </c>
      <c r="B28" s="20" t="str">
        <f t="shared" si="0"/>
        <v/>
      </c>
      <c r="C28" s="20" t="str">
        <f t="shared" si="1"/>
        <v/>
      </c>
    </row>
    <row r="29" spans="1:3" ht="15.75" customHeight="1" x14ac:dyDescent="0.25">
      <c r="A29" s="24" t="s">
        <v>1251</v>
      </c>
      <c r="B29" s="20" t="str">
        <f t="shared" si="0"/>
        <v/>
      </c>
      <c r="C29" s="20" t="str">
        <f t="shared" si="1"/>
        <v/>
      </c>
    </row>
    <row r="30" spans="1:3" ht="15.75" customHeight="1" x14ac:dyDescent="0.25">
      <c r="A30" s="24" t="s">
        <v>1263</v>
      </c>
      <c r="B30" s="20" t="str">
        <f t="shared" si="0"/>
        <v/>
      </c>
      <c r="C30" s="20" t="str">
        <f t="shared" si="1"/>
        <v/>
      </c>
    </row>
    <row r="31" spans="1:3" ht="15.75" customHeight="1" x14ac:dyDescent="0.25">
      <c r="A31" s="24" t="s">
        <v>1264</v>
      </c>
      <c r="B31" s="20" t="str">
        <f t="shared" si="0"/>
        <v/>
      </c>
      <c r="C31" s="20" t="str">
        <f t="shared" si="1"/>
        <v/>
      </c>
    </row>
    <row r="32" spans="1:3" ht="15.75" customHeight="1" x14ac:dyDescent="0.25">
      <c r="A32" s="24" t="s">
        <v>1265</v>
      </c>
      <c r="B32" s="20" t="str">
        <f t="shared" si="0"/>
        <v/>
      </c>
      <c r="C32" s="20" t="str">
        <f t="shared" si="1"/>
        <v/>
      </c>
    </row>
    <row r="33" spans="1:3" ht="15.75" customHeight="1" x14ac:dyDescent="0.25">
      <c r="A33" s="24" t="s">
        <v>1266</v>
      </c>
      <c r="B33" s="20" t="str">
        <f t="shared" si="0"/>
        <v/>
      </c>
      <c r="C33" s="20" t="str">
        <f t="shared" si="1"/>
        <v/>
      </c>
    </row>
    <row r="34" spans="1:3" ht="15.75" customHeight="1" x14ac:dyDescent="0.25">
      <c r="A34" s="24" t="s">
        <v>1267</v>
      </c>
      <c r="B34" s="20" t="str">
        <f t="shared" si="0"/>
        <v/>
      </c>
      <c r="C34" s="20" t="str">
        <f t="shared" si="1"/>
        <v/>
      </c>
    </row>
    <row r="35" spans="1:3" ht="15.75" customHeight="1" x14ac:dyDescent="0.25">
      <c r="A35" s="24" t="s">
        <v>1268</v>
      </c>
      <c r="B35" s="20" t="str">
        <f t="shared" si="0"/>
        <v/>
      </c>
      <c r="C35" s="20" t="str">
        <f t="shared" si="1"/>
        <v/>
      </c>
    </row>
    <row r="36" spans="1:3" ht="15.75" customHeight="1" x14ac:dyDescent="0.25">
      <c r="A36" s="24" t="s">
        <v>1269</v>
      </c>
      <c r="B36" s="20" t="str">
        <f t="shared" si="0"/>
        <v/>
      </c>
      <c r="C36" s="20" t="str">
        <f t="shared" si="1"/>
        <v/>
      </c>
    </row>
    <row r="37" spans="1:3" ht="15.75" customHeight="1" x14ac:dyDescent="0.25">
      <c r="A37" s="36" t="s">
        <v>1303</v>
      </c>
      <c r="B37" s="37">
        <f t="shared" si="0"/>
        <v>32</v>
      </c>
      <c r="C37" s="37">
        <f t="shared" si="1"/>
        <v>32</v>
      </c>
    </row>
    <row r="38" spans="1:3" ht="15.75" customHeight="1" x14ac:dyDescent="0.25">
      <c r="A38" s="24" t="s">
        <v>1270</v>
      </c>
      <c r="B38" s="20" t="str">
        <f t="shared" si="0"/>
        <v/>
      </c>
      <c r="C38" s="20" t="str">
        <f t="shared" si="1"/>
        <v/>
      </c>
    </row>
    <row r="39" spans="1:3" ht="15.75" customHeight="1" x14ac:dyDescent="0.25">
      <c r="A39" s="24" t="s">
        <v>1271</v>
      </c>
      <c r="B39" s="20" t="str">
        <f t="shared" si="0"/>
        <v/>
      </c>
      <c r="C39" s="20" t="str">
        <f t="shared" si="1"/>
        <v/>
      </c>
    </row>
    <row r="40" spans="1:3" ht="15.75" customHeight="1" x14ac:dyDescent="0.25">
      <c r="A40" s="24" t="s">
        <v>1272</v>
      </c>
      <c r="B40" s="20" t="str">
        <f t="shared" si="0"/>
        <v/>
      </c>
      <c r="C40" s="20" t="str">
        <f t="shared" si="1"/>
        <v/>
      </c>
    </row>
    <row r="41" spans="1:3" ht="15.75" customHeight="1" x14ac:dyDescent="0.25">
      <c r="A41" s="24" t="s">
        <v>1273</v>
      </c>
      <c r="B41" s="20" t="str">
        <f t="shared" si="0"/>
        <v/>
      </c>
      <c r="C41" s="20" t="str">
        <f t="shared" si="1"/>
        <v/>
      </c>
    </row>
    <row r="42" spans="1:3" ht="15.75" customHeight="1" x14ac:dyDescent="0.25">
      <c r="A42" s="24" t="s">
        <v>1274</v>
      </c>
      <c r="B42" s="20" t="str">
        <f t="shared" si="0"/>
        <v/>
      </c>
      <c r="C42" s="20" t="str">
        <f t="shared" si="1"/>
        <v/>
      </c>
    </row>
    <row r="43" spans="1:3" ht="15.75" customHeight="1" x14ac:dyDescent="0.25">
      <c r="A43" s="24" t="s">
        <v>1275</v>
      </c>
      <c r="B43" s="20" t="str">
        <f t="shared" si="0"/>
        <v/>
      </c>
      <c r="C43" s="20" t="str">
        <f t="shared" si="1"/>
        <v/>
      </c>
    </row>
    <row r="44" spans="1:3" ht="15.75" customHeight="1" x14ac:dyDescent="0.25">
      <c r="A44" s="24" t="s">
        <v>1276</v>
      </c>
      <c r="B44" s="20" t="str">
        <f t="shared" si="0"/>
        <v/>
      </c>
      <c r="C44" s="20" t="str">
        <f t="shared" si="1"/>
        <v/>
      </c>
    </row>
    <row r="45" spans="1:3" ht="15.75" customHeight="1" x14ac:dyDescent="0.25">
      <c r="A45" s="24" t="s">
        <v>1277</v>
      </c>
      <c r="B45" s="20" t="str">
        <f t="shared" si="0"/>
        <v/>
      </c>
      <c r="C45" s="20" t="str">
        <f t="shared" si="1"/>
        <v/>
      </c>
    </row>
    <row r="46" spans="1:3" ht="15.75" customHeight="1" x14ac:dyDescent="0.25">
      <c r="A46" s="24" t="s">
        <v>1278</v>
      </c>
      <c r="B46" s="20" t="str">
        <f t="shared" si="0"/>
        <v/>
      </c>
      <c r="C46" s="20" t="str">
        <f t="shared" si="1"/>
        <v/>
      </c>
    </row>
    <row r="47" spans="1:3" ht="15.75" customHeight="1" x14ac:dyDescent="0.25">
      <c r="A47" s="24" t="s">
        <v>1279</v>
      </c>
      <c r="B47" s="20" t="str">
        <f t="shared" si="0"/>
        <v/>
      </c>
      <c r="C47" s="20" t="str">
        <f t="shared" si="1"/>
        <v/>
      </c>
    </row>
    <row r="48" spans="1:3" ht="15.75" customHeight="1" x14ac:dyDescent="0.25">
      <c r="A48" s="24" t="s">
        <v>1280</v>
      </c>
      <c r="B48" s="20" t="str">
        <f t="shared" si="0"/>
        <v/>
      </c>
      <c r="C48" s="20" t="str">
        <f t="shared" si="1"/>
        <v/>
      </c>
    </row>
    <row r="49" spans="1:3" ht="15.75" customHeight="1" x14ac:dyDescent="0.25">
      <c r="A49" s="24" t="s">
        <v>1281</v>
      </c>
      <c r="B49" s="20" t="str">
        <f t="shared" si="0"/>
        <v/>
      </c>
      <c r="C49" s="20" t="str">
        <f t="shared" si="1"/>
        <v/>
      </c>
    </row>
    <row r="50" spans="1:3" ht="15.75" customHeight="1" x14ac:dyDescent="0.25">
      <c r="A50" s="24" t="s">
        <v>1282</v>
      </c>
      <c r="B50" s="20" t="str">
        <f t="shared" si="0"/>
        <v/>
      </c>
      <c r="C50" s="20" t="str">
        <f t="shared" si="1"/>
        <v/>
      </c>
    </row>
    <row r="51" spans="1:3" ht="15.75" customHeight="1" x14ac:dyDescent="0.25">
      <c r="A51" s="24" t="s">
        <v>1283</v>
      </c>
      <c r="B51" s="20" t="str">
        <f t="shared" si="0"/>
        <v/>
      </c>
      <c r="C51" s="20" t="str">
        <f t="shared" si="1"/>
        <v/>
      </c>
    </row>
    <row r="52" spans="1:3" ht="15.75" customHeight="1" x14ac:dyDescent="0.25">
      <c r="A52" s="24" t="s">
        <v>1284</v>
      </c>
      <c r="B52" s="20" t="str">
        <f t="shared" si="0"/>
        <v/>
      </c>
      <c r="C52" s="20" t="str">
        <f t="shared" si="1"/>
        <v/>
      </c>
    </row>
    <row r="53" spans="1:3" ht="15.75" customHeight="1" x14ac:dyDescent="0.25">
      <c r="A53" s="24" t="s">
        <v>1285</v>
      </c>
      <c r="B53" s="20" t="str">
        <f t="shared" si="0"/>
        <v/>
      </c>
      <c r="C53" s="20" t="str">
        <f t="shared" si="1"/>
        <v/>
      </c>
    </row>
    <row r="54" spans="1:3" ht="15.75" customHeight="1" x14ac:dyDescent="0.25">
      <c r="A54" s="24" t="s">
        <v>1286</v>
      </c>
      <c r="B54" s="20" t="str">
        <f t="shared" si="0"/>
        <v/>
      </c>
      <c r="C54" s="20" t="str">
        <f t="shared" si="1"/>
        <v/>
      </c>
    </row>
    <row r="55" spans="1:3" ht="15.75" customHeight="1" x14ac:dyDescent="0.25">
      <c r="A55" s="24" t="s">
        <v>1287</v>
      </c>
      <c r="B55" s="20" t="str">
        <f t="shared" si="0"/>
        <v/>
      </c>
      <c r="C55" s="20" t="str">
        <f t="shared" si="1"/>
        <v/>
      </c>
    </row>
    <row r="56" spans="1:3" ht="15.75" customHeight="1" x14ac:dyDescent="0.25">
      <c r="A56" s="24" t="s">
        <v>1288</v>
      </c>
      <c r="B56" s="20" t="str">
        <f t="shared" si="0"/>
        <v/>
      </c>
      <c r="C56" s="20" t="str">
        <f t="shared" si="1"/>
        <v/>
      </c>
    </row>
    <row r="57" spans="1:3" ht="15.75" customHeight="1" x14ac:dyDescent="0.25">
      <c r="A57" s="36" t="s">
        <v>1305</v>
      </c>
      <c r="B57" s="20" t="str">
        <f t="shared" si="0"/>
        <v/>
      </c>
      <c r="C57" s="37">
        <f t="shared" si="1"/>
        <v>1</v>
      </c>
    </row>
    <row r="58" spans="1:3" ht="15.75" customHeight="1" x14ac:dyDescent="0.25">
      <c r="A58" s="24" t="s">
        <v>1289</v>
      </c>
      <c r="B58" s="20" t="str">
        <f t="shared" si="0"/>
        <v/>
      </c>
      <c r="C58" s="20" t="str">
        <f t="shared" si="1"/>
        <v/>
      </c>
    </row>
    <row r="59" spans="1:3" ht="15.75" customHeight="1" x14ac:dyDescent="0.25">
      <c r="A59" s="24" t="s">
        <v>1290</v>
      </c>
      <c r="B59" s="20" t="str">
        <f t="shared" si="0"/>
        <v/>
      </c>
      <c r="C59" s="20" t="str">
        <f t="shared" si="1"/>
        <v/>
      </c>
    </row>
    <row r="60" spans="1:3" ht="15.75" customHeight="1" x14ac:dyDescent="0.25">
      <c r="A60" s="24" t="s">
        <v>1291</v>
      </c>
      <c r="B60" s="20" t="str">
        <f t="shared" si="0"/>
        <v/>
      </c>
      <c r="C60" s="20" t="str">
        <f t="shared" si="1"/>
        <v/>
      </c>
    </row>
    <row r="61" spans="1:3" ht="15.75" customHeight="1" x14ac:dyDescent="0.25">
      <c r="A61" s="24" t="s">
        <v>1292</v>
      </c>
      <c r="B61" s="20" t="str">
        <f t="shared" si="0"/>
        <v/>
      </c>
      <c r="C61" s="20" t="str">
        <f t="shared" si="1"/>
        <v/>
      </c>
    </row>
    <row r="62" spans="1:3" ht="15.75" customHeight="1" x14ac:dyDescent="0.25">
      <c r="A62" s="24" t="s">
        <v>1293</v>
      </c>
      <c r="B62" s="20" t="str">
        <f t="shared" si="0"/>
        <v/>
      </c>
      <c r="C62" s="20" t="str">
        <f t="shared" si="1"/>
        <v/>
      </c>
    </row>
    <row r="63" spans="1:3" ht="15.75" customHeight="1" x14ac:dyDescent="0.25">
      <c r="A63" s="24" t="s">
        <v>1294</v>
      </c>
      <c r="B63" s="20" t="str">
        <f t="shared" si="0"/>
        <v/>
      </c>
      <c r="C63" s="20" t="str">
        <f t="shared" si="1"/>
        <v/>
      </c>
    </row>
    <row r="64" spans="1:3" ht="15.75" customHeight="1" x14ac:dyDescent="0.25">
      <c r="A64" s="24" t="s">
        <v>1295</v>
      </c>
      <c r="B64" s="20" t="str">
        <f t="shared" si="0"/>
        <v/>
      </c>
      <c r="C64" s="20" t="str">
        <f t="shared" si="1"/>
        <v/>
      </c>
    </row>
    <row r="65" spans="1:3" ht="15.75" customHeight="1" x14ac:dyDescent="0.25">
      <c r="A65" s="24" t="s">
        <v>1296</v>
      </c>
      <c r="B65" s="20" t="str">
        <f t="shared" si="0"/>
        <v/>
      </c>
      <c r="C65" s="20" t="str">
        <f t="shared" si="1"/>
        <v/>
      </c>
    </row>
    <row r="66" spans="1:3" ht="15.75" customHeight="1" x14ac:dyDescent="0.25">
      <c r="A66" s="36" t="s">
        <v>1304</v>
      </c>
      <c r="B66" s="20" t="str">
        <f t="shared" si="0"/>
        <v/>
      </c>
      <c r="C66" s="37">
        <f t="shared" si="1"/>
        <v>1</v>
      </c>
    </row>
    <row r="67" spans="1:3" ht="15.75" customHeight="1" x14ac:dyDescent="0.25">
      <c r="A67" s="24" t="s">
        <v>1297</v>
      </c>
      <c r="B67" s="20" t="str">
        <f t="shared" ref="B67:B72" si="2">IFERROR(FIND("планшет",A67),"")</f>
        <v/>
      </c>
      <c r="C67" s="20" t="str">
        <f t="shared" ref="C67:C72" si="3">IFERROR(SEARCH("планшет",A67),"")</f>
        <v/>
      </c>
    </row>
    <row r="68" spans="1:3" ht="15.75" customHeight="1" x14ac:dyDescent="0.25">
      <c r="A68" s="24" t="s">
        <v>1298</v>
      </c>
      <c r="B68" s="20" t="str">
        <f t="shared" si="2"/>
        <v/>
      </c>
      <c r="C68" s="20" t="str">
        <f t="shared" si="3"/>
        <v/>
      </c>
    </row>
    <row r="69" spans="1:3" ht="15.75" customHeight="1" x14ac:dyDescent="0.25">
      <c r="A69" s="24" t="s">
        <v>1299</v>
      </c>
      <c r="B69" s="20" t="str">
        <f t="shared" si="2"/>
        <v/>
      </c>
      <c r="C69" s="20" t="str">
        <f t="shared" si="3"/>
        <v/>
      </c>
    </row>
    <row r="70" spans="1:3" ht="15.75" customHeight="1" x14ac:dyDescent="0.25">
      <c r="A70" s="24" t="s">
        <v>1300</v>
      </c>
      <c r="B70" s="20" t="str">
        <f t="shared" si="2"/>
        <v/>
      </c>
      <c r="C70" s="20" t="str">
        <f t="shared" si="3"/>
        <v/>
      </c>
    </row>
    <row r="71" spans="1:3" ht="15.75" customHeight="1" x14ac:dyDescent="0.25">
      <c r="A71" s="24" t="s">
        <v>1301</v>
      </c>
      <c r="B71" s="20" t="str">
        <f t="shared" si="2"/>
        <v/>
      </c>
      <c r="C71" s="20" t="str">
        <f t="shared" si="3"/>
        <v/>
      </c>
    </row>
    <row r="72" spans="1:3" ht="15.75" customHeight="1" x14ac:dyDescent="0.25">
      <c r="A72" s="24" t="s">
        <v>1302</v>
      </c>
      <c r="B72" s="20" t="str">
        <f t="shared" si="2"/>
        <v/>
      </c>
      <c r="C72" s="20" t="str">
        <f t="shared" si="3"/>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3"/>
  <sheetViews>
    <sheetView zoomScaleNormal="100" workbookViewId="0">
      <pane ySplit="1" topLeftCell="A2" activePane="bottomLeft" state="frozen"/>
      <selection pane="bottomLeft" activeCell="A4" sqref="A4"/>
    </sheetView>
  </sheetViews>
  <sheetFormatPr defaultColWidth="14.44140625" defaultRowHeight="15.75" customHeight="1" x14ac:dyDescent="0.25"/>
  <cols>
    <col min="1" max="1" width="94.44140625" customWidth="1"/>
    <col min="2" max="2" width="76.77734375" customWidth="1"/>
    <col min="3" max="3" width="3.5546875" customWidth="1"/>
    <col min="4" max="4" width="17.6640625" customWidth="1"/>
  </cols>
  <sheetData>
    <row r="1" spans="1:5" ht="15.75" customHeight="1" thickBot="1" x14ac:dyDescent="0.35">
      <c r="A1" s="16" t="s">
        <v>5</v>
      </c>
      <c r="B1" s="16" t="s">
        <v>6</v>
      </c>
      <c r="C1" s="16"/>
      <c r="D1" s="16" t="s">
        <v>7</v>
      </c>
      <c r="E1" s="16" t="s">
        <v>8</v>
      </c>
    </row>
    <row r="2" spans="1:5" ht="26.4" x14ac:dyDescent="0.25">
      <c r="A2" s="39" t="s">
        <v>9</v>
      </c>
      <c r="B2" s="38" t="str">
        <f>SUBSTITUTE(A2,"твердая обложка","твердый переплет")</f>
        <v>Голова как решето. Зачем включать мозги в эпоху гаджетов и Google (твердый переплет)</v>
      </c>
      <c r="C2" s="18"/>
      <c r="D2" s="18" t="s">
        <v>10</v>
      </c>
      <c r="E2" s="18" t="str">
        <f>REPLACE(D2,1,2,"00")</f>
        <v>0016968</v>
      </c>
    </row>
    <row r="3" spans="1:5" ht="13.8" x14ac:dyDescent="0.25">
      <c r="A3" s="21" t="s">
        <v>1323</v>
      </c>
      <c r="B3" s="32" t="str">
        <f t="shared" ref="B3:B42" si="0">SUBSTITUTE(A3,"твердая обложка","твердый переплет")</f>
        <v xml:space="preserve">Рок-презентация: как придать своему выступлению страсть и экспрессию </v>
      </c>
      <c r="C3" s="18"/>
      <c r="D3" s="18" t="s">
        <v>11</v>
      </c>
      <c r="E3" s="18" t="str">
        <f t="shared" ref="E3:E42" si="1">REPLACE(D3,1,2,"00")</f>
        <v>0031142</v>
      </c>
    </row>
    <row r="4" spans="1:5" ht="13.8" x14ac:dyDescent="0.25">
      <c r="A4" s="22" t="s">
        <v>12</v>
      </c>
      <c r="B4" s="32" t="str">
        <f t="shared" si="0"/>
        <v>Финансы для нефинансистов</v>
      </c>
      <c r="C4" s="18"/>
      <c r="D4" s="18" t="s">
        <v>13</v>
      </c>
      <c r="E4" s="18" t="str">
        <f t="shared" si="1"/>
        <v>0093817</v>
      </c>
    </row>
    <row r="5" spans="1:5" ht="26.4" x14ac:dyDescent="0.25">
      <c r="A5" s="21" t="s">
        <v>14</v>
      </c>
      <c r="B5" s="32" t="str">
        <f t="shared" si="0"/>
        <v>Третья книга, которой нет. 16 вопросов к себе, необходимых для выдающихся результатов</v>
      </c>
      <c r="C5" s="18"/>
      <c r="D5" s="18" t="s">
        <v>15</v>
      </c>
      <c r="E5" s="18" t="str">
        <f t="shared" si="1"/>
        <v>0088527</v>
      </c>
    </row>
    <row r="6" spans="1:5" ht="27.6" x14ac:dyDescent="0.25">
      <c r="A6" s="39" t="s">
        <v>1379</v>
      </c>
      <c r="B6" s="38" t="str">
        <f t="shared" si="0"/>
        <v>ПОЗИТИВНОЕ МЫШЛЕНИЕ. Как найти счастье и достичь своих целей силой позитивного мышления  (твердый переплет)</v>
      </c>
      <c r="C6" s="18"/>
      <c r="D6" s="18" t="s">
        <v>16</v>
      </c>
      <c r="E6" s="18" t="str">
        <f t="shared" si="1"/>
        <v>0079119</v>
      </c>
    </row>
    <row r="7" spans="1:5" ht="13.8" x14ac:dyDescent="0.25">
      <c r="A7" s="22" t="s">
        <v>1324</v>
      </c>
      <c r="B7" s="32" t="str">
        <f t="shared" si="0"/>
        <v xml:space="preserve">История Соединенных Штатов. Краткий курс в комиксах </v>
      </c>
      <c r="C7" s="18"/>
      <c r="D7" s="18" t="s">
        <v>17</v>
      </c>
      <c r="E7" s="18" t="str">
        <f t="shared" si="1"/>
        <v>0065617</v>
      </c>
    </row>
    <row r="8" spans="1:5" ht="27.6" x14ac:dyDescent="0.25">
      <c r="A8" s="21" t="s">
        <v>18</v>
      </c>
      <c r="B8" s="32" t="str">
        <f t="shared" si="0"/>
        <v>Власть голоса. Книга о главном инструменте политиков, певцов, актеров – от одного из лучших фониатров мира</v>
      </c>
      <c r="C8" s="18"/>
      <c r="D8" s="18" t="s">
        <v>19</v>
      </c>
      <c r="E8" s="18" t="str">
        <f t="shared" si="1"/>
        <v>0036625</v>
      </c>
    </row>
    <row r="9" spans="1:5" ht="13.8" x14ac:dyDescent="0.25">
      <c r="A9" s="21" t="s">
        <v>20</v>
      </c>
      <c r="B9" s="32" t="str">
        <f t="shared" si="0"/>
        <v>Рывок. От отличного к гениальному</v>
      </c>
      <c r="C9" s="18"/>
      <c r="D9" s="18" t="s">
        <v>21</v>
      </c>
      <c r="E9" s="18" t="str">
        <f t="shared" si="1"/>
        <v>0076464</v>
      </c>
    </row>
    <row r="10" spans="1:5" ht="13.8" x14ac:dyDescent="0.25">
      <c r="A10" s="21" t="s">
        <v>22</v>
      </c>
      <c r="B10" s="32" t="str">
        <f t="shared" si="0"/>
        <v>Мотивационное консультирование: как помочь людям измениться</v>
      </c>
      <c r="C10" s="18"/>
      <c r="D10" s="18" t="s">
        <v>23</v>
      </c>
      <c r="E10" s="18" t="str">
        <f t="shared" si="1"/>
        <v>0092929</v>
      </c>
    </row>
    <row r="11" spans="1:5" ht="13.8" x14ac:dyDescent="0.25">
      <c r="A11" s="22" t="s">
        <v>1325</v>
      </c>
      <c r="B11" s="32" t="str">
        <f t="shared" si="0"/>
        <v xml:space="preserve">Очки-костыли. Почему очки опасны и как улучшить зрение, не пользуясь оптикой </v>
      </c>
      <c r="C11" s="18"/>
      <c r="D11" s="18" t="s">
        <v>24</v>
      </c>
      <c r="E11" s="18" t="str">
        <f t="shared" si="1"/>
        <v>0028875</v>
      </c>
    </row>
    <row r="12" spans="1:5" ht="26.4" x14ac:dyDescent="0.25">
      <c r="A12" s="21" t="s">
        <v>25</v>
      </c>
      <c r="B12" s="32" t="str">
        <f t="shared" si="0"/>
        <v>Тайная жизнь кошки. Как понять истинную природу питомца и стать для него лучшим другом</v>
      </c>
      <c r="C12" s="18"/>
      <c r="D12" s="18" t="s">
        <v>26</v>
      </c>
      <c r="E12" s="18" t="str">
        <f t="shared" si="1"/>
        <v>0011714</v>
      </c>
    </row>
    <row r="13" spans="1:5" ht="13.8" x14ac:dyDescent="0.25">
      <c r="A13" s="21" t="s">
        <v>27</v>
      </c>
      <c r="B13" s="32" t="str">
        <f t="shared" si="0"/>
        <v>Изучаем программирование на Python</v>
      </c>
      <c r="C13" s="18"/>
      <c r="D13" s="18" t="s">
        <v>28</v>
      </c>
      <c r="E13" s="18" t="str">
        <f t="shared" si="1"/>
        <v>0059371</v>
      </c>
    </row>
    <row r="14" spans="1:5" ht="13.8" x14ac:dyDescent="0.25">
      <c r="A14" s="21" t="s">
        <v>1326</v>
      </c>
      <c r="B14" s="32" t="str">
        <f t="shared" si="0"/>
        <v xml:space="preserve">Что со мной, доктор? Вся правда о щитовидной железе </v>
      </c>
      <c r="C14" s="18"/>
      <c r="D14" s="18" t="s">
        <v>29</v>
      </c>
      <c r="E14" s="18" t="str">
        <f t="shared" si="1"/>
        <v>0068284</v>
      </c>
    </row>
    <row r="15" spans="1:5" ht="26.4" x14ac:dyDescent="0.25">
      <c r="A15" s="21" t="s">
        <v>30</v>
      </c>
      <c r="B15" s="32" t="str">
        <f t="shared" si="0"/>
        <v>С пингвином в рюкзаке. Путешествие по Южной Америке с другом, который научил меня жить</v>
      </c>
      <c r="C15" s="18"/>
      <c r="D15" s="18" t="s">
        <v>31</v>
      </c>
      <c r="E15" s="18" t="str">
        <f t="shared" si="1"/>
        <v>0086999</v>
      </c>
    </row>
    <row r="16" spans="1:5" ht="26.4" x14ac:dyDescent="0.25">
      <c r="A16" s="21" t="s">
        <v>32</v>
      </c>
      <c r="B16" s="32" t="str">
        <f t="shared" si="0"/>
        <v>Хватит быть хорошим! Как перестать подстраиваться под других и стать счастливым</v>
      </c>
      <c r="C16" s="18"/>
      <c r="D16" s="18" t="s">
        <v>33</v>
      </c>
      <c r="E16" s="18" t="str">
        <f t="shared" si="1"/>
        <v>0014571</v>
      </c>
    </row>
    <row r="17" spans="1:5" ht="13.8" x14ac:dyDescent="0.25">
      <c r="A17" s="21" t="s">
        <v>1327</v>
      </c>
      <c r="B17" s="32" t="str">
        <f t="shared" si="0"/>
        <v xml:space="preserve">KenKen. Японская система тренировки мозга </v>
      </c>
      <c r="C17" s="18"/>
      <c r="D17" s="18" t="s">
        <v>34</v>
      </c>
      <c r="E17" s="18" t="str">
        <f t="shared" si="1"/>
        <v>0085649</v>
      </c>
    </row>
    <row r="18" spans="1:5" ht="26.4" x14ac:dyDescent="0.25">
      <c r="A18" s="21" t="s">
        <v>35</v>
      </c>
      <c r="B18" s="32" t="str">
        <f t="shared" si="0"/>
        <v>Мальчики в лодке. Девять гребцов-любителей сотворили чудо на гитлеровской Олимпиаде</v>
      </c>
      <c r="C18" s="18"/>
      <c r="D18" s="18" t="s">
        <v>36</v>
      </c>
      <c r="E18" s="18" t="str">
        <f t="shared" si="1"/>
        <v>0059429</v>
      </c>
    </row>
    <row r="19" spans="1:5" ht="13.8" x14ac:dyDescent="0.25">
      <c r="A19" s="21" t="s">
        <v>1328</v>
      </c>
      <c r="B19" s="32" t="str">
        <f t="shared" si="0"/>
        <v xml:space="preserve">Мохаммед Али. Семья в память о великом. Неизданное </v>
      </c>
      <c r="C19" s="18"/>
      <c r="D19" s="18" t="s">
        <v>37</v>
      </c>
      <c r="E19" s="18" t="str">
        <f t="shared" si="1"/>
        <v>0065864</v>
      </c>
    </row>
    <row r="20" spans="1:5" ht="13.8" x14ac:dyDescent="0.25">
      <c r="A20" s="21" t="s">
        <v>38</v>
      </c>
      <c r="B20" s="32" t="str">
        <f t="shared" si="0"/>
        <v>Охота на биткоин. Графический роман о создателе самой известной криптовалюты</v>
      </c>
      <c r="C20" s="18"/>
      <c r="D20" s="18" t="s">
        <v>39</v>
      </c>
      <c r="E20" s="18" t="str">
        <f t="shared" si="1"/>
        <v>0036561</v>
      </c>
    </row>
    <row r="21" spans="1:5" ht="13.8" x14ac:dyDescent="0.25">
      <c r="A21" s="21" t="s">
        <v>1329</v>
      </c>
      <c r="B21" s="32" t="str">
        <f t="shared" si="0"/>
        <v xml:space="preserve">Как работать на идиота </v>
      </c>
      <c r="C21" s="18"/>
      <c r="D21" s="18" t="s">
        <v>40</v>
      </c>
      <c r="E21" s="18" t="str">
        <f t="shared" si="1"/>
        <v>0031629</v>
      </c>
    </row>
    <row r="22" spans="1:5" ht="13.8" x14ac:dyDescent="0.25">
      <c r="A22" s="21" t="s">
        <v>41</v>
      </c>
      <c r="B22" s="32" t="str">
        <f t="shared" si="0"/>
        <v>GET FEEDBACK. Как негативные отзывы сделают ваш продукт лидером рынка</v>
      </c>
      <c r="C22" s="18"/>
      <c r="D22" s="18" t="s">
        <v>42</v>
      </c>
      <c r="E22" s="18" t="str">
        <f t="shared" si="1"/>
        <v>0034598</v>
      </c>
    </row>
    <row r="23" spans="1:5" ht="13.8" x14ac:dyDescent="0.25">
      <c r="A23" s="21" t="s">
        <v>1330</v>
      </c>
      <c r="B23" s="32" t="str">
        <f t="shared" si="0"/>
        <v xml:space="preserve">Диетологические глупости. Низвержение мифов </v>
      </c>
      <c r="C23" s="18"/>
      <c r="D23" s="18" t="s">
        <v>43</v>
      </c>
      <c r="E23" s="18" t="str">
        <f t="shared" si="1"/>
        <v>0021467</v>
      </c>
    </row>
    <row r="24" spans="1:5" ht="13.8" x14ac:dyDescent="0.25">
      <c r="A24" s="21" t="s">
        <v>44</v>
      </c>
      <c r="B24" s="32" t="str">
        <f t="shared" si="0"/>
        <v>Ученые скрывают? Мифы XXI века</v>
      </c>
      <c r="C24" s="18"/>
      <c r="D24" s="18" t="s">
        <v>45</v>
      </c>
      <c r="E24" s="18" t="str">
        <f t="shared" si="1"/>
        <v>0014658</v>
      </c>
    </row>
    <row r="25" spans="1:5" ht="13.8" x14ac:dyDescent="0.25">
      <c r="A25" s="21" t="s">
        <v>46</v>
      </c>
      <c r="B25" s="32" t="str">
        <f t="shared" si="0"/>
        <v>Машинное обучение</v>
      </c>
      <c r="C25" s="18"/>
      <c r="D25" s="18" t="s">
        <v>47</v>
      </c>
      <c r="E25" s="18" t="str">
        <f t="shared" si="1"/>
        <v>0044214</v>
      </c>
    </row>
    <row r="26" spans="1:5" ht="13.8" x14ac:dyDescent="0.25">
      <c r="A26" s="21" t="s">
        <v>48</v>
      </c>
      <c r="B26" s="32" t="str">
        <f t="shared" si="0"/>
        <v>Винный эксперт за 24 часа</v>
      </c>
      <c r="C26" s="18"/>
      <c r="D26" s="18" t="s">
        <v>49</v>
      </c>
      <c r="E26" s="18" t="str">
        <f t="shared" si="1"/>
        <v>0035861</v>
      </c>
    </row>
    <row r="27" spans="1:5" ht="13.8" x14ac:dyDescent="0.25">
      <c r="A27" s="21" t="s">
        <v>1331</v>
      </c>
      <c r="B27" s="32" t="str">
        <f t="shared" si="0"/>
        <v xml:space="preserve">Машина песен. Внутри фабрики хитов </v>
      </c>
      <c r="C27" s="18"/>
      <c r="D27" s="18" t="s">
        <v>50</v>
      </c>
      <c r="E27" s="18" t="str">
        <f t="shared" si="1"/>
        <v>0089821</v>
      </c>
    </row>
    <row r="28" spans="1:5" ht="13.8" x14ac:dyDescent="0.25">
      <c r="A28" s="21" t="s">
        <v>51</v>
      </c>
      <c r="B28" s="32" t="str">
        <f t="shared" si="0"/>
        <v>Разломанное время. Культура и общество в XX веке</v>
      </c>
      <c r="C28" s="18"/>
      <c r="D28" s="18" t="s">
        <v>52</v>
      </c>
      <c r="E28" s="18" t="str">
        <f t="shared" si="1"/>
        <v>0094939</v>
      </c>
    </row>
    <row r="29" spans="1:5" ht="13.8" x14ac:dyDescent="0.25">
      <c r="A29" s="21" t="s">
        <v>1332</v>
      </c>
      <c r="B29" s="32" t="str">
        <f t="shared" si="0"/>
        <v xml:space="preserve">Самая большая ошибка Эйнштейна </v>
      </c>
      <c r="C29" s="18"/>
      <c r="D29" s="18" t="s">
        <v>53</v>
      </c>
      <c r="E29" s="18" t="str">
        <f t="shared" si="1"/>
        <v>0045243</v>
      </c>
    </row>
    <row r="30" spans="1:5" ht="13.8" x14ac:dyDescent="0.25">
      <c r="A30" s="21" t="s">
        <v>54</v>
      </c>
      <c r="B30" s="32" t="str">
        <f t="shared" si="0"/>
        <v>Золотой запас. Почему золото, а не биткоины валюта XXI века</v>
      </c>
      <c r="C30" s="18"/>
      <c r="D30" s="18" t="s">
        <v>55</v>
      </c>
      <c r="E30" s="18" t="str">
        <f t="shared" si="1"/>
        <v>0096792</v>
      </c>
    </row>
    <row r="31" spans="1:5" ht="13.8" x14ac:dyDescent="0.25">
      <c r="A31" s="21" t="s">
        <v>56</v>
      </c>
      <c r="B31" s="32" t="str">
        <f t="shared" si="0"/>
        <v>Таинственный геном человека</v>
      </c>
      <c r="C31" s="18"/>
      <c r="D31" s="18" t="s">
        <v>57</v>
      </c>
      <c r="E31" s="18" t="str">
        <f t="shared" si="1"/>
        <v>0026394</v>
      </c>
    </row>
    <row r="32" spans="1:5" ht="13.8" x14ac:dyDescent="0.25">
      <c r="A32" s="21" t="s">
        <v>1333</v>
      </c>
      <c r="B32" s="32" t="str">
        <f t="shared" si="0"/>
        <v xml:space="preserve">Дао благополучия. История вашего будущего </v>
      </c>
      <c r="C32" s="18"/>
      <c r="D32" s="18" t="s">
        <v>58</v>
      </c>
      <c r="E32" s="18" t="str">
        <f t="shared" si="1"/>
        <v>0024374</v>
      </c>
    </row>
    <row r="33" spans="1:5" ht="13.8" x14ac:dyDescent="0.25">
      <c r="A33" s="21" t="s">
        <v>59</v>
      </c>
      <c r="B33" s="32" t="str">
        <f t="shared" si="0"/>
        <v>Depeche Mode. Монумент</v>
      </c>
      <c r="C33" s="18"/>
      <c r="D33" s="18" t="s">
        <v>60</v>
      </c>
      <c r="E33" s="18" t="str">
        <f t="shared" si="1"/>
        <v>0036474</v>
      </c>
    </row>
    <row r="34" spans="1:5" ht="13.8" x14ac:dyDescent="0.25">
      <c r="A34" s="21" t="s">
        <v>1334</v>
      </c>
      <c r="B34" s="32" t="str">
        <f t="shared" si="0"/>
        <v xml:space="preserve">Ленинград. Невероятная и правдивая история </v>
      </c>
      <c r="C34" s="18"/>
      <c r="D34" s="18" t="s">
        <v>61</v>
      </c>
      <c r="E34" s="18" t="str">
        <f t="shared" si="1"/>
        <v>0061173</v>
      </c>
    </row>
    <row r="35" spans="1:5" ht="13.8" x14ac:dyDescent="0.25">
      <c r="A35" s="21" t="s">
        <v>62</v>
      </c>
      <c r="B35" s="32" t="str">
        <f t="shared" si="0"/>
        <v>Тайны кельтов. Раскраска-антистресс для творчества и вдохновения</v>
      </c>
      <c r="C35" s="18"/>
      <c r="D35" s="18" t="s">
        <v>63</v>
      </c>
      <c r="E35" s="18" t="str">
        <f t="shared" si="1"/>
        <v>0027483</v>
      </c>
    </row>
    <row r="36" spans="1:5" ht="13.8" x14ac:dyDescent="0.25">
      <c r="A36" s="21" t="s">
        <v>1335</v>
      </c>
      <c r="B36" s="32" t="str">
        <f t="shared" si="0"/>
        <v xml:space="preserve">Офлайн-режим: 365 способов отказаться от гаджетов и улучшить свою жизнь </v>
      </c>
      <c r="C36" s="18"/>
      <c r="D36" s="18" t="s">
        <v>64</v>
      </c>
      <c r="E36" s="18" t="str">
        <f t="shared" si="1"/>
        <v>0031915</v>
      </c>
    </row>
    <row r="37" spans="1:5" ht="13.8" x14ac:dyDescent="0.25">
      <c r="A37" s="21" t="s">
        <v>65</v>
      </c>
      <c r="B37" s="32" t="str">
        <f t="shared" si="0"/>
        <v>100 дней творчества</v>
      </c>
      <c r="C37" s="18"/>
      <c r="D37" s="18" t="s">
        <v>66</v>
      </c>
      <c r="E37" s="18" t="str">
        <f t="shared" si="1"/>
        <v>0044542</v>
      </c>
    </row>
    <row r="38" spans="1:5" ht="13.8" x14ac:dyDescent="0.25">
      <c r="A38" s="21" t="s">
        <v>1336</v>
      </c>
      <c r="B38" s="32" t="str">
        <f t="shared" si="0"/>
        <v xml:space="preserve">Сильнобеременная: комиксы о плюсах и минусах беременности </v>
      </c>
      <c r="C38" s="18"/>
      <c r="D38" s="18" t="s">
        <v>67</v>
      </c>
      <c r="E38" s="18" t="str">
        <f t="shared" si="1"/>
        <v>0026576</v>
      </c>
    </row>
    <row r="39" spans="1:5" ht="13.8" x14ac:dyDescent="0.25">
      <c r="A39" s="21" t="s">
        <v>1337</v>
      </c>
      <c r="B39" s="32" t="str">
        <f t="shared" si="0"/>
        <v xml:space="preserve">Большой и мягкий комочек счастья. Комиксы Сары Андерсен </v>
      </c>
      <c r="C39" s="18"/>
      <c r="D39" s="18" t="s">
        <v>68</v>
      </c>
      <c r="E39" s="18" t="str">
        <f t="shared" si="1"/>
        <v>0037864</v>
      </c>
    </row>
    <row r="40" spans="1:5" ht="13.8" x14ac:dyDescent="0.25">
      <c r="A40" s="21" t="s">
        <v>1338</v>
      </c>
      <c r="B40" s="32" t="str">
        <f t="shared" si="0"/>
        <v xml:space="preserve">Анатомия. Физиология. Фундаментальные основы </v>
      </c>
      <c r="C40" s="18"/>
      <c r="D40" s="18" t="s">
        <v>69</v>
      </c>
      <c r="E40" s="18" t="str">
        <f t="shared" si="1"/>
        <v>0066211</v>
      </c>
    </row>
    <row r="41" spans="1:5" ht="13.8" x14ac:dyDescent="0.25">
      <c r="A41" s="21" t="s">
        <v>1339</v>
      </c>
      <c r="B41" s="32" t="str">
        <f t="shared" si="0"/>
        <v xml:space="preserve">Куриный бульон для души: 101 история о чудесах </v>
      </c>
      <c r="C41" s="18"/>
      <c r="D41" s="18" t="s">
        <v>70</v>
      </c>
      <c r="E41" s="18" t="str">
        <f t="shared" si="1"/>
        <v>0096153</v>
      </c>
    </row>
    <row r="42" spans="1:5" ht="13.8" x14ac:dyDescent="0.25">
      <c r="A42" s="22" t="s">
        <v>1340</v>
      </c>
      <c r="B42" s="32" t="str">
        <f t="shared" si="0"/>
        <v xml:space="preserve">Отели и их секреты </v>
      </c>
      <c r="C42" s="18"/>
      <c r="D42" s="18" t="s">
        <v>71</v>
      </c>
      <c r="E42" s="18" t="str">
        <f t="shared" si="1"/>
        <v>0094869</v>
      </c>
    </row>
    <row r="43" spans="1:5" ht="15.75" customHeight="1" x14ac:dyDescent="0.25">
      <c r="A43" s="19"/>
      <c r="B43" s="19"/>
      <c r="C43" s="19"/>
      <c r="D43" s="19"/>
      <c r="E43" s="19"/>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F1000"/>
  <sheetViews>
    <sheetView zoomScale="130" zoomScaleNormal="130" workbookViewId="0">
      <pane ySplit="1" topLeftCell="A5" activePane="bottomLeft" state="frozen"/>
      <selection pane="bottomLeft" activeCell="E9" sqref="E9"/>
    </sheetView>
  </sheetViews>
  <sheetFormatPr defaultColWidth="14.44140625" defaultRowHeight="15.75" customHeight="1" x14ac:dyDescent="0.25"/>
  <cols>
    <col min="1" max="1" width="16.109375" customWidth="1"/>
    <col min="2" max="2" width="19.44140625" bestFit="1" customWidth="1"/>
    <col min="3" max="3" width="15.21875" bestFit="1" customWidth="1"/>
    <col min="4" max="4" width="13.109375" bestFit="1" customWidth="1"/>
  </cols>
  <sheetData>
    <row r="1" spans="1:4" ht="15" thickBot="1" x14ac:dyDescent="0.35">
      <c r="A1" s="16" t="s">
        <v>169</v>
      </c>
      <c r="B1" s="40" t="s">
        <v>890</v>
      </c>
      <c r="C1" s="16" t="s">
        <v>891</v>
      </c>
      <c r="D1" s="16" t="s">
        <v>892</v>
      </c>
    </row>
    <row r="2" spans="1:4" ht="15.75" customHeight="1" x14ac:dyDescent="0.25">
      <c r="A2" s="12" t="s">
        <v>170</v>
      </c>
      <c r="B2" t="str">
        <f>LEFT(A2,6)</f>
        <v>AONZCT</v>
      </c>
      <c r="C2" t="str">
        <f>RIGHT(A2,2)</f>
        <v>57</v>
      </c>
      <c r="D2" t="str">
        <f>MID(A2,5,2)</f>
        <v>CT</v>
      </c>
    </row>
    <row r="3" spans="1:4" ht="15.75" customHeight="1" x14ac:dyDescent="0.25">
      <c r="A3" s="1" t="s">
        <v>171</v>
      </c>
      <c r="B3" t="str">
        <f t="shared" ref="B3:B4" si="0">LEFT(A3,6)</f>
        <v>SZFKQD</v>
      </c>
      <c r="C3" t="str">
        <f t="shared" ref="C3:C4" si="1">RIGHT(A3,2)</f>
        <v>44</v>
      </c>
      <c r="D3" t="str">
        <f t="shared" ref="D3:D4" si="2">MID(A3,5,2)</f>
        <v>QD</v>
      </c>
    </row>
    <row r="4" spans="1:4" ht="15.75" customHeight="1" x14ac:dyDescent="0.25">
      <c r="A4" s="2" t="s">
        <v>172</v>
      </c>
      <c r="B4" t="str">
        <f t="shared" si="0"/>
        <v>DPRFTT</v>
      </c>
      <c r="C4" t="str">
        <f t="shared" si="1"/>
        <v>51</v>
      </c>
      <c r="D4" t="str">
        <f t="shared" si="2"/>
        <v>TT</v>
      </c>
    </row>
    <row r="5" spans="1:4" ht="15.75" customHeight="1" x14ac:dyDescent="0.25">
      <c r="A5" s="2" t="s">
        <v>173</v>
      </c>
      <c r="B5" t="str">
        <f>LEFT(A5,6)</f>
        <v>YFPRJL</v>
      </c>
      <c r="C5" t="str">
        <f>RIGHT(A5,2)</f>
        <v>58</v>
      </c>
      <c r="D5" t="str">
        <f>MID(A5,5,2)</f>
        <v>JL</v>
      </c>
    </row>
    <row r="6" spans="1:4" ht="15.75" customHeight="1" x14ac:dyDescent="0.25">
      <c r="A6" s="2" t="s">
        <v>174</v>
      </c>
      <c r="B6" t="str">
        <f t="shared" ref="B6:B69" si="3">LEFT(A6,6)</f>
        <v>MVXIZL</v>
      </c>
      <c r="C6" t="str">
        <f t="shared" ref="C6:C69" si="4">RIGHT(A6,2)</f>
        <v>88</v>
      </c>
      <c r="D6" t="str">
        <f t="shared" ref="D6:D69" si="5">MID(A6,5,2)</f>
        <v>ZL</v>
      </c>
    </row>
    <row r="7" spans="1:4" ht="15.75" customHeight="1" x14ac:dyDescent="0.25">
      <c r="A7" s="2" t="s">
        <v>175</v>
      </c>
      <c r="B7" t="str">
        <f t="shared" si="3"/>
        <v>QUAVYH</v>
      </c>
      <c r="C7" t="str">
        <f t="shared" si="4"/>
        <v>88</v>
      </c>
      <c r="D7" t="str">
        <f t="shared" si="5"/>
        <v>YH</v>
      </c>
    </row>
    <row r="8" spans="1:4" ht="15.75" customHeight="1" x14ac:dyDescent="0.25">
      <c r="A8" s="2" t="s">
        <v>176</v>
      </c>
      <c r="B8" t="str">
        <f t="shared" si="3"/>
        <v>WMAHLX</v>
      </c>
      <c r="C8" t="str">
        <f t="shared" si="4"/>
        <v>26</v>
      </c>
      <c r="D8" t="str">
        <f t="shared" si="5"/>
        <v>LX</v>
      </c>
    </row>
    <row r="9" spans="1:4" ht="15.75" customHeight="1" x14ac:dyDescent="0.25">
      <c r="A9" s="2" t="s">
        <v>177</v>
      </c>
      <c r="B9" t="str">
        <f t="shared" si="3"/>
        <v>XFJFYU</v>
      </c>
      <c r="C9" t="str">
        <f t="shared" si="4"/>
        <v>96</v>
      </c>
      <c r="D9" t="str">
        <f t="shared" si="5"/>
        <v>YU</v>
      </c>
    </row>
    <row r="10" spans="1:4" ht="15.75" customHeight="1" x14ac:dyDescent="0.25">
      <c r="A10" s="2" t="s">
        <v>178</v>
      </c>
      <c r="B10" t="str">
        <f t="shared" si="3"/>
        <v>FICZDB</v>
      </c>
      <c r="C10" t="str">
        <f t="shared" si="4"/>
        <v>91</v>
      </c>
      <c r="D10" t="str">
        <f t="shared" si="5"/>
        <v>DB</v>
      </c>
    </row>
    <row r="11" spans="1:4" ht="15.75" customHeight="1" x14ac:dyDescent="0.25">
      <c r="A11" s="2" t="s">
        <v>179</v>
      </c>
      <c r="B11" t="str">
        <f t="shared" si="3"/>
        <v>ZHGNNV</v>
      </c>
      <c r="C11" t="str">
        <f t="shared" si="4"/>
        <v>19</v>
      </c>
      <c r="D11" t="str">
        <f t="shared" si="5"/>
        <v>NV</v>
      </c>
    </row>
    <row r="12" spans="1:4" ht="15.75" customHeight="1" x14ac:dyDescent="0.25">
      <c r="A12" s="2" t="s">
        <v>180</v>
      </c>
      <c r="B12" t="str">
        <f t="shared" si="3"/>
        <v>GUPPOJ</v>
      </c>
      <c r="C12" t="str">
        <f t="shared" si="4"/>
        <v>78</v>
      </c>
      <c r="D12" t="str">
        <f t="shared" si="5"/>
        <v>OJ</v>
      </c>
    </row>
    <row r="13" spans="1:4" ht="15.75" customHeight="1" x14ac:dyDescent="0.25">
      <c r="A13" s="2" t="s">
        <v>181</v>
      </c>
      <c r="B13" t="str">
        <f t="shared" si="3"/>
        <v>FMPHCP</v>
      </c>
      <c r="C13" t="str">
        <f t="shared" si="4"/>
        <v>13</v>
      </c>
      <c r="D13" t="str">
        <f t="shared" si="5"/>
        <v>CP</v>
      </c>
    </row>
    <row r="14" spans="1:4" ht="15.75" customHeight="1" x14ac:dyDescent="0.25">
      <c r="A14" s="2" t="s">
        <v>182</v>
      </c>
      <c r="B14" t="str">
        <f t="shared" si="3"/>
        <v>HYQUMU</v>
      </c>
      <c r="C14" t="str">
        <f t="shared" si="4"/>
        <v>53</v>
      </c>
      <c r="D14" t="str">
        <f t="shared" si="5"/>
        <v>MU</v>
      </c>
    </row>
    <row r="15" spans="1:4" ht="15.75" customHeight="1" x14ac:dyDescent="0.25">
      <c r="A15" s="2" t="s">
        <v>183</v>
      </c>
      <c r="B15" t="str">
        <f t="shared" si="3"/>
        <v>MGBPVL</v>
      </c>
      <c r="C15" t="str">
        <f t="shared" si="4"/>
        <v>79</v>
      </c>
      <c r="D15" t="str">
        <f t="shared" si="5"/>
        <v>VL</v>
      </c>
    </row>
    <row r="16" spans="1:4" ht="15.75" customHeight="1" x14ac:dyDescent="0.25">
      <c r="A16" s="2" t="s">
        <v>184</v>
      </c>
      <c r="B16" t="str">
        <f t="shared" si="3"/>
        <v>HYQSRR</v>
      </c>
      <c r="C16" t="str">
        <f t="shared" si="4"/>
        <v>66</v>
      </c>
      <c r="D16" t="str">
        <f t="shared" si="5"/>
        <v>RR</v>
      </c>
    </row>
    <row r="17" spans="1:6" ht="15.75" customHeight="1" x14ac:dyDescent="0.25">
      <c r="A17" s="2" t="s">
        <v>185</v>
      </c>
      <c r="B17" t="str">
        <f t="shared" si="3"/>
        <v>DKOPHH</v>
      </c>
      <c r="C17" t="str">
        <f t="shared" si="4"/>
        <v>14</v>
      </c>
      <c r="D17" t="str">
        <f t="shared" si="5"/>
        <v>HH</v>
      </c>
    </row>
    <row r="18" spans="1:6" ht="15.75" customHeight="1" x14ac:dyDescent="0.25">
      <c r="A18" s="2" t="s">
        <v>186</v>
      </c>
      <c r="B18" t="str">
        <f t="shared" si="3"/>
        <v>ERTCGN</v>
      </c>
      <c r="C18" t="str">
        <f t="shared" si="4"/>
        <v>84</v>
      </c>
      <c r="D18" t="str">
        <f t="shared" si="5"/>
        <v>GN</v>
      </c>
      <c r="F18" s="13"/>
    </row>
    <row r="19" spans="1:6" ht="15.75" customHeight="1" x14ac:dyDescent="0.25">
      <c r="A19" s="2" t="s">
        <v>187</v>
      </c>
      <c r="B19" t="str">
        <f t="shared" si="3"/>
        <v>FDOIOM</v>
      </c>
      <c r="C19" t="str">
        <f t="shared" si="4"/>
        <v>63</v>
      </c>
      <c r="D19" t="str">
        <f t="shared" si="5"/>
        <v>OM</v>
      </c>
    </row>
    <row r="20" spans="1:6" ht="15.75" customHeight="1" x14ac:dyDescent="0.25">
      <c r="A20" s="2" t="s">
        <v>188</v>
      </c>
      <c r="B20" t="str">
        <f t="shared" si="3"/>
        <v>BUITLH</v>
      </c>
      <c r="C20" t="str">
        <f t="shared" si="4"/>
        <v>76</v>
      </c>
      <c r="D20" t="str">
        <f t="shared" si="5"/>
        <v>LH</v>
      </c>
    </row>
    <row r="21" spans="1:6" ht="15.75" customHeight="1" x14ac:dyDescent="0.25">
      <c r="A21" s="2" t="s">
        <v>189</v>
      </c>
      <c r="B21" t="str">
        <f t="shared" si="3"/>
        <v>MUTFHC</v>
      </c>
      <c r="C21" t="str">
        <f t="shared" si="4"/>
        <v>99</v>
      </c>
      <c r="D21" t="str">
        <f t="shared" si="5"/>
        <v>HC</v>
      </c>
    </row>
    <row r="22" spans="1:6" ht="15.75" customHeight="1" x14ac:dyDescent="0.25">
      <c r="A22" s="2" t="s">
        <v>190</v>
      </c>
      <c r="B22" t="str">
        <f t="shared" si="3"/>
        <v>PYOAJA</v>
      </c>
      <c r="C22" t="str">
        <f t="shared" si="4"/>
        <v>15</v>
      </c>
      <c r="D22" t="str">
        <f t="shared" si="5"/>
        <v>JA</v>
      </c>
    </row>
    <row r="23" spans="1:6" ht="15.75" customHeight="1" x14ac:dyDescent="0.25">
      <c r="A23" s="2" t="s">
        <v>191</v>
      </c>
      <c r="B23" t="str">
        <f t="shared" si="3"/>
        <v>XZHLHH</v>
      </c>
      <c r="C23" t="str">
        <f t="shared" si="4"/>
        <v>96</v>
      </c>
      <c r="D23" t="str">
        <f t="shared" si="5"/>
        <v>HH</v>
      </c>
    </row>
    <row r="24" spans="1:6" ht="15.75" customHeight="1" x14ac:dyDescent="0.25">
      <c r="A24" s="2" t="s">
        <v>192</v>
      </c>
      <c r="B24" t="str">
        <f t="shared" si="3"/>
        <v>WLSAUC</v>
      </c>
      <c r="C24" t="str">
        <f t="shared" si="4"/>
        <v>56</v>
      </c>
      <c r="D24" t="str">
        <f t="shared" si="5"/>
        <v>UC</v>
      </c>
    </row>
    <row r="25" spans="1:6" ht="15.75" customHeight="1" x14ac:dyDescent="0.25">
      <c r="A25" s="2" t="s">
        <v>193</v>
      </c>
      <c r="B25" t="str">
        <f t="shared" si="3"/>
        <v>OMDBHO</v>
      </c>
      <c r="C25" t="str">
        <f t="shared" si="4"/>
        <v>77</v>
      </c>
      <c r="D25" t="str">
        <f t="shared" si="5"/>
        <v>HO</v>
      </c>
    </row>
    <row r="26" spans="1:6" ht="15.75" customHeight="1" x14ac:dyDescent="0.25">
      <c r="A26" s="2" t="s">
        <v>194</v>
      </c>
      <c r="B26" t="str">
        <f t="shared" si="3"/>
        <v>NGLEAD</v>
      </c>
      <c r="C26" t="str">
        <f t="shared" si="4"/>
        <v>37</v>
      </c>
      <c r="D26" t="str">
        <f t="shared" si="5"/>
        <v>AD</v>
      </c>
    </row>
    <row r="27" spans="1:6" ht="15.75" customHeight="1" x14ac:dyDescent="0.25">
      <c r="A27" s="2" t="s">
        <v>195</v>
      </c>
      <c r="B27" t="str">
        <f t="shared" si="3"/>
        <v>QKXFOJ</v>
      </c>
      <c r="C27" t="str">
        <f t="shared" si="4"/>
        <v>96</v>
      </c>
      <c r="D27" t="str">
        <f t="shared" si="5"/>
        <v>OJ</v>
      </c>
    </row>
    <row r="28" spans="1:6" ht="15.75" customHeight="1" x14ac:dyDescent="0.25">
      <c r="A28" s="2" t="s">
        <v>196</v>
      </c>
      <c r="B28" t="str">
        <f t="shared" si="3"/>
        <v>BNPMRI</v>
      </c>
      <c r="C28" t="str">
        <f t="shared" si="4"/>
        <v>14</v>
      </c>
      <c r="D28" t="str">
        <f t="shared" si="5"/>
        <v>RI</v>
      </c>
    </row>
    <row r="29" spans="1:6" ht="15.75" customHeight="1" x14ac:dyDescent="0.25">
      <c r="A29" s="2" t="s">
        <v>197</v>
      </c>
      <c r="B29" t="str">
        <f t="shared" si="3"/>
        <v>OJJGDB</v>
      </c>
      <c r="C29" t="str">
        <f t="shared" si="4"/>
        <v>77</v>
      </c>
      <c r="D29" t="str">
        <f t="shared" si="5"/>
        <v>DB</v>
      </c>
    </row>
    <row r="30" spans="1:6" ht="13.2" x14ac:dyDescent="0.25">
      <c r="A30" s="2" t="s">
        <v>198</v>
      </c>
      <c r="B30" t="str">
        <f t="shared" si="3"/>
        <v>AFYZOA</v>
      </c>
      <c r="C30" t="str">
        <f t="shared" si="4"/>
        <v>68</v>
      </c>
      <c r="D30" t="str">
        <f t="shared" si="5"/>
        <v>OA</v>
      </c>
    </row>
    <row r="31" spans="1:6" ht="13.2" x14ac:dyDescent="0.25">
      <c r="A31" s="2" t="s">
        <v>199</v>
      </c>
      <c r="B31" t="str">
        <f t="shared" si="3"/>
        <v>TSWZHD</v>
      </c>
      <c r="C31" t="str">
        <f t="shared" si="4"/>
        <v>77</v>
      </c>
      <c r="D31" t="str">
        <f t="shared" si="5"/>
        <v>HD</v>
      </c>
    </row>
    <row r="32" spans="1:6" ht="13.2" x14ac:dyDescent="0.25">
      <c r="A32" s="2" t="s">
        <v>200</v>
      </c>
      <c r="B32" t="str">
        <f t="shared" si="3"/>
        <v>LEITDL</v>
      </c>
      <c r="C32" t="str">
        <f t="shared" si="4"/>
        <v>46</v>
      </c>
      <c r="D32" t="str">
        <f t="shared" si="5"/>
        <v>DL</v>
      </c>
    </row>
    <row r="33" spans="1:4" ht="13.2" x14ac:dyDescent="0.25">
      <c r="A33" s="2" t="s">
        <v>201</v>
      </c>
      <c r="B33" t="str">
        <f t="shared" si="3"/>
        <v>CRSLAU</v>
      </c>
      <c r="C33" t="str">
        <f t="shared" si="4"/>
        <v>19</v>
      </c>
      <c r="D33" t="str">
        <f t="shared" si="5"/>
        <v>AU</v>
      </c>
    </row>
    <row r="34" spans="1:4" ht="13.2" x14ac:dyDescent="0.25">
      <c r="A34" s="2" t="s">
        <v>202</v>
      </c>
      <c r="B34" t="str">
        <f t="shared" si="3"/>
        <v>YKHSDY</v>
      </c>
      <c r="C34" t="str">
        <f t="shared" si="4"/>
        <v>82</v>
      </c>
      <c r="D34" t="str">
        <f t="shared" si="5"/>
        <v>DY</v>
      </c>
    </row>
    <row r="35" spans="1:4" ht="13.2" x14ac:dyDescent="0.25">
      <c r="A35" s="2" t="s">
        <v>203</v>
      </c>
      <c r="B35" t="str">
        <f t="shared" si="3"/>
        <v>HHDVTS</v>
      </c>
      <c r="C35" t="str">
        <f t="shared" si="4"/>
        <v>71</v>
      </c>
      <c r="D35" t="str">
        <f t="shared" si="5"/>
        <v>TS</v>
      </c>
    </row>
    <row r="36" spans="1:4" ht="13.2" x14ac:dyDescent="0.25">
      <c r="A36" s="2" t="s">
        <v>204</v>
      </c>
      <c r="B36" t="str">
        <f t="shared" si="3"/>
        <v>CCDIWT</v>
      </c>
      <c r="C36" t="str">
        <f t="shared" si="4"/>
        <v>59</v>
      </c>
      <c r="D36" t="str">
        <f t="shared" si="5"/>
        <v>WT</v>
      </c>
    </row>
    <row r="37" spans="1:4" ht="13.2" x14ac:dyDescent="0.25">
      <c r="A37" s="2" t="s">
        <v>205</v>
      </c>
      <c r="B37" t="str">
        <f t="shared" si="3"/>
        <v>FCCNRP</v>
      </c>
      <c r="C37" t="str">
        <f t="shared" si="4"/>
        <v>24</v>
      </c>
      <c r="D37" t="str">
        <f t="shared" si="5"/>
        <v>RP</v>
      </c>
    </row>
    <row r="38" spans="1:4" ht="13.2" x14ac:dyDescent="0.25">
      <c r="A38" s="2" t="s">
        <v>206</v>
      </c>
      <c r="B38" t="str">
        <f t="shared" si="3"/>
        <v>HBENHO</v>
      </c>
      <c r="C38" t="str">
        <f t="shared" si="4"/>
        <v>71</v>
      </c>
      <c r="D38" t="str">
        <f t="shared" si="5"/>
        <v>HO</v>
      </c>
    </row>
    <row r="39" spans="1:4" ht="13.2" x14ac:dyDescent="0.25">
      <c r="A39" s="2" t="s">
        <v>207</v>
      </c>
      <c r="B39" t="str">
        <f t="shared" si="3"/>
        <v>KXQYET</v>
      </c>
      <c r="C39" t="str">
        <f t="shared" si="4"/>
        <v>53</v>
      </c>
      <c r="D39" t="str">
        <f t="shared" si="5"/>
        <v>ET</v>
      </c>
    </row>
    <row r="40" spans="1:4" ht="13.2" x14ac:dyDescent="0.25">
      <c r="A40" s="2" t="s">
        <v>208</v>
      </c>
      <c r="B40" t="str">
        <f t="shared" si="3"/>
        <v>DVQIAM</v>
      </c>
      <c r="C40" t="str">
        <f t="shared" si="4"/>
        <v>95</v>
      </c>
      <c r="D40" t="str">
        <f t="shared" si="5"/>
        <v>AM</v>
      </c>
    </row>
    <row r="41" spans="1:4" ht="13.2" x14ac:dyDescent="0.25">
      <c r="A41" s="2" t="s">
        <v>209</v>
      </c>
      <c r="B41" t="str">
        <f t="shared" si="3"/>
        <v>SWOFOB</v>
      </c>
      <c r="C41" t="str">
        <f t="shared" si="4"/>
        <v>43</v>
      </c>
      <c r="D41" t="str">
        <f t="shared" si="5"/>
        <v>OB</v>
      </c>
    </row>
    <row r="42" spans="1:4" ht="13.2" x14ac:dyDescent="0.25">
      <c r="A42" s="2" t="s">
        <v>210</v>
      </c>
      <c r="B42" t="str">
        <f t="shared" si="3"/>
        <v>UGJZJU</v>
      </c>
      <c r="C42" t="str">
        <f t="shared" si="4"/>
        <v>22</v>
      </c>
      <c r="D42" t="str">
        <f t="shared" si="5"/>
        <v>JU</v>
      </c>
    </row>
    <row r="43" spans="1:4" ht="13.2" x14ac:dyDescent="0.25">
      <c r="A43" s="2" t="s">
        <v>211</v>
      </c>
      <c r="B43" t="str">
        <f t="shared" si="3"/>
        <v>JCHGVG</v>
      </c>
      <c r="C43" t="str">
        <f t="shared" si="4"/>
        <v>37</v>
      </c>
      <c r="D43" t="str">
        <f t="shared" si="5"/>
        <v>VG</v>
      </c>
    </row>
    <row r="44" spans="1:4" ht="13.2" x14ac:dyDescent="0.25">
      <c r="A44" s="2" t="s">
        <v>212</v>
      </c>
      <c r="B44" t="str">
        <f t="shared" si="3"/>
        <v>CRHNZE</v>
      </c>
      <c r="C44" t="str">
        <f t="shared" si="4"/>
        <v>29</v>
      </c>
      <c r="D44" t="str">
        <f t="shared" si="5"/>
        <v>ZE</v>
      </c>
    </row>
    <row r="45" spans="1:4" ht="13.2" x14ac:dyDescent="0.25">
      <c r="A45" s="2" t="s">
        <v>213</v>
      </c>
      <c r="B45" t="str">
        <f t="shared" si="3"/>
        <v>VKMGXT</v>
      </c>
      <c r="C45" t="str">
        <f t="shared" si="4"/>
        <v>34</v>
      </c>
      <c r="D45" t="str">
        <f t="shared" si="5"/>
        <v>XT</v>
      </c>
    </row>
    <row r="46" spans="1:4" ht="13.2" x14ac:dyDescent="0.25">
      <c r="A46" s="2" t="s">
        <v>214</v>
      </c>
      <c r="B46" t="str">
        <f t="shared" si="3"/>
        <v>LYHBJO</v>
      </c>
      <c r="C46" t="str">
        <f t="shared" si="4"/>
        <v>73</v>
      </c>
      <c r="D46" t="str">
        <f t="shared" si="5"/>
        <v>JO</v>
      </c>
    </row>
    <row r="47" spans="1:4" ht="13.2" x14ac:dyDescent="0.25">
      <c r="A47" s="2" t="s">
        <v>215</v>
      </c>
      <c r="B47" t="str">
        <f t="shared" si="3"/>
        <v>DLFCSN</v>
      </c>
      <c r="C47" t="str">
        <f t="shared" si="4"/>
        <v>56</v>
      </c>
      <c r="D47" t="str">
        <f t="shared" si="5"/>
        <v>SN</v>
      </c>
    </row>
    <row r="48" spans="1:4" ht="13.2" x14ac:dyDescent="0.25">
      <c r="A48" s="2" t="s">
        <v>216</v>
      </c>
      <c r="B48" t="str">
        <f t="shared" si="3"/>
        <v>RMNTGC</v>
      </c>
      <c r="C48" t="str">
        <f t="shared" si="4"/>
        <v>71</v>
      </c>
      <c r="D48" t="str">
        <f t="shared" si="5"/>
        <v>GC</v>
      </c>
    </row>
    <row r="49" spans="1:4" ht="13.2" x14ac:dyDescent="0.25">
      <c r="A49" s="2" t="s">
        <v>217</v>
      </c>
      <c r="B49" t="str">
        <f t="shared" si="3"/>
        <v>CRQUES</v>
      </c>
      <c r="C49" t="str">
        <f t="shared" si="4"/>
        <v>84</v>
      </c>
      <c r="D49" t="str">
        <f t="shared" si="5"/>
        <v>ES</v>
      </c>
    </row>
    <row r="50" spans="1:4" ht="13.2" x14ac:dyDescent="0.25">
      <c r="A50" s="2" t="s">
        <v>218</v>
      </c>
      <c r="B50" t="str">
        <f t="shared" si="3"/>
        <v>HDCUKD</v>
      </c>
      <c r="C50" t="str">
        <f t="shared" si="4"/>
        <v>95</v>
      </c>
      <c r="D50" t="str">
        <f t="shared" si="5"/>
        <v>KD</v>
      </c>
    </row>
    <row r="51" spans="1:4" ht="13.2" x14ac:dyDescent="0.25">
      <c r="A51" s="2" t="s">
        <v>219</v>
      </c>
      <c r="B51" t="str">
        <f t="shared" si="3"/>
        <v>GFSHOS</v>
      </c>
      <c r="C51" t="str">
        <f t="shared" si="4"/>
        <v>11</v>
      </c>
      <c r="D51" t="str">
        <f t="shared" si="5"/>
        <v>OS</v>
      </c>
    </row>
    <row r="52" spans="1:4" ht="13.2" x14ac:dyDescent="0.25">
      <c r="A52" s="2" t="s">
        <v>220</v>
      </c>
      <c r="B52" t="str">
        <f t="shared" si="3"/>
        <v>JFUKQP</v>
      </c>
      <c r="C52" t="str">
        <f t="shared" si="4"/>
        <v>46</v>
      </c>
      <c r="D52" t="str">
        <f t="shared" si="5"/>
        <v>QP</v>
      </c>
    </row>
    <row r="53" spans="1:4" ht="13.2" x14ac:dyDescent="0.25">
      <c r="A53" s="2" t="s">
        <v>221</v>
      </c>
      <c r="B53" t="str">
        <f t="shared" si="3"/>
        <v>XLSJHR</v>
      </c>
      <c r="C53" t="str">
        <f t="shared" si="4"/>
        <v>91</v>
      </c>
      <c r="D53" t="str">
        <f t="shared" si="5"/>
        <v>HR</v>
      </c>
    </row>
    <row r="54" spans="1:4" ht="13.2" x14ac:dyDescent="0.25">
      <c r="A54" s="2" t="s">
        <v>222</v>
      </c>
      <c r="B54" t="str">
        <f t="shared" si="3"/>
        <v>CNRTYH</v>
      </c>
      <c r="C54" t="str">
        <f t="shared" si="4"/>
        <v>32</v>
      </c>
      <c r="D54" t="str">
        <f t="shared" si="5"/>
        <v>YH</v>
      </c>
    </row>
    <row r="55" spans="1:4" ht="13.2" x14ac:dyDescent="0.25">
      <c r="A55" s="2" t="s">
        <v>223</v>
      </c>
      <c r="B55" t="str">
        <f t="shared" si="3"/>
        <v>IFEVIN</v>
      </c>
      <c r="C55" t="str">
        <f t="shared" si="4"/>
        <v>43</v>
      </c>
      <c r="D55" t="str">
        <f t="shared" si="5"/>
        <v>IN</v>
      </c>
    </row>
    <row r="56" spans="1:4" ht="13.2" x14ac:dyDescent="0.25">
      <c r="A56" s="2" t="s">
        <v>224</v>
      </c>
      <c r="B56" t="str">
        <f t="shared" si="3"/>
        <v>UACGUA</v>
      </c>
      <c r="C56" t="str">
        <f t="shared" si="4"/>
        <v>77</v>
      </c>
      <c r="D56" t="str">
        <f t="shared" si="5"/>
        <v>UA</v>
      </c>
    </row>
    <row r="57" spans="1:4" ht="13.2" x14ac:dyDescent="0.25">
      <c r="A57" s="2" t="s">
        <v>225</v>
      </c>
      <c r="B57" t="str">
        <f t="shared" si="3"/>
        <v>TCXSYZ</v>
      </c>
      <c r="C57" t="str">
        <f t="shared" si="4"/>
        <v>83</v>
      </c>
      <c r="D57" t="str">
        <f t="shared" si="5"/>
        <v>YZ</v>
      </c>
    </row>
    <row r="58" spans="1:4" ht="13.2" x14ac:dyDescent="0.25">
      <c r="A58" s="2" t="s">
        <v>226</v>
      </c>
      <c r="B58" t="str">
        <f t="shared" si="3"/>
        <v>THMMFR</v>
      </c>
      <c r="C58" t="str">
        <f t="shared" si="4"/>
        <v>27</v>
      </c>
      <c r="D58" t="str">
        <f t="shared" si="5"/>
        <v>FR</v>
      </c>
    </row>
    <row r="59" spans="1:4" ht="13.2" x14ac:dyDescent="0.25">
      <c r="A59" s="2" t="s">
        <v>227</v>
      </c>
      <c r="B59" t="str">
        <f t="shared" si="3"/>
        <v>TAUERK</v>
      </c>
      <c r="C59" t="str">
        <f t="shared" si="4"/>
        <v>46</v>
      </c>
      <c r="D59" t="str">
        <f t="shared" si="5"/>
        <v>RK</v>
      </c>
    </row>
    <row r="60" spans="1:4" ht="13.2" x14ac:dyDescent="0.25">
      <c r="A60" s="2" t="s">
        <v>228</v>
      </c>
      <c r="B60" t="str">
        <f t="shared" si="3"/>
        <v>IGORBU</v>
      </c>
      <c r="C60" t="str">
        <f t="shared" si="4"/>
        <v>56</v>
      </c>
      <c r="D60" t="str">
        <f t="shared" si="5"/>
        <v>BU</v>
      </c>
    </row>
    <row r="61" spans="1:4" ht="13.2" x14ac:dyDescent="0.25">
      <c r="A61" s="2" t="s">
        <v>229</v>
      </c>
      <c r="B61" t="str">
        <f t="shared" si="3"/>
        <v>FGLCUM</v>
      </c>
      <c r="C61" t="str">
        <f t="shared" si="4"/>
        <v>52</v>
      </c>
      <c r="D61" t="str">
        <f t="shared" si="5"/>
        <v>UM</v>
      </c>
    </row>
    <row r="62" spans="1:4" ht="13.2" x14ac:dyDescent="0.25">
      <c r="A62" s="2" t="s">
        <v>230</v>
      </c>
      <c r="B62" t="str">
        <f t="shared" si="3"/>
        <v>FRBVZE</v>
      </c>
      <c r="C62" t="str">
        <f t="shared" si="4"/>
        <v>48</v>
      </c>
      <c r="D62" t="str">
        <f t="shared" si="5"/>
        <v>ZE</v>
      </c>
    </row>
    <row r="63" spans="1:4" ht="13.2" x14ac:dyDescent="0.25">
      <c r="A63" s="2" t="s">
        <v>231</v>
      </c>
      <c r="B63" t="str">
        <f t="shared" si="3"/>
        <v>HNNULK</v>
      </c>
      <c r="C63" t="str">
        <f t="shared" si="4"/>
        <v>52</v>
      </c>
      <c r="D63" t="str">
        <f t="shared" si="5"/>
        <v>LK</v>
      </c>
    </row>
    <row r="64" spans="1:4" ht="13.2" x14ac:dyDescent="0.25">
      <c r="A64" s="2" t="s">
        <v>232</v>
      </c>
      <c r="B64" t="str">
        <f t="shared" si="3"/>
        <v>YDIHDR</v>
      </c>
      <c r="C64" t="str">
        <f t="shared" si="4"/>
        <v>74</v>
      </c>
      <c r="D64" t="str">
        <f t="shared" si="5"/>
        <v>DR</v>
      </c>
    </row>
    <row r="65" spans="1:4" ht="13.2" x14ac:dyDescent="0.25">
      <c r="A65" s="2" t="s">
        <v>233</v>
      </c>
      <c r="B65" t="str">
        <f t="shared" si="3"/>
        <v>ELGOLI</v>
      </c>
      <c r="C65" t="str">
        <f t="shared" si="4"/>
        <v>56</v>
      </c>
      <c r="D65" t="str">
        <f t="shared" si="5"/>
        <v>LI</v>
      </c>
    </row>
    <row r="66" spans="1:4" ht="13.2" x14ac:dyDescent="0.25">
      <c r="A66" s="2" t="s">
        <v>234</v>
      </c>
      <c r="B66" t="str">
        <f t="shared" si="3"/>
        <v>ENXAUQ</v>
      </c>
      <c r="C66" t="str">
        <f t="shared" si="4"/>
        <v>13</v>
      </c>
      <c r="D66" t="str">
        <f t="shared" si="5"/>
        <v>UQ</v>
      </c>
    </row>
    <row r="67" spans="1:4" ht="13.2" x14ac:dyDescent="0.25">
      <c r="A67" s="2" t="s">
        <v>235</v>
      </c>
      <c r="B67" t="str">
        <f t="shared" si="3"/>
        <v>PQEAGO</v>
      </c>
      <c r="C67" t="str">
        <f t="shared" si="4"/>
        <v>73</v>
      </c>
      <c r="D67" t="str">
        <f t="shared" si="5"/>
        <v>GO</v>
      </c>
    </row>
    <row r="68" spans="1:4" ht="13.2" x14ac:dyDescent="0.25">
      <c r="A68" s="2" t="s">
        <v>236</v>
      </c>
      <c r="B68" t="str">
        <f t="shared" si="3"/>
        <v>LSUSMF</v>
      </c>
      <c r="C68" t="str">
        <f t="shared" si="4"/>
        <v>94</v>
      </c>
      <c r="D68" t="str">
        <f t="shared" si="5"/>
        <v>MF</v>
      </c>
    </row>
    <row r="69" spans="1:4" ht="13.2" x14ac:dyDescent="0.25">
      <c r="A69" s="2" t="s">
        <v>237</v>
      </c>
      <c r="B69" t="str">
        <f t="shared" si="3"/>
        <v>PQGKFJ</v>
      </c>
      <c r="C69" t="str">
        <f t="shared" si="4"/>
        <v>18</v>
      </c>
      <c r="D69" t="str">
        <f t="shared" si="5"/>
        <v>FJ</v>
      </c>
    </row>
    <row r="70" spans="1:4" ht="13.2" x14ac:dyDescent="0.25">
      <c r="A70" s="2" t="s">
        <v>238</v>
      </c>
      <c r="B70" t="str">
        <f t="shared" ref="B70:B133" si="6">LEFT(A70,6)</f>
        <v>UROSKY</v>
      </c>
      <c r="C70" t="str">
        <f t="shared" ref="C70:C133" si="7">RIGHT(A70,2)</f>
        <v>77</v>
      </c>
      <c r="D70" t="str">
        <f t="shared" ref="D70:D133" si="8">MID(A70,5,2)</f>
        <v>KY</v>
      </c>
    </row>
    <row r="71" spans="1:4" ht="13.2" x14ac:dyDescent="0.25">
      <c r="A71" s="2" t="s">
        <v>239</v>
      </c>
      <c r="B71" t="str">
        <f t="shared" si="6"/>
        <v>GMJIGI</v>
      </c>
      <c r="C71" t="str">
        <f t="shared" si="7"/>
        <v>57</v>
      </c>
      <c r="D71" t="str">
        <f t="shared" si="8"/>
        <v>GI</v>
      </c>
    </row>
    <row r="72" spans="1:4" ht="13.2" x14ac:dyDescent="0.25">
      <c r="A72" s="2" t="s">
        <v>240</v>
      </c>
      <c r="B72" t="str">
        <f t="shared" si="6"/>
        <v>AYGNME</v>
      </c>
      <c r="C72" t="str">
        <f t="shared" si="7"/>
        <v>48</v>
      </c>
      <c r="D72" t="str">
        <f t="shared" si="8"/>
        <v>ME</v>
      </c>
    </row>
    <row r="73" spans="1:4" ht="13.2" x14ac:dyDescent="0.25">
      <c r="A73" s="2" t="s">
        <v>241</v>
      </c>
      <c r="B73" t="str">
        <f t="shared" si="6"/>
        <v>SFSNCM</v>
      </c>
      <c r="C73" t="str">
        <f t="shared" si="7"/>
        <v>56</v>
      </c>
      <c r="D73" t="str">
        <f t="shared" si="8"/>
        <v>CM</v>
      </c>
    </row>
    <row r="74" spans="1:4" ht="13.2" x14ac:dyDescent="0.25">
      <c r="A74" s="2" t="s">
        <v>242</v>
      </c>
      <c r="B74" t="str">
        <f t="shared" si="6"/>
        <v>MTSQZO</v>
      </c>
      <c r="C74" t="str">
        <f t="shared" si="7"/>
        <v>32</v>
      </c>
      <c r="D74" t="str">
        <f t="shared" si="8"/>
        <v>ZO</v>
      </c>
    </row>
    <row r="75" spans="1:4" ht="13.2" x14ac:dyDescent="0.25">
      <c r="A75" s="2" t="s">
        <v>243</v>
      </c>
      <c r="B75" t="str">
        <f t="shared" si="6"/>
        <v>KDBHUQ</v>
      </c>
      <c r="C75" t="str">
        <f t="shared" si="7"/>
        <v>75</v>
      </c>
      <c r="D75" t="str">
        <f t="shared" si="8"/>
        <v>UQ</v>
      </c>
    </row>
    <row r="76" spans="1:4" ht="13.2" x14ac:dyDescent="0.25">
      <c r="A76" s="2" t="s">
        <v>244</v>
      </c>
      <c r="B76" t="str">
        <f t="shared" si="6"/>
        <v>NXPICV</v>
      </c>
      <c r="C76" t="str">
        <f t="shared" si="7"/>
        <v>33</v>
      </c>
      <c r="D76" t="str">
        <f t="shared" si="8"/>
        <v>CV</v>
      </c>
    </row>
    <row r="77" spans="1:4" ht="13.2" x14ac:dyDescent="0.25">
      <c r="A77" s="2" t="s">
        <v>245</v>
      </c>
      <c r="B77" t="str">
        <f t="shared" si="6"/>
        <v>BBPNKE</v>
      </c>
      <c r="C77" t="str">
        <f t="shared" si="7"/>
        <v>32</v>
      </c>
      <c r="D77" t="str">
        <f t="shared" si="8"/>
        <v>KE</v>
      </c>
    </row>
    <row r="78" spans="1:4" ht="13.2" x14ac:dyDescent="0.25">
      <c r="A78" s="2" t="s">
        <v>246</v>
      </c>
      <c r="B78" t="str">
        <f t="shared" si="6"/>
        <v>TBUHXX</v>
      </c>
      <c r="C78" t="str">
        <f t="shared" si="7"/>
        <v>69</v>
      </c>
      <c r="D78" t="str">
        <f t="shared" si="8"/>
        <v>XX</v>
      </c>
    </row>
    <row r="79" spans="1:4" ht="13.2" x14ac:dyDescent="0.25">
      <c r="A79" s="2" t="s">
        <v>247</v>
      </c>
      <c r="B79" t="str">
        <f t="shared" si="6"/>
        <v>SAHBKW</v>
      </c>
      <c r="C79" t="str">
        <f t="shared" si="7"/>
        <v>22</v>
      </c>
      <c r="D79" t="str">
        <f t="shared" si="8"/>
        <v>KW</v>
      </c>
    </row>
    <row r="80" spans="1:4" ht="13.2" x14ac:dyDescent="0.25">
      <c r="A80" s="2" t="s">
        <v>248</v>
      </c>
      <c r="B80" t="str">
        <f t="shared" si="6"/>
        <v>LWHVPD</v>
      </c>
      <c r="C80" t="str">
        <f t="shared" si="7"/>
        <v>57</v>
      </c>
      <c r="D80" t="str">
        <f t="shared" si="8"/>
        <v>PD</v>
      </c>
    </row>
    <row r="81" spans="1:4" ht="13.2" x14ac:dyDescent="0.25">
      <c r="A81" s="2" t="s">
        <v>249</v>
      </c>
      <c r="B81" t="str">
        <f t="shared" si="6"/>
        <v>GDPNCG</v>
      </c>
      <c r="C81" t="str">
        <f t="shared" si="7"/>
        <v>88</v>
      </c>
      <c r="D81" t="str">
        <f t="shared" si="8"/>
        <v>CG</v>
      </c>
    </row>
    <row r="82" spans="1:4" ht="13.2" x14ac:dyDescent="0.25">
      <c r="A82" s="2" t="s">
        <v>250</v>
      </c>
      <c r="B82" t="str">
        <f t="shared" si="6"/>
        <v>XTFNGE</v>
      </c>
      <c r="C82" t="str">
        <f t="shared" si="7"/>
        <v>47</v>
      </c>
      <c r="D82" t="str">
        <f t="shared" si="8"/>
        <v>GE</v>
      </c>
    </row>
    <row r="83" spans="1:4" ht="13.2" x14ac:dyDescent="0.25">
      <c r="A83" s="2" t="s">
        <v>251</v>
      </c>
      <c r="B83" t="str">
        <f t="shared" si="6"/>
        <v>SWMLHS</v>
      </c>
      <c r="C83" t="str">
        <f t="shared" si="7"/>
        <v>14</v>
      </c>
      <c r="D83" t="str">
        <f t="shared" si="8"/>
        <v>HS</v>
      </c>
    </row>
    <row r="84" spans="1:4" ht="13.2" x14ac:dyDescent="0.25">
      <c r="A84" s="2" t="s">
        <v>252</v>
      </c>
      <c r="B84" t="str">
        <f t="shared" si="6"/>
        <v>QIXRJJ</v>
      </c>
      <c r="C84" t="str">
        <f t="shared" si="7"/>
        <v>57</v>
      </c>
      <c r="D84" t="str">
        <f t="shared" si="8"/>
        <v>JJ</v>
      </c>
    </row>
    <row r="85" spans="1:4" ht="13.2" x14ac:dyDescent="0.25">
      <c r="A85" s="2" t="s">
        <v>253</v>
      </c>
      <c r="B85" t="str">
        <f t="shared" si="6"/>
        <v>XZITKY</v>
      </c>
      <c r="C85" t="str">
        <f t="shared" si="7"/>
        <v>97</v>
      </c>
      <c r="D85" t="str">
        <f t="shared" si="8"/>
        <v>KY</v>
      </c>
    </row>
    <row r="86" spans="1:4" ht="13.2" x14ac:dyDescent="0.25">
      <c r="A86" s="2" t="s">
        <v>254</v>
      </c>
      <c r="B86" t="str">
        <f t="shared" si="6"/>
        <v>UXANYS</v>
      </c>
      <c r="C86" t="str">
        <f t="shared" si="7"/>
        <v>79</v>
      </c>
      <c r="D86" t="str">
        <f t="shared" si="8"/>
        <v>YS</v>
      </c>
    </row>
    <row r="87" spans="1:4" ht="13.2" x14ac:dyDescent="0.25">
      <c r="A87" s="2" t="s">
        <v>255</v>
      </c>
      <c r="B87" t="str">
        <f t="shared" si="6"/>
        <v>ZBXGTN</v>
      </c>
      <c r="C87" t="str">
        <f t="shared" si="7"/>
        <v>21</v>
      </c>
      <c r="D87" t="str">
        <f t="shared" si="8"/>
        <v>TN</v>
      </c>
    </row>
    <row r="88" spans="1:4" ht="13.2" x14ac:dyDescent="0.25">
      <c r="A88" s="2" t="s">
        <v>256</v>
      </c>
      <c r="B88" t="str">
        <f t="shared" si="6"/>
        <v>GZNJBY</v>
      </c>
      <c r="C88" t="str">
        <f t="shared" si="7"/>
        <v>47</v>
      </c>
      <c r="D88" t="str">
        <f t="shared" si="8"/>
        <v>BY</v>
      </c>
    </row>
    <row r="89" spans="1:4" ht="13.2" x14ac:dyDescent="0.25">
      <c r="A89" s="2" t="s">
        <v>257</v>
      </c>
      <c r="B89" t="str">
        <f t="shared" si="6"/>
        <v>BZSWWN</v>
      </c>
      <c r="C89" t="str">
        <f t="shared" si="7"/>
        <v>33</v>
      </c>
      <c r="D89" t="str">
        <f t="shared" si="8"/>
        <v>WN</v>
      </c>
    </row>
    <row r="90" spans="1:4" ht="13.2" x14ac:dyDescent="0.25">
      <c r="A90" s="2" t="s">
        <v>258</v>
      </c>
      <c r="B90" t="str">
        <f t="shared" si="6"/>
        <v>LJBUYM</v>
      </c>
      <c r="C90" t="str">
        <f t="shared" si="7"/>
        <v>19</v>
      </c>
      <c r="D90" t="str">
        <f t="shared" si="8"/>
        <v>YM</v>
      </c>
    </row>
    <row r="91" spans="1:4" ht="13.2" x14ac:dyDescent="0.25">
      <c r="A91" s="2" t="s">
        <v>259</v>
      </c>
      <c r="B91" t="str">
        <f t="shared" si="6"/>
        <v>LJWVIK</v>
      </c>
      <c r="C91" t="str">
        <f t="shared" si="7"/>
        <v>94</v>
      </c>
      <c r="D91" t="str">
        <f t="shared" si="8"/>
        <v>IK</v>
      </c>
    </row>
    <row r="92" spans="1:4" ht="13.2" x14ac:dyDescent="0.25">
      <c r="A92" s="2" t="s">
        <v>260</v>
      </c>
      <c r="B92" t="str">
        <f t="shared" si="6"/>
        <v>PRPNBD</v>
      </c>
      <c r="C92" t="str">
        <f t="shared" si="7"/>
        <v>66</v>
      </c>
      <c r="D92" t="str">
        <f t="shared" si="8"/>
        <v>BD</v>
      </c>
    </row>
    <row r="93" spans="1:4" ht="13.2" x14ac:dyDescent="0.25">
      <c r="A93" s="2" t="s">
        <v>261</v>
      </c>
      <c r="B93" t="str">
        <f t="shared" si="6"/>
        <v>IIPZYB</v>
      </c>
      <c r="C93" t="str">
        <f t="shared" si="7"/>
        <v>35</v>
      </c>
      <c r="D93" t="str">
        <f t="shared" si="8"/>
        <v>YB</v>
      </c>
    </row>
    <row r="94" spans="1:4" ht="13.2" x14ac:dyDescent="0.25">
      <c r="A94" s="2" t="s">
        <v>262</v>
      </c>
      <c r="B94" t="str">
        <f t="shared" si="6"/>
        <v>QTUGYQ</v>
      </c>
      <c r="C94" t="str">
        <f t="shared" si="7"/>
        <v>53</v>
      </c>
      <c r="D94" t="str">
        <f t="shared" si="8"/>
        <v>YQ</v>
      </c>
    </row>
    <row r="95" spans="1:4" ht="13.2" x14ac:dyDescent="0.25">
      <c r="A95" s="2" t="s">
        <v>263</v>
      </c>
      <c r="B95" t="str">
        <f t="shared" si="6"/>
        <v>SGHGPK</v>
      </c>
      <c r="C95" t="str">
        <f t="shared" si="7"/>
        <v>77</v>
      </c>
      <c r="D95" t="str">
        <f t="shared" si="8"/>
        <v>PK</v>
      </c>
    </row>
    <row r="96" spans="1:4" ht="13.2" x14ac:dyDescent="0.25">
      <c r="A96" s="2" t="s">
        <v>264</v>
      </c>
      <c r="B96" t="str">
        <f t="shared" si="6"/>
        <v>FWWBPA</v>
      </c>
      <c r="C96" t="str">
        <f t="shared" si="7"/>
        <v>13</v>
      </c>
      <c r="D96" t="str">
        <f t="shared" si="8"/>
        <v>PA</v>
      </c>
    </row>
    <row r="97" spans="1:4" ht="13.2" x14ac:dyDescent="0.25">
      <c r="A97" s="2" t="s">
        <v>265</v>
      </c>
      <c r="B97" t="str">
        <f t="shared" si="6"/>
        <v>YMEMRI</v>
      </c>
      <c r="C97" t="str">
        <f t="shared" si="7"/>
        <v>66</v>
      </c>
      <c r="D97" t="str">
        <f t="shared" si="8"/>
        <v>RI</v>
      </c>
    </row>
    <row r="98" spans="1:4" ht="13.2" x14ac:dyDescent="0.25">
      <c r="A98" s="2" t="s">
        <v>266</v>
      </c>
      <c r="B98" t="str">
        <f t="shared" si="6"/>
        <v>TSSVQY</v>
      </c>
      <c r="C98" t="str">
        <f t="shared" si="7"/>
        <v>98</v>
      </c>
      <c r="D98" t="str">
        <f t="shared" si="8"/>
        <v>QY</v>
      </c>
    </row>
    <row r="99" spans="1:4" ht="13.2" x14ac:dyDescent="0.25">
      <c r="A99" s="2" t="s">
        <v>267</v>
      </c>
      <c r="B99" t="str">
        <f t="shared" si="6"/>
        <v>XVCDKA</v>
      </c>
      <c r="C99" t="str">
        <f t="shared" si="7"/>
        <v>82</v>
      </c>
      <c r="D99" t="str">
        <f t="shared" si="8"/>
        <v>KA</v>
      </c>
    </row>
    <row r="100" spans="1:4" ht="13.2" x14ac:dyDescent="0.25">
      <c r="A100" s="2" t="s">
        <v>268</v>
      </c>
      <c r="B100" t="str">
        <f t="shared" si="6"/>
        <v>EHTUDI</v>
      </c>
      <c r="C100" t="str">
        <f t="shared" si="7"/>
        <v>43</v>
      </c>
      <c r="D100" t="str">
        <f t="shared" si="8"/>
        <v>DI</v>
      </c>
    </row>
    <row r="101" spans="1:4" ht="13.2" x14ac:dyDescent="0.25">
      <c r="A101" s="2" t="s">
        <v>269</v>
      </c>
      <c r="B101" t="str">
        <f t="shared" si="6"/>
        <v>LTCZXQ</v>
      </c>
      <c r="C101" t="str">
        <f t="shared" si="7"/>
        <v>86</v>
      </c>
      <c r="D101" t="str">
        <f t="shared" si="8"/>
        <v>XQ</v>
      </c>
    </row>
    <row r="102" spans="1:4" ht="13.2" x14ac:dyDescent="0.25">
      <c r="A102" s="2" t="s">
        <v>270</v>
      </c>
      <c r="B102" t="str">
        <f t="shared" si="6"/>
        <v>EDYEBK</v>
      </c>
      <c r="C102" t="str">
        <f t="shared" si="7"/>
        <v>11</v>
      </c>
      <c r="D102" t="str">
        <f t="shared" si="8"/>
        <v>BK</v>
      </c>
    </row>
    <row r="103" spans="1:4" ht="13.2" x14ac:dyDescent="0.25">
      <c r="A103" s="2" t="s">
        <v>271</v>
      </c>
      <c r="B103" t="str">
        <f t="shared" si="6"/>
        <v>MBRPWJ</v>
      </c>
      <c r="C103" t="str">
        <f t="shared" si="7"/>
        <v>98</v>
      </c>
      <c r="D103" t="str">
        <f t="shared" si="8"/>
        <v>WJ</v>
      </c>
    </row>
    <row r="104" spans="1:4" ht="13.2" x14ac:dyDescent="0.25">
      <c r="A104" s="2" t="s">
        <v>272</v>
      </c>
      <c r="B104" t="str">
        <f t="shared" si="6"/>
        <v>TJQSDX</v>
      </c>
      <c r="C104" t="str">
        <f t="shared" si="7"/>
        <v>24</v>
      </c>
      <c r="D104" t="str">
        <f t="shared" si="8"/>
        <v>DX</v>
      </c>
    </row>
    <row r="105" spans="1:4" ht="13.2" x14ac:dyDescent="0.25">
      <c r="A105" s="2" t="s">
        <v>273</v>
      </c>
      <c r="B105" t="str">
        <f t="shared" si="6"/>
        <v>WTOEIQ</v>
      </c>
      <c r="C105" t="str">
        <f t="shared" si="7"/>
        <v>71</v>
      </c>
      <c r="D105" t="str">
        <f t="shared" si="8"/>
        <v>IQ</v>
      </c>
    </row>
    <row r="106" spans="1:4" ht="13.2" x14ac:dyDescent="0.25">
      <c r="A106" s="2" t="s">
        <v>274</v>
      </c>
      <c r="B106" t="str">
        <f t="shared" si="6"/>
        <v>WGPSJH</v>
      </c>
      <c r="C106" t="str">
        <f t="shared" si="7"/>
        <v>79</v>
      </c>
      <c r="D106" t="str">
        <f t="shared" si="8"/>
        <v>JH</v>
      </c>
    </row>
    <row r="107" spans="1:4" ht="13.2" x14ac:dyDescent="0.25">
      <c r="A107" s="2" t="s">
        <v>275</v>
      </c>
      <c r="B107" t="str">
        <f t="shared" si="6"/>
        <v>CRKFHH</v>
      </c>
      <c r="C107" t="str">
        <f t="shared" si="7"/>
        <v>45</v>
      </c>
      <c r="D107" t="str">
        <f t="shared" si="8"/>
        <v>HH</v>
      </c>
    </row>
    <row r="108" spans="1:4" ht="13.2" x14ac:dyDescent="0.25">
      <c r="A108" s="2" t="s">
        <v>276</v>
      </c>
      <c r="B108" t="str">
        <f t="shared" si="6"/>
        <v>EZILHY</v>
      </c>
      <c r="C108" t="str">
        <f t="shared" si="7"/>
        <v>18</v>
      </c>
      <c r="D108" t="str">
        <f t="shared" si="8"/>
        <v>HY</v>
      </c>
    </row>
    <row r="109" spans="1:4" ht="13.2" x14ac:dyDescent="0.25">
      <c r="A109" s="2" t="s">
        <v>277</v>
      </c>
      <c r="B109" t="str">
        <f t="shared" si="6"/>
        <v>XDZJOH</v>
      </c>
      <c r="C109" t="str">
        <f t="shared" si="7"/>
        <v>59</v>
      </c>
      <c r="D109" t="str">
        <f t="shared" si="8"/>
        <v>OH</v>
      </c>
    </row>
    <row r="110" spans="1:4" ht="13.2" x14ac:dyDescent="0.25">
      <c r="A110" s="2" t="s">
        <v>278</v>
      </c>
      <c r="B110" t="str">
        <f t="shared" si="6"/>
        <v>RXPHBE</v>
      </c>
      <c r="C110" t="str">
        <f t="shared" si="7"/>
        <v>77</v>
      </c>
      <c r="D110" t="str">
        <f t="shared" si="8"/>
        <v>BE</v>
      </c>
    </row>
    <row r="111" spans="1:4" ht="13.2" x14ac:dyDescent="0.25">
      <c r="A111" s="2" t="s">
        <v>279</v>
      </c>
      <c r="B111" t="str">
        <f t="shared" si="6"/>
        <v>EHZCJI</v>
      </c>
      <c r="C111" t="str">
        <f t="shared" si="7"/>
        <v>56</v>
      </c>
      <c r="D111" t="str">
        <f t="shared" si="8"/>
        <v>JI</v>
      </c>
    </row>
    <row r="112" spans="1:4" ht="13.2" x14ac:dyDescent="0.25">
      <c r="A112" s="2" t="s">
        <v>280</v>
      </c>
      <c r="B112" t="str">
        <f t="shared" si="6"/>
        <v>DSYBER</v>
      </c>
      <c r="C112" t="str">
        <f t="shared" si="7"/>
        <v>47</v>
      </c>
      <c r="D112" t="str">
        <f t="shared" si="8"/>
        <v>ER</v>
      </c>
    </row>
    <row r="113" spans="1:4" ht="13.2" x14ac:dyDescent="0.25">
      <c r="A113" s="2" t="s">
        <v>281</v>
      </c>
      <c r="B113" t="str">
        <f t="shared" si="6"/>
        <v>PKUYMC</v>
      </c>
      <c r="C113" t="str">
        <f t="shared" si="7"/>
        <v>73</v>
      </c>
      <c r="D113" t="str">
        <f t="shared" si="8"/>
        <v>MC</v>
      </c>
    </row>
    <row r="114" spans="1:4" ht="13.2" x14ac:dyDescent="0.25">
      <c r="A114" s="2" t="s">
        <v>282</v>
      </c>
      <c r="B114" t="str">
        <f t="shared" si="6"/>
        <v>JZDERX</v>
      </c>
      <c r="C114" t="str">
        <f t="shared" si="7"/>
        <v>72</v>
      </c>
      <c r="D114" t="str">
        <f t="shared" si="8"/>
        <v>RX</v>
      </c>
    </row>
    <row r="115" spans="1:4" ht="13.2" x14ac:dyDescent="0.25">
      <c r="A115" s="2" t="s">
        <v>283</v>
      </c>
      <c r="B115" t="str">
        <f t="shared" si="6"/>
        <v>IWPAGP</v>
      </c>
      <c r="C115" t="str">
        <f t="shared" si="7"/>
        <v>12</v>
      </c>
      <c r="D115" t="str">
        <f t="shared" si="8"/>
        <v>GP</v>
      </c>
    </row>
    <row r="116" spans="1:4" ht="13.2" x14ac:dyDescent="0.25">
      <c r="A116" s="2" t="s">
        <v>284</v>
      </c>
      <c r="B116" t="str">
        <f t="shared" si="6"/>
        <v>WYAVOM</v>
      </c>
      <c r="C116" t="str">
        <f t="shared" si="7"/>
        <v>66</v>
      </c>
      <c r="D116" t="str">
        <f t="shared" si="8"/>
        <v>OM</v>
      </c>
    </row>
    <row r="117" spans="1:4" ht="13.2" x14ac:dyDescent="0.25">
      <c r="A117" s="2" t="s">
        <v>285</v>
      </c>
      <c r="B117" t="str">
        <f t="shared" si="6"/>
        <v>HDPMOX</v>
      </c>
      <c r="C117" t="str">
        <f t="shared" si="7"/>
        <v>98</v>
      </c>
      <c r="D117" t="str">
        <f t="shared" si="8"/>
        <v>OX</v>
      </c>
    </row>
    <row r="118" spans="1:4" ht="13.2" x14ac:dyDescent="0.25">
      <c r="A118" s="2" t="s">
        <v>286</v>
      </c>
      <c r="B118" t="str">
        <f t="shared" si="6"/>
        <v>VHZVVQ</v>
      </c>
      <c r="C118" t="str">
        <f t="shared" si="7"/>
        <v>43</v>
      </c>
      <c r="D118" t="str">
        <f t="shared" si="8"/>
        <v>VQ</v>
      </c>
    </row>
    <row r="119" spans="1:4" ht="13.2" x14ac:dyDescent="0.25">
      <c r="A119" s="2" t="s">
        <v>287</v>
      </c>
      <c r="B119" t="str">
        <f t="shared" si="6"/>
        <v>ZYHCZK</v>
      </c>
      <c r="C119" t="str">
        <f t="shared" si="7"/>
        <v>46</v>
      </c>
      <c r="D119" t="str">
        <f t="shared" si="8"/>
        <v>ZK</v>
      </c>
    </row>
    <row r="120" spans="1:4" ht="13.2" x14ac:dyDescent="0.25">
      <c r="A120" s="2" t="s">
        <v>288</v>
      </c>
      <c r="B120" t="str">
        <f t="shared" si="6"/>
        <v>DLXUIA</v>
      </c>
      <c r="C120" t="str">
        <f t="shared" si="7"/>
        <v>22</v>
      </c>
      <c r="D120" t="str">
        <f t="shared" si="8"/>
        <v>IA</v>
      </c>
    </row>
    <row r="121" spans="1:4" ht="13.2" x14ac:dyDescent="0.25">
      <c r="A121" s="2" t="s">
        <v>289</v>
      </c>
      <c r="B121" t="str">
        <f t="shared" si="6"/>
        <v>DIFHXO</v>
      </c>
      <c r="C121" t="str">
        <f t="shared" si="7"/>
        <v>73</v>
      </c>
      <c r="D121" t="str">
        <f t="shared" si="8"/>
        <v>XO</v>
      </c>
    </row>
    <row r="122" spans="1:4" ht="13.2" x14ac:dyDescent="0.25">
      <c r="A122" s="2" t="s">
        <v>290</v>
      </c>
      <c r="B122" t="str">
        <f t="shared" si="6"/>
        <v>BVQRZR</v>
      </c>
      <c r="C122" t="str">
        <f t="shared" si="7"/>
        <v>14</v>
      </c>
      <c r="D122" t="str">
        <f t="shared" si="8"/>
        <v>ZR</v>
      </c>
    </row>
    <row r="123" spans="1:4" ht="13.2" x14ac:dyDescent="0.25">
      <c r="A123" s="2" t="s">
        <v>291</v>
      </c>
      <c r="B123" t="str">
        <f t="shared" si="6"/>
        <v>BZLNGF</v>
      </c>
      <c r="C123" t="str">
        <f t="shared" si="7"/>
        <v>47</v>
      </c>
      <c r="D123" t="str">
        <f t="shared" si="8"/>
        <v>GF</v>
      </c>
    </row>
    <row r="124" spans="1:4" ht="13.2" x14ac:dyDescent="0.25">
      <c r="A124" s="2" t="s">
        <v>292</v>
      </c>
      <c r="B124" t="str">
        <f t="shared" si="6"/>
        <v>CYOOZU</v>
      </c>
      <c r="C124" t="str">
        <f t="shared" si="7"/>
        <v>25</v>
      </c>
      <c r="D124" t="str">
        <f t="shared" si="8"/>
        <v>ZU</v>
      </c>
    </row>
    <row r="125" spans="1:4" ht="13.2" x14ac:dyDescent="0.25">
      <c r="A125" s="2" t="s">
        <v>293</v>
      </c>
      <c r="B125" t="str">
        <f t="shared" si="6"/>
        <v>BLXYGK</v>
      </c>
      <c r="C125" t="str">
        <f t="shared" si="7"/>
        <v>27</v>
      </c>
      <c r="D125" t="str">
        <f t="shared" si="8"/>
        <v>GK</v>
      </c>
    </row>
    <row r="126" spans="1:4" ht="13.2" x14ac:dyDescent="0.25">
      <c r="A126" s="2" t="s">
        <v>294</v>
      </c>
      <c r="B126" t="str">
        <f t="shared" si="6"/>
        <v>OVKFLQ</v>
      </c>
      <c r="C126" t="str">
        <f t="shared" si="7"/>
        <v>53</v>
      </c>
      <c r="D126" t="str">
        <f t="shared" si="8"/>
        <v>LQ</v>
      </c>
    </row>
    <row r="127" spans="1:4" ht="13.2" x14ac:dyDescent="0.25">
      <c r="A127" s="2" t="s">
        <v>295</v>
      </c>
      <c r="B127" t="str">
        <f t="shared" si="6"/>
        <v>TNTBZA</v>
      </c>
      <c r="C127" t="str">
        <f t="shared" si="7"/>
        <v>45</v>
      </c>
      <c r="D127" t="str">
        <f t="shared" si="8"/>
        <v>ZA</v>
      </c>
    </row>
    <row r="128" spans="1:4" ht="13.2" x14ac:dyDescent="0.25">
      <c r="A128" s="2" t="s">
        <v>296</v>
      </c>
      <c r="B128" t="str">
        <f t="shared" si="6"/>
        <v>EYLDAA</v>
      </c>
      <c r="C128" t="str">
        <f t="shared" si="7"/>
        <v>36</v>
      </c>
      <c r="D128" t="str">
        <f t="shared" si="8"/>
        <v>AA</v>
      </c>
    </row>
    <row r="129" spans="1:4" ht="13.2" x14ac:dyDescent="0.25">
      <c r="A129" s="2" t="s">
        <v>297</v>
      </c>
      <c r="B129" t="str">
        <f t="shared" si="6"/>
        <v>SLYEPK</v>
      </c>
      <c r="C129" t="str">
        <f t="shared" si="7"/>
        <v>86</v>
      </c>
      <c r="D129" t="str">
        <f t="shared" si="8"/>
        <v>PK</v>
      </c>
    </row>
    <row r="130" spans="1:4" ht="13.2" x14ac:dyDescent="0.25">
      <c r="A130" s="2" t="s">
        <v>298</v>
      </c>
      <c r="B130" t="str">
        <f t="shared" si="6"/>
        <v>GVTSPD</v>
      </c>
      <c r="C130" t="str">
        <f t="shared" si="7"/>
        <v>36</v>
      </c>
      <c r="D130" t="str">
        <f t="shared" si="8"/>
        <v>PD</v>
      </c>
    </row>
    <row r="131" spans="1:4" ht="13.2" x14ac:dyDescent="0.25">
      <c r="A131" s="2" t="s">
        <v>299</v>
      </c>
      <c r="B131" t="str">
        <f t="shared" si="6"/>
        <v>XZYUMW</v>
      </c>
      <c r="C131" t="str">
        <f t="shared" si="7"/>
        <v>92</v>
      </c>
      <c r="D131" t="str">
        <f t="shared" si="8"/>
        <v>MW</v>
      </c>
    </row>
    <row r="132" spans="1:4" ht="13.2" x14ac:dyDescent="0.25">
      <c r="A132" s="2" t="s">
        <v>300</v>
      </c>
      <c r="B132" t="str">
        <f t="shared" si="6"/>
        <v>LWKRIK</v>
      </c>
      <c r="C132" t="str">
        <f t="shared" si="7"/>
        <v>22</v>
      </c>
      <c r="D132" t="str">
        <f t="shared" si="8"/>
        <v>IK</v>
      </c>
    </row>
    <row r="133" spans="1:4" ht="13.2" x14ac:dyDescent="0.25">
      <c r="A133" s="2" t="s">
        <v>301</v>
      </c>
      <c r="B133" t="str">
        <f t="shared" si="6"/>
        <v>CTPBYS</v>
      </c>
      <c r="C133" t="str">
        <f t="shared" si="7"/>
        <v>31</v>
      </c>
      <c r="D133" t="str">
        <f t="shared" si="8"/>
        <v>YS</v>
      </c>
    </row>
    <row r="134" spans="1:4" ht="13.2" x14ac:dyDescent="0.25">
      <c r="A134" s="2" t="s">
        <v>302</v>
      </c>
      <c r="B134" t="str">
        <f t="shared" ref="B134:B197" si="9">LEFT(A134,6)</f>
        <v>ZBMNUV</v>
      </c>
      <c r="C134" t="str">
        <f t="shared" ref="C134:C197" si="10">RIGHT(A134,2)</f>
        <v>19</v>
      </c>
      <c r="D134" t="str">
        <f t="shared" ref="D134:D197" si="11">MID(A134,5,2)</f>
        <v>UV</v>
      </c>
    </row>
    <row r="135" spans="1:4" ht="13.2" x14ac:dyDescent="0.25">
      <c r="A135" s="2" t="s">
        <v>303</v>
      </c>
      <c r="B135" t="str">
        <f t="shared" si="9"/>
        <v>YKOIDH</v>
      </c>
      <c r="C135" t="str">
        <f t="shared" si="10"/>
        <v>72</v>
      </c>
      <c r="D135" t="str">
        <f t="shared" si="11"/>
        <v>DH</v>
      </c>
    </row>
    <row r="136" spans="1:4" ht="13.2" x14ac:dyDescent="0.25">
      <c r="A136" s="2" t="s">
        <v>304</v>
      </c>
      <c r="B136" t="str">
        <f t="shared" si="9"/>
        <v>IYXJMK</v>
      </c>
      <c r="C136" t="str">
        <f t="shared" si="10"/>
        <v>88</v>
      </c>
      <c r="D136" t="str">
        <f t="shared" si="11"/>
        <v>MK</v>
      </c>
    </row>
    <row r="137" spans="1:4" ht="13.2" x14ac:dyDescent="0.25">
      <c r="A137" s="2" t="s">
        <v>305</v>
      </c>
      <c r="B137" t="str">
        <f t="shared" si="9"/>
        <v>ZRIFPG</v>
      </c>
      <c r="C137" t="str">
        <f t="shared" si="10"/>
        <v>32</v>
      </c>
      <c r="D137" t="str">
        <f t="shared" si="11"/>
        <v>PG</v>
      </c>
    </row>
    <row r="138" spans="1:4" ht="13.2" x14ac:dyDescent="0.25">
      <c r="A138" s="2" t="s">
        <v>306</v>
      </c>
      <c r="B138" t="str">
        <f t="shared" si="9"/>
        <v>MKEFGX</v>
      </c>
      <c r="C138" t="str">
        <f t="shared" si="10"/>
        <v>33</v>
      </c>
      <c r="D138" t="str">
        <f t="shared" si="11"/>
        <v>GX</v>
      </c>
    </row>
    <row r="139" spans="1:4" ht="13.2" x14ac:dyDescent="0.25">
      <c r="A139" s="2" t="s">
        <v>307</v>
      </c>
      <c r="B139" t="str">
        <f t="shared" si="9"/>
        <v>NOZTRQ</v>
      </c>
      <c r="C139" t="str">
        <f t="shared" si="10"/>
        <v>28</v>
      </c>
      <c r="D139" t="str">
        <f t="shared" si="11"/>
        <v>RQ</v>
      </c>
    </row>
    <row r="140" spans="1:4" ht="13.2" x14ac:dyDescent="0.25">
      <c r="A140" s="2" t="s">
        <v>308</v>
      </c>
      <c r="B140" t="str">
        <f t="shared" si="9"/>
        <v>AOBCCI</v>
      </c>
      <c r="C140" t="str">
        <f t="shared" si="10"/>
        <v>64</v>
      </c>
      <c r="D140" t="str">
        <f t="shared" si="11"/>
        <v>CI</v>
      </c>
    </row>
    <row r="141" spans="1:4" ht="13.2" x14ac:dyDescent="0.25">
      <c r="A141" s="2" t="s">
        <v>309</v>
      </c>
      <c r="B141" t="str">
        <f t="shared" si="9"/>
        <v>RBFSUM</v>
      </c>
      <c r="C141" t="str">
        <f t="shared" si="10"/>
        <v>83</v>
      </c>
      <c r="D141" t="str">
        <f t="shared" si="11"/>
        <v>UM</v>
      </c>
    </row>
    <row r="142" spans="1:4" ht="13.2" x14ac:dyDescent="0.25">
      <c r="A142" s="2" t="s">
        <v>310</v>
      </c>
      <c r="B142" t="str">
        <f t="shared" si="9"/>
        <v>LRPKAD</v>
      </c>
      <c r="C142" t="str">
        <f t="shared" si="10"/>
        <v>76</v>
      </c>
      <c r="D142" t="str">
        <f t="shared" si="11"/>
        <v>AD</v>
      </c>
    </row>
    <row r="143" spans="1:4" ht="13.2" x14ac:dyDescent="0.25">
      <c r="A143" s="2" t="s">
        <v>311</v>
      </c>
      <c r="B143" t="str">
        <f t="shared" si="9"/>
        <v>GMIZWT</v>
      </c>
      <c r="C143" t="str">
        <f t="shared" si="10"/>
        <v>47</v>
      </c>
      <c r="D143" t="str">
        <f t="shared" si="11"/>
        <v>WT</v>
      </c>
    </row>
    <row r="144" spans="1:4" ht="13.2" x14ac:dyDescent="0.25">
      <c r="A144" s="2" t="s">
        <v>312</v>
      </c>
      <c r="B144" t="str">
        <f t="shared" si="9"/>
        <v>AWAHVV</v>
      </c>
      <c r="C144" t="str">
        <f t="shared" si="10"/>
        <v>11</v>
      </c>
      <c r="D144" t="str">
        <f t="shared" si="11"/>
        <v>VV</v>
      </c>
    </row>
    <row r="145" spans="1:4" ht="13.2" x14ac:dyDescent="0.25">
      <c r="A145" s="2" t="s">
        <v>313</v>
      </c>
      <c r="B145" t="str">
        <f t="shared" si="9"/>
        <v>NQBQKC</v>
      </c>
      <c r="C145" t="str">
        <f t="shared" si="10"/>
        <v>89</v>
      </c>
      <c r="D145" t="str">
        <f t="shared" si="11"/>
        <v>KC</v>
      </c>
    </row>
    <row r="146" spans="1:4" ht="13.2" x14ac:dyDescent="0.25">
      <c r="A146" s="2" t="s">
        <v>314</v>
      </c>
      <c r="B146" t="str">
        <f t="shared" si="9"/>
        <v>CKWSGS</v>
      </c>
      <c r="C146" t="str">
        <f t="shared" si="10"/>
        <v>85</v>
      </c>
      <c r="D146" t="str">
        <f t="shared" si="11"/>
        <v>GS</v>
      </c>
    </row>
    <row r="147" spans="1:4" ht="13.2" x14ac:dyDescent="0.25">
      <c r="A147" s="2" t="s">
        <v>315</v>
      </c>
      <c r="B147" t="str">
        <f t="shared" si="9"/>
        <v>SAKGAK</v>
      </c>
      <c r="C147" t="str">
        <f t="shared" si="10"/>
        <v>64</v>
      </c>
      <c r="D147" t="str">
        <f t="shared" si="11"/>
        <v>AK</v>
      </c>
    </row>
    <row r="148" spans="1:4" ht="13.2" x14ac:dyDescent="0.25">
      <c r="A148" s="2" t="s">
        <v>316</v>
      </c>
      <c r="B148" t="str">
        <f t="shared" si="9"/>
        <v>HTIGDF</v>
      </c>
      <c r="C148" t="str">
        <f t="shared" si="10"/>
        <v>75</v>
      </c>
      <c r="D148" t="str">
        <f t="shared" si="11"/>
        <v>DF</v>
      </c>
    </row>
    <row r="149" spans="1:4" ht="13.2" x14ac:dyDescent="0.25">
      <c r="A149" s="2" t="s">
        <v>317</v>
      </c>
      <c r="B149" t="str">
        <f t="shared" si="9"/>
        <v>FPZMOK</v>
      </c>
      <c r="C149" t="str">
        <f t="shared" si="10"/>
        <v>18</v>
      </c>
      <c r="D149" t="str">
        <f t="shared" si="11"/>
        <v>OK</v>
      </c>
    </row>
    <row r="150" spans="1:4" ht="13.2" x14ac:dyDescent="0.25">
      <c r="A150" s="2" t="s">
        <v>318</v>
      </c>
      <c r="B150" t="str">
        <f t="shared" si="9"/>
        <v>CPEDIU</v>
      </c>
      <c r="C150" t="str">
        <f t="shared" si="10"/>
        <v>56</v>
      </c>
      <c r="D150" t="str">
        <f t="shared" si="11"/>
        <v>IU</v>
      </c>
    </row>
    <row r="151" spans="1:4" ht="13.2" x14ac:dyDescent="0.25">
      <c r="A151" s="2" t="s">
        <v>319</v>
      </c>
      <c r="B151" t="str">
        <f t="shared" si="9"/>
        <v>MQVKEF</v>
      </c>
      <c r="C151" t="str">
        <f t="shared" si="10"/>
        <v>41</v>
      </c>
      <c r="D151" t="str">
        <f t="shared" si="11"/>
        <v>EF</v>
      </c>
    </row>
    <row r="152" spans="1:4" ht="13.2" x14ac:dyDescent="0.25">
      <c r="A152" s="2" t="s">
        <v>320</v>
      </c>
      <c r="B152" t="str">
        <f t="shared" si="9"/>
        <v>VWNVMF</v>
      </c>
      <c r="C152" t="str">
        <f t="shared" si="10"/>
        <v>58</v>
      </c>
      <c r="D152" t="str">
        <f t="shared" si="11"/>
        <v>MF</v>
      </c>
    </row>
    <row r="153" spans="1:4" ht="13.2" x14ac:dyDescent="0.25">
      <c r="A153" s="2" t="s">
        <v>321</v>
      </c>
      <c r="B153" t="str">
        <f t="shared" si="9"/>
        <v>RYSMKQ</v>
      </c>
      <c r="C153" t="str">
        <f t="shared" si="10"/>
        <v>76</v>
      </c>
      <c r="D153" t="str">
        <f t="shared" si="11"/>
        <v>KQ</v>
      </c>
    </row>
    <row r="154" spans="1:4" ht="13.2" x14ac:dyDescent="0.25">
      <c r="A154" s="2" t="s">
        <v>322</v>
      </c>
      <c r="B154" t="str">
        <f t="shared" si="9"/>
        <v>WGKQMI</v>
      </c>
      <c r="C154" t="str">
        <f t="shared" si="10"/>
        <v>71</v>
      </c>
      <c r="D154" t="str">
        <f t="shared" si="11"/>
        <v>MI</v>
      </c>
    </row>
    <row r="155" spans="1:4" ht="13.2" x14ac:dyDescent="0.25">
      <c r="A155" s="2" t="s">
        <v>323</v>
      </c>
      <c r="B155" t="str">
        <f t="shared" si="9"/>
        <v>TSVIMI</v>
      </c>
      <c r="C155" t="str">
        <f t="shared" si="10"/>
        <v>34</v>
      </c>
      <c r="D155" t="str">
        <f t="shared" si="11"/>
        <v>MI</v>
      </c>
    </row>
    <row r="156" spans="1:4" ht="13.2" x14ac:dyDescent="0.25">
      <c r="A156" s="2" t="s">
        <v>324</v>
      </c>
      <c r="B156" t="str">
        <f t="shared" si="9"/>
        <v>XDTMLL</v>
      </c>
      <c r="C156" t="str">
        <f t="shared" si="10"/>
        <v>87</v>
      </c>
      <c r="D156" t="str">
        <f t="shared" si="11"/>
        <v>LL</v>
      </c>
    </row>
    <row r="157" spans="1:4" ht="13.2" x14ac:dyDescent="0.25">
      <c r="A157" s="2" t="s">
        <v>325</v>
      </c>
      <c r="B157" t="str">
        <f t="shared" si="9"/>
        <v>HVSQVH</v>
      </c>
      <c r="C157" t="str">
        <f t="shared" si="10"/>
        <v>62</v>
      </c>
      <c r="D157" t="str">
        <f t="shared" si="11"/>
        <v>VH</v>
      </c>
    </row>
    <row r="158" spans="1:4" ht="13.2" x14ac:dyDescent="0.25">
      <c r="A158" s="2" t="s">
        <v>326</v>
      </c>
      <c r="B158" t="str">
        <f t="shared" si="9"/>
        <v>QTFQGJ</v>
      </c>
      <c r="C158" t="str">
        <f t="shared" si="10"/>
        <v>87</v>
      </c>
      <c r="D158" t="str">
        <f t="shared" si="11"/>
        <v>GJ</v>
      </c>
    </row>
    <row r="159" spans="1:4" ht="13.2" x14ac:dyDescent="0.25">
      <c r="A159" s="2" t="s">
        <v>327</v>
      </c>
      <c r="B159" t="str">
        <f t="shared" si="9"/>
        <v>MERVDW</v>
      </c>
      <c r="C159" t="str">
        <f t="shared" si="10"/>
        <v>55</v>
      </c>
      <c r="D159" t="str">
        <f t="shared" si="11"/>
        <v>DW</v>
      </c>
    </row>
    <row r="160" spans="1:4" ht="13.2" x14ac:dyDescent="0.25">
      <c r="A160" s="2" t="s">
        <v>328</v>
      </c>
      <c r="B160" t="str">
        <f t="shared" si="9"/>
        <v>JYCZHH</v>
      </c>
      <c r="C160" t="str">
        <f t="shared" si="10"/>
        <v>35</v>
      </c>
      <c r="D160" t="str">
        <f t="shared" si="11"/>
        <v>HH</v>
      </c>
    </row>
    <row r="161" spans="1:4" ht="13.2" x14ac:dyDescent="0.25">
      <c r="A161" s="2" t="s">
        <v>329</v>
      </c>
      <c r="B161" t="str">
        <f t="shared" si="9"/>
        <v>OEOQKF</v>
      </c>
      <c r="C161" t="str">
        <f t="shared" si="10"/>
        <v>12</v>
      </c>
      <c r="D161" t="str">
        <f t="shared" si="11"/>
        <v>KF</v>
      </c>
    </row>
    <row r="162" spans="1:4" ht="13.2" x14ac:dyDescent="0.25">
      <c r="A162" s="2" t="s">
        <v>330</v>
      </c>
      <c r="B162" t="str">
        <f t="shared" si="9"/>
        <v>LZSXDA</v>
      </c>
      <c r="C162" t="str">
        <f t="shared" si="10"/>
        <v>56</v>
      </c>
      <c r="D162" t="str">
        <f t="shared" si="11"/>
        <v>DA</v>
      </c>
    </row>
    <row r="163" spans="1:4" ht="13.2" x14ac:dyDescent="0.25">
      <c r="A163" s="2" t="s">
        <v>331</v>
      </c>
      <c r="B163" t="str">
        <f t="shared" si="9"/>
        <v>WPKMPT</v>
      </c>
      <c r="C163" t="str">
        <f t="shared" si="10"/>
        <v>95</v>
      </c>
      <c r="D163" t="str">
        <f t="shared" si="11"/>
        <v>PT</v>
      </c>
    </row>
    <row r="164" spans="1:4" ht="13.2" x14ac:dyDescent="0.25">
      <c r="A164" s="2" t="s">
        <v>332</v>
      </c>
      <c r="B164" t="str">
        <f t="shared" si="9"/>
        <v>VYTQJE</v>
      </c>
      <c r="C164" t="str">
        <f t="shared" si="10"/>
        <v>64</v>
      </c>
      <c r="D164" t="str">
        <f t="shared" si="11"/>
        <v>JE</v>
      </c>
    </row>
    <row r="165" spans="1:4" ht="13.2" x14ac:dyDescent="0.25">
      <c r="A165" s="2" t="s">
        <v>333</v>
      </c>
      <c r="B165" t="str">
        <f t="shared" si="9"/>
        <v>JBSBPO</v>
      </c>
      <c r="C165" t="str">
        <f t="shared" si="10"/>
        <v>48</v>
      </c>
      <c r="D165" t="str">
        <f t="shared" si="11"/>
        <v>PO</v>
      </c>
    </row>
    <row r="166" spans="1:4" ht="13.2" x14ac:dyDescent="0.25">
      <c r="A166" s="2" t="s">
        <v>334</v>
      </c>
      <c r="B166" t="str">
        <f t="shared" si="9"/>
        <v>PSNZFA</v>
      </c>
      <c r="C166" t="str">
        <f t="shared" si="10"/>
        <v>23</v>
      </c>
      <c r="D166" t="str">
        <f t="shared" si="11"/>
        <v>FA</v>
      </c>
    </row>
    <row r="167" spans="1:4" ht="13.2" x14ac:dyDescent="0.25">
      <c r="A167" s="2" t="s">
        <v>335</v>
      </c>
      <c r="B167" t="str">
        <f t="shared" si="9"/>
        <v>AQOVPH</v>
      </c>
      <c r="C167" t="str">
        <f t="shared" si="10"/>
        <v>92</v>
      </c>
      <c r="D167" t="str">
        <f t="shared" si="11"/>
        <v>PH</v>
      </c>
    </row>
    <row r="168" spans="1:4" ht="13.2" x14ac:dyDescent="0.25">
      <c r="A168" s="2" t="s">
        <v>336</v>
      </c>
      <c r="B168" t="str">
        <f t="shared" si="9"/>
        <v>HZNASQ</v>
      </c>
      <c r="C168" t="str">
        <f t="shared" si="10"/>
        <v>53</v>
      </c>
      <c r="D168" t="str">
        <f t="shared" si="11"/>
        <v>SQ</v>
      </c>
    </row>
    <row r="169" spans="1:4" ht="13.2" x14ac:dyDescent="0.25">
      <c r="A169" s="2" t="s">
        <v>337</v>
      </c>
      <c r="B169" t="str">
        <f t="shared" si="9"/>
        <v>CHTIVE</v>
      </c>
      <c r="C169" t="str">
        <f t="shared" si="10"/>
        <v>96</v>
      </c>
      <c r="D169" t="str">
        <f t="shared" si="11"/>
        <v>VE</v>
      </c>
    </row>
    <row r="170" spans="1:4" ht="13.2" x14ac:dyDescent="0.25">
      <c r="A170" s="2" t="s">
        <v>338</v>
      </c>
      <c r="B170" t="str">
        <f t="shared" si="9"/>
        <v>YSFMXI</v>
      </c>
      <c r="C170" t="str">
        <f t="shared" si="10"/>
        <v>65</v>
      </c>
      <c r="D170" t="str">
        <f t="shared" si="11"/>
        <v>XI</v>
      </c>
    </row>
    <row r="171" spans="1:4" ht="13.2" x14ac:dyDescent="0.25">
      <c r="A171" s="2" t="s">
        <v>339</v>
      </c>
      <c r="B171" t="str">
        <f t="shared" si="9"/>
        <v>MNRRYN</v>
      </c>
      <c r="C171" t="str">
        <f t="shared" si="10"/>
        <v>75</v>
      </c>
      <c r="D171" t="str">
        <f t="shared" si="11"/>
        <v>YN</v>
      </c>
    </row>
    <row r="172" spans="1:4" ht="13.2" x14ac:dyDescent="0.25">
      <c r="A172" s="2" t="s">
        <v>340</v>
      </c>
      <c r="B172" t="str">
        <f t="shared" si="9"/>
        <v>PQHQYL</v>
      </c>
      <c r="C172" t="str">
        <f t="shared" si="10"/>
        <v>27</v>
      </c>
      <c r="D172" t="str">
        <f t="shared" si="11"/>
        <v>YL</v>
      </c>
    </row>
    <row r="173" spans="1:4" ht="13.2" x14ac:dyDescent="0.25">
      <c r="A173" s="2" t="s">
        <v>341</v>
      </c>
      <c r="B173" t="str">
        <f t="shared" si="9"/>
        <v>VHNKCW</v>
      </c>
      <c r="C173" t="str">
        <f t="shared" si="10"/>
        <v>71</v>
      </c>
      <c r="D173" t="str">
        <f t="shared" si="11"/>
        <v>CW</v>
      </c>
    </row>
    <row r="174" spans="1:4" ht="13.2" x14ac:dyDescent="0.25">
      <c r="A174" s="2" t="s">
        <v>342</v>
      </c>
      <c r="B174" t="str">
        <f t="shared" si="9"/>
        <v>KOSHUZ</v>
      </c>
      <c r="C174" t="str">
        <f t="shared" si="10"/>
        <v>78</v>
      </c>
      <c r="D174" t="str">
        <f t="shared" si="11"/>
        <v>UZ</v>
      </c>
    </row>
    <row r="175" spans="1:4" ht="13.2" x14ac:dyDescent="0.25">
      <c r="A175" s="2" t="s">
        <v>343</v>
      </c>
      <c r="B175" t="str">
        <f t="shared" si="9"/>
        <v>RCIBPQ</v>
      </c>
      <c r="C175" t="str">
        <f t="shared" si="10"/>
        <v>53</v>
      </c>
      <c r="D175" t="str">
        <f t="shared" si="11"/>
        <v>PQ</v>
      </c>
    </row>
    <row r="176" spans="1:4" ht="13.2" x14ac:dyDescent="0.25">
      <c r="A176" s="2" t="s">
        <v>344</v>
      </c>
      <c r="B176" t="str">
        <f t="shared" si="9"/>
        <v>JAXBDV</v>
      </c>
      <c r="C176" t="str">
        <f t="shared" si="10"/>
        <v>86</v>
      </c>
      <c r="D176" t="str">
        <f t="shared" si="11"/>
        <v>DV</v>
      </c>
    </row>
    <row r="177" spans="1:4" ht="13.2" x14ac:dyDescent="0.25">
      <c r="A177" s="2" t="s">
        <v>345</v>
      </c>
      <c r="B177" t="str">
        <f t="shared" si="9"/>
        <v>GFCXKY</v>
      </c>
      <c r="C177" t="str">
        <f t="shared" si="10"/>
        <v>44</v>
      </c>
      <c r="D177" t="str">
        <f t="shared" si="11"/>
        <v>KY</v>
      </c>
    </row>
    <row r="178" spans="1:4" ht="13.2" x14ac:dyDescent="0.25">
      <c r="A178" s="2" t="s">
        <v>346</v>
      </c>
      <c r="B178" t="str">
        <f t="shared" si="9"/>
        <v>URQPEH</v>
      </c>
      <c r="C178" t="str">
        <f t="shared" si="10"/>
        <v>87</v>
      </c>
      <c r="D178" t="str">
        <f t="shared" si="11"/>
        <v>EH</v>
      </c>
    </row>
    <row r="179" spans="1:4" ht="13.2" x14ac:dyDescent="0.25">
      <c r="A179" s="2" t="s">
        <v>347</v>
      </c>
      <c r="B179" t="str">
        <f t="shared" si="9"/>
        <v>RPJJAY</v>
      </c>
      <c r="C179" t="str">
        <f t="shared" si="10"/>
        <v>55</v>
      </c>
      <c r="D179" t="str">
        <f t="shared" si="11"/>
        <v>AY</v>
      </c>
    </row>
    <row r="180" spans="1:4" ht="13.2" x14ac:dyDescent="0.25">
      <c r="A180" s="2" t="s">
        <v>348</v>
      </c>
      <c r="B180" t="str">
        <f t="shared" si="9"/>
        <v>GCOVDM</v>
      </c>
      <c r="C180" t="str">
        <f t="shared" si="10"/>
        <v>39</v>
      </c>
      <c r="D180" t="str">
        <f t="shared" si="11"/>
        <v>DM</v>
      </c>
    </row>
    <row r="181" spans="1:4" ht="13.2" x14ac:dyDescent="0.25">
      <c r="A181" s="2" t="s">
        <v>349</v>
      </c>
      <c r="B181" t="str">
        <f t="shared" si="9"/>
        <v>ISTIPF</v>
      </c>
      <c r="C181" t="str">
        <f t="shared" si="10"/>
        <v>97</v>
      </c>
      <c r="D181" t="str">
        <f t="shared" si="11"/>
        <v>PF</v>
      </c>
    </row>
    <row r="182" spans="1:4" ht="13.2" x14ac:dyDescent="0.25">
      <c r="A182" s="2" t="s">
        <v>350</v>
      </c>
      <c r="B182" t="str">
        <f t="shared" si="9"/>
        <v>GUICJV</v>
      </c>
      <c r="C182" t="str">
        <f t="shared" si="10"/>
        <v>61</v>
      </c>
      <c r="D182" t="str">
        <f t="shared" si="11"/>
        <v>JV</v>
      </c>
    </row>
    <row r="183" spans="1:4" ht="13.2" x14ac:dyDescent="0.25">
      <c r="A183" s="2" t="s">
        <v>351</v>
      </c>
      <c r="B183" t="str">
        <f t="shared" si="9"/>
        <v>VBLTUB</v>
      </c>
      <c r="C183" t="str">
        <f t="shared" si="10"/>
        <v>56</v>
      </c>
      <c r="D183" t="str">
        <f t="shared" si="11"/>
        <v>UB</v>
      </c>
    </row>
    <row r="184" spans="1:4" ht="13.2" x14ac:dyDescent="0.25">
      <c r="A184" s="2" t="s">
        <v>352</v>
      </c>
      <c r="B184" t="str">
        <f t="shared" si="9"/>
        <v>OXVMPA</v>
      </c>
      <c r="C184" t="str">
        <f t="shared" si="10"/>
        <v>46</v>
      </c>
      <c r="D184" t="str">
        <f t="shared" si="11"/>
        <v>PA</v>
      </c>
    </row>
    <row r="185" spans="1:4" ht="13.2" x14ac:dyDescent="0.25">
      <c r="A185" s="2" t="s">
        <v>353</v>
      </c>
      <c r="B185" t="str">
        <f t="shared" si="9"/>
        <v>GDJTUR</v>
      </c>
      <c r="C185" t="str">
        <f t="shared" si="10"/>
        <v>69</v>
      </c>
      <c r="D185" t="str">
        <f t="shared" si="11"/>
        <v>UR</v>
      </c>
    </row>
    <row r="186" spans="1:4" ht="13.2" x14ac:dyDescent="0.25">
      <c r="A186" s="2" t="s">
        <v>354</v>
      </c>
      <c r="B186" t="str">
        <f t="shared" si="9"/>
        <v>QASRSA</v>
      </c>
      <c r="C186" t="str">
        <f t="shared" si="10"/>
        <v>26</v>
      </c>
      <c r="D186" t="str">
        <f t="shared" si="11"/>
        <v>SA</v>
      </c>
    </row>
    <row r="187" spans="1:4" ht="13.2" x14ac:dyDescent="0.25">
      <c r="A187" s="2" t="s">
        <v>355</v>
      </c>
      <c r="B187" t="str">
        <f t="shared" si="9"/>
        <v>CSKNEI</v>
      </c>
      <c r="C187" t="str">
        <f t="shared" si="10"/>
        <v>18</v>
      </c>
      <c r="D187" t="str">
        <f t="shared" si="11"/>
        <v>EI</v>
      </c>
    </row>
    <row r="188" spans="1:4" ht="13.2" x14ac:dyDescent="0.25">
      <c r="A188" s="2" t="s">
        <v>356</v>
      </c>
      <c r="B188" t="str">
        <f t="shared" si="9"/>
        <v>ABOULO</v>
      </c>
      <c r="C188" t="str">
        <f t="shared" si="10"/>
        <v>48</v>
      </c>
      <c r="D188" t="str">
        <f t="shared" si="11"/>
        <v>LO</v>
      </c>
    </row>
    <row r="189" spans="1:4" ht="13.2" x14ac:dyDescent="0.25">
      <c r="A189" s="2" t="s">
        <v>357</v>
      </c>
      <c r="B189" t="str">
        <f t="shared" si="9"/>
        <v>BENRSA</v>
      </c>
      <c r="C189" t="str">
        <f t="shared" si="10"/>
        <v>24</v>
      </c>
      <c r="D189" t="str">
        <f t="shared" si="11"/>
        <v>SA</v>
      </c>
    </row>
    <row r="190" spans="1:4" ht="13.2" x14ac:dyDescent="0.25">
      <c r="A190" s="2" t="s">
        <v>358</v>
      </c>
      <c r="B190" t="str">
        <f t="shared" si="9"/>
        <v>WBNFHG</v>
      </c>
      <c r="C190" t="str">
        <f t="shared" si="10"/>
        <v>32</v>
      </c>
      <c r="D190" t="str">
        <f t="shared" si="11"/>
        <v>HG</v>
      </c>
    </row>
    <row r="191" spans="1:4" ht="13.2" x14ac:dyDescent="0.25">
      <c r="A191" s="2" t="s">
        <v>359</v>
      </c>
      <c r="B191" t="str">
        <f t="shared" si="9"/>
        <v>CVNTTU</v>
      </c>
      <c r="C191" t="str">
        <f t="shared" si="10"/>
        <v>95</v>
      </c>
      <c r="D191" t="str">
        <f t="shared" si="11"/>
        <v>TU</v>
      </c>
    </row>
    <row r="192" spans="1:4" ht="13.2" x14ac:dyDescent="0.25">
      <c r="A192" s="2" t="s">
        <v>360</v>
      </c>
      <c r="B192" t="str">
        <f t="shared" si="9"/>
        <v>MABLLX</v>
      </c>
      <c r="C192" t="str">
        <f t="shared" si="10"/>
        <v>24</v>
      </c>
      <c r="D192" t="str">
        <f t="shared" si="11"/>
        <v>LX</v>
      </c>
    </row>
    <row r="193" spans="1:4" ht="13.2" x14ac:dyDescent="0.25">
      <c r="A193" s="2" t="s">
        <v>361</v>
      </c>
      <c r="B193" t="str">
        <f t="shared" si="9"/>
        <v>WCDTHN</v>
      </c>
      <c r="C193" t="str">
        <f t="shared" si="10"/>
        <v>42</v>
      </c>
      <c r="D193" t="str">
        <f t="shared" si="11"/>
        <v>HN</v>
      </c>
    </row>
    <row r="194" spans="1:4" ht="13.2" x14ac:dyDescent="0.25">
      <c r="A194" s="2" t="s">
        <v>362</v>
      </c>
      <c r="B194" t="str">
        <f t="shared" si="9"/>
        <v>ZZQDHY</v>
      </c>
      <c r="C194" t="str">
        <f t="shared" si="10"/>
        <v>38</v>
      </c>
      <c r="D194" t="str">
        <f t="shared" si="11"/>
        <v>HY</v>
      </c>
    </row>
    <row r="195" spans="1:4" ht="13.2" x14ac:dyDescent="0.25">
      <c r="A195" s="2" t="s">
        <v>363</v>
      </c>
      <c r="B195" t="str">
        <f t="shared" si="9"/>
        <v>ABDJYF</v>
      </c>
      <c r="C195" t="str">
        <f t="shared" si="10"/>
        <v>26</v>
      </c>
      <c r="D195" t="str">
        <f t="shared" si="11"/>
        <v>YF</v>
      </c>
    </row>
    <row r="196" spans="1:4" ht="13.2" x14ac:dyDescent="0.25">
      <c r="A196" s="2" t="s">
        <v>364</v>
      </c>
      <c r="B196" t="str">
        <f t="shared" si="9"/>
        <v>PRGCPR</v>
      </c>
      <c r="C196" t="str">
        <f t="shared" si="10"/>
        <v>72</v>
      </c>
      <c r="D196" t="str">
        <f t="shared" si="11"/>
        <v>PR</v>
      </c>
    </row>
    <row r="197" spans="1:4" ht="13.2" x14ac:dyDescent="0.25">
      <c r="A197" s="2" t="s">
        <v>365</v>
      </c>
      <c r="B197" t="str">
        <f t="shared" si="9"/>
        <v>OARIJQ</v>
      </c>
      <c r="C197" t="str">
        <f t="shared" si="10"/>
        <v>94</v>
      </c>
      <c r="D197" t="str">
        <f t="shared" si="11"/>
        <v>JQ</v>
      </c>
    </row>
    <row r="198" spans="1:4" ht="13.2" x14ac:dyDescent="0.25">
      <c r="A198" s="2" t="s">
        <v>366</v>
      </c>
      <c r="B198" t="str">
        <f t="shared" ref="B198:B261" si="12">LEFT(A198,6)</f>
        <v>LEEZSN</v>
      </c>
      <c r="C198" t="str">
        <f t="shared" ref="C198:C261" si="13">RIGHT(A198,2)</f>
        <v>64</v>
      </c>
      <c r="D198" t="str">
        <f t="shared" ref="D198:D261" si="14">MID(A198,5,2)</f>
        <v>SN</v>
      </c>
    </row>
    <row r="199" spans="1:4" ht="13.2" x14ac:dyDescent="0.25">
      <c r="A199" s="2" t="s">
        <v>367</v>
      </c>
      <c r="B199" t="str">
        <f t="shared" si="12"/>
        <v>BTQOIG</v>
      </c>
      <c r="C199" t="str">
        <f t="shared" si="13"/>
        <v>85</v>
      </c>
      <c r="D199" t="str">
        <f t="shared" si="14"/>
        <v>IG</v>
      </c>
    </row>
    <row r="200" spans="1:4" ht="13.2" x14ac:dyDescent="0.25">
      <c r="A200" s="2" t="s">
        <v>368</v>
      </c>
      <c r="B200" t="str">
        <f t="shared" si="12"/>
        <v>VLAGOW</v>
      </c>
      <c r="C200" t="str">
        <f t="shared" si="13"/>
        <v>12</v>
      </c>
      <c r="D200" t="str">
        <f t="shared" si="14"/>
        <v>OW</v>
      </c>
    </row>
    <row r="201" spans="1:4" ht="13.2" x14ac:dyDescent="0.25">
      <c r="A201" s="2" t="s">
        <v>369</v>
      </c>
      <c r="B201" t="str">
        <f t="shared" si="12"/>
        <v>CGXMUO</v>
      </c>
      <c r="C201" t="str">
        <f t="shared" si="13"/>
        <v>39</v>
      </c>
      <c r="D201" t="str">
        <f t="shared" si="14"/>
        <v>UO</v>
      </c>
    </row>
    <row r="202" spans="1:4" ht="13.2" x14ac:dyDescent="0.25">
      <c r="A202" s="2" t="s">
        <v>370</v>
      </c>
      <c r="B202" t="str">
        <f t="shared" si="12"/>
        <v>MRQVCL</v>
      </c>
      <c r="C202" t="str">
        <f t="shared" si="13"/>
        <v>54</v>
      </c>
      <c r="D202" t="str">
        <f t="shared" si="14"/>
        <v>CL</v>
      </c>
    </row>
    <row r="203" spans="1:4" ht="13.2" x14ac:dyDescent="0.25">
      <c r="A203" s="2" t="s">
        <v>371</v>
      </c>
      <c r="B203" t="str">
        <f t="shared" si="12"/>
        <v>INCBPM</v>
      </c>
      <c r="C203" t="str">
        <f t="shared" si="13"/>
        <v>42</v>
      </c>
      <c r="D203" t="str">
        <f t="shared" si="14"/>
        <v>PM</v>
      </c>
    </row>
    <row r="204" spans="1:4" ht="13.2" x14ac:dyDescent="0.25">
      <c r="A204" s="2" t="s">
        <v>372</v>
      </c>
      <c r="B204" t="str">
        <f t="shared" si="12"/>
        <v>CBOASJ</v>
      </c>
      <c r="C204" t="str">
        <f t="shared" si="13"/>
        <v>29</v>
      </c>
      <c r="D204" t="str">
        <f t="shared" si="14"/>
        <v>SJ</v>
      </c>
    </row>
    <row r="205" spans="1:4" ht="13.2" x14ac:dyDescent="0.25">
      <c r="A205" s="2" t="s">
        <v>373</v>
      </c>
      <c r="B205" t="str">
        <f t="shared" si="12"/>
        <v>HZRTIR</v>
      </c>
      <c r="C205" t="str">
        <f t="shared" si="13"/>
        <v>83</v>
      </c>
      <c r="D205" t="str">
        <f t="shared" si="14"/>
        <v>IR</v>
      </c>
    </row>
    <row r="206" spans="1:4" ht="13.2" x14ac:dyDescent="0.25">
      <c r="A206" s="2" t="s">
        <v>374</v>
      </c>
      <c r="B206" t="str">
        <f t="shared" si="12"/>
        <v>IXXFNJ</v>
      </c>
      <c r="C206" t="str">
        <f t="shared" si="13"/>
        <v>97</v>
      </c>
      <c r="D206" t="str">
        <f t="shared" si="14"/>
        <v>NJ</v>
      </c>
    </row>
    <row r="207" spans="1:4" ht="13.2" x14ac:dyDescent="0.25">
      <c r="A207" s="2" t="s">
        <v>375</v>
      </c>
      <c r="B207" t="str">
        <f t="shared" si="12"/>
        <v>PYNJJS</v>
      </c>
      <c r="C207" t="str">
        <f t="shared" si="13"/>
        <v>51</v>
      </c>
      <c r="D207" t="str">
        <f t="shared" si="14"/>
        <v>JS</v>
      </c>
    </row>
    <row r="208" spans="1:4" ht="13.2" x14ac:dyDescent="0.25">
      <c r="A208" s="2" t="s">
        <v>376</v>
      </c>
      <c r="B208" t="str">
        <f t="shared" si="12"/>
        <v>UHGWGA</v>
      </c>
      <c r="C208" t="str">
        <f t="shared" si="13"/>
        <v>34</v>
      </c>
      <c r="D208" t="str">
        <f t="shared" si="14"/>
        <v>GA</v>
      </c>
    </row>
    <row r="209" spans="1:4" ht="13.2" x14ac:dyDescent="0.25">
      <c r="A209" s="2" t="s">
        <v>377</v>
      </c>
      <c r="B209" t="str">
        <f t="shared" si="12"/>
        <v>IZCKKD</v>
      </c>
      <c r="C209" t="str">
        <f t="shared" si="13"/>
        <v>21</v>
      </c>
      <c r="D209" t="str">
        <f t="shared" si="14"/>
        <v>KD</v>
      </c>
    </row>
    <row r="210" spans="1:4" ht="13.2" x14ac:dyDescent="0.25">
      <c r="A210" s="2" t="s">
        <v>378</v>
      </c>
      <c r="B210" t="str">
        <f t="shared" si="12"/>
        <v>ZKRENH</v>
      </c>
      <c r="C210" t="str">
        <f t="shared" si="13"/>
        <v>27</v>
      </c>
      <c r="D210" t="str">
        <f t="shared" si="14"/>
        <v>NH</v>
      </c>
    </row>
    <row r="211" spans="1:4" ht="13.2" x14ac:dyDescent="0.25">
      <c r="A211" s="2" t="s">
        <v>379</v>
      </c>
      <c r="B211" t="str">
        <f t="shared" si="12"/>
        <v>BLMMVS</v>
      </c>
      <c r="C211" t="str">
        <f t="shared" si="13"/>
        <v>78</v>
      </c>
      <c r="D211" t="str">
        <f t="shared" si="14"/>
        <v>VS</v>
      </c>
    </row>
    <row r="212" spans="1:4" ht="13.2" x14ac:dyDescent="0.25">
      <c r="A212" s="2" t="s">
        <v>380</v>
      </c>
      <c r="B212" t="str">
        <f t="shared" si="12"/>
        <v>SUGGEU</v>
      </c>
      <c r="C212" t="str">
        <f t="shared" si="13"/>
        <v>76</v>
      </c>
      <c r="D212" t="str">
        <f t="shared" si="14"/>
        <v>EU</v>
      </c>
    </row>
    <row r="213" spans="1:4" ht="13.2" x14ac:dyDescent="0.25">
      <c r="A213" s="2" t="s">
        <v>381</v>
      </c>
      <c r="B213" t="str">
        <f t="shared" si="12"/>
        <v>PGAIOD</v>
      </c>
      <c r="C213" t="str">
        <f t="shared" si="13"/>
        <v>74</v>
      </c>
      <c r="D213" t="str">
        <f t="shared" si="14"/>
        <v>OD</v>
      </c>
    </row>
    <row r="214" spans="1:4" ht="13.2" x14ac:dyDescent="0.25">
      <c r="A214" s="2" t="s">
        <v>382</v>
      </c>
      <c r="B214" t="str">
        <f t="shared" si="12"/>
        <v>MPGVTT</v>
      </c>
      <c r="C214" t="str">
        <f t="shared" si="13"/>
        <v>47</v>
      </c>
      <c r="D214" t="str">
        <f t="shared" si="14"/>
        <v>TT</v>
      </c>
    </row>
    <row r="215" spans="1:4" ht="13.2" x14ac:dyDescent="0.25">
      <c r="A215" s="2" t="s">
        <v>383</v>
      </c>
      <c r="B215" t="str">
        <f t="shared" si="12"/>
        <v>PVXWJC</v>
      </c>
      <c r="C215" t="str">
        <f t="shared" si="13"/>
        <v>25</v>
      </c>
      <c r="D215" t="str">
        <f t="shared" si="14"/>
        <v>JC</v>
      </c>
    </row>
    <row r="216" spans="1:4" ht="13.2" x14ac:dyDescent="0.25">
      <c r="A216" s="2" t="s">
        <v>384</v>
      </c>
      <c r="B216" t="str">
        <f t="shared" si="12"/>
        <v>VAQMVV</v>
      </c>
      <c r="C216" t="str">
        <f t="shared" si="13"/>
        <v>38</v>
      </c>
      <c r="D216" t="str">
        <f t="shared" si="14"/>
        <v>VV</v>
      </c>
    </row>
    <row r="217" spans="1:4" ht="13.2" x14ac:dyDescent="0.25">
      <c r="A217" s="2" t="s">
        <v>385</v>
      </c>
      <c r="B217" t="str">
        <f t="shared" si="12"/>
        <v>ZPGFKV</v>
      </c>
      <c r="C217" t="str">
        <f t="shared" si="13"/>
        <v>39</v>
      </c>
      <c r="D217" t="str">
        <f t="shared" si="14"/>
        <v>KV</v>
      </c>
    </row>
    <row r="218" spans="1:4" ht="13.2" x14ac:dyDescent="0.25">
      <c r="A218" s="2" t="s">
        <v>386</v>
      </c>
      <c r="B218" t="str">
        <f t="shared" si="12"/>
        <v>CGJGJR</v>
      </c>
      <c r="C218" t="str">
        <f t="shared" si="13"/>
        <v>71</v>
      </c>
      <c r="D218" t="str">
        <f t="shared" si="14"/>
        <v>JR</v>
      </c>
    </row>
    <row r="219" spans="1:4" ht="13.2" x14ac:dyDescent="0.25">
      <c r="A219" s="2" t="s">
        <v>387</v>
      </c>
      <c r="B219" t="str">
        <f t="shared" si="12"/>
        <v>YTIOMV</v>
      </c>
      <c r="C219" t="str">
        <f t="shared" si="13"/>
        <v>56</v>
      </c>
      <c r="D219" t="str">
        <f t="shared" si="14"/>
        <v>MV</v>
      </c>
    </row>
    <row r="220" spans="1:4" ht="13.2" x14ac:dyDescent="0.25">
      <c r="A220" s="2" t="s">
        <v>388</v>
      </c>
      <c r="B220" t="str">
        <f t="shared" si="12"/>
        <v>TUSGZX</v>
      </c>
      <c r="C220" t="str">
        <f t="shared" si="13"/>
        <v>18</v>
      </c>
      <c r="D220" t="str">
        <f t="shared" si="14"/>
        <v>ZX</v>
      </c>
    </row>
    <row r="221" spans="1:4" ht="13.2" x14ac:dyDescent="0.25">
      <c r="A221" s="2" t="s">
        <v>389</v>
      </c>
      <c r="B221" t="str">
        <f t="shared" si="12"/>
        <v>OTVTXU</v>
      </c>
      <c r="C221" t="str">
        <f t="shared" si="13"/>
        <v>89</v>
      </c>
      <c r="D221" t="str">
        <f t="shared" si="14"/>
        <v>XU</v>
      </c>
    </row>
    <row r="222" spans="1:4" ht="13.2" x14ac:dyDescent="0.25">
      <c r="A222" s="2" t="s">
        <v>390</v>
      </c>
      <c r="B222" t="str">
        <f t="shared" si="12"/>
        <v>HQZGAD</v>
      </c>
      <c r="C222" t="str">
        <f t="shared" si="13"/>
        <v>96</v>
      </c>
      <c r="D222" t="str">
        <f t="shared" si="14"/>
        <v>AD</v>
      </c>
    </row>
    <row r="223" spans="1:4" ht="13.2" x14ac:dyDescent="0.25">
      <c r="A223" s="2" t="s">
        <v>391</v>
      </c>
      <c r="B223" t="str">
        <f t="shared" si="12"/>
        <v>QRINFT</v>
      </c>
      <c r="C223" t="str">
        <f t="shared" si="13"/>
        <v>68</v>
      </c>
      <c r="D223" t="str">
        <f t="shared" si="14"/>
        <v>FT</v>
      </c>
    </row>
    <row r="224" spans="1:4" ht="13.2" x14ac:dyDescent="0.25">
      <c r="A224" s="2" t="s">
        <v>392</v>
      </c>
      <c r="B224" t="str">
        <f t="shared" si="12"/>
        <v>FVLWMY</v>
      </c>
      <c r="C224" t="str">
        <f t="shared" si="13"/>
        <v>18</v>
      </c>
      <c r="D224" t="str">
        <f t="shared" si="14"/>
        <v>MY</v>
      </c>
    </row>
    <row r="225" spans="1:4" ht="13.2" x14ac:dyDescent="0.25">
      <c r="A225" s="2" t="s">
        <v>393</v>
      </c>
      <c r="B225" t="str">
        <f t="shared" si="12"/>
        <v>VLMWHU</v>
      </c>
      <c r="C225" t="str">
        <f t="shared" si="13"/>
        <v>66</v>
      </c>
      <c r="D225" t="str">
        <f t="shared" si="14"/>
        <v>HU</v>
      </c>
    </row>
    <row r="226" spans="1:4" ht="13.2" x14ac:dyDescent="0.25">
      <c r="A226" s="2" t="s">
        <v>394</v>
      </c>
      <c r="B226" t="str">
        <f t="shared" si="12"/>
        <v>AAMKJU</v>
      </c>
      <c r="C226" t="str">
        <f t="shared" si="13"/>
        <v>96</v>
      </c>
      <c r="D226" t="str">
        <f t="shared" si="14"/>
        <v>JU</v>
      </c>
    </row>
    <row r="227" spans="1:4" ht="13.2" x14ac:dyDescent="0.25">
      <c r="A227" s="2" t="s">
        <v>395</v>
      </c>
      <c r="B227" t="str">
        <f t="shared" si="12"/>
        <v>VDRTOV</v>
      </c>
      <c r="C227" t="str">
        <f t="shared" si="13"/>
        <v>56</v>
      </c>
      <c r="D227" t="str">
        <f t="shared" si="14"/>
        <v>OV</v>
      </c>
    </row>
    <row r="228" spans="1:4" ht="13.2" x14ac:dyDescent="0.25">
      <c r="A228" s="2" t="s">
        <v>396</v>
      </c>
      <c r="B228" t="str">
        <f t="shared" si="12"/>
        <v>DRWCNL</v>
      </c>
      <c r="C228" t="str">
        <f t="shared" si="13"/>
        <v>36</v>
      </c>
      <c r="D228" t="str">
        <f t="shared" si="14"/>
        <v>NL</v>
      </c>
    </row>
    <row r="229" spans="1:4" ht="13.2" x14ac:dyDescent="0.25">
      <c r="A229" s="2" t="s">
        <v>397</v>
      </c>
      <c r="B229" t="str">
        <f t="shared" si="12"/>
        <v>ZTNYCG</v>
      </c>
      <c r="C229" t="str">
        <f t="shared" si="13"/>
        <v>23</v>
      </c>
      <c r="D229" t="str">
        <f t="shared" si="14"/>
        <v>CG</v>
      </c>
    </row>
    <row r="230" spans="1:4" ht="13.2" x14ac:dyDescent="0.25">
      <c r="A230" s="2" t="s">
        <v>398</v>
      </c>
      <c r="B230" t="str">
        <f t="shared" si="12"/>
        <v>XEVYWJ</v>
      </c>
      <c r="C230" t="str">
        <f t="shared" si="13"/>
        <v>48</v>
      </c>
      <c r="D230" t="str">
        <f t="shared" si="14"/>
        <v>WJ</v>
      </c>
    </row>
    <row r="231" spans="1:4" ht="13.2" x14ac:dyDescent="0.25">
      <c r="A231" s="2" t="s">
        <v>399</v>
      </c>
      <c r="B231" t="str">
        <f t="shared" si="12"/>
        <v>PMKUIU</v>
      </c>
      <c r="C231" t="str">
        <f t="shared" si="13"/>
        <v>28</v>
      </c>
      <c r="D231" t="str">
        <f t="shared" si="14"/>
        <v>IU</v>
      </c>
    </row>
    <row r="232" spans="1:4" ht="13.2" x14ac:dyDescent="0.25">
      <c r="A232" s="2" t="s">
        <v>400</v>
      </c>
      <c r="B232" t="str">
        <f t="shared" si="12"/>
        <v>ZTLPLB</v>
      </c>
      <c r="C232" t="str">
        <f t="shared" si="13"/>
        <v>48</v>
      </c>
      <c r="D232" t="str">
        <f t="shared" si="14"/>
        <v>LB</v>
      </c>
    </row>
    <row r="233" spans="1:4" ht="13.2" x14ac:dyDescent="0.25">
      <c r="A233" s="2" t="s">
        <v>401</v>
      </c>
      <c r="B233" t="str">
        <f t="shared" si="12"/>
        <v>PYAINE</v>
      </c>
      <c r="C233" t="str">
        <f t="shared" si="13"/>
        <v>24</v>
      </c>
      <c r="D233" t="str">
        <f t="shared" si="14"/>
        <v>NE</v>
      </c>
    </row>
    <row r="234" spans="1:4" ht="13.2" x14ac:dyDescent="0.25">
      <c r="A234" s="2" t="s">
        <v>402</v>
      </c>
      <c r="B234" t="str">
        <f t="shared" si="12"/>
        <v>AWZYPZ</v>
      </c>
      <c r="C234" t="str">
        <f t="shared" si="13"/>
        <v>72</v>
      </c>
      <c r="D234" t="str">
        <f t="shared" si="14"/>
        <v>PZ</v>
      </c>
    </row>
    <row r="235" spans="1:4" ht="13.2" x14ac:dyDescent="0.25">
      <c r="A235" s="2" t="s">
        <v>403</v>
      </c>
      <c r="B235" t="str">
        <f t="shared" si="12"/>
        <v>EHHGQL</v>
      </c>
      <c r="C235" t="str">
        <f t="shared" si="13"/>
        <v>99</v>
      </c>
      <c r="D235" t="str">
        <f t="shared" si="14"/>
        <v>QL</v>
      </c>
    </row>
    <row r="236" spans="1:4" ht="13.2" x14ac:dyDescent="0.25">
      <c r="A236" s="2" t="s">
        <v>404</v>
      </c>
      <c r="B236" t="str">
        <f t="shared" si="12"/>
        <v>RQTYOT</v>
      </c>
      <c r="C236" t="str">
        <f t="shared" si="13"/>
        <v>44</v>
      </c>
      <c r="D236" t="str">
        <f t="shared" si="14"/>
        <v>OT</v>
      </c>
    </row>
    <row r="237" spans="1:4" ht="13.2" x14ac:dyDescent="0.25">
      <c r="A237" s="2" t="s">
        <v>405</v>
      </c>
      <c r="B237" t="str">
        <f t="shared" si="12"/>
        <v>BQLBSW</v>
      </c>
      <c r="C237" t="str">
        <f t="shared" si="13"/>
        <v>49</v>
      </c>
      <c r="D237" t="str">
        <f t="shared" si="14"/>
        <v>SW</v>
      </c>
    </row>
    <row r="238" spans="1:4" ht="13.2" x14ac:dyDescent="0.25">
      <c r="A238" s="2" t="s">
        <v>406</v>
      </c>
      <c r="B238" t="str">
        <f t="shared" si="12"/>
        <v>RCYJAL</v>
      </c>
      <c r="C238" t="str">
        <f t="shared" si="13"/>
        <v>32</v>
      </c>
      <c r="D238" t="str">
        <f t="shared" si="14"/>
        <v>AL</v>
      </c>
    </row>
    <row r="239" spans="1:4" ht="13.2" x14ac:dyDescent="0.25">
      <c r="A239" s="2" t="s">
        <v>407</v>
      </c>
      <c r="B239" t="str">
        <f t="shared" si="12"/>
        <v>KGFSQU</v>
      </c>
      <c r="C239" t="str">
        <f t="shared" si="13"/>
        <v>18</v>
      </c>
      <c r="D239" t="str">
        <f t="shared" si="14"/>
        <v>QU</v>
      </c>
    </row>
    <row r="240" spans="1:4" ht="13.2" x14ac:dyDescent="0.25">
      <c r="A240" s="2" t="s">
        <v>408</v>
      </c>
      <c r="B240" t="str">
        <f t="shared" si="12"/>
        <v>YKCXWE</v>
      </c>
      <c r="C240" t="str">
        <f t="shared" si="13"/>
        <v>99</v>
      </c>
      <c r="D240" t="str">
        <f t="shared" si="14"/>
        <v>WE</v>
      </c>
    </row>
    <row r="241" spans="1:4" ht="13.2" x14ac:dyDescent="0.25">
      <c r="A241" s="2" t="s">
        <v>409</v>
      </c>
      <c r="B241" t="str">
        <f t="shared" si="12"/>
        <v>CFKRWD</v>
      </c>
      <c r="C241" t="str">
        <f t="shared" si="13"/>
        <v>29</v>
      </c>
      <c r="D241" t="str">
        <f t="shared" si="14"/>
        <v>WD</v>
      </c>
    </row>
    <row r="242" spans="1:4" ht="13.2" x14ac:dyDescent="0.25">
      <c r="A242" s="2" t="s">
        <v>410</v>
      </c>
      <c r="B242" t="str">
        <f t="shared" si="12"/>
        <v>UCEQQS</v>
      </c>
      <c r="C242" t="str">
        <f t="shared" si="13"/>
        <v>76</v>
      </c>
      <c r="D242" t="str">
        <f t="shared" si="14"/>
        <v>QS</v>
      </c>
    </row>
    <row r="243" spans="1:4" ht="13.2" x14ac:dyDescent="0.25">
      <c r="A243" s="2" t="s">
        <v>411</v>
      </c>
      <c r="B243" t="str">
        <f t="shared" si="12"/>
        <v>HRRYCF</v>
      </c>
      <c r="C243" t="str">
        <f t="shared" si="13"/>
        <v>96</v>
      </c>
      <c r="D243" t="str">
        <f t="shared" si="14"/>
        <v>CF</v>
      </c>
    </row>
    <row r="244" spans="1:4" ht="13.2" x14ac:dyDescent="0.25">
      <c r="A244" s="2" t="s">
        <v>412</v>
      </c>
      <c r="B244" t="str">
        <f t="shared" si="12"/>
        <v>JKMHSK</v>
      </c>
      <c r="C244" t="str">
        <f t="shared" si="13"/>
        <v>72</v>
      </c>
      <c r="D244" t="str">
        <f t="shared" si="14"/>
        <v>SK</v>
      </c>
    </row>
    <row r="245" spans="1:4" ht="13.2" x14ac:dyDescent="0.25">
      <c r="A245" s="2" t="s">
        <v>413</v>
      </c>
      <c r="B245" t="str">
        <f t="shared" si="12"/>
        <v>WKVFRI</v>
      </c>
      <c r="C245" t="str">
        <f t="shared" si="13"/>
        <v>61</v>
      </c>
      <c r="D245" t="str">
        <f t="shared" si="14"/>
        <v>RI</v>
      </c>
    </row>
    <row r="246" spans="1:4" ht="13.2" x14ac:dyDescent="0.25">
      <c r="A246" s="2" t="s">
        <v>414</v>
      </c>
      <c r="B246" t="str">
        <f t="shared" si="12"/>
        <v>SGIKKL</v>
      </c>
      <c r="C246" t="str">
        <f t="shared" si="13"/>
        <v>98</v>
      </c>
      <c r="D246" t="str">
        <f t="shared" si="14"/>
        <v>KL</v>
      </c>
    </row>
    <row r="247" spans="1:4" ht="13.2" x14ac:dyDescent="0.25">
      <c r="A247" s="2" t="s">
        <v>415</v>
      </c>
      <c r="B247" t="str">
        <f t="shared" si="12"/>
        <v>MWXZDU</v>
      </c>
      <c r="C247" t="str">
        <f t="shared" si="13"/>
        <v>44</v>
      </c>
      <c r="D247" t="str">
        <f t="shared" si="14"/>
        <v>DU</v>
      </c>
    </row>
    <row r="248" spans="1:4" ht="13.2" x14ac:dyDescent="0.25">
      <c r="A248" s="2" t="s">
        <v>416</v>
      </c>
      <c r="B248" t="str">
        <f t="shared" si="12"/>
        <v>LRECRW</v>
      </c>
      <c r="C248" t="str">
        <f t="shared" si="13"/>
        <v>77</v>
      </c>
      <c r="D248" t="str">
        <f t="shared" si="14"/>
        <v>RW</v>
      </c>
    </row>
    <row r="249" spans="1:4" ht="13.2" x14ac:dyDescent="0.25">
      <c r="A249" s="2" t="s">
        <v>417</v>
      </c>
      <c r="B249" t="str">
        <f t="shared" si="12"/>
        <v>TOQSKW</v>
      </c>
      <c r="C249" t="str">
        <f t="shared" si="13"/>
        <v>43</v>
      </c>
      <c r="D249" t="str">
        <f t="shared" si="14"/>
        <v>KW</v>
      </c>
    </row>
    <row r="250" spans="1:4" ht="13.2" x14ac:dyDescent="0.25">
      <c r="A250" s="2" t="s">
        <v>418</v>
      </c>
      <c r="B250" t="str">
        <f t="shared" si="12"/>
        <v>MMWDIL</v>
      </c>
      <c r="C250" t="str">
        <f t="shared" si="13"/>
        <v>41</v>
      </c>
      <c r="D250" t="str">
        <f t="shared" si="14"/>
        <v>IL</v>
      </c>
    </row>
    <row r="251" spans="1:4" ht="13.2" x14ac:dyDescent="0.25">
      <c r="A251" s="2" t="s">
        <v>419</v>
      </c>
      <c r="B251" t="str">
        <f t="shared" si="12"/>
        <v>OZVQEE</v>
      </c>
      <c r="C251" t="str">
        <f t="shared" si="13"/>
        <v>73</v>
      </c>
      <c r="D251" t="str">
        <f t="shared" si="14"/>
        <v>EE</v>
      </c>
    </row>
    <row r="252" spans="1:4" ht="13.2" x14ac:dyDescent="0.25">
      <c r="A252" s="2" t="s">
        <v>420</v>
      </c>
      <c r="B252" t="str">
        <f t="shared" si="12"/>
        <v>FZMUJO</v>
      </c>
      <c r="C252" t="str">
        <f t="shared" si="13"/>
        <v>13</v>
      </c>
      <c r="D252" t="str">
        <f t="shared" si="14"/>
        <v>JO</v>
      </c>
    </row>
    <row r="253" spans="1:4" ht="13.2" x14ac:dyDescent="0.25">
      <c r="A253" s="2" t="s">
        <v>421</v>
      </c>
      <c r="B253" t="str">
        <f t="shared" si="12"/>
        <v>VBLCFS</v>
      </c>
      <c r="C253" t="str">
        <f t="shared" si="13"/>
        <v>31</v>
      </c>
      <c r="D253" t="str">
        <f t="shared" si="14"/>
        <v>FS</v>
      </c>
    </row>
    <row r="254" spans="1:4" ht="13.2" x14ac:dyDescent="0.25">
      <c r="A254" s="2" t="s">
        <v>422</v>
      </c>
      <c r="B254" t="str">
        <f t="shared" si="12"/>
        <v>NMXEKM</v>
      </c>
      <c r="C254" t="str">
        <f t="shared" si="13"/>
        <v>39</v>
      </c>
      <c r="D254" t="str">
        <f t="shared" si="14"/>
        <v>KM</v>
      </c>
    </row>
    <row r="255" spans="1:4" ht="13.2" x14ac:dyDescent="0.25">
      <c r="A255" s="2" t="s">
        <v>423</v>
      </c>
      <c r="B255" t="str">
        <f t="shared" si="12"/>
        <v>PGMBHK</v>
      </c>
      <c r="C255" t="str">
        <f t="shared" si="13"/>
        <v>45</v>
      </c>
      <c r="D255" t="str">
        <f t="shared" si="14"/>
        <v>HK</v>
      </c>
    </row>
    <row r="256" spans="1:4" ht="13.2" x14ac:dyDescent="0.25">
      <c r="A256" s="2" t="s">
        <v>424</v>
      </c>
      <c r="B256" t="str">
        <f t="shared" si="12"/>
        <v>DPBIED</v>
      </c>
      <c r="C256" t="str">
        <f t="shared" si="13"/>
        <v>82</v>
      </c>
      <c r="D256" t="str">
        <f t="shared" si="14"/>
        <v>ED</v>
      </c>
    </row>
    <row r="257" spans="1:4" ht="13.2" x14ac:dyDescent="0.25">
      <c r="A257" s="2" t="s">
        <v>425</v>
      </c>
      <c r="B257" t="str">
        <f t="shared" si="12"/>
        <v>TQNBUJ</v>
      </c>
      <c r="C257" t="str">
        <f t="shared" si="13"/>
        <v>89</v>
      </c>
      <c r="D257" t="str">
        <f t="shared" si="14"/>
        <v>UJ</v>
      </c>
    </row>
    <row r="258" spans="1:4" ht="13.2" x14ac:dyDescent="0.25">
      <c r="A258" s="2" t="s">
        <v>426</v>
      </c>
      <c r="B258" t="str">
        <f t="shared" si="12"/>
        <v>XNAPFB</v>
      </c>
      <c r="C258" t="str">
        <f t="shared" si="13"/>
        <v>73</v>
      </c>
      <c r="D258" t="str">
        <f t="shared" si="14"/>
        <v>FB</v>
      </c>
    </row>
    <row r="259" spans="1:4" ht="13.2" x14ac:dyDescent="0.25">
      <c r="A259" s="2" t="s">
        <v>427</v>
      </c>
      <c r="B259" t="str">
        <f t="shared" si="12"/>
        <v>HNACWS</v>
      </c>
      <c r="C259" t="str">
        <f t="shared" si="13"/>
        <v>76</v>
      </c>
      <c r="D259" t="str">
        <f t="shared" si="14"/>
        <v>WS</v>
      </c>
    </row>
    <row r="260" spans="1:4" ht="13.2" x14ac:dyDescent="0.25">
      <c r="A260" s="2" t="s">
        <v>428</v>
      </c>
      <c r="B260" t="str">
        <f t="shared" si="12"/>
        <v>QEKFRB</v>
      </c>
      <c r="C260" t="str">
        <f t="shared" si="13"/>
        <v>57</v>
      </c>
      <c r="D260" t="str">
        <f t="shared" si="14"/>
        <v>RB</v>
      </c>
    </row>
    <row r="261" spans="1:4" ht="13.2" x14ac:dyDescent="0.25">
      <c r="A261" s="2" t="s">
        <v>429</v>
      </c>
      <c r="B261" t="str">
        <f t="shared" si="12"/>
        <v>FJJXLF</v>
      </c>
      <c r="C261" t="str">
        <f t="shared" si="13"/>
        <v>63</v>
      </c>
      <c r="D261" t="str">
        <f t="shared" si="14"/>
        <v>LF</v>
      </c>
    </row>
    <row r="262" spans="1:4" ht="13.2" x14ac:dyDescent="0.25">
      <c r="A262" s="2" t="s">
        <v>430</v>
      </c>
      <c r="B262" t="str">
        <f t="shared" ref="B262:B325" si="15">LEFT(A262,6)</f>
        <v>WZJRRZ</v>
      </c>
      <c r="C262" t="str">
        <f t="shared" ref="C262:C325" si="16">RIGHT(A262,2)</f>
        <v>53</v>
      </c>
      <c r="D262" t="str">
        <f t="shared" ref="D262:D325" si="17">MID(A262,5,2)</f>
        <v>RZ</v>
      </c>
    </row>
    <row r="263" spans="1:4" ht="13.2" x14ac:dyDescent="0.25">
      <c r="A263" s="2" t="s">
        <v>431</v>
      </c>
      <c r="B263" t="str">
        <f t="shared" si="15"/>
        <v>VSITBT</v>
      </c>
      <c r="C263" t="str">
        <f t="shared" si="16"/>
        <v>43</v>
      </c>
      <c r="D263" t="str">
        <f t="shared" si="17"/>
        <v>BT</v>
      </c>
    </row>
    <row r="264" spans="1:4" ht="13.2" x14ac:dyDescent="0.25">
      <c r="A264" s="2" t="s">
        <v>432</v>
      </c>
      <c r="B264" t="str">
        <f t="shared" si="15"/>
        <v>WMDGTL</v>
      </c>
      <c r="C264" t="str">
        <f t="shared" si="16"/>
        <v>95</v>
      </c>
      <c r="D264" t="str">
        <f t="shared" si="17"/>
        <v>TL</v>
      </c>
    </row>
    <row r="265" spans="1:4" ht="13.2" x14ac:dyDescent="0.25">
      <c r="A265" s="2" t="s">
        <v>433</v>
      </c>
      <c r="B265" t="str">
        <f t="shared" si="15"/>
        <v>WISYFJ</v>
      </c>
      <c r="C265" t="str">
        <f t="shared" si="16"/>
        <v>36</v>
      </c>
      <c r="D265" t="str">
        <f t="shared" si="17"/>
        <v>FJ</v>
      </c>
    </row>
    <row r="266" spans="1:4" ht="13.2" x14ac:dyDescent="0.25">
      <c r="A266" s="2" t="s">
        <v>434</v>
      </c>
      <c r="B266" t="str">
        <f t="shared" si="15"/>
        <v>PFIFRD</v>
      </c>
      <c r="C266" t="str">
        <f t="shared" si="16"/>
        <v>87</v>
      </c>
      <c r="D266" t="str">
        <f t="shared" si="17"/>
        <v>RD</v>
      </c>
    </row>
    <row r="267" spans="1:4" ht="13.2" x14ac:dyDescent="0.25">
      <c r="A267" s="2" t="s">
        <v>435</v>
      </c>
      <c r="B267" t="str">
        <f t="shared" si="15"/>
        <v>NDFTAM</v>
      </c>
      <c r="C267" t="str">
        <f t="shared" si="16"/>
        <v>18</v>
      </c>
      <c r="D267" t="str">
        <f t="shared" si="17"/>
        <v>AM</v>
      </c>
    </row>
    <row r="268" spans="1:4" ht="13.2" x14ac:dyDescent="0.25">
      <c r="A268" s="2" t="s">
        <v>436</v>
      </c>
      <c r="B268" t="str">
        <f t="shared" si="15"/>
        <v>DOAOLP</v>
      </c>
      <c r="C268" t="str">
        <f t="shared" si="16"/>
        <v>13</v>
      </c>
      <c r="D268" t="str">
        <f t="shared" si="17"/>
        <v>LP</v>
      </c>
    </row>
    <row r="269" spans="1:4" ht="13.2" x14ac:dyDescent="0.25">
      <c r="A269" s="2" t="s">
        <v>437</v>
      </c>
      <c r="B269" t="str">
        <f t="shared" si="15"/>
        <v>HUELZY</v>
      </c>
      <c r="C269" t="str">
        <f t="shared" si="16"/>
        <v>87</v>
      </c>
      <c r="D269" t="str">
        <f t="shared" si="17"/>
        <v>ZY</v>
      </c>
    </row>
    <row r="270" spans="1:4" ht="13.2" x14ac:dyDescent="0.25">
      <c r="A270" s="2" t="s">
        <v>438</v>
      </c>
      <c r="B270" t="str">
        <f t="shared" si="15"/>
        <v>DJIEVA</v>
      </c>
      <c r="C270" t="str">
        <f t="shared" si="16"/>
        <v>71</v>
      </c>
      <c r="D270" t="str">
        <f t="shared" si="17"/>
        <v>VA</v>
      </c>
    </row>
    <row r="271" spans="1:4" ht="13.2" x14ac:dyDescent="0.25">
      <c r="A271" s="2" t="s">
        <v>439</v>
      </c>
      <c r="B271" t="str">
        <f t="shared" si="15"/>
        <v>AOYRST</v>
      </c>
      <c r="C271" t="str">
        <f t="shared" si="16"/>
        <v>55</v>
      </c>
      <c r="D271" t="str">
        <f t="shared" si="17"/>
        <v>ST</v>
      </c>
    </row>
    <row r="272" spans="1:4" ht="13.2" x14ac:dyDescent="0.25">
      <c r="A272" s="2" t="s">
        <v>440</v>
      </c>
      <c r="B272" t="str">
        <f t="shared" si="15"/>
        <v>ABASOS</v>
      </c>
      <c r="C272" t="str">
        <f t="shared" si="16"/>
        <v>51</v>
      </c>
      <c r="D272" t="str">
        <f t="shared" si="17"/>
        <v>OS</v>
      </c>
    </row>
    <row r="273" spans="1:4" ht="13.2" x14ac:dyDescent="0.25">
      <c r="A273" s="2" t="s">
        <v>441</v>
      </c>
      <c r="B273" t="str">
        <f t="shared" si="15"/>
        <v>OLBHYC</v>
      </c>
      <c r="C273" t="str">
        <f t="shared" si="16"/>
        <v>65</v>
      </c>
      <c r="D273" t="str">
        <f t="shared" si="17"/>
        <v>YC</v>
      </c>
    </row>
    <row r="274" spans="1:4" ht="13.2" x14ac:dyDescent="0.25">
      <c r="A274" s="2" t="s">
        <v>442</v>
      </c>
      <c r="B274" t="str">
        <f t="shared" si="15"/>
        <v>QZVWNV</v>
      </c>
      <c r="C274" t="str">
        <f t="shared" si="16"/>
        <v>58</v>
      </c>
      <c r="D274" t="str">
        <f t="shared" si="17"/>
        <v>NV</v>
      </c>
    </row>
    <row r="275" spans="1:4" ht="13.2" x14ac:dyDescent="0.25">
      <c r="A275" s="2" t="s">
        <v>443</v>
      </c>
      <c r="B275" t="str">
        <f t="shared" si="15"/>
        <v>SLNWJS</v>
      </c>
      <c r="C275" t="str">
        <f t="shared" si="16"/>
        <v>81</v>
      </c>
      <c r="D275" t="str">
        <f t="shared" si="17"/>
        <v>JS</v>
      </c>
    </row>
    <row r="276" spans="1:4" ht="13.2" x14ac:dyDescent="0.25">
      <c r="A276" s="2" t="s">
        <v>444</v>
      </c>
      <c r="B276" t="str">
        <f t="shared" si="15"/>
        <v>ONGRTB</v>
      </c>
      <c r="C276" t="str">
        <f t="shared" si="16"/>
        <v>41</v>
      </c>
      <c r="D276" t="str">
        <f t="shared" si="17"/>
        <v>TB</v>
      </c>
    </row>
    <row r="277" spans="1:4" ht="13.2" x14ac:dyDescent="0.25">
      <c r="A277" s="2" t="s">
        <v>445</v>
      </c>
      <c r="B277" t="str">
        <f t="shared" si="15"/>
        <v>YBDGHG</v>
      </c>
      <c r="C277" t="str">
        <f t="shared" si="16"/>
        <v>87</v>
      </c>
      <c r="D277" t="str">
        <f t="shared" si="17"/>
        <v>HG</v>
      </c>
    </row>
    <row r="278" spans="1:4" ht="13.2" x14ac:dyDescent="0.25">
      <c r="A278" s="2" t="s">
        <v>446</v>
      </c>
      <c r="B278" t="str">
        <f t="shared" si="15"/>
        <v>XIDGWU</v>
      </c>
      <c r="C278" t="str">
        <f t="shared" si="16"/>
        <v>72</v>
      </c>
      <c r="D278" t="str">
        <f t="shared" si="17"/>
        <v>WU</v>
      </c>
    </row>
    <row r="279" spans="1:4" ht="13.2" x14ac:dyDescent="0.25">
      <c r="A279" s="2" t="s">
        <v>447</v>
      </c>
      <c r="B279" t="str">
        <f t="shared" si="15"/>
        <v>LDVKQA</v>
      </c>
      <c r="C279" t="str">
        <f t="shared" si="16"/>
        <v>16</v>
      </c>
      <c r="D279" t="str">
        <f t="shared" si="17"/>
        <v>QA</v>
      </c>
    </row>
    <row r="280" spans="1:4" ht="13.2" x14ac:dyDescent="0.25">
      <c r="A280" s="2" t="s">
        <v>448</v>
      </c>
      <c r="B280" t="str">
        <f t="shared" si="15"/>
        <v>PVBRBT</v>
      </c>
      <c r="C280" t="str">
        <f t="shared" si="16"/>
        <v>64</v>
      </c>
      <c r="D280" t="str">
        <f t="shared" si="17"/>
        <v>BT</v>
      </c>
    </row>
    <row r="281" spans="1:4" ht="13.2" x14ac:dyDescent="0.25">
      <c r="A281" s="2" t="s">
        <v>449</v>
      </c>
      <c r="B281" t="str">
        <f t="shared" si="15"/>
        <v>BPAYRL</v>
      </c>
      <c r="C281" t="str">
        <f t="shared" si="16"/>
        <v>21</v>
      </c>
      <c r="D281" t="str">
        <f t="shared" si="17"/>
        <v>RL</v>
      </c>
    </row>
    <row r="282" spans="1:4" ht="13.2" x14ac:dyDescent="0.25">
      <c r="A282" s="2" t="s">
        <v>450</v>
      </c>
      <c r="B282" t="str">
        <f t="shared" si="15"/>
        <v>HCWAPY</v>
      </c>
      <c r="C282" t="str">
        <f t="shared" si="16"/>
        <v>74</v>
      </c>
      <c r="D282" t="str">
        <f t="shared" si="17"/>
        <v>PY</v>
      </c>
    </row>
    <row r="283" spans="1:4" ht="13.2" x14ac:dyDescent="0.25">
      <c r="A283" s="2" t="s">
        <v>451</v>
      </c>
      <c r="B283" t="str">
        <f t="shared" si="15"/>
        <v>DROQEM</v>
      </c>
      <c r="C283" t="str">
        <f t="shared" si="16"/>
        <v>98</v>
      </c>
      <c r="D283" t="str">
        <f t="shared" si="17"/>
        <v>EM</v>
      </c>
    </row>
    <row r="284" spans="1:4" ht="13.2" x14ac:dyDescent="0.25">
      <c r="A284" s="2" t="s">
        <v>452</v>
      </c>
      <c r="B284" t="str">
        <f t="shared" si="15"/>
        <v>FWVHHU</v>
      </c>
      <c r="C284" t="str">
        <f t="shared" si="16"/>
        <v>73</v>
      </c>
      <c r="D284" t="str">
        <f t="shared" si="17"/>
        <v>HU</v>
      </c>
    </row>
    <row r="285" spans="1:4" ht="13.2" x14ac:dyDescent="0.25">
      <c r="A285" s="2" t="s">
        <v>453</v>
      </c>
      <c r="B285" t="str">
        <f t="shared" si="15"/>
        <v>UUVQYK</v>
      </c>
      <c r="C285" t="str">
        <f t="shared" si="16"/>
        <v>92</v>
      </c>
      <c r="D285" t="str">
        <f t="shared" si="17"/>
        <v>YK</v>
      </c>
    </row>
    <row r="286" spans="1:4" ht="13.2" x14ac:dyDescent="0.25">
      <c r="A286" s="2" t="s">
        <v>454</v>
      </c>
      <c r="B286" t="str">
        <f t="shared" si="15"/>
        <v>PXCJCB</v>
      </c>
      <c r="C286" t="str">
        <f t="shared" si="16"/>
        <v>76</v>
      </c>
      <c r="D286" t="str">
        <f t="shared" si="17"/>
        <v>CB</v>
      </c>
    </row>
    <row r="287" spans="1:4" ht="13.2" x14ac:dyDescent="0.25">
      <c r="A287" s="2" t="s">
        <v>455</v>
      </c>
      <c r="B287" t="str">
        <f t="shared" si="15"/>
        <v>RLDJSY</v>
      </c>
      <c r="C287" t="str">
        <f t="shared" si="16"/>
        <v>91</v>
      </c>
      <c r="D287" t="str">
        <f t="shared" si="17"/>
        <v>SY</v>
      </c>
    </row>
    <row r="288" spans="1:4" ht="13.2" x14ac:dyDescent="0.25">
      <c r="A288" s="2" t="s">
        <v>456</v>
      </c>
      <c r="B288" t="str">
        <f t="shared" si="15"/>
        <v>RNHIJG</v>
      </c>
      <c r="C288" t="str">
        <f t="shared" si="16"/>
        <v>33</v>
      </c>
      <c r="D288" t="str">
        <f t="shared" si="17"/>
        <v>JG</v>
      </c>
    </row>
    <row r="289" spans="1:4" ht="13.2" x14ac:dyDescent="0.25">
      <c r="A289" s="2" t="s">
        <v>457</v>
      </c>
      <c r="B289" t="str">
        <f t="shared" si="15"/>
        <v>MQJYLG</v>
      </c>
      <c r="C289" t="str">
        <f t="shared" si="16"/>
        <v>24</v>
      </c>
      <c r="D289" t="str">
        <f t="shared" si="17"/>
        <v>LG</v>
      </c>
    </row>
    <row r="290" spans="1:4" ht="13.2" x14ac:dyDescent="0.25">
      <c r="A290" s="2" t="s">
        <v>458</v>
      </c>
      <c r="B290" t="str">
        <f t="shared" si="15"/>
        <v>SVPYOR</v>
      </c>
      <c r="C290" t="str">
        <f t="shared" si="16"/>
        <v>18</v>
      </c>
      <c r="D290" t="str">
        <f t="shared" si="17"/>
        <v>OR</v>
      </c>
    </row>
    <row r="291" spans="1:4" ht="13.2" x14ac:dyDescent="0.25">
      <c r="A291" s="2" t="s">
        <v>459</v>
      </c>
      <c r="B291" t="str">
        <f t="shared" si="15"/>
        <v>KSFKXW</v>
      </c>
      <c r="C291" t="str">
        <f t="shared" si="16"/>
        <v>55</v>
      </c>
      <c r="D291" t="str">
        <f t="shared" si="17"/>
        <v>XW</v>
      </c>
    </row>
    <row r="292" spans="1:4" ht="13.2" x14ac:dyDescent="0.25">
      <c r="A292" s="2" t="s">
        <v>460</v>
      </c>
      <c r="B292" t="str">
        <f t="shared" si="15"/>
        <v>ZJNNWE</v>
      </c>
      <c r="C292" t="str">
        <f t="shared" si="16"/>
        <v>57</v>
      </c>
      <c r="D292" t="str">
        <f t="shared" si="17"/>
        <v>WE</v>
      </c>
    </row>
    <row r="293" spans="1:4" ht="13.2" x14ac:dyDescent="0.25">
      <c r="A293" s="2" t="s">
        <v>461</v>
      </c>
      <c r="B293" t="str">
        <f t="shared" si="15"/>
        <v>FIRLAP</v>
      </c>
      <c r="C293" t="str">
        <f t="shared" si="16"/>
        <v>39</v>
      </c>
      <c r="D293" t="str">
        <f t="shared" si="17"/>
        <v>AP</v>
      </c>
    </row>
    <row r="294" spans="1:4" ht="13.2" x14ac:dyDescent="0.25">
      <c r="A294" s="2" t="s">
        <v>462</v>
      </c>
      <c r="B294" t="str">
        <f t="shared" si="15"/>
        <v>OZVYJT</v>
      </c>
      <c r="C294" t="str">
        <f t="shared" si="16"/>
        <v>65</v>
      </c>
      <c r="D294" t="str">
        <f t="shared" si="17"/>
        <v>JT</v>
      </c>
    </row>
    <row r="295" spans="1:4" ht="13.2" x14ac:dyDescent="0.25">
      <c r="A295" s="2" t="s">
        <v>463</v>
      </c>
      <c r="B295" t="str">
        <f t="shared" si="15"/>
        <v>UVSAFN</v>
      </c>
      <c r="C295" t="str">
        <f t="shared" si="16"/>
        <v>69</v>
      </c>
      <c r="D295" t="str">
        <f t="shared" si="17"/>
        <v>FN</v>
      </c>
    </row>
    <row r="296" spans="1:4" ht="13.2" x14ac:dyDescent="0.25">
      <c r="A296" s="2" t="s">
        <v>464</v>
      </c>
      <c r="B296" t="str">
        <f t="shared" si="15"/>
        <v>BWQKPM</v>
      </c>
      <c r="C296" t="str">
        <f t="shared" si="16"/>
        <v>97</v>
      </c>
      <c r="D296" t="str">
        <f t="shared" si="17"/>
        <v>PM</v>
      </c>
    </row>
    <row r="297" spans="1:4" ht="13.2" x14ac:dyDescent="0.25">
      <c r="A297" s="2" t="s">
        <v>465</v>
      </c>
      <c r="B297" t="str">
        <f t="shared" si="15"/>
        <v>MMHVSJ</v>
      </c>
      <c r="C297" t="str">
        <f t="shared" si="16"/>
        <v>85</v>
      </c>
      <c r="D297" t="str">
        <f t="shared" si="17"/>
        <v>SJ</v>
      </c>
    </row>
    <row r="298" spans="1:4" ht="13.2" x14ac:dyDescent="0.25">
      <c r="A298" s="2" t="s">
        <v>466</v>
      </c>
      <c r="B298" t="str">
        <f t="shared" si="15"/>
        <v>FCAKZT</v>
      </c>
      <c r="C298" t="str">
        <f t="shared" si="16"/>
        <v>28</v>
      </c>
      <c r="D298" t="str">
        <f t="shared" si="17"/>
        <v>ZT</v>
      </c>
    </row>
    <row r="299" spans="1:4" ht="13.2" x14ac:dyDescent="0.25">
      <c r="A299" s="2" t="s">
        <v>467</v>
      </c>
      <c r="B299" t="str">
        <f t="shared" si="15"/>
        <v>IFMRTC</v>
      </c>
      <c r="C299" t="str">
        <f t="shared" si="16"/>
        <v>46</v>
      </c>
      <c r="D299" t="str">
        <f t="shared" si="17"/>
        <v>TC</v>
      </c>
    </row>
    <row r="300" spans="1:4" ht="13.2" x14ac:dyDescent="0.25">
      <c r="A300" s="2" t="s">
        <v>468</v>
      </c>
      <c r="B300" t="str">
        <f t="shared" si="15"/>
        <v>SELRGI</v>
      </c>
      <c r="C300" t="str">
        <f t="shared" si="16"/>
        <v>41</v>
      </c>
      <c r="D300" t="str">
        <f t="shared" si="17"/>
        <v>GI</v>
      </c>
    </row>
    <row r="301" spans="1:4" ht="13.2" x14ac:dyDescent="0.25">
      <c r="A301" s="2" t="s">
        <v>469</v>
      </c>
      <c r="B301" t="str">
        <f t="shared" si="15"/>
        <v>OOFSRE</v>
      </c>
      <c r="C301" t="str">
        <f t="shared" si="16"/>
        <v>24</v>
      </c>
      <c r="D301" t="str">
        <f t="shared" si="17"/>
        <v>RE</v>
      </c>
    </row>
    <row r="302" spans="1:4" ht="13.2" x14ac:dyDescent="0.25">
      <c r="A302" s="2" t="s">
        <v>470</v>
      </c>
      <c r="B302" t="str">
        <f t="shared" si="15"/>
        <v>EVSBBT</v>
      </c>
      <c r="C302" t="str">
        <f t="shared" si="16"/>
        <v>32</v>
      </c>
      <c r="D302" t="str">
        <f t="shared" si="17"/>
        <v>BT</v>
      </c>
    </row>
    <row r="303" spans="1:4" ht="13.2" x14ac:dyDescent="0.25">
      <c r="A303" s="2" t="s">
        <v>471</v>
      </c>
      <c r="B303" t="str">
        <f t="shared" si="15"/>
        <v>UPSYYI</v>
      </c>
      <c r="C303" t="str">
        <f t="shared" si="16"/>
        <v>27</v>
      </c>
      <c r="D303" t="str">
        <f t="shared" si="17"/>
        <v>YI</v>
      </c>
    </row>
    <row r="304" spans="1:4" ht="13.2" x14ac:dyDescent="0.25">
      <c r="A304" s="2" t="s">
        <v>472</v>
      </c>
      <c r="B304" t="str">
        <f t="shared" si="15"/>
        <v>ZJLTCE</v>
      </c>
      <c r="C304" t="str">
        <f t="shared" si="16"/>
        <v>62</v>
      </c>
      <c r="D304" t="str">
        <f t="shared" si="17"/>
        <v>CE</v>
      </c>
    </row>
    <row r="305" spans="1:4" ht="13.2" x14ac:dyDescent="0.25">
      <c r="A305" s="2" t="s">
        <v>473</v>
      </c>
      <c r="B305" t="str">
        <f t="shared" si="15"/>
        <v>LIDDDO</v>
      </c>
      <c r="C305" t="str">
        <f t="shared" si="16"/>
        <v>99</v>
      </c>
      <c r="D305" t="str">
        <f t="shared" si="17"/>
        <v>DO</v>
      </c>
    </row>
    <row r="306" spans="1:4" ht="13.2" x14ac:dyDescent="0.25">
      <c r="A306" s="2" t="s">
        <v>474</v>
      </c>
      <c r="B306" t="str">
        <f t="shared" si="15"/>
        <v>IIYPYK</v>
      </c>
      <c r="C306" t="str">
        <f t="shared" si="16"/>
        <v>31</v>
      </c>
      <c r="D306" t="str">
        <f t="shared" si="17"/>
        <v>YK</v>
      </c>
    </row>
    <row r="307" spans="1:4" ht="13.2" x14ac:dyDescent="0.25">
      <c r="A307" s="2" t="s">
        <v>475</v>
      </c>
      <c r="B307" t="str">
        <f t="shared" si="15"/>
        <v>DBDQVI</v>
      </c>
      <c r="C307" t="str">
        <f t="shared" si="16"/>
        <v>43</v>
      </c>
      <c r="D307" t="str">
        <f t="shared" si="17"/>
        <v>VI</v>
      </c>
    </row>
    <row r="308" spans="1:4" ht="13.2" x14ac:dyDescent="0.25">
      <c r="A308" s="2" t="s">
        <v>476</v>
      </c>
      <c r="B308" t="str">
        <f t="shared" si="15"/>
        <v>EQCKHX</v>
      </c>
      <c r="C308" t="str">
        <f t="shared" si="16"/>
        <v>51</v>
      </c>
      <c r="D308" t="str">
        <f t="shared" si="17"/>
        <v>HX</v>
      </c>
    </row>
    <row r="309" spans="1:4" ht="13.2" x14ac:dyDescent="0.25">
      <c r="A309" s="2" t="s">
        <v>477</v>
      </c>
      <c r="B309" t="str">
        <f t="shared" si="15"/>
        <v>BQRTNB</v>
      </c>
      <c r="C309" t="str">
        <f t="shared" si="16"/>
        <v>43</v>
      </c>
      <c r="D309" t="str">
        <f t="shared" si="17"/>
        <v>NB</v>
      </c>
    </row>
    <row r="310" spans="1:4" ht="13.2" x14ac:dyDescent="0.25">
      <c r="A310" s="2" t="s">
        <v>478</v>
      </c>
      <c r="B310" t="str">
        <f t="shared" si="15"/>
        <v>MDAIVC</v>
      </c>
      <c r="C310" t="str">
        <f t="shared" si="16"/>
        <v>27</v>
      </c>
      <c r="D310" t="str">
        <f t="shared" si="17"/>
        <v>VC</v>
      </c>
    </row>
    <row r="311" spans="1:4" ht="13.2" x14ac:dyDescent="0.25">
      <c r="A311" s="2" t="s">
        <v>479</v>
      </c>
      <c r="B311" t="str">
        <f t="shared" si="15"/>
        <v>CRAAUW</v>
      </c>
      <c r="C311" t="str">
        <f t="shared" si="16"/>
        <v>66</v>
      </c>
      <c r="D311" t="str">
        <f t="shared" si="17"/>
        <v>UW</v>
      </c>
    </row>
    <row r="312" spans="1:4" ht="13.2" x14ac:dyDescent="0.25">
      <c r="A312" s="2" t="s">
        <v>480</v>
      </c>
      <c r="B312" t="str">
        <f t="shared" si="15"/>
        <v>NEOLOX</v>
      </c>
      <c r="C312" t="str">
        <f t="shared" si="16"/>
        <v>61</v>
      </c>
      <c r="D312" t="str">
        <f t="shared" si="17"/>
        <v>OX</v>
      </c>
    </row>
    <row r="313" spans="1:4" ht="13.2" x14ac:dyDescent="0.25">
      <c r="A313" s="2" t="s">
        <v>481</v>
      </c>
      <c r="B313" t="str">
        <f t="shared" si="15"/>
        <v>PSKZIO</v>
      </c>
      <c r="C313" t="str">
        <f t="shared" si="16"/>
        <v>68</v>
      </c>
      <c r="D313" t="str">
        <f t="shared" si="17"/>
        <v>IO</v>
      </c>
    </row>
    <row r="314" spans="1:4" ht="13.2" x14ac:dyDescent="0.25">
      <c r="A314" s="2" t="s">
        <v>482</v>
      </c>
      <c r="B314" t="str">
        <f t="shared" si="15"/>
        <v>AZBVQH</v>
      </c>
      <c r="C314" t="str">
        <f t="shared" si="16"/>
        <v>63</v>
      </c>
      <c r="D314" t="str">
        <f t="shared" si="17"/>
        <v>QH</v>
      </c>
    </row>
    <row r="315" spans="1:4" ht="13.2" x14ac:dyDescent="0.25">
      <c r="A315" s="2" t="s">
        <v>483</v>
      </c>
      <c r="B315" t="str">
        <f t="shared" si="15"/>
        <v>OPAIWT</v>
      </c>
      <c r="C315" t="str">
        <f t="shared" si="16"/>
        <v>82</v>
      </c>
      <c r="D315" t="str">
        <f t="shared" si="17"/>
        <v>WT</v>
      </c>
    </row>
    <row r="316" spans="1:4" ht="13.2" x14ac:dyDescent="0.25">
      <c r="A316" s="2" t="s">
        <v>484</v>
      </c>
      <c r="B316" t="str">
        <f t="shared" si="15"/>
        <v>QDCHWG</v>
      </c>
      <c r="C316" t="str">
        <f t="shared" si="16"/>
        <v>68</v>
      </c>
      <c r="D316" t="str">
        <f t="shared" si="17"/>
        <v>WG</v>
      </c>
    </row>
    <row r="317" spans="1:4" ht="13.2" x14ac:dyDescent="0.25">
      <c r="A317" s="2" t="s">
        <v>485</v>
      </c>
      <c r="B317" t="str">
        <f t="shared" si="15"/>
        <v>XPDBAX</v>
      </c>
      <c r="C317" t="str">
        <f t="shared" si="16"/>
        <v>93</v>
      </c>
      <c r="D317" t="str">
        <f t="shared" si="17"/>
        <v>AX</v>
      </c>
    </row>
    <row r="318" spans="1:4" ht="13.2" x14ac:dyDescent="0.25">
      <c r="A318" s="2" t="s">
        <v>486</v>
      </c>
      <c r="B318" t="str">
        <f t="shared" si="15"/>
        <v>FWKZCT</v>
      </c>
      <c r="C318" t="str">
        <f t="shared" si="16"/>
        <v>95</v>
      </c>
      <c r="D318" t="str">
        <f t="shared" si="17"/>
        <v>CT</v>
      </c>
    </row>
    <row r="319" spans="1:4" ht="13.2" x14ac:dyDescent="0.25">
      <c r="A319" s="2" t="s">
        <v>487</v>
      </c>
      <c r="B319" t="str">
        <f t="shared" si="15"/>
        <v>HWPHOB</v>
      </c>
      <c r="C319" t="str">
        <f t="shared" si="16"/>
        <v>17</v>
      </c>
      <c r="D319" t="str">
        <f t="shared" si="17"/>
        <v>OB</v>
      </c>
    </row>
    <row r="320" spans="1:4" ht="13.2" x14ac:dyDescent="0.25">
      <c r="A320" s="2" t="s">
        <v>488</v>
      </c>
      <c r="B320" t="str">
        <f t="shared" si="15"/>
        <v>LTGHQW</v>
      </c>
      <c r="C320" t="str">
        <f t="shared" si="16"/>
        <v>27</v>
      </c>
      <c r="D320" t="str">
        <f t="shared" si="17"/>
        <v>QW</v>
      </c>
    </row>
    <row r="321" spans="1:4" ht="13.2" x14ac:dyDescent="0.25">
      <c r="A321" s="2" t="s">
        <v>489</v>
      </c>
      <c r="B321" t="str">
        <f t="shared" si="15"/>
        <v>EHGMBG</v>
      </c>
      <c r="C321" t="str">
        <f t="shared" si="16"/>
        <v>78</v>
      </c>
      <c r="D321" t="str">
        <f t="shared" si="17"/>
        <v>BG</v>
      </c>
    </row>
    <row r="322" spans="1:4" ht="13.2" x14ac:dyDescent="0.25">
      <c r="A322" s="2" t="s">
        <v>490</v>
      </c>
      <c r="B322" t="str">
        <f t="shared" si="15"/>
        <v>DUPAXW</v>
      </c>
      <c r="C322" t="str">
        <f t="shared" si="16"/>
        <v>49</v>
      </c>
      <c r="D322" t="str">
        <f t="shared" si="17"/>
        <v>XW</v>
      </c>
    </row>
    <row r="323" spans="1:4" ht="13.2" x14ac:dyDescent="0.25">
      <c r="A323" s="2" t="s">
        <v>491</v>
      </c>
      <c r="B323" t="str">
        <f t="shared" si="15"/>
        <v>UCHHEM</v>
      </c>
      <c r="C323" t="str">
        <f t="shared" si="16"/>
        <v>34</v>
      </c>
      <c r="D323" t="str">
        <f t="shared" si="17"/>
        <v>EM</v>
      </c>
    </row>
    <row r="324" spans="1:4" ht="13.2" x14ac:dyDescent="0.25">
      <c r="A324" s="2" t="s">
        <v>492</v>
      </c>
      <c r="B324" t="str">
        <f t="shared" si="15"/>
        <v>CXGFRK</v>
      </c>
      <c r="C324" t="str">
        <f t="shared" si="16"/>
        <v>75</v>
      </c>
      <c r="D324" t="str">
        <f t="shared" si="17"/>
        <v>RK</v>
      </c>
    </row>
    <row r="325" spans="1:4" ht="13.2" x14ac:dyDescent="0.25">
      <c r="A325" s="2" t="s">
        <v>493</v>
      </c>
      <c r="B325" t="str">
        <f t="shared" si="15"/>
        <v>QXMCNG</v>
      </c>
      <c r="C325" t="str">
        <f t="shared" si="16"/>
        <v>73</v>
      </c>
      <c r="D325" t="str">
        <f t="shared" si="17"/>
        <v>NG</v>
      </c>
    </row>
    <row r="326" spans="1:4" ht="13.2" x14ac:dyDescent="0.25">
      <c r="A326" s="2" t="s">
        <v>494</v>
      </c>
      <c r="B326" t="str">
        <f t="shared" ref="B326:B389" si="18">LEFT(A326,6)</f>
        <v>YGETCV</v>
      </c>
      <c r="C326" t="str">
        <f t="shared" ref="C326:C389" si="19">RIGHT(A326,2)</f>
        <v>88</v>
      </c>
      <c r="D326" t="str">
        <f t="shared" ref="D326:D389" si="20">MID(A326,5,2)</f>
        <v>CV</v>
      </c>
    </row>
    <row r="327" spans="1:4" ht="13.2" x14ac:dyDescent="0.25">
      <c r="A327" s="2" t="s">
        <v>495</v>
      </c>
      <c r="B327" t="str">
        <f t="shared" si="18"/>
        <v>BYLVGJ</v>
      </c>
      <c r="C327" t="str">
        <f t="shared" si="19"/>
        <v>49</v>
      </c>
      <c r="D327" t="str">
        <f t="shared" si="20"/>
        <v>GJ</v>
      </c>
    </row>
    <row r="328" spans="1:4" ht="13.2" x14ac:dyDescent="0.25">
      <c r="A328" s="2" t="s">
        <v>496</v>
      </c>
      <c r="B328" t="str">
        <f t="shared" si="18"/>
        <v>IRZJVM</v>
      </c>
      <c r="C328" t="str">
        <f t="shared" si="19"/>
        <v>57</v>
      </c>
      <c r="D328" t="str">
        <f t="shared" si="20"/>
        <v>VM</v>
      </c>
    </row>
    <row r="329" spans="1:4" ht="13.2" x14ac:dyDescent="0.25">
      <c r="A329" s="2" t="s">
        <v>497</v>
      </c>
      <c r="B329" t="str">
        <f t="shared" si="18"/>
        <v>EOIPMR</v>
      </c>
      <c r="C329" t="str">
        <f t="shared" si="19"/>
        <v>45</v>
      </c>
      <c r="D329" t="str">
        <f t="shared" si="20"/>
        <v>MR</v>
      </c>
    </row>
    <row r="330" spans="1:4" ht="13.2" x14ac:dyDescent="0.25">
      <c r="A330" s="2" t="s">
        <v>498</v>
      </c>
      <c r="B330" t="str">
        <f t="shared" si="18"/>
        <v>KYYWQD</v>
      </c>
      <c r="C330" t="str">
        <f t="shared" si="19"/>
        <v>89</v>
      </c>
      <c r="D330" t="str">
        <f t="shared" si="20"/>
        <v>QD</v>
      </c>
    </row>
    <row r="331" spans="1:4" ht="13.2" x14ac:dyDescent="0.25">
      <c r="A331" s="2" t="s">
        <v>499</v>
      </c>
      <c r="B331" t="str">
        <f t="shared" si="18"/>
        <v>XRKQJW</v>
      </c>
      <c r="C331" t="str">
        <f t="shared" si="19"/>
        <v>79</v>
      </c>
      <c r="D331" t="str">
        <f t="shared" si="20"/>
        <v>JW</v>
      </c>
    </row>
    <row r="332" spans="1:4" ht="13.2" x14ac:dyDescent="0.25">
      <c r="A332" s="2" t="s">
        <v>500</v>
      </c>
      <c r="B332" t="str">
        <f t="shared" si="18"/>
        <v>IMXMUH</v>
      </c>
      <c r="C332" t="str">
        <f t="shared" si="19"/>
        <v>54</v>
      </c>
      <c r="D332" t="str">
        <f t="shared" si="20"/>
        <v>UH</v>
      </c>
    </row>
    <row r="333" spans="1:4" ht="13.2" x14ac:dyDescent="0.25">
      <c r="A333" s="2" t="s">
        <v>501</v>
      </c>
      <c r="B333" t="str">
        <f t="shared" si="18"/>
        <v>RQQWHL</v>
      </c>
      <c r="C333" t="str">
        <f t="shared" si="19"/>
        <v>43</v>
      </c>
      <c r="D333" t="str">
        <f t="shared" si="20"/>
        <v>HL</v>
      </c>
    </row>
    <row r="334" spans="1:4" ht="13.2" x14ac:dyDescent="0.25">
      <c r="A334" s="2" t="s">
        <v>502</v>
      </c>
      <c r="B334" t="str">
        <f t="shared" si="18"/>
        <v>THEIOT</v>
      </c>
      <c r="C334" t="str">
        <f t="shared" si="19"/>
        <v>36</v>
      </c>
      <c r="D334" t="str">
        <f t="shared" si="20"/>
        <v>OT</v>
      </c>
    </row>
    <row r="335" spans="1:4" ht="13.2" x14ac:dyDescent="0.25">
      <c r="A335" s="2" t="s">
        <v>503</v>
      </c>
      <c r="B335" t="str">
        <f t="shared" si="18"/>
        <v>IQABPI</v>
      </c>
      <c r="C335" t="str">
        <f t="shared" si="19"/>
        <v>84</v>
      </c>
      <c r="D335" t="str">
        <f t="shared" si="20"/>
        <v>PI</v>
      </c>
    </row>
    <row r="336" spans="1:4" ht="13.2" x14ac:dyDescent="0.25">
      <c r="A336" s="2" t="s">
        <v>504</v>
      </c>
      <c r="B336" t="str">
        <f t="shared" si="18"/>
        <v>FYPOUG</v>
      </c>
      <c r="C336" t="str">
        <f t="shared" si="19"/>
        <v>48</v>
      </c>
      <c r="D336" t="str">
        <f t="shared" si="20"/>
        <v>UG</v>
      </c>
    </row>
    <row r="337" spans="1:4" ht="13.2" x14ac:dyDescent="0.25">
      <c r="A337" s="2" t="s">
        <v>505</v>
      </c>
      <c r="B337" t="str">
        <f t="shared" si="18"/>
        <v>CFRBSW</v>
      </c>
      <c r="C337" t="str">
        <f t="shared" si="19"/>
        <v>67</v>
      </c>
      <c r="D337" t="str">
        <f t="shared" si="20"/>
        <v>SW</v>
      </c>
    </row>
    <row r="338" spans="1:4" ht="13.2" x14ac:dyDescent="0.25">
      <c r="A338" s="2" t="s">
        <v>506</v>
      </c>
      <c r="B338" t="str">
        <f t="shared" si="18"/>
        <v>AKWCIY</v>
      </c>
      <c r="C338" t="str">
        <f t="shared" si="19"/>
        <v>54</v>
      </c>
      <c r="D338" t="str">
        <f t="shared" si="20"/>
        <v>IY</v>
      </c>
    </row>
    <row r="339" spans="1:4" ht="13.2" x14ac:dyDescent="0.25">
      <c r="A339" s="2" t="s">
        <v>507</v>
      </c>
      <c r="B339" t="str">
        <f t="shared" si="18"/>
        <v>HBXUDT</v>
      </c>
      <c r="C339" t="str">
        <f t="shared" si="19"/>
        <v>31</v>
      </c>
      <c r="D339" t="str">
        <f t="shared" si="20"/>
        <v>DT</v>
      </c>
    </row>
    <row r="340" spans="1:4" ht="13.2" x14ac:dyDescent="0.25">
      <c r="A340" s="2" t="s">
        <v>508</v>
      </c>
      <c r="B340" t="str">
        <f t="shared" si="18"/>
        <v>SMBHBC</v>
      </c>
      <c r="C340" t="str">
        <f t="shared" si="19"/>
        <v>59</v>
      </c>
      <c r="D340" t="str">
        <f t="shared" si="20"/>
        <v>BC</v>
      </c>
    </row>
    <row r="341" spans="1:4" ht="13.2" x14ac:dyDescent="0.25">
      <c r="A341" s="2" t="s">
        <v>509</v>
      </c>
      <c r="B341" t="str">
        <f t="shared" si="18"/>
        <v>MLYERY</v>
      </c>
      <c r="C341" t="str">
        <f t="shared" si="19"/>
        <v>19</v>
      </c>
      <c r="D341" t="str">
        <f t="shared" si="20"/>
        <v>RY</v>
      </c>
    </row>
    <row r="342" spans="1:4" ht="13.2" x14ac:dyDescent="0.25">
      <c r="A342" s="2" t="s">
        <v>510</v>
      </c>
      <c r="B342" t="str">
        <f t="shared" si="18"/>
        <v>SSTGUQ</v>
      </c>
      <c r="C342" t="str">
        <f t="shared" si="19"/>
        <v>28</v>
      </c>
      <c r="D342" t="str">
        <f t="shared" si="20"/>
        <v>UQ</v>
      </c>
    </row>
    <row r="343" spans="1:4" ht="13.2" x14ac:dyDescent="0.25">
      <c r="A343" s="2" t="s">
        <v>511</v>
      </c>
      <c r="B343" t="str">
        <f t="shared" si="18"/>
        <v>FTLLBM</v>
      </c>
      <c r="C343" t="str">
        <f t="shared" si="19"/>
        <v>39</v>
      </c>
      <c r="D343" t="str">
        <f t="shared" si="20"/>
        <v>BM</v>
      </c>
    </row>
    <row r="344" spans="1:4" ht="13.2" x14ac:dyDescent="0.25">
      <c r="A344" s="2" t="s">
        <v>512</v>
      </c>
      <c r="B344" t="str">
        <f t="shared" si="18"/>
        <v>XZQQDK</v>
      </c>
      <c r="C344" t="str">
        <f t="shared" si="19"/>
        <v>72</v>
      </c>
      <c r="D344" t="str">
        <f t="shared" si="20"/>
        <v>DK</v>
      </c>
    </row>
    <row r="345" spans="1:4" ht="13.2" x14ac:dyDescent="0.25">
      <c r="A345" s="2" t="s">
        <v>513</v>
      </c>
      <c r="B345" t="str">
        <f t="shared" si="18"/>
        <v>ANPVET</v>
      </c>
      <c r="C345" t="str">
        <f t="shared" si="19"/>
        <v>78</v>
      </c>
      <c r="D345" t="str">
        <f t="shared" si="20"/>
        <v>ET</v>
      </c>
    </row>
    <row r="346" spans="1:4" ht="13.2" x14ac:dyDescent="0.25">
      <c r="A346" s="2" t="s">
        <v>514</v>
      </c>
      <c r="B346" t="str">
        <f t="shared" si="18"/>
        <v>OPRDVG</v>
      </c>
      <c r="C346" t="str">
        <f t="shared" si="19"/>
        <v>45</v>
      </c>
      <c r="D346" t="str">
        <f t="shared" si="20"/>
        <v>VG</v>
      </c>
    </row>
    <row r="347" spans="1:4" ht="13.2" x14ac:dyDescent="0.25">
      <c r="A347" s="2" t="s">
        <v>515</v>
      </c>
      <c r="B347" t="str">
        <f t="shared" si="18"/>
        <v>MRJOXW</v>
      </c>
      <c r="C347" t="str">
        <f t="shared" si="19"/>
        <v>47</v>
      </c>
      <c r="D347" t="str">
        <f t="shared" si="20"/>
        <v>XW</v>
      </c>
    </row>
    <row r="348" spans="1:4" ht="13.2" x14ac:dyDescent="0.25">
      <c r="A348" s="2" t="s">
        <v>516</v>
      </c>
      <c r="B348" t="str">
        <f t="shared" si="18"/>
        <v>FSRNWM</v>
      </c>
      <c r="C348" t="str">
        <f t="shared" si="19"/>
        <v>88</v>
      </c>
      <c r="D348" t="str">
        <f t="shared" si="20"/>
        <v>WM</v>
      </c>
    </row>
    <row r="349" spans="1:4" ht="13.2" x14ac:dyDescent="0.25">
      <c r="A349" s="2" t="s">
        <v>517</v>
      </c>
      <c r="B349" t="str">
        <f t="shared" si="18"/>
        <v>KKPLXQ</v>
      </c>
      <c r="C349" t="str">
        <f t="shared" si="19"/>
        <v>36</v>
      </c>
      <c r="D349" t="str">
        <f t="shared" si="20"/>
        <v>XQ</v>
      </c>
    </row>
    <row r="350" spans="1:4" ht="13.2" x14ac:dyDescent="0.25">
      <c r="A350" s="2" t="s">
        <v>518</v>
      </c>
      <c r="B350" t="str">
        <f t="shared" si="18"/>
        <v>YAOLYH</v>
      </c>
      <c r="C350" t="str">
        <f t="shared" si="19"/>
        <v>87</v>
      </c>
      <c r="D350" t="str">
        <f t="shared" si="20"/>
        <v>YH</v>
      </c>
    </row>
    <row r="351" spans="1:4" ht="13.2" x14ac:dyDescent="0.25">
      <c r="A351" s="2" t="s">
        <v>519</v>
      </c>
      <c r="B351" t="str">
        <f t="shared" si="18"/>
        <v>JJVDKH</v>
      </c>
      <c r="C351" t="str">
        <f t="shared" si="19"/>
        <v>24</v>
      </c>
      <c r="D351" t="str">
        <f t="shared" si="20"/>
        <v>KH</v>
      </c>
    </row>
    <row r="352" spans="1:4" ht="13.2" x14ac:dyDescent="0.25">
      <c r="A352" s="2" t="s">
        <v>520</v>
      </c>
      <c r="B352" t="str">
        <f t="shared" si="18"/>
        <v>TQXIVA</v>
      </c>
      <c r="C352" t="str">
        <f t="shared" si="19"/>
        <v>58</v>
      </c>
      <c r="D352" t="str">
        <f t="shared" si="20"/>
        <v>VA</v>
      </c>
    </row>
    <row r="353" spans="1:4" ht="13.2" x14ac:dyDescent="0.25">
      <c r="A353" s="2" t="s">
        <v>521</v>
      </c>
      <c r="B353" t="str">
        <f t="shared" si="18"/>
        <v>FYOSKY</v>
      </c>
      <c r="C353" t="str">
        <f t="shared" si="19"/>
        <v>38</v>
      </c>
      <c r="D353" t="str">
        <f t="shared" si="20"/>
        <v>KY</v>
      </c>
    </row>
    <row r="354" spans="1:4" ht="13.2" x14ac:dyDescent="0.25">
      <c r="A354" s="2" t="s">
        <v>522</v>
      </c>
      <c r="B354" t="str">
        <f t="shared" si="18"/>
        <v>RDGETH</v>
      </c>
      <c r="C354" t="str">
        <f t="shared" si="19"/>
        <v>19</v>
      </c>
      <c r="D354" t="str">
        <f t="shared" si="20"/>
        <v>TH</v>
      </c>
    </row>
    <row r="355" spans="1:4" ht="13.2" x14ac:dyDescent="0.25">
      <c r="A355" s="2" t="s">
        <v>523</v>
      </c>
      <c r="B355" t="str">
        <f t="shared" si="18"/>
        <v>RFGBQJ</v>
      </c>
      <c r="C355" t="str">
        <f t="shared" si="19"/>
        <v>29</v>
      </c>
      <c r="D355" t="str">
        <f t="shared" si="20"/>
        <v>QJ</v>
      </c>
    </row>
    <row r="356" spans="1:4" ht="13.2" x14ac:dyDescent="0.25">
      <c r="A356" s="2" t="s">
        <v>524</v>
      </c>
      <c r="B356" t="str">
        <f t="shared" si="18"/>
        <v>ULYHUP</v>
      </c>
      <c r="C356" t="str">
        <f t="shared" si="19"/>
        <v>42</v>
      </c>
      <c r="D356" t="str">
        <f t="shared" si="20"/>
        <v>UP</v>
      </c>
    </row>
    <row r="357" spans="1:4" ht="13.2" x14ac:dyDescent="0.25">
      <c r="A357" s="2" t="s">
        <v>525</v>
      </c>
      <c r="B357" t="str">
        <f t="shared" si="18"/>
        <v>VNMLVF</v>
      </c>
      <c r="C357" t="str">
        <f t="shared" si="19"/>
        <v>91</v>
      </c>
      <c r="D357" t="str">
        <f t="shared" si="20"/>
        <v>VF</v>
      </c>
    </row>
    <row r="358" spans="1:4" ht="13.2" x14ac:dyDescent="0.25">
      <c r="A358" s="2" t="s">
        <v>526</v>
      </c>
      <c r="B358" t="str">
        <f t="shared" si="18"/>
        <v>GYZNBR</v>
      </c>
      <c r="C358" t="str">
        <f t="shared" si="19"/>
        <v>35</v>
      </c>
      <c r="D358" t="str">
        <f t="shared" si="20"/>
        <v>BR</v>
      </c>
    </row>
    <row r="359" spans="1:4" ht="13.2" x14ac:dyDescent="0.25">
      <c r="A359" s="2" t="s">
        <v>527</v>
      </c>
      <c r="B359" t="str">
        <f t="shared" si="18"/>
        <v>PRFSLB</v>
      </c>
      <c r="C359" t="str">
        <f t="shared" si="19"/>
        <v>68</v>
      </c>
      <c r="D359" t="str">
        <f t="shared" si="20"/>
        <v>LB</v>
      </c>
    </row>
    <row r="360" spans="1:4" ht="13.2" x14ac:dyDescent="0.25">
      <c r="A360" s="2" t="s">
        <v>528</v>
      </c>
      <c r="B360" t="str">
        <f t="shared" si="18"/>
        <v>NPEPUR</v>
      </c>
      <c r="C360" t="str">
        <f t="shared" si="19"/>
        <v>47</v>
      </c>
      <c r="D360" t="str">
        <f t="shared" si="20"/>
        <v>UR</v>
      </c>
    </row>
    <row r="361" spans="1:4" ht="13.2" x14ac:dyDescent="0.25">
      <c r="A361" s="2" t="s">
        <v>529</v>
      </c>
      <c r="B361" t="str">
        <f t="shared" si="18"/>
        <v>NFVIOT</v>
      </c>
      <c r="C361" t="str">
        <f t="shared" si="19"/>
        <v>23</v>
      </c>
      <c r="D361" t="str">
        <f t="shared" si="20"/>
        <v>OT</v>
      </c>
    </row>
    <row r="362" spans="1:4" ht="13.2" x14ac:dyDescent="0.25">
      <c r="A362" s="2" t="s">
        <v>530</v>
      </c>
      <c r="B362" t="str">
        <f t="shared" si="18"/>
        <v>GDFVIZ</v>
      </c>
      <c r="C362" t="str">
        <f t="shared" si="19"/>
        <v>24</v>
      </c>
      <c r="D362" t="str">
        <f t="shared" si="20"/>
        <v>IZ</v>
      </c>
    </row>
    <row r="363" spans="1:4" ht="13.2" x14ac:dyDescent="0.25">
      <c r="A363" s="2" t="s">
        <v>531</v>
      </c>
      <c r="B363" t="str">
        <f t="shared" si="18"/>
        <v>FYWYQA</v>
      </c>
      <c r="C363" t="str">
        <f t="shared" si="19"/>
        <v>71</v>
      </c>
      <c r="D363" t="str">
        <f t="shared" si="20"/>
        <v>QA</v>
      </c>
    </row>
    <row r="364" spans="1:4" ht="13.2" x14ac:dyDescent="0.25">
      <c r="A364" s="2" t="s">
        <v>532</v>
      </c>
      <c r="B364" t="str">
        <f t="shared" si="18"/>
        <v>VYXMIW</v>
      </c>
      <c r="C364" t="str">
        <f t="shared" si="19"/>
        <v>45</v>
      </c>
      <c r="D364" t="str">
        <f t="shared" si="20"/>
        <v>IW</v>
      </c>
    </row>
    <row r="365" spans="1:4" ht="13.2" x14ac:dyDescent="0.25">
      <c r="A365" s="2" t="s">
        <v>533</v>
      </c>
      <c r="B365" t="str">
        <f t="shared" si="18"/>
        <v>OUMMMB</v>
      </c>
      <c r="C365" t="str">
        <f t="shared" si="19"/>
        <v>82</v>
      </c>
      <c r="D365" t="str">
        <f t="shared" si="20"/>
        <v>MB</v>
      </c>
    </row>
    <row r="366" spans="1:4" ht="13.2" x14ac:dyDescent="0.25">
      <c r="A366" s="2" t="s">
        <v>534</v>
      </c>
      <c r="B366" t="str">
        <f t="shared" si="18"/>
        <v>XRXFTN</v>
      </c>
      <c r="C366" t="str">
        <f t="shared" si="19"/>
        <v>17</v>
      </c>
      <c r="D366" t="str">
        <f t="shared" si="20"/>
        <v>TN</v>
      </c>
    </row>
    <row r="367" spans="1:4" ht="13.2" x14ac:dyDescent="0.25">
      <c r="A367" s="2" t="s">
        <v>535</v>
      </c>
      <c r="B367" t="str">
        <f t="shared" si="18"/>
        <v>PKJYFP</v>
      </c>
      <c r="C367" t="str">
        <f t="shared" si="19"/>
        <v>87</v>
      </c>
      <c r="D367" t="str">
        <f t="shared" si="20"/>
        <v>FP</v>
      </c>
    </row>
    <row r="368" spans="1:4" ht="13.2" x14ac:dyDescent="0.25">
      <c r="A368" s="2" t="s">
        <v>536</v>
      </c>
      <c r="B368" t="str">
        <f t="shared" si="18"/>
        <v>NYHGHT</v>
      </c>
      <c r="C368" t="str">
        <f t="shared" si="19"/>
        <v>33</v>
      </c>
      <c r="D368" t="str">
        <f t="shared" si="20"/>
        <v>HT</v>
      </c>
    </row>
    <row r="369" spans="1:4" ht="13.2" x14ac:dyDescent="0.25">
      <c r="A369" s="2" t="s">
        <v>537</v>
      </c>
      <c r="B369" t="str">
        <f t="shared" si="18"/>
        <v>QJQPTR</v>
      </c>
      <c r="C369" t="str">
        <f t="shared" si="19"/>
        <v>98</v>
      </c>
      <c r="D369" t="str">
        <f t="shared" si="20"/>
        <v>TR</v>
      </c>
    </row>
    <row r="370" spans="1:4" ht="13.2" x14ac:dyDescent="0.25">
      <c r="A370" s="2" t="s">
        <v>538</v>
      </c>
      <c r="B370" t="str">
        <f t="shared" si="18"/>
        <v>CQRHOL</v>
      </c>
      <c r="C370" t="str">
        <f t="shared" si="19"/>
        <v>45</v>
      </c>
      <c r="D370" t="str">
        <f t="shared" si="20"/>
        <v>OL</v>
      </c>
    </row>
    <row r="371" spans="1:4" ht="13.2" x14ac:dyDescent="0.25">
      <c r="A371" s="2" t="s">
        <v>539</v>
      </c>
      <c r="B371" t="str">
        <f t="shared" si="18"/>
        <v>YRYOKC</v>
      </c>
      <c r="C371" t="str">
        <f t="shared" si="19"/>
        <v>48</v>
      </c>
      <c r="D371" t="str">
        <f t="shared" si="20"/>
        <v>KC</v>
      </c>
    </row>
    <row r="372" spans="1:4" ht="13.2" x14ac:dyDescent="0.25">
      <c r="A372" s="2" t="s">
        <v>540</v>
      </c>
      <c r="B372" t="str">
        <f t="shared" si="18"/>
        <v>UIPFBX</v>
      </c>
      <c r="C372" t="str">
        <f t="shared" si="19"/>
        <v>81</v>
      </c>
      <c r="D372" t="str">
        <f t="shared" si="20"/>
        <v>BX</v>
      </c>
    </row>
    <row r="373" spans="1:4" ht="13.2" x14ac:dyDescent="0.25">
      <c r="A373" s="2" t="s">
        <v>541</v>
      </c>
      <c r="B373" t="str">
        <f t="shared" si="18"/>
        <v>TTAPYM</v>
      </c>
      <c r="C373" t="str">
        <f t="shared" si="19"/>
        <v>32</v>
      </c>
      <c r="D373" t="str">
        <f t="shared" si="20"/>
        <v>YM</v>
      </c>
    </row>
    <row r="374" spans="1:4" ht="13.2" x14ac:dyDescent="0.25">
      <c r="A374" s="2" t="s">
        <v>542</v>
      </c>
      <c r="B374" t="str">
        <f t="shared" si="18"/>
        <v>ZVRZUC</v>
      </c>
      <c r="C374" t="str">
        <f t="shared" si="19"/>
        <v>43</v>
      </c>
      <c r="D374" t="str">
        <f t="shared" si="20"/>
        <v>UC</v>
      </c>
    </row>
    <row r="375" spans="1:4" ht="13.2" x14ac:dyDescent="0.25">
      <c r="A375" s="2" t="s">
        <v>543</v>
      </c>
      <c r="B375" t="str">
        <f t="shared" si="18"/>
        <v>WUVMNS</v>
      </c>
      <c r="C375" t="str">
        <f t="shared" si="19"/>
        <v>11</v>
      </c>
      <c r="D375" t="str">
        <f t="shared" si="20"/>
        <v>NS</v>
      </c>
    </row>
    <row r="376" spans="1:4" ht="13.2" x14ac:dyDescent="0.25">
      <c r="A376" s="2" t="s">
        <v>544</v>
      </c>
      <c r="B376" t="str">
        <f t="shared" si="18"/>
        <v>DEVHTW</v>
      </c>
      <c r="C376" t="str">
        <f t="shared" si="19"/>
        <v>35</v>
      </c>
      <c r="D376" t="str">
        <f t="shared" si="20"/>
        <v>TW</v>
      </c>
    </row>
    <row r="377" spans="1:4" ht="13.2" x14ac:dyDescent="0.25">
      <c r="A377" s="2" t="s">
        <v>545</v>
      </c>
      <c r="B377" t="str">
        <f t="shared" si="18"/>
        <v>YXXHLD</v>
      </c>
      <c r="C377" t="str">
        <f t="shared" si="19"/>
        <v>82</v>
      </c>
      <c r="D377" t="str">
        <f t="shared" si="20"/>
        <v>LD</v>
      </c>
    </row>
    <row r="378" spans="1:4" ht="13.2" x14ac:dyDescent="0.25">
      <c r="A378" s="2" t="s">
        <v>546</v>
      </c>
      <c r="B378" t="str">
        <f t="shared" si="18"/>
        <v>FUXMRM</v>
      </c>
      <c r="C378" t="str">
        <f t="shared" si="19"/>
        <v>48</v>
      </c>
      <c r="D378" t="str">
        <f t="shared" si="20"/>
        <v>RM</v>
      </c>
    </row>
    <row r="379" spans="1:4" ht="13.2" x14ac:dyDescent="0.25">
      <c r="A379" s="2" t="s">
        <v>547</v>
      </c>
      <c r="B379" t="str">
        <f t="shared" si="18"/>
        <v>HGXVYS</v>
      </c>
      <c r="C379" t="str">
        <f t="shared" si="19"/>
        <v>33</v>
      </c>
      <c r="D379" t="str">
        <f t="shared" si="20"/>
        <v>YS</v>
      </c>
    </row>
    <row r="380" spans="1:4" ht="13.2" x14ac:dyDescent="0.25">
      <c r="A380" s="2" t="s">
        <v>548</v>
      </c>
      <c r="B380" t="str">
        <f t="shared" si="18"/>
        <v>JJECED</v>
      </c>
      <c r="C380" t="str">
        <f t="shared" si="19"/>
        <v>85</v>
      </c>
      <c r="D380" t="str">
        <f t="shared" si="20"/>
        <v>ED</v>
      </c>
    </row>
    <row r="381" spans="1:4" ht="13.2" x14ac:dyDescent="0.25">
      <c r="A381" s="2" t="s">
        <v>549</v>
      </c>
      <c r="B381" t="str">
        <f t="shared" si="18"/>
        <v>ZYQTKQ</v>
      </c>
      <c r="C381" t="str">
        <f t="shared" si="19"/>
        <v>58</v>
      </c>
      <c r="D381" t="str">
        <f t="shared" si="20"/>
        <v>KQ</v>
      </c>
    </row>
    <row r="382" spans="1:4" ht="13.2" x14ac:dyDescent="0.25">
      <c r="A382" s="2" t="s">
        <v>550</v>
      </c>
      <c r="B382" t="str">
        <f t="shared" si="18"/>
        <v>FZGCJX</v>
      </c>
      <c r="C382" t="str">
        <f t="shared" si="19"/>
        <v>69</v>
      </c>
      <c r="D382" t="str">
        <f t="shared" si="20"/>
        <v>JX</v>
      </c>
    </row>
    <row r="383" spans="1:4" ht="13.2" x14ac:dyDescent="0.25">
      <c r="A383" s="2" t="s">
        <v>551</v>
      </c>
      <c r="B383" t="str">
        <f t="shared" si="18"/>
        <v>SBZHUY</v>
      </c>
      <c r="C383" t="str">
        <f t="shared" si="19"/>
        <v>61</v>
      </c>
      <c r="D383" t="str">
        <f t="shared" si="20"/>
        <v>UY</v>
      </c>
    </row>
    <row r="384" spans="1:4" ht="13.2" x14ac:dyDescent="0.25">
      <c r="A384" s="2" t="s">
        <v>552</v>
      </c>
      <c r="B384" t="str">
        <f t="shared" si="18"/>
        <v>FHRDRJ</v>
      </c>
      <c r="C384" t="str">
        <f t="shared" si="19"/>
        <v>54</v>
      </c>
      <c r="D384" t="str">
        <f t="shared" si="20"/>
        <v>RJ</v>
      </c>
    </row>
    <row r="385" spans="1:4" ht="13.2" x14ac:dyDescent="0.25">
      <c r="A385" s="2" t="s">
        <v>553</v>
      </c>
      <c r="B385" t="str">
        <f t="shared" si="18"/>
        <v>KMLZAZ</v>
      </c>
      <c r="C385" t="str">
        <f t="shared" si="19"/>
        <v>51</v>
      </c>
      <c r="D385" t="str">
        <f t="shared" si="20"/>
        <v>AZ</v>
      </c>
    </row>
    <row r="386" spans="1:4" ht="13.2" x14ac:dyDescent="0.25">
      <c r="A386" s="2" t="s">
        <v>554</v>
      </c>
      <c r="B386" t="str">
        <f t="shared" si="18"/>
        <v>DJCDLB</v>
      </c>
      <c r="C386" t="str">
        <f t="shared" si="19"/>
        <v>33</v>
      </c>
      <c r="D386" t="str">
        <f t="shared" si="20"/>
        <v>LB</v>
      </c>
    </row>
    <row r="387" spans="1:4" ht="13.2" x14ac:dyDescent="0.25">
      <c r="A387" s="2" t="s">
        <v>555</v>
      </c>
      <c r="B387" t="str">
        <f t="shared" si="18"/>
        <v>DIAQQN</v>
      </c>
      <c r="C387" t="str">
        <f t="shared" si="19"/>
        <v>52</v>
      </c>
      <c r="D387" t="str">
        <f t="shared" si="20"/>
        <v>QN</v>
      </c>
    </row>
    <row r="388" spans="1:4" ht="13.2" x14ac:dyDescent="0.25">
      <c r="A388" s="2" t="s">
        <v>556</v>
      </c>
      <c r="B388" t="str">
        <f t="shared" si="18"/>
        <v>YGWKLD</v>
      </c>
      <c r="C388" t="str">
        <f t="shared" si="19"/>
        <v>81</v>
      </c>
      <c r="D388" t="str">
        <f t="shared" si="20"/>
        <v>LD</v>
      </c>
    </row>
    <row r="389" spans="1:4" ht="13.2" x14ac:dyDescent="0.25">
      <c r="A389" s="2" t="s">
        <v>557</v>
      </c>
      <c r="B389" t="str">
        <f t="shared" si="18"/>
        <v>QKXFLQ</v>
      </c>
      <c r="C389" t="str">
        <f t="shared" si="19"/>
        <v>71</v>
      </c>
      <c r="D389" t="str">
        <f t="shared" si="20"/>
        <v>LQ</v>
      </c>
    </row>
    <row r="390" spans="1:4" ht="13.2" x14ac:dyDescent="0.25">
      <c r="A390" s="2" t="s">
        <v>558</v>
      </c>
      <c r="B390" t="str">
        <f t="shared" ref="B390:B453" si="21">LEFT(A390,6)</f>
        <v>QLFGBZ</v>
      </c>
      <c r="C390" t="str">
        <f t="shared" ref="C390:C453" si="22">RIGHT(A390,2)</f>
        <v>65</v>
      </c>
      <c r="D390" t="str">
        <f t="shared" ref="D390:D453" si="23">MID(A390,5,2)</f>
        <v>BZ</v>
      </c>
    </row>
    <row r="391" spans="1:4" ht="13.2" x14ac:dyDescent="0.25">
      <c r="A391" s="2" t="s">
        <v>559</v>
      </c>
      <c r="B391" t="str">
        <f t="shared" si="21"/>
        <v>DISSTC</v>
      </c>
      <c r="C391" t="str">
        <f t="shared" si="22"/>
        <v>36</v>
      </c>
      <c r="D391" t="str">
        <f t="shared" si="23"/>
        <v>TC</v>
      </c>
    </row>
    <row r="392" spans="1:4" ht="13.2" x14ac:dyDescent="0.25">
      <c r="A392" s="2" t="s">
        <v>560</v>
      </c>
      <c r="B392" t="str">
        <f t="shared" si="21"/>
        <v>UZKHAW</v>
      </c>
      <c r="C392" t="str">
        <f t="shared" si="22"/>
        <v>42</v>
      </c>
      <c r="D392" t="str">
        <f t="shared" si="23"/>
        <v>AW</v>
      </c>
    </row>
    <row r="393" spans="1:4" ht="13.2" x14ac:dyDescent="0.25">
      <c r="A393" s="2" t="s">
        <v>561</v>
      </c>
      <c r="B393" t="str">
        <f t="shared" si="21"/>
        <v>VLPPLZ</v>
      </c>
      <c r="C393" t="str">
        <f t="shared" si="22"/>
        <v>63</v>
      </c>
      <c r="D393" t="str">
        <f t="shared" si="23"/>
        <v>LZ</v>
      </c>
    </row>
    <row r="394" spans="1:4" ht="13.2" x14ac:dyDescent="0.25">
      <c r="A394" s="2" t="s">
        <v>562</v>
      </c>
      <c r="B394" t="str">
        <f t="shared" si="21"/>
        <v>BTNHEM</v>
      </c>
      <c r="C394" t="str">
        <f t="shared" si="22"/>
        <v>63</v>
      </c>
      <c r="D394" t="str">
        <f t="shared" si="23"/>
        <v>EM</v>
      </c>
    </row>
    <row r="395" spans="1:4" ht="13.2" x14ac:dyDescent="0.25">
      <c r="A395" s="2" t="s">
        <v>563</v>
      </c>
      <c r="B395" t="str">
        <f t="shared" si="21"/>
        <v>BSHARP</v>
      </c>
      <c r="C395" t="str">
        <f t="shared" si="22"/>
        <v>72</v>
      </c>
      <c r="D395" t="str">
        <f t="shared" si="23"/>
        <v>RP</v>
      </c>
    </row>
    <row r="396" spans="1:4" ht="13.2" x14ac:dyDescent="0.25">
      <c r="A396" s="2" t="s">
        <v>564</v>
      </c>
      <c r="B396" t="str">
        <f t="shared" si="21"/>
        <v>VZVWWR</v>
      </c>
      <c r="C396" t="str">
        <f t="shared" si="22"/>
        <v>99</v>
      </c>
      <c r="D396" t="str">
        <f t="shared" si="23"/>
        <v>WR</v>
      </c>
    </row>
    <row r="397" spans="1:4" ht="13.2" x14ac:dyDescent="0.25">
      <c r="A397" s="2" t="s">
        <v>565</v>
      </c>
      <c r="B397" t="str">
        <f t="shared" si="21"/>
        <v>NROINF</v>
      </c>
      <c r="C397" t="str">
        <f t="shared" si="22"/>
        <v>61</v>
      </c>
      <c r="D397" t="str">
        <f t="shared" si="23"/>
        <v>NF</v>
      </c>
    </row>
    <row r="398" spans="1:4" ht="13.2" x14ac:dyDescent="0.25">
      <c r="A398" s="2" t="s">
        <v>566</v>
      </c>
      <c r="B398" t="str">
        <f t="shared" si="21"/>
        <v>DLOBTC</v>
      </c>
      <c r="C398" t="str">
        <f t="shared" si="22"/>
        <v>16</v>
      </c>
      <c r="D398" t="str">
        <f t="shared" si="23"/>
        <v>TC</v>
      </c>
    </row>
    <row r="399" spans="1:4" ht="13.2" x14ac:dyDescent="0.25">
      <c r="A399" s="2" t="s">
        <v>567</v>
      </c>
      <c r="B399" t="str">
        <f t="shared" si="21"/>
        <v>YGPRHX</v>
      </c>
      <c r="C399" t="str">
        <f t="shared" si="22"/>
        <v>16</v>
      </c>
      <c r="D399" t="str">
        <f t="shared" si="23"/>
        <v>HX</v>
      </c>
    </row>
    <row r="400" spans="1:4" ht="13.2" x14ac:dyDescent="0.25">
      <c r="A400" s="2" t="s">
        <v>568</v>
      </c>
      <c r="B400" t="str">
        <f t="shared" si="21"/>
        <v>XIWZYE</v>
      </c>
      <c r="C400" t="str">
        <f t="shared" si="22"/>
        <v>62</v>
      </c>
      <c r="D400" t="str">
        <f t="shared" si="23"/>
        <v>YE</v>
      </c>
    </row>
    <row r="401" spans="1:4" ht="13.2" x14ac:dyDescent="0.25">
      <c r="A401" s="2" t="s">
        <v>569</v>
      </c>
      <c r="B401" t="str">
        <f t="shared" si="21"/>
        <v>GRSZYP</v>
      </c>
      <c r="C401" t="str">
        <f t="shared" si="22"/>
        <v>58</v>
      </c>
      <c r="D401" t="str">
        <f t="shared" si="23"/>
        <v>YP</v>
      </c>
    </row>
    <row r="402" spans="1:4" ht="13.2" x14ac:dyDescent="0.25">
      <c r="A402" s="2" t="s">
        <v>570</v>
      </c>
      <c r="B402" t="str">
        <f t="shared" si="21"/>
        <v>LVODBY</v>
      </c>
      <c r="C402" t="str">
        <f t="shared" si="22"/>
        <v>79</v>
      </c>
      <c r="D402" t="str">
        <f t="shared" si="23"/>
        <v>BY</v>
      </c>
    </row>
    <row r="403" spans="1:4" ht="13.2" x14ac:dyDescent="0.25">
      <c r="A403" s="2" t="s">
        <v>571</v>
      </c>
      <c r="B403" t="str">
        <f t="shared" si="21"/>
        <v>ECALJS</v>
      </c>
      <c r="C403" t="str">
        <f t="shared" si="22"/>
        <v>75</v>
      </c>
      <c r="D403" t="str">
        <f t="shared" si="23"/>
        <v>JS</v>
      </c>
    </row>
    <row r="404" spans="1:4" ht="13.2" x14ac:dyDescent="0.25">
      <c r="A404" s="2" t="s">
        <v>572</v>
      </c>
      <c r="B404" t="str">
        <f t="shared" si="21"/>
        <v>OXESMI</v>
      </c>
      <c r="C404" t="str">
        <f t="shared" si="22"/>
        <v>76</v>
      </c>
      <c r="D404" t="str">
        <f t="shared" si="23"/>
        <v>MI</v>
      </c>
    </row>
    <row r="405" spans="1:4" ht="13.2" x14ac:dyDescent="0.25">
      <c r="A405" s="2" t="s">
        <v>573</v>
      </c>
      <c r="B405" t="str">
        <f t="shared" si="21"/>
        <v>DSIMVJ</v>
      </c>
      <c r="C405" t="str">
        <f t="shared" si="22"/>
        <v>63</v>
      </c>
      <c r="D405" t="str">
        <f t="shared" si="23"/>
        <v>VJ</v>
      </c>
    </row>
    <row r="406" spans="1:4" ht="13.2" x14ac:dyDescent="0.25">
      <c r="A406" s="2" t="s">
        <v>574</v>
      </c>
      <c r="B406" t="str">
        <f t="shared" si="21"/>
        <v>PGPWVK</v>
      </c>
      <c r="C406" t="str">
        <f t="shared" si="22"/>
        <v>73</v>
      </c>
      <c r="D406" t="str">
        <f t="shared" si="23"/>
        <v>VK</v>
      </c>
    </row>
    <row r="407" spans="1:4" ht="13.2" x14ac:dyDescent="0.25">
      <c r="A407" s="2" t="s">
        <v>575</v>
      </c>
      <c r="B407" t="str">
        <f t="shared" si="21"/>
        <v>PWWQBZ</v>
      </c>
      <c r="C407" t="str">
        <f t="shared" si="22"/>
        <v>88</v>
      </c>
      <c r="D407" t="str">
        <f t="shared" si="23"/>
        <v>BZ</v>
      </c>
    </row>
    <row r="408" spans="1:4" ht="13.2" x14ac:dyDescent="0.25">
      <c r="A408" s="2" t="s">
        <v>576</v>
      </c>
      <c r="B408" t="str">
        <f t="shared" si="21"/>
        <v>MZWUVY</v>
      </c>
      <c r="C408" t="str">
        <f t="shared" si="22"/>
        <v>94</v>
      </c>
      <c r="D408" t="str">
        <f t="shared" si="23"/>
        <v>VY</v>
      </c>
    </row>
    <row r="409" spans="1:4" ht="13.2" x14ac:dyDescent="0.25">
      <c r="A409" s="2" t="s">
        <v>577</v>
      </c>
      <c r="B409" t="str">
        <f t="shared" si="21"/>
        <v>YKZDNH</v>
      </c>
      <c r="C409" t="str">
        <f t="shared" si="22"/>
        <v>37</v>
      </c>
      <c r="D409" t="str">
        <f t="shared" si="23"/>
        <v>NH</v>
      </c>
    </row>
    <row r="410" spans="1:4" ht="13.2" x14ac:dyDescent="0.25">
      <c r="A410" s="2" t="s">
        <v>578</v>
      </c>
      <c r="B410" t="str">
        <f t="shared" si="21"/>
        <v>MXVHOP</v>
      </c>
      <c r="C410" t="str">
        <f t="shared" si="22"/>
        <v>74</v>
      </c>
      <c r="D410" t="str">
        <f t="shared" si="23"/>
        <v>OP</v>
      </c>
    </row>
    <row r="411" spans="1:4" ht="13.2" x14ac:dyDescent="0.25">
      <c r="A411" s="2" t="s">
        <v>579</v>
      </c>
      <c r="B411" t="str">
        <f t="shared" si="21"/>
        <v>LSFZQM</v>
      </c>
      <c r="C411" t="str">
        <f t="shared" si="22"/>
        <v>61</v>
      </c>
      <c r="D411" t="str">
        <f t="shared" si="23"/>
        <v>QM</v>
      </c>
    </row>
    <row r="412" spans="1:4" ht="13.2" x14ac:dyDescent="0.25">
      <c r="A412" s="2" t="s">
        <v>580</v>
      </c>
      <c r="B412" t="str">
        <f t="shared" si="21"/>
        <v>QBMJXT</v>
      </c>
      <c r="C412" t="str">
        <f t="shared" si="22"/>
        <v>95</v>
      </c>
      <c r="D412" t="str">
        <f t="shared" si="23"/>
        <v>XT</v>
      </c>
    </row>
    <row r="413" spans="1:4" ht="13.2" x14ac:dyDescent="0.25">
      <c r="A413" s="2" t="s">
        <v>581</v>
      </c>
      <c r="B413" t="str">
        <f t="shared" si="21"/>
        <v>IHMTZS</v>
      </c>
      <c r="C413" t="str">
        <f t="shared" si="22"/>
        <v>72</v>
      </c>
      <c r="D413" t="str">
        <f t="shared" si="23"/>
        <v>ZS</v>
      </c>
    </row>
    <row r="414" spans="1:4" ht="13.2" x14ac:dyDescent="0.25">
      <c r="A414" s="2" t="s">
        <v>582</v>
      </c>
      <c r="B414" t="str">
        <f t="shared" si="21"/>
        <v>QUECXA</v>
      </c>
      <c r="C414" t="str">
        <f t="shared" si="22"/>
        <v>19</v>
      </c>
      <c r="D414" t="str">
        <f t="shared" si="23"/>
        <v>XA</v>
      </c>
    </row>
    <row r="415" spans="1:4" ht="13.2" x14ac:dyDescent="0.25">
      <c r="A415" s="2" t="s">
        <v>583</v>
      </c>
      <c r="B415" t="str">
        <f t="shared" si="21"/>
        <v>LATVBJ</v>
      </c>
      <c r="C415" t="str">
        <f t="shared" si="22"/>
        <v>47</v>
      </c>
      <c r="D415" t="str">
        <f t="shared" si="23"/>
        <v>BJ</v>
      </c>
    </row>
    <row r="416" spans="1:4" ht="13.2" x14ac:dyDescent="0.25">
      <c r="A416" s="2" t="s">
        <v>584</v>
      </c>
      <c r="B416" t="str">
        <f t="shared" si="21"/>
        <v>RXZOVH</v>
      </c>
      <c r="C416" t="str">
        <f t="shared" si="22"/>
        <v>67</v>
      </c>
      <c r="D416" t="str">
        <f t="shared" si="23"/>
        <v>VH</v>
      </c>
    </row>
    <row r="417" spans="1:4" ht="13.2" x14ac:dyDescent="0.25">
      <c r="A417" s="2" t="s">
        <v>585</v>
      </c>
      <c r="B417" t="str">
        <f t="shared" si="21"/>
        <v>DOOMCY</v>
      </c>
      <c r="C417" t="str">
        <f t="shared" si="22"/>
        <v>36</v>
      </c>
      <c r="D417" t="str">
        <f t="shared" si="23"/>
        <v>CY</v>
      </c>
    </row>
    <row r="418" spans="1:4" ht="13.2" x14ac:dyDescent="0.25">
      <c r="A418" s="2" t="s">
        <v>586</v>
      </c>
      <c r="B418" t="str">
        <f t="shared" si="21"/>
        <v>GNGJLS</v>
      </c>
      <c r="C418" t="str">
        <f t="shared" si="22"/>
        <v>14</v>
      </c>
      <c r="D418" t="str">
        <f t="shared" si="23"/>
        <v>LS</v>
      </c>
    </row>
    <row r="419" spans="1:4" ht="13.2" x14ac:dyDescent="0.25">
      <c r="A419" s="2" t="s">
        <v>587</v>
      </c>
      <c r="B419" t="str">
        <f t="shared" si="21"/>
        <v>OWIERU</v>
      </c>
      <c r="C419" t="str">
        <f t="shared" si="22"/>
        <v>61</v>
      </c>
      <c r="D419" t="str">
        <f t="shared" si="23"/>
        <v>RU</v>
      </c>
    </row>
    <row r="420" spans="1:4" ht="13.2" x14ac:dyDescent="0.25">
      <c r="A420" s="2" t="s">
        <v>588</v>
      </c>
      <c r="B420" t="str">
        <f t="shared" si="21"/>
        <v>SYMVNJ</v>
      </c>
      <c r="C420" t="str">
        <f t="shared" si="22"/>
        <v>24</v>
      </c>
      <c r="D420" t="str">
        <f t="shared" si="23"/>
        <v>NJ</v>
      </c>
    </row>
    <row r="421" spans="1:4" ht="13.2" x14ac:dyDescent="0.25">
      <c r="A421" s="2" t="s">
        <v>589</v>
      </c>
      <c r="B421" t="str">
        <f t="shared" si="21"/>
        <v>QKXITX</v>
      </c>
      <c r="C421" t="str">
        <f t="shared" si="22"/>
        <v>32</v>
      </c>
      <c r="D421" t="str">
        <f t="shared" si="23"/>
        <v>TX</v>
      </c>
    </row>
    <row r="422" spans="1:4" ht="13.2" x14ac:dyDescent="0.25">
      <c r="A422" s="2" t="s">
        <v>590</v>
      </c>
      <c r="B422" t="str">
        <f t="shared" si="21"/>
        <v>XYVBLP</v>
      </c>
      <c r="C422" t="str">
        <f t="shared" si="22"/>
        <v>72</v>
      </c>
      <c r="D422" t="str">
        <f t="shared" si="23"/>
        <v>LP</v>
      </c>
    </row>
    <row r="423" spans="1:4" ht="13.2" x14ac:dyDescent="0.25">
      <c r="A423" s="2" t="s">
        <v>591</v>
      </c>
      <c r="B423" t="str">
        <f t="shared" si="21"/>
        <v>GSJNHX</v>
      </c>
      <c r="C423" t="str">
        <f t="shared" si="22"/>
        <v>98</v>
      </c>
      <c r="D423" t="str">
        <f t="shared" si="23"/>
        <v>HX</v>
      </c>
    </row>
    <row r="424" spans="1:4" ht="13.2" x14ac:dyDescent="0.25">
      <c r="A424" s="2" t="s">
        <v>592</v>
      </c>
      <c r="B424" t="str">
        <f t="shared" si="21"/>
        <v>ZWQSQM</v>
      </c>
      <c r="C424" t="str">
        <f t="shared" si="22"/>
        <v>98</v>
      </c>
      <c r="D424" t="str">
        <f t="shared" si="23"/>
        <v>QM</v>
      </c>
    </row>
    <row r="425" spans="1:4" ht="13.2" x14ac:dyDescent="0.25">
      <c r="A425" s="2" t="s">
        <v>593</v>
      </c>
      <c r="B425" t="str">
        <f t="shared" si="21"/>
        <v>MNNGOF</v>
      </c>
      <c r="C425" t="str">
        <f t="shared" si="22"/>
        <v>95</v>
      </c>
      <c r="D425" t="str">
        <f t="shared" si="23"/>
        <v>OF</v>
      </c>
    </row>
    <row r="426" spans="1:4" ht="13.2" x14ac:dyDescent="0.25">
      <c r="A426" s="2" t="s">
        <v>594</v>
      </c>
      <c r="B426" t="str">
        <f t="shared" si="21"/>
        <v>TWLKQA</v>
      </c>
      <c r="C426" t="str">
        <f t="shared" si="22"/>
        <v>19</v>
      </c>
      <c r="D426" t="str">
        <f t="shared" si="23"/>
        <v>QA</v>
      </c>
    </row>
    <row r="427" spans="1:4" ht="13.2" x14ac:dyDescent="0.25">
      <c r="A427" s="2" t="s">
        <v>595</v>
      </c>
      <c r="B427" t="str">
        <f t="shared" si="21"/>
        <v>HZLLYF</v>
      </c>
      <c r="C427" t="str">
        <f t="shared" si="22"/>
        <v>15</v>
      </c>
      <c r="D427" t="str">
        <f t="shared" si="23"/>
        <v>YF</v>
      </c>
    </row>
    <row r="428" spans="1:4" ht="13.2" x14ac:dyDescent="0.25">
      <c r="A428" s="2" t="s">
        <v>596</v>
      </c>
      <c r="B428" t="str">
        <f t="shared" si="21"/>
        <v>FAXUKD</v>
      </c>
      <c r="C428" t="str">
        <f t="shared" si="22"/>
        <v>61</v>
      </c>
      <c r="D428" t="str">
        <f t="shared" si="23"/>
        <v>KD</v>
      </c>
    </row>
    <row r="429" spans="1:4" ht="13.2" x14ac:dyDescent="0.25">
      <c r="A429" s="2" t="s">
        <v>597</v>
      </c>
      <c r="B429" t="str">
        <f t="shared" si="21"/>
        <v>GANXRT</v>
      </c>
      <c r="C429" t="str">
        <f t="shared" si="22"/>
        <v>44</v>
      </c>
      <c r="D429" t="str">
        <f t="shared" si="23"/>
        <v>RT</v>
      </c>
    </row>
    <row r="430" spans="1:4" ht="13.2" x14ac:dyDescent="0.25">
      <c r="A430" s="2" t="s">
        <v>598</v>
      </c>
      <c r="B430" t="str">
        <f t="shared" si="21"/>
        <v>HNIVFS</v>
      </c>
      <c r="C430" t="str">
        <f t="shared" si="22"/>
        <v>74</v>
      </c>
      <c r="D430" t="str">
        <f t="shared" si="23"/>
        <v>FS</v>
      </c>
    </row>
    <row r="431" spans="1:4" ht="13.2" x14ac:dyDescent="0.25">
      <c r="A431" s="2" t="s">
        <v>599</v>
      </c>
      <c r="B431" t="str">
        <f t="shared" si="21"/>
        <v>IVZMOT</v>
      </c>
      <c r="C431" t="str">
        <f t="shared" si="22"/>
        <v>22</v>
      </c>
      <c r="D431" t="str">
        <f t="shared" si="23"/>
        <v>OT</v>
      </c>
    </row>
    <row r="432" spans="1:4" ht="13.2" x14ac:dyDescent="0.25">
      <c r="A432" s="2" t="s">
        <v>600</v>
      </c>
      <c r="B432" t="str">
        <f t="shared" si="21"/>
        <v>VGUTQQ</v>
      </c>
      <c r="C432" t="str">
        <f t="shared" si="22"/>
        <v>97</v>
      </c>
      <c r="D432" t="str">
        <f t="shared" si="23"/>
        <v>QQ</v>
      </c>
    </row>
    <row r="433" spans="1:4" ht="13.2" x14ac:dyDescent="0.25">
      <c r="A433" s="2" t="s">
        <v>601</v>
      </c>
      <c r="B433" t="str">
        <f t="shared" si="21"/>
        <v>ZDQFHJ</v>
      </c>
      <c r="C433" t="str">
        <f t="shared" si="22"/>
        <v>43</v>
      </c>
      <c r="D433" t="str">
        <f t="shared" si="23"/>
        <v>HJ</v>
      </c>
    </row>
    <row r="434" spans="1:4" ht="13.2" x14ac:dyDescent="0.25">
      <c r="A434" s="2" t="s">
        <v>602</v>
      </c>
      <c r="B434" t="str">
        <f t="shared" si="21"/>
        <v>RCSSRO</v>
      </c>
      <c r="C434" t="str">
        <f t="shared" si="22"/>
        <v>12</v>
      </c>
      <c r="D434" t="str">
        <f t="shared" si="23"/>
        <v>RO</v>
      </c>
    </row>
    <row r="435" spans="1:4" ht="13.2" x14ac:dyDescent="0.25">
      <c r="A435" s="2" t="s">
        <v>603</v>
      </c>
      <c r="B435" t="str">
        <f t="shared" si="21"/>
        <v>OYVWFR</v>
      </c>
      <c r="C435" t="str">
        <f t="shared" si="22"/>
        <v>25</v>
      </c>
      <c r="D435" t="str">
        <f t="shared" si="23"/>
        <v>FR</v>
      </c>
    </row>
    <row r="436" spans="1:4" ht="13.2" x14ac:dyDescent="0.25">
      <c r="A436" s="2" t="s">
        <v>604</v>
      </c>
      <c r="B436" t="str">
        <f t="shared" si="21"/>
        <v>AKKETV</v>
      </c>
      <c r="C436" t="str">
        <f t="shared" si="22"/>
        <v>85</v>
      </c>
      <c r="D436" t="str">
        <f t="shared" si="23"/>
        <v>TV</v>
      </c>
    </row>
    <row r="437" spans="1:4" ht="13.2" x14ac:dyDescent="0.25">
      <c r="A437" s="2" t="s">
        <v>605</v>
      </c>
      <c r="B437" t="str">
        <f t="shared" si="21"/>
        <v>RZBLMO</v>
      </c>
      <c r="C437" t="str">
        <f t="shared" si="22"/>
        <v>59</v>
      </c>
      <c r="D437" t="str">
        <f t="shared" si="23"/>
        <v>MO</v>
      </c>
    </row>
    <row r="438" spans="1:4" ht="13.2" x14ac:dyDescent="0.25">
      <c r="A438" s="2" t="s">
        <v>606</v>
      </c>
      <c r="B438" t="str">
        <f t="shared" si="21"/>
        <v>DVMZNR</v>
      </c>
      <c r="C438" t="str">
        <f t="shared" si="22"/>
        <v>83</v>
      </c>
      <c r="D438" t="str">
        <f t="shared" si="23"/>
        <v>NR</v>
      </c>
    </row>
    <row r="439" spans="1:4" ht="13.2" x14ac:dyDescent="0.25">
      <c r="A439" s="2" t="s">
        <v>607</v>
      </c>
      <c r="B439" t="str">
        <f t="shared" si="21"/>
        <v>FHXOYT</v>
      </c>
      <c r="C439" t="str">
        <f t="shared" si="22"/>
        <v>92</v>
      </c>
      <c r="D439" t="str">
        <f t="shared" si="23"/>
        <v>YT</v>
      </c>
    </row>
    <row r="440" spans="1:4" ht="13.2" x14ac:dyDescent="0.25">
      <c r="A440" s="2" t="s">
        <v>608</v>
      </c>
      <c r="B440" t="str">
        <f t="shared" si="21"/>
        <v>IYDSQB</v>
      </c>
      <c r="C440" t="str">
        <f t="shared" si="22"/>
        <v>58</v>
      </c>
      <c r="D440" t="str">
        <f t="shared" si="23"/>
        <v>QB</v>
      </c>
    </row>
    <row r="441" spans="1:4" ht="13.2" x14ac:dyDescent="0.25">
      <c r="A441" s="2" t="s">
        <v>609</v>
      </c>
      <c r="B441" t="str">
        <f t="shared" si="21"/>
        <v>BJVMTB</v>
      </c>
      <c r="C441" t="str">
        <f t="shared" si="22"/>
        <v>46</v>
      </c>
      <c r="D441" t="str">
        <f t="shared" si="23"/>
        <v>TB</v>
      </c>
    </row>
    <row r="442" spans="1:4" ht="13.2" x14ac:dyDescent="0.25">
      <c r="A442" s="2" t="s">
        <v>610</v>
      </c>
      <c r="B442" t="str">
        <f t="shared" si="21"/>
        <v>HWYOFX</v>
      </c>
      <c r="C442" t="str">
        <f t="shared" si="22"/>
        <v>88</v>
      </c>
      <c r="D442" t="str">
        <f t="shared" si="23"/>
        <v>FX</v>
      </c>
    </row>
    <row r="443" spans="1:4" ht="13.2" x14ac:dyDescent="0.25">
      <c r="A443" s="2" t="s">
        <v>611</v>
      </c>
      <c r="B443" t="str">
        <f t="shared" si="21"/>
        <v>BBYTPG</v>
      </c>
      <c r="C443" t="str">
        <f t="shared" si="22"/>
        <v>31</v>
      </c>
      <c r="D443" t="str">
        <f t="shared" si="23"/>
        <v>PG</v>
      </c>
    </row>
    <row r="444" spans="1:4" ht="13.2" x14ac:dyDescent="0.25">
      <c r="A444" s="2" t="s">
        <v>612</v>
      </c>
      <c r="B444" t="str">
        <f t="shared" si="21"/>
        <v>CGTHJH</v>
      </c>
      <c r="C444" t="str">
        <f t="shared" si="22"/>
        <v>83</v>
      </c>
      <c r="D444" t="str">
        <f t="shared" si="23"/>
        <v>JH</v>
      </c>
    </row>
    <row r="445" spans="1:4" ht="13.2" x14ac:dyDescent="0.25">
      <c r="A445" s="2" t="s">
        <v>613</v>
      </c>
      <c r="B445" t="str">
        <f t="shared" si="21"/>
        <v>TWENUB</v>
      </c>
      <c r="C445" t="str">
        <f t="shared" si="22"/>
        <v>99</v>
      </c>
      <c r="D445" t="str">
        <f t="shared" si="23"/>
        <v>UB</v>
      </c>
    </row>
    <row r="446" spans="1:4" ht="13.2" x14ac:dyDescent="0.25">
      <c r="A446" s="2" t="s">
        <v>614</v>
      </c>
      <c r="B446" t="str">
        <f t="shared" si="21"/>
        <v>MHBKXZ</v>
      </c>
      <c r="C446" t="str">
        <f t="shared" si="22"/>
        <v>35</v>
      </c>
      <c r="D446" t="str">
        <f t="shared" si="23"/>
        <v>XZ</v>
      </c>
    </row>
    <row r="447" spans="1:4" ht="13.2" x14ac:dyDescent="0.25">
      <c r="A447" s="2" t="s">
        <v>615</v>
      </c>
      <c r="B447" t="str">
        <f t="shared" si="21"/>
        <v>BFMQFH</v>
      </c>
      <c r="C447" t="str">
        <f t="shared" si="22"/>
        <v>14</v>
      </c>
      <c r="D447" t="str">
        <f t="shared" si="23"/>
        <v>FH</v>
      </c>
    </row>
    <row r="448" spans="1:4" ht="13.2" x14ac:dyDescent="0.25">
      <c r="A448" s="2" t="s">
        <v>616</v>
      </c>
      <c r="B448" t="str">
        <f t="shared" si="21"/>
        <v>HDMVZU</v>
      </c>
      <c r="C448" t="str">
        <f t="shared" si="22"/>
        <v>56</v>
      </c>
      <c r="D448" t="str">
        <f t="shared" si="23"/>
        <v>ZU</v>
      </c>
    </row>
    <row r="449" spans="1:4" ht="13.2" x14ac:dyDescent="0.25">
      <c r="A449" s="2" t="s">
        <v>617</v>
      </c>
      <c r="B449" t="str">
        <f t="shared" si="21"/>
        <v>ITFXBR</v>
      </c>
      <c r="C449" t="str">
        <f t="shared" si="22"/>
        <v>63</v>
      </c>
      <c r="D449" t="str">
        <f t="shared" si="23"/>
        <v>BR</v>
      </c>
    </row>
    <row r="450" spans="1:4" ht="13.2" x14ac:dyDescent="0.25">
      <c r="A450" s="2" t="s">
        <v>618</v>
      </c>
      <c r="B450" t="str">
        <f t="shared" si="21"/>
        <v>MQYNOC</v>
      </c>
      <c r="C450" t="str">
        <f t="shared" si="22"/>
        <v>13</v>
      </c>
      <c r="D450" t="str">
        <f t="shared" si="23"/>
        <v>OC</v>
      </c>
    </row>
    <row r="451" spans="1:4" ht="13.2" x14ac:dyDescent="0.25">
      <c r="A451" s="2" t="s">
        <v>619</v>
      </c>
      <c r="B451" t="str">
        <f t="shared" si="21"/>
        <v>DZDLHC</v>
      </c>
      <c r="C451" t="str">
        <f t="shared" si="22"/>
        <v>59</v>
      </c>
      <c r="D451" t="str">
        <f t="shared" si="23"/>
        <v>HC</v>
      </c>
    </row>
    <row r="452" spans="1:4" ht="13.2" x14ac:dyDescent="0.25">
      <c r="A452" s="2" t="s">
        <v>620</v>
      </c>
      <c r="B452" t="str">
        <f t="shared" si="21"/>
        <v>CZFPQQ</v>
      </c>
      <c r="C452" t="str">
        <f t="shared" si="22"/>
        <v>63</v>
      </c>
      <c r="D452" t="str">
        <f t="shared" si="23"/>
        <v>QQ</v>
      </c>
    </row>
    <row r="453" spans="1:4" ht="13.2" x14ac:dyDescent="0.25">
      <c r="A453" s="2" t="s">
        <v>621</v>
      </c>
      <c r="B453" t="str">
        <f t="shared" si="21"/>
        <v>AFJELU</v>
      </c>
      <c r="C453" t="str">
        <f t="shared" si="22"/>
        <v>12</v>
      </c>
      <c r="D453" t="str">
        <f t="shared" si="23"/>
        <v>LU</v>
      </c>
    </row>
    <row r="454" spans="1:4" ht="13.2" x14ac:dyDescent="0.25">
      <c r="A454" s="2" t="s">
        <v>622</v>
      </c>
      <c r="B454" t="str">
        <f t="shared" ref="B454:B517" si="24">LEFT(A454,6)</f>
        <v>KBYNFT</v>
      </c>
      <c r="C454" t="str">
        <f t="shared" ref="C454:C517" si="25">RIGHT(A454,2)</f>
        <v>73</v>
      </c>
      <c r="D454" t="str">
        <f t="shared" ref="D454:D517" si="26">MID(A454,5,2)</f>
        <v>FT</v>
      </c>
    </row>
    <row r="455" spans="1:4" ht="13.2" x14ac:dyDescent="0.25">
      <c r="A455" s="2" t="s">
        <v>623</v>
      </c>
      <c r="B455" t="str">
        <f t="shared" si="24"/>
        <v>FEOGZF</v>
      </c>
      <c r="C455" t="str">
        <f t="shared" si="25"/>
        <v>46</v>
      </c>
      <c r="D455" t="str">
        <f t="shared" si="26"/>
        <v>ZF</v>
      </c>
    </row>
    <row r="456" spans="1:4" ht="13.2" x14ac:dyDescent="0.25">
      <c r="A456" s="2" t="s">
        <v>624</v>
      </c>
      <c r="B456" t="str">
        <f t="shared" si="24"/>
        <v>VWMQJE</v>
      </c>
      <c r="C456" t="str">
        <f t="shared" si="25"/>
        <v>94</v>
      </c>
      <c r="D456" t="str">
        <f t="shared" si="26"/>
        <v>JE</v>
      </c>
    </row>
    <row r="457" spans="1:4" ht="13.2" x14ac:dyDescent="0.25">
      <c r="A457" s="2" t="s">
        <v>625</v>
      </c>
      <c r="B457" t="str">
        <f t="shared" si="24"/>
        <v>XIGBTS</v>
      </c>
      <c r="C457" t="str">
        <f t="shared" si="25"/>
        <v>82</v>
      </c>
      <c r="D457" t="str">
        <f t="shared" si="26"/>
        <v>TS</v>
      </c>
    </row>
    <row r="458" spans="1:4" ht="13.2" x14ac:dyDescent="0.25">
      <c r="A458" s="2" t="s">
        <v>626</v>
      </c>
      <c r="B458" t="str">
        <f t="shared" si="24"/>
        <v>IOTYUB</v>
      </c>
      <c r="C458" t="str">
        <f t="shared" si="25"/>
        <v>48</v>
      </c>
      <c r="D458" t="str">
        <f t="shared" si="26"/>
        <v>UB</v>
      </c>
    </row>
    <row r="459" spans="1:4" ht="13.2" x14ac:dyDescent="0.25">
      <c r="A459" s="2" t="s">
        <v>627</v>
      </c>
      <c r="B459" t="str">
        <f t="shared" si="24"/>
        <v>SSGIGW</v>
      </c>
      <c r="C459" t="str">
        <f t="shared" si="25"/>
        <v>55</v>
      </c>
      <c r="D459" t="str">
        <f t="shared" si="26"/>
        <v>GW</v>
      </c>
    </row>
    <row r="460" spans="1:4" ht="13.2" x14ac:dyDescent="0.25">
      <c r="A460" s="2" t="s">
        <v>628</v>
      </c>
      <c r="B460" t="str">
        <f t="shared" si="24"/>
        <v>QKRWED</v>
      </c>
      <c r="C460" t="str">
        <f t="shared" si="25"/>
        <v>46</v>
      </c>
      <c r="D460" t="str">
        <f t="shared" si="26"/>
        <v>ED</v>
      </c>
    </row>
    <row r="461" spans="1:4" ht="13.2" x14ac:dyDescent="0.25">
      <c r="A461" s="2" t="s">
        <v>629</v>
      </c>
      <c r="B461" t="str">
        <f t="shared" si="24"/>
        <v>RQXPCC</v>
      </c>
      <c r="C461" t="str">
        <f t="shared" si="25"/>
        <v>97</v>
      </c>
      <c r="D461" t="str">
        <f t="shared" si="26"/>
        <v>CC</v>
      </c>
    </row>
    <row r="462" spans="1:4" ht="13.2" x14ac:dyDescent="0.25">
      <c r="A462" s="2" t="s">
        <v>630</v>
      </c>
      <c r="B462" t="str">
        <f t="shared" si="24"/>
        <v>RSJZCZ</v>
      </c>
      <c r="C462" t="str">
        <f t="shared" si="25"/>
        <v>16</v>
      </c>
      <c r="D462" t="str">
        <f t="shared" si="26"/>
        <v>CZ</v>
      </c>
    </row>
    <row r="463" spans="1:4" ht="13.2" x14ac:dyDescent="0.25">
      <c r="A463" s="2" t="s">
        <v>631</v>
      </c>
      <c r="B463" t="str">
        <f t="shared" si="24"/>
        <v>VBURZF</v>
      </c>
      <c r="C463" t="str">
        <f t="shared" si="25"/>
        <v>81</v>
      </c>
      <c r="D463" t="str">
        <f t="shared" si="26"/>
        <v>ZF</v>
      </c>
    </row>
    <row r="464" spans="1:4" ht="13.2" x14ac:dyDescent="0.25">
      <c r="A464" s="2" t="s">
        <v>632</v>
      </c>
      <c r="B464" t="str">
        <f t="shared" si="24"/>
        <v>ROBMGG</v>
      </c>
      <c r="C464" t="str">
        <f t="shared" si="25"/>
        <v>94</v>
      </c>
      <c r="D464" t="str">
        <f t="shared" si="26"/>
        <v>GG</v>
      </c>
    </row>
    <row r="465" spans="1:4" ht="13.2" x14ac:dyDescent="0.25">
      <c r="A465" s="2" t="s">
        <v>633</v>
      </c>
      <c r="B465" t="str">
        <f t="shared" si="24"/>
        <v>LQTJTO</v>
      </c>
      <c r="C465" t="str">
        <f t="shared" si="25"/>
        <v>44</v>
      </c>
      <c r="D465" t="str">
        <f t="shared" si="26"/>
        <v>TO</v>
      </c>
    </row>
    <row r="466" spans="1:4" ht="13.2" x14ac:dyDescent="0.25">
      <c r="A466" s="2" t="s">
        <v>634</v>
      </c>
      <c r="B466" t="str">
        <f t="shared" si="24"/>
        <v>KRYZYY</v>
      </c>
      <c r="C466" t="str">
        <f t="shared" si="25"/>
        <v>65</v>
      </c>
      <c r="D466" t="str">
        <f t="shared" si="26"/>
        <v>YY</v>
      </c>
    </row>
    <row r="467" spans="1:4" ht="13.2" x14ac:dyDescent="0.25">
      <c r="A467" s="2" t="s">
        <v>635</v>
      </c>
      <c r="B467" t="str">
        <f t="shared" si="24"/>
        <v>UYRKLW</v>
      </c>
      <c r="C467" t="str">
        <f t="shared" si="25"/>
        <v>91</v>
      </c>
      <c r="D467" t="str">
        <f t="shared" si="26"/>
        <v>LW</v>
      </c>
    </row>
    <row r="468" spans="1:4" ht="13.2" x14ac:dyDescent="0.25">
      <c r="A468" s="2" t="s">
        <v>636</v>
      </c>
      <c r="B468" t="str">
        <f t="shared" si="24"/>
        <v>HKEGZN</v>
      </c>
      <c r="C468" t="str">
        <f t="shared" si="25"/>
        <v>18</v>
      </c>
      <c r="D468" t="str">
        <f t="shared" si="26"/>
        <v>ZN</v>
      </c>
    </row>
    <row r="469" spans="1:4" ht="13.2" x14ac:dyDescent="0.25">
      <c r="A469" s="2" t="s">
        <v>637</v>
      </c>
      <c r="B469" t="str">
        <f t="shared" si="24"/>
        <v>GVODQB</v>
      </c>
      <c r="C469" t="str">
        <f t="shared" si="25"/>
        <v>84</v>
      </c>
      <c r="D469" t="str">
        <f t="shared" si="26"/>
        <v>QB</v>
      </c>
    </row>
    <row r="470" spans="1:4" ht="13.2" x14ac:dyDescent="0.25">
      <c r="A470" s="2" t="s">
        <v>638</v>
      </c>
      <c r="B470" t="str">
        <f t="shared" si="24"/>
        <v>DNYUJR</v>
      </c>
      <c r="C470" t="str">
        <f t="shared" si="25"/>
        <v>67</v>
      </c>
      <c r="D470" t="str">
        <f t="shared" si="26"/>
        <v>JR</v>
      </c>
    </row>
    <row r="471" spans="1:4" ht="13.2" x14ac:dyDescent="0.25">
      <c r="A471" s="2" t="s">
        <v>639</v>
      </c>
      <c r="B471" t="str">
        <f t="shared" si="24"/>
        <v>MGSQAK</v>
      </c>
      <c r="C471" t="str">
        <f t="shared" si="25"/>
        <v>53</v>
      </c>
      <c r="D471" t="str">
        <f t="shared" si="26"/>
        <v>AK</v>
      </c>
    </row>
    <row r="472" spans="1:4" ht="13.2" x14ac:dyDescent="0.25">
      <c r="A472" s="2" t="s">
        <v>640</v>
      </c>
      <c r="B472" t="str">
        <f t="shared" si="24"/>
        <v>ZVVTVY</v>
      </c>
      <c r="C472" t="str">
        <f t="shared" si="25"/>
        <v>56</v>
      </c>
      <c r="D472" t="str">
        <f t="shared" si="26"/>
        <v>VY</v>
      </c>
    </row>
    <row r="473" spans="1:4" ht="13.2" x14ac:dyDescent="0.25">
      <c r="A473" s="2" t="s">
        <v>641</v>
      </c>
      <c r="B473" t="str">
        <f t="shared" si="24"/>
        <v>BCRUKA</v>
      </c>
      <c r="C473" t="str">
        <f t="shared" si="25"/>
        <v>59</v>
      </c>
      <c r="D473" t="str">
        <f t="shared" si="26"/>
        <v>KA</v>
      </c>
    </row>
    <row r="474" spans="1:4" ht="13.2" x14ac:dyDescent="0.25">
      <c r="A474" s="2" t="s">
        <v>642</v>
      </c>
      <c r="B474" t="str">
        <f t="shared" si="24"/>
        <v>MBAEFO</v>
      </c>
      <c r="C474" t="str">
        <f t="shared" si="25"/>
        <v>24</v>
      </c>
      <c r="D474" t="str">
        <f t="shared" si="26"/>
        <v>FO</v>
      </c>
    </row>
    <row r="475" spans="1:4" ht="13.2" x14ac:dyDescent="0.25">
      <c r="A475" s="2" t="s">
        <v>643</v>
      </c>
      <c r="B475" t="str">
        <f t="shared" si="24"/>
        <v>DSASDJ</v>
      </c>
      <c r="C475" t="str">
        <f t="shared" si="25"/>
        <v>13</v>
      </c>
      <c r="D475" t="str">
        <f t="shared" si="26"/>
        <v>DJ</v>
      </c>
    </row>
    <row r="476" spans="1:4" ht="13.2" x14ac:dyDescent="0.25">
      <c r="A476" s="2" t="s">
        <v>644</v>
      </c>
      <c r="B476" t="str">
        <f t="shared" si="24"/>
        <v>OEHVMG</v>
      </c>
      <c r="C476" t="str">
        <f t="shared" si="25"/>
        <v>91</v>
      </c>
      <c r="D476" t="str">
        <f t="shared" si="26"/>
        <v>MG</v>
      </c>
    </row>
    <row r="477" spans="1:4" ht="13.2" x14ac:dyDescent="0.25">
      <c r="A477" s="2" t="s">
        <v>645</v>
      </c>
      <c r="B477" t="str">
        <f t="shared" si="24"/>
        <v>KRQDSJ</v>
      </c>
      <c r="C477" t="str">
        <f t="shared" si="25"/>
        <v>35</v>
      </c>
      <c r="D477" t="str">
        <f t="shared" si="26"/>
        <v>SJ</v>
      </c>
    </row>
    <row r="478" spans="1:4" ht="13.2" x14ac:dyDescent="0.25">
      <c r="A478" s="2" t="s">
        <v>646</v>
      </c>
      <c r="B478" t="str">
        <f t="shared" si="24"/>
        <v>DEHPII</v>
      </c>
      <c r="C478" t="str">
        <f t="shared" si="25"/>
        <v>53</v>
      </c>
      <c r="D478" t="str">
        <f t="shared" si="26"/>
        <v>II</v>
      </c>
    </row>
    <row r="479" spans="1:4" ht="13.2" x14ac:dyDescent="0.25">
      <c r="A479" s="2" t="s">
        <v>647</v>
      </c>
      <c r="B479" t="str">
        <f t="shared" si="24"/>
        <v>RLZERH</v>
      </c>
      <c r="C479" t="str">
        <f t="shared" si="25"/>
        <v>47</v>
      </c>
      <c r="D479" t="str">
        <f t="shared" si="26"/>
        <v>RH</v>
      </c>
    </row>
    <row r="480" spans="1:4" ht="13.2" x14ac:dyDescent="0.25">
      <c r="A480" s="2" t="s">
        <v>648</v>
      </c>
      <c r="B480" t="str">
        <f t="shared" si="24"/>
        <v>ENYXGN</v>
      </c>
      <c r="C480" t="str">
        <f t="shared" si="25"/>
        <v>48</v>
      </c>
      <c r="D480" t="str">
        <f t="shared" si="26"/>
        <v>GN</v>
      </c>
    </row>
    <row r="481" spans="1:4" ht="13.2" x14ac:dyDescent="0.25">
      <c r="A481" s="2" t="s">
        <v>649</v>
      </c>
      <c r="B481" t="str">
        <f t="shared" si="24"/>
        <v>LUTDLX</v>
      </c>
      <c r="C481" t="str">
        <f t="shared" si="25"/>
        <v>45</v>
      </c>
      <c r="D481" t="str">
        <f t="shared" si="26"/>
        <v>LX</v>
      </c>
    </row>
    <row r="482" spans="1:4" ht="13.2" x14ac:dyDescent="0.25">
      <c r="A482" s="2" t="s">
        <v>650</v>
      </c>
      <c r="B482" t="str">
        <f t="shared" si="24"/>
        <v>OJMFFE</v>
      </c>
      <c r="C482" t="str">
        <f t="shared" si="25"/>
        <v>63</v>
      </c>
      <c r="D482" t="str">
        <f t="shared" si="26"/>
        <v>FE</v>
      </c>
    </row>
    <row r="483" spans="1:4" ht="13.2" x14ac:dyDescent="0.25">
      <c r="A483" s="2" t="s">
        <v>651</v>
      </c>
      <c r="B483" t="str">
        <f t="shared" si="24"/>
        <v>VMPTZZ</v>
      </c>
      <c r="C483" t="str">
        <f t="shared" si="25"/>
        <v>89</v>
      </c>
      <c r="D483" t="str">
        <f t="shared" si="26"/>
        <v>ZZ</v>
      </c>
    </row>
    <row r="484" spans="1:4" ht="13.2" x14ac:dyDescent="0.25">
      <c r="A484" s="2" t="s">
        <v>652</v>
      </c>
      <c r="B484" t="str">
        <f t="shared" si="24"/>
        <v>QOVLFO</v>
      </c>
      <c r="C484" t="str">
        <f t="shared" si="25"/>
        <v>44</v>
      </c>
      <c r="D484" t="str">
        <f t="shared" si="26"/>
        <v>FO</v>
      </c>
    </row>
    <row r="485" spans="1:4" ht="13.2" x14ac:dyDescent="0.25">
      <c r="A485" s="2" t="s">
        <v>653</v>
      </c>
      <c r="B485" t="str">
        <f t="shared" si="24"/>
        <v>OQBAWF</v>
      </c>
      <c r="C485" t="str">
        <f t="shared" si="25"/>
        <v>31</v>
      </c>
      <c r="D485" t="str">
        <f t="shared" si="26"/>
        <v>WF</v>
      </c>
    </row>
    <row r="486" spans="1:4" ht="13.2" x14ac:dyDescent="0.25">
      <c r="A486" s="2" t="s">
        <v>654</v>
      </c>
      <c r="B486" t="str">
        <f t="shared" si="24"/>
        <v>BIVESM</v>
      </c>
      <c r="C486" t="str">
        <f t="shared" si="25"/>
        <v>65</v>
      </c>
      <c r="D486" t="str">
        <f t="shared" si="26"/>
        <v>SM</v>
      </c>
    </row>
    <row r="487" spans="1:4" ht="13.2" x14ac:dyDescent="0.25">
      <c r="A487" s="2" t="s">
        <v>655</v>
      </c>
      <c r="B487" t="str">
        <f t="shared" si="24"/>
        <v>JJOEUO</v>
      </c>
      <c r="C487" t="str">
        <f t="shared" si="25"/>
        <v>81</v>
      </c>
      <c r="D487" t="str">
        <f t="shared" si="26"/>
        <v>UO</v>
      </c>
    </row>
    <row r="488" spans="1:4" ht="13.2" x14ac:dyDescent="0.25">
      <c r="A488" s="2" t="s">
        <v>656</v>
      </c>
      <c r="B488" t="str">
        <f t="shared" si="24"/>
        <v>GTPFTU</v>
      </c>
      <c r="C488" t="str">
        <f t="shared" si="25"/>
        <v>88</v>
      </c>
      <c r="D488" t="str">
        <f t="shared" si="26"/>
        <v>TU</v>
      </c>
    </row>
    <row r="489" spans="1:4" ht="13.2" x14ac:dyDescent="0.25">
      <c r="A489" s="2" t="s">
        <v>657</v>
      </c>
      <c r="B489" t="str">
        <f t="shared" si="24"/>
        <v>HPFFZY</v>
      </c>
      <c r="C489" t="str">
        <f t="shared" si="25"/>
        <v>59</v>
      </c>
      <c r="D489" t="str">
        <f t="shared" si="26"/>
        <v>ZY</v>
      </c>
    </row>
    <row r="490" spans="1:4" ht="13.2" x14ac:dyDescent="0.25">
      <c r="A490" s="2" t="s">
        <v>658</v>
      </c>
      <c r="B490" t="str">
        <f t="shared" si="24"/>
        <v>RUEGSF</v>
      </c>
      <c r="C490" t="str">
        <f t="shared" si="25"/>
        <v>52</v>
      </c>
      <c r="D490" t="str">
        <f t="shared" si="26"/>
        <v>SF</v>
      </c>
    </row>
    <row r="491" spans="1:4" ht="13.2" x14ac:dyDescent="0.25">
      <c r="A491" s="2" t="s">
        <v>659</v>
      </c>
      <c r="B491" t="str">
        <f t="shared" si="24"/>
        <v>QILGYW</v>
      </c>
      <c r="C491" t="str">
        <f t="shared" si="25"/>
        <v>17</v>
      </c>
      <c r="D491" t="str">
        <f t="shared" si="26"/>
        <v>YW</v>
      </c>
    </row>
    <row r="492" spans="1:4" ht="13.2" x14ac:dyDescent="0.25">
      <c r="A492" s="2" t="s">
        <v>660</v>
      </c>
      <c r="B492" t="str">
        <f t="shared" si="24"/>
        <v>XEXZDD</v>
      </c>
      <c r="C492" t="str">
        <f t="shared" si="25"/>
        <v>27</v>
      </c>
      <c r="D492" t="str">
        <f t="shared" si="26"/>
        <v>DD</v>
      </c>
    </row>
    <row r="493" spans="1:4" ht="13.2" x14ac:dyDescent="0.25">
      <c r="A493" s="2" t="s">
        <v>661</v>
      </c>
      <c r="B493" t="str">
        <f t="shared" si="24"/>
        <v>ZLLVAM</v>
      </c>
      <c r="C493" t="str">
        <f t="shared" si="25"/>
        <v>73</v>
      </c>
      <c r="D493" t="str">
        <f t="shared" si="26"/>
        <v>AM</v>
      </c>
    </row>
    <row r="494" spans="1:4" ht="13.2" x14ac:dyDescent="0.25">
      <c r="A494" s="2" t="s">
        <v>662</v>
      </c>
      <c r="B494" t="str">
        <f t="shared" si="24"/>
        <v>ZNLGCV</v>
      </c>
      <c r="C494" t="str">
        <f t="shared" si="25"/>
        <v>75</v>
      </c>
      <c r="D494" t="str">
        <f t="shared" si="26"/>
        <v>CV</v>
      </c>
    </row>
    <row r="495" spans="1:4" ht="13.2" x14ac:dyDescent="0.25">
      <c r="A495" s="2" t="s">
        <v>663</v>
      </c>
      <c r="B495" t="str">
        <f t="shared" si="24"/>
        <v>JBDBYD</v>
      </c>
      <c r="C495" t="str">
        <f t="shared" si="25"/>
        <v>83</v>
      </c>
      <c r="D495" t="str">
        <f t="shared" si="26"/>
        <v>YD</v>
      </c>
    </row>
    <row r="496" spans="1:4" ht="13.2" x14ac:dyDescent="0.25">
      <c r="A496" s="2" t="s">
        <v>664</v>
      </c>
      <c r="B496" t="str">
        <f t="shared" si="24"/>
        <v>RGROBW</v>
      </c>
      <c r="C496" t="str">
        <f t="shared" si="25"/>
        <v>98</v>
      </c>
      <c r="D496" t="str">
        <f t="shared" si="26"/>
        <v>BW</v>
      </c>
    </row>
    <row r="497" spans="1:4" ht="13.2" x14ac:dyDescent="0.25">
      <c r="A497" s="2" t="s">
        <v>665</v>
      </c>
      <c r="B497" t="str">
        <f t="shared" si="24"/>
        <v>CGKEOL</v>
      </c>
      <c r="C497" t="str">
        <f t="shared" si="25"/>
        <v>96</v>
      </c>
      <c r="D497" t="str">
        <f t="shared" si="26"/>
        <v>OL</v>
      </c>
    </row>
    <row r="498" spans="1:4" ht="13.2" x14ac:dyDescent="0.25">
      <c r="A498" s="2" t="s">
        <v>666</v>
      </c>
      <c r="B498" t="str">
        <f t="shared" si="24"/>
        <v>IKUGSX</v>
      </c>
      <c r="C498" t="str">
        <f t="shared" si="25"/>
        <v>99</v>
      </c>
      <c r="D498" t="str">
        <f t="shared" si="26"/>
        <v>SX</v>
      </c>
    </row>
    <row r="499" spans="1:4" ht="13.2" x14ac:dyDescent="0.25">
      <c r="A499" s="2" t="s">
        <v>667</v>
      </c>
      <c r="B499" t="str">
        <f t="shared" si="24"/>
        <v>SOPQHZ</v>
      </c>
      <c r="C499" t="str">
        <f t="shared" si="25"/>
        <v>75</v>
      </c>
      <c r="D499" t="str">
        <f t="shared" si="26"/>
        <v>HZ</v>
      </c>
    </row>
    <row r="500" spans="1:4" ht="13.2" x14ac:dyDescent="0.25">
      <c r="A500" s="2" t="s">
        <v>668</v>
      </c>
      <c r="B500" t="str">
        <f t="shared" si="24"/>
        <v>QEJSIF</v>
      </c>
      <c r="C500" t="str">
        <f t="shared" si="25"/>
        <v>99</v>
      </c>
      <c r="D500" t="str">
        <f t="shared" si="26"/>
        <v>IF</v>
      </c>
    </row>
    <row r="501" spans="1:4" ht="13.2" x14ac:dyDescent="0.25">
      <c r="A501" s="2" t="s">
        <v>669</v>
      </c>
      <c r="B501" t="str">
        <f t="shared" si="24"/>
        <v>XLXGQG</v>
      </c>
      <c r="C501" t="str">
        <f t="shared" si="25"/>
        <v>84</v>
      </c>
      <c r="D501" t="str">
        <f t="shared" si="26"/>
        <v>QG</v>
      </c>
    </row>
    <row r="502" spans="1:4" ht="13.2" x14ac:dyDescent="0.25">
      <c r="A502" s="2" t="s">
        <v>670</v>
      </c>
      <c r="B502" t="str">
        <f t="shared" si="24"/>
        <v>FEPLUI</v>
      </c>
      <c r="C502" t="str">
        <f t="shared" si="25"/>
        <v>39</v>
      </c>
      <c r="D502" t="str">
        <f t="shared" si="26"/>
        <v>UI</v>
      </c>
    </row>
    <row r="503" spans="1:4" ht="13.2" x14ac:dyDescent="0.25">
      <c r="A503" s="2" t="s">
        <v>671</v>
      </c>
      <c r="B503" t="str">
        <f t="shared" si="24"/>
        <v>UASHWZ</v>
      </c>
      <c r="C503" t="str">
        <f t="shared" si="25"/>
        <v>19</v>
      </c>
      <c r="D503" t="str">
        <f t="shared" si="26"/>
        <v>WZ</v>
      </c>
    </row>
    <row r="504" spans="1:4" ht="13.2" x14ac:dyDescent="0.25">
      <c r="A504" s="2" t="s">
        <v>672</v>
      </c>
      <c r="B504" t="str">
        <f t="shared" si="24"/>
        <v>MBWZUI</v>
      </c>
      <c r="C504" t="str">
        <f t="shared" si="25"/>
        <v>46</v>
      </c>
      <c r="D504" t="str">
        <f t="shared" si="26"/>
        <v>UI</v>
      </c>
    </row>
    <row r="505" spans="1:4" ht="13.2" x14ac:dyDescent="0.25">
      <c r="A505" s="2" t="s">
        <v>673</v>
      </c>
      <c r="B505" t="str">
        <f t="shared" si="24"/>
        <v>AOHUUX</v>
      </c>
      <c r="C505" t="str">
        <f t="shared" si="25"/>
        <v>41</v>
      </c>
      <c r="D505" t="str">
        <f t="shared" si="26"/>
        <v>UX</v>
      </c>
    </row>
    <row r="506" spans="1:4" ht="13.2" x14ac:dyDescent="0.25">
      <c r="A506" s="2" t="s">
        <v>674</v>
      </c>
      <c r="B506" t="str">
        <f t="shared" si="24"/>
        <v>VZRQAZ</v>
      </c>
      <c r="C506" t="str">
        <f t="shared" si="25"/>
        <v>27</v>
      </c>
      <c r="D506" t="str">
        <f t="shared" si="26"/>
        <v>AZ</v>
      </c>
    </row>
    <row r="507" spans="1:4" ht="13.2" x14ac:dyDescent="0.25">
      <c r="A507" s="2" t="s">
        <v>675</v>
      </c>
      <c r="B507" t="str">
        <f t="shared" si="24"/>
        <v>JEPODU</v>
      </c>
      <c r="C507" t="str">
        <f t="shared" si="25"/>
        <v>42</v>
      </c>
      <c r="D507" t="str">
        <f t="shared" si="26"/>
        <v>DU</v>
      </c>
    </row>
    <row r="508" spans="1:4" ht="13.2" x14ac:dyDescent="0.25">
      <c r="A508" s="2" t="s">
        <v>676</v>
      </c>
      <c r="B508" t="str">
        <f t="shared" si="24"/>
        <v>DQNAIC</v>
      </c>
      <c r="C508" t="str">
        <f t="shared" si="25"/>
        <v>92</v>
      </c>
      <c r="D508" t="str">
        <f t="shared" si="26"/>
        <v>IC</v>
      </c>
    </row>
    <row r="509" spans="1:4" ht="13.2" x14ac:dyDescent="0.25">
      <c r="A509" s="2" t="s">
        <v>677</v>
      </c>
      <c r="B509" t="str">
        <f t="shared" si="24"/>
        <v>CWRQIT</v>
      </c>
      <c r="C509" t="str">
        <f t="shared" si="25"/>
        <v>91</v>
      </c>
      <c r="D509" t="str">
        <f t="shared" si="26"/>
        <v>IT</v>
      </c>
    </row>
    <row r="510" spans="1:4" ht="13.2" x14ac:dyDescent="0.25">
      <c r="A510" s="2" t="s">
        <v>678</v>
      </c>
      <c r="B510" t="str">
        <f t="shared" si="24"/>
        <v>DDFBHC</v>
      </c>
      <c r="C510" t="str">
        <f t="shared" si="25"/>
        <v>25</v>
      </c>
      <c r="D510" t="str">
        <f t="shared" si="26"/>
        <v>HC</v>
      </c>
    </row>
    <row r="511" spans="1:4" ht="13.2" x14ac:dyDescent="0.25">
      <c r="A511" s="2" t="s">
        <v>679</v>
      </c>
      <c r="B511" t="str">
        <f t="shared" si="24"/>
        <v>BNPOZG</v>
      </c>
      <c r="C511" t="str">
        <f t="shared" si="25"/>
        <v>83</v>
      </c>
      <c r="D511" t="str">
        <f t="shared" si="26"/>
        <v>ZG</v>
      </c>
    </row>
    <row r="512" spans="1:4" ht="13.2" x14ac:dyDescent="0.25">
      <c r="A512" s="2" t="s">
        <v>680</v>
      </c>
      <c r="B512" t="str">
        <f t="shared" si="24"/>
        <v>SBZEUZ</v>
      </c>
      <c r="C512" t="str">
        <f t="shared" si="25"/>
        <v>41</v>
      </c>
      <c r="D512" t="str">
        <f t="shared" si="26"/>
        <v>UZ</v>
      </c>
    </row>
    <row r="513" spans="1:4" ht="13.2" x14ac:dyDescent="0.25">
      <c r="A513" s="2" t="s">
        <v>681</v>
      </c>
      <c r="B513" t="str">
        <f t="shared" si="24"/>
        <v>RKGWOR</v>
      </c>
      <c r="C513" t="str">
        <f t="shared" si="25"/>
        <v>53</v>
      </c>
      <c r="D513" t="str">
        <f t="shared" si="26"/>
        <v>OR</v>
      </c>
    </row>
    <row r="514" spans="1:4" ht="13.2" x14ac:dyDescent="0.25">
      <c r="A514" s="2" t="s">
        <v>682</v>
      </c>
      <c r="B514" t="str">
        <f t="shared" si="24"/>
        <v>DZAAUY</v>
      </c>
      <c r="C514" t="str">
        <f t="shared" si="25"/>
        <v>87</v>
      </c>
      <c r="D514" t="str">
        <f t="shared" si="26"/>
        <v>UY</v>
      </c>
    </row>
    <row r="515" spans="1:4" ht="13.2" x14ac:dyDescent="0.25">
      <c r="A515" s="2" t="s">
        <v>683</v>
      </c>
      <c r="B515" t="str">
        <f t="shared" si="24"/>
        <v>SDRBIL</v>
      </c>
      <c r="C515" t="str">
        <f t="shared" si="25"/>
        <v>73</v>
      </c>
      <c r="D515" t="str">
        <f t="shared" si="26"/>
        <v>IL</v>
      </c>
    </row>
    <row r="516" spans="1:4" ht="13.2" x14ac:dyDescent="0.25">
      <c r="A516" s="2" t="s">
        <v>684</v>
      </c>
      <c r="B516" t="str">
        <f t="shared" si="24"/>
        <v>VXPYFL</v>
      </c>
      <c r="C516" t="str">
        <f t="shared" si="25"/>
        <v>97</v>
      </c>
      <c r="D516" t="str">
        <f t="shared" si="26"/>
        <v>FL</v>
      </c>
    </row>
    <row r="517" spans="1:4" ht="13.2" x14ac:dyDescent="0.25">
      <c r="A517" s="2" t="s">
        <v>685</v>
      </c>
      <c r="B517" t="str">
        <f t="shared" si="24"/>
        <v>HTYPWG</v>
      </c>
      <c r="C517" t="str">
        <f t="shared" si="25"/>
        <v>63</v>
      </c>
      <c r="D517" t="str">
        <f t="shared" si="26"/>
        <v>WG</v>
      </c>
    </row>
    <row r="518" spans="1:4" ht="13.2" x14ac:dyDescent="0.25">
      <c r="A518" s="2" t="s">
        <v>686</v>
      </c>
      <c r="B518" t="str">
        <f t="shared" ref="B518:B581" si="27">LEFT(A518,6)</f>
        <v>LZNUFK</v>
      </c>
      <c r="C518" t="str">
        <f t="shared" ref="C518:C581" si="28">RIGHT(A518,2)</f>
        <v>18</v>
      </c>
      <c r="D518" t="str">
        <f t="shared" ref="D518:D581" si="29">MID(A518,5,2)</f>
        <v>FK</v>
      </c>
    </row>
    <row r="519" spans="1:4" ht="13.2" x14ac:dyDescent="0.25">
      <c r="A519" s="2" t="s">
        <v>687</v>
      </c>
      <c r="B519" t="str">
        <f t="shared" si="27"/>
        <v>ZRQAOX</v>
      </c>
      <c r="C519" t="str">
        <f t="shared" si="28"/>
        <v>87</v>
      </c>
      <c r="D519" t="str">
        <f t="shared" si="29"/>
        <v>OX</v>
      </c>
    </row>
    <row r="520" spans="1:4" ht="13.2" x14ac:dyDescent="0.25">
      <c r="A520" s="2" t="s">
        <v>688</v>
      </c>
      <c r="B520" t="str">
        <f t="shared" si="27"/>
        <v>IPOLLT</v>
      </c>
      <c r="C520" t="str">
        <f t="shared" si="28"/>
        <v>88</v>
      </c>
      <c r="D520" t="str">
        <f t="shared" si="29"/>
        <v>LT</v>
      </c>
    </row>
    <row r="521" spans="1:4" ht="13.2" x14ac:dyDescent="0.25">
      <c r="A521" s="2" t="s">
        <v>689</v>
      </c>
      <c r="B521" t="str">
        <f t="shared" si="27"/>
        <v>SHPXXL</v>
      </c>
      <c r="C521" t="str">
        <f t="shared" si="28"/>
        <v>89</v>
      </c>
      <c r="D521" t="str">
        <f t="shared" si="29"/>
        <v>XL</v>
      </c>
    </row>
    <row r="522" spans="1:4" ht="13.2" x14ac:dyDescent="0.25">
      <c r="A522" s="2" t="s">
        <v>690</v>
      </c>
      <c r="B522" t="str">
        <f t="shared" si="27"/>
        <v>EXBKUB</v>
      </c>
      <c r="C522" t="str">
        <f t="shared" si="28"/>
        <v>58</v>
      </c>
      <c r="D522" t="str">
        <f t="shared" si="29"/>
        <v>UB</v>
      </c>
    </row>
    <row r="523" spans="1:4" ht="13.2" x14ac:dyDescent="0.25">
      <c r="A523" s="2" t="s">
        <v>691</v>
      </c>
      <c r="B523" t="str">
        <f t="shared" si="27"/>
        <v>RPHIKD</v>
      </c>
      <c r="C523" t="str">
        <f t="shared" si="28"/>
        <v>32</v>
      </c>
      <c r="D523" t="str">
        <f t="shared" si="29"/>
        <v>KD</v>
      </c>
    </row>
    <row r="524" spans="1:4" ht="13.2" x14ac:dyDescent="0.25">
      <c r="A524" s="2" t="s">
        <v>692</v>
      </c>
      <c r="B524" t="str">
        <f t="shared" si="27"/>
        <v>YULRBI</v>
      </c>
      <c r="C524" t="str">
        <f t="shared" si="28"/>
        <v>36</v>
      </c>
      <c r="D524" t="str">
        <f t="shared" si="29"/>
        <v>BI</v>
      </c>
    </row>
    <row r="525" spans="1:4" ht="13.2" x14ac:dyDescent="0.25">
      <c r="A525" s="2" t="s">
        <v>693</v>
      </c>
      <c r="B525" t="str">
        <f t="shared" si="27"/>
        <v>MCQKBT</v>
      </c>
      <c r="C525" t="str">
        <f t="shared" si="28"/>
        <v>76</v>
      </c>
      <c r="D525" t="str">
        <f t="shared" si="29"/>
        <v>BT</v>
      </c>
    </row>
    <row r="526" spans="1:4" ht="13.2" x14ac:dyDescent="0.25">
      <c r="A526" s="2" t="s">
        <v>694</v>
      </c>
      <c r="B526" t="str">
        <f t="shared" si="27"/>
        <v>BLLSAG</v>
      </c>
      <c r="C526" t="str">
        <f t="shared" si="28"/>
        <v>16</v>
      </c>
      <c r="D526" t="str">
        <f t="shared" si="29"/>
        <v>AG</v>
      </c>
    </row>
    <row r="527" spans="1:4" ht="13.2" x14ac:dyDescent="0.25">
      <c r="A527" s="2" t="s">
        <v>695</v>
      </c>
      <c r="B527" t="str">
        <f t="shared" si="27"/>
        <v>DSAMEJ</v>
      </c>
      <c r="C527" t="str">
        <f t="shared" si="28"/>
        <v>97</v>
      </c>
      <c r="D527" t="str">
        <f t="shared" si="29"/>
        <v>EJ</v>
      </c>
    </row>
    <row r="528" spans="1:4" ht="13.2" x14ac:dyDescent="0.25">
      <c r="A528" s="2" t="s">
        <v>696</v>
      </c>
      <c r="B528" t="str">
        <f t="shared" si="27"/>
        <v>UVXARL</v>
      </c>
      <c r="C528" t="str">
        <f t="shared" si="28"/>
        <v>12</v>
      </c>
      <c r="D528" t="str">
        <f t="shared" si="29"/>
        <v>RL</v>
      </c>
    </row>
    <row r="529" spans="1:4" ht="13.2" x14ac:dyDescent="0.25">
      <c r="A529" s="2" t="s">
        <v>697</v>
      </c>
      <c r="B529" t="str">
        <f t="shared" si="27"/>
        <v>HKUSSV</v>
      </c>
      <c r="C529" t="str">
        <f t="shared" si="28"/>
        <v>96</v>
      </c>
      <c r="D529" t="str">
        <f t="shared" si="29"/>
        <v>SV</v>
      </c>
    </row>
    <row r="530" spans="1:4" ht="13.2" x14ac:dyDescent="0.25">
      <c r="A530" s="2" t="s">
        <v>698</v>
      </c>
      <c r="B530" t="str">
        <f t="shared" si="27"/>
        <v>PLYGDA</v>
      </c>
      <c r="C530" t="str">
        <f t="shared" si="28"/>
        <v>31</v>
      </c>
      <c r="D530" t="str">
        <f t="shared" si="29"/>
        <v>DA</v>
      </c>
    </row>
    <row r="531" spans="1:4" ht="13.2" x14ac:dyDescent="0.25">
      <c r="A531" s="2" t="s">
        <v>699</v>
      </c>
      <c r="B531" t="str">
        <f t="shared" si="27"/>
        <v>RUGGAA</v>
      </c>
      <c r="C531" t="str">
        <f t="shared" si="28"/>
        <v>59</v>
      </c>
      <c r="D531" t="str">
        <f t="shared" si="29"/>
        <v>AA</v>
      </c>
    </row>
    <row r="532" spans="1:4" ht="13.2" x14ac:dyDescent="0.25">
      <c r="A532" s="2" t="s">
        <v>700</v>
      </c>
      <c r="B532" t="str">
        <f t="shared" si="27"/>
        <v>KZUVFT</v>
      </c>
      <c r="C532" t="str">
        <f t="shared" si="28"/>
        <v>36</v>
      </c>
      <c r="D532" t="str">
        <f t="shared" si="29"/>
        <v>FT</v>
      </c>
    </row>
    <row r="533" spans="1:4" ht="13.2" x14ac:dyDescent="0.25">
      <c r="A533" s="2" t="s">
        <v>701</v>
      </c>
      <c r="B533" t="str">
        <f t="shared" si="27"/>
        <v>PFNAQY</v>
      </c>
      <c r="C533" t="str">
        <f t="shared" si="28"/>
        <v>98</v>
      </c>
      <c r="D533" t="str">
        <f t="shared" si="29"/>
        <v>QY</v>
      </c>
    </row>
    <row r="534" spans="1:4" ht="13.2" x14ac:dyDescent="0.25">
      <c r="A534" s="2" t="s">
        <v>702</v>
      </c>
      <c r="B534" t="str">
        <f t="shared" si="27"/>
        <v>NXIQRY</v>
      </c>
      <c r="C534" t="str">
        <f t="shared" si="28"/>
        <v>39</v>
      </c>
      <c r="D534" t="str">
        <f t="shared" si="29"/>
        <v>RY</v>
      </c>
    </row>
    <row r="535" spans="1:4" ht="13.2" x14ac:dyDescent="0.25">
      <c r="A535" s="2" t="s">
        <v>703</v>
      </c>
      <c r="B535" t="str">
        <f t="shared" si="27"/>
        <v>EHIIPI</v>
      </c>
      <c r="C535" t="str">
        <f t="shared" si="28"/>
        <v>42</v>
      </c>
      <c r="D535" t="str">
        <f t="shared" si="29"/>
        <v>PI</v>
      </c>
    </row>
    <row r="536" spans="1:4" ht="13.2" x14ac:dyDescent="0.25">
      <c r="A536" s="2" t="s">
        <v>704</v>
      </c>
      <c r="B536" t="str">
        <f t="shared" si="27"/>
        <v>EDLLWW</v>
      </c>
      <c r="C536" t="str">
        <f t="shared" si="28"/>
        <v>93</v>
      </c>
      <c r="D536" t="str">
        <f t="shared" si="29"/>
        <v>WW</v>
      </c>
    </row>
    <row r="537" spans="1:4" ht="13.2" x14ac:dyDescent="0.25">
      <c r="A537" s="2" t="s">
        <v>705</v>
      </c>
      <c r="B537" t="str">
        <f t="shared" si="27"/>
        <v>NBIBYI</v>
      </c>
      <c r="C537" t="str">
        <f t="shared" si="28"/>
        <v>95</v>
      </c>
      <c r="D537" t="str">
        <f t="shared" si="29"/>
        <v>YI</v>
      </c>
    </row>
    <row r="538" spans="1:4" ht="13.2" x14ac:dyDescent="0.25">
      <c r="A538" s="2" t="s">
        <v>706</v>
      </c>
      <c r="B538" t="str">
        <f t="shared" si="27"/>
        <v>HVWGXU</v>
      </c>
      <c r="C538" t="str">
        <f t="shared" si="28"/>
        <v>83</v>
      </c>
      <c r="D538" t="str">
        <f t="shared" si="29"/>
        <v>XU</v>
      </c>
    </row>
    <row r="539" spans="1:4" ht="13.2" x14ac:dyDescent="0.25">
      <c r="A539" s="2" t="s">
        <v>707</v>
      </c>
      <c r="B539" t="str">
        <f t="shared" si="27"/>
        <v>RLTOQI</v>
      </c>
      <c r="C539" t="str">
        <f t="shared" si="28"/>
        <v>14</v>
      </c>
      <c r="D539" t="str">
        <f t="shared" si="29"/>
        <v>QI</v>
      </c>
    </row>
    <row r="540" spans="1:4" ht="13.2" x14ac:dyDescent="0.25">
      <c r="A540" s="2" t="s">
        <v>708</v>
      </c>
      <c r="B540" t="str">
        <f t="shared" si="27"/>
        <v>EOQJED</v>
      </c>
      <c r="C540" t="str">
        <f t="shared" si="28"/>
        <v>22</v>
      </c>
      <c r="D540" t="str">
        <f t="shared" si="29"/>
        <v>ED</v>
      </c>
    </row>
    <row r="541" spans="1:4" ht="13.2" x14ac:dyDescent="0.25">
      <c r="A541" s="2" t="s">
        <v>709</v>
      </c>
      <c r="B541" t="str">
        <f t="shared" si="27"/>
        <v>WHBQPX</v>
      </c>
      <c r="C541" t="str">
        <f t="shared" si="28"/>
        <v>11</v>
      </c>
      <c r="D541" t="str">
        <f t="shared" si="29"/>
        <v>PX</v>
      </c>
    </row>
    <row r="542" spans="1:4" ht="13.2" x14ac:dyDescent="0.25">
      <c r="A542" s="2" t="s">
        <v>710</v>
      </c>
      <c r="B542" t="str">
        <f t="shared" si="27"/>
        <v>KUCDBJ</v>
      </c>
      <c r="C542" t="str">
        <f t="shared" si="28"/>
        <v>47</v>
      </c>
      <c r="D542" t="str">
        <f t="shared" si="29"/>
        <v>BJ</v>
      </c>
    </row>
    <row r="543" spans="1:4" ht="13.2" x14ac:dyDescent="0.25">
      <c r="A543" s="2" t="s">
        <v>711</v>
      </c>
      <c r="B543" t="str">
        <f t="shared" si="27"/>
        <v>UWRKWX</v>
      </c>
      <c r="C543" t="str">
        <f t="shared" si="28"/>
        <v>58</v>
      </c>
      <c r="D543" t="str">
        <f t="shared" si="29"/>
        <v>WX</v>
      </c>
    </row>
    <row r="544" spans="1:4" ht="13.2" x14ac:dyDescent="0.25">
      <c r="A544" s="2" t="s">
        <v>712</v>
      </c>
      <c r="B544" t="str">
        <f t="shared" si="27"/>
        <v>NWEFRD</v>
      </c>
      <c r="C544" t="str">
        <f t="shared" si="28"/>
        <v>59</v>
      </c>
      <c r="D544" t="str">
        <f t="shared" si="29"/>
        <v>RD</v>
      </c>
    </row>
    <row r="545" spans="1:4" ht="13.2" x14ac:dyDescent="0.25">
      <c r="A545" s="2" t="s">
        <v>713</v>
      </c>
      <c r="B545" t="str">
        <f t="shared" si="27"/>
        <v>STZWJS</v>
      </c>
      <c r="C545" t="str">
        <f t="shared" si="28"/>
        <v>37</v>
      </c>
      <c r="D545" t="str">
        <f t="shared" si="29"/>
        <v>JS</v>
      </c>
    </row>
    <row r="546" spans="1:4" ht="13.2" x14ac:dyDescent="0.25">
      <c r="A546" s="2" t="s">
        <v>714</v>
      </c>
      <c r="B546" t="str">
        <f t="shared" si="27"/>
        <v>ZSDQBG</v>
      </c>
      <c r="C546" t="str">
        <f t="shared" si="28"/>
        <v>74</v>
      </c>
      <c r="D546" t="str">
        <f t="shared" si="29"/>
        <v>BG</v>
      </c>
    </row>
    <row r="547" spans="1:4" ht="13.2" x14ac:dyDescent="0.25">
      <c r="A547" s="2" t="s">
        <v>715</v>
      </c>
      <c r="B547" t="str">
        <f t="shared" si="27"/>
        <v>WKQLTL</v>
      </c>
      <c r="C547" t="str">
        <f t="shared" si="28"/>
        <v>48</v>
      </c>
      <c r="D547" t="str">
        <f t="shared" si="29"/>
        <v>TL</v>
      </c>
    </row>
    <row r="548" spans="1:4" ht="13.2" x14ac:dyDescent="0.25">
      <c r="A548" s="2" t="s">
        <v>716</v>
      </c>
      <c r="B548" t="str">
        <f t="shared" si="27"/>
        <v>QGEPTU</v>
      </c>
      <c r="C548" t="str">
        <f t="shared" si="28"/>
        <v>53</v>
      </c>
      <c r="D548" t="str">
        <f t="shared" si="29"/>
        <v>TU</v>
      </c>
    </row>
    <row r="549" spans="1:4" ht="13.2" x14ac:dyDescent="0.25">
      <c r="A549" s="2" t="s">
        <v>717</v>
      </c>
      <c r="B549" t="str">
        <f t="shared" si="27"/>
        <v>DODIWV</v>
      </c>
      <c r="C549" t="str">
        <f t="shared" si="28"/>
        <v>72</v>
      </c>
      <c r="D549" t="str">
        <f t="shared" si="29"/>
        <v>WV</v>
      </c>
    </row>
    <row r="550" spans="1:4" ht="13.2" x14ac:dyDescent="0.25">
      <c r="A550" s="2" t="s">
        <v>718</v>
      </c>
      <c r="B550" t="str">
        <f t="shared" si="27"/>
        <v>HOOYRE</v>
      </c>
      <c r="C550" t="str">
        <f t="shared" si="28"/>
        <v>56</v>
      </c>
      <c r="D550" t="str">
        <f t="shared" si="29"/>
        <v>RE</v>
      </c>
    </row>
    <row r="551" spans="1:4" ht="13.2" x14ac:dyDescent="0.25">
      <c r="A551" s="2" t="s">
        <v>719</v>
      </c>
      <c r="B551" t="str">
        <f t="shared" si="27"/>
        <v>ZFUWLB</v>
      </c>
      <c r="C551" t="str">
        <f t="shared" si="28"/>
        <v>53</v>
      </c>
      <c r="D551" t="str">
        <f t="shared" si="29"/>
        <v>LB</v>
      </c>
    </row>
    <row r="552" spans="1:4" ht="13.2" x14ac:dyDescent="0.25">
      <c r="A552" s="2" t="s">
        <v>720</v>
      </c>
      <c r="B552" t="str">
        <f t="shared" si="27"/>
        <v>ZGBYRS</v>
      </c>
      <c r="C552" t="str">
        <f t="shared" si="28"/>
        <v>69</v>
      </c>
      <c r="D552" t="str">
        <f t="shared" si="29"/>
        <v>RS</v>
      </c>
    </row>
    <row r="553" spans="1:4" ht="13.2" x14ac:dyDescent="0.25">
      <c r="A553" s="2" t="s">
        <v>721</v>
      </c>
      <c r="B553" t="str">
        <f t="shared" si="27"/>
        <v>NIPNKN</v>
      </c>
      <c r="C553" t="str">
        <f t="shared" si="28"/>
        <v>33</v>
      </c>
      <c r="D553" t="str">
        <f t="shared" si="29"/>
        <v>KN</v>
      </c>
    </row>
    <row r="554" spans="1:4" ht="13.2" x14ac:dyDescent="0.25">
      <c r="A554" s="2" t="s">
        <v>722</v>
      </c>
      <c r="B554" t="str">
        <f t="shared" si="27"/>
        <v>SVJRAA</v>
      </c>
      <c r="C554" t="str">
        <f t="shared" si="28"/>
        <v>14</v>
      </c>
      <c r="D554" t="str">
        <f t="shared" si="29"/>
        <v>AA</v>
      </c>
    </row>
    <row r="555" spans="1:4" ht="13.2" x14ac:dyDescent="0.25">
      <c r="A555" s="2" t="s">
        <v>723</v>
      </c>
      <c r="B555" t="str">
        <f t="shared" si="27"/>
        <v>HWCXHX</v>
      </c>
      <c r="C555" t="str">
        <f t="shared" si="28"/>
        <v>94</v>
      </c>
      <c r="D555" t="str">
        <f t="shared" si="29"/>
        <v>HX</v>
      </c>
    </row>
    <row r="556" spans="1:4" ht="13.2" x14ac:dyDescent="0.25">
      <c r="A556" s="2" t="s">
        <v>724</v>
      </c>
      <c r="B556" t="str">
        <f t="shared" si="27"/>
        <v>XOYWKS</v>
      </c>
      <c r="C556" t="str">
        <f t="shared" si="28"/>
        <v>26</v>
      </c>
      <c r="D556" t="str">
        <f t="shared" si="29"/>
        <v>KS</v>
      </c>
    </row>
    <row r="557" spans="1:4" ht="13.2" x14ac:dyDescent="0.25">
      <c r="A557" s="2" t="s">
        <v>725</v>
      </c>
      <c r="B557" t="str">
        <f t="shared" si="27"/>
        <v>YITJQA</v>
      </c>
      <c r="C557" t="str">
        <f t="shared" si="28"/>
        <v>27</v>
      </c>
      <c r="D557" t="str">
        <f t="shared" si="29"/>
        <v>QA</v>
      </c>
    </row>
    <row r="558" spans="1:4" ht="13.2" x14ac:dyDescent="0.25">
      <c r="A558" s="2" t="s">
        <v>726</v>
      </c>
      <c r="B558" t="str">
        <f t="shared" si="27"/>
        <v>HJTESX</v>
      </c>
      <c r="C558" t="str">
        <f t="shared" si="28"/>
        <v>27</v>
      </c>
      <c r="D558" t="str">
        <f t="shared" si="29"/>
        <v>SX</v>
      </c>
    </row>
    <row r="559" spans="1:4" ht="13.2" x14ac:dyDescent="0.25">
      <c r="A559" s="2" t="s">
        <v>727</v>
      </c>
      <c r="B559" t="str">
        <f t="shared" si="27"/>
        <v>CTDYRA</v>
      </c>
      <c r="C559" t="str">
        <f t="shared" si="28"/>
        <v>17</v>
      </c>
      <c r="D559" t="str">
        <f t="shared" si="29"/>
        <v>RA</v>
      </c>
    </row>
    <row r="560" spans="1:4" ht="13.2" x14ac:dyDescent="0.25">
      <c r="A560" s="2" t="s">
        <v>728</v>
      </c>
      <c r="B560" t="str">
        <f t="shared" si="27"/>
        <v>GMWCGJ</v>
      </c>
      <c r="C560" t="str">
        <f t="shared" si="28"/>
        <v>12</v>
      </c>
      <c r="D560" t="str">
        <f t="shared" si="29"/>
        <v>GJ</v>
      </c>
    </row>
    <row r="561" spans="1:4" ht="13.2" x14ac:dyDescent="0.25">
      <c r="A561" s="2" t="s">
        <v>729</v>
      </c>
      <c r="B561" t="str">
        <f t="shared" si="27"/>
        <v>HQMGZG</v>
      </c>
      <c r="C561" t="str">
        <f t="shared" si="28"/>
        <v>61</v>
      </c>
      <c r="D561" t="str">
        <f t="shared" si="29"/>
        <v>ZG</v>
      </c>
    </row>
    <row r="562" spans="1:4" ht="13.2" x14ac:dyDescent="0.25">
      <c r="A562" s="2" t="s">
        <v>730</v>
      </c>
      <c r="B562" t="str">
        <f t="shared" si="27"/>
        <v>EVUMRF</v>
      </c>
      <c r="C562" t="str">
        <f t="shared" si="28"/>
        <v>61</v>
      </c>
      <c r="D562" t="str">
        <f t="shared" si="29"/>
        <v>RF</v>
      </c>
    </row>
    <row r="563" spans="1:4" ht="13.2" x14ac:dyDescent="0.25">
      <c r="A563" s="2" t="s">
        <v>731</v>
      </c>
      <c r="B563" t="str">
        <f t="shared" si="27"/>
        <v>IUJCXZ</v>
      </c>
      <c r="C563" t="str">
        <f t="shared" si="28"/>
        <v>64</v>
      </c>
      <c r="D563" t="str">
        <f t="shared" si="29"/>
        <v>XZ</v>
      </c>
    </row>
    <row r="564" spans="1:4" ht="13.2" x14ac:dyDescent="0.25">
      <c r="A564" s="2" t="s">
        <v>732</v>
      </c>
      <c r="B564" t="str">
        <f t="shared" si="27"/>
        <v>ZKTSHZ</v>
      </c>
      <c r="C564" t="str">
        <f t="shared" si="28"/>
        <v>42</v>
      </c>
      <c r="D564" t="str">
        <f t="shared" si="29"/>
        <v>HZ</v>
      </c>
    </row>
    <row r="565" spans="1:4" ht="13.2" x14ac:dyDescent="0.25">
      <c r="A565" s="2" t="s">
        <v>733</v>
      </c>
      <c r="B565" t="str">
        <f t="shared" si="27"/>
        <v>WPUZFL</v>
      </c>
      <c r="C565" t="str">
        <f t="shared" si="28"/>
        <v>36</v>
      </c>
      <c r="D565" t="str">
        <f t="shared" si="29"/>
        <v>FL</v>
      </c>
    </row>
    <row r="566" spans="1:4" ht="13.2" x14ac:dyDescent="0.25">
      <c r="A566" s="2" t="s">
        <v>734</v>
      </c>
      <c r="B566" t="str">
        <f t="shared" si="27"/>
        <v>HWAUOS</v>
      </c>
      <c r="C566" t="str">
        <f t="shared" si="28"/>
        <v>57</v>
      </c>
      <c r="D566" t="str">
        <f t="shared" si="29"/>
        <v>OS</v>
      </c>
    </row>
    <row r="567" spans="1:4" ht="13.2" x14ac:dyDescent="0.25">
      <c r="A567" s="2" t="s">
        <v>735</v>
      </c>
      <c r="B567" t="str">
        <f t="shared" si="27"/>
        <v>AYFCUE</v>
      </c>
      <c r="C567" t="str">
        <f t="shared" si="28"/>
        <v>82</v>
      </c>
      <c r="D567" t="str">
        <f t="shared" si="29"/>
        <v>UE</v>
      </c>
    </row>
    <row r="568" spans="1:4" ht="13.2" x14ac:dyDescent="0.25">
      <c r="A568" s="2" t="s">
        <v>736</v>
      </c>
      <c r="B568" t="str">
        <f t="shared" si="27"/>
        <v>EBXBWX</v>
      </c>
      <c r="C568" t="str">
        <f t="shared" si="28"/>
        <v>95</v>
      </c>
      <c r="D568" t="str">
        <f t="shared" si="29"/>
        <v>WX</v>
      </c>
    </row>
    <row r="569" spans="1:4" ht="13.2" x14ac:dyDescent="0.25">
      <c r="A569" s="2" t="s">
        <v>737</v>
      </c>
      <c r="B569" t="str">
        <f t="shared" si="27"/>
        <v>MTRGAD</v>
      </c>
      <c r="C569" t="str">
        <f t="shared" si="28"/>
        <v>38</v>
      </c>
      <c r="D569" t="str">
        <f t="shared" si="29"/>
        <v>AD</v>
      </c>
    </row>
    <row r="570" spans="1:4" ht="13.2" x14ac:dyDescent="0.25">
      <c r="A570" s="2" t="s">
        <v>738</v>
      </c>
      <c r="B570" t="str">
        <f t="shared" si="27"/>
        <v>GQIRGU</v>
      </c>
      <c r="C570" t="str">
        <f t="shared" si="28"/>
        <v>19</v>
      </c>
      <c r="D570" t="str">
        <f t="shared" si="29"/>
        <v>GU</v>
      </c>
    </row>
    <row r="571" spans="1:4" ht="13.2" x14ac:dyDescent="0.25">
      <c r="A571" s="2" t="s">
        <v>739</v>
      </c>
      <c r="B571" t="str">
        <f t="shared" si="27"/>
        <v>IPFSLK</v>
      </c>
      <c r="C571" t="str">
        <f t="shared" si="28"/>
        <v>98</v>
      </c>
      <c r="D571" t="str">
        <f t="shared" si="29"/>
        <v>LK</v>
      </c>
    </row>
    <row r="572" spans="1:4" ht="13.2" x14ac:dyDescent="0.25">
      <c r="A572" s="2" t="s">
        <v>740</v>
      </c>
      <c r="B572" t="str">
        <f t="shared" si="27"/>
        <v>ZGOLSR</v>
      </c>
      <c r="C572" t="str">
        <f t="shared" si="28"/>
        <v>84</v>
      </c>
      <c r="D572" t="str">
        <f t="shared" si="29"/>
        <v>SR</v>
      </c>
    </row>
    <row r="573" spans="1:4" ht="13.2" x14ac:dyDescent="0.25">
      <c r="A573" s="2" t="s">
        <v>741</v>
      </c>
      <c r="B573" t="str">
        <f t="shared" si="27"/>
        <v>EFCIER</v>
      </c>
      <c r="C573" t="str">
        <f t="shared" si="28"/>
        <v>15</v>
      </c>
      <c r="D573" t="str">
        <f t="shared" si="29"/>
        <v>ER</v>
      </c>
    </row>
    <row r="574" spans="1:4" ht="13.2" x14ac:dyDescent="0.25">
      <c r="A574" s="2" t="s">
        <v>742</v>
      </c>
      <c r="B574" t="str">
        <f t="shared" si="27"/>
        <v>BRQSBZ</v>
      </c>
      <c r="C574" t="str">
        <f t="shared" si="28"/>
        <v>43</v>
      </c>
      <c r="D574" t="str">
        <f t="shared" si="29"/>
        <v>BZ</v>
      </c>
    </row>
    <row r="575" spans="1:4" ht="13.2" x14ac:dyDescent="0.25">
      <c r="A575" s="2" t="s">
        <v>743</v>
      </c>
      <c r="B575" t="str">
        <f t="shared" si="27"/>
        <v>MRDTOL</v>
      </c>
      <c r="C575" t="str">
        <f t="shared" si="28"/>
        <v>14</v>
      </c>
      <c r="D575" t="str">
        <f t="shared" si="29"/>
        <v>OL</v>
      </c>
    </row>
    <row r="576" spans="1:4" ht="13.2" x14ac:dyDescent="0.25">
      <c r="A576" s="2" t="s">
        <v>744</v>
      </c>
      <c r="B576" t="str">
        <f t="shared" si="27"/>
        <v>KUATRG</v>
      </c>
      <c r="C576" t="str">
        <f t="shared" si="28"/>
        <v>13</v>
      </c>
      <c r="D576" t="str">
        <f t="shared" si="29"/>
        <v>RG</v>
      </c>
    </row>
    <row r="577" spans="1:4" ht="13.2" x14ac:dyDescent="0.25">
      <c r="A577" s="2" t="s">
        <v>745</v>
      </c>
      <c r="B577" t="str">
        <f t="shared" si="27"/>
        <v>LCBOLF</v>
      </c>
      <c r="C577" t="str">
        <f t="shared" si="28"/>
        <v>71</v>
      </c>
      <c r="D577" t="str">
        <f t="shared" si="29"/>
        <v>LF</v>
      </c>
    </row>
    <row r="578" spans="1:4" ht="13.2" x14ac:dyDescent="0.25">
      <c r="A578" s="2" t="s">
        <v>746</v>
      </c>
      <c r="B578" t="str">
        <f t="shared" si="27"/>
        <v>YFCHQP</v>
      </c>
      <c r="C578" t="str">
        <f t="shared" si="28"/>
        <v>38</v>
      </c>
      <c r="D578" t="str">
        <f t="shared" si="29"/>
        <v>QP</v>
      </c>
    </row>
    <row r="579" spans="1:4" ht="13.2" x14ac:dyDescent="0.25">
      <c r="A579" s="2" t="s">
        <v>747</v>
      </c>
      <c r="B579" t="str">
        <f t="shared" si="27"/>
        <v>VASXPC</v>
      </c>
      <c r="C579" t="str">
        <f t="shared" si="28"/>
        <v>99</v>
      </c>
      <c r="D579" t="str">
        <f t="shared" si="29"/>
        <v>PC</v>
      </c>
    </row>
    <row r="580" spans="1:4" ht="13.2" x14ac:dyDescent="0.25">
      <c r="A580" s="2" t="s">
        <v>748</v>
      </c>
      <c r="B580" t="str">
        <f t="shared" si="27"/>
        <v>DWQICW</v>
      </c>
      <c r="C580" t="str">
        <f t="shared" si="28"/>
        <v>65</v>
      </c>
      <c r="D580" t="str">
        <f t="shared" si="29"/>
        <v>CW</v>
      </c>
    </row>
    <row r="581" spans="1:4" ht="13.2" x14ac:dyDescent="0.25">
      <c r="A581" s="2" t="s">
        <v>749</v>
      </c>
      <c r="B581" t="str">
        <f t="shared" si="27"/>
        <v>JWRURI</v>
      </c>
      <c r="C581" t="str">
        <f t="shared" si="28"/>
        <v>98</v>
      </c>
      <c r="D581" t="str">
        <f t="shared" si="29"/>
        <v>RI</v>
      </c>
    </row>
    <row r="582" spans="1:4" ht="13.2" x14ac:dyDescent="0.25">
      <c r="A582" s="2" t="s">
        <v>750</v>
      </c>
      <c r="B582" t="str">
        <f t="shared" ref="B582:B645" si="30">LEFT(A582,6)</f>
        <v>UCYDYZ</v>
      </c>
      <c r="C582" t="str">
        <f t="shared" ref="C582:C645" si="31">RIGHT(A582,2)</f>
        <v>31</v>
      </c>
      <c r="D582" t="str">
        <f t="shared" ref="D582:D645" si="32">MID(A582,5,2)</f>
        <v>YZ</v>
      </c>
    </row>
    <row r="583" spans="1:4" ht="13.2" x14ac:dyDescent="0.25">
      <c r="A583" s="2" t="s">
        <v>751</v>
      </c>
      <c r="B583" t="str">
        <f t="shared" si="30"/>
        <v>KBQNCK</v>
      </c>
      <c r="C583" t="str">
        <f t="shared" si="31"/>
        <v>57</v>
      </c>
      <c r="D583" t="str">
        <f t="shared" si="32"/>
        <v>CK</v>
      </c>
    </row>
    <row r="584" spans="1:4" ht="13.2" x14ac:dyDescent="0.25">
      <c r="A584" s="2" t="s">
        <v>752</v>
      </c>
      <c r="B584" t="str">
        <f t="shared" si="30"/>
        <v>CTQQLF</v>
      </c>
      <c r="C584" t="str">
        <f t="shared" si="31"/>
        <v>89</v>
      </c>
      <c r="D584" t="str">
        <f t="shared" si="32"/>
        <v>LF</v>
      </c>
    </row>
    <row r="585" spans="1:4" ht="13.2" x14ac:dyDescent="0.25">
      <c r="A585" s="2" t="s">
        <v>753</v>
      </c>
      <c r="B585" t="str">
        <f t="shared" si="30"/>
        <v>SNEKDU</v>
      </c>
      <c r="C585" t="str">
        <f t="shared" si="31"/>
        <v>63</v>
      </c>
      <c r="D585" t="str">
        <f t="shared" si="32"/>
        <v>DU</v>
      </c>
    </row>
    <row r="586" spans="1:4" ht="13.2" x14ac:dyDescent="0.25">
      <c r="A586" s="2" t="s">
        <v>754</v>
      </c>
      <c r="B586" t="str">
        <f t="shared" si="30"/>
        <v>JTCRFF</v>
      </c>
      <c r="C586" t="str">
        <f t="shared" si="31"/>
        <v>51</v>
      </c>
      <c r="D586" t="str">
        <f t="shared" si="32"/>
        <v>FF</v>
      </c>
    </row>
    <row r="587" spans="1:4" ht="13.2" x14ac:dyDescent="0.25">
      <c r="A587" s="2" t="s">
        <v>755</v>
      </c>
      <c r="B587" t="str">
        <f t="shared" si="30"/>
        <v>PNPAPX</v>
      </c>
      <c r="C587" t="str">
        <f t="shared" si="31"/>
        <v>18</v>
      </c>
      <c r="D587" t="str">
        <f t="shared" si="32"/>
        <v>PX</v>
      </c>
    </row>
    <row r="588" spans="1:4" ht="13.2" x14ac:dyDescent="0.25">
      <c r="A588" s="2" t="s">
        <v>756</v>
      </c>
      <c r="B588" t="str">
        <f t="shared" si="30"/>
        <v>PABCXX</v>
      </c>
      <c r="C588" t="str">
        <f t="shared" si="31"/>
        <v>82</v>
      </c>
      <c r="D588" t="str">
        <f t="shared" si="32"/>
        <v>XX</v>
      </c>
    </row>
    <row r="589" spans="1:4" ht="13.2" x14ac:dyDescent="0.25">
      <c r="A589" s="2" t="s">
        <v>757</v>
      </c>
      <c r="B589" t="str">
        <f t="shared" si="30"/>
        <v>EBTENS</v>
      </c>
      <c r="C589" t="str">
        <f t="shared" si="31"/>
        <v>86</v>
      </c>
      <c r="D589" t="str">
        <f t="shared" si="32"/>
        <v>NS</v>
      </c>
    </row>
    <row r="590" spans="1:4" ht="13.2" x14ac:dyDescent="0.25">
      <c r="A590" s="2" t="s">
        <v>758</v>
      </c>
      <c r="B590" t="str">
        <f t="shared" si="30"/>
        <v>QVOLQA</v>
      </c>
      <c r="C590" t="str">
        <f t="shared" si="31"/>
        <v>68</v>
      </c>
      <c r="D590" t="str">
        <f t="shared" si="32"/>
        <v>QA</v>
      </c>
    </row>
    <row r="591" spans="1:4" ht="13.2" x14ac:dyDescent="0.25">
      <c r="A591" s="2" t="s">
        <v>759</v>
      </c>
      <c r="B591" t="str">
        <f t="shared" si="30"/>
        <v>DYDYMD</v>
      </c>
      <c r="C591" t="str">
        <f t="shared" si="31"/>
        <v>89</v>
      </c>
      <c r="D591" t="str">
        <f t="shared" si="32"/>
        <v>MD</v>
      </c>
    </row>
    <row r="592" spans="1:4" ht="13.2" x14ac:dyDescent="0.25">
      <c r="A592" s="2" t="s">
        <v>760</v>
      </c>
      <c r="B592" t="str">
        <f t="shared" si="30"/>
        <v>PXCHHZ</v>
      </c>
      <c r="C592" t="str">
        <f t="shared" si="31"/>
        <v>79</v>
      </c>
      <c r="D592" t="str">
        <f t="shared" si="32"/>
        <v>HZ</v>
      </c>
    </row>
    <row r="593" spans="1:4" ht="13.2" x14ac:dyDescent="0.25">
      <c r="A593" s="2" t="s">
        <v>761</v>
      </c>
      <c r="B593" t="str">
        <f t="shared" si="30"/>
        <v>WVAURA</v>
      </c>
      <c r="C593" t="str">
        <f t="shared" si="31"/>
        <v>21</v>
      </c>
      <c r="D593" t="str">
        <f t="shared" si="32"/>
        <v>RA</v>
      </c>
    </row>
    <row r="594" spans="1:4" ht="13.2" x14ac:dyDescent="0.25">
      <c r="A594" s="2" t="s">
        <v>762</v>
      </c>
      <c r="B594" t="str">
        <f t="shared" si="30"/>
        <v>TLTELG</v>
      </c>
      <c r="C594" t="str">
        <f t="shared" si="31"/>
        <v>49</v>
      </c>
      <c r="D594" t="str">
        <f t="shared" si="32"/>
        <v>LG</v>
      </c>
    </row>
    <row r="595" spans="1:4" ht="13.2" x14ac:dyDescent="0.25">
      <c r="A595" s="2" t="s">
        <v>763</v>
      </c>
      <c r="B595" t="str">
        <f t="shared" si="30"/>
        <v>ECHKQT</v>
      </c>
      <c r="C595" t="str">
        <f t="shared" si="31"/>
        <v>87</v>
      </c>
      <c r="D595" t="str">
        <f t="shared" si="32"/>
        <v>QT</v>
      </c>
    </row>
    <row r="596" spans="1:4" ht="13.2" x14ac:dyDescent="0.25">
      <c r="A596" s="2" t="s">
        <v>764</v>
      </c>
      <c r="B596" t="str">
        <f t="shared" si="30"/>
        <v>WALNSV</v>
      </c>
      <c r="C596" t="str">
        <f t="shared" si="31"/>
        <v>72</v>
      </c>
      <c r="D596" t="str">
        <f t="shared" si="32"/>
        <v>SV</v>
      </c>
    </row>
    <row r="597" spans="1:4" ht="13.2" x14ac:dyDescent="0.25">
      <c r="A597" s="2" t="s">
        <v>765</v>
      </c>
      <c r="B597" t="str">
        <f t="shared" si="30"/>
        <v>GYIAWT</v>
      </c>
      <c r="C597" t="str">
        <f t="shared" si="31"/>
        <v>78</v>
      </c>
      <c r="D597" t="str">
        <f t="shared" si="32"/>
        <v>WT</v>
      </c>
    </row>
    <row r="598" spans="1:4" ht="13.2" x14ac:dyDescent="0.25">
      <c r="A598" s="2" t="s">
        <v>766</v>
      </c>
      <c r="B598" t="str">
        <f t="shared" si="30"/>
        <v>RKOZDJ</v>
      </c>
      <c r="C598" t="str">
        <f t="shared" si="31"/>
        <v>16</v>
      </c>
      <c r="D598" t="str">
        <f t="shared" si="32"/>
        <v>DJ</v>
      </c>
    </row>
    <row r="599" spans="1:4" ht="13.2" x14ac:dyDescent="0.25">
      <c r="A599" s="2" t="s">
        <v>767</v>
      </c>
      <c r="B599" t="str">
        <f t="shared" si="30"/>
        <v>EBPTNP</v>
      </c>
      <c r="C599" t="str">
        <f t="shared" si="31"/>
        <v>47</v>
      </c>
      <c r="D599" t="str">
        <f t="shared" si="32"/>
        <v>NP</v>
      </c>
    </row>
    <row r="600" spans="1:4" ht="13.2" x14ac:dyDescent="0.25">
      <c r="A600" s="2" t="s">
        <v>768</v>
      </c>
      <c r="B600" t="str">
        <f t="shared" si="30"/>
        <v>LIEVRH</v>
      </c>
      <c r="C600" t="str">
        <f t="shared" si="31"/>
        <v>14</v>
      </c>
      <c r="D600" t="str">
        <f t="shared" si="32"/>
        <v>RH</v>
      </c>
    </row>
    <row r="601" spans="1:4" ht="13.2" x14ac:dyDescent="0.25">
      <c r="A601" s="2" t="s">
        <v>769</v>
      </c>
      <c r="B601" t="str">
        <f t="shared" si="30"/>
        <v>ZBBFHA</v>
      </c>
      <c r="C601" t="str">
        <f t="shared" si="31"/>
        <v>58</v>
      </c>
      <c r="D601" t="str">
        <f t="shared" si="32"/>
        <v>HA</v>
      </c>
    </row>
    <row r="602" spans="1:4" ht="13.2" x14ac:dyDescent="0.25">
      <c r="A602" s="2" t="s">
        <v>770</v>
      </c>
      <c r="B602" t="str">
        <f t="shared" si="30"/>
        <v>OXZPFC</v>
      </c>
      <c r="C602" t="str">
        <f t="shared" si="31"/>
        <v>44</v>
      </c>
      <c r="D602" t="str">
        <f t="shared" si="32"/>
        <v>FC</v>
      </c>
    </row>
    <row r="603" spans="1:4" ht="13.2" x14ac:dyDescent="0.25">
      <c r="A603" s="2" t="s">
        <v>771</v>
      </c>
      <c r="B603" t="str">
        <f t="shared" si="30"/>
        <v>ZZVIJG</v>
      </c>
      <c r="C603" t="str">
        <f t="shared" si="31"/>
        <v>71</v>
      </c>
      <c r="D603" t="str">
        <f t="shared" si="32"/>
        <v>JG</v>
      </c>
    </row>
    <row r="604" spans="1:4" ht="13.2" x14ac:dyDescent="0.25">
      <c r="A604" s="2" t="s">
        <v>772</v>
      </c>
      <c r="B604" t="str">
        <f t="shared" si="30"/>
        <v>YOWWHU</v>
      </c>
      <c r="C604" t="str">
        <f t="shared" si="31"/>
        <v>32</v>
      </c>
      <c r="D604" t="str">
        <f t="shared" si="32"/>
        <v>HU</v>
      </c>
    </row>
    <row r="605" spans="1:4" ht="13.2" x14ac:dyDescent="0.25">
      <c r="A605" s="2" t="s">
        <v>773</v>
      </c>
      <c r="B605" t="str">
        <f t="shared" si="30"/>
        <v>JYANUO</v>
      </c>
      <c r="C605" t="str">
        <f t="shared" si="31"/>
        <v>73</v>
      </c>
      <c r="D605" t="str">
        <f t="shared" si="32"/>
        <v>UO</v>
      </c>
    </row>
    <row r="606" spans="1:4" ht="13.2" x14ac:dyDescent="0.25">
      <c r="A606" s="2" t="s">
        <v>774</v>
      </c>
      <c r="B606" t="str">
        <f t="shared" si="30"/>
        <v>YPHANU</v>
      </c>
      <c r="C606" t="str">
        <f t="shared" si="31"/>
        <v>39</v>
      </c>
      <c r="D606" t="str">
        <f t="shared" si="32"/>
        <v>NU</v>
      </c>
    </row>
    <row r="607" spans="1:4" ht="13.2" x14ac:dyDescent="0.25">
      <c r="A607" s="2" t="s">
        <v>775</v>
      </c>
      <c r="B607" t="str">
        <f t="shared" si="30"/>
        <v>GWGRPQ</v>
      </c>
      <c r="C607" t="str">
        <f t="shared" si="31"/>
        <v>35</v>
      </c>
      <c r="D607" t="str">
        <f t="shared" si="32"/>
        <v>PQ</v>
      </c>
    </row>
    <row r="608" spans="1:4" ht="13.2" x14ac:dyDescent="0.25">
      <c r="A608" s="2" t="s">
        <v>776</v>
      </c>
      <c r="B608" t="str">
        <f t="shared" si="30"/>
        <v>AXDEZO</v>
      </c>
      <c r="C608" t="str">
        <f t="shared" si="31"/>
        <v>17</v>
      </c>
      <c r="D608" t="str">
        <f t="shared" si="32"/>
        <v>ZO</v>
      </c>
    </row>
    <row r="609" spans="1:4" ht="13.2" x14ac:dyDescent="0.25">
      <c r="A609" s="2" t="s">
        <v>777</v>
      </c>
      <c r="B609" t="str">
        <f t="shared" si="30"/>
        <v>QJSTAI</v>
      </c>
      <c r="C609" t="str">
        <f t="shared" si="31"/>
        <v>74</v>
      </c>
      <c r="D609" t="str">
        <f t="shared" si="32"/>
        <v>AI</v>
      </c>
    </row>
    <row r="610" spans="1:4" ht="13.2" x14ac:dyDescent="0.25">
      <c r="A610" s="2" t="s">
        <v>778</v>
      </c>
      <c r="B610" t="str">
        <f t="shared" si="30"/>
        <v>DPPHZG</v>
      </c>
      <c r="C610" t="str">
        <f t="shared" si="31"/>
        <v>53</v>
      </c>
      <c r="D610" t="str">
        <f t="shared" si="32"/>
        <v>ZG</v>
      </c>
    </row>
    <row r="611" spans="1:4" ht="13.2" x14ac:dyDescent="0.25">
      <c r="A611" s="2" t="s">
        <v>779</v>
      </c>
      <c r="B611" t="str">
        <f t="shared" si="30"/>
        <v>YDJJRR</v>
      </c>
      <c r="C611" t="str">
        <f t="shared" si="31"/>
        <v>81</v>
      </c>
      <c r="D611" t="str">
        <f t="shared" si="32"/>
        <v>RR</v>
      </c>
    </row>
    <row r="612" spans="1:4" ht="13.2" x14ac:dyDescent="0.25">
      <c r="A612" s="2" t="s">
        <v>780</v>
      </c>
      <c r="B612" t="str">
        <f t="shared" si="30"/>
        <v>GMAOAV</v>
      </c>
      <c r="C612" t="str">
        <f t="shared" si="31"/>
        <v>95</v>
      </c>
      <c r="D612" t="str">
        <f t="shared" si="32"/>
        <v>AV</v>
      </c>
    </row>
    <row r="613" spans="1:4" ht="13.2" x14ac:dyDescent="0.25">
      <c r="A613" s="2" t="s">
        <v>781</v>
      </c>
      <c r="B613" t="str">
        <f t="shared" si="30"/>
        <v>KDWAFK</v>
      </c>
      <c r="C613" t="str">
        <f t="shared" si="31"/>
        <v>93</v>
      </c>
      <c r="D613" t="str">
        <f t="shared" si="32"/>
        <v>FK</v>
      </c>
    </row>
    <row r="614" spans="1:4" ht="13.2" x14ac:dyDescent="0.25">
      <c r="A614" s="2" t="s">
        <v>782</v>
      </c>
      <c r="B614" t="str">
        <f t="shared" si="30"/>
        <v>KCNQIE</v>
      </c>
      <c r="C614" t="str">
        <f t="shared" si="31"/>
        <v>29</v>
      </c>
      <c r="D614" t="str">
        <f t="shared" si="32"/>
        <v>IE</v>
      </c>
    </row>
    <row r="615" spans="1:4" ht="13.2" x14ac:dyDescent="0.25">
      <c r="A615" s="2" t="s">
        <v>783</v>
      </c>
      <c r="B615" t="str">
        <f t="shared" si="30"/>
        <v>URSSRP</v>
      </c>
      <c r="C615" t="str">
        <f t="shared" si="31"/>
        <v>56</v>
      </c>
      <c r="D615" t="str">
        <f t="shared" si="32"/>
        <v>RP</v>
      </c>
    </row>
    <row r="616" spans="1:4" ht="13.2" x14ac:dyDescent="0.25">
      <c r="A616" s="2" t="s">
        <v>784</v>
      </c>
      <c r="B616" t="str">
        <f t="shared" si="30"/>
        <v>WAAJBO</v>
      </c>
      <c r="C616" t="str">
        <f t="shared" si="31"/>
        <v>78</v>
      </c>
      <c r="D616" t="str">
        <f t="shared" si="32"/>
        <v>BO</v>
      </c>
    </row>
    <row r="617" spans="1:4" ht="13.2" x14ac:dyDescent="0.25">
      <c r="A617" s="2" t="s">
        <v>785</v>
      </c>
      <c r="B617" t="str">
        <f t="shared" si="30"/>
        <v>LZQMVT</v>
      </c>
      <c r="C617" t="str">
        <f t="shared" si="31"/>
        <v>81</v>
      </c>
      <c r="D617" t="str">
        <f t="shared" si="32"/>
        <v>VT</v>
      </c>
    </row>
    <row r="618" spans="1:4" ht="13.2" x14ac:dyDescent="0.25">
      <c r="A618" s="2" t="s">
        <v>786</v>
      </c>
      <c r="B618" t="str">
        <f t="shared" si="30"/>
        <v>IELMZN</v>
      </c>
      <c r="C618" t="str">
        <f t="shared" si="31"/>
        <v>15</v>
      </c>
      <c r="D618" t="str">
        <f t="shared" si="32"/>
        <v>ZN</v>
      </c>
    </row>
    <row r="619" spans="1:4" ht="13.2" x14ac:dyDescent="0.25">
      <c r="A619" s="2" t="s">
        <v>787</v>
      </c>
      <c r="B619" t="str">
        <f t="shared" si="30"/>
        <v>KXPXPX</v>
      </c>
      <c r="C619" t="str">
        <f t="shared" si="31"/>
        <v>79</v>
      </c>
      <c r="D619" t="str">
        <f t="shared" si="32"/>
        <v>PX</v>
      </c>
    </row>
    <row r="620" spans="1:4" ht="13.2" x14ac:dyDescent="0.25">
      <c r="A620" s="2" t="s">
        <v>788</v>
      </c>
      <c r="B620" t="str">
        <f t="shared" si="30"/>
        <v>QMCVXE</v>
      </c>
      <c r="C620" t="str">
        <f t="shared" si="31"/>
        <v>92</v>
      </c>
      <c r="D620" t="str">
        <f t="shared" si="32"/>
        <v>XE</v>
      </c>
    </row>
    <row r="621" spans="1:4" ht="13.2" x14ac:dyDescent="0.25">
      <c r="A621" s="2" t="s">
        <v>789</v>
      </c>
      <c r="B621" t="str">
        <f t="shared" si="30"/>
        <v>CDCRZR</v>
      </c>
      <c r="C621" t="str">
        <f t="shared" si="31"/>
        <v>93</v>
      </c>
      <c r="D621" t="str">
        <f t="shared" si="32"/>
        <v>ZR</v>
      </c>
    </row>
    <row r="622" spans="1:4" ht="13.2" x14ac:dyDescent="0.25">
      <c r="A622" s="2" t="s">
        <v>790</v>
      </c>
      <c r="B622" t="str">
        <f t="shared" si="30"/>
        <v>PJZJCA</v>
      </c>
      <c r="C622" t="str">
        <f t="shared" si="31"/>
        <v>67</v>
      </c>
      <c r="D622" t="str">
        <f t="shared" si="32"/>
        <v>CA</v>
      </c>
    </row>
    <row r="623" spans="1:4" ht="13.2" x14ac:dyDescent="0.25">
      <c r="A623" s="2" t="s">
        <v>791</v>
      </c>
      <c r="B623" t="str">
        <f t="shared" si="30"/>
        <v>BKCGYW</v>
      </c>
      <c r="C623" t="str">
        <f t="shared" si="31"/>
        <v>75</v>
      </c>
      <c r="D623" t="str">
        <f t="shared" si="32"/>
        <v>YW</v>
      </c>
    </row>
    <row r="624" spans="1:4" ht="13.2" x14ac:dyDescent="0.25">
      <c r="A624" s="2" t="s">
        <v>792</v>
      </c>
      <c r="B624" t="str">
        <f t="shared" si="30"/>
        <v>JGNFXN</v>
      </c>
      <c r="C624" t="str">
        <f t="shared" si="31"/>
        <v>24</v>
      </c>
      <c r="D624" t="str">
        <f t="shared" si="32"/>
        <v>XN</v>
      </c>
    </row>
    <row r="625" spans="1:4" ht="13.2" x14ac:dyDescent="0.25">
      <c r="A625" s="2" t="s">
        <v>793</v>
      </c>
      <c r="B625" t="str">
        <f t="shared" si="30"/>
        <v>HETZBF</v>
      </c>
      <c r="C625" t="str">
        <f t="shared" si="31"/>
        <v>26</v>
      </c>
      <c r="D625" t="str">
        <f t="shared" si="32"/>
        <v>BF</v>
      </c>
    </row>
    <row r="626" spans="1:4" ht="13.2" x14ac:dyDescent="0.25">
      <c r="A626" s="2" t="s">
        <v>794</v>
      </c>
      <c r="B626" t="str">
        <f t="shared" si="30"/>
        <v>ILKRBR</v>
      </c>
      <c r="C626" t="str">
        <f t="shared" si="31"/>
        <v>97</v>
      </c>
      <c r="D626" t="str">
        <f t="shared" si="32"/>
        <v>BR</v>
      </c>
    </row>
    <row r="627" spans="1:4" ht="13.2" x14ac:dyDescent="0.25">
      <c r="A627" s="2" t="s">
        <v>795</v>
      </c>
      <c r="B627" t="str">
        <f t="shared" si="30"/>
        <v>QCVKCM</v>
      </c>
      <c r="C627" t="str">
        <f t="shared" si="31"/>
        <v>57</v>
      </c>
      <c r="D627" t="str">
        <f t="shared" si="32"/>
        <v>CM</v>
      </c>
    </row>
    <row r="628" spans="1:4" ht="13.2" x14ac:dyDescent="0.25">
      <c r="A628" s="2" t="s">
        <v>796</v>
      </c>
      <c r="B628" t="str">
        <f t="shared" si="30"/>
        <v>OZFHSW</v>
      </c>
      <c r="C628" t="str">
        <f t="shared" si="31"/>
        <v>52</v>
      </c>
      <c r="D628" t="str">
        <f t="shared" si="32"/>
        <v>SW</v>
      </c>
    </row>
    <row r="629" spans="1:4" ht="13.2" x14ac:dyDescent="0.25">
      <c r="A629" s="2" t="s">
        <v>797</v>
      </c>
      <c r="B629" t="str">
        <f t="shared" si="30"/>
        <v>UDVVMR</v>
      </c>
      <c r="C629" t="str">
        <f t="shared" si="31"/>
        <v>32</v>
      </c>
      <c r="D629" t="str">
        <f t="shared" si="32"/>
        <v>MR</v>
      </c>
    </row>
    <row r="630" spans="1:4" ht="13.2" x14ac:dyDescent="0.25">
      <c r="A630" s="2" t="s">
        <v>798</v>
      </c>
      <c r="B630" t="str">
        <f t="shared" si="30"/>
        <v>KJCVXO</v>
      </c>
      <c r="C630" t="str">
        <f t="shared" si="31"/>
        <v>15</v>
      </c>
      <c r="D630" t="str">
        <f t="shared" si="32"/>
        <v>XO</v>
      </c>
    </row>
    <row r="631" spans="1:4" ht="13.2" x14ac:dyDescent="0.25">
      <c r="A631" s="2" t="s">
        <v>799</v>
      </c>
      <c r="B631" t="str">
        <f t="shared" si="30"/>
        <v>FDATKD</v>
      </c>
      <c r="C631" t="str">
        <f t="shared" si="31"/>
        <v>66</v>
      </c>
      <c r="D631" t="str">
        <f t="shared" si="32"/>
        <v>KD</v>
      </c>
    </row>
    <row r="632" spans="1:4" ht="13.2" x14ac:dyDescent="0.25">
      <c r="A632" s="2" t="s">
        <v>800</v>
      </c>
      <c r="B632" t="str">
        <f t="shared" si="30"/>
        <v>CJBFGH</v>
      </c>
      <c r="C632" t="str">
        <f t="shared" si="31"/>
        <v>19</v>
      </c>
      <c r="D632" t="str">
        <f t="shared" si="32"/>
        <v>GH</v>
      </c>
    </row>
    <row r="633" spans="1:4" ht="13.2" x14ac:dyDescent="0.25">
      <c r="A633" s="2" t="s">
        <v>801</v>
      </c>
      <c r="B633" t="str">
        <f t="shared" si="30"/>
        <v>WRNUQD</v>
      </c>
      <c r="C633" t="str">
        <f t="shared" si="31"/>
        <v>37</v>
      </c>
      <c r="D633" t="str">
        <f t="shared" si="32"/>
        <v>QD</v>
      </c>
    </row>
    <row r="634" spans="1:4" ht="13.2" x14ac:dyDescent="0.25">
      <c r="A634" s="2" t="s">
        <v>802</v>
      </c>
      <c r="B634" t="str">
        <f t="shared" si="30"/>
        <v>WHYLTA</v>
      </c>
      <c r="C634" t="str">
        <f t="shared" si="31"/>
        <v>93</v>
      </c>
      <c r="D634" t="str">
        <f t="shared" si="32"/>
        <v>TA</v>
      </c>
    </row>
    <row r="635" spans="1:4" ht="13.2" x14ac:dyDescent="0.25">
      <c r="A635" s="2" t="s">
        <v>803</v>
      </c>
      <c r="B635" t="str">
        <f t="shared" si="30"/>
        <v>OSQUHU</v>
      </c>
      <c r="C635" t="str">
        <f t="shared" si="31"/>
        <v>19</v>
      </c>
      <c r="D635" t="str">
        <f t="shared" si="32"/>
        <v>HU</v>
      </c>
    </row>
    <row r="636" spans="1:4" ht="13.2" x14ac:dyDescent="0.25">
      <c r="A636" s="2" t="s">
        <v>804</v>
      </c>
      <c r="B636" t="str">
        <f t="shared" si="30"/>
        <v>HDOAGE</v>
      </c>
      <c r="C636" t="str">
        <f t="shared" si="31"/>
        <v>74</v>
      </c>
      <c r="D636" t="str">
        <f t="shared" si="32"/>
        <v>GE</v>
      </c>
    </row>
    <row r="637" spans="1:4" ht="13.2" x14ac:dyDescent="0.25">
      <c r="A637" s="2" t="s">
        <v>805</v>
      </c>
      <c r="B637" t="str">
        <f t="shared" si="30"/>
        <v>AYMQRA</v>
      </c>
      <c r="C637" t="str">
        <f t="shared" si="31"/>
        <v>28</v>
      </c>
      <c r="D637" t="str">
        <f t="shared" si="32"/>
        <v>RA</v>
      </c>
    </row>
    <row r="638" spans="1:4" ht="13.2" x14ac:dyDescent="0.25">
      <c r="A638" s="2" t="s">
        <v>806</v>
      </c>
      <c r="B638" t="str">
        <f t="shared" si="30"/>
        <v>HKWTSK</v>
      </c>
      <c r="C638" t="str">
        <f t="shared" si="31"/>
        <v>63</v>
      </c>
      <c r="D638" t="str">
        <f t="shared" si="32"/>
        <v>SK</v>
      </c>
    </row>
    <row r="639" spans="1:4" ht="13.2" x14ac:dyDescent="0.25">
      <c r="A639" s="2" t="s">
        <v>807</v>
      </c>
      <c r="B639" t="str">
        <f t="shared" si="30"/>
        <v>AWLGXA</v>
      </c>
      <c r="C639" t="str">
        <f t="shared" si="31"/>
        <v>53</v>
      </c>
      <c r="D639" t="str">
        <f t="shared" si="32"/>
        <v>XA</v>
      </c>
    </row>
    <row r="640" spans="1:4" ht="13.2" x14ac:dyDescent="0.25">
      <c r="A640" s="2" t="s">
        <v>808</v>
      </c>
      <c r="B640" t="str">
        <f t="shared" si="30"/>
        <v>FDRBZX</v>
      </c>
      <c r="C640" t="str">
        <f t="shared" si="31"/>
        <v>72</v>
      </c>
      <c r="D640" t="str">
        <f t="shared" si="32"/>
        <v>ZX</v>
      </c>
    </row>
    <row r="641" spans="1:4" ht="13.2" x14ac:dyDescent="0.25">
      <c r="A641" s="2" t="s">
        <v>809</v>
      </c>
      <c r="B641" t="str">
        <f t="shared" si="30"/>
        <v>IOOWMV</v>
      </c>
      <c r="C641" t="str">
        <f t="shared" si="31"/>
        <v>35</v>
      </c>
      <c r="D641" t="str">
        <f t="shared" si="32"/>
        <v>MV</v>
      </c>
    </row>
    <row r="642" spans="1:4" ht="13.2" x14ac:dyDescent="0.25">
      <c r="A642" s="2" t="s">
        <v>810</v>
      </c>
      <c r="B642" t="str">
        <f t="shared" si="30"/>
        <v>ICHZCU</v>
      </c>
      <c r="C642" t="str">
        <f t="shared" si="31"/>
        <v>75</v>
      </c>
      <c r="D642" t="str">
        <f t="shared" si="32"/>
        <v>CU</v>
      </c>
    </row>
    <row r="643" spans="1:4" ht="13.2" x14ac:dyDescent="0.25">
      <c r="A643" s="2" t="s">
        <v>811</v>
      </c>
      <c r="B643" t="str">
        <f t="shared" si="30"/>
        <v>VPROSW</v>
      </c>
      <c r="C643" t="str">
        <f t="shared" si="31"/>
        <v>87</v>
      </c>
      <c r="D643" t="str">
        <f t="shared" si="32"/>
        <v>SW</v>
      </c>
    </row>
    <row r="644" spans="1:4" ht="13.2" x14ac:dyDescent="0.25">
      <c r="A644" s="2" t="s">
        <v>812</v>
      </c>
      <c r="B644" t="str">
        <f t="shared" si="30"/>
        <v>LARKPN</v>
      </c>
      <c r="C644" t="str">
        <f t="shared" si="31"/>
        <v>91</v>
      </c>
      <c r="D644" t="str">
        <f t="shared" si="32"/>
        <v>PN</v>
      </c>
    </row>
    <row r="645" spans="1:4" ht="13.2" x14ac:dyDescent="0.25">
      <c r="A645" s="2" t="s">
        <v>813</v>
      </c>
      <c r="B645" t="str">
        <f t="shared" si="30"/>
        <v>BRWOTP</v>
      </c>
      <c r="C645" t="str">
        <f t="shared" si="31"/>
        <v>83</v>
      </c>
      <c r="D645" t="str">
        <f t="shared" si="32"/>
        <v>TP</v>
      </c>
    </row>
    <row r="646" spans="1:4" ht="13.2" x14ac:dyDescent="0.25">
      <c r="A646" s="2" t="s">
        <v>814</v>
      </c>
      <c r="B646" t="str">
        <f t="shared" ref="B646:B709" si="33">LEFT(A646,6)</f>
        <v>QRGYYO</v>
      </c>
      <c r="C646" t="str">
        <f t="shared" ref="C646:C709" si="34">RIGHT(A646,2)</f>
        <v>97</v>
      </c>
      <c r="D646" t="str">
        <f t="shared" ref="D646:D709" si="35">MID(A646,5,2)</f>
        <v>YO</v>
      </c>
    </row>
    <row r="647" spans="1:4" ht="13.2" x14ac:dyDescent="0.25">
      <c r="A647" s="2" t="s">
        <v>815</v>
      </c>
      <c r="B647" t="str">
        <f t="shared" si="33"/>
        <v>JEWTUG</v>
      </c>
      <c r="C647" t="str">
        <f t="shared" si="34"/>
        <v>97</v>
      </c>
      <c r="D647" t="str">
        <f t="shared" si="35"/>
        <v>UG</v>
      </c>
    </row>
    <row r="648" spans="1:4" ht="13.2" x14ac:dyDescent="0.25">
      <c r="A648" s="2" t="s">
        <v>816</v>
      </c>
      <c r="B648" t="str">
        <f t="shared" si="33"/>
        <v>FEKZCZ</v>
      </c>
      <c r="C648" t="str">
        <f t="shared" si="34"/>
        <v>78</v>
      </c>
      <c r="D648" t="str">
        <f t="shared" si="35"/>
        <v>CZ</v>
      </c>
    </row>
    <row r="649" spans="1:4" ht="13.2" x14ac:dyDescent="0.25">
      <c r="A649" s="2" t="s">
        <v>817</v>
      </c>
      <c r="B649" t="str">
        <f t="shared" si="33"/>
        <v>HTCJCK</v>
      </c>
      <c r="C649" t="str">
        <f t="shared" si="34"/>
        <v>41</v>
      </c>
      <c r="D649" t="str">
        <f t="shared" si="35"/>
        <v>CK</v>
      </c>
    </row>
    <row r="650" spans="1:4" ht="13.2" x14ac:dyDescent="0.25">
      <c r="A650" s="2" t="s">
        <v>818</v>
      </c>
      <c r="B650" t="str">
        <f t="shared" si="33"/>
        <v>BBESQP</v>
      </c>
      <c r="C650" t="str">
        <f t="shared" si="34"/>
        <v>37</v>
      </c>
      <c r="D650" t="str">
        <f t="shared" si="35"/>
        <v>QP</v>
      </c>
    </row>
    <row r="651" spans="1:4" ht="13.2" x14ac:dyDescent="0.25">
      <c r="A651" s="2" t="s">
        <v>819</v>
      </c>
      <c r="B651" t="str">
        <f t="shared" si="33"/>
        <v>XRSZSY</v>
      </c>
      <c r="C651" t="str">
        <f t="shared" si="34"/>
        <v>19</v>
      </c>
      <c r="D651" t="str">
        <f t="shared" si="35"/>
        <v>SY</v>
      </c>
    </row>
    <row r="652" spans="1:4" ht="13.2" x14ac:dyDescent="0.25">
      <c r="A652" s="2" t="s">
        <v>820</v>
      </c>
      <c r="B652" t="str">
        <f t="shared" si="33"/>
        <v>ZCWSLX</v>
      </c>
      <c r="C652" t="str">
        <f t="shared" si="34"/>
        <v>88</v>
      </c>
      <c r="D652" t="str">
        <f t="shared" si="35"/>
        <v>LX</v>
      </c>
    </row>
    <row r="653" spans="1:4" ht="13.2" x14ac:dyDescent="0.25">
      <c r="A653" s="2" t="s">
        <v>821</v>
      </c>
      <c r="B653" t="str">
        <f t="shared" si="33"/>
        <v>VUWSOA</v>
      </c>
      <c r="C653" t="str">
        <f t="shared" si="34"/>
        <v>56</v>
      </c>
      <c r="D653" t="str">
        <f t="shared" si="35"/>
        <v>OA</v>
      </c>
    </row>
    <row r="654" spans="1:4" ht="13.2" x14ac:dyDescent="0.25">
      <c r="A654" s="2" t="s">
        <v>822</v>
      </c>
      <c r="B654" t="str">
        <f t="shared" si="33"/>
        <v>TZYNOS</v>
      </c>
      <c r="C654" t="str">
        <f t="shared" si="34"/>
        <v>49</v>
      </c>
      <c r="D654" t="str">
        <f t="shared" si="35"/>
        <v>OS</v>
      </c>
    </row>
    <row r="655" spans="1:4" ht="13.2" x14ac:dyDescent="0.25">
      <c r="A655" s="2" t="s">
        <v>823</v>
      </c>
      <c r="B655" t="str">
        <f t="shared" si="33"/>
        <v>COOLXV</v>
      </c>
      <c r="C655" t="str">
        <f t="shared" si="34"/>
        <v>32</v>
      </c>
      <c r="D655" t="str">
        <f t="shared" si="35"/>
        <v>XV</v>
      </c>
    </row>
    <row r="656" spans="1:4" ht="13.2" x14ac:dyDescent="0.25">
      <c r="A656" s="2" t="s">
        <v>824</v>
      </c>
      <c r="B656" t="str">
        <f t="shared" si="33"/>
        <v>GTZKCL</v>
      </c>
      <c r="C656" t="str">
        <f t="shared" si="34"/>
        <v>75</v>
      </c>
      <c r="D656" t="str">
        <f t="shared" si="35"/>
        <v>CL</v>
      </c>
    </row>
    <row r="657" spans="1:4" ht="13.2" x14ac:dyDescent="0.25">
      <c r="A657" s="2" t="s">
        <v>825</v>
      </c>
      <c r="B657" t="str">
        <f t="shared" si="33"/>
        <v>AVQHFG</v>
      </c>
      <c r="C657" t="str">
        <f t="shared" si="34"/>
        <v>79</v>
      </c>
      <c r="D657" t="str">
        <f t="shared" si="35"/>
        <v>FG</v>
      </c>
    </row>
    <row r="658" spans="1:4" ht="13.2" x14ac:dyDescent="0.25">
      <c r="A658" s="2" t="s">
        <v>826</v>
      </c>
      <c r="B658" t="str">
        <f t="shared" si="33"/>
        <v>EZKUTR</v>
      </c>
      <c r="C658" t="str">
        <f t="shared" si="34"/>
        <v>45</v>
      </c>
      <c r="D658" t="str">
        <f t="shared" si="35"/>
        <v>TR</v>
      </c>
    </row>
    <row r="659" spans="1:4" ht="13.2" x14ac:dyDescent="0.25">
      <c r="A659" s="2" t="s">
        <v>827</v>
      </c>
      <c r="B659" t="str">
        <f t="shared" si="33"/>
        <v>FQBGFY</v>
      </c>
      <c r="C659" t="str">
        <f t="shared" si="34"/>
        <v>52</v>
      </c>
      <c r="D659" t="str">
        <f t="shared" si="35"/>
        <v>FY</v>
      </c>
    </row>
    <row r="660" spans="1:4" ht="13.2" x14ac:dyDescent="0.25">
      <c r="A660" s="2" t="s">
        <v>828</v>
      </c>
      <c r="B660" t="str">
        <f t="shared" si="33"/>
        <v>CUPLCB</v>
      </c>
      <c r="C660" t="str">
        <f t="shared" si="34"/>
        <v>49</v>
      </c>
      <c r="D660" t="str">
        <f t="shared" si="35"/>
        <v>CB</v>
      </c>
    </row>
    <row r="661" spans="1:4" ht="13.2" x14ac:dyDescent="0.25">
      <c r="A661" s="2" t="s">
        <v>829</v>
      </c>
      <c r="B661" t="str">
        <f t="shared" si="33"/>
        <v>NKQWQB</v>
      </c>
      <c r="C661" t="str">
        <f t="shared" si="34"/>
        <v>74</v>
      </c>
      <c r="D661" t="str">
        <f t="shared" si="35"/>
        <v>QB</v>
      </c>
    </row>
    <row r="662" spans="1:4" ht="13.2" x14ac:dyDescent="0.25">
      <c r="A662" s="2" t="s">
        <v>830</v>
      </c>
      <c r="B662" t="str">
        <f t="shared" si="33"/>
        <v>MQLEMP</v>
      </c>
      <c r="C662" t="str">
        <f t="shared" si="34"/>
        <v>43</v>
      </c>
      <c r="D662" t="str">
        <f t="shared" si="35"/>
        <v>MP</v>
      </c>
    </row>
    <row r="663" spans="1:4" ht="13.2" x14ac:dyDescent="0.25">
      <c r="A663" s="2" t="s">
        <v>831</v>
      </c>
      <c r="B663" t="str">
        <f t="shared" si="33"/>
        <v>BVXDRD</v>
      </c>
      <c r="C663" t="str">
        <f t="shared" si="34"/>
        <v>41</v>
      </c>
      <c r="D663" t="str">
        <f t="shared" si="35"/>
        <v>RD</v>
      </c>
    </row>
    <row r="664" spans="1:4" ht="13.2" x14ac:dyDescent="0.25">
      <c r="A664" s="2" t="s">
        <v>832</v>
      </c>
      <c r="B664" t="str">
        <f t="shared" si="33"/>
        <v>HTKBDM</v>
      </c>
      <c r="C664" t="str">
        <f t="shared" si="34"/>
        <v>99</v>
      </c>
      <c r="D664" t="str">
        <f t="shared" si="35"/>
        <v>DM</v>
      </c>
    </row>
    <row r="665" spans="1:4" ht="13.2" x14ac:dyDescent="0.25">
      <c r="A665" s="2" t="s">
        <v>833</v>
      </c>
      <c r="B665" t="str">
        <f t="shared" si="33"/>
        <v>VLVERI</v>
      </c>
      <c r="C665" t="str">
        <f t="shared" si="34"/>
        <v>64</v>
      </c>
      <c r="D665" t="str">
        <f t="shared" si="35"/>
        <v>RI</v>
      </c>
    </row>
    <row r="666" spans="1:4" ht="13.2" x14ac:dyDescent="0.25">
      <c r="A666" s="2" t="s">
        <v>834</v>
      </c>
      <c r="B666" t="str">
        <f t="shared" si="33"/>
        <v>XRDAWQ</v>
      </c>
      <c r="C666" t="str">
        <f t="shared" si="34"/>
        <v>71</v>
      </c>
      <c r="D666" t="str">
        <f t="shared" si="35"/>
        <v>WQ</v>
      </c>
    </row>
    <row r="667" spans="1:4" ht="13.2" x14ac:dyDescent="0.25">
      <c r="A667" s="2" t="s">
        <v>835</v>
      </c>
      <c r="B667" t="str">
        <f t="shared" si="33"/>
        <v>YJUPBL</v>
      </c>
      <c r="C667" t="str">
        <f t="shared" si="34"/>
        <v>39</v>
      </c>
      <c r="D667" t="str">
        <f t="shared" si="35"/>
        <v>BL</v>
      </c>
    </row>
    <row r="668" spans="1:4" ht="13.2" x14ac:dyDescent="0.25">
      <c r="A668" s="2" t="s">
        <v>836</v>
      </c>
      <c r="B668" t="str">
        <f t="shared" si="33"/>
        <v>ZGDFAI</v>
      </c>
      <c r="C668" t="str">
        <f t="shared" si="34"/>
        <v>56</v>
      </c>
      <c r="D668" t="str">
        <f t="shared" si="35"/>
        <v>AI</v>
      </c>
    </row>
    <row r="669" spans="1:4" ht="13.2" x14ac:dyDescent="0.25">
      <c r="A669" s="2" t="s">
        <v>837</v>
      </c>
      <c r="B669" t="str">
        <f t="shared" si="33"/>
        <v>NLMTPJ</v>
      </c>
      <c r="C669" t="str">
        <f t="shared" si="34"/>
        <v>17</v>
      </c>
      <c r="D669" t="str">
        <f t="shared" si="35"/>
        <v>PJ</v>
      </c>
    </row>
    <row r="670" spans="1:4" ht="13.2" x14ac:dyDescent="0.25">
      <c r="A670" s="2" t="s">
        <v>838</v>
      </c>
      <c r="B670" t="str">
        <f t="shared" si="33"/>
        <v>NVUFZZ</v>
      </c>
      <c r="C670" t="str">
        <f t="shared" si="34"/>
        <v>67</v>
      </c>
      <c r="D670" t="str">
        <f t="shared" si="35"/>
        <v>ZZ</v>
      </c>
    </row>
    <row r="671" spans="1:4" ht="13.2" x14ac:dyDescent="0.25">
      <c r="A671" s="2" t="s">
        <v>839</v>
      </c>
      <c r="B671" t="str">
        <f t="shared" si="33"/>
        <v>MRICTW</v>
      </c>
      <c r="C671" t="str">
        <f t="shared" si="34"/>
        <v>18</v>
      </c>
      <c r="D671" t="str">
        <f t="shared" si="35"/>
        <v>TW</v>
      </c>
    </row>
    <row r="672" spans="1:4" ht="13.2" x14ac:dyDescent="0.25">
      <c r="A672" s="2" t="s">
        <v>840</v>
      </c>
      <c r="B672" t="str">
        <f t="shared" si="33"/>
        <v>FYFUHO</v>
      </c>
      <c r="C672" t="str">
        <f t="shared" si="34"/>
        <v>64</v>
      </c>
      <c r="D672" t="str">
        <f t="shared" si="35"/>
        <v>HO</v>
      </c>
    </row>
    <row r="673" spans="1:4" ht="13.2" x14ac:dyDescent="0.25">
      <c r="A673" s="2" t="s">
        <v>841</v>
      </c>
      <c r="B673" t="str">
        <f t="shared" si="33"/>
        <v>INJNKA</v>
      </c>
      <c r="C673" t="str">
        <f t="shared" si="34"/>
        <v>91</v>
      </c>
      <c r="D673" t="str">
        <f t="shared" si="35"/>
        <v>KA</v>
      </c>
    </row>
    <row r="674" spans="1:4" ht="13.2" x14ac:dyDescent="0.25">
      <c r="A674" s="2" t="s">
        <v>842</v>
      </c>
      <c r="B674" t="str">
        <f t="shared" si="33"/>
        <v>ZAVVOY</v>
      </c>
      <c r="C674" t="str">
        <f t="shared" si="34"/>
        <v>92</v>
      </c>
      <c r="D674" t="str">
        <f t="shared" si="35"/>
        <v>OY</v>
      </c>
    </row>
    <row r="675" spans="1:4" ht="13.2" x14ac:dyDescent="0.25">
      <c r="A675" s="2" t="s">
        <v>843</v>
      </c>
      <c r="B675" t="str">
        <f t="shared" si="33"/>
        <v>TBOYAK</v>
      </c>
      <c r="C675" t="str">
        <f t="shared" si="34"/>
        <v>33</v>
      </c>
      <c r="D675" t="str">
        <f t="shared" si="35"/>
        <v>AK</v>
      </c>
    </row>
    <row r="676" spans="1:4" ht="13.2" x14ac:dyDescent="0.25">
      <c r="A676" s="2" t="s">
        <v>844</v>
      </c>
      <c r="B676" t="str">
        <f t="shared" si="33"/>
        <v>OBIEZI</v>
      </c>
      <c r="C676" t="str">
        <f t="shared" si="34"/>
        <v>63</v>
      </c>
      <c r="D676" t="str">
        <f t="shared" si="35"/>
        <v>ZI</v>
      </c>
    </row>
    <row r="677" spans="1:4" ht="13.2" x14ac:dyDescent="0.25">
      <c r="A677" s="2" t="s">
        <v>845</v>
      </c>
      <c r="B677" t="str">
        <f t="shared" si="33"/>
        <v>ZRKAKV</v>
      </c>
      <c r="C677" t="str">
        <f t="shared" si="34"/>
        <v>49</v>
      </c>
      <c r="D677" t="str">
        <f t="shared" si="35"/>
        <v>KV</v>
      </c>
    </row>
    <row r="678" spans="1:4" ht="13.2" x14ac:dyDescent="0.25">
      <c r="A678" s="2" t="s">
        <v>846</v>
      </c>
      <c r="B678" t="str">
        <f t="shared" si="33"/>
        <v>SDGQDC</v>
      </c>
      <c r="C678" t="str">
        <f t="shared" si="34"/>
        <v>77</v>
      </c>
      <c r="D678" t="str">
        <f t="shared" si="35"/>
        <v>DC</v>
      </c>
    </row>
    <row r="679" spans="1:4" ht="13.2" x14ac:dyDescent="0.25">
      <c r="A679" s="2" t="s">
        <v>847</v>
      </c>
      <c r="B679" t="str">
        <f t="shared" si="33"/>
        <v>HZMXRX</v>
      </c>
      <c r="C679" t="str">
        <f t="shared" si="34"/>
        <v>62</v>
      </c>
      <c r="D679" t="str">
        <f t="shared" si="35"/>
        <v>RX</v>
      </c>
    </row>
    <row r="680" spans="1:4" ht="13.2" x14ac:dyDescent="0.25">
      <c r="A680" s="2" t="s">
        <v>848</v>
      </c>
      <c r="B680" t="str">
        <f t="shared" si="33"/>
        <v>MKRGKR</v>
      </c>
      <c r="C680" t="str">
        <f t="shared" si="34"/>
        <v>83</v>
      </c>
      <c r="D680" t="str">
        <f t="shared" si="35"/>
        <v>KR</v>
      </c>
    </row>
    <row r="681" spans="1:4" ht="13.2" x14ac:dyDescent="0.25">
      <c r="A681" s="2" t="s">
        <v>849</v>
      </c>
      <c r="B681" t="str">
        <f t="shared" si="33"/>
        <v>HXBURR</v>
      </c>
      <c r="C681" t="str">
        <f t="shared" si="34"/>
        <v>17</v>
      </c>
      <c r="D681" t="str">
        <f t="shared" si="35"/>
        <v>RR</v>
      </c>
    </row>
    <row r="682" spans="1:4" ht="13.2" x14ac:dyDescent="0.25">
      <c r="A682" s="2" t="s">
        <v>850</v>
      </c>
      <c r="B682" t="str">
        <f t="shared" si="33"/>
        <v>ZRCOLI</v>
      </c>
      <c r="C682" t="str">
        <f t="shared" si="34"/>
        <v>13</v>
      </c>
      <c r="D682" t="str">
        <f t="shared" si="35"/>
        <v>LI</v>
      </c>
    </row>
    <row r="683" spans="1:4" ht="13.2" x14ac:dyDescent="0.25">
      <c r="A683" s="2" t="s">
        <v>851</v>
      </c>
      <c r="B683" t="str">
        <f t="shared" si="33"/>
        <v>SPOZOT</v>
      </c>
      <c r="C683" t="str">
        <f t="shared" si="34"/>
        <v>96</v>
      </c>
      <c r="D683" t="str">
        <f t="shared" si="35"/>
        <v>OT</v>
      </c>
    </row>
    <row r="684" spans="1:4" ht="13.2" x14ac:dyDescent="0.25">
      <c r="A684" s="2" t="s">
        <v>852</v>
      </c>
      <c r="B684" t="str">
        <f t="shared" si="33"/>
        <v>DPOQUO</v>
      </c>
      <c r="C684" t="str">
        <f t="shared" si="34"/>
        <v>15</v>
      </c>
      <c r="D684" t="str">
        <f t="shared" si="35"/>
        <v>UO</v>
      </c>
    </row>
    <row r="685" spans="1:4" ht="13.2" x14ac:dyDescent="0.25">
      <c r="A685" s="2" t="s">
        <v>853</v>
      </c>
      <c r="B685" t="str">
        <f t="shared" si="33"/>
        <v>VPODKL</v>
      </c>
      <c r="C685" t="str">
        <f t="shared" si="34"/>
        <v>73</v>
      </c>
      <c r="D685" t="str">
        <f t="shared" si="35"/>
        <v>KL</v>
      </c>
    </row>
    <row r="686" spans="1:4" ht="13.2" x14ac:dyDescent="0.25">
      <c r="A686" s="2" t="s">
        <v>854</v>
      </c>
      <c r="B686" t="str">
        <f t="shared" si="33"/>
        <v>AAHQZU</v>
      </c>
      <c r="C686" t="str">
        <f t="shared" si="34"/>
        <v>21</v>
      </c>
      <c r="D686" t="str">
        <f t="shared" si="35"/>
        <v>ZU</v>
      </c>
    </row>
    <row r="687" spans="1:4" ht="13.2" x14ac:dyDescent="0.25">
      <c r="A687" s="2" t="s">
        <v>855</v>
      </c>
      <c r="B687" t="str">
        <f t="shared" si="33"/>
        <v>YEPVUB</v>
      </c>
      <c r="C687" t="str">
        <f t="shared" si="34"/>
        <v>67</v>
      </c>
      <c r="D687" t="str">
        <f t="shared" si="35"/>
        <v>UB</v>
      </c>
    </row>
    <row r="688" spans="1:4" ht="13.2" x14ac:dyDescent="0.25">
      <c r="A688" s="2" t="s">
        <v>856</v>
      </c>
      <c r="B688" t="str">
        <f t="shared" si="33"/>
        <v>CYRHFU</v>
      </c>
      <c r="C688" t="str">
        <f t="shared" si="34"/>
        <v>45</v>
      </c>
      <c r="D688" t="str">
        <f t="shared" si="35"/>
        <v>FU</v>
      </c>
    </row>
    <row r="689" spans="1:4" ht="13.2" x14ac:dyDescent="0.25">
      <c r="A689" s="2" t="s">
        <v>857</v>
      </c>
      <c r="B689" t="str">
        <f t="shared" si="33"/>
        <v>ADFACT</v>
      </c>
      <c r="C689" t="str">
        <f t="shared" si="34"/>
        <v>88</v>
      </c>
      <c r="D689" t="str">
        <f t="shared" si="35"/>
        <v>CT</v>
      </c>
    </row>
    <row r="690" spans="1:4" ht="13.2" x14ac:dyDescent="0.25">
      <c r="A690" s="2" t="s">
        <v>858</v>
      </c>
      <c r="B690" t="str">
        <f t="shared" si="33"/>
        <v>FBLAEJ</v>
      </c>
      <c r="C690" t="str">
        <f t="shared" si="34"/>
        <v>74</v>
      </c>
      <c r="D690" t="str">
        <f t="shared" si="35"/>
        <v>EJ</v>
      </c>
    </row>
    <row r="691" spans="1:4" ht="13.2" x14ac:dyDescent="0.25">
      <c r="A691" s="2" t="s">
        <v>859</v>
      </c>
      <c r="B691" t="str">
        <f t="shared" si="33"/>
        <v>MLGOGU</v>
      </c>
      <c r="C691" t="str">
        <f t="shared" si="34"/>
        <v>15</v>
      </c>
      <c r="D691" t="str">
        <f t="shared" si="35"/>
        <v>GU</v>
      </c>
    </row>
    <row r="692" spans="1:4" ht="13.2" x14ac:dyDescent="0.25">
      <c r="A692" s="2" t="s">
        <v>860</v>
      </c>
      <c r="B692" t="str">
        <f t="shared" si="33"/>
        <v>PEAFWI</v>
      </c>
      <c r="C692" t="str">
        <f t="shared" si="34"/>
        <v>92</v>
      </c>
      <c r="D692" t="str">
        <f t="shared" si="35"/>
        <v>WI</v>
      </c>
    </row>
    <row r="693" spans="1:4" ht="13.2" x14ac:dyDescent="0.25">
      <c r="A693" s="2" t="s">
        <v>861</v>
      </c>
      <c r="B693" t="str">
        <f t="shared" si="33"/>
        <v>MSRMGN</v>
      </c>
      <c r="C693" t="str">
        <f t="shared" si="34"/>
        <v>21</v>
      </c>
      <c r="D693" t="str">
        <f t="shared" si="35"/>
        <v>GN</v>
      </c>
    </row>
    <row r="694" spans="1:4" ht="13.2" x14ac:dyDescent="0.25">
      <c r="A694" s="2" t="s">
        <v>862</v>
      </c>
      <c r="B694" t="str">
        <f t="shared" si="33"/>
        <v>AYCTRW</v>
      </c>
      <c r="C694" t="str">
        <f t="shared" si="34"/>
        <v>93</v>
      </c>
      <c r="D694" t="str">
        <f t="shared" si="35"/>
        <v>RW</v>
      </c>
    </row>
    <row r="695" spans="1:4" ht="13.2" x14ac:dyDescent="0.25">
      <c r="A695" s="2" t="s">
        <v>863</v>
      </c>
      <c r="B695" t="str">
        <f t="shared" si="33"/>
        <v>GHLCZH</v>
      </c>
      <c r="C695" t="str">
        <f t="shared" si="34"/>
        <v>98</v>
      </c>
      <c r="D695" t="str">
        <f t="shared" si="35"/>
        <v>ZH</v>
      </c>
    </row>
    <row r="696" spans="1:4" ht="13.2" x14ac:dyDescent="0.25">
      <c r="A696" s="2" t="s">
        <v>864</v>
      </c>
      <c r="B696" t="str">
        <f t="shared" si="33"/>
        <v>WEKUKW</v>
      </c>
      <c r="C696" t="str">
        <f t="shared" si="34"/>
        <v>66</v>
      </c>
      <c r="D696" t="str">
        <f t="shared" si="35"/>
        <v>KW</v>
      </c>
    </row>
    <row r="697" spans="1:4" ht="13.2" x14ac:dyDescent="0.25">
      <c r="A697" s="2" t="s">
        <v>865</v>
      </c>
      <c r="B697" t="str">
        <f t="shared" si="33"/>
        <v>UDRDOE</v>
      </c>
      <c r="C697" t="str">
        <f t="shared" si="34"/>
        <v>46</v>
      </c>
      <c r="D697" t="str">
        <f t="shared" si="35"/>
        <v>OE</v>
      </c>
    </row>
    <row r="698" spans="1:4" ht="13.2" x14ac:dyDescent="0.25">
      <c r="A698" s="2" t="s">
        <v>866</v>
      </c>
      <c r="B698" t="str">
        <f t="shared" si="33"/>
        <v>ECGMPR</v>
      </c>
      <c r="C698" t="str">
        <f t="shared" si="34"/>
        <v>53</v>
      </c>
      <c r="D698" t="str">
        <f t="shared" si="35"/>
        <v>PR</v>
      </c>
    </row>
    <row r="699" spans="1:4" ht="13.2" x14ac:dyDescent="0.25">
      <c r="A699" s="2" t="s">
        <v>867</v>
      </c>
      <c r="B699" t="str">
        <f t="shared" si="33"/>
        <v>OQTLYC</v>
      </c>
      <c r="C699" t="str">
        <f t="shared" si="34"/>
        <v>99</v>
      </c>
      <c r="D699" t="str">
        <f t="shared" si="35"/>
        <v>YC</v>
      </c>
    </row>
    <row r="700" spans="1:4" ht="13.2" x14ac:dyDescent="0.25">
      <c r="A700" s="2" t="s">
        <v>868</v>
      </c>
      <c r="B700" t="str">
        <f t="shared" si="33"/>
        <v>ZUEYPW</v>
      </c>
      <c r="C700" t="str">
        <f t="shared" si="34"/>
        <v>28</v>
      </c>
      <c r="D700" t="str">
        <f t="shared" si="35"/>
        <v>PW</v>
      </c>
    </row>
    <row r="701" spans="1:4" ht="13.2" x14ac:dyDescent="0.25">
      <c r="A701" s="2" t="s">
        <v>869</v>
      </c>
      <c r="B701" t="str">
        <f t="shared" si="33"/>
        <v>MEIBXD</v>
      </c>
      <c r="C701" t="str">
        <f t="shared" si="34"/>
        <v>15</v>
      </c>
      <c r="D701" t="str">
        <f t="shared" si="35"/>
        <v>XD</v>
      </c>
    </row>
    <row r="702" spans="1:4" ht="13.2" x14ac:dyDescent="0.25">
      <c r="A702" s="2" t="s">
        <v>870</v>
      </c>
      <c r="B702" t="str">
        <f t="shared" si="33"/>
        <v>KBDPXS</v>
      </c>
      <c r="C702" t="str">
        <f t="shared" si="34"/>
        <v>95</v>
      </c>
      <c r="D702" t="str">
        <f t="shared" si="35"/>
        <v>XS</v>
      </c>
    </row>
    <row r="703" spans="1:4" ht="13.2" x14ac:dyDescent="0.25">
      <c r="A703" s="2" t="s">
        <v>871</v>
      </c>
      <c r="B703" t="str">
        <f t="shared" si="33"/>
        <v>UCJBPJ</v>
      </c>
      <c r="C703" t="str">
        <f t="shared" si="34"/>
        <v>18</v>
      </c>
      <c r="D703" t="str">
        <f t="shared" si="35"/>
        <v>PJ</v>
      </c>
    </row>
    <row r="704" spans="1:4" ht="13.2" x14ac:dyDescent="0.25">
      <c r="A704" s="2" t="s">
        <v>872</v>
      </c>
      <c r="B704" t="str">
        <f t="shared" si="33"/>
        <v>CNBUDZ</v>
      </c>
      <c r="C704" t="str">
        <f t="shared" si="34"/>
        <v>95</v>
      </c>
      <c r="D704" t="str">
        <f t="shared" si="35"/>
        <v>DZ</v>
      </c>
    </row>
    <row r="705" spans="1:4" ht="13.2" x14ac:dyDescent="0.25">
      <c r="A705" s="2" t="s">
        <v>873</v>
      </c>
      <c r="B705" t="str">
        <f t="shared" si="33"/>
        <v>POWPOL</v>
      </c>
      <c r="C705" t="str">
        <f t="shared" si="34"/>
        <v>19</v>
      </c>
      <c r="D705" t="str">
        <f t="shared" si="35"/>
        <v>OL</v>
      </c>
    </row>
    <row r="706" spans="1:4" ht="13.2" x14ac:dyDescent="0.25">
      <c r="A706" s="2" t="s">
        <v>874</v>
      </c>
      <c r="B706" t="str">
        <f t="shared" si="33"/>
        <v>HYNAXA</v>
      </c>
      <c r="C706" t="str">
        <f t="shared" si="34"/>
        <v>91</v>
      </c>
      <c r="D706" t="str">
        <f t="shared" si="35"/>
        <v>XA</v>
      </c>
    </row>
    <row r="707" spans="1:4" ht="13.2" x14ac:dyDescent="0.25">
      <c r="A707" s="2" t="s">
        <v>875</v>
      </c>
      <c r="B707" t="str">
        <f t="shared" si="33"/>
        <v>RHKMBZ</v>
      </c>
      <c r="C707" t="str">
        <f t="shared" si="34"/>
        <v>34</v>
      </c>
      <c r="D707" t="str">
        <f t="shared" si="35"/>
        <v>BZ</v>
      </c>
    </row>
    <row r="708" spans="1:4" ht="13.2" x14ac:dyDescent="0.25">
      <c r="A708" s="2" t="s">
        <v>876</v>
      </c>
      <c r="B708" t="str">
        <f t="shared" si="33"/>
        <v>AVZTGZ</v>
      </c>
      <c r="C708" t="str">
        <f t="shared" si="34"/>
        <v>86</v>
      </c>
      <c r="D708" t="str">
        <f t="shared" si="35"/>
        <v>GZ</v>
      </c>
    </row>
    <row r="709" spans="1:4" ht="13.2" x14ac:dyDescent="0.25">
      <c r="A709" s="2" t="s">
        <v>877</v>
      </c>
      <c r="B709" t="str">
        <f t="shared" si="33"/>
        <v>NWMNMO</v>
      </c>
      <c r="C709" t="str">
        <f t="shared" si="34"/>
        <v>84</v>
      </c>
      <c r="D709" t="str">
        <f t="shared" si="35"/>
        <v>MO</v>
      </c>
    </row>
    <row r="710" spans="1:4" ht="13.2" x14ac:dyDescent="0.25">
      <c r="A710" s="2" t="s">
        <v>878</v>
      </c>
      <c r="B710" t="str">
        <f t="shared" ref="B710:B721" si="36">LEFT(A710,6)</f>
        <v>COHKEQ</v>
      </c>
      <c r="C710" t="str">
        <f t="shared" ref="C710:C721" si="37">RIGHT(A710,2)</f>
        <v>28</v>
      </c>
      <c r="D710" t="str">
        <f t="shared" ref="D710:D721" si="38">MID(A710,5,2)</f>
        <v>EQ</v>
      </c>
    </row>
    <row r="711" spans="1:4" ht="13.2" x14ac:dyDescent="0.25">
      <c r="A711" s="2" t="s">
        <v>879</v>
      </c>
      <c r="B711" t="str">
        <f t="shared" si="36"/>
        <v>UXFHUO</v>
      </c>
      <c r="C711" t="str">
        <f t="shared" si="37"/>
        <v>73</v>
      </c>
      <c r="D711" t="str">
        <f t="shared" si="38"/>
        <v>UO</v>
      </c>
    </row>
    <row r="712" spans="1:4" ht="13.2" x14ac:dyDescent="0.25">
      <c r="A712" s="2" t="s">
        <v>880</v>
      </c>
      <c r="B712" t="str">
        <f t="shared" si="36"/>
        <v>URAKNX</v>
      </c>
      <c r="C712" t="str">
        <f t="shared" si="37"/>
        <v>26</v>
      </c>
      <c r="D712" t="str">
        <f t="shared" si="38"/>
        <v>NX</v>
      </c>
    </row>
    <row r="713" spans="1:4" ht="13.2" x14ac:dyDescent="0.25">
      <c r="A713" s="2" t="s">
        <v>881</v>
      </c>
      <c r="B713" t="str">
        <f t="shared" si="36"/>
        <v>RASHXY</v>
      </c>
      <c r="C713" t="str">
        <f t="shared" si="37"/>
        <v>92</v>
      </c>
      <c r="D713" t="str">
        <f t="shared" si="38"/>
        <v>XY</v>
      </c>
    </row>
    <row r="714" spans="1:4" ht="13.2" x14ac:dyDescent="0.25">
      <c r="A714" s="2" t="s">
        <v>882</v>
      </c>
      <c r="B714" t="str">
        <f t="shared" si="36"/>
        <v>QREAND</v>
      </c>
      <c r="C714" t="str">
        <f t="shared" si="37"/>
        <v>47</v>
      </c>
      <c r="D714" t="str">
        <f t="shared" si="38"/>
        <v>ND</v>
      </c>
    </row>
    <row r="715" spans="1:4" ht="13.2" x14ac:dyDescent="0.25">
      <c r="A715" s="2" t="s">
        <v>883</v>
      </c>
      <c r="B715" t="str">
        <f t="shared" si="36"/>
        <v>JZGEDS</v>
      </c>
      <c r="C715" t="str">
        <f t="shared" si="37"/>
        <v>86</v>
      </c>
      <c r="D715" t="str">
        <f t="shared" si="38"/>
        <v>DS</v>
      </c>
    </row>
    <row r="716" spans="1:4" ht="13.2" x14ac:dyDescent="0.25">
      <c r="A716" s="2" t="s">
        <v>884</v>
      </c>
      <c r="B716" t="str">
        <f t="shared" si="36"/>
        <v>UJYQFZ</v>
      </c>
      <c r="C716" t="str">
        <f t="shared" si="37"/>
        <v>22</v>
      </c>
      <c r="D716" t="str">
        <f t="shared" si="38"/>
        <v>FZ</v>
      </c>
    </row>
    <row r="717" spans="1:4" ht="13.2" x14ac:dyDescent="0.25">
      <c r="A717" s="2" t="s">
        <v>885</v>
      </c>
      <c r="B717" t="str">
        <f t="shared" si="36"/>
        <v>LVVVIC</v>
      </c>
      <c r="C717" t="str">
        <f t="shared" si="37"/>
        <v>29</v>
      </c>
      <c r="D717" t="str">
        <f t="shared" si="38"/>
        <v>IC</v>
      </c>
    </row>
    <row r="718" spans="1:4" ht="13.2" x14ac:dyDescent="0.25">
      <c r="A718" s="2" t="s">
        <v>886</v>
      </c>
      <c r="B718" t="str">
        <f t="shared" si="36"/>
        <v>JGUXLL</v>
      </c>
      <c r="C718" t="str">
        <f t="shared" si="37"/>
        <v>17</v>
      </c>
      <c r="D718" t="str">
        <f t="shared" si="38"/>
        <v>LL</v>
      </c>
    </row>
    <row r="719" spans="1:4" ht="13.2" x14ac:dyDescent="0.25">
      <c r="A719" s="2" t="s">
        <v>887</v>
      </c>
      <c r="B719" t="str">
        <f t="shared" si="36"/>
        <v>DBJDZZ</v>
      </c>
      <c r="C719" t="str">
        <f t="shared" si="37"/>
        <v>93</v>
      </c>
      <c r="D719" t="str">
        <f t="shared" si="38"/>
        <v>ZZ</v>
      </c>
    </row>
    <row r="720" spans="1:4" ht="13.2" x14ac:dyDescent="0.25">
      <c r="A720" s="2" t="s">
        <v>888</v>
      </c>
      <c r="B720" t="str">
        <f t="shared" si="36"/>
        <v>QVCUCJ</v>
      </c>
      <c r="C720" t="str">
        <f t="shared" si="37"/>
        <v>24</v>
      </c>
      <c r="D720" t="str">
        <f t="shared" si="38"/>
        <v>CJ</v>
      </c>
    </row>
    <row r="721" spans="1:4" ht="13.2" x14ac:dyDescent="0.25">
      <c r="A721" s="2" t="s">
        <v>889</v>
      </c>
      <c r="B721" t="str">
        <f t="shared" si="36"/>
        <v>CYMWHA</v>
      </c>
      <c r="C721" t="str">
        <f t="shared" si="37"/>
        <v>39</v>
      </c>
      <c r="D721" t="str">
        <f t="shared" si="38"/>
        <v>HA</v>
      </c>
    </row>
    <row r="722" spans="1:4" ht="13.2" x14ac:dyDescent="0.25">
      <c r="A722" s="2"/>
    </row>
    <row r="723" spans="1:4" ht="13.2" x14ac:dyDescent="0.25">
      <c r="A723" s="2"/>
    </row>
    <row r="724" spans="1:4" ht="13.2" x14ac:dyDescent="0.25">
      <c r="A724" s="2"/>
    </row>
    <row r="725" spans="1:4" ht="13.2" x14ac:dyDescent="0.25">
      <c r="A725" s="2"/>
    </row>
    <row r="726" spans="1:4" ht="13.2" x14ac:dyDescent="0.25">
      <c r="A726" s="2"/>
    </row>
    <row r="727" spans="1:4" ht="13.2" x14ac:dyDescent="0.25">
      <c r="A727" s="2"/>
    </row>
    <row r="728" spans="1:4" ht="13.2" x14ac:dyDescent="0.25">
      <c r="A728" s="2"/>
    </row>
    <row r="729" spans="1:4" ht="13.2" x14ac:dyDescent="0.25">
      <c r="A729" s="2"/>
    </row>
    <row r="730" spans="1:4" ht="13.2" x14ac:dyDescent="0.25">
      <c r="A730" s="2"/>
    </row>
    <row r="731" spans="1:4" ht="13.2" x14ac:dyDescent="0.25">
      <c r="A731" s="2"/>
    </row>
    <row r="732" spans="1:4" ht="13.2" x14ac:dyDescent="0.25">
      <c r="A732" s="2"/>
    </row>
    <row r="733" spans="1:4" ht="13.2" x14ac:dyDescent="0.25">
      <c r="A733" s="2"/>
    </row>
    <row r="734" spans="1:4" ht="13.2" x14ac:dyDescent="0.25">
      <c r="A734" s="2"/>
    </row>
    <row r="735" spans="1:4" ht="13.2" x14ac:dyDescent="0.25">
      <c r="A735" s="2"/>
    </row>
    <row r="736" spans="1:4" ht="13.2" x14ac:dyDescent="0.25">
      <c r="A736" s="2"/>
    </row>
    <row r="737" spans="1:1" ht="13.2" x14ac:dyDescent="0.25">
      <c r="A737" s="2"/>
    </row>
    <row r="738" spans="1:1" ht="13.2" x14ac:dyDescent="0.25">
      <c r="A738" s="2"/>
    </row>
    <row r="739" spans="1:1" ht="13.2" x14ac:dyDescent="0.25">
      <c r="A739" s="2"/>
    </row>
    <row r="740" spans="1:1" ht="13.2" x14ac:dyDescent="0.25">
      <c r="A740" s="2"/>
    </row>
    <row r="741" spans="1:1" ht="13.2" x14ac:dyDescent="0.25">
      <c r="A741" s="2"/>
    </row>
    <row r="742" spans="1:1" ht="13.2" x14ac:dyDescent="0.25">
      <c r="A742" s="2"/>
    </row>
    <row r="743" spans="1:1" ht="13.2" x14ac:dyDescent="0.25">
      <c r="A743" s="2"/>
    </row>
    <row r="744" spans="1:1" ht="13.2" x14ac:dyDescent="0.25">
      <c r="A744" s="2"/>
    </row>
    <row r="745" spans="1:1" ht="13.2" x14ac:dyDescent="0.25">
      <c r="A745" s="2"/>
    </row>
    <row r="746" spans="1:1" ht="13.2" x14ac:dyDescent="0.25">
      <c r="A746" s="2"/>
    </row>
    <row r="747" spans="1:1" ht="13.2" x14ac:dyDescent="0.25">
      <c r="A747" s="2"/>
    </row>
    <row r="748" spans="1:1" ht="13.2" x14ac:dyDescent="0.25">
      <c r="A748" s="2"/>
    </row>
    <row r="749" spans="1:1" ht="13.2" x14ac:dyDescent="0.25">
      <c r="A749" s="2"/>
    </row>
    <row r="750" spans="1:1" ht="13.2" x14ac:dyDescent="0.25">
      <c r="A750" s="2"/>
    </row>
    <row r="751" spans="1:1" ht="13.2" x14ac:dyDescent="0.25">
      <c r="A751" s="2"/>
    </row>
    <row r="752" spans="1:1" ht="13.2" x14ac:dyDescent="0.25">
      <c r="A752" s="2"/>
    </row>
    <row r="753" spans="1:1" ht="13.2" x14ac:dyDescent="0.25">
      <c r="A753" s="2"/>
    </row>
    <row r="754" spans="1:1" ht="13.2" x14ac:dyDescent="0.25">
      <c r="A754" s="2"/>
    </row>
    <row r="755" spans="1:1" ht="13.2" x14ac:dyDescent="0.25">
      <c r="A755" s="2"/>
    </row>
    <row r="756" spans="1:1" ht="13.2" x14ac:dyDescent="0.25">
      <c r="A756" s="2"/>
    </row>
    <row r="757" spans="1:1" ht="13.2" x14ac:dyDescent="0.25">
      <c r="A757" s="2"/>
    </row>
    <row r="758" spans="1:1" ht="13.2" x14ac:dyDescent="0.25">
      <c r="A758" s="2"/>
    </row>
    <row r="759" spans="1:1" ht="13.2" x14ac:dyDescent="0.25">
      <c r="A759" s="2"/>
    </row>
    <row r="760" spans="1:1" ht="13.2" x14ac:dyDescent="0.25">
      <c r="A760" s="2"/>
    </row>
    <row r="761" spans="1:1" ht="13.2" x14ac:dyDescent="0.25">
      <c r="A761" s="2"/>
    </row>
    <row r="762" spans="1:1" ht="13.2" x14ac:dyDescent="0.25">
      <c r="A762" s="2"/>
    </row>
    <row r="763" spans="1:1" ht="13.2" x14ac:dyDescent="0.25">
      <c r="A763" s="2"/>
    </row>
    <row r="764" spans="1:1" ht="13.2" x14ac:dyDescent="0.25">
      <c r="A764" s="2"/>
    </row>
    <row r="765" spans="1:1" ht="13.2" x14ac:dyDescent="0.25">
      <c r="A765" s="2"/>
    </row>
    <row r="766" spans="1:1" ht="13.2" x14ac:dyDescent="0.25">
      <c r="A766" s="2"/>
    </row>
    <row r="767" spans="1:1" ht="13.2" x14ac:dyDescent="0.25">
      <c r="A767" s="2"/>
    </row>
    <row r="768" spans="1:1" ht="13.2" x14ac:dyDescent="0.25">
      <c r="A768" s="2"/>
    </row>
    <row r="769" spans="1:1" ht="13.2" x14ac:dyDescent="0.25">
      <c r="A769" s="2"/>
    </row>
    <row r="770" spans="1:1" ht="13.2" x14ac:dyDescent="0.25">
      <c r="A770" s="2"/>
    </row>
    <row r="771" spans="1:1" ht="13.2" x14ac:dyDescent="0.25">
      <c r="A771" s="2"/>
    </row>
    <row r="772" spans="1:1" ht="13.2" x14ac:dyDescent="0.25">
      <c r="A772" s="2"/>
    </row>
    <row r="773" spans="1:1" ht="13.2" x14ac:dyDescent="0.25">
      <c r="A773" s="2"/>
    </row>
    <row r="774" spans="1:1" ht="13.2" x14ac:dyDescent="0.25">
      <c r="A774" s="2"/>
    </row>
    <row r="775" spans="1:1" ht="13.2" x14ac:dyDescent="0.25">
      <c r="A775" s="2"/>
    </row>
    <row r="776" spans="1:1" ht="13.2" x14ac:dyDescent="0.25">
      <c r="A776" s="2"/>
    </row>
    <row r="777" spans="1:1" ht="13.2" x14ac:dyDescent="0.25">
      <c r="A777" s="2"/>
    </row>
    <row r="778" spans="1:1" ht="13.2" x14ac:dyDescent="0.25">
      <c r="A778" s="2"/>
    </row>
    <row r="779" spans="1:1" ht="13.2" x14ac:dyDescent="0.25">
      <c r="A779" s="2"/>
    </row>
    <row r="780" spans="1:1" ht="13.2" x14ac:dyDescent="0.25">
      <c r="A780" s="2"/>
    </row>
    <row r="781" spans="1:1" ht="13.2" x14ac:dyDescent="0.25">
      <c r="A781" s="2"/>
    </row>
    <row r="782" spans="1:1" ht="13.2" x14ac:dyDescent="0.25">
      <c r="A782" s="2"/>
    </row>
    <row r="783" spans="1:1" ht="13.2" x14ac:dyDescent="0.25">
      <c r="A783" s="2"/>
    </row>
    <row r="784" spans="1:1" ht="13.2" x14ac:dyDescent="0.25">
      <c r="A784" s="2"/>
    </row>
    <row r="785" spans="1:1" ht="13.2" x14ac:dyDescent="0.25">
      <c r="A785" s="2"/>
    </row>
    <row r="786" spans="1:1" ht="13.2" x14ac:dyDescent="0.25">
      <c r="A786" s="2"/>
    </row>
    <row r="787" spans="1:1" ht="13.2" x14ac:dyDescent="0.25">
      <c r="A787" s="2"/>
    </row>
    <row r="788" spans="1:1" ht="13.2" x14ac:dyDescent="0.25">
      <c r="A788" s="2"/>
    </row>
    <row r="789" spans="1:1" ht="13.2" x14ac:dyDescent="0.25">
      <c r="A789" s="2"/>
    </row>
    <row r="790" spans="1:1" ht="13.2" x14ac:dyDescent="0.25">
      <c r="A790" s="2"/>
    </row>
    <row r="791" spans="1:1" ht="13.2" x14ac:dyDescent="0.25">
      <c r="A791" s="2"/>
    </row>
    <row r="792" spans="1:1" ht="13.2" x14ac:dyDescent="0.25">
      <c r="A792" s="2"/>
    </row>
    <row r="793" spans="1:1" ht="13.2" x14ac:dyDescent="0.25">
      <c r="A793" s="2"/>
    </row>
    <row r="794" spans="1:1" ht="13.2" x14ac:dyDescent="0.25">
      <c r="A794" s="2"/>
    </row>
    <row r="795" spans="1:1" ht="13.2" x14ac:dyDescent="0.25">
      <c r="A795" s="2"/>
    </row>
    <row r="796" spans="1:1" ht="13.2" x14ac:dyDescent="0.25">
      <c r="A796" s="2"/>
    </row>
    <row r="797" spans="1:1" ht="13.2" x14ac:dyDescent="0.25">
      <c r="A797" s="2"/>
    </row>
    <row r="798" spans="1:1" ht="13.2" x14ac:dyDescent="0.25">
      <c r="A798" s="2"/>
    </row>
    <row r="799" spans="1:1" ht="13.2" x14ac:dyDescent="0.25">
      <c r="A799" s="2"/>
    </row>
    <row r="800" spans="1:1" ht="13.2" x14ac:dyDescent="0.25">
      <c r="A800" s="2"/>
    </row>
    <row r="801" spans="1:1" ht="13.2" x14ac:dyDescent="0.25">
      <c r="A801" s="2"/>
    </row>
    <row r="802" spans="1:1" ht="13.2" x14ac:dyDescent="0.25">
      <c r="A802" s="2"/>
    </row>
    <row r="803" spans="1:1" ht="13.2" x14ac:dyDescent="0.25">
      <c r="A803" s="2"/>
    </row>
    <row r="804" spans="1:1" ht="13.2" x14ac:dyDescent="0.25">
      <c r="A804" s="2"/>
    </row>
    <row r="805" spans="1:1" ht="13.2" x14ac:dyDescent="0.25">
      <c r="A805" s="2"/>
    </row>
    <row r="806" spans="1:1" ht="13.2" x14ac:dyDescent="0.25">
      <c r="A806" s="2"/>
    </row>
    <row r="807" spans="1:1" ht="13.2" x14ac:dyDescent="0.25">
      <c r="A807" s="2"/>
    </row>
    <row r="808" spans="1:1" ht="13.2" x14ac:dyDescent="0.25">
      <c r="A808" s="2"/>
    </row>
    <row r="809" spans="1:1" ht="13.2" x14ac:dyDescent="0.25">
      <c r="A809" s="2"/>
    </row>
    <row r="810" spans="1:1" ht="13.2" x14ac:dyDescent="0.25">
      <c r="A810" s="2"/>
    </row>
    <row r="811" spans="1:1" ht="13.2" x14ac:dyDescent="0.25">
      <c r="A811" s="2"/>
    </row>
    <row r="812" spans="1:1" ht="13.2" x14ac:dyDescent="0.25">
      <c r="A812" s="2"/>
    </row>
    <row r="813" spans="1:1" ht="13.2" x14ac:dyDescent="0.25">
      <c r="A813" s="2"/>
    </row>
    <row r="814" spans="1:1" ht="13.2" x14ac:dyDescent="0.25">
      <c r="A814" s="2"/>
    </row>
    <row r="815" spans="1:1" ht="13.2" x14ac:dyDescent="0.25">
      <c r="A815" s="2"/>
    </row>
    <row r="816" spans="1:1" ht="13.2" x14ac:dyDescent="0.25">
      <c r="A816" s="2"/>
    </row>
    <row r="817" spans="1:1" ht="13.2" x14ac:dyDescent="0.25">
      <c r="A817" s="2"/>
    </row>
    <row r="818" spans="1:1" ht="13.2" x14ac:dyDescent="0.25">
      <c r="A818" s="2"/>
    </row>
    <row r="819" spans="1:1" ht="13.2" x14ac:dyDescent="0.25">
      <c r="A819" s="2"/>
    </row>
    <row r="820" spans="1:1" ht="13.2" x14ac:dyDescent="0.25">
      <c r="A820" s="2"/>
    </row>
    <row r="821" spans="1:1" ht="13.2" x14ac:dyDescent="0.25">
      <c r="A821" s="2"/>
    </row>
    <row r="822" spans="1:1" ht="13.2" x14ac:dyDescent="0.25">
      <c r="A822" s="2"/>
    </row>
    <row r="823" spans="1:1" ht="13.2" x14ac:dyDescent="0.25">
      <c r="A823" s="2"/>
    </row>
    <row r="824" spans="1:1" ht="13.2" x14ac:dyDescent="0.25">
      <c r="A824" s="2"/>
    </row>
    <row r="825" spans="1:1" ht="13.2" x14ac:dyDescent="0.25">
      <c r="A825" s="2"/>
    </row>
    <row r="826" spans="1:1" ht="13.2" x14ac:dyDescent="0.25">
      <c r="A826" s="2"/>
    </row>
    <row r="827" spans="1:1" ht="13.2" x14ac:dyDescent="0.25">
      <c r="A827" s="2"/>
    </row>
    <row r="828" spans="1:1" ht="13.2" x14ac:dyDescent="0.25">
      <c r="A828" s="2"/>
    </row>
    <row r="829" spans="1:1" ht="13.2" x14ac:dyDescent="0.25">
      <c r="A829" s="2"/>
    </row>
    <row r="830" spans="1:1" ht="13.2" x14ac:dyDescent="0.25">
      <c r="A830" s="2"/>
    </row>
    <row r="831" spans="1:1" ht="13.2" x14ac:dyDescent="0.25">
      <c r="A831" s="2"/>
    </row>
    <row r="832" spans="1:1" ht="13.2" x14ac:dyDescent="0.25">
      <c r="A832" s="2"/>
    </row>
    <row r="833" spans="1:1" ht="13.2" x14ac:dyDescent="0.25">
      <c r="A833" s="2"/>
    </row>
    <row r="834" spans="1:1" ht="13.2" x14ac:dyDescent="0.25">
      <c r="A834" s="2"/>
    </row>
    <row r="835" spans="1:1" ht="13.2" x14ac:dyDescent="0.25">
      <c r="A835" s="2"/>
    </row>
    <row r="836" spans="1:1" ht="13.2" x14ac:dyDescent="0.25">
      <c r="A836" s="2"/>
    </row>
    <row r="837" spans="1:1" ht="13.2" x14ac:dyDescent="0.25">
      <c r="A837" s="2"/>
    </row>
    <row r="838" spans="1:1" ht="13.2" x14ac:dyDescent="0.25">
      <c r="A838" s="2"/>
    </row>
    <row r="839" spans="1:1" ht="13.2" x14ac:dyDescent="0.25">
      <c r="A839" s="2"/>
    </row>
    <row r="840" spans="1:1" ht="13.2" x14ac:dyDescent="0.25">
      <c r="A840" s="2"/>
    </row>
    <row r="841" spans="1:1" ht="13.2" x14ac:dyDescent="0.25">
      <c r="A841" s="2"/>
    </row>
    <row r="842" spans="1:1" ht="13.2" x14ac:dyDescent="0.25">
      <c r="A842" s="2"/>
    </row>
    <row r="843" spans="1:1" ht="13.2" x14ac:dyDescent="0.25">
      <c r="A843" s="2"/>
    </row>
    <row r="844" spans="1:1" ht="13.2" x14ac:dyDescent="0.25">
      <c r="A844" s="2"/>
    </row>
    <row r="845" spans="1:1" ht="13.2" x14ac:dyDescent="0.25">
      <c r="A845" s="2"/>
    </row>
    <row r="846" spans="1:1" ht="13.2" x14ac:dyDescent="0.25">
      <c r="A846" s="2"/>
    </row>
    <row r="847" spans="1:1" ht="13.2" x14ac:dyDescent="0.25">
      <c r="A847" s="2"/>
    </row>
    <row r="848" spans="1:1" ht="13.2" x14ac:dyDescent="0.25">
      <c r="A848" s="2"/>
    </row>
    <row r="849" spans="1:1" ht="13.2" x14ac:dyDescent="0.25">
      <c r="A849" s="2"/>
    </row>
    <row r="850" spans="1:1" ht="13.2" x14ac:dyDescent="0.25">
      <c r="A850" s="2"/>
    </row>
    <row r="851" spans="1:1" ht="13.2" x14ac:dyDescent="0.25">
      <c r="A851" s="2"/>
    </row>
    <row r="852" spans="1:1" ht="13.2" x14ac:dyDescent="0.25">
      <c r="A852" s="2"/>
    </row>
    <row r="853" spans="1:1" ht="13.2" x14ac:dyDescent="0.25">
      <c r="A853" s="2"/>
    </row>
    <row r="854" spans="1:1" ht="13.2" x14ac:dyDescent="0.25">
      <c r="A854" s="2"/>
    </row>
    <row r="855" spans="1:1" ht="13.2" x14ac:dyDescent="0.25">
      <c r="A855" s="2"/>
    </row>
    <row r="856" spans="1:1" ht="13.2" x14ac:dyDescent="0.25">
      <c r="A856" s="2"/>
    </row>
    <row r="857" spans="1:1" ht="13.2" x14ac:dyDescent="0.25">
      <c r="A857" s="2"/>
    </row>
    <row r="858" spans="1:1" ht="13.2" x14ac:dyDescent="0.25">
      <c r="A858" s="2"/>
    </row>
    <row r="859" spans="1:1" ht="13.2" x14ac:dyDescent="0.25">
      <c r="A859" s="2"/>
    </row>
    <row r="860" spans="1:1" ht="13.2" x14ac:dyDescent="0.25">
      <c r="A860" s="2"/>
    </row>
    <row r="861" spans="1:1" ht="13.2" x14ac:dyDescent="0.25">
      <c r="A861" s="2"/>
    </row>
    <row r="862" spans="1:1" ht="13.2" x14ac:dyDescent="0.25">
      <c r="A862" s="2"/>
    </row>
    <row r="863" spans="1:1" ht="13.2" x14ac:dyDescent="0.25">
      <c r="A863" s="2"/>
    </row>
    <row r="864" spans="1:1" ht="13.2" x14ac:dyDescent="0.25">
      <c r="A864" s="2"/>
    </row>
    <row r="865" spans="1:1" ht="13.2" x14ac:dyDescent="0.25">
      <c r="A865" s="2"/>
    </row>
    <row r="866" spans="1:1" ht="13.2" x14ac:dyDescent="0.25">
      <c r="A866" s="2"/>
    </row>
    <row r="867" spans="1:1" ht="13.2" x14ac:dyDescent="0.25">
      <c r="A867" s="2"/>
    </row>
    <row r="868" spans="1:1" ht="13.2" x14ac:dyDescent="0.25">
      <c r="A868" s="2"/>
    </row>
    <row r="869" spans="1:1" ht="13.2" x14ac:dyDescent="0.25">
      <c r="A869" s="2"/>
    </row>
    <row r="870" spans="1:1" ht="13.2" x14ac:dyDescent="0.25">
      <c r="A870" s="2"/>
    </row>
    <row r="871" spans="1:1" ht="13.2" x14ac:dyDescent="0.25">
      <c r="A871" s="2"/>
    </row>
    <row r="872" spans="1:1" ht="13.2" x14ac:dyDescent="0.25">
      <c r="A872" s="2"/>
    </row>
    <row r="873" spans="1:1" ht="13.2" x14ac:dyDescent="0.25">
      <c r="A873" s="2"/>
    </row>
    <row r="874" spans="1:1" ht="13.2" x14ac:dyDescent="0.25">
      <c r="A874" s="2"/>
    </row>
    <row r="875" spans="1:1" ht="13.2" x14ac:dyDescent="0.25">
      <c r="A875" s="2"/>
    </row>
    <row r="876" spans="1:1" ht="13.2" x14ac:dyDescent="0.25">
      <c r="A876" s="2"/>
    </row>
    <row r="877" spans="1:1" ht="13.2" x14ac:dyDescent="0.25">
      <c r="A877" s="2"/>
    </row>
    <row r="878" spans="1:1" ht="13.2" x14ac:dyDescent="0.25">
      <c r="A878" s="2"/>
    </row>
    <row r="879" spans="1:1" ht="13.2" x14ac:dyDescent="0.25">
      <c r="A879" s="2"/>
    </row>
    <row r="880" spans="1:1" ht="13.2" x14ac:dyDescent="0.25">
      <c r="A880" s="2"/>
    </row>
    <row r="881" spans="1:1" ht="13.2" x14ac:dyDescent="0.25">
      <c r="A881" s="2"/>
    </row>
    <row r="882" spans="1:1" ht="13.2" x14ac:dyDescent="0.25">
      <c r="A882" s="2"/>
    </row>
    <row r="883" spans="1:1" ht="13.2" x14ac:dyDescent="0.25">
      <c r="A883" s="2"/>
    </row>
    <row r="884" spans="1:1" ht="13.2" x14ac:dyDescent="0.25">
      <c r="A884" s="2"/>
    </row>
    <row r="885" spans="1:1" ht="13.2" x14ac:dyDescent="0.25">
      <c r="A885" s="2"/>
    </row>
    <row r="886" spans="1:1" ht="13.2" x14ac:dyDescent="0.25">
      <c r="A886" s="2"/>
    </row>
    <row r="887" spans="1:1" ht="13.2" x14ac:dyDescent="0.25">
      <c r="A887" s="2"/>
    </row>
    <row r="888" spans="1:1" ht="13.2" x14ac:dyDescent="0.25">
      <c r="A888" s="2"/>
    </row>
    <row r="889" spans="1:1" ht="13.2" x14ac:dyDescent="0.25">
      <c r="A889" s="2"/>
    </row>
    <row r="890" spans="1:1" ht="13.2" x14ac:dyDescent="0.25">
      <c r="A890" s="2"/>
    </row>
    <row r="891" spans="1:1" ht="13.2" x14ac:dyDescent="0.25">
      <c r="A891" s="2"/>
    </row>
    <row r="892" spans="1:1" ht="13.2" x14ac:dyDescent="0.25">
      <c r="A892" s="2"/>
    </row>
    <row r="893" spans="1:1" ht="13.2" x14ac:dyDescent="0.25">
      <c r="A893" s="2"/>
    </row>
    <row r="894" spans="1:1" ht="13.2" x14ac:dyDescent="0.25">
      <c r="A894" s="2"/>
    </row>
    <row r="895" spans="1:1" ht="13.2" x14ac:dyDescent="0.25">
      <c r="A895" s="2"/>
    </row>
    <row r="896" spans="1:1" ht="13.2" x14ac:dyDescent="0.25">
      <c r="A896" s="2"/>
    </row>
    <row r="897" spans="1:1" ht="13.2" x14ac:dyDescent="0.25">
      <c r="A897" s="2"/>
    </row>
    <row r="898" spans="1:1" ht="13.2" x14ac:dyDescent="0.25">
      <c r="A898" s="2"/>
    </row>
    <row r="899" spans="1:1" ht="13.2" x14ac:dyDescent="0.25">
      <c r="A899" s="2"/>
    </row>
    <row r="900" spans="1:1" ht="13.2" x14ac:dyDescent="0.25">
      <c r="A900" s="2"/>
    </row>
    <row r="901" spans="1:1" ht="13.2" x14ac:dyDescent="0.25">
      <c r="A901" s="2"/>
    </row>
    <row r="902" spans="1:1" ht="13.2" x14ac:dyDescent="0.25">
      <c r="A902" s="2"/>
    </row>
    <row r="903" spans="1:1" ht="13.2" x14ac:dyDescent="0.25">
      <c r="A903" s="2"/>
    </row>
    <row r="904" spans="1:1" ht="13.2" x14ac:dyDescent="0.25">
      <c r="A904" s="2"/>
    </row>
    <row r="905" spans="1:1" ht="13.2" x14ac:dyDescent="0.25">
      <c r="A905" s="2"/>
    </row>
    <row r="906" spans="1:1" ht="13.2" x14ac:dyDescent="0.25">
      <c r="A906" s="2"/>
    </row>
    <row r="907" spans="1:1" ht="13.2" x14ac:dyDescent="0.25">
      <c r="A907" s="2"/>
    </row>
    <row r="908" spans="1:1" ht="13.2" x14ac:dyDescent="0.25">
      <c r="A908" s="2"/>
    </row>
    <row r="909" spans="1:1" ht="13.2" x14ac:dyDescent="0.25">
      <c r="A909" s="2"/>
    </row>
    <row r="910" spans="1:1" ht="13.2" x14ac:dyDescent="0.25">
      <c r="A910" s="2"/>
    </row>
    <row r="911" spans="1:1" ht="13.2" x14ac:dyDescent="0.25">
      <c r="A911" s="2"/>
    </row>
    <row r="912" spans="1:1" ht="13.2" x14ac:dyDescent="0.25">
      <c r="A912" s="2"/>
    </row>
    <row r="913" spans="1:1" ht="13.2" x14ac:dyDescent="0.25">
      <c r="A913" s="2"/>
    </row>
    <row r="914" spans="1:1" ht="13.2" x14ac:dyDescent="0.25">
      <c r="A914" s="2"/>
    </row>
    <row r="915" spans="1:1" ht="13.2" x14ac:dyDescent="0.25">
      <c r="A915" s="2"/>
    </row>
    <row r="916" spans="1:1" ht="13.2" x14ac:dyDescent="0.25">
      <c r="A916" s="2"/>
    </row>
    <row r="917" spans="1:1" ht="13.2" x14ac:dyDescent="0.25">
      <c r="A917" s="2"/>
    </row>
    <row r="918" spans="1:1" ht="13.2" x14ac:dyDescent="0.25">
      <c r="A918" s="2"/>
    </row>
    <row r="919" spans="1:1" ht="13.2" x14ac:dyDescent="0.25">
      <c r="A919" s="2"/>
    </row>
    <row r="920" spans="1:1" ht="13.2" x14ac:dyDescent="0.25">
      <c r="A920" s="2"/>
    </row>
    <row r="921" spans="1:1" ht="13.2" x14ac:dyDescent="0.25">
      <c r="A921" s="2"/>
    </row>
    <row r="922" spans="1:1" ht="13.2" x14ac:dyDescent="0.25">
      <c r="A922" s="2"/>
    </row>
    <row r="923" spans="1:1" ht="13.2" x14ac:dyDescent="0.25">
      <c r="A923" s="2"/>
    </row>
    <row r="924" spans="1:1" ht="13.2" x14ac:dyDescent="0.25">
      <c r="A924" s="2"/>
    </row>
    <row r="925" spans="1:1" ht="13.2" x14ac:dyDescent="0.25">
      <c r="A925" s="2"/>
    </row>
    <row r="926" spans="1:1" ht="13.2" x14ac:dyDescent="0.25">
      <c r="A926" s="2"/>
    </row>
    <row r="927" spans="1:1" ht="13.2" x14ac:dyDescent="0.25">
      <c r="A927" s="2"/>
    </row>
    <row r="928" spans="1:1" ht="13.2" x14ac:dyDescent="0.25">
      <c r="A928" s="2"/>
    </row>
    <row r="929" spans="1:1" ht="13.2" x14ac:dyDescent="0.25">
      <c r="A929" s="2"/>
    </row>
    <row r="930" spans="1:1" ht="13.2" x14ac:dyDescent="0.25">
      <c r="A930" s="2"/>
    </row>
    <row r="931" spans="1:1" ht="13.2" x14ac:dyDescent="0.25">
      <c r="A931" s="2"/>
    </row>
    <row r="932" spans="1:1" ht="13.2" x14ac:dyDescent="0.25">
      <c r="A932" s="2"/>
    </row>
    <row r="933" spans="1:1" ht="13.2" x14ac:dyDescent="0.25">
      <c r="A933" s="2"/>
    </row>
    <row r="934" spans="1:1" ht="13.2" x14ac:dyDescent="0.25">
      <c r="A934" s="2"/>
    </row>
    <row r="935" spans="1:1" ht="13.2" x14ac:dyDescent="0.25">
      <c r="A935" s="2"/>
    </row>
    <row r="936" spans="1:1" ht="13.2" x14ac:dyDescent="0.25">
      <c r="A936" s="2"/>
    </row>
    <row r="937" spans="1:1" ht="13.2" x14ac:dyDescent="0.25">
      <c r="A937" s="2"/>
    </row>
    <row r="938" spans="1:1" ht="13.2" x14ac:dyDescent="0.25">
      <c r="A938" s="2"/>
    </row>
    <row r="939" spans="1:1" ht="13.2" x14ac:dyDescent="0.25">
      <c r="A939" s="2"/>
    </row>
    <row r="940" spans="1:1" ht="13.2" x14ac:dyDescent="0.25">
      <c r="A940" s="2"/>
    </row>
    <row r="941" spans="1:1" ht="13.2" x14ac:dyDescent="0.25">
      <c r="A941" s="2"/>
    </row>
    <row r="942" spans="1:1" ht="13.2" x14ac:dyDescent="0.25">
      <c r="A942" s="2"/>
    </row>
    <row r="943" spans="1:1" ht="13.2" x14ac:dyDescent="0.25">
      <c r="A943" s="2"/>
    </row>
    <row r="944" spans="1:1" ht="13.2" x14ac:dyDescent="0.25">
      <c r="A944" s="2"/>
    </row>
    <row r="945" spans="1:1" ht="13.2" x14ac:dyDescent="0.25">
      <c r="A945" s="2"/>
    </row>
    <row r="946" spans="1:1" ht="13.2" x14ac:dyDescent="0.25">
      <c r="A946" s="2"/>
    </row>
    <row r="947" spans="1:1" ht="13.2" x14ac:dyDescent="0.25">
      <c r="A947" s="2"/>
    </row>
    <row r="948" spans="1:1" ht="13.2" x14ac:dyDescent="0.25">
      <c r="A948" s="2"/>
    </row>
    <row r="949" spans="1:1" ht="13.2" x14ac:dyDescent="0.25">
      <c r="A949" s="2"/>
    </row>
    <row r="950" spans="1:1" ht="13.2" x14ac:dyDescent="0.25">
      <c r="A950" s="2"/>
    </row>
    <row r="951" spans="1:1" ht="13.2" x14ac:dyDescent="0.25">
      <c r="A951" s="2"/>
    </row>
    <row r="952" spans="1:1" ht="13.2" x14ac:dyDescent="0.25">
      <c r="A952" s="2"/>
    </row>
    <row r="953" spans="1:1" ht="13.2" x14ac:dyDescent="0.25">
      <c r="A953" s="2"/>
    </row>
    <row r="954" spans="1:1" ht="13.2" x14ac:dyDescent="0.25">
      <c r="A954" s="2"/>
    </row>
    <row r="955" spans="1:1" ht="13.2" x14ac:dyDescent="0.25">
      <c r="A955" s="2"/>
    </row>
    <row r="956" spans="1:1" ht="13.2" x14ac:dyDescent="0.25">
      <c r="A956" s="2"/>
    </row>
    <row r="957" spans="1:1" ht="13.2" x14ac:dyDescent="0.25">
      <c r="A957" s="2"/>
    </row>
    <row r="958" spans="1:1" ht="13.2" x14ac:dyDescent="0.25">
      <c r="A958" s="2"/>
    </row>
    <row r="959" spans="1:1" ht="13.2" x14ac:dyDescent="0.25">
      <c r="A959" s="2"/>
    </row>
    <row r="960" spans="1:1" ht="13.2" x14ac:dyDescent="0.25">
      <c r="A960" s="2"/>
    </row>
    <row r="961" spans="1:1" ht="13.2" x14ac:dyDescent="0.25">
      <c r="A961" s="2"/>
    </row>
    <row r="962" spans="1:1" ht="13.2" x14ac:dyDescent="0.25">
      <c r="A962" s="2"/>
    </row>
    <row r="963" spans="1:1" ht="13.2" x14ac:dyDescent="0.25">
      <c r="A963" s="2"/>
    </row>
    <row r="964" spans="1:1" ht="13.2" x14ac:dyDescent="0.25">
      <c r="A964" s="2"/>
    </row>
    <row r="965" spans="1:1" ht="13.2" x14ac:dyDescent="0.25">
      <c r="A965" s="2"/>
    </row>
    <row r="966" spans="1:1" ht="13.2" x14ac:dyDescent="0.25">
      <c r="A966" s="2"/>
    </row>
    <row r="967" spans="1:1" ht="13.2" x14ac:dyDescent="0.25">
      <c r="A967" s="2"/>
    </row>
    <row r="968" spans="1:1" ht="13.2" x14ac:dyDescent="0.25">
      <c r="A968" s="2"/>
    </row>
    <row r="969" spans="1:1" ht="13.2" x14ac:dyDescent="0.25">
      <c r="A969" s="2"/>
    </row>
    <row r="970" spans="1:1" ht="13.2" x14ac:dyDescent="0.25">
      <c r="A970" s="2"/>
    </row>
    <row r="971" spans="1:1" ht="13.2" x14ac:dyDescent="0.25">
      <c r="A971" s="2"/>
    </row>
    <row r="972" spans="1:1" ht="13.2" x14ac:dyDescent="0.25">
      <c r="A972" s="2"/>
    </row>
    <row r="973" spans="1:1" ht="13.2" x14ac:dyDescent="0.25">
      <c r="A973" s="2"/>
    </row>
    <row r="974" spans="1:1" ht="13.2" x14ac:dyDescent="0.25">
      <c r="A974" s="2"/>
    </row>
    <row r="975" spans="1:1" ht="13.2" x14ac:dyDescent="0.25">
      <c r="A975" s="2"/>
    </row>
    <row r="976" spans="1:1" ht="13.2" x14ac:dyDescent="0.25">
      <c r="A976" s="2"/>
    </row>
    <row r="977" spans="1:1" ht="13.2" x14ac:dyDescent="0.25">
      <c r="A977" s="2"/>
    </row>
    <row r="978" spans="1:1" ht="13.2" x14ac:dyDescent="0.25">
      <c r="A978" s="2"/>
    </row>
    <row r="979" spans="1:1" ht="13.2" x14ac:dyDescent="0.25">
      <c r="A979" s="2"/>
    </row>
    <row r="980" spans="1:1" ht="13.2" x14ac:dyDescent="0.25">
      <c r="A980" s="2"/>
    </row>
    <row r="981" spans="1:1" ht="13.2" x14ac:dyDescent="0.25">
      <c r="A981" s="2"/>
    </row>
    <row r="982" spans="1:1" ht="13.2" x14ac:dyDescent="0.25">
      <c r="A982" s="2"/>
    </row>
    <row r="983" spans="1:1" ht="13.2" x14ac:dyDescent="0.25">
      <c r="A983" s="2"/>
    </row>
    <row r="984" spans="1:1" ht="13.2" x14ac:dyDescent="0.25">
      <c r="A984" s="2"/>
    </row>
    <row r="985" spans="1:1" ht="13.2" x14ac:dyDescent="0.25">
      <c r="A985" s="2"/>
    </row>
    <row r="986" spans="1:1" ht="13.2" x14ac:dyDescent="0.25">
      <c r="A986" s="2"/>
    </row>
    <row r="987" spans="1:1" ht="13.2" x14ac:dyDescent="0.25">
      <c r="A987" s="2"/>
    </row>
    <row r="988" spans="1:1" ht="13.2" x14ac:dyDescent="0.25">
      <c r="A988" s="2"/>
    </row>
    <row r="989" spans="1:1" ht="13.2" x14ac:dyDescent="0.25">
      <c r="A989" s="2"/>
    </row>
    <row r="990" spans="1:1" ht="13.2" x14ac:dyDescent="0.25">
      <c r="A990" s="2"/>
    </row>
    <row r="991" spans="1:1" ht="13.2" x14ac:dyDescent="0.25">
      <c r="A991" s="2"/>
    </row>
    <row r="992" spans="1:1" ht="13.2" x14ac:dyDescent="0.25">
      <c r="A992" s="2"/>
    </row>
    <row r="993" spans="1:1" ht="13.2" x14ac:dyDescent="0.25">
      <c r="A993" s="2"/>
    </row>
    <row r="994" spans="1:1" ht="13.2" x14ac:dyDescent="0.25">
      <c r="A994" s="2"/>
    </row>
    <row r="995" spans="1:1" ht="13.2" x14ac:dyDescent="0.25">
      <c r="A995" s="2"/>
    </row>
    <row r="996" spans="1:1" ht="13.2" x14ac:dyDescent="0.25">
      <c r="A996" s="2"/>
    </row>
    <row r="997" spans="1:1" ht="13.2" x14ac:dyDescent="0.25">
      <c r="A997" s="2"/>
    </row>
    <row r="998" spans="1:1" ht="13.2" x14ac:dyDescent="0.25">
      <c r="A998" s="2"/>
    </row>
    <row r="999" spans="1:1" ht="13.2" x14ac:dyDescent="0.25">
      <c r="A999" s="2"/>
    </row>
    <row r="1000" spans="1:1" ht="13.2" x14ac:dyDescent="0.25">
      <c r="A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20C9-B594-4063-9345-792DCF83C13F}">
  <dimension ref="A1:C13"/>
  <sheetViews>
    <sheetView zoomScale="160" zoomScaleNormal="160" workbookViewId="0">
      <selection activeCell="B7" sqref="B7"/>
    </sheetView>
  </sheetViews>
  <sheetFormatPr defaultRowHeight="13.2" x14ac:dyDescent="0.25"/>
  <cols>
    <col min="1" max="1" width="19.109375" bestFit="1" customWidth="1"/>
    <col min="2" max="3" width="12.109375" bestFit="1" customWidth="1"/>
  </cols>
  <sheetData>
    <row r="1" spans="1:3" ht="15" thickBot="1" x14ac:dyDescent="0.35">
      <c r="A1" s="16" t="s">
        <v>7</v>
      </c>
      <c r="B1" s="16" t="s">
        <v>1307</v>
      </c>
      <c r="C1" s="16" t="s">
        <v>1306</v>
      </c>
    </row>
    <row r="2" spans="1:3" ht="13.8" x14ac:dyDescent="0.25">
      <c r="A2" s="25">
        <v>25169</v>
      </c>
      <c r="B2" t="str">
        <f>LEFT(A2&amp;"00000000",8)</f>
        <v>25169000</v>
      </c>
      <c r="C2" t="str">
        <f>RIGHT("00000000"&amp;A2,8)</f>
        <v>00025169</v>
      </c>
    </row>
    <row r="3" spans="1:3" ht="13.8" x14ac:dyDescent="0.25">
      <c r="A3" s="25">
        <v>36311</v>
      </c>
      <c r="B3" t="str">
        <f t="shared" ref="B3:B13" si="0">LEFT(A3&amp;"00000000",8)</f>
        <v>36311000</v>
      </c>
      <c r="C3" t="str">
        <f t="shared" ref="C3:C13" si="1">RIGHT("00000000"&amp;A3,8)</f>
        <v>00036311</v>
      </c>
    </row>
    <row r="4" spans="1:3" ht="13.8" x14ac:dyDescent="0.25">
      <c r="A4" s="25">
        <v>85938</v>
      </c>
      <c r="B4" t="str">
        <f t="shared" si="0"/>
        <v>85938000</v>
      </c>
      <c r="C4" t="str">
        <f t="shared" si="1"/>
        <v>00085938</v>
      </c>
    </row>
    <row r="5" spans="1:3" ht="13.8" x14ac:dyDescent="0.25">
      <c r="A5" s="25">
        <v>928</v>
      </c>
      <c r="B5" t="str">
        <f t="shared" si="0"/>
        <v>92800000</v>
      </c>
      <c r="C5" t="str">
        <f t="shared" si="1"/>
        <v>00000928</v>
      </c>
    </row>
    <row r="6" spans="1:3" ht="13.8" x14ac:dyDescent="0.25">
      <c r="A6" s="25">
        <v>1779</v>
      </c>
      <c r="B6" t="str">
        <f t="shared" si="0"/>
        <v>17790000</v>
      </c>
      <c r="C6" t="str">
        <f t="shared" si="1"/>
        <v>00001779</v>
      </c>
    </row>
    <row r="7" spans="1:3" ht="13.8" x14ac:dyDescent="0.25">
      <c r="A7" s="25">
        <v>32</v>
      </c>
      <c r="B7" t="str">
        <f t="shared" si="0"/>
        <v>32000000</v>
      </c>
      <c r="C7" t="str">
        <f t="shared" si="1"/>
        <v>00000032</v>
      </c>
    </row>
    <row r="8" spans="1:3" ht="13.8" x14ac:dyDescent="0.25">
      <c r="A8" s="25" t="s">
        <v>19</v>
      </c>
      <c r="B8" t="str">
        <f t="shared" si="0"/>
        <v>58366250</v>
      </c>
      <c r="C8" t="str">
        <f t="shared" si="1"/>
        <v>05836625</v>
      </c>
    </row>
    <row r="9" spans="1:3" ht="13.8" x14ac:dyDescent="0.25">
      <c r="A9" s="25">
        <v>93764</v>
      </c>
      <c r="B9" t="str">
        <f t="shared" si="0"/>
        <v>93764000</v>
      </c>
      <c r="C9" t="str">
        <f t="shared" si="1"/>
        <v>00093764</v>
      </c>
    </row>
    <row r="10" spans="1:3" ht="13.8" x14ac:dyDescent="0.25">
      <c r="A10" s="25">
        <v>77929</v>
      </c>
      <c r="B10" t="str">
        <f t="shared" si="0"/>
        <v>77929000</v>
      </c>
      <c r="C10" t="str">
        <f t="shared" si="1"/>
        <v>00077929</v>
      </c>
    </row>
    <row r="11" spans="1:3" ht="13.8" x14ac:dyDescent="0.25">
      <c r="A11" s="25" t="s">
        <v>24</v>
      </c>
      <c r="B11" t="str">
        <f t="shared" si="0"/>
        <v>87288750</v>
      </c>
      <c r="C11" t="str">
        <f t="shared" si="1"/>
        <v>08728875</v>
      </c>
    </row>
    <row r="12" spans="1:3" ht="13.8" x14ac:dyDescent="0.25">
      <c r="A12" s="25" t="s">
        <v>1315</v>
      </c>
      <c r="B12" t="str">
        <f t="shared" si="0"/>
        <v>65117144</v>
      </c>
      <c r="C12" t="str">
        <f>RIGHT("00000000"&amp;A12,8)</f>
        <v>65117144</v>
      </c>
    </row>
    <row r="13" spans="1:3" ht="13.8" x14ac:dyDescent="0.25">
      <c r="A13" s="25">
        <v>715937</v>
      </c>
      <c r="B13" t="str">
        <f t="shared" si="0"/>
        <v>71593700</v>
      </c>
      <c r="C13" t="str">
        <f t="shared" si="1"/>
        <v>00715937</v>
      </c>
    </row>
  </sheetData>
  <pageMargins left="0.7" right="0.7" top="0.75" bottom="0.75" header="0.3" footer="0.3"/>
  <ignoredErrors>
    <ignoredError sqref="A8:A1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7A7D-E20C-4551-946A-16A987F49285}">
  <dimension ref="A1:B21"/>
  <sheetViews>
    <sheetView zoomScale="130" zoomScaleNormal="130" workbookViewId="0">
      <pane ySplit="1" topLeftCell="A2" activePane="bottomLeft" state="frozen"/>
      <selection pane="bottomLeft" activeCell="B10" sqref="B10"/>
    </sheetView>
  </sheetViews>
  <sheetFormatPr defaultRowHeight="13.2" x14ac:dyDescent="0.25"/>
  <cols>
    <col min="1" max="1" width="52.6640625" bestFit="1" customWidth="1"/>
    <col min="2" max="2" width="12.77734375" bestFit="1" customWidth="1"/>
  </cols>
  <sheetData>
    <row r="1" spans="1:2" ht="15" thickBot="1" x14ac:dyDescent="0.35">
      <c r="A1" s="16" t="s">
        <v>5</v>
      </c>
      <c r="B1" s="16" t="s">
        <v>1259</v>
      </c>
    </row>
    <row r="2" spans="1:2" x14ac:dyDescent="0.25">
      <c r="A2" s="11" t="s">
        <v>1236</v>
      </c>
      <c r="B2" t="str">
        <f>LEFT(A2,FIND(" ",A2)-1)</f>
        <v>HP</v>
      </c>
    </row>
    <row r="3" spans="1:2" x14ac:dyDescent="0.25">
      <c r="A3" t="s">
        <v>1237</v>
      </c>
      <c r="B3" t="str">
        <f t="shared" ref="B3:B21" si="0">LEFT(A3,FIND(" ",A3)-1)</f>
        <v>HP</v>
      </c>
    </row>
    <row r="4" spans="1:2" x14ac:dyDescent="0.25">
      <c r="A4" s="11" t="s">
        <v>1238</v>
      </c>
      <c r="B4" t="str">
        <f t="shared" si="0"/>
        <v>ASUS</v>
      </c>
    </row>
    <row r="5" spans="1:2" x14ac:dyDescent="0.25">
      <c r="A5" t="s">
        <v>1239</v>
      </c>
      <c r="B5" t="str">
        <f t="shared" si="0"/>
        <v>Lenovo</v>
      </c>
    </row>
    <row r="6" spans="1:2" x14ac:dyDescent="0.25">
      <c r="A6" t="s">
        <v>1240</v>
      </c>
      <c r="B6" t="str">
        <f>LEFT(A6,FIND(" ",A6)-1)</f>
        <v>Lenovo</v>
      </c>
    </row>
    <row r="7" spans="1:2" x14ac:dyDescent="0.25">
      <c r="A7" t="s">
        <v>1242</v>
      </c>
      <c r="B7" t="str">
        <f t="shared" si="0"/>
        <v>Lenovo</v>
      </c>
    </row>
    <row r="8" spans="1:2" x14ac:dyDescent="0.25">
      <c r="A8" t="s">
        <v>1243</v>
      </c>
      <c r="B8" t="str">
        <f>LEFT(A8,FIND(" ",A8)-1)</f>
        <v>HP</v>
      </c>
    </row>
    <row r="9" spans="1:2" x14ac:dyDescent="0.25">
      <c r="A9" t="s">
        <v>1244</v>
      </c>
      <c r="B9" t="str">
        <f t="shared" si="0"/>
        <v>ASUS</v>
      </c>
    </row>
    <row r="10" spans="1:2" x14ac:dyDescent="0.25">
      <c r="A10" t="s">
        <v>1245</v>
      </c>
      <c r="B10" t="str">
        <f t="shared" si="0"/>
        <v>Dell</v>
      </c>
    </row>
    <row r="11" spans="1:2" x14ac:dyDescent="0.25">
      <c r="A11" t="s">
        <v>1246</v>
      </c>
      <c r="B11" t="str">
        <f t="shared" si="0"/>
        <v>HP</v>
      </c>
    </row>
    <row r="12" spans="1:2" x14ac:dyDescent="0.25">
      <c r="A12" t="s">
        <v>1248</v>
      </c>
      <c r="B12" t="str">
        <f t="shared" si="0"/>
        <v>HP</v>
      </c>
    </row>
    <row r="13" spans="1:2" x14ac:dyDescent="0.25">
      <c r="A13" t="s">
        <v>1249</v>
      </c>
      <c r="B13" t="str">
        <f t="shared" si="0"/>
        <v>Lenovo</v>
      </c>
    </row>
    <row r="14" spans="1:2" x14ac:dyDescent="0.25">
      <c r="A14" t="s">
        <v>1250</v>
      </c>
      <c r="B14" t="str">
        <f t="shared" si="0"/>
        <v>Lenovo</v>
      </c>
    </row>
    <row r="15" spans="1:2" x14ac:dyDescent="0.25">
      <c r="A15" t="s">
        <v>1251</v>
      </c>
      <c r="B15" t="str">
        <f t="shared" si="0"/>
        <v>MSI</v>
      </c>
    </row>
    <row r="16" spans="1:2" x14ac:dyDescent="0.25">
      <c r="A16" t="s">
        <v>1252</v>
      </c>
      <c r="B16" t="str">
        <f t="shared" si="0"/>
        <v>Acer</v>
      </c>
    </row>
    <row r="17" spans="1:2" x14ac:dyDescent="0.25">
      <c r="A17" t="s">
        <v>1253</v>
      </c>
      <c r="B17" t="str">
        <f t="shared" si="0"/>
        <v>Acer</v>
      </c>
    </row>
    <row r="18" spans="1:2" x14ac:dyDescent="0.25">
      <c r="A18" t="s">
        <v>1254</v>
      </c>
      <c r="B18" t="str">
        <f t="shared" si="0"/>
        <v>Dell</v>
      </c>
    </row>
    <row r="19" spans="1:2" x14ac:dyDescent="0.25">
      <c r="A19" t="s">
        <v>1255</v>
      </c>
      <c r="B19" t="str">
        <f t="shared" si="0"/>
        <v>MSI</v>
      </c>
    </row>
    <row r="20" spans="1:2" x14ac:dyDescent="0.25">
      <c r="A20" t="s">
        <v>1256</v>
      </c>
      <c r="B20" t="str">
        <f t="shared" si="0"/>
        <v>HP</v>
      </c>
    </row>
    <row r="21" spans="1:2" x14ac:dyDescent="0.25">
      <c r="A21" t="s">
        <v>1257</v>
      </c>
      <c r="B21" t="str">
        <f t="shared" si="0"/>
        <v>Lenovo</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outlinePr summaryBelow="0" summaryRight="0"/>
  </sheetPr>
  <dimension ref="A1:Z10500"/>
  <sheetViews>
    <sheetView workbookViewId="0">
      <selection activeCell="C4" sqref="C4"/>
    </sheetView>
  </sheetViews>
  <sheetFormatPr defaultColWidth="14.44140625" defaultRowHeight="15.75" customHeight="1" x14ac:dyDescent="0.25"/>
  <cols>
    <col min="1" max="1" width="8.44140625" customWidth="1"/>
  </cols>
  <sheetData>
    <row r="1" spans="1:26" ht="15.75" customHeight="1" x14ac:dyDescent="0.3">
      <c r="A1" s="41" t="s">
        <v>1341</v>
      </c>
      <c r="B1" s="7">
        <f>CODE(A1)</f>
        <v>65</v>
      </c>
      <c r="C1" s="7" t="str">
        <f>CHAR(65)</f>
        <v>A</v>
      </c>
      <c r="D1" s="2"/>
      <c r="E1" s="9"/>
      <c r="F1" s="2"/>
      <c r="G1" s="2"/>
      <c r="H1" s="2"/>
      <c r="I1" s="2"/>
      <c r="J1" s="2"/>
      <c r="K1" s="2"/>
      <c r="L1" s="2"/>
      <c r="M1" s="2"/>
      <c r="N1" s="2"/>
      <c r="O1" s="2"/>
      <c r="P1" s="2"/>
      <c r="Q1" s="2"/>
      <c r="R1" s="2"/>
      <c r="S1" s="2"/>
      <c r="T1" s="2"/>
      <c r="U1" s="2"/>
      <c r="V1" s="2"/>
      <c r="W1" s="2"/>
      <c r="X1" s="2"/>
      <c r="Y1" s="2"/>
      <c r="Z1" s="2"/>
    </row>
    <row r="2" spans="1:26" ht="15.75" customHeight="1" x14ac:dyDescent="0.3">
      <c r="A2" s="41" t="s">
        <v>1342</v>
      </c>
      <c r="B2" s="7">
        <f>CODE(A2)</f>
        <v>90</v>
      </c>
      <c r="C2" s="7" t="str">
        <f>CHAR(90)</f>
        <v>Z</v>
      </c>
      <c r="D2" s="2"/>
      <c r="E2" s="9"/>
      <c r="F2" s="2"/>
      <c r="G2" s="2"/>
      <c r="H2" s="2"/>
      <c r="I2" s="2"/>
      <c r="J2" s="2"/>
      <c r="K2" s="2"/>
      <c r="L2" s="2"/>
      <c r="M2" s="2"/>
      <c r="N2" s="2"/>
      <c r="O2" s="2"/>
      <c r="P2" s="2"/>
      <c r="Q2" s="2"/>
      <c r="R2" s="2"/>
      <c r="S2" s="2"/>
      <c r="T2" s="2"/>
      <c r="U2" s="2"/>
      <c r="V2" s="2"/>
      <c r="W2" s="2"/>
      <c r="X2" s="2"/>
      <c r="Y2" s="2"/>
      <c r="Z2" s="2"/>
    </row>
    <row r="3" spans="1:26" ht="15.75" customHeight="1" x14ac:dyDescent="0.3">
      <c r="A3" s="8"/>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8">
        <f ca="1">RANDBETWEEN(65,90)</f>
        <v>86</v>
      </c>
      <c r="B4" s="2" t="str">
        <f ca="1">CHAR(RANDBETWEEN(65,90))&amp;CHAR(RANDBETWEEN(65,90))&amp;CHAR(RANDBETWEEN(65,90))&amp;RANDBETWEEN(1,9)</f>
        <v>DPK2</v>
      </c>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8"/>
      <c r="B5" s="2" t="str">
        <f t="shared" ref="B5:B11" ca="1" si="0">CHAR(RANDBETWEEN(65,90))&amp;CHAR(RANDBETWEEN(65,90))&amp;CHAR(RANDBETWEEN(65,90))&amp;RANDBETWEEN(1,9)</f>
        <v>FOM2</v>
      </c>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8"/>
      <c r="B6" s="2" t="str">
        <f t="shared" ca="1" si="0"/>
        <v>MNY3</v>
      </c>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8"/>
      <c r="B7" s="2" t="str">
        <f t="shared" ca="1" si="0"/>
        <v>QCN8</v>
      </c>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8"/>
      <c r="B8" s="2" t="str">
        <f t="shared" ca="1" si="0"/>
        <v>UID4</v>
      </c>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8"/>
      <c r="B9" s="2" t="str">
        <f t="shared" ca="1" si="0"/>
        <v>HRM1</v>
      </c>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8"/>
      <c r="B10" s="2" t="str">
        <f t="shared" ca="1" si="0"/>
        <v>QOX6</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8"/>
      <c r="B11" s="2" t="str">
        <f t="shared" ca="1" si="0"/>
        <v>JOL4</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8"/>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8"/>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8"/>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8"/>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8"/>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8"/>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8"/>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8"/>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8"/>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8"/>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8"/>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8"/>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8"/>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8"/>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8"/>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8"/>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8"/>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8"/>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8"/>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8"/>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8"/>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8"/>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8"/>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8"/>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8"/>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8"/>
      <c r="B37" s="2"/>
      <c r="C37" s="2"/>
      <c r="D37" s="2"/>
      <c r="E37" s="2"/>
      <c r="F37" s="2"/>
      <c r="G37" s="2"/>
      <c r="H37" s="2"/>
      <c r="I37" s="2"/>
      <c r="J37" s="2"/>
      <c r="K37" s="2"/>
      <c r="L37" s="2"/>
      <c r="M37" s="2"/>
      <c r="N37" s="2"/>
      <c r="O37" s="2"/>
      <c r="P37" s="2"/>
      <c r="Q37" s="2"/>
      <c r="R37" s="2"/>
      <c r="S37" s="2"/>
      <c r="T37" s="2"/>
      <c r="U37" s="2"/>
      <c r="V37" s="2"/>
      <c r="W37" s="2"/>
      <c r="X37" s="2"/>
      <c r="Y37" s="2"/>
      <c r="Z37" s="2"/>
    </row>
    <row r="38" spans="1:26" ht="17.399999999999999" x14ac:dyDescent="0.3">
      <c r="A38" s="8"/>
      <c r="B38" s="2"/>
      <c r="C38" s="2"/>
      <c r="D38" s="2"/>
      <c r="E38" s="2"/>
      <c r="F38" s="2"/>
      <c r="G38" s="2"/>
      <c r="H38" s="2"/>
      <c r="I38" s="2"/>
      <c r="J38" s="2"/>
      <c r="K38" s="2"/>
      <c r="L38" s="2"/>
      <c r="M38" s="2"/>
      <c r="N38" s="2"/>
      <c r="O38" s="2"/>
      <c r="P38" s="2"/>
      <c r="Q38" s="2"/>
      <c r="R38" s="2"/>
      <c r="S38" s="2"/>
      <c r="T38" s="2"/>
      <c r="U38" s="2"/>
      <c r="V38" s="2"/>
      <c r="W38" s="2"/>
      <c r="X38" s="2"/>
      <c r="Y38" s="2"/>
      <c r="Z38" s="2"/>
    </row>
    <row r="39" spans="1:26" ht="17.399999999999999" x14ac:dyDescent="0.3">
      <c r="A39" s="8"/>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x14ac:dyDescent="0.3">
      <c r="A40" s="8"/>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x14ac:dyDescent="0.3">
      <c r="A41" s="8"/>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x14ac:dyDescent="0.3">
      <c r="A42" s="8"/>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x14ac:dyDescent="0.3">
      <c r="A43" s="8"/>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x14ac:dyDescent="0.3">
      <c r="A44" s="8"/>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x14ac:dyDescent="0.3">
      <c r="A45" s="8"/>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x14ac:dyDescent="0.3">
      <c r="A46" s="8"/>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x14ac:dyDescent="0.3">
      <c r="A47" s="8"/>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x14ac:dyDescent="0.3">
      <c r="A48" s="8"/>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x14ac:dyDescent="0.3">
      <c r="A49" s="8"/>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x14ac:dyDescent="0.3">
      <c r="A50" s="8"/>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x14ac:dyDescent="0.3">
      <c r="A51" s="8"/>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x14ac:dyDescent="0.3">
      <c r="A52" s="8"/>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x14ac:dyDescent="0.3">
      <c r="A53" s="8"/>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x14ac:dyDescent="0.3">
      <c r="A54" s="8"/>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x14ac:dyDescent="0.3">
      <c r="A55" s="8"/>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x14ac:dyDescent="0.3">
      <c r="A56" s="8"/>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x14ac:dyDescent="0.3">
      <c r="A57" s="8"/>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x14ac:dyDescent="0.3">
      <c r="A58" s="8"/>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x14ac:dyDescent="0.3">
      <c r="A59" s="8"/>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x14ac:dyDescent="0.3">
      <c r="A60" s="8"/>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x14ac:dyDescent="0.3">
      <c r="A61" s="8"/>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x14ac:dyDescent="0.3">
      <c r="A62" s="8"/>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x14ac:dyDescent="0.3">
      <c r="A63" s="8"/>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x14ac:dyDescent="0.3">
      <c r="A64" s="8"/>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x14ac:dyDescent="0.3">
      <c r="A65" s="8"/>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x14ac:dyDescent="0.3">
      <c r="A66" s="8"/>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x14ac:dyDescent="0.3">
      <c r="A67" s="8"/>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x14ac:dyDescent="0.3">
      <c r="A68" s="8"/>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x14ac:dyDescent="0.3">
      <c r="A69" s="8"/>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x14ac:dyDescent="0.3">
      <c r="A70" s="8"/>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x14ac:dyDescent="0.3">
      <c r="A71" s="8"/>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x14ac:dyDescent="0.3">
      <c r="A72" s="8"/>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x14ac:dyDescent="0.3">
      <c r="A73" s="8"/>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x14ac:dyDescent="0.3">
      <c r="A74" s="8"/>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x14ac:dyDescent="0.3">
      <c r="A75" s="8"/>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x14ac:dyDescent="0.3">
      <c r="A76" s="8"/>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x14ac:dyDescent="0.3">
      <c r="A77" s="8"/>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x14ac:dyDescent="0.3">
      <c r="A78" s="8"/>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x14ac:dyDescent="0.3">
      <c r="A79" s="8"/>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x14ac:dyDescent="0.3">
      <c r="A80" s="8"/>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x14ac:dyDescent="0.3">
      <c r="A81" s="8"/>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x14ac:dyDescent="0.3">
      <c r="A82" s="8"/>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x14ac:dyDescent="0.3">
      <c r="A83" s="8"/>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x14ac:dyDescent="0.3">
      <c r="A84" s="8"/>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x14ac:dyDescent="0.3">
      <c r="A85" s="8"/>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x14ac:dyDescent="0.3">
      <c r="A86" s="8"/>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x14ac:dyDescent="0.3">
      <c r="A87" s="8"/>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x14ac:dyDescent="0.3">
      <c r="A88" s="8"/>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x14ac:dyDescent="0.3">
      <c r="A89" s="8"/>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x14ac:dyDescent="0.3">
      <c r="A90" s="8"/>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x14ac:dyDescent="0.3">
      <c r="A91" s="8"/>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x14ac:dyDescent="0.3">
      <c r="A92" s="8"/>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x14ac:dyDescent="0.3">
      <c r="A93" s="8"/>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x14ac:dyDescent="0.3">
      <c r="A94" s="8"/>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x14ac:dyDescent="0.3">
      <c r="A95" s="8"/>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x14ac:dyDescent="0.3">
      <c r="A96" s="8"/>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x14ac:dyDescent="0.3">
      <c r="A97" s="8"/>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x14ac:dyDescent="0.3">
      <c r="A98" s="8"/>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x14ac:dyDescent="0.3">
      <c r="A99" s="8"/>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x14ac:dyDescent="0.3">
      <c r="A100" s="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x14ac:dyDescent="0.3">
      <c r="A101" s="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x14ac:dyDescent="0.3">
      <c r="A102" s="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x14ac:dyDescent="0.3">
      <c r="A103" s="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x14ac:dyDescent="0.3">
      <c r="A104" s="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x14ac:dyDescent="0.3">
      <c r="A105" s="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x14ac:dyDescent="0.3">
      <c r="A106" s="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x14ac:dyDescent="0.3">
      <c r="A107" s="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x14ac:dyDescent="0.3">
      <c r="A108" s="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x14ac:dyDescent="0.3">
      <c r="A109" s="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x14ac:dyDescent="0.3">
      <c r="A110" s="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x14ac:dyDescent="0.3">
      <c r="A111" s="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x14ac:dyDescent="0.3">
      <c r="A112" s="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x14ac:dyDescent="0.3">
      <c r="A113" s="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x14ac:dyDescent="0.3">
      <c r="A114" s="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x14ac:dyDescent="0.3">
      <c r="A115" s="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x14ac:dyDescent="0.3">
      <c r="A116" s="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x14ac:dyDescent="0.3">
      <c r="A117" s="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x14ac:dyDescent="0.3">
      <c r="A118" s="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x14ac:dyDescent="0.3">
      <c r="A119" s="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x14ac:dyDescent="0.3">
      <c r="A120" s="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x14ac:dyDescent="0.3">
      <c r="A121" s="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x14ac:dyDescent="0.3">
      <c r="A122" s="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x14ac:dyDescent="0.3">
      <c r="A123" s="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x14ac:dyDescent="0.3">
      <c r="A124" s="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x14ac:dyDescent="0.3">
      <c r="A125" s="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x14ac:dyDescent="0.3">
      <c r="A126" s="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x14ac:dyDescent="0.3">
      <c r="A127" s="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x14ac:dyDescent="0.3">
      <c r="A128" s="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x14ac:dyDescent="0.3">
      <c r="A129" s="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x14ac:dyDescent="0.3">
      <c r="A130" s="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x14ac:dyDescent="0.3">
      <c r="A131" s="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x14ac:dyDescent="0.3">
      <c r="A132" s="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x14ac:dyDescent="0.3">
      <c r="A133" s="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x14ac:dyDescent="0.3">
      <c r="A134" s="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x14ac:dyDescent="0.3">
      <c r="A135" s="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x14ac:dyDescent="0.3">
      <c r="A136" s="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x14ac:dyDescent="0.3">
      <c r="A137" s="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x14ac:dyDescent="0.3">
      <c r="A138" s="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x14ac:dyDescent="0.3">
      <c r="A139" s="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x14ac:dyDescent="0.3">
      <c r="A140" s="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x14ac:dyDescent="0.3">
      <c r="A141" s="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x14ac:dyDescent="0.3">
      <c r="A142" s="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x14ac:dyDescent="0.3">
      <c r="A143" s="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x14ac:dyDescent="0.3">
      <c r="A144" s="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x14ac:dyDescent="0.3">
      <c r="A145" s="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x14ac:dyDescent="0.3">
      <c r="A146" s="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x14ac:dyDescent="0.3">
      <c r="A147" s="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x14ac:dyDescent="0.3">
      <c r="A148" s="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x14ac:dyDescent="0.3">
      <c r="A149" s="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x14ac:dyDescent="0.3">
      <c r="A150" s="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x14ac:dyDescent="0.3">
      <c r="A151" s="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x14ac:dyDescent="0.3">
      <c r="A152" s="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x14ac:dyDescent="0.3">
      <c r="A153" s="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x14ac:dyDescent="0.3">
      <c r="A154" s="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x14ac:dyDescent="0.3">
      <c r="A155" s="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x14ac:dyDescent="0.3">
      <c r="A156" s="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x14ac:dyDescent="0.3">
      <c r="A157" s="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x14ac:dyDescent="0.3">
      <c r="A158" s="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x14ac:dyDescent="0.3">
      <c r="A159" s="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x14ac:dyDescent="0.3">
      <c r="A160" s="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x14ac:dyDescent="0.3">
      <c r="A161" s="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x14ac:dyDescent="0.3">
      <c r="A162" s="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x14ac:dyDescent="0.3">
      <c r="A163" s="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x14ac:dyDescent="0.3">
      <c r="A164" s="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x14ac:dyDescent="0.3">
      <c r="A165" s="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x14ac:dyDescent="0.3">
      <c r="A166" s="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x14ac:dyDescent="0.3">
      <c r="A167" s="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x14ac:dyDescent="0.3">
      <c r="A168" s="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x14ac:dyDescent="0.3">
      <c r="A169" s="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x14ac:dyDescent="0.3">
      <c r="A170" s="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x14ac:dyDescent="0.3">
      <c r="A171" s="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x14ac:dyDescent="0.3">
      <c r="A172" s="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x14ac:dyDescent="0.3">
      <c r="A173" s="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x14ac:dyDescent="0.3">
      <c r="A174" s="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x14ac:dyDescent="0.3">
      <c r="A175" s="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x14ac:dyDescent="0.3">
      <c r="A176" s="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x14ac:dyDescent="0.3">
      <c r="A177" s="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x14ac:dyDescent="0.3">
      <c r="A178" s="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x14ac:dyDescent="0.3">
      <c r="A179" s="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x14ac:dyDescent="0.3">
      <c r="A180" s="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x14ac:dyDescent="0.3">
      <c r="A181" s="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x14ac:dyDescent="0.3">
      <c r="A182" s="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x14ac:dyDescent="0.3">
      <c r="A183" s="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x14ac:dyDescent="0.3">
      <c r="A184" s="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x14ac:dyDescent="0.3">
      <c r="A185" s="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x14ac:dyDescent="0.3">
      <c r="A186" s="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x14ac:dyDescent="0.3">
      <c r="A187" s="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x14ac:dyDescent="0.3">
      <c r="A188" s="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x14ac:dyDescent="0.3">
      <c r="A189" s="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x14ac:dyDescent="0.3">
      <c r="A190" s="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x14ac:dyDescent="0.3">
      <c r="A191" s="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x14ac:dyDescent="0.3">
      <c r="A192" s="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x14ac:dyDescent="0.3">
      <c r="A193" s="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x14ac:dyDescent="0.3">
      <c r="A194" s="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x14ac:dyDescent="0.3">
      <c r="A195" s="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x14ac:dyDescent="0.3">
      <c r="A196" s="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x14ac:dyDescent="0.3">
      <c r="A197" s="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x14ac:dyDescent="0.3">
      <c r="A198" s="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x14ac:dyDescent="0.3">
      <c r="A199" s="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x14ac:dyDescent="0.3">
      <c r="A200" s="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x14ac:dyDescent="0.3">
      <c r="A201" s="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x14ac:dyDescent="0.3">
      <c r="A202" s="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x14ac:dyDescent="0.3">
      <c r="A203" s="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x14ac:dyDescent="0.3">
      <c r="A204" s="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x14ac:dyDescent="0.3">
      <c r="A205" s="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x14ac:dyDescent="0.3">
      <c r="A206" s="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x14ac:dyDescent="0.3">
      <c r="A207" s="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x14ac:dyDescent="0.3">
      <c r="A208" s="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x14ac:dyDescent="0.3">
      <c r="A209" s="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x14ac:dyDescent="0.3">
      <c r="A210" s="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x14ac:dyDescent="0.3">
      <c r="A211" s="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x14ac:dyDescent="0.3">
      <c r="A212" s="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x14ac:dyDescent="0.3">
      <c r="A213" s="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x14ac:dyDescent="0.3">
      <c r="A214" s="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x14ac:dyDescent="0.3">
      <c r="A215" s="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x14ac:dyDescent="0.3">
      <c r="A216" s="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x14ac:dyDescent="0.3">
      <c r="A217" s="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x14ac:dyDescent="0.3">
      <c r="A218" s="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x14ac:dyDescent="0.3">
      <c r="A219" s="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x14ac:dyDescent="0.3">
      <c r="A220" s="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x14ac:dyDescent="0.3">
      <c r="A221" s="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x14ac:dyDescent="0.3">
      <c r="A222" s="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x14ac:dyDescent="0.3">
      <c r="A223" s="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x14ac:dyDescent="0.3">
      <c r="A224" s="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x14ac:dyDescent="0.3">
      <c r="A225" s="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x14ac:dyDescent="0.3">
      <c r="A226" s="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x14ac:dyDescent="0.3">
      <c r="A227" s="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x14ac:dyDescent="0.3">
      <c r="A228" s="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x14ac:dyDescent="0.3">
      <c r="A229" s="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x14ac:dyDescent="0.3">
      <c r="A230" s="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x14ac:dyDescent="0.3">
      <c r="A231" s="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x14ac:dyDescent="0.3">
      <c r="A232" s="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x14ac:dyDescent="0.3">
      <c r="A233" s="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x14ac:dyDescent="0.3">
      <c r="A234" s="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x14ac:dyDescent="0.3">
      <c r="A235" s="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x14ac:dyDescent="0.3">
      <c r="A236" s="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x14ac:dyDescent="0.3">
      <c r="A237" s="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x14ac:dyDescent="0.3">
      <c r="A238" s="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x14ac:dyDescent="0.3">
      <c r="A239" s="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x14ac:dyDescent="0.3">
      <c r="A240" s="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x14ac:dyDescent="0.3">
      <c r="A241" s="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x14ac:dyDescent="0.3">
      <c r="A242" s="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x14ac:dyDescent="0.3">
      <c r="A243" s="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x14ac:dyDescent="0.3">
      <c r="A244" s="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x14ac:dyDescent="0.3">
      <c r="A245" s="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x14ac:dyDescent="0.3">
      <c r="A246" s="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x14ac:dyDescent="0.3">
      <c r="A247" s="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x14ac:dyDescent="0.3">
      <c r="A248" s="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x14ac:dyDescent="0.3">
      <c r="A249" s="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x14ac:dyDescent="0.3">
      <c r="A250" s="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x14ac:dyDescent="0.3">
      <c r="A251" s="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x14ac:dyDescent="0.3">
      <c r="A252" s="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x14ac:dyDescent="0.3">
      <c r="A253" s="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x14ac:dyDescent="0.3">
      <c r="A254" s="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x14ac:dyDescent="0.3">
      <c r="A255" s="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x14ac:dyDescent="0.3">
      <c r="A256" s="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x14ac:dyDescent="0.3">
      <c r="A257" s="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x14ac:dyDescent="0.3">
      <c r="A258" s="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x14ac:dyDescent="0.3">
      <c r="A259" s="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x14ac:dyDescent="0.3">
      <c r="A260" s="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x14ac:dyDescent="0.3">
      <c r="A261" s="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x14ac:dyDescent="0.3">
      <c r="A262" s="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x14ac:dyDescent="0.3">
      <c r="A263" s="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x14ac:dyDescent="0.3">
      <c r="A264" s="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x14ac:dyDescent="0.3">
      <c r="A265" s="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x14ac:dyDescent="0.3">
      <c r="A266" s="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x14ac:dyDescent="0.3">
      <c r="A267" s="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x14ac:dyDescent="0.3">
      <c r="A268" s="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x14ac:dyDescent="0.3">
      <c r="A269" s="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x14ac:dyDescent="0.3">
      <c r="A270" s="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x14ac:dyDescent="0.3">
      <c r="A271" s="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x14ac:dyDescent="0.3">
      <c r="A272" s="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x14ac:dyDescent="0.3">
      <c r="A273" s="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x14ac:dyDescent="0.3">
      <c r="A274" s="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x14ac:dyDescent="0.3">
      <c r="A275" s="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x14ac:dyDescent="0.3">
      <c r="A276" s="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x14ac:dyDescent="0.3">
      <c r="A277" s="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x14ac:dyDescent="0.3">
      <c r="A278" s="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x14ac:dyDescent="0.3">
      <c r="A279" s="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x14ac:dyDescent="0.3">
      <c r="A280" s="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x14ac:dyDescent="0.3">
      <c r="A281" s="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x14ac:dyDescent="0.3">
      <c r="A282" s="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x14ac:dyDescent="0.3">
      <c r="A283" s="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x14ac:dyDescent="0.3">
      <c r="A284" s="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x14ac:dyDescent="0.3">
      <c r="A285" s="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x14ac:dyDescent="0.3">
      <c r="A286" s="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x14ac:dyDescent="0.3">
      <c r="A287" s="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x14ac:dyDescent="0.3">
      <c r="A288" s="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x14ac:dyDescent="0.3">
      <c r="A289" s="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x14ac:dyDescent="0.3">
      <c r="A290" s="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x14ac:dyDescent="0.3">
      <c r="A291" s="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x14ac:dyDescent="0.3">
      <c r="A292" s="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x14ac:dyDescent="0.3">
      <c r="A293" s="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x14ac:dyDescent="0.3">
      <c r="A294" s="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x14ac:dyDescent="0.3">
      <c r="A295" s="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x14ac:dyDescent="0.3">
      <c r="A296" s="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x14ac:dyDescent="0.3">
      <c r="A297" s="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x14ac:dyDescent="0.3">
      <c r="A298" s="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x14ac:dyDescent="0.3">
      <c r="A299" s="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x14ac:dyDescent="0.3">
      <c r="A300" s="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x14ac:dyDescent="0.3">
      <c r="A301" s="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x14ac:dyDescent="0.3">
      <c r="A302" s="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x14ac:dyDescent="0.3">
      <c r="A303" s="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x14ac:dyDescent="0.3">
      <c r="A304" s="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x14ac:dyDescent="0.3">
      <c r="A305" s="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x14ac:dyDescent="0.3">
      <c r="A306" s="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x14ac:dyDescent="0.3">
      <c r="A307" s="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x14ac:dyDescent="0.3">
      <c r="A308" s="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x14ac:dyDescent="0.3">
      <c r="A309" s="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x14ac:dyDescent="0.3">
      <c r="A310" s="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x14ac:dyDescent="0.3">
      <c r="A311" s="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x14ac:dyDescent="0.3">
      <c r="A312" s="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x14ac:dyDescent="0.3">
      <c r="A313" s="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x14ac:dyDescent="0.3">
      <c r="A314" s="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x14ac:dyDescent="0.3">
      <c r="A315" s="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x14ac:dyDescent="0.3">
      <c r="A316" s="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x14ac:dyDescent="0.3">
      <c r="A317" s="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x14ac:dyDescent="0.3">
      <c r="A318" s="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x14ac:dyDescent="0.3">
      <c r="A319" s="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x14ac:dyDescent="0.3">
      <c r="A320" s="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x14ac:dyDescent="0.3">
      <c r="A321" s="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x14ac:dyDescent="0.3">
      <c r="A322" s="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x14ac:dyDescent="0.3">
      <c r="A323" s="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x14ac:dyDescent="0.3">
      <c r="A324" s="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x14ac:dyDescent="0.3">
      <c r="A325" s="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x14ac:dyDescent="0.3">
      <c r="A326" s="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x14ac:dyDescent="0.3">
      <c r="A327" s="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x14ac:dyDescent="0.3">
      <c r="A328" s="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x14ac:dyDescent="0.3">
      <c r="A329" s="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x14ac:dyDescent="0.3">
      <c r="A330" s="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x14ac:dyDescent="0.3">
      <c r="A331" s="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x14ac:dyDescent="0.3">
      <c r="A332" s="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x14ac:dyDescent="0.3">
      <c r="A333" s="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x14ac:dyDescent="0.3">
      <c r="A334" s="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x14ac:dyDescent="0.3">
      <c r="A335" s="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x14ac:dyDescent="0.3">
      <c r="A336" s="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x14ac:dyDescent="0.3">
      <c r="A337" s="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x14ac:dyDescent="0.3">
      <c r="A338" s="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x14ac:dyDescent="0.3">
      <c r="A339" s="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x14ac:dyDescent="0.3">
      <c r="A340" s="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x14ac:dyDescent="0.3">
      <c r="A341" s="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x14ac:dyDescent="0.3">
      <c r="A342" s="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x14ac:dyDescent="0.3">
      <c r="A343" s="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x14ac:dyDescent="0.3">
      <c r="A344" s="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x14ac:dyDescent="0.3">
      <c r="A345" s="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x14ac:dyDescent="0.3">
      <c r="A346" s="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x14ac:dyDescent="0.3">
      <c r="A347" s="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x14ac:dyDescent="0.3">
      <c r="A348" s="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x14ac:dyDescent="0.3">
      <c r="A349" s="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x14ac:dyDescent="0.3">
      <c r="A350" s="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x14ac:dyDescent="0.3">
      <c r="A351" s="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x14ac:dyDescent="0.3">
      <c r="A352" s="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x14ac:dyDescent="0.3">
      <c r="A353" s="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x14ac:dyDescent="0.3">
      <c r="A354" s="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x14ac:dyDescent="0.3">
      <c r="A355" s="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x14ac:dyDescent="0.3">
      <c r="A356" s="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x14ac:dyDescent="0.3">
      <c r="A357" s="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x14ac:dyDescent="0.3">
      <c r="A358" s="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x14ac:dyDescent="0.3">
      <c r="A359" s="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x14ac:dyDescent="0.3">
      <c r="A360" s="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x14ac:dyDescent="0.3">
      <c r="A361" s="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x14ac:dyDescent="0.3">
      <c r="A362" s="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x14ac:dyDescent="0.3">
      <c r="A363" s="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x14ac:dyDescent="0.3">
      <c r="A364" s="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x14ac:dyDescent="0.3">
      <c r="A365" s="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x14ac:dyDescent="0.3">
      <c r="A366" s="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x14ac:dyDescent="0.3">
      <c r="A367" s="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x14ac:dyDescent="0.3">
      <c r="A368" s="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x14ac:dyDescent="0.3">
      <c r="A369" s="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x14ac:dyDescent="0.3">
      <c r="A370" s="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x14ac:dyDescent="0.3">
      <c r="A371" s="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x14ac:dyDescent="0.3">
      <c r="A372" s="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x14ac:dyDescent="0.3">
      <c r="A373" s="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x14ac:dyDescent="0.3">
      <c r="A374" s="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x14ac:dyDescent="0.3">
      <c r="A375" s="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x14ac:dyDescent="0.3">
      <c r="A376" s="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x14ac:dyDescent="0.3">
      <c r="A377" s="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x14ac:dyDescent="0.3">
      <c r="A378" s="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x14ac:dyDescent="0.3">
      <c r="A379" s="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x14ac:dyDescent="0.3">
      <c r="A380" s="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x14ac:dyDescent="0.3">
      <c r="A381" s="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x14ac:dyDescent="0.3">
      <c r="A382" s="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x14ac:dyDescent="0.3">
      <c r="A383" s="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x14ac:dyDescent="0.3">
      <c r="A384" s="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x14ac:dyDescent="0.3">
      <c r="A385" s="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x14ac:dyDescent="0.3">
      <c r="A386" s="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x14ac:dyDescent="0.3">
      <c r="A387" s="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x14ac:dyDescent="0.3">
      <c r="A388" s="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x14ac:dyDescent="0.3">
      <c r="A389" s="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x14ac:dyDescent="0.3">
      <c r="A390" s="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x14ac:dyDescent="0.3">
      <c r="A391" s="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x14ac:dyDescent="0.3">
      <c r="A392" s="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x14ac:dyDescent="0.3">
      <c r="A393" s="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x14ac:dyDescent="0.3">
      <c r="A394" s="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x14ac:dyDescent="0.3">
      <c r="A395" s="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x14ac:dyDescent="0.3">
      <c r="A396" s="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x14ac:dyDescent="0.3">
      <c r="A397" s="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x14ac:dyDescent="0.3">
      <c r="A398" s="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x14ac:dyDescent="0.3">
      <c r="A399" s="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x14ac:dyDescent="0.3">
      <c r="A400" s="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x14ac:dyDescent="0.3">
      <c r="A401" s="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x14ac:dyDescent="0.3">
      <c r="A402" s="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x14ac:dyDescent="0.3">
      <c r="A403" s="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x14ac:dyDescent="0.3">
      <c r="A404" s="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x14ac:dyDescent="0.3">
      <c r="A405" s="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x14ac:dyDescent="0.3">
      <c r="A406" s="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x14ac:dyDescent="0.3">
      <c r="A407" s="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x14ac:dyDescent="0.3">
      <c r="A408" s="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x14ac:dyDescent="0.3">
      <c r="A409" s="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x14ac:dyDescent="0.3">
      <c r="A410" s="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x14ac:dyDescent="0.3">
      <c r="A411" s="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x14ac:dyDescent="0.3">
      <c r="A412" s="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x14ac:dyDescent="0.3">
      <c r="A413" s="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x14ac:dyDescent="0.3">
      <c r="A414" s="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x14ac:dyDescent="0.3">
      <c r="A415" s="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x14ac:dyDescent="0.3">
      <c r="A416" s="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x14ac:dyDescent="0.3">
      <c r="A417" s="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x14ac:dyDescent="0.3">
      <c r="A418" s="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x14ac:dyDescent="0.3">
      <c r="A419" s="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x14ac:dyDescent="0.3">
      <c r="A420" s="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x14ac:dyDescent="0.3">
      <c r="A421" s="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x14ac:dyDescent="0.3">
      <c r="A422" s="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x14ac:dyDescent="0.3">
      <c r="A423" s="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x14ac:dyDescent="0.3">
      <c r="A424" s="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x14ac:dyDescent="0.3">
      <c r="A425" s="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x14ac:dyDescent="0.3">
      <c r="A426" s="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x14ac:dyDescent="0.3">
      <c r="A427" s="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x14ac:dyDescent="0.3">
      <c r="A428" s="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x14ac:dyDescent="0.3">
      <c r="A429" s="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x14ac:dyDescent="0.3">
      <c r="A430" s="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x14ac:dyDescent="0.3">
      <c r="A431" s="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x14ac:dyDescent="0.3">
      <c r="A432" s="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x14ac:dyDescent="0.3">
      <c r="A433" s="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x14ac:dyDescent="0.3">
      <c r="A434" s="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x14ac:dyDescent="0.3">
      <c r="A435" s="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x14ac:dyDescent="0.3">
      <c r="A436" s="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x14ac:dyDescent="0.3">
      <c r="A437" s="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x14ac:dyDescent="0.3">
      <c r="A438" s="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x14ac:dyDescent="0.3">
      <c r="A439" s="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x14ac:dyDescent="0.3">
      <c r="A440" s="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x14ac:dyDescent="0.3">
      <c r="A441" s="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x14ac:dyDescent="0.3">
      <c r="A442" s="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x14ac:dyDescent="0.3">
      <c r="A443" s="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x14ac:dyDescent="0.3">
      <c r="A444" s="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x14ac:dyDescent="0.3">
      <c r="A445" s="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x14ac:dyDescent="0.3">
      <c r="A446" s="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x14ac:dyDescent="0.3">
      <c r="A447" s="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x14ac:dyDescent="0.3">
      <c r="A448" s="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x14ac:dyDescent="0.3">
      <c r="A449" s="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x14ac:dyDescent="0.3">
      <c r="A450" s="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x14ac:dyDescent="0.3">
      <c r="A451" s="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x14ac:dyDescent="0.3">
      <c r="A452" s="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x14ac:dyDescent="0.3">
      <c r="A453" s="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x14ac:dyDescent="0.3">
      <c r="A454" s="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x14ac:dyDescent="0.3">
      <c r="A455" s="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x14ac:dyDescent="0.3">
      <c r="A456" s="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x14ac:dyDescent="0.3">
      <c r="A457" s="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x14ac:dyDescent="0.3">
      <c r="A458" s="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x14ac:dyDescent="0.3">
      <c r="A459" s="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x14ac:dyDescent="0.3">
      <c r="A460" s="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x14ac:dyDescent="0.3">
      <c r="A461" s="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x14ac:dyDescent="0.3">
      <c r="A462" s="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x14ac:dyDescent="0.3">
      <c r="A463" s="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x14ac:dyDescent="0.3">
      <c r="A464" s="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x14ac:dyDescent="0.3">
      <c r="A465" s="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x14ac:dyDescent="0.3">
      <c r="A466" s="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x14ac:dyDescent="0.3">
      <c r="A467" s="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x14ac:dyDescent="0.3">
      <c r="A468" s="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x14ac:dyDescent="0.3">
      <c r="A469" s="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x14ac:dyDescent="0.3">
      <c r="A470" s="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x14ac:dyDescent="0.3">
      <c r="A471" s="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x14ac:dyDescent="0.3">
      <c r="A472" s="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x14ac:dyDescent="0.3">
      <c r="A473" s="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x14ac:dyDescent="0.3">
      <c r="A474" s="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x14ac:dyDescent="0.3">
      <c r="A475" s="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x14ac:dyDescent="0.3">
      <c r="A476" s="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x14ac:dyDescent="0.3">
      <c r="A477" s="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x14ac:dyDescent="0.3">
      <c r="A478" s="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x14ac:dyDescent="0.3">
      <c r="A479" s="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x14ac:dyDescent="0.3">
      <c r="A480" s="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x14ac:dyDescent="0.3">
      <c r="A481" s="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x14ac:dyDescent="0.3">
      <c r="A482" s="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x14ac:dyDescent="0.3">
      <c r="A483" s="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x14ac:dyDescent="0.3">
      <c r="A484" s="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x14ac:dyDescent="0.3">
      <c r="A485" s="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x14ac:dyDescent="0.3">
      <c r="A486" s="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x14ac:dyDescent="0.3">
      <c r="A487" s="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x14ac:dyDescent="0.3">
      <c r="A488" s="1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x14ac:dyDescent="0.3">
      <c r="A489" s="1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x14ac:dyDescent="0.3">
      <c r="A490" s="1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x14ac:dyDescent="0.3">
      <c r="A491" s="1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x14ac:dyDescent="0.3">
      <c r="A492" s="1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x14ac:dyDescent="0.3">
      <c r="A493" s="1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x14ac:dyDescent="0.3">
      <c r="A494" s="1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x14ac:dyDescent="0.3">
      <c r="A495" s="1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x14ac:dyDescent="0.3">
      <c r="A496" s="1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x14ac:dyDescent="0.3">
      <c r="A497" s="1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x14ac:dyDescent="0.3">
      <c r="A498" s="1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x14ac:dyDescent="0.3">
      <c r="A499" s="1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x14ac:dyDescent="0.3">
      <c r="A500" s="1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x14ac:dyDescent="0.3">
      <c r="A501" s="1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x14ac:dyDescent="0.3">
      <c r="A502" s="1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x14ac:dyDescent="0.3">
      <c r="A503" s="1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x14ac:dyDescent="0.3">
      <c r="A504" s="1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x14ac:dyDescent="0.3">
      <c r="A505" s="1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x14ac:dyDescent="0.3">
      <c r="A506" s="1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x14ac:dyDescent="0.3">
      <c r="A507" s="1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x14ac:dyDescent="0.3">
      <c r="A508" s="1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x14ac:dyDescent="0.3">
      <c r="A509" s="1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x14ac:dyDescent="0.3">
      <c r="A510" s="1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x14ac:dyDescent="0.3">
      <c r="A511" s="1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x14ac:dyDescent="0.3">
      <c r="A512" s="1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x14ac:dyDescent="0.3">
      <c r="A513" s="1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x14ac:dyDescent="0.3">
      <c r="A514" s="1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x14ac:dyDescent="0.3">
      <c r="A515" s="1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x14ac:dyDescent="0.3">
      <c r="A516" s="1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x14ac:dyDescent="0.3">
      <c r="A517" s="1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x14ac:dyDescent="0.3">
      <c r="A518" s="1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x14ac:dyDescent="0.3">
      <c r="A519" s="1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x14ac:dyDescent="0.3">
      <c r="A520" s="1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x14ac:dyDescent="0.3">
      <c r="A521" s="1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x14ac:dyDescent="0.3">
      <c r="A522" s="1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x14ac:dyDescent="0.3">
      <c r="A523" s="1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x14ac:dyDescent="0.3">
      <c r="A524" s="1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x14ac:dyDescent="0.3">
      <c r="A525" s="1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x14ac:dyDescent="0.3">
      <c r="A526" s="1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x14ac:dyDescent="0.3">
      <c r="A527" s="1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x14ac:dyDescent="0.3">
      <c r="A528" s="1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x14ac:dyDescent="0.3">
      <c r="A529" s="1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x14ac:dyDescent="0.3">
      <c r="A530" s="1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x14ac:dyDescent="0.3">
      <c r="A531" s="1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x14ac:dyDescent="0.3">
      <c r="A532" s="1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x14ac:dyDescent="0.3">
      <c r="A533" s="1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x14ac:dyDescent="0.3">
      <c r="A534" s="1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x14ac:dyDescent="0.3">
      <c r="A535" s="1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x14ac:dyDescent="0.3">
      <c r="A536" s="1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x14ac:dyDescent="0.3">
      <c r="A537" s="1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x14ac:dyDescent="0.3">
      <c r="A538" s="1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x14ac:dyDescent="0.3">
      <c r="A539" s="1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x14ac:dyDescent="0.3">
      <c r="A540" s="1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x14ac:dyDescent="0.3">
      <c r="A541" s="1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x14ac:dyDescent="0.3">
      <c r="A542" s="1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x14ac:dyDescent="0.3">
      <c r="A543" s="1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x14ac:dyDescent="0.3">
      <c r="A544" s="1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x14ac:dyDescent="0.3">
      <c r="A545" s="1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x14ac:dyDescent="0.3">
      <c r="A546" s="1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x14ac:dyDescent="0.3">
      <c r="A547" s="1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x14ac:dyDescent="0.3">
      <c r="A548" s="1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x14ac:dyDescent="0.3">
      <c r="A549" s="1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x14ac:dyDescent="0.3">
      <c r="A550" s="1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x14ac:dyDescent="0.3">
      <c r="A551" s="1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x14ac:dyDescent="0.3">
      <c r="A552" s="1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x14ac:dyDescent="0.3">
      <c r="A553" s="1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x14ac:dyDescent="0.3">
      <c r="A554" s="1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x14ac:dyDescent="0.3">
      <c r="A555" s="1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x14ac:dyDescent="0.3">
      <c r="A556" s="1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x14ac:dyDescent="0.3">
      <c r="A557" s="1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x14ac:dyDescent="0.3">
      <c r="A558" s="1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x14ac:dyDescent="0.3">
      <c r="A559" s="1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x14ac:dyDescent="0.3">
      <c r="A560" s="1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x14ac:dyDescent="0.3">
      <c r="A561" s="1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x14ac:dyDescent="0.3">
      <c r="A562" s="1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x14ac:dyDescent="0.3">
      <c r="A563" s="1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x14ac:dyDescent="0.3">
      <c r="A564" s="1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x14ac:dyDescent="0.3">
      <c r="A565" s="1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x14ac:dyDescent="0.3">
      <c r="A566" s="1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x14ac:dyDescent="0.3">
      <c r="A567" s="1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x14ac:dyDescent="0.3">
      <c r="A568" s="1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x14ac:dyDescent="0.3">
      <c r="A569" s="1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x14ac:dyDescent="0.3">
      <c r="A570" s="1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x14ac:dyDescent="0.3">
      <c r="A571" s="1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x14ac:dyDescent="0.3">
      <c r="A572" s="1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x14ac:dyDescent="0.3">
      <c r="A573" s="1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x14ac:dyDescent="0.3">
      <c r="A574" s="1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x14ac:dyDescent="0.3">
      <c r="A575" s="1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x14ac:dyDescent="0.3">
      <c r="A576" s="1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x14ac:dyDescent="0.3">
      <c r="A577" s="1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x14ac:dyDescent="0.3">
      <c r="A578" s="1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x14ac:dyDescent="0.3">
      <c r="A579" s="1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x14ac:dyDescent="0.3">
      <c r="A580" s="1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x14ac:dyDescent="0.3">
      <c r="A581" s="1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x14ac:dyDescent="0.3">
      <c r="A582" s="1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x14ac:dyDescent="0.3">
      <c r="A583" s="1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x14ac:dyDescent="0.3">
      <c r="A584" s="1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x14ac:dyDescent="0.3">
      <c r="A585" s="1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x14ac:dyDescent="0.3">
      <c r="A586" s="1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x14ac:dyDescent="0.3">
      <c r="A587" s="1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x14ac:dyDescent="0.3">
      <c r="A588" s="1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x14ac:dyDescent="0.3">
      <c r="A589" s="1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x14ac:dyDescent="0.3">
      <c r="A590" s="1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x14ac:dyDescent="0.3">
      <c r="A591" s="1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x14ac:dyDescent="0.3">
      <c r="A592" s="1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x14ac:dyDescent="0.3">
      <c r="A593" s="1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x14ac:dyDescent="0.3">
      <c r="A594" s="1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x14ac:dyDescent="0.3">
      <c r="A595" s="1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x14ac:dyDescent="0.3">
      <c r="A596" s="1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x14ac:dyDescent="0.3">
      <c r="A597" s="1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x14ac:dyDescent="0.3">
      <c r="A598" s="1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x14ac:dyDescent="0.3">
      <c r="A599" s="1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x14ac:dyDescent="0.3">
      <c r="A600" s="1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x14ac:dyDescent="0.3">
      <c r="A601" s="1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x14ac:dyDescent="0.3">
      <c r="A602" s="1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x14ac:dyDescent="0.3">
      <c r="A603" s="1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x14ac:dyDescent="0.3">
      <c r="A604" s="1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x14ac:dyDescent="0.3">
      <c r="A605" s="1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x14ac:dyDescent="0.3">
      <c r="A606" s="1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x14ac:dyDescent="0.3">
      <c r="A607" s="1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x14ac:dyDescent="0.3">
      <c r="A608" s="1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x14ac:dyDescent="0.3">
      <c r="A609" s="1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x14ac:dyDescent="0.3">
      <c r="A610" s="1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x14ac:dyDescent="0.3">
      <c r="A611" s="1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x14ac:dyDescent="0.3">
      <c r="A612" s="1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x14ac:dyDescent="0.3">
      <c r="A613" s="1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x14ac:dyDescent="0.3">
      <c r="A614" s="1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x14ac:dyDescent="0.3">
      <c r="A615" s="1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x14ac:dyDescent="0.3">
      <c r="A616" s="1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x14ac:dyDescent="0.3">
      <c r="A617" s="1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x14ac:dyDescent="0.3">
      <c r="A618" s="1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x14ac:dyDescent="0.3">
      <c r="A619" s="1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x14ac:dyDescent="0.3">
      <c r="A620" s="1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x14ac:dyDescent="0.3">
      <c r="A621" s="1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x14ac:dyDescent="0.3">
      <c r="A622" s="1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x14ac:dyDescent="0.3">
      <c r="A623" s="1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x14ac:dyDescent="0.3">
      <c r="A624" s="1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x14ac:dyDescent="0.3">
      <c r="A625" s="1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x14ac:dyDescent="0.3">
      <c r="A626" s="1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x14ac:dyDescent="0.3">
      <c r="A627" s="1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x14ac:dyDescent="0.3">
      <c r="A628" s="1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x14ac:dyDescent="0.3">
      <c r="A629" s="1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x14ac:dyDescent="0.3">
      <c r="A630" s="1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x14ac:dyDescent="0.3">
      <c r="A631" s="1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x14ac:dyDescent="0.3">
      <c r="A632" s="1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x14ac:dyDescent="0.3">
      <c r="A633" s="1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x14ac:dyDescent="0.3">
      <c r="A634" s="1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x14ac:dyDescent="0.3">
      <c r="A635" s="1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x14ac:dyDescent="0.3">
      <c r="A636" s="1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x14ac:dyDescent="0.3">
      <c r="A637" s="1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x14ac:dyDescent="0.3">
      <c r="A638" s="1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x14ac:dyDescent="0.3">
      <c r="A639" s="1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x14ac:dyDescent="0.3">
      <c r="A640" s="1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x14ac:dyDescent="0.3">
      <c r="A641" s="1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x14ac:dyDescent="0.3">
      <c r="A642" s="1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x14ac:dyDescent="0.3">
      <c r="A643" s="1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x14ac:dyDescent="0.3">
      <c r="A644" s="1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x14ac:dyDescent="0.3">
      <c r="A645" s="1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x14ac:dyDescent="0.3">
      <c r="A646" s="1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x14ac:dyDescent="0.3">
      <c r="A647" s="1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x14ac:dyDescent="0.3">
      <c r="A648" s="1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x14ac:dyDescent="0.3">
      <c r="A649" s="1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x14ac:dyDescent="0.3">
      <c r="A650" s="1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x14ac:dyDescent="0.3">
      <c r="A651" s="1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x14ac:dyDescent="0.3">
      <c r="A652" s="1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x14ac:dyDescent="0.3">
      <c r="A653" s="1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x14ac:dyDescent="0.3">
      <c r="A654" s="1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x14ac:dyDescent="0.3">
      <c r="A655" s="1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x14ac:dyDescent="0.3">
      <c r="A656" s="1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x14ac:dyDescent="0.3">
      <c r="A657" s="1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x14ac:dyDescent="0.3">
      <c r="A658" s="1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x14ac:dyDescent="0.3">
      <c r="A659" s="1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x14ac:dyDescent="0.3">
      <c r="A660" s="1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x14ac:dyDescent="0.3">
      <c r="A661" s="1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x14ac:dyDescent="0.3">
      <c r="A662" s="1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x14ac:dyDescent="0.3">
      <c r="A663" s="1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x14ac:dyDescent="0.3">
      <c r="A664" s="1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x14ac:dyDescent="0.3">
      <c r="A665" s="1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x14ac:dyDescent="0.3">
      <c r="A666" s="1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x14ac:dyDescent="0.3">
      <c r="A667" s="1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x14ac:dyDescent="0.3">
      <c r="A668" s="1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x14ac:dyDescent="0.3">
      <c r="A669" s="1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x14ac:dyDescent="0.3">
      <c r="A670" s="1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x14ac:dyDescent="0.3">
      <c r="A671" s="1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x14ac:dyDescent="0.3">
      <c r="A672" s="1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x14ac:dyDescent="0.3">
      <c r="A673" s="1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x14ac:dyDescent="0.3">
      <c r="A674" s="1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x14ac:dyDescent="0.3">
      <c r="A675" s="1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x14ac:dyDescent="0.3">
      <c r="A676" s="1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x14ac:dyDescent="0.3">
      <c r="A677" s="1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x14ac:dyDescent="0.3">
      <c r="A678" s="1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x14ac:dyDescent="0.3">
      <c r="A679" s="1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x14ac:dyDescent="0.3">
      <c r="A680" s="1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x14ac:dyDescent="0.3">
      <c r="A681" s="1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x14ac:dyDescent="0.3">
      <c r="A682" s="1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x14ac:dyDescent="0.3">
      <c r="A683" s="1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x14ac:dyDescent="0.3">
      <c r="A684" s="1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x14ac:dyDescent="0.3">
      <c r="A685" s="1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x14ac:dyDescent="0.3">
      <c r="A686" s="1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x14ac:dyDescent="0.3">
      <c r="A687" s="1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x14ac:dyDescent="0.3">
      <c r="A688" s="1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x14ac:dyDescent="0.3">
      <c r="A689" s="1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x14ac:dyDescent="0.3">
      <c r="A690" s="1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x14ac:dyDescent="0.3">
      <c r="A691" s="1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x14ac:dyDescent="0.3">
      <c r="A692" s="1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x14ac:dyDescent="0.3">
      <c r="A693" s="1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x14ac:dyDescent="0.3">
      <c r="A694" s="1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x14ac:dyDescent="0.3">
      <c r="A695" s="1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x14ac:dyDescent="0.3">
      <c r="A696" s="1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x14ac:dyDescent="0.3">
      <c r="A697" s="1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x14ac:dyDescent="0.3">
      <c r="A698" s="1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x14ac:dyDescent="0.3">
      <c r="A699" s="1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x14ac:dyDescent="0.3">
      <c r="A700" s="1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x14ac:dyDescent="0.3">
      <c r="A701" s="1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x14ac:dyDescent="0.3">
      <c r="A702" s="1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x14ac:dyDescent="0.3">
      <c r="A703" s="1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x14ac:dyDescent="0.3">
      <c r="A704" s="1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x14ac:dyDescent="0.3">
      <c r="A705" s="1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x14ac:dyDescent="0.3">
      <c r="A706" s="1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x14ac:dyDescent="0.3">
      <c r="A707" s="1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x14ac:dyDescent="0.3">
      <c r="A708" s="1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x14ac:dyDescent="0.3">
      <c r="A709" s="1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x14ac:dyDescent="0.3">
      <c r="A710" s="1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x14ac:dyDescent="0.3">
      <c r="A711" s="1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x14ac:dyDescent="0.3">
      <c r="A712" s="1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x14ac:dyDescent="0.3">
      <c r="A713" s="1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x14ac:dyDescent="0.3">
      <c r="A714" s="1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x14ac:dyDescent="0.3">
      <c r="A715" s="1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x14ac:dyDescent="0.3">
      <c r="A716" s="1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x14ac:dyDescent="0.3">
      <c r="A717" s="1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x14ac:dyDescent="0.3">
      <c r="A718" s="1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x14ac:dyDescent="0.3">
      <c r="A719" s="1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x14ac:dyDescent="0.3">
      <c r="A720" s="1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x14ac:dyDescent="0.3">
      <c r="A721" s="1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x14ac:dyDescent="0.3">
      <c r="A722" s="1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x14ac:dyDescent="0.3">
      <c r="A723" s="1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x14ac:dyDescent="0.3">
      <c r="A724" s="1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x14ac:dyDescent="0.3">
      <c r="A725" s="1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x14ac:dyDescent="0.3">
      <c r="A726" s="1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x14ac:dyDescent="0.3">
      <c r="A727" s="1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x14ac:dyDescent="0.3">
      <c r="A728" s="1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x14ac:dyDescent="0.3">
      <c r="A729" s="1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x14ac:dyDescent="0.3">
      <c r="A730" s="1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x14ac:dyDescent="0.3">
      <c r="A731" s="1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x14ac:dyDescent="0.3">
      <c r="A732" s="1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x14ac:dyDescent="0.3">
      <c r="A733" s="1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x14ac:dyDescent="0.3">
      <c r="A734" s="1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x14ac:dyDescent="0.3">
      <c r="A735" s="1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x14ac:dyDescent="0.3">
      <c r="A736" s="1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x14ac:dyDescent="0.3">
      <c r="A737" s="1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x14ac:dyDescent="0.3">
      <c r="A738" s="1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x14ac:dyDescent="0.3">
      <c r="A739" s="1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x14ac:dyDescent="0.3">
      <c r="A740" s="1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x14ac:dyDescent="0.3">
      <c r="A741" s="1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x14ac:dyDescent="0.3">
      <c r="A742" s="1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x14ac:dyDescent="0.3">
      <c r="A743" s="1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x14ac:dyDescent="0.3">
      <c r="A744" s="1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x14ac:dyDescent="0.3">
      <c r="A745" s="1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x14ac:dyDescent="0.3">
      <c r="A746" s="1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x14ac:dyDescent="0.3">
      <c r="A747" s="1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x14ac:dyDescent="0.3">
      <c r="A748" s="1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x14ac:dyDescent="0.3">
      <c r="A749" s="1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x14ac:dyDescent="0.3">
      <c r="A750" s="1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x14ac:dyDescent="0.3">
      <c r="A751" s="1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x14ac:dyDescent="0.3">
      <c r="A752" s="1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x14ac:dyDescent="0.3">
      <c r="A753" s="1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x14ac:dyDescent="0.3">
      <c r="A754" s="1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x14ac:dyDescent="0.3">
      <c r="A755" s="1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x14ac:dyDescent="0.3">
      <c r="A756" s="1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x14ac:dyDescent="0.3">
      <c r="A757" s="1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x14ac:dyDescent="0.3">
      <c r="A758" s="1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x14ac:dyDescent="0.3">
      <c r="A759" s="1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x14ac:dyDescent="0.3">
      <c r="A760" s="1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x14ac:dyDescent="0.3">
      <c r="A761" s="1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x14ac:dyDescent="0.3">
      <c r="A762" s="1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x14ac:dyDescent="0.3">
      <c r="A763" s="1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x14ac:dyDescent="0.3">
      <c r="A764" s="1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x14ac:dyDescent="0.3">
      <c r="A765" s="1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x14ac:dyDescent="0.3">
      <c r="A766" s="1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x14ac:dyDescent="0.3">
      <c r="A767" s="1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x14ac:dyDescent="0.3">
      <c r="A768" s="1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x14ac:dyDescent="0.3">
      <c r="A769" s="1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x14ac:dyDescent="0.3">
      <c r="A770" s="1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x14ac:dyDescent="0.3">
      <c r="A771" s="1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x14ac:dyDescent="0.3">
      <c r="A772" s="1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x14ac:dyDescent="0.3">
      <c r="A773" s="1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x14ac:dyDescent="0.3">
      <c r="A774" s="1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x14ac:dyDescent="0.3">
      <c r="A775" s="1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x14ac:dyDescent="0.3">
      <c r="A776" s="1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x14ac:dyDescent="0.3">
      <c r="A777" s="1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x14ac:dyDescent="0.3">
      <c r="A778" s="1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x14ac:dyDescent="0.3">
      <c r="A779" s="1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x14ac:dyDescent="0.3">
      <c r="A780" s="1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x14ac:dyDescent="0.3">
      <c r="A781" s="1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x14ac:dyDescent="0.3">
      <c r="A782" s="1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x14ac:dyDescent="0.3">
      <c r="A783" s="1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x14ac:dyDescent="0.3">
      <c r="A784" s="1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x14ac:dyDescent="0.3">
      <c r="A785" s="1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x14ac:dyDescent="0.3">
      <c r="A786" s="1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x14ac:dyDescent="0.3">
      <c r="A787" s="1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x14ac:dyDescent="0.3">
      <c r="A788" s="1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x14ac:dyDescent="0.3">
      <c r="A789" s="1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x14ac:dyDescent="0.3">
      <c r="A790" s="1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x14ac:dyDescent="0.3">
      <c r="A791" s="1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x14ac:dyDescent="0.3">
      <c r="A792" s="1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x14ac:dyDescent="0.3">
      <c r="A793" s="1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x14ac:dyDescent="0.3">
      <c r="A794" s="1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x14ac:dyDescent="0.3">
      <c r="A795" s="1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x14ac:dyDescent="0.3">
      <c r="A796" s="1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x14ac:dyDescent="0.3">
      <c r="A797" s="1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x14ac:dyDescent="0.3">
      <c r="A798" s="1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x14ac:dyDescent="0.3">
      <c r="A799" s="1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x14ac:dyDescent="0.3">
      <c r="A800" s="1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x14ac:dyDescent="0.3">
      <c r="A801" s="1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x14ac:dyDescent="0.3">
      <c r="A802" s="1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x14ac:dyDescent="0.3">
      <c r="A803" s="1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x14ac:dyDescent="0.3">
      <c r="A804" s="1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x14ac:dyDescent="0.3">
      <c r="A805" s="1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x14ac:dyDescent="0.3">
      <c r="A806" s="1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x14ac:dyDescent="0.3">
      <c r="A807" s="1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x14ac:dyDescent="0.3">
      <c r="A808" s="1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x14ac:dyDescent="0.3">
      <c r="A809" s="1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x14ac:dyDescent="0.3">
      <c r="A810" s="1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x14ac:dyDescent="0.3">
      <c r="A811" s="1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x14ac:dyDescent="0.3">
      <c r="A812" s="1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x14ac:dyDescent="0.3">
      <c r="A813" s="1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x14ac:dyDescent="0.3">
      <c r="A814" s="1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x14ac:dyDescent="0.3">
      <c r="A815" s="1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x14ac:dyDescent="0.3">
      <c r="A816" s="1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x14ac:dyDescent="0.3">
      <c r="A817" s="1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x14ac:dyDescent="0.3">
      <c r="A818" s="1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x14ac:dyDescent="0.3">
      <c r="A819" s="1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x14ac:dyDescent="0.3">
      <c r="A820" s="1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x14ac:dyDescent="0.3">
      <c r="A821" s="1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x14ac:dyDescent="0.3">
      <c r="A822" s="1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x14ac:dyDescent="0.3">
      <c r="A823" s="1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x14ac:dyDescent="0.3">
      <c r="A824" s="1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x14ac:dyDescent="0.3">
      <c r="A825" s="1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x14ac:dyDescent="0.3">
      <c r="A826" s="1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x14ac:dyDescent="0.3">
      <c r="A827" s="1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x14ac:dyDescent="0.3">
      <c r="A828" s="1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x14ac:dyDescent="0.3">
      <c r="A829" s="1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x14ac:dyDescent="0.3">
      <c r="A830" s="1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x14ac:dyDescent="0.3">
      <c r="A831" s="1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x14ac:dyDescent="0.3">
      <c r="A832" s="1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x14ac:dyDescent="0.3">
      <c r="A833" s="1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x14ac:dyDescent="0.3">
      <c r="A834" s="1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x14ac:dyDescent="0.3">
      <c r="A835" s="1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x14ac:dyDescent="0.3">
      <c r="A836" s="1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x14ac:dyDescent="0.3">
      <c r="A837" s="1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x14ac:dyDescent="0.3">
      <c r="A838" s="1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x14ac:dyDescent="0.3">
      <c r="A839" s="1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x14ac:dyDescent="0.3">
      <c r="A840" s="1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x14ac:dyDescent="0.3">
      <c r="A841" s="1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x14ac:dyDescent="0.3">
      <c r="A842" s="1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x14ac:dyDescent="0.3">
      <c r="A843" s="1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x14ac:dyDescent="0.3">
      <c r="A844" s="1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x14ac:dyDescent="0.3">
      <c r="A845" s="1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x14ac:dyDescent="0.3">
      <c r="A846" s="1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x14ac:dyDescent="0.3">
      <c r="A847" s="1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x14ac:dyDescent="0.3">
      <c r="A848" s="1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x14ac:dyDescent="0.3">
      <c r="A849" s="1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x14ac:dyDescent="0.3">
      <c r="A850" s="1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x14ac:dyDescent="0.3">
      <c r="A851" s="1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x14ac:dyDescent="0.3">
      <c r="A852" s="1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x14ac:dyDescent="0.3">
      <c r="A853" s="1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x14ac:dyDescent="0.3">
      <c r="A854" s="1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x14ac:dyDescent="0.3">
      <c r="A855" s="1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x14ac:dyDescent="0.3">
      <c r="A856" s="1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x14ac:dyDescent="0.3">
      <c r="A857" s="1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x14ac:dyDescent="0.3">
      <c r="A858" s="1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x14ac:dyDescent="0.3">
      <c r="A859" s="1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x14ac:dyDescent="0.3">
      <c r="A860" s="1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x14ac:dyDescent="0.3">
      <c r="A861" s="1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x14ac:dyDescent="0.3">
      <c r="A862" s="1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x14ac:dyDescent="0.3">
      <c r="A863" s="1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x14ac:dyDescent="0.3">
      <c r="A864" s="1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x14ac:dyDescent="0.3">
      <c r="A865" s="1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x14ac:dyDescent="0.3">
      <c r="A866" s="1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x14ac:dyDescent="0.3">
      <c r="A867" s="1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x14ac:dyDescent="0.3">
      <c r="A868" s="1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x14ac:dyDescent="0.3">
      <c r="A869" s="1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x14ac:dyDescent="0.3">
      <c r="A870" s="1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x14ac:dyDescent="0.3">
      <c r="A871" s="1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x14ac:dyDescent="0.3">
      <c r="A872" s="1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x14ac:dyDescent="0.3">
      <c r="A873" s="1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x14ac:dyDescent="0.3">
      <c r="A874" s="1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x14ac:dyDescent="0.3">
      <c r="A875" s="1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x14ac:dyDescent="0.3">
      <c r="A876" s="1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x14ac:dyDescent="0.3">
      <c r="A877" s="1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x14ac:dyDescent="0.3">
      <c r="A878" s="1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x14ac:dyDescent="0.3">
      <c r="A879" s="1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x14ac:dyDescent="0.3">
      <c r="A880" s="1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x14ac:dyDescent="0.3">
      <c r="A881" s="1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x14ac:dyDescent="0.3">
      <c r="A882" s="1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x14ac:dyDescent="0.3">
      <c r="A883" s="1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x14ac:dyDescent="0.3">
      <c r="A884" s="1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x14ac:dyDescent="0.3">
      <c r="A885" s="1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x14ac:dyDescent="0.3">
      <c r="A886" s="1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x14ac:dyDescent="0.3">
      <c r="A887" s="1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x14ac:dyDescent="0.3">
      <c r="A888" s="1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x14ac:dyDescent="0.3">
      <c r="A889" s="1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x14ac:dyDescent="0.3">
      <c r="A890" s="1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x14ac:dyDescent="0.3">
      <c r="A891" s="1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x14ac:dyDescent="0.3">
      <c r="A892" s="1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x14ac:dyDescent="0.3">
      <c r="A893" s="1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x14ac:dyDescent="0.3">
      <c r="A894" s="1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x14ac:dyDescent="0.3">
      <c r="A895" s="1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x14ac:dyDescent="0.3">
      <c r="A896" s="1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x14ac:dyDescent="0.3">
      <c r="A897" s="1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x14ac:dyDescent="0.3">
      <c r="A898" s="1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x14ac:dyDescent="0.3">
      <c r="A899" s="1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x14ac:dyDescent="0.3">
      <c r="A900" s="1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x14ac:dyDescent="0.3">
      <c r="A901" s="1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x14ac:dyDescent="0.3">
      <c r="A902" s="1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x14ac:dyDescent="0.3">
      <c r="A903" s="1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x14ac:dyDescent="0.3">
      <c r="A904" s="1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x14ac:dyDescent="0.3">
      <c r="A905" s="1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x14ac:dyDescent="0.3">
      <c r="A906" s="1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x14ac:dyDescent="0.3">
      <c r="A907" s="1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x14ac:dyDescent="0.3">
      <c r="A908" s="1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x14ac:dyDescent="0.3">
      <c r="A909" s="1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x14ac:dyDescent="0.3">
      <c r="A910" s="1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x14ac:dyDescent="0.3">
      <c r="A911" s="1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x14ac:dyDescent="0.3">
      <c r="A912" s="1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x14ac:dyDescent="0.3">
      <c r="A913" s="1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x14ac:dyDescent="0.3">
      <c r="A914" s="1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x14ac:dyDescent="0.3">
      <c r="A915" s="1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x14ac:dyDescent="0.3">
      <c r="A916" s="1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x14ac:dyDescent="0.3">
      <c r="A917" s="1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x14ac:dyDescent="0.3">
      <c r="A918" s="1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x14ac:dyDescent="0.3">
      <c r="A919" s="1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x14ac:dyDescent="0.3">
      <c r="A920" s="1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x14ac:dyDescent="0.3">
      <c r="A921" s="1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x14ac:dyDescent="0.3">
      <c r="A922" s="1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x14ac:dyDescent="0.3">
      <c r="A923" s="1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x14ac:dyDescent="0.3">
      <c r="A924" s="1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x14ac:dyDescent="0.3">
      <c r="A925" s="1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x14ac:dyDescent="0.3">
      <c r="A926" s="1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x14ac:dyDescent="0.3">
      <c r="A927" s="1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x14ac:dyDescent="0.3">
      <c r="A928" s="1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x14ac:dyDescent="0.3">
      <c r="A929" s="1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x14ac:dyDescent="0.3">
      <c r="A930" s="1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x14ac:dyDescent="0.3">
      <c r="A931" s="1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x14ac:dyDescent="0.3">
      <c r="A932" s="1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x14ac:dyDescent="0.3">
      <c r="A933" s="1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x14ac:dyDescent="0.3">
      <c r="A934" s="1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x14ac:dyDescent="0.3">
      <c r="A935" s="1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x14ac:dyDescent="0.3">
      <c r="A936" s="1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x14ac:dyDescent="0.3">
      <c r="A937" s="1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x14ac:dyDescent="0.3">
      <c r="A938" s="1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x14ac:dyDescent="0.3">
      <c r="A939" s="1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x14ac:dyDescent="0.3">
      <c r="A940" s="1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x14ac:dyDescent="0.3">
      <c r="A941" s="1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x14ac:dyDescent="0.3">
      <c r="A942" s="1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x14ac:dyDescent="0.3">
      <c r="A943" s="1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x14ac:dyDescent="0.3">
      <c r="A944" s="1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x14ac:dyDescent="0.3">
      <c r="A945" s="1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x14ac:dyDescent="0.3">
      <c r="A946" s="1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x14ac:dyDescent="0.3">
      <c r="A947" s="1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x14ac:dyDescent="0.3">
      <c r="A948" s="1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x14ac:dyDescent="0.3">
      <c r="A949" s="1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x14ac:dyDescent="0.3">
      <c r="A950" s="1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x14ac:dyDescent="0.3">
      <c r="A951" s="1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x14ac:dyDescent="0.3">
      <c r="A952" s="1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x14ac:dyDescent="0.3">
      <c r="A953" s="1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x14ac:dyDescent="0.3">
      <c r="A954" s="1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x14ac:dyDescent="0.3">
      <c r="A955" s="1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x14ac:dyDescent="0.3">
      <c r="A956" s="1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x14ac:dyDescent="0.3">
      <c r="A957" s="1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x14ac:dyDescent="0.3">
      <c r="A958" s="1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x14ac:dyDescent="0.3">
      <c r="A959" s="1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x14ac:dyDescent="0.3">
      <c r="A960" s="1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x14ac:dyDescent="0.3">
      <c r="A961" s="1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x14ac:dyDescent="0.3">
      <c r="A962" s="1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x14ac:dyDescent="0.3">
      <c r="A963" s="1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x14ac:dyDescent="0.3">
      <c r="A964" s="1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x14ac:dyDescent="0.3">
      <c r="A965" s="1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x14ac:dyDescent="0.3">
      <c r="A966" s="1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x14ac:dyDescent="0.3">
      <c r="A967" s="1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x14ac:dyDescent="0.3">
      <c r="A968" s="1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x14ac:dyDescent="0.3">
      <c r="A969" s="1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x14ac:dyDescent="0.3">
      <c r="A970" s="1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x14ac:dyDescent="0.3">
      <c r="A971" s="1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x14ac:dyDescent="0.3">
      <c r="A972" s="1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x14ac:dyDescent="0.3">
      <c r="A973" s="1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x14ac:dyDescent="0.3">
      <c r="A974" s="1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x14ac:dyDescent="0.3">
      <c r="A975" s="1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x14ac:dyDescent="0.3">
      <c r="A976" s="1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x14ac:dyDescent="0.3">
      <c r="A977" s="1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x14ac:dyDescent="0.3">
      <c r="A978" s="1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x14ac:dyDescent="0.3">
      <c r="A979" s="1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x14ac:dyDescent="0.3">
      <c r="A980" s="1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x14ac:dyDescent="0.3">
      <c r="A981" s="1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x14ac:dyDescent="0.3">
      <c r="A982" s="1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x14ac:dyDescent="0.3">
      <c r="A983" s="1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x14ac:dyDescent="0.3">
      <c r="A984" s="1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x14ac:dyDescent="0.3">
      <c r="A985" s="1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x14ac:dyDescent="0.3">
      <c r="A986" s="1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x14ac:dyDescent="0.3">
      <c r="A987" s="1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x14ac:dyDescent="0.3">
      <c r="A988" s="1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x14ac:dyDescent="0.3">
      <c r="A989" s="1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x14ac:dyDescent="0.3">
      <c r="A990" s="1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x14ac:dyDescent="0.3">
      <c r="A991" s="1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x14ac:dyDescent="0.3">
      <c r="A992" s="1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x14ac:dyDescent="0.3">
      <c r="A993" s="1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x14ac:dyDescent="0.3">
      <c r="A994" s="1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x14ac:dyDescent="0.3">
      <c r="A995" s="1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x14ac:dyDescent="0.3">
      <c r="A996" s="1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x14ac:dyDescent="0.3">
      <c r="A997" s="1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x14ac:dyDescent="0.3">
      <c r="A998" s="1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x14ac:dyDescent="0.3">
      <c r="A999" s="1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x14ac:dyDescent="0.3">
      <c r="A1000" s="1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x14ac:dyDescent="0.3">
      <c r="A1001" s="1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x14ac:dyDescent="0.3">
      <c r="A1002" s="1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x14ac:dyDescent="0.3">
      <c r="A1003" s="1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x14ac:dyDescent="0.3">
      <c r="A1004" s="1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7.399999999999999" x14ac:dyDescent="0.3">
      <c r="A1005" s="1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7.399999999999999" x14ac:dyDescent="0.3">
      <c r="A1006" s="1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7.399999999999999" x14ac:dyDescent="0.3">
      <c r="A1007" s="1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7.399999999999999" x14ac:dyDescent="0.3">
      <c r="A1008" s="1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7.399999999999999" x14ac:dyDescent="0.3">
      <c r="A1009" s="1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7.399999999999999" x14ac:dyDescent="0.3">
      <c r="A1010" s="1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7.399999999999999" x14ac:dyDescent="0.3">
      <c r="A1011" s="1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7.399999999999999" x14ac:dyDescent="0.3">
      <c r="A1012" s="1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7.399999999999999" x14ac:dyDescent="0.3">
      <c r="A1013" s="1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7.399999999999999" x14ac:dyDescent="0.3">
      <c r="A1014" s="1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7.399999999999999" x14ac:dyDescent="0.3">
      <c r="A1015" s="1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7.399999999999999" x14ac:dyDescent="0.3">
      <c r="A1016" s="1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7.399999999999999" x14ac:dyDescent="0.3">
      <c r="A1017" s="1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7.399999999999999" x14ac:dyDescent="0.3">
      <c r="A1018" s="1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7.399999999999999" x14ac:dyDescent="0.3">
      <c r="A1019" s="1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7.399999999999999" x14ac:dyDescent="0.3">
      <c r="A1020" s="1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7.399999999999999" x14ac:dyDescent="0.3">
      <c r="A1021" s="10"/>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7.399999999999999" x14ac:dyDescent="0.3">
      <c r="A1022" s="10"/>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7.399999999999999" x14ac:dyDescent="0.3">
      <c r="A1023" s="10"/>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7.399999999999999" x14ac:dyDescent="0.3">
      <c r="A1024" s="10"/>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7.399999999999999" x14ac:dyDescent="0.3">
      <c r="A1025" s="10"/>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7.399999999999999" x14ac:dyDescent="0.3">
      <c r="A1026" s="10"/>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7.399999999999999" x14ac:dyDescent="0.3">
      <c r="A1027" s="10"/>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7.399999999999999" x14ac:dyDescent="0.3">
      <c r="A1028" s="10"/>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7.399999999999999" x14ac:dyDescent="0.3">
      <c r="A1029" s="10"/>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7.399999999999999" x14ac:dyDescent="0.3">
      <c r="A1030" s="10"/>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7.399999999999999" x14ac:dyDescent="0.3">
      <c r="A1031" s="10"/>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7.399999999999999" x14ac:dyDescent="0.3">
      <c r="A1032" s="10"/>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7.399999999999999" x14ac:dyDescent="0.3">
      <c r="A1033" s="10"/>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7.399999999999999" x14ac:dyDescent="0.3">
      <c r="A1034" s="10"/>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7.399999999999999" x14ac:dyDescent="0.3">
      <c r="A1035" s="10"/>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7.399999999999999" x14ac:dyDescent="0.3">
      <c r="A1036" s="10"/>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7.399999999999999" x14ac:dyDescent="0.3">
      <c r="A1037" s="10"/>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7.399999999999999" x14ac:dyDescent="0.3">
      <c r="A1038" s="10"/>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7.399999999999999" x14ac:dyDescent="0.3">
      <c r="A1039" s="10"/>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7.399999999999999" x14ac:dyDescent="0.3">
      <c r="A1040" s="10"/>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7.399999999999999" x14ac:dyDescent="0.3">
      <c r="A1041" s="10"/>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7.399999999999999" x14ac:dyDescent="0.3">
      <c r="A1042" s="10"/>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7.399999999999999" x14ac:dyDescent="0.3">
      <c r="A1043" s="10"/>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7.399999999999999" x14ac:dyDescent="0.3">
      <c r="A1044" s="10"/>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7.399999999999999" x14ac:dyDescent="0.3">
      <c r="A1045" s="10"/>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7.399999999999999" x14ac:dyDescent="0.3">
      <c r="A1046" s="10"/>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7.399999999999999" x14ac:dyDescent="0.3">
      <c r="A1047" s="10"/>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7.399999999999999" x14ac:dyDescent="0.3">
      <c r="A1048" s="10"/>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7.399999999999999" x14ac:dyDescent="0.3">
      <c r="A1049" s="10"/>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7.399999999999999" x14ac:dyDescent="0.3">
      <c r="A1050" s="10"/>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7.399999999999999" x14ac:dyDescent="0.3">
      <c r="A1051" s="10"/>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7.399999999999999" x14ac:dyDescent="0.3">
      <c r="A1052" s="10"/>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7.399999999999999" x14ac:dyDescent="0.3">
      <c r="A1053" s="10"/>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7.399999999999999" x14ac:dyDescent="0.3">
      <c r="A1054" s="10"/>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7.399999999999999" x14ac:dyDescent="0.3">
      <c r="A1055" s="10"/>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7.399999999999999" x14ac:dyDescent="0.3">
      <c r="A1056" s="10"/>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7.399999999999999" x14ac:dyDescent="0.3">
      <c r="A1057" s="10"/>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7.399999999999999" x14ac:dyDescent="0.3">
      <c r="A1058" s="10"/>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7.399999999999999" x14ac:dyDescent="0.3">
      <c r="A1059" s="10"/>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7.399999999999999" x14ac:dyDescent="0.3">
      <c r="A1060" s="10"/>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7.399999999999999" x14ac:dyDescent="0.3">
      <c r="A1061" s="10"/>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7.399999999999999" x14ac:dyDescent="0.3">
      <c r="A1062" s="10"/>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7.399999999999999" x14ac:dyDescent="0.3">
      <c r="A1063" s="10"/>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7.399999999999999" x14ac:dyDescent="0.3">
      <c r="A1064" s="10"/>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7.399999999999999" x14ac:dyDescent="0.3">
      <c r="A1065" s="10"/>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7.399999999999999" x14ac:dyDescent="0.3">
      <c r="A1066" s="10"/>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7.399999999999999" x14ac:dyDescent="0.3">
      <c r="A1067" s="10"/>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7.399999999999999" x14ac:dyDescent="0.3">
      <c r="A1068" s="10"/>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7.399999999999999" x14ac:dyDescent="0.3">
      <c r="A1069" s="10"/>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7.399999999999999" x14ac:dyDescent="0.3">
      <c r="A1070" s="10"/>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7.399999999999999" x14ac:dyDescent="0.3">
      <c r="A1071" s="10"/>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7.399999999999999" x14ac:dyDescent="0.3">
      <c r="A1072" s="10"/>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7.399999999999999" x14ac:dyDescent="0.3">
      <c r="A1073" s="10"/>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7.399999999999999" x14ac:dyDescent="0.3">
      <c r="A1074" s="10"/>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7.399999999999999" x14ac:dyDescent="0.3">
      <c r="A1075" s="10"/>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7.399999999999999" x14ac:dyDescent="0.3">
      <c r="A1076" s="10"/>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7.399999999999999" x14ac:dyDescent="0.3">
      <c r="A1077" s="10"/>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7.399999999999999" x14ac:dyDescent="0.3">
      <c r="A1078" s="10"/>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7.399999999999999" x14ac:dyDescent="0.3">
      <c r="A1079" s="10"/>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7.399999999999999" x14ac:dyDescent="0.3">
      <c r="A1080" s="10"/>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7.399999999999999" x14ac:dyDescent="0.3">
      <c r="A1081" s="10"/>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7.399999999999999" x14ac:dyDescent="0.3">
      <c r="A1082" s="10"/>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7.399999999999999" x14ac:dyDescent="0.3">
      <c r="A1083" s="10"/>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7.399999999999999" x14ac:dyDescent="0.3">
      <c r="A1084" s="10"/>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7.399999999999999" x14ac:dyDescent="0.3">
      <c r="A1085" s="10"/>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7.399999999999999" x14ac:dyDescent="0.3">
      <c r="A1086" s="10"/>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7.399999999999999" x14ac:dyDescent="0.3">
      <c r="A1087" s="10"/>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7.399999999999999" x14ac:dyDescent="0.3">
      <c r="A1088" s="10"/>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7.399999999999999" x14ac:dyDescent="0.3">
      <c r="A1089" s="10"/>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7.399999999999999" x14ac:dyDescent="0.3">
      <c r="A1090" s="10"/>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7.399999999999999" x14ac:dyDescent="0.3">
      <c r="A1091" s="10"/>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7.399999999999999" x14ac:dyDescent="0.3">
      <c r="A1092" s="10"/>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7.399999999999999" x14ac:dyDescent="0.3">
      <c r="A1093" s="10"/>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7.399999999999999" x14ac:dyDescent="0.3">
      <c r="A1094" s="10"/>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7.399999999999999" x14ac:dyDescent="0.3">
      <c r="A1095" s="10"/>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7.399999999999999" x14ac:dyDescent="0.3">
      <c r="A1096" s="10"/>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7.399999999999999" x14ac:dyDescent="0.3">
      <c r="A1097" s="10"/>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7.399999999999999" x14ac:dyDescent="0.3">
      <c r="A1098" s="10"/>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7.399999999999999" x14ac:dyDescent="0.3">
      <c r="A1099" s="10"/>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7.399999999999999" x14ac:dyDescent="0.3">
      <c r="A1100" s="10"/>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7.399999999999999" x14ac:dyDescent="0.3">
      <c r="A1101" s="10"/>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7.399999999999999" x14ac:dyDescent="0.3">
      <c r="A1102" s="10"/>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7.399999999999999" x14ac:dyDescent="0.3">
      <c r="A1103" s="10"/>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7.399999999999999" x14ac:dyDescent="0.3">
      <c r="A1104" s="10"/>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7.399999999999999" x14ac:dyDescent="0.3">
      <c r="A1105" s="10"/>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7.399999999999999" x14ac:dyDescent="0.3">
      <c r="A1106" s="10"/>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7.399999999999999" x14ac:dyDescent="0.3">
      <c r="A1107" s="10"/>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7.399999999999999" x14ac:dyDescent="0.3">
      <c r="A1108" s="10"/>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7.399999999999999" x14ac:dyDescent="0.3">
      <c r="A1109" s="10"/>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7.399999999999999" x14ac:dyDescent="0.3">
      <c r="A1110" s="10"/>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7.399999999999999" x14ac:dyDescent="0.3">
      <c r="A1111" s="10"/>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7.399999999999999" x14ac:dyDescent="0.3">
      <c r="A1112" s="10"/>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7.399999999999999" x14ac:dyDescent="0.3">
      <c r="A1113" s="10"/>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7.399999999999999" x14ac:dyDescent="0.3">
      <c r="A1114" s="10"/>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7.399999999999999" x14ac:dyDescent="0.3">
      <c r="A1115" s="10"/>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7.399999999999999" x14ac:dyDescent="0.3">
      <c r="A1116" s="10"/>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7.399999999999999" x14ac:dyDescent="0.3">
      <c r="A1117" s="10"/>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7.399999999999999" x14ac:dyDescent="0.3">
      <c r="A1118" s="10"/>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7.399999999999999" x14ac:dyDescent="0.3">
      <c r="A1119" s="10"/>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7.399999999999999" x14ac:dyDescent="0.3">
      <c r="A1120" s="10"/>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7.399999999999999" x14ac:dyDescent="0.3">
      <c r="A1121" s="10"/>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7.399999999999999" x14ac:dyDescent="0.3">
      <c r="A1122" s="10"/>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7.399999999999999" x14ac:dyDescent="0.3">
      <c r="A1123" s="10"/>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7.399999999999999" x14ac:dyDescent="0.3">
      <c r="A1124" s="10"/>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7.399999999999999" x14ac:dyDescent="0.3">
      <c r="A1125" s="10"/>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7.399999999999999" x14ac:dyDescent="0.3">
      <c r="A1126" s="10"/>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7.399999999999999" x14ac:dyDescent="0.3">
      <c r="A1127" s="10"/>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7.399999999999999" x14ac:dyDescent="0.3">
      <c r="A1128" s="10"/>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7.399999999999999" x14ac:dyDescent="0.3">
      <c r="A1129" s="10"/>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7.399999999999999" x14ac:dyDescent="0.3">
      <c r="A1130" s="10"/>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7.399999999999999" x14ac:dyDescent="0.3">
      <c r="A1131" s="10"/>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7.399999999999999" x14ac:dyDescent="0.3">
      <c r="A1132" s="10"/>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7.399999999999999" x14ac:dyDescent="0.3">
      <c r="A1133" s="10"/>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7.399999999999999" x14ac:dyDescent="0.3">
      <c r="A1134" s="10"/>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7.399999999999999" x14ac:dyDescent="0.3">
      <c r="A1135" s="10"/>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7.399999999999999" x14ac:dyDescent="0.3">
      <c r="A1136" s="10"/>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7.399999999999999" x14ac:dyDescent="0.3">
      <c r="A1137" s="10"/>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7.399999999999999" x14ac:dyDescent="0.3">
      <c r="A1138" s="10"/>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7.399999999999999" x14ac:dyDescent="0.3">
      <c r="A1139" s="10"/>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7.399999999999999" x14ac:dyDescent="0.3">
      <c r="A1140" s="10"/>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7.399999999999999" x14ac:dyDescent="0.3">
      <c r="A1141" s="10"/>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7.399999999999999" x14ac:dyDescent="0.3">
      <c r="A1142" s="10"/>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7.399999999999999" x14ac:dyDescent="0.3">
      <c r="A1143" s="10"/>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7.399999999999999" x14ac:dyDescent="0.3">
      <c r="A1144" s="10"/>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7.399999999999999" x14ac:dyDescent="0.3">
      <c r="A1145" s="10"/>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7.399999999999999" x14ac:dyDescent="0.3">
      <c r="A1146" s="10"/>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7.399999999999999" x14ac:dyDescent="0.3">
      <c r="A1147" s="10"/>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7.399999999999999" x14ac:dyDescent="0.3">
      <c r="A1148" s="10"/>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7.399999999999999" x14ac:dyDescent="0.3">
      <c r="A1149" s="10"/>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7.399999999999999" x14ac:dyDescent="0.3">
      <c r="A1150" s="10"/>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7.399999999999999" x14ac:dyDescent="0.3">
      <c r="A1151" s="10"/>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7.399999999999999" x14ac:dyDescent="0.3">
      <c r="A1152" s="10"/>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7.399999999999999" x14ac:dyDescent="0.3">
      <c r="A1153" s="10"/>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7.399999999999999" x14ac:dyDescent="0.3">
      <c r="A1154" s="10"/>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7.399999999999999" x14ac:dyDescent="0.3">
      <c r="A1155" s="10"/>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7.399999999999999" x14ac:dyDescent="0.3">
      <c r="A1156" s="10"/>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7.399999999999999" x14ac:dyDescent="0.3">
      <c r="A1157" s="10"/>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7.399999999999999" x14ac:dyDescent="0.3">
      <c r="A1158" s="10"/>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7.399999999999999" x14ac:dyDescent="0.3">
      <c r="A1159" s="10"/>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7.399999999999999" x14ac:dyDescent="0.3">
      <c r="A1160" s="10"/>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7.399999999999999" x14ac:dyDescent="0.3">
      <c r="A1161" s="10"/>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7.399999999999999" x14ac:dyDescent="0.3">
      <c r="A1162" s="10"/>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7.399999999999999" x14ac:dyDescent="0.3">
      <c r="A1163" s="10"/>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7.399999999999999" x14ac:dyDescent="0.3">
      <c r="A1164" s="10"/>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7.399999999999999" x14ac:dyDescent="0.3">
      <c r="A1165" s="10"/>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7.399999999999999" x14ac:dyDescent="0.3">
      <c r="A1166" s="10"/>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7.399999999999999" x14ac:dyDescent="0.3">
      <c r="A1167" s="10"/>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7.399999999999999" x14ac:dyDescent="0.3">
      <c r="A1168" s="10"/>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7.399999999999999" x14ac:dyDescent="0.3">
      <c r="A1169" s="10"/>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7.399999999999999" x14ac:dyDescent="0.3">
      <c r="A1170" s="10"/>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7.399999999999999" x14ac:dyDescent="0.3">
      <c r="A1171" s="10"/>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7.399999999999999" x14ac:dyDescent="0.3">
      <c r="A1172" s="10"/>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7.399999999999999" x14ac:dyDescent="0.3">
      <c r="A1173" s="10"/>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7.399999999999999" x14ac:dyDescent="0.3">
      <c r="A1174" s="10"/>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7.399999999999999" x14ac:dyDescent="0.3">
      <c r="A1175" s="10"/>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7.399999999999999" x14ac:dyDescent="0.3">
      <c r="A1176" s="10"/>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7.399999999999999" x14ac:dyDescent="0.3">
      <c r="A1177" s="10"/>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7.399999999999999" x14ac:dyDescent="0.3">
      <c r="A1178" s="10"/>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7.399999999999999" x14ac:dyDescent="0.3">
      <c r="A1179" s="10"/>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7.399999999999999" x14ac:dyDescent="0.3">
      <c r="A1180" s="10"/>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7.399999999999999" x14ac:dyDescent="0.3">
      <c r="A1181" s="10"/>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7.399999999999999" x14ac:dyDescent="0.3">
      <c r="A1182" s="10"/>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7.399999999999999" x14ac:dyDescent="0.3">
      <c r="A1183" s="10"/>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7.399999999999999" x14ac:dyDescent="0.3">
      <c r="A1184" s="10"/>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7.399999999999999" x14ac:dyDescent="0.3">
      <c r="A1185" s="10"/>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7.399999999999999" x14ac:dyDescent="0.3">
      <c r="A1186" s="10"/>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7.399999999999999" x14ac:dyDescent="0.3">
      <c r="A1187" s="10"/>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7.399999999999999" x14ac:dyDescent="0.3">
      <c r="A1188" s="10"/>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7.399999999999999" x14ac:dyDescent="0.3">
      <c r="A1189" s="10"/>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7.399999999999999" x14ac:dyDescent="0.3">
      <c r="A1190" s="10"/>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7.399999999999999" x14ac:dyDescent="0.3">
      <c r="A1191" s="10"/>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7.399999999999999" x14ac:dyDescent="0.3">
      <c r="A1192" s="10"/>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7.399999999999999" x14ac:dyDescent="0.3">
      <c r="A1193" s="10"/>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7.399999999999999" x14ac:dyDescent="0.3">
      <c r="A1194" s="10"/>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7.399999999999999" x14ac:dyDescent="0.3">
      <c r="A1195" s="10"/>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7.399999999999999" x14ac:dyDescent="0.3">
      <c r="A1196" s="10"/>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7.399999999999999" x14ac:dyDescent="0.3">
      <c r="A1197" s="10"/>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7.399999999999999" x14ac:dyDescent="0.3">
      <c r="A1198" s="10"/>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7.399999999999999" x14ac:dyDescent="0.3">
      <c r="A1199" s="10"/>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7.399999999999999" x14ac:dyDescent="0.3">
      <c r="A1200" s="10"/>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7.399999999999999" x14ac:dyDescent="0.3">
      <c r="A1201" s="10"/>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7.399999999999999" x14ac:dyDescent="0.3">
      <c r="A1202" s="10"/>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7.399999999999999" x14ac:dyDescent="0.3">
      <c r="A1203" s="10"/>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7.399999999999999" x14ac:dyDescent="0.3">
      <c r="A1204" s="10"/>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7.399999999999999" x14ac:dyDescent="0.3">
      <c r="A1205" s="10"/>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7.399999999999999" x14ac:dyDescent="0.3">
      <c r="A1206" s="10"/>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7.399999999999999" x14ac:dyDescent="0.3">
      <c r="A1207" s="10"/>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7.399999999999999" x14ac:dyDescent="0.3">
      <c r="A1208" s="10"/>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7.399999999999999" x14ac:dyDescent="0.3">
      <c r="A1209" s="10"/>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7.399999999999999" x14ac:dyDescent="0.3">
      <c r="A1210" s="10"/>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7.399999999999999" x14ac:dyDescent="0.3">
      <c r="A1211" s="10"/>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7.399999999999999" x14ac:dyDescent="0.3">
      <c r="A1212" s="10"/>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7.399999999999999" x14ac:dyDescent="0.3">
      <c r="A1213" s="10"/>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7.399999999999999" x14ac:dyDescent="0.3">
      <c r="A1214" s="10"/>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7.399999999999999" x14ac:dyDescent="0.3">
      <c r="A1215" s="10"/>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7.399999999999999" x14ac:dyDescent="0.3">
      <c r="A1216" s="10"/>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7.399999999999999" x14ac:dyDescent="0.3">
      <c r="A1217" s="10"/>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7.399999999999999" x14ac:dyDescent="0.3">
      <c r="A1218" s="10"/>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7.399999999999999" x14ac:dyDescent="0.3">
      <c r="A1219" s="10"/>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7.399999999999999" x14ac:dyDescent="0.3">
      <c r="A1220" s="10"/>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7.399999999999999" x14ac:dyDescent="0.3">
      <c r="A1221" s="10"/>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7.399999999999999" x14ac:dyDescent="0.3">
      <c r="A1222" s="10"/>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7.399999999999999" x14ac:dyDescent="0.3">
      <c r="A1223" s="10"/>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7.399999999999999" x14ac:dyDescent="0.3">
      <c r="A1224" s="10"/>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7.399999999999999" x14ac:dyDescent="0.3">
      <c r="A1225" s="10"/>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7.399999999999999" x14ac:dyDescent="0.3">
      <c r="A1226" s="10"/>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7.399999999999999" x14ac:dyDescent="0.3">
      <c r="A1227" s="10"/>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7.399999999999999" x14ac:dyDescent="0.3">
      <c r="A1228" s="10"/>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7.399999999999999" x14ac:dyDescent="0.3">
      <c r="A1229" s="10"/>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7.399999999999999" x14ac:dyDescent="0.3">
      <c r="A1230" s="10"/>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7.399999999999999" x14ac:dyDescent="0.3">
      <c r="A1231" s="10"/>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7.399999999999999" x14ac:dyDescent="0.3">
      <c r="A1232" s="10"/>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7.399999999999999" x14ac:dyDescent="0.3">
      <c r="A1233" s="10"/>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7.399999999999999" x14ac:dyDescent="0.3">
      <c r="A1234" s="10"/>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7.399999999999999" x14ac:dyDescent="0.3">
      <c r="A1235" s="10"/>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7.399999999999999" x14ac:dyDescent="0.3">
      <c r="A1236" s="10"/>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7.399999999999999" x14ac:dyDescent="0.3">
      <c r="A1237" s="10"/>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7.399999999999999" x14ac:dyDescent="0.3">
      <c r="A1238" s="10"/>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7.399999999999999" x14ac:dyDescent="0.3">
      <c r="A1239" s="10"/>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7.399999999999999" x14ac:dyDescent="0.3">
      <c r="A1240" s="10"/>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7.399999999999999" x14ac:dyDescent="0.3">
      <c r="A1241" s="10"/>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7.399999999999999" x14ac:dyDescent="0.3">
      <c r="A1242" s="10"/>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7.399999999999999" x14ac:dyDescent="0.3">
      <c r="A1243" s="10"/>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7.399999999999999" x14ac:dyDescent="0.3">
      <c r="A1244" s="10"/>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7.399999999999999" x14ac:dyDescent="0.3">
      <c r="A1245" s="10"/>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7.399999999999999" x14ac:dyDescent="0.3">
      <c r="A1246" s="10"/>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7.399999999999999" x14ac:dyDescent="0.3">
      <c r="A1247" s="10"/>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7.399999999999999" x14ac:dyDescent="0.3">
      <c r="A1248" s="10"/>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7.399999999999999" x14ac:dyDescent="0.3">
      <c r="A1249" s="10"/>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7.399999999999999" x14ac:dyDescent="0.3">
      <c r="A1250" s="10"/>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7.399999999999999" x14ac:dyDescent="0.3">
      <c r="A1251" s="10"/>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7.399999999999999" x14ac:dyDescent="0.3">
      <c r="A1252" s="10"/>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7.399999999999999" x14ac:dyDescent="0.3">
      <c r="A1253" s="10"/>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7.399999999999999" x14ac:dyDescent="0.3">
      <c r="A1254" s="10"/>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7.399999999999999" x14ac:dyDescent="0.3">
      <c r="A1255" s="10"/>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7.399999999999999" x14ac:dyDescent="0.3">
      <c r="A1256" s="10"/>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7.399999999999999" x14ac:dyDescent="0.3">
      <c r="A1257" s="10"/>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7.399999999999999" x14ac:dyDescent="0.3">
      <c r="A1258" s="10"/>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7.399999999999999" x14ac:dyDescent="0.3">
      <c r="A1259" s="10"/>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7.399999999999999" x14ac:dyDescent="0.3">
      <c r="A1260" s="10"/>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7.399999999999999" x14ac:dyDescent="0.3">
      <c r="A1261" s="10"/>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7.399999999999999" x14ac:dyDescent="0.3">
      <c r="A1262" s="10"/>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7.399999999999999" x14ac:dyDescent="0.3">
      <c r="A1263" s="10"/>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7.399999999999999" x14ac:dyDescent="0.3">
      <c r="A1264" s="10"/>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7.399999999999999" x14ac:dyDescent="0.3">
      <c r="A1265" s="10"/>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7.399999999999999" x14ac:dyDescent="0.3">
      <c r="A1266" s="10"/>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7.399999999999999" x14ac:dyDescent="0.3">
      <c r="A1267" s="10"/>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7.399999999999999" x14ac:dyDescent="0.3">
      <c r="A1268" s="10"/>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7.399999999999999" x14ac:dyDescent="0.3">
      <c r="A1269" s="10"/>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7.399999999999999" x14ac:dyDescent="0.3">
      <c r="A1270" s="10"/>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7.399999999999999" x14ac:dyDescent="0.3">
      <c r="A1271" s="10"/>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7.399999999999999" x14ac:dyDescent="0.3">
      <c r="A1272" s="10"/>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7.399999999999999" x14ac:dyDescent="0.3">
      <c r="A1273" s="10"/>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7.399999999999999" x14ac:dyDescent="0.3">
      <c r="A1274" s="10"/>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7.399999999999999" x14ac:dyDescent="0.3">
      <c r="A1275" s="10"/>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7.399999999999999" x14ac:dyDescent="0.3">
      <c r="A1276" s="10"/>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7.399999999999999" x14ac:dyDescent="0.3">
      <c r="A1277" s="10"/>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7.399999999999999" x14ac:dyDescent="0.3">
      <c r="A1278" s="10"/>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7.399999999999999" x14ac:dyDescent="0.3">
      <c r="A1279" s="10"/>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7.399999999999999" x14ac:dyDescent="0.3">
      <c r="A1280" s="10"/>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7.399999999999999" x14ac:dyDescent="0.3">
      <c r="A1281" s="10"/>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7.399999999999999" x14ac:dyDescent="0.3">
      <c r="A1282" s="10"/>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7.399999999999999" x14ac:dyDescent="0.3">
      <c r="A1283" s="10"/>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7.399999999999999" x14ac:dyDescent="0.3">
      <c r="A1284" s="10"/>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7.399999999999999" x14ac:dyDescent="0.3">
      <c r="A1285" s="10"/>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7.399999999999999" x14ac:dyDescent="0.3">
      <c r="A1286" s="10"/>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7.399999999999999" x14ac:dyDescent="0.3">
      <c r="A1287" s="10"/>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7.399999999999999" x14ac:dyDescent="0.3">
      <c r="A1288" s="10"/>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7.399999999999999" x14ac:dyDescent="0.3">
      <c r="A1289" s="10"/>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7.399999999999999" x14ac:dyDescent="0.3">
      <c r="A1290" s="10"/>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7.399999999999999" x14ac:dyDescent="0.3">
      <c r="A1291" s="10"/>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7.399999999999999" x14ac:dyDescent="0.3">
      <c r="A1292" s="10"/>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7.399999999999999" x14ac:dyDescent="0.3">
      <c r="A1293" s="10"/>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7.399999999999999" x14ac:dyDescent="0.3">
      <c r="A1294" s="10"/>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7.399999999999999" x14ac:dyDescent="0.3">
      <c r="A1295" s="10"/>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7.399999999999999" x14ac:dyDescent="0.3">
      <c r="A1296" s="10"/>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7.399999999999999" x14ac:dyDescent="0.3">
      <c r="A1297" s="10"/>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7.399999999999999" x14ac:dyDescent="0.3">
      <c r="A1298" s="10"/>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7.399999999999999" x14ac:dyDescent="0.3">
      <c r="A1299" s="10"/>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7.399999999999999" x14ac:dyDescent="0.3">
      <c r="A1300" s="10"/>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7.399999999999999" x14ac:dyDescent="0.3">
      <c r="A1301" s="10"/>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7.399999999999999" x14ac:dyDescent="0.3">
      <c r="A1302" s="10"/>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7.399999999999999" x14ac:dyDescent="0.3">
      <c r="A1303" s="10"/>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7.399999999999999" x14ac:dyDescent="0.3">
      <c r="A1304" s="10"/>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7.399999999999999" x14ac:dyDescent="0.3">
      <c r="A1305" s="10"/>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7.399999999999999" x14ac:dyDescent="0.3">
      <c r="A1306" s="10"/>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7.399999999999999" x14ac:dyDescent="0.3">
      <c r="A1307" s="10"/>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7.399999999999999" x14ac:dyDescent="0.3">
      <c r="A1308" s="10"/>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7.399999999999999" x14ac:dyDescent="0.3">
      <c r="A1309" s="10"/>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7.399999999999999" x14ac:dyDescent="0.3">
      <c r="A1310" s="10"/>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7.399999999999999" x14ac:dyDescent="0.3">
      <c r="A1311" s="10"/>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7.399999999999999" x14ac:dyDescent="0.3">
      <c r="A1312" s="10"/>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7.399999999999999" x14ac:dyDescent="0.3">
      <c r="A1313" s="10"/>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7.399999999999999" x14ac:dyDescent="0.3">
      <c r="A1314" s="10"/>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7.399999999999999" x14ac:dyDescent="0.3">
      <c r="A1315" s="10"/>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7.399999999999999" x14ac:dyDescent="0.3">
      <c r="A1316" s="10"/>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7.399999999999999" x14ac:dyDescent="0.3">
      <c r="A1317" s="10"/>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7.399999999999999" x14ac:dyDescent="0.3">
      <c r="A1318" s="10"/>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7.399999999999999" x14ac:dyDescent="0.3">
      <c r="A1319" s="10"/>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7.399999999999999" x14ac:dyDescent="0.3">
      <c r="A1320" s="10"/>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7.399999999999999" x14ac:dyDescent="0.3">
      <c r="A1321" s="10"/>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7.399999999999999" x14ac:dyDescent="0.3">
      <c r="A1322" s="10"/>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7.399999999999999" x14ac:dyDescent="0.3">
      <c r="A1323" s="10"/>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7.399999999999999" x14ac:dyDescent="0.3">
      <c r="A1324" s="10"/>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7.399999999999999" x14ac:dyDescent="0.3">
      <c r="A1325" s="10"/>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7.399999999999999" x14ac:dyDescent="0.3">
      <c r="A1326" s="10"/>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7.399999999999999" x14ac:dyDescent="0.3">
      <c r="A1327" s="10"/>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7.399999999999999" x14ac:dyDescent="0.3">
      <c r="A1328" s="10"/>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7.399999999999999" x14ac:dyDescent="0.3">
      <c r="A1329" s="10"/>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7.399999999999999" x14ac:dyDescent="0.3">
      <c r="A1330" s="10"/>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7.399999999999999" x14ac:dyDescent="0.3">
      <c r="A1331" s="10"/>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7.399999999999999" x14ac:dyDescent="0.3">
      <c r="A1332" s="10"/>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7.399999999999999" x14ac:dyDescent="0.3">
      <c r="A1333" s="10"/>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7.399999999999999" x14ac:dyDescent="0.3">
      <c r="A1334" s="10"/>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7.399999999999999" x14ac:dyDescent="0.3">
      <c r="A1335" s="10"/>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7.399999999999999" x14ac:dyDescent="0.3">
      <c r="A1336" s="10"/>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7.399999999999999" x14ac:dyDescent="0.3">
      <c r="A1337" s="10"/>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7.399999999999999" x14ac:dyDescent="0.3">
      <c r="A1338" s="10"/>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7.399999999999999" x14ac:dyDescent="0.3">
      <c r="A1339" s="10"/>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7.399999999999999" x14ac:dyDescent="0.3">
      <c r="A1340" s="10"/>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7.399999999999999" x14ac:dyDescent="0.3">
      <c r="A1341" s="10"/>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7.399999999999999" x14ac:dyDescent="0.3">
      <c r="A1342" s="10"/>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7.399999999999999" x14ac:dyDescent="0.3">
      <c r="A1343" s="10"/>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7.399999999999999" x14ac:dyDescent="0.3">
      <c r="A1344" s="10"/>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7.399999999999999" x14ac:dyDescent="0.3">
      <c r="A1345" s="10"/>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7.399999999999999" x14ac:dyDescent="0.3">
      <c r="A1346" s="10"/>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7.399999999999999" x14ac:dyDescent="0.3">
      <c r="A1347" s="10"/>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7.399999999999999" x14ac:dyDescent="0.3">
      <c r="A1348" s="10"/>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7.399999999999999" x14ac:dyDescent="0.3">
      <c r="A1349" s="10"/>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7.399999999999999" x14ac:dyDescent="0.3">
      <c r="A1350" s="10"/>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7.399999999999999" x14ac:dyDescent="0.3">
      <c r="A1351" s="10"/>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7.399999999999999" x14ac:dyDescent="0.3">
      <c r="A1352" s="10"/>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7.399999999999999" x14ac:dyDescent="0.3">
      <c r="A1353" s="10"/>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7.399999999999999" x14ac:dyDescent="0.3">
      <c r="A1354" s="10"/>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7.399999999999999" x14ac:dyDescent="0.3">
      <c r="A1355" s="10"/>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7.399999999999999" x14ac:dyDescent="0.3">
      <c r="A1356" s="10"/>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7.399999999999999" x14ac:dyDescent="0.3">
      <c r="A1357" s="10"/>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7.399999999999999" x14ac:dyDescent="0.3">
      <c r="A1358" s="10"/>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7.399999999999999" x14ac:dyDescent="0.3">
      <c r="A1359" s="10"/>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7.399999999999999" x14ac:dyDescent="0.3">
      <c r="A1360" s="10"/>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7.399999999999999" x14ac:dyDescent="0.3">
      <c r="A1361" s="10"/>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7.399999999999999" x14ac:dyDescent="0.3">
      <c r="A1362" s="10"/>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7.399999999999999" x14ac:dyDescent="0.3">
      <c r="A1363" s="10"/>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7.399999999999999" x14ac:dyDescent="0.3">
      <c r="A1364" s="10"/>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7.399999999999999" x14ac:dyDescent="0.3">
      <c r="A1365" s="10"/>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7.399999999999999" x14ac:dyDescent="0.3">
      <c r="A1366" s="10"/>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7.399999999999999" x14ac:dyDescent="0.3">
      <c r="A1367" s="10"/>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7.399999999999999" x14ac:dyDescent="0.3">
      <c r="A1368" s="10"/>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7.399999999999999" x14ac:dyDescent="0.3">
      <c r="A1369" s="10"/>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7.399999999999999" x14ac:dyDescent="0.3">
      <c r="A1370" s="10"/>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7.399999999999999" x14ac:dyDescent="0.3">
      <c r="A1371" s="10"/>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7.399999999999999" x14ac:dyDescent="0.3">
      <c r="A1372" s="10"/>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7.399999999999999" x14ac:dyDescent="0.3">
      <c r="A1373" s="10"/>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7.399999999999999" x14ac:dyDescent="0.3">
      <c r="A1374" s="10"/>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7.399999999999999" x14ac:dyDescent="0.3">
      <c r="A1375" s="10"/>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7.399999999999999" x14ac:dyDescent="0.3">
      <c r="A1376" s="10"/>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7.399999999999999" x14ac:dyDescent="0.3">
      <c r="A1377" s="10"/>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7.399999999999999" x14ac:dyDescent="0.3">
      <c r="A1378" s="10"/>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7.399999999999999" x14ac:dyDescent="0.3">
      <c r="A1379" s="10"/>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7.399999999999999" x14ac:dyDescent="0.3">
      <c r="A1380" s="10"/>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7.399999999999999" x14ac:dyDescent="0.3">
      <c r="A1381" s="10"/>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7.399999999999999" x14ac:dyDescent="0.3">
      <c r="A1382" s="10"/>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7.399999999999999" x14ac:dyDescent="0.3">
      <c r="A1383" s="10"/>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7.399999999999999" x14ac:dyDescent="0.3">
      <c r="A1384" s="10"/>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7.399999999999999" x14ac:dyDescent="0.3">
      <c r="A1385" s="10"/>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7.399999999999999" x14ac:dyDescent="0.3">
      <c r="A1386" s="10"/>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7.399999999999999" x14ac:dyDescent="0.3">
      <c r="A1387" s="10"/>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7.399999999999999" x14ac:dyDescent="0.3">
      <c r="A1388" s="10"/>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7.399999999999999" x14ac:dyDescent="0.3">
      <c r="A1389" s="10"/>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7.399999999999999" x14ac:dyDescent="0.3">
      <c r="A1390" s="10"/>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7.399999999999999" x14ac:dyDescent="0.3">
      <c r="A1391" s="10"/>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7.399999999999999" x14ac:dyDescent="0.3">
      <c r="A1392" s="10"/>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7.399999999999999" x14ac:dyDescent="0.3">
      <c r="A1393" s="10"/>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7.399999999999999" x14ac:dyDescent="0.3">
      <c r="A1394" s="10"/>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7.399999999999999" x14ac:dyDescent="0.3">
      <c r="A1395" s="10"/>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7.399999999999999" x14ac:dyDescent="0.3">
      <c r="A1396" s="10"/>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7.399999999999999" x14ac:dyDescent="0.3">
      <c r="A1397" s="10"/>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7.399999999999999" x14ac:dyDescent="0.3">
      <c r="A1398" s="10"/>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7.399999999999999" x14ac:dyDescent="0.3">
      <c r="A1399" s="10"/>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7.399999999999999" x14ac:dyDescent="0.3">
      <c r="A1400" s="10"/>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7.399999999999999" x14ac:dyDescent="0.3">
      <c r="A1401" s="10"/>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7.399999999999999" x14ac:dyDescent="0.3">
      <c r="A1402" s="10"/>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7.399999999999999" x14ac:dyDescent="0.3">
      <c r="A1403" s="10"/>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7.399999999999999" x14ac:dyDescent="0.3">
      <c r="A1404" s="10"/>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7.399999999999999" x14ac:dyDescent="0.3">
      <c r="A1405" s="10"/>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7.399999999999999" x14ac:dyDescent="0.3">
      <c r="A1406" s="10"/>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7.399999999999999" x14ac:dyDescent="0.3">
      <c r="A1407" s="10"/>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7.399999999999999" x14ac:dyDescent="0.3">
      <c r="A1408" s="10"/>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7.399999999999999" x14ac:dyDescent="0.3">
      <c r="A1409" s="10"/>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7.399999999999999" x14ac:dyDescent="0.3">
      <c r="A1410" s="10"/>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7.399999999999999" x14ac:dyDescent="0.3">
      <c r="A1411" s="10"/>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7.399999999999999" x14ac:dyDescent="0.3">
      <c r="A1412" s="10"/>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7.399999999999999" x14ac:dyDescent="0.3">
      <c r="A1413" s="10"/>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7.399999999999999" x14ac:dyDescent="0.3">
      <c r="A1414" s="10"/>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7.399999999999999" x14ac:dyDescent="0.3">
      <c r="A1415" s="10"/>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7.399999999999999" x14ac:dyDescent="0.3">
      <c r="A1416" s="10"/>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7.399999999999999" x14ac:dyDescent="0.3">
      <c r="A1417" s="10"/>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7.399999999999999" x14ac:dyDescent="0.3">
      <c r="A1418" s="10"/>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7.399999999999999" x14ac:dyDescent="0.3">
      <c r="A1419" s="10"/>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7.399999999999999" x14ac:dyDescent="0.3">
      <c r="A1420" s="10"/>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7.399999999999999" x14ac:dyDescent="0.3">
      <c r="A1421" s="10"/>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7.399999999999999" x14ac:dyDescent="0.3">
      <c r="A1422" s="10"/>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7.399999999999999" x14ac:dyDescent="0.3">
      <c r="A1423" s="10"/>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7.399999999999999" x14ac:dyDescent="0.3">
      <c r="A1424" s="10"/>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7.399999999999999" x14ac:dyDescent="0.3">
      <c r="A1425" s="10"/>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7.399999999999999" x14ac:dyDescent="0.3">
      <c r="A1426" s="10"/>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7.399999999999999" x14ac:dyDescent="0.3">
      <c r="A1427" s="10"/>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7.399999999999999" x14ac:dyDescent="0.3">
      <c r="A1428" s="10"/>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7.399999999999999" x14ac:dyDescent="0.3">
      <c r="A1429" s="10"/>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7.399999999999999" x14ac:dyDescent="0.3">
      <c r="A1430" s="10"/>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7.399999999999999" x14ac:dyDescent="0.3">
      <c r="A1431" s="10"/>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7.399999999999999" x14ac:dyDescent="0.3">
      <c r="A1432" s="10"/>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7.399999999999999" x14ac:dyDescent="0.3">
      <c r="A1433" s="10"/>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7.399999999999999" x14ac:dyDescent="0.3">
      <c r="A1434" s="10"/>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7.399999999999999" x14ac:dyDescent="0.3">
      <c r="A1435" s="10"/>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7.399999999999999" x14ac:dyDescent="0.3">
      <c r="A1436" s="10"/>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7.399999999999999" x14ac:dyDescent="0.3">
      <c r="A1437" s="10"/>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7.399999999999999" x14ac:dyDescent="0.3">
      <c r="A1438" s="10"/>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7.399999999999999" x14ac:dyDescent="0.3">
      <c r="A1439" s="10"/>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7.399999999999999" x14ac:dyDescent="0.3">
      <c r="A1440" s="10"/>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7.399999999999999" x14ac:dyDescent="0.3">
      <c r="A1441" s="10"/>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7.399999999999999" x14ac:dyDescent="0.3">
      <c r="A1442" s="10"/>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7.399999999999999" x14ac:dyDescent="0.3">
      <c r="A1443" s="10"/>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7.399999999999999" x14ac:dyDescent="0.3">
      <c r="A1444" s="10"/>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7.399999999999999" x14ac:dyDescent="0.3">
      <c r="A1445" s="10"/>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7.399999999999999" x14ac:dyDescent="0.3">
      <c r="A1446" s="10"/>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7.399999999999999" x14ac:dyDescent="0.3">
      <c r="A1447" s="10"/>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7.399999999999999" x14ac:dyDescent="0.3">
      <c r="A1448" s="10"/>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7.399999999999999" x14ac:dyDescent="0.3">
      <c r="A1449" s="10"/>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7.399999999999999" x14ac:dyDescent="0.3">
      <c r="A1450" s="10"/>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7.399999999999999" x14ac:dyDescent="0.3">
      <c r="A1451" s="10"/>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7.399999999999999" x14ac:dyDescent="0.3">
      <c r="A1452" s="10"/>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7.399999999999999" x14ac:dyDescent="0.3">
      <c r="A1453" s="10"/>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7.399999999999999" x14ac:dyDescent="0.3">
      <c r="A1454" s="10"/>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ht="17.399999999999999" x14ac:dyDescent="0.3">
      <c r="A1455" s="10"/>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ht="17.399999999999999" x14ac:dyDescent="0.3">
      <c r="A1456" s="10"/>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ht="17.399999999999999" x14ac:dyDescent="0.3">
      <c r="A1457" s="10"/>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ht="17.399999999999999" x14ac:dyDescent="0.3">
      <c r="A1458" s="10"/>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ht="17.399999999999999" x14ac:dyDescent="0.3">
      <c r="A1459" s="10"/>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ht="17.399999999999999" x14ac:dyDescent="0.3">
      <c r="A1460" s="10"/>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ht="17.399999999999999" x14ac:dyDescent="0.3">
      <c r="A1461" s="10"/>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ht="17.399999999999999" x14ac:dyDescent="0.3">
      <c r="A1462" s="10"/>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ht="17.399999999999999" x14ac:dyDescent="0.3">
      <c r="A1463" s="10"/>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ht="17.399999999999999" x14ac:dyDescent="0.3">
      <c r="A1464" s="10"/>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ht="17.399999999999999" x14ac:dyDescent="0.3">
      <c r="A1465" s="10"/>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ht="17.399999999999999" x14ac:dyDescent="0.3">
      <c r="A1466" s="10"/>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ht="17.399999999999999" x14ac:dyDescent="0.3">
      <c r="A1467" s="10"/>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ht="17.399999999999999" x14ac:dyDescent="0.3">
      <c r="A1468" s="10"/>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ht="17.399999999999999" x14ac:dyDescent="0.3">
      <c r="A1469" s="10"/>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ht="17.399999999999999" x14ac:dyDescent="0.3">
      <c r="A1470" s="10"/>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ht="17.399999999999999" x14ac:dyDescent="0.3">
      <c r="A1471" s="10"/>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ht="17.399999999999999" x14ac:dyDescent="0.3">
      <c r="A1472" s="10"/>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ht="17.399999999999999" x14ac:dyDescent="0.3">
      <c r="A1473" s="10"/>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ht="17.399999999999999" x14ac:dyDescent="0.3">
      <c r="A1474" s="10"/>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ht="17.399999999999999" x14ac:dyDescent="0.3">
      <c r="A1475" s="10"/>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ht="17.399999999999999" x14ac:dyDescent="0.3">
      <c r="A1476" s="10"/>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ht="17.399999999999999" x14ac:dyDescent="0.3">
      <c r="A1477" s="10"/>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ht="17.399999999999999" x14ac:dyDescent="0.3">
      <c r="A1478" s="10"/>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ht="17.399999999999999" x14ac:dyDescent="0.3">
      <c r="A1479" s="10"/>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ht="17.399999999999999" x14ac:dyDescent="0.3">
      <c r="A1480" s="10"/>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ht="17.399999999999999" x14ac:dyDescent="0.3">
      <c r="A1481" s="10"/>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ht="17.399999999999999" x14ac:dyDescent="0.3">
      <c r="A1482" s="10"/>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ht="17.399999999999999" x14ac:dyDescent="0.3">
      <c r="A1483" s="10"/>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ht="17.399999999999999" x14ac:dyDescent="0.3">
      <c r="A1484" s="10"/>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ht="17.399999999999999" x14ac:dyDescent="0.3">
      <c r="A1485" s="10"/>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ht="17.399999999999999" x14ac:dyDescent="0.3">
      <c r="A1486" s="10"/>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ht="17.399999999999999" x14ac:dyDescent="0.3">
      <c r="A1487" s="10"/>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ht="17.399999999999999" x14ac:dyDescent="0.3">
      <c r="A1488" s="10"/>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ht="17.399999999999999" x14ac:dyDescent="0.3">
      <c r="A1489" s="10"/>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ht="17.399999999999999" x14ac:dyDescent="0.3">
      <c r="A1490" s="10"/>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ht="17.399999999999999" x14ac:dyDescent="0.3">
      <c r="A1491" s="10"/>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ht="17.399999999999999" x14ac:dyDescent="0.3">
      <c r="A1492" s="10"/>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ht="17.399999999999999" x14ac:dyDescent="0.3">
      <c r="A1493" s="10"/>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ht="17.399999999999999" x14ac:dyDescent="0.3">
      <c r="A1494" s="10"/>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ht="17.399999999999999" x14ac:dyDescent="0.3">
      <c r="A1495" s="10"/>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ht="17.399999999999999" x14ac:dyDescent="0.3">
      <c r="A1496" s="10"/>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ht="17.399999999999999" x14ac:dyDescent="0.3">
      <c r="A1497" s="10"/>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ht="17.399999999999999" x14ac:dyDescent="0.3">
      <c r="A1498" s="10"/>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ht="17.399999999999999" x14ac:dyDescent="0.3">
      <c r="A1499" s="10"/>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ht="17.399999999999999" x14ac:dyDescent="0.3">
      <c r="A1500" s="10"/>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ht="17.399999999999999" x14ac:dyDescent="0.3">
      <c r="A1501" s="10"/>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ht="17.399999999999999" x14ac:dyDescent="0.3">
      <c r="A1502" s="10"/>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ht="17.399999999999999" x14ac:dyDescent="0.3">
      <c r="A1503" s="10"/>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ht="17.399999999999999" x14ac:dyDescent="0.3">
      <c r="A1504" s="10"/>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ht="17.399999999999999" x14ac:dyDescent="0.3">
      <c r="A1505" s="10"/>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ht="17.399999999999999" x14ac:dyDescent="0.3">
      <c r="A1506" s="10"/>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ht="17.399999999999999" x14ac:dyDescent="0.3">
      <c r="A1507" s="10"/>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ht="17.399999999999999" x14ac:dyDescent="0.3">
      <c r="A1508" s="10"/>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ht="17.399999999999999" x14ac:dyDescent="0.3">
      <c r="A1509" s="10"/>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ht="17.399999999999999" x14ac:dyDescent="0.3">
      <c r="A1510" s="10"/>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ht="17.399999999999999" x14ac:dyDescent="0.3">
      <c r="A1511" s="10"/>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ht="17.399999999999999" x14ac:dyDescent="0.3">
      <c r="A1512" s="10"/>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ht="17.399999999999999" x14ac:dyDescent="0.3">
      <c r="A1513" s="10"/>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ht="17.399999999999999" x14ac:dyDescent="0.3">
      <c r="A1514" s="10"/>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ht="17.399999999999999" x14ac:dyDescent="0.3">
      <c r="A1515" s="10"/>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ht="17.399999999999999" x14ac:dyDescent="0.3">
      <c r="A1516" s="10"/>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ht="17.399999999999999" x14ac:dyDescent="0.3">
      <c r="A1517" s="10"/>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ht="17.399999999999999" x14ac:dyDescent="0.3">
      <c r="A1518" s="10"/>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ht="17.399999999999999" x14ac:dyDescent="0.3">
      <c r="A1519" s="10"/>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ht="17.399999999999999" x14ac:dyDescent="0.3">
      <c r="A1520" s="10"/>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ht="17.399999999999999" x14ac:dyDescent="0.3">
      <c r="A1521" s="10"/>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ht="17.399999999999999" x14ac:dyDescent="0.3">
      <c r="A1522" s="10"/>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ht="17.399999999999999" x14ac:dyDescent="0.3">
      <c r="A1523" s="10"/>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ht="17.399999999999999" x14ac:dyDescent="0.3">
      <c r="A1524" s="10"/>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ht="17.399999999999999" x14ac:dyDescent="0.3">
      <c r="A1525" s="10"/>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ht="17.399999999999999" x14ac:dyDescent="0.3">
      <c r="A1526" s="10"/>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ht="17.399999999999999" x14ac:dyDescent="0.3">
      <c r="A1527" s="10"/>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ht="17.399999999999999" x14ac:dyDescent="0.3">
      <c r="A1528" s="10"/>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ht="17.399999999999999" x14ac:dyDescent="0.3">
      <c r="A1529" s="10"/>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ht="17.399999999999999" x14ac:dyDescent="0.3">
      <c r="A1530" s="10"/>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ht="17.399999999999999" x14ac:dyDescent="0.3">
      <c r="A1531" s="10"/>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ht="17.399999999999999" x14ac:dyDescent="0.3">
      <c r="A1532" s="10"/>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ht="17.399999999999999" x14ac:dyDescent="0.3">
      <c r="A1533" s="10"/>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ht="17.399999999999999" x14ac:dyDescent="0.3">
      <c r="A1534" s="10"/>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ht="17.399999999999999" x14ac:dyDescent="0.3">
      <c r="A1535" s="10"/>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ht="17.399999999999999" x14ac:dyDescent="0.3">
      <c r="A1536" s="10"/>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ht="17.399999999999999" x14ac:dyDescent="0.3">
      <c r="A1537" s="10"/>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ht="17.399999999999999" x14ac:dyDescent="0.3">
      <c r="A1538" s="10"/>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ht="17.399999999999999" x14ac:dyDescent="0.3">
      <c r="A1539" s="10"/>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ht="17.399999999999999" x14ac:dyDescent="0.3">
      <c r="A1540" s="10"/>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ht="17.399999999999999" x14ac:dyDescent="0.3">
      <c r="A1541" s="10"/>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ht="17.399999999999999" x14ac:dyDescent="0.3">
      <c r="A1542" s="10"/>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ht="17.399999999999999" x14ac:dyDescent="0.3">
      <c r="A1543" s="10"/>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ht="17.399999999999999" x14ac:dyDescent="0.3">
      <c r="A1544" s="10"/>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ht="17.399999999999999" x14ac:dyDescent="0.3">
      <c r="A1545" s="10"/>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ht="17.399999999999999" x14ac:dyDescent="0.3">
      <c r="A1546" s="10"/>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ht="17.399999999999999" x14ac:dyDescent="0.3">
      <c r="A1547" s="10"/>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ht="17.399999999999999" x14ac:dyDescent="0.3">
      <c r="A1548" s="10"/>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ht="17.399999999999999" x14ac:dyDescent="0.3">
      <c r="A1549" s="10"/>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ht="17.399999999999999" x14ac:dyDescent="0.3">
      <c r="A1550" s="10"/>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ht="17.399999999999999" x14ac:dyDescent="0.3">
      <c r="A1551" s="10"/>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ht="17.399999999999999" x14ac:dyDescent="0.3">
      <c r="A1552" s="10"/>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ht="17.399999999999999" x14ac:dyDescent="0.3">
      <c r="A1553" s="10"/>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ht="17.399999999999999" x14ac:dyDescent="0.3">
      <c r="A1554" s="10"/>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ht="17.399999999999999" x14ac:dyDescent="0.3">
      <c r="A1555" s="10"/>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ht="17.399999999999999" x14ac:dyDescent="0.3">
      <c r="A1556" s="10"/>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ht="17.399999999999999" x14ac:dyDescent="0.3">
      <c r="A1557" s="10"/>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ht="17.399999999999999" x14ac:dyDescent="0.3">
      <c r="A1558" s="10"/>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ht="17.399999999999999" x14ac:dyDescent="0.3">
      <c r="A1559" s="10"/>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ht="17.399999999999999" x14ac:dyDescent="0.3">
      <c r="A1560" s="10"/>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ht="17.399999999999999" x14ac:dyDescent="0.3">
      <c r="A1561" s="10"/>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ht="17.399999999999999" x14ac:dyDescent="0.3">
      <c r="A1562" s="10"/>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ht="17.399999999999999" x14ac:dyDescent="0.3">
      <c r="A1563" s="10"/>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ht="17.399999999999999" x14ac:dyDescent="0.3">
      <c r="A1564" s="10"/>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ht="17.399999999999999" x14ac:dyDescent="0.3">
      <c r="A1565" s="10"/>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ht="17.399999999999999" x14ac:dyDescent="0.3">
      <c r="A1566" s="10"/>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ht="17.399999999999999" x14ac:dyDescent="0.3">
      <c r="A1567" s="10"/>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ht="17.399999999999999" x14ac:dyDescent="0.3">
      <c r="A1568" s="10"/>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ht="17.399999999999999" x14ac:dyDescent="0.3">
      <c r="A1569" s="10"/>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ht="17.399999999999999" x14ac:dyDescent="0.3">
      <c r="A1570" s="10"/>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ht="17.399999999999999" x14ac:dyDescent="0.3">
      <c r="A1571" s="10"/>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ht="17.399999999999999" x14ac:dyDescent="0.3">
      <c r="A1572" s="10"/>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ht="17.399999999999999" x14ac:dyDescent="0.3">
      <c r="A1573" s="10"/>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ht="17.399999999999999" x14ac:dyDescent="0.3">
      <c r="A1574" s="10"/>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ht="17.399999999999999" x14ac:dyDescent="0.3">
      <c r="A1575" s="10"/>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ht="17.399999999999999" x14ac:dyDescent="0.3">
      <c r="A1576" s="10"/>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ht="17.399999999999999" x14ac:dyDescent="0.3">
      <c r="A1577" s="10"/>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ht="17.399999999999999" x14ac:dyDescent="0.3">
      <c r="A1578" s="10"/>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ht="17.399999999999999" x14ac:dyDescent="0.3">
      <c r="A1579" s="10"/>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ht="17.399999999999999" x14ac:dyDescent="0.3">
      <c r="A1580" s="10"/>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ht="17.399999999999999" x14ac:dyDescent="0.3">
      <c r="A1581" s="10"/>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ht="17.399999999999999" x14ac:dyDescent="0.3">
      <c r="A1582" s="10"/>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ht="17.399999999999999" x14ac:dyDescent="0.3">
      <c r="A1583" s="10"/>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ht="17.399999999999999" x14ac:dyDescent="0.3">
      <c r="A1584" s="10"/>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ht="17.399999999999999" x14ac:dyDescent="0.3">
      <c r="A1585" s="10"/>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ht="17.399999999999999" x14ac:dyDescent="0.3">
      <c r="A1586" s="10"/>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ht="17.399999999999999" x14ac:dyDescent="0.3">
      <c r="A1587" s="10"/>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ht="17.399999999999999" x14ac:dyDescent="0.3">
      <c r="A1588" s="10"/>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ht="17.399999999999999" x14ac:dyDescent="0.3">
      <c r="A1589" s="10"/>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ht="17.399999999999999" x14ac:dyDescent="0.3">
      <c r="A1590" s="10"/>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ht="17.399999999999999" x14ac:dyDescent="0.3">
      <c r="A1591" s="10"/>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ht="17.399999999999999" x14ac:dyDescent="0.3">
      <c r="A1592" s="10"/>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ht="17.399999999999999" x14ac:dyDescent="0.3">
      <c r="A1593" s="10"/>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ht="17.399999999999999" x14ac:dyDescent="0.3">
      <c r="A1594" s="10"/>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ht="17.399999999999999" x14ac:dyDescent="0.3">
      <c r="A1595" s="10"/>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ht="17.399999999999999" x14ac:dyDescent="0.3">
      <c r="A1596" s="10"/>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ht="17.399999999999999" x14ac:dyDescent="0.3">
      <c r="A1597" s="10"/>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ht="17.399999999999999" x14ac:dyDescent="0.3">
      <c r="A1598" s="10"/>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ht="17.399999999999999" x14ac:dyDescent="0.3">
      <c r="A1599" s="10"/>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ht="17.399999999999999" x14ac:dyDescent="0.3">
      <c r="A1600" s="10"/>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ht="17.399999999999999" x14ac:dyDescent="0.3">
      <c r="A1601" s="10"/>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ht="17.399999999999999" x14ac:dyDescent="0.3">
      <c r="A1602" s="10"/>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ht="17.399999999999999" x14ac:dyDescent="0.3">
      <c r="A1603" s="10"/>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ht="17.399999999999999" x14ac:dyDescent="0.3">
      <c r="A1604" s="10"/>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ht="17.399999999999999" x14ac:dyDescent="0.3">
      <c r="A1605" s="10"/>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ht="17.399999999999999" x14ac:dyDescent="0.3">
      <c r="A1606" s="10"/>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ht="17.399999999999999" x14ac:dyDescent="0.3">
      <c r="A1607" s="10"/>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ht="17.399999999999999" x14ac:dyDescent="0.3">
      <c r="A1608" s="10"/>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ht="17.399999999999999" x14ac:dyDescent="0.3">
      <c r="A1609" s="10"/>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ht="17.399999999999999" x14ac:dyDescent="0.3">
      <c r="A1610" s="10"/>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ht="17.399999999999999" x14ac:dyDescent="0.3">
      <c r="A1611" s="10"/>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ht="17.399999999999999" x14ac:dyDescent="0.3">
      <c r="A1612" s="10"/>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ht="17.399999999999999" x14ac:dyDescent="0.3">
      <c r="A1613" s="10"/>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ht="17.399999999999999" x14ac:dyDescent="0.3">
      <c r="A1614" s="10"/>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ht="17.399999999999999" x14ac:dyDescent="0.3">
      <c r="A1615" s="10"/>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ht="17.399999999999999" x14ac:dyDescent="0.3">
      <c r="A1616" s="10"/>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ht="17.399999999999999" x14ac:dyDescent="0.3">
      <c r="A1617" s="10"/>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ht="17.399999999999999" x14ac:dyDescent="0.3">
      <c r="A1618" s="10"/>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ht="17.399999999999999" x14ac:dyDescent="0.3">
      <c r="A1619" s="10"/>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ht="17.399999999999999" x14ac:dyDescent="0.3">
      <c r="A1620" s="10"/>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ht="17.399999999999999" x14ac:dyDescent="0.3">
      <c r="A1621" s="10"/>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ht="17.399999999999999" x14ac:dyDescent="0.3">
      <c r="A1622" s="10"/>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ht="17.399999999999999" x14ac:dyDescent="0.3">
      <c r="A1623" s="10"/>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ht="17.399999999999999" x14ac:dyDescent="0.3">
      <c r="A1624" s="10"/>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ht="17.399999999999999" x14ac:dyDescent="0.3">
      <c r="A1625" s="10"/>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ht="17.399999999999999" x14ac:dyDescent="0.3">
      <c r="A1626" s="10"/>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ht="17.399999999999999" x14ac:dyDescent="0.3">
      <c r="A1627" s="10"/>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ht="17.399999999999999" x14ac:dyDescent="0.3">
      <c r="A1628" s="10"/>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ht="17.399999999999999" x14ac:dyDescent="0.3">
      <c r="A1629" s="10"/>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ht="17.399999999999999" x14ac:dyDescent="0.3">
      <c r="A1630" s="10"/>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ht="17.399999999999999" x14ac:dyDescent="0.3">
      <c r="A1631" s="10"/>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ht="17.399999999999999" x14ac:dyDescent="0.3">
      <c r="A1632" s="10"/>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ht="17.399999999999999" x14ac:dyDescent="0.3">
      <c r="A1633" s="10"/>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ht="17.399999999999999" x14ac:dyDescent="0.3">
      <c r="A1634" s="10"/>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ht="17.399999999999999" x14ac:dyDescent="0.3">
      <c r="A1635" s="10"/>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ht="17.399999999999999" x14ac:dyDescent="0.3">
      <c r="A1636" s="10"/>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ht="17.399999999999999" x14ac:dyDescent="0.3">
      <c r="A1637" s="10"/>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ht="17.399999999999999" x14ac:dyDescent="0.3">
      <c r="A1638" s="10"/>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ht="17.399999999999999" x14ac:dyDescent="0.3">
      <c r="A1639" s="10"/>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ht="17.399999999999999" x14ac:dyDescent="0.3">
      <c r="A1640" s="10"/>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ht="17.399999999999999" x14ac:dyDescent="0.3">
      <c r="A1641" s="10"/>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ht="17.399999999999999" x14ac:dyDescent="0.3">
      <c r="A1642" s="10"/>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ht="17.399999999999999" x14ac:dyDescent="0.3">
      <c r="A1643" s="10"/>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ht="17.399999999999999" x14ac:dyDescent="0.3">
      <c r="A1644" s="10"/>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ht="17.399999999999999" x14ac:dyDescent="0.3">
      <c r="A1645" s="10"/>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ht="17.399999999999999" x14ac:dyDescent="0.3">
      <c r="A1646" s="10"/>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ht="17.399999999999999" x14ac:dyDescent="0.3">
      <c r="A1647" s="10"/>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ht="17.399999999999999" x14ac:dyDescent="0.3">
      <c r="A1648" s="10"/>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ht="17.399999999999999" x14ac:dyDescent="0.3">
      <c r="A1649" s="10"/>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ht="17.399999999999999" x14ac:dyDescent="0.3">
      <c r="A1650" s="10"/>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ht="17.399999999999999" x14ac:dyDescent="0.3">
      <c r="A1651" s="10"/>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ht="17.399999999999999" x14ac:dyDescent="0.3">
      <c r="A1652" s="10"/>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ht="17.399999999999999" x14ac:dyDescent="0.3">
      <c r="A1653" s="10"/>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ht="17.399999999999999" x14ac:dyDescent="0.3">
      <c r="A1654" s="10"/>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ht="17.399999999999999" x14ac:dyDescent="0.3">
      <c r="A1655" s="10"/>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ht="17.399999999999999" x14ac:dyDescent="0.3">
      <c r="A1656" s="10"/>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ht="17.399999999999999" x14ac:dyDescent="0.3">
      <c r="A1657" s="10"/>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ht="17.399999999999999" x14ac:dyDescent="0.3">
      <c r="A1658" s="10"/>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ht="17.399999999999999" x14ac:dyDescent="0.3">
      <c r="A1659" s="10"/>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ht="17.399999999999999" x14ac:dyDescent="0.3">
      <c r="A1660" s="10"/>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ht="17.399999999999999" x14ac:dyDescent="0.3">
      <c r="A1661" s="10"/>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ht="17.399999999999999" x14ac:dyDescent="0.3">
      <c r="A1662" s="10"/>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ht="17.399999999999999" x14ac:dyDescent="0.3">
      <c r="A1663" s="10"/>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ht="17.399999999999999" x14ac:dyDescent="0.3">
      <c r="A1664" s="10"/>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ht="17.399999999999999" x14ac:dyDescent="0.3">
      <c r="A1665" s="10"/>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ht="17.399999999999999" x14ac:dyDescent="0.3">
      <c r="A1666" s="10"/>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ht="17.399999999999999" x14ac:dyDescent="0.3">
      <c r="A1667" s="10"/>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ht="17.399999999999999" x14ac:dyDescent="0.3">
      <c r="A1668" s="10"/>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ht="17.399999999999999" x14ac:dyDescent="0.3">
      <c r="A1669" s="10"/>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ht="17.399999999999999" x14ac:dyDescent="0.3">
      <c r="A1670" s="10"/>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ht="17.399999999999999" x14ac:dyDescent="0.3">
      <c r="A1671" s="10"/>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ht="17.399999999999999" x14ac:dyDescent="0.3">
      <c r="A1672" s="10"/>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ht="17.399999999999999" x14ac:dyDescent="0.3">
      <c r="A1673" s="10"/>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ht="17.399999999999999" x14ac:dyDescent="0.3">
      <c r="A1674" s="10"/>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ht="17.399999999999999" x14ac:dyDescent="0.3">
      <c r="A1675" s="10"/>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ht="17.399999999999999" x14ac:dyDescent="0.3">
      <c r="A1676" s="10"/>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ht="17.399999999999999" x14ac:dyDescent="0.3">
      <c r="A1677" s="10"/>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ht="17.399999999999999" x14ac:dyDescent="0.3">
      <c r="A1678" s="10"/>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ht="17.399999999999999" x14ac:dyDescent="0.3">
      <c r="A1679" s="10"/>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ht="17.399999999999999" x14ac:dyDescent="0.3">
      <c r="A1680" s="10"/>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ht="17.399999999999999" x14ac:dyDescent="0.3">
      <c r="A1681" s="10"/>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ht="17.399999999999999" x14ac:dyDescent="0.3">
      <c r="A1682" s="10"/>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ht="17.399999999999999" x14ac:dyDescent="0.3">
      <c r="A1683" s="10"/>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ht="17.399999999999999" x14ac:dyDescent="0.3">
      <c r="A1684" s="10"/>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ht="17.399999999999999" x14ac:dyDescent="0.3">
      <c r="A1685" s="10"/>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ht="17.399999999999999" x14ac:dyDescent="0.3">
      <c r="A1686" s="10"/>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ht="17.399999999999999" x14ac:dyDescent="0.3">
      <c r="A1687" s="10"/>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ht="17.399999999999999" x14ac:dyDescent="0.3">
      <c r="A1688" s="10"/>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ht="17.399999999999999" x14ac:dyDescent="0.3">
      <c r="A1689" s="10"/>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ht="17.399999999999999" x14ac:dyDescent="0.3">
      <c r="A1690" s="10"/>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ht="17.399999999999999" x14ac:dyDescent="0.3">
      <c r="A1691" s="10"/>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ht="17.399999999999999" x14ac:dyDescent="0.3">
      <c r="A1692" s="10"/>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ht="17.399999999999999" x14ac:dyDescent="0.3">
      <c r="A1693" s="10"/>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ht="17.399999999999999" x14ac:dyDescent="0.3">
      <c r="A1694" s="10"/>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ht="17.399999999999999" x14ac:dyDescent="0.3">
      <c r="A1695" s="10"/>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ht="17.399999999999999" x14ac:dyDescent="0.3">
      <c r="A1696" s="10"/>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ht="17.399999999999999" x14ac:dyDescent="0.3">
      <c r="A1697" s="10"/>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ht="17.399999999999999" x14ac:dyDescent="0.3">
      <c r="A1698" s="10"/>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ht="17.399999999999999" x14ac:dyDescent="0.3">
      <c r="A1699" s="10"/>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ht="17.399999999999999" x14ac:dyDescent="0.3">
      <c r="A1700" s="10"/>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ht="17.399999999999999" x14ac:dyDescent="0.3">
      <c r="A1701" s="10"/>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ht="17.399999999999999" x14ac:dyDescent="0.3">
      <c r="A1702" s="10"/>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ht="17.399999999999999" x14ac:dyDescent="0.3">
      <c r="A1703" s="10"/>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ht="17.399999999999999" x14ac:dyDescent="0.3">
      <c r="A1704" s="10"/>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ht="17.399999999999999" x14ac:dyDescent="0.3">
      <c r="A1705" s="10"/>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ht="17.399999999999999" x14ac:dyDescent="0.3">
      <c r="A1706" s="10"/>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ht="17.399999999999999" x14ac:dyDescent="0.3">
      <c r="A1707" s="10"/>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ht="17.399999999999999" x14ac:dyDescent="0.3">
      <c r="A1708" s="10"/>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ht="17.399999999999999" x14ac:dyDescent="0.3">
      <c r="A1709" s="10"/>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ht="17.399999999999999" x14ac:dyDescent="0.3">
      <c r="A1710" s="10"/>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ht="17.399999999999999" x14ac:dyDescent="0.3">
      <c r="A1711" s="10"/>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ht="17.399999999999999" x14ac:dyDescent="0.3">
      <c r="A1712" s="10"/>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ht="17.399999999999999" x14ac:dyDescent="0.3">
      <c r="A1713" s="10"/>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ht="17.399999999999999" x14ac:dyDescent="0.3">
      <c r="A1714" s="10"/>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ht="17.399999999999999" x14ac:dyDescent="0.3">
      <c r="A1715" s="10"/>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ht="17.399999999999999" x14ac:dyDescent="0.3">
      <c r="A1716" s="10"/>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ht="17.399999999999999" x14ac:dyDescent="0.3">
      <c r="A1717" s="10"/>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ht="17.399999999999999" x14ac:dyDescent="0.3">
      <c r="A1718" s="10"/>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ht="17.399999999999999" x14ac:dyDescent="0.3">
      <c r="A1719" s="10"/>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ht="17.399999999999999" x14ac:dyDescent="0.3">
      <c r="A1720" s="10"/>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ht="17.399999999999999" x14ac:dyDescent="0.3">
      <c r="A1721" s="10"/>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ht="17.399999999999999" x14ac:dyDescent="0.3">
      <c r="A1722" s="10"/>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ht="17.399999999999999" x14ac:dyDescent="0.3">
      <c r="A1723" s="10"/>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ht="17.399999999999999" x14ac:dyDescent="0.3">
      <c r="A1724" s="10"/>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ht="17.399999999999999" x14ac:dyDescent="0.3">
      <c r="A1725" s="10"/>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ht="17.399999999999999" x14ac:dyDescent="0.3">
      <c r="A1726" s="10"/>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ht="17.399999999999999" x14ac:dyDescent="0.3">
      <c r="A1727" s="10"/>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ht="17.399999999999999" x14ac:dyDescent="0.3">
      <c r="A1728" s="10"/>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ht="17.399999999999999" x14ac:dyDescent="0.3">
      <c r="A1729" s="10"/>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ht="17.399999999999999" x14ac:dyDescent="0.3">
      <c r="A1730" s="10"/>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ht="17.399999999999999" x14ac:dyDescent="0.3">
      <c r="A1731" s="10"/>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ht="17.399999999999999" x14ac:dyDescent="0.3">
      <c r="A1732" s="10"/>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ht="17.399999999999999" x14ac:dyDescent="0.3">
      <c r="A1733" s="10"/>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ht="17.399999999999999" x14ac:dyDescent="0.3">
      <c r="A1734" s="10"/>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ht="17.399999999999999" x14ac:dyDescent="0.3">
      <c r="A1735" s="10"/>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ht="17.399999999999999" x14ac:dyDescent="0.3">
      <c r="A1736" s="10"/>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ht="17.399999999999999" x14ac:dyDescent="0.3">
      <c r="A1737" s="10"/>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ht="17.399999999999999" x14ac:dyDescent="0.3">
      <c r="A1738" s="10"/>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ht="17.399999999999999" x14ac:dyDescent="0.3">
      <c r="A1739" s="10"/>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ht="17.399999999999999" x14ac:dyDescent="0.3">
      <c r="A1740" s="10"/>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ht="17.399999999999999" x14ac:dyDescent="0.3">
      <c r="A1741" s="10"/>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ht="17.399999999999999" x14ac:dyDescent="0.3">
      <c r="A1742" s="10"/>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ht="17.399999999999999" x14ac:dyDescent="0.3">
      <c r="A1743" s="10"/>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ht="17.399999999999999" x14ac:dyDescent="0.3">
      <c r="A1744" s="10"/>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ht="17.399999999999999" x14ac:dyDescent="0.3">
      <c r="A1745" s="10"/>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ht="17.399999999999999" x14ac:dyDescent="0.3">
      <c r="A1746" s="10"/>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ht="17.399999999999999" x14ac:dyDescent="0.3">
      <c r="A1747" s="10"/>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ht="17.399999999999999" x14ac:dyDescent="0.3">
      <c r="A1748" s="10"/>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ht="17.399999999999999" x14ac:dyDescent="0.3">
      <c r="A1749" s="10"/>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ht="17.399999999999999" x14ac:dyDescent="0.3">
      <c r="A1750" s="10"/>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ht="17.399999999999999" x14ac:dyDescent="0.3">
      <c r="A1751" s="10"/>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ht="17.399999999999999" x14ac:dyDescent="0.3">
      <c r="A1752" s="10"/>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ht="17.399999999999999" x14ac:dyDescent="0.3">
      <c r="A1753" s="10"/>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ht="17.399999999999999" x14ac:dyDescent="0.3">
      <c r="A1754" s="10"/>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ht="17.399999999999999" x14ac:dyDescent="0.3">
      <c r="A1755" s="10"/>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ht="17.399999999999999" x14ac:dyDescent="0.3">
      <c r="A1756" s="10"/>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ht="17.399999999999999" x14ac:dyDescent="0.3">
      <c r="A1757" s="10"/>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ht="17.399999999999999" x14ac:dyDescent="0.3">
      <c r="A1758" s="10"/>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ht="17.399999999999999" x14ac:dyDescent="0.3">
      <c r="A1759" s="10"/>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ht="17.399999999999999" x14ac:dyDescent="0.3">
      <c r="A1760" s="10"/>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ht="17.399999999999999" x14ac:dyDescent="0.3">
      <c r="A1761" s="10"/>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ht="17.399999999999999" x14ac:dyDescent="0.3">
      <c r="A1762" s="10"/>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ht="17.399999999999999" x14ac:dyDescent="0.3">
      <c r="A1763" s="10"/>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ht="17.399999999999999" x14ac:dyDescent="0.3">
      <c r="A1764" s="10"/>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ht="17.399999999999999" x14ac:dyDescent="0.3">
      <c r="A1765" s="10"/>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ht="17.399999999999999" x14ac:dyDescent="0.3">
      <c r="A1766" s="10"/>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ht="17.399999999999999" x14ac:dyDescent="0.3">
      <c r="A1767" s="10"/>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ht="17.399999999999999" x14ac:dyDescent="0.3">
      <c r="A1768" s="10"/>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ht="17.399999999999999" x14ac:dyDescent="0.3">
      <c r="A1769" s="10"/>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ht="17.399999999999999" x14ac:dyDescent="0.3">
      <c r="A1770" s="10"/>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ht="17.399999999999999" x14ac:dyDescent="0.3">
      <c r="A1771" s="10"/>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ht="17.399999999999999" x14ac:dyDescent="0.3">
      <c r="A1772" s="10"/>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ht="17.399999999999999" x14ac:dyDescent="0.3">
      <c r="A1773" s="10"/>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ht="17.399999999999999" x14ac:dyDescent="0.3">
      <c r="A1774" s="10"/>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ht="17.399999999999999" x14ac:dyDescent="0.3">
      <c r="A1775" s="10"/>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ht="17.399999999999999" x14ac:dyDescent="0.3">
      <c r="A1776" s="10"/>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ht="17.399999999999999" x14ac:dyDescent="0.3">
      <c r="A1777" s="10"/>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ht="17.399999999999999" x14ac:dyDescent="0.3">
      <c r="A1778" s="10"/>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ht="17.399999999999999" x14ac:dyDescent="0.3">
      <c r="A1779" s="10"/>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ht="17.399999999999999" x14ac:dyDescent="0.3">
      <c r="A1780" s="10"/>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ht="17.399999999999999" x14ac:dyDescent="0.3">
      <c r="A1781" s="10"/>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ht="17.399999999999999" x14ac:dyDescent="0.3">
      <c r="A1782" s="10"/>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ht="17.399999999999999" x14ac:dyDescent="0.3">
      <c r="A1783" s="10"/>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ht="17.399999999999999" x14ac:dyDescent="0.3">
      <c r="A1784" s="10"/>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ht="17.399999999999999" x14ac:dyDescent="0.3">
      <c r="A1785" s="10"/>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ht="17.399999999999999" x14ac:dyDescent="0.3">
      <c r="A1786" s="10"/>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ht="17.399999999999999" x14ac:dyDescent="0.3">
      <c r="A1787" s="10"/>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ht="17.399999999999999" x14ac:dyDescent="0.3">
      <c r="A1788" s="10"/>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ht="17.399999999999999" x14ac:dyDescent="0.3">
      <c r="A1789" s="10"/>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ht="17.399999999999999" x14ac:dyDescent="0.3">
      <c r="A1790" s="10"/>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ht="17.399999999999999" x14ac:dyDescent="0.3">
      <c r="A1791" s="10"/>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ht="17.399999999999999" x14ac:dyDescent="0.3">
      <c r="A1792" s="10"/>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ht="17.399999999999999" x14ac:dyDescent="0.3">
      <c r="A1793" s="10"/>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ht="17.399999999999999" x14ac:dyDescent="0.3">
      <c r="A1794" s="10"/>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ht="17.399999999999999" x14ac:dyDescent="0.3">
      <c r="A1795" s="10"/>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ht="17.399999999999999" x14ac:dyDescent="0.3">
      <c r="A1796" s="10"/>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ht="17.399999999999999" x14ac:dyDescent="0.3">
      <c r="A1797" s="10"/>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ht="17.399999999999999" x14ac:dyDescent="0.3">
      <c r="A1798" s="10"/>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ht="17.399999999999999" x14ac:dyDescent="0.3">
      <c r="A1799" s="10"/>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ht="17.399999999999999" x14ac:dyDescent="0.3">
      <c r="A1800" s="10"/>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ht="17.399999999999999" x14ac:dyDescent="0.3">
      <c r="A1801" s="10"/>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ht="17.399999999999999" x14ac:dyDescent="0.3">
      <c r="A1802" s="10"/>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ht="17.399999999999999" x14ac:dyDescent="0.3">
      <c r="A1803" s="10"/>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ht="17.399999999999999" x14ac:dyDescent="0.3">
      <c r="A1804" s="10"/>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ht="17.399999999999999" x14ac:dyDescent="0.3">
      <c r="A1805" s="10"/>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ht="17.399999999999999" x14ac:dyDescent="0.3">
      <c r="A1806" s="10"/>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ht="17.399999999999999" x14ac:dyDescent="0.3">
      <c r="A1807" s="10"/>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ht="17.399999999999999" x14ac:dyDescent="0.3">
      <c r="A1808" s="10"/>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ht="17.399999999999999" x14ac:dyDescent="0.3">
      <c r="A1809" s="10"/>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ht="17.399999999999999" x14ac:dyDescent="0.3">
      <c r="A1810" s="10"/>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ht="17.399999999999999" x14ac:dyDescent="0.3">
      <c r="A1811" s="10"/>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ht="17.399999999999999" x14ac:dyDescent="0.3">
      <c r="A1812" s="10"/>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ht="17.399999999999999" x14ac:dyDescent="0.3">
      <c r="A1813" s="10"/>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ht="17.399999999999999" x14ac:dyDescent="0.3">
      <c r="A1814" s="10"/>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ht="17.399999999999999" x14ac:dyDescent="0.3">
      <c r="A1815" s="10"/>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ht="17.399999999999999" x14ac:dyDescent="0.3">
      <c r="A1816" s="10"/>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ht="17.399999999999999" x14ac:dyDescent="0.3">
      <c r="A1817" s="10"/>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ht="17.399999999999999" x14ac:dyDescent="0.3">
      <c r="A1818" s="10"/>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ht="17.399999999999999" x14ac:dyDescent="0.3">
      <c r="A1819" s="10"/>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ht="17.399999999999999" x14ac:dyDescent="0.3">
      <c r="A1820" s="10"/>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ht="17.399999999999999" x14ac:dyDescent="0.3">
      <c r="A1821" s="10"/>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ht="17.399999999999999" x14ac:dyDescent="0.3">
      <c r="A1822" s="10"/>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ht="17.399999999999999" x14ac:dyDescent="0.3">
      <c r="A1823" s="10"/>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ht="17.399999999999999" x14ac:dyDescent="0.3">
      <c r="A1824" s="10"/>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ht="17.399999999999999" x14ac:dyDescent="0.3">
      <c r="A1825" s="10"/>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ht="17.399999999999999" x14ac:dyDescent="0.3">
      <c r="A1826" s="10"/>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ht="17.399999999999999" x14ac:dyDescent="0.3">
      <c r="A1827" s="10"/>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ht="17.399999999999999" x14ac:dyDescent="0.3">
      <c r="A1828" s="10"/>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ht="17.399999999999999" x14ac:dyDescent="0.3">
      <c r="A1829" s="10"/>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ht="17.399999999999999" x14ac:dyDescent="0.3">
      <c r="A1830" s="10"/>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ht="17.399999999999999" x14ac:dyDescent="0.3">
      <c r="A1831" s="10"/>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ht="17.399999999999999" x14ac:dyDescent="0.3">
      <c r="A1832" s="10"/>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ht="17.399999999999999" x14ac:dyDescent="0.3">
      <c r="A1833" s="10"/>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ht="17.399999999999999" x14ac:dyDescent="0.3">
      <c r="A1834" s="10"/>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ht="17.399999999999999" x14ac:dyDescent="0.3">
      <c r="A1835" s="10"/>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ht="17.399999999999999" x14ac:dyDescent="0.3">
      <c r="A1836" s="10"/>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ht="17.399999999999999" x14ac:dyDescent="0.3">
      <c r="A1837" s="10"/>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ht="17.399999999999999" x14ac:dyDescent="0.3">
      <c r="A1838" s="10"/>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ht="17.399999999999999" x14ac:dyDescent="0.3">
      <c r="A1839" s="10"/>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ht="17.399999999999999" x14ac:dyDescent="0.3">
      <c r="A1840" s="10"/>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ht="17.399999999999999" x14ac:dyDescent="0.3">
      <c r="A1841" s="10"/>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ht="17.399999999999999" x14ac:dyDescent="0.3">
      <c r="A1842" s="10"/>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ht="17.399999999999999" x14ac:dyDescent="0.3">
      <c r="A1843" s="10"/>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ht="17.399999999999999" x14ac:dyDescent="0.3">
      <c r="A1844" s="10"/>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ht="17.399999999999999" x14ac:dyDescent="0.3">
      <c r="A1845" s="10"/>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ht="17.399999999999999" x14ac:dyDescent="0.3">
      <c r="A1846" s="10"/>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ht="17.399999999999999" x14ac:dyDescent="0.3">
      <c r="A1847" s="10"/>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ht="17.399999999999999" x14ac:dyDescent="0.3">
      <c r="A1848" s="10"/>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ht="17.399999999999999" x14ac:dyDescent="0.3">
      <c r="A1849" s="10"/>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ht="17.399999999999999" x14ac:dyDescent="0.3">
      <c r="A1850" s="10"/>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ht="17.399999999999999" x14ac:dyDescent="0.3">
      <c r="A1851" s="10"/>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ht="17.399999999999999" x14ac:dyDescent="0.3">
      <c r="A1852" s="10"/>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ht="17.399999999999999" x14ac:dyDescent="0.3">
      <c r="A1853" s="10"/>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ht="17.399999999999999" x14ac:dyDescent="0.3">
      <c r="A1854" s="10"/>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ht="17.399999999999999" x14ac:dyDescent="0.3">
      <c r="A1855" s="10"/>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ht="17.399999999999999" x14ac:dyDescent="0.3">
      <c r="A1856" s="10"/>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ht="17.399999999999999" x14ac:dyDescent="0.3">
      <c r="A1857" s="10"/>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ht="17.399999999999999" x14ac:dyDescent="0.3">
      <c r="A1858" s="10"/>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ht="17.399999999999999" x14ac:dyDescent="0.3">
      <c r="A1859" s="10"/>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ht="17.399999999999999" x14ac:dyDescent="0.3">
      <c r="A1860" s="10"/>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ht="17.399999999999999" x14ac:dyDescent="0.3">
      <c r="A1861" s="10"/>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ht="17.399999999999999" x14ac:dyDescent="0.3">
      <c r="A1862" s="10"/>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ht="17.399999999999999" x14ac:dyDescent="0.3">
      <c r="A1863" s="10"/>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ht="17.399999999999999" x14ac:dyDescent="0.3">
      <c r="A1864" s="10"/>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ht="17.399999999999999" x14ac:dyDescent="0.3">
      <c r="A1865" s="10"/>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ht="17.399999999999999" x14ac:dyDescent="0.3">
      <c r="A1866" s="10"/>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spans="1:26" ht="17.399999999999999" x14ac:dyDescent="0.3">
      <c r="A1867" s="10"/>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spans="1:26" ht="17.399999999999999" x14ac:dyDescent="0.3">
      <c r="A1868" s="10"/>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spans="1:26" ht="17.399999999999999" x14ac:dyDescent="0.3">
      <c r="A1869" s="10"/>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spans="1:26" ht="17.399999999999999" x14ac:dyDescent="0.3">
      <c r="A1870" s="10"/>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spans="1:26" ht="17.399999999999999" x14ac:dyDescent="0.3">
      <c r="A1871" s="10"/>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spans="1:26" ht="17.399999999999999" x14ac:dyDescent="0.3">
      <c r="A1872" s="10"/>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spans="1:26" ht="17.399999999999999" x14ac:dyDescent="0.3">
      <c r="A1873" s="10"/>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spans="1:26" ht="17.399999999999999" x14ac:dyDescent="0.3">
      <c r="A1874" s="10"/>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spans="1:26" ht="17.399999999999999" x14ac:dyDescent="0.3">
      <c r="A1875" s="10"/>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spans="1:26" ht="17.399999999999999" x14ac:dyDescent="0.3">
      <c r="A1876" s="10"/>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spans="1:26" ht="17.399999999999999" x14ac:dyDescent="0.3">
      <c r="A1877" s="10"/>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spans="1:26" ht="17.399999999999999" x14ac:dyDescent="0.3">
      <c r="A1878" s="10"/>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spans="1:26" ht="17.399999999999999" x14ac:dyDescent="0.3">
      <c r="A1879" s="10"/>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spans="1:26" ht="17.399999999999999" x14ac:dyDescent="0.3">
      <c r="A1880" s="10"/>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spans="1:26" ht="17.399999999999999" x14ac:dyDescent="0.3">
      <c r="A1881" s="10"/>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spans="1:26" ht="17.399999999999999" x14ac:dyDescent="0.3">
      <c r="A1882" s="10"/>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spans="1:26" ht="17.399999999999999" x14ac:dyDescent="0.3">
      <c r="A1883" s="10"/>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spans="1:26" ht="17.399999999999999" x14ac:dyDescent="0.3">
      <c r="A1884" s="10"/>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spans="1:26" ht="17.399999999999999" x14ac:dyDescent="0.3">
      <c r="A1885" s="10"/>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spans="1:26" ht="17.399999999999999" x14ac:dyDescent="0.3">
      <c r="A1886" s="10"/>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spans="1:26" ht="17.399999999999999" x14ac:dyDescent="0.3">
      <c r="A1887" s="10"/>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spans="1:26" ht="17.399999999999999" x14ac:dyDescent="0.3">
      <c r="A1888" s="10"/>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spans="1:26" ht="17.399999999999999" x14ac:dyDescent="0.3">
      <c r="A1889" s="10"/>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spans="1:26" ht="17.399999999999999" x14ac:dyDescent="0.3">
      <c r="A1890" s="10"/>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spans="1:26" ht="17.399999999999999" x14ac:dyDescent="0.3">
      <c r="A1891" s="10"/>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spans="1:26" ht="17.399999999999999" x14ac:dyDescent="0.3">
      <c r="A1892" s="10"/>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spans="1:26" ht="17.399999999999999" x14ac:dyDescent="0.3">
      <c r="A1893" s="10"/>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spans="1:26" ht="17.399999999999999" x14ac:dyDescent="0.3">
      <c r="A1894" s="10"/>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spans="1:26" ht="17.399999999999999" x14ac:dyDescent="0.3">
      <c r="A1895" s="10"/>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spans="1:26" ht="17.399999999999999" x14ac:dyDescent="0.3">
      <c r="A1896" s="10"/>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spans="1:26" ht="17.399999999999999" x14ac:dyDescent="0.3">
      <c r="A1897" s="10"/>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spans="1:26" ht="17.399999999999999" x14ac:dyDescent="0.3">
      <c r="A1898" s="10"/>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spans="1:26" ht="17.399999999999999" x14ac:dyDescent="0.3">
      <c r="A1899" s="10"/>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spans="1:26" ht="17.399999999999999" x14ac:dyDescent="0.3">
      <c r="A1900" s="10"/>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spans="1:26" ht="17.399999999999999" x14ac:dyDescent="0.3">
      <c r="A1901" s="10"/>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spans="1:26" ht="17.399999999999999" x14ac:dyDescent="0.3">
      <c r="A1902" s="10"/>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spans="1:26" ht="17.399999999999999" x14ac:dyDescent="0.3">
      <c r="A1903" s="10"/>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spans="1:26" ht="17.399999999999999" x14ac:dyDescent="0.3">
      <c r="A1904" s="10"/>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spans="1:26" ht="17.399999999999999" x14ac:dyDescent="0.3">
      <c r="A1905" s="10"/>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spans="1:26" ht="17.399999999999999" x14ac:dyDescent="0.3">
      <c r="A1906" s="10"/>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spans="1:26" ht="17.399999999999999" x14ac:dyDescent="0.3">
      <c r="A1907" s="10"/>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spans="1:26" ht="17.399999999999999" x14ac:dyDescent="0.3">
      <c r="A1908" s="10"/>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spans="1:26" ht="17.399999999999999" x14ac:dyDescent="0.3">
      <c r="A1909" s="10"/>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spans="1:26" ht="17.399999999999999" x14ac:dyDescent="0.3">
      <c r="A1910" s="10"/>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spans="1:26" ht="17.399999999999999" x14ac:dyDescent="0.3">
      <c r="A1911" s="10"/>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spans="1:26" ht="17.399999999999999" x14ac:dyDescent="0.3">
      <c r="A1912" s="10"/>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spans="1:26" ht="17.399999999999999" x14ac:dyDescent="0.3">
      <c r="A1913" s="10"/>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spans="1:26" ht="17.399999999999999" x14ac:dyDescent="0.3">
      <c r="A1914" s="10"/>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spans="1:26" ht="17.399999999999999" x14ac:dyDescent="0.3">
      <c r="A1915" s="10"/>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spans="1:26" ht="17.399999999999999" x14ac:dyDescent="0.3">
      <c r="A1916" s="10"/>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spans="1:26" ht="17.399999999999999" x14ac:dyDescent="0.3">
      <c r="A1917" s="10"/>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spans="1:26" ht="17.399999999999999" x14ac:dyDescent="0.3">
      <c r="A1918" s="10"/>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spans="1:26" ht="17.399999999999999" x14ac:dyDescent="0.3">
      <c r="A1919" s="10"/>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spans="1:26" ht="17.399999999999999" x14ac:dyDescent="0.3">
      <c r="A1920" s="10"/>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spans="1:26" ht="17.399999999999999" x14ac:dyDescent="0.3">
      <c r="A1921" s="10"/>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spans="1:26" ht="17.399999999999999" x14ac:dyDescent="0.3">
      <c r="A1922" s="10"/>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spans="1:26" ht="17.399999999999999" x14ac:dyDescent="0.3">
      <c r="A1923" s="10"/>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spans="1:26" ht="17.399999999999999" x14ac:dyDescent="0.3">
      <c r="A1924" s="10"/>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spans="1:26" ht="17.399999999999999" x14ac:dyDescent="0.3">
      <c r="A1925" s="10"/>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spans="1:26" ht="17.399999999999999" x14ac:dyDescent="0.3">
      <c r="A1926" s="10"/>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spans="1:26" ht="17.399999999999999" x14ac:dyDescent="0.3">
      <c r="A1927" s="10"/>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spans="1:26" ht="17.399999999999999" x14ac:dyDescent="0.3">
      <c r="A1928" s="10"/>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spans="1:26" ht="17.399999999999999" x14ac:dyDescent="0.3">
      <c r="A1929" s="10"/>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spans="1:26" ht="17.399999999999999" x14ac:dyDescent="0.3">
      <c r="A1930" s="10"/>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spans="1:26" ht="17.399999999999999" x14ac:dyDescent="0.3">
      <c r="A1931" s="10"/>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spans="1:26" ht="17.399999999999999" x14ac:dyDescent="0.3">
      <c r="A1932" s="10"/>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spans="1:26" ht="17.399999999999999" x14ac:dyDescent="0.3">
      <c r="A1933" s="10"/>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spans="1:26" ht="17.399999999999999" x14ac:dyDescent="0.3">
      <c r="A1934" s="10"/>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spans="1:26" ht="17.399999999999999" x14ac:dyDescent="0.3">
      <c r="A1935" s="10"/>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spans="1:26" ht="17.399999999999999" x14ac:dyDescent="0.3">
      <c r="A1936" s="10"/>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spans="1:26" ht="17.399999999999999" x14ac:dyDescent="0.3">
      <c r="A1937" s="10"/>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spans="1:26" ht="17.399999999999999" x14ac:dyDescent="0.3">
      <c r="A1938" s="10"/>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spans="1:26" ht="17.399999999999999" x14ac:dyDescent="0.3">
      <c r="A1939" s="10"/>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spans="1:26" ht="17.399999999999999" x14ac:dyDescent="0.3">
      <c r="A1940" s="10"/>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spans="1:26" ht="17.399999999999999" x14ac:dyDescent="0.3">
      <c r="A1941" s="10"/>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spans="1:26" ht="17.399999999999999" x14ac:dyDescent="0.3">
      <c r="A1942" s="10"/>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spans="1:26" ht="17.399999999999999" x14ac:dyDescent="0.3">
      <c r="A1943" s="10"/>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spans="1:26" ht="17.399999999999999" x14ac:dyDescent="0.3">
      <c r="A1944" s="10"/>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spans="1:26" ht="17.399999999999999" x14ac:dyDescent="0.3">
      <c r="A1945" s="10"/>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spans="1:26" ht="17.399999999999999" x14ac:dyDescent="0.3">
      <c r="A1946" s="10"/>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spans="1:26" ht="17.399999999999999" x14ac:dyDescent="0.3">
      <c r="A1947" s="10"/>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spans="1:26" ht="17.399999999999999" x14ac:dyDescent="0.3">
      <c r="A1948" s="10"/>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spans="1:26" ht="17.399999999999999" x14ac:dyDescent="0.3">
      <c r="A1949" s="10"/>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spans="1:26" ht="17.399999999999999" x14ac:dyDescent="0.3">
      <c r="A1950" s="10"/>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spans="1:26" ht="17.399999999999999" x14ac:dyDescent="0.3">
      <c r="A1951" s="10"/>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spans="1:26" ht="17.399999999999999" x14ac:dyDescent="0.3">
      <c r="A1952" s="10"/>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spans="1:26" ht="17.399999999999999" x14ac:dyDescent="0.3">
      <c r="A1953" s="10"/>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spans="1:26" ht="17.399999999999999" x14ac:dyDescent="0.3">
      <c r="A1954" s="10"/>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spans="1:26" ht="17.399999999999999" x14ac:dyDescent="0.3">
      <c r="A1955" s="10"/>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spans="1:26" ht="17.399999999999999" x14ac:dyDescent="0.3">
      <c r="A1956" s="10"/>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spans="1:26" ht="17.399999999999999" x14ac:dyDescent="0.3">
      <c r="A1957" s="10"/>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spans="1:26" ht="17.399999999999999" x14ac:dyDescent="0.3">
      <c r="A1958" s="10"/>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spans="1:26" ht="17.399999999999999" x14ac:dyDescent="0.3">
      <c r="A1959" s="10"/>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spans="1:26" ht="17.399999999999999" x14ac:dyDescent="0.3">
      <c r="A1960" s="10"/>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spans="1:26" ht="17.399999999999999" x14ac:dyDescent="0.3">
      <c r="A1961" s="10"/>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spans="1:26" ht="17.399999999999999" x14ac:dyDescent="0.3">
      <c r="A1962" s="10"/>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spans="1:26" ht="17.399999999999999" x14ac:dyDescent="0.3">
      <c r="A1963" s="10"/>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spans="1:26" ht="17.399999999999999" x14ac:dyDescent="0.3">
      <c r="A1964" s="10"/>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spans="1:26" ht="17.399999999999999" x14ac:dyDescent="0.3">
      <c r="A1965" s="10"/>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spans="1:26" ht="17.399999999999999" x14ac:dyDescent="0.3">
      <c r="A1966" s="10"/>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spans="1:26" ht="17.399999999999999" x14ac:dyDescent="0.3">
      <c r="A1967" s="10"/>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spans="1:26" ht="17.399999999999999" x14ac:dyDescent="0.3">
      <c r="A1968" s="10"/>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spans="1:26" ht="17.399999999999999" x14ac:dyDescent="0.3">
      <c r="A1969" s="10"/>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spans="1:26" ht="17.399999999999999" x14ac:dyDescent="0.3">
      <c r="A1970" s="10"/>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spans="1:26" ht="17.399999999999999" x14ac:dyDescent="0.3">
      <c r="A1971" s="10"/>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spans="1:26" ht="17.399999999999999" x14ac:dyDescent="0.3">
      <c r="A1972" s="10"/>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spans="1:26" ht="17.399999999999999" x14ac:dyDescent="0.3">
      <c r="A1973" s="10"/>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spans="1:26" ht="17.399999999999999" x14ac:dyDescent="0.3">
      <c r="A1974" s="10"/>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spans="1:26" ht="17.399999999999999" x14ac:dyDescent="0.3">
      <c r="A1975" s="10"/>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spans="1:26" ht="17.399999999999999" x14ac:dyDescent="0.3">
      <c r="A1976" s="10"/>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spans="1:26" ht="17.399999999999999" x14ac:dyDescent="0.3">
      <c r="A1977" s="10"/>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spans="1:26" ht="17.399999999999999" x14ac:dyDescent="0.3">
      <c r="A1978" s="10"/>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spans="1:26" ht="17.399999999999999" x14ac:dyDescent="0.3">
      <c r="A1979" s="10"/>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spans="1:26" ht="17.399999999999999" x14ac:dyDescent="0.3">
      <c r="A1980" s="10"/>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spans="1:26" ht="17.399999999999999" x14ac:dyDescent="0.3">
      <c r="A1981" s="10"/>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spans="1:26" ht="17.399999999999999" x14ac:dyDescent="0.3">
      <c r="A1982" s="10"/>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spans="1:26" ht="17.399999999999999" x14ac:dyDescent="0.3">
      <c r="A1983" s="10"/>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spans="1:26" ht="17.399999999999999" x14ac:dyDescent="0.3">
      <c r="A1984" s="10"/>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spans="1:26" ht="17.399999999999999" x14ac:dyDescent="0.3">
      <c r="A1985" s="10"/>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spans="1:26" ht="17.399999999999999" x14ac:dyDescent="0.3">
      <c r="A1986" s="10"/>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spans="1:26" ht="17.399999999999999" x14ac:dyDescent="0.3">
      <c r="A1987" s="10"/>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spans="1:26" ht="17.399999999999999" x14ac:dyDescent="0.3">
      <c r="A1988" s="10"/>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spans="1:26" ht="17.399999999999999" x14ac:dyDescent="0.3">
      <c r="A1989" s="10"/>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spans="1:26" ht="17.399999999999999" x14ac:dyDescent="0.3">
      <c r="A1990" s="10"/>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spans="1:26" ht="17.399999999999999" x14ac:dyDescent="0.3">
      <c r="A1991" s="10"/>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spans="1:26" ht="17.399999999999999" x14ac:dyDescent="0.3">
      <c r="A1992" s="10"/>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spans="1:26" ht="17.399999999999999" x14ac:dyDescent="0.3">
      <c r="A1993" s="10"/>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spans="1:26" ht="17.399999999999999" x14ac:dyDescent="0.3">
      <c r="A1994" s="10"/>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spans="1:26" ht="17.399999999999999" x14ac:dyDescent="0.3">
      <c r="A1995" s="10"/>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spans="1:26" ht="17.399999999999999" x14ac:dyDescent="0.3">
      <c r="A1996" s="10"/>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spans="1:26" ht="17.399999999999999" x14ac:dyDescent="0.3">
      <c r="A1997" s="10"/>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spans="1:26" ht="17.399999999999999" x14ac:dyDescent="0.3">
      <c r="A1998" s="10"/>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spans="1:26" ht="17.399999999999999" x14ac:dyDescent="0.3">
      <c r="A1999" s="10"/>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spans="1:26" ht="17.399999999999999" x14ac:dyDescent="0.3">
      <c r="A2000" s="10"/>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spans="1:26" ht="17.399999999999999" x14ac:dyDescent="0.3">
      <c r="A2001" s="10"/>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spans="1:26" ht="17.399999999999999" x14ac:dyDescent="0.3">
      <c r="A2002" s="10"/>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spans="1:26" ht="17.399999999999999" x14ac:dyDescent="0.3">
      <c r="A2003" s="10"/>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spans="1:26" ht="17.399999999999999" x14ac:dyDescent="0.3">
      <c r="A2004" s="10"/>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spans="1:26" ht="17.399999999999999" x14ac:dyDescent="0.3">
      <c r="A2005" s="10"/>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spans="1:26" ht="17.399999999999999" x14ac:dyDescent="0.3">
      <c r="A2006" s="10"/>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spans="1:26" ht="17.399999999999999" x14ac:dyDescent="0.3">
      <c r="A2007" s="10"/>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spans="1:26" ht="17.399999999999999" x14ac:dyDescent="0.3">
      <c r="A2008" s="10"/>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spans="1:26" ht="17.399999999999999" x14ac:dyDescent="0.3">
      <c r="A2009" s="10"/>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spans="1:26" ht="17.399999999999999" x14ac:dyDescent="0.3">
      <c r="A2010" s="10"/>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spans="1:26" ht="17.399999999999999" x14ac:dyDescent="0.3">
      <c r="A2011" s="10"/>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spans="1:26" ht="17.399999999999999" x14ac:dyDescent="0.3">
      <c r="A2012" s="10"/>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spans="1:26" ht="17.399999999999999" x14ac:dyDescent="0.3">
      <c r="A2013" s="10"/>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spans="1:26" ht="17.399999999999999" x14ac:dyDescent="0.3">
      <c r="A2014" s="10"/>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spans="1:26" ht="17.399999999999999" x14ac:dyDescent="0.3">
      <c r="A2015" s="10"/>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spans="1:26" ht="17.399999999999999" x14ac:dyDescent="0.3">
      <c r="A2016" s="10"/>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spans="1:26" ht="17.399999999999999" x14ac:dyDescent="0.3">
      <c r="A2017" s="10"/>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spans="1:26" ht="17.399999999999999" x14ac:dyDescent="0.3">
      <c r="A2018" s="10"/>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spans="1:26" ht="17.399999999999999" x14ac:dyDescent="0.3">
      <c r="A2019" s="10"/>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spans="1:26" ht="17.399999999999999" x14ac:dyDescent="0.3">
      <c r="A2020" s="10"/>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spans="1:26" ht="17.399999999999999" x14ac:dyDescent="0.3">
      <c r="A2021" s="10"/>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spans="1:26" ht="17.399999999999999" x14ac:dyDescent="0.3">
      <c r="A2022" s="10"/>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spans="1:26" ht="17.399999999999999" x14ac:dyDescent="0.3">
      <c r="A2023" s="10"/>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spans="1:26" ht="17.399999999999999" x14ac:dyDescent="0.3">
      <c r="A2024" s="10"/>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spans="1:26" ht="17.399999999999999" x14ac:dyDescent="0.3">
      <c r="A2025" s="10"/>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spans="1:26" ht="17.399999999999999" x14ac:dyDescent="0.3">
      <c r="A2026" s="10"/>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spans="1:26" ht="17.399999999999999" x14ac:dyDescent="0.3">
      <c r="A2027" s="10"/>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spans="1:26" ht="17.399999999999999" x14ac:dyDescent="0.3">
      <c r="A2028" s="10"/>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spans="1:26" ht="17.399999999999999" x14ac:dyDescent="0.3">
      <c r="A2029" s="10"/>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spans="1:26" ht="17.399999999999999" x14ac:dyDescent="0.3">
      <c r="A2030" s="10"/>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spans="1:26" ht="17.399999999999999" x14ac:dyDescent="0.3">
      <c r="A2031" s="10"/>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spans="1:26" ht="17.399999999999999" x14ac:dyDescent="0.3">
      <c r="A2032" s="10"/>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spans="1:26" ht="17.399999999999999" x14ac:dyDescent="0.3">
      <c r="A2033" s="10"/>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spans="1:26" ht="17.399999999999999" x14ac:dyDescent="0.3">
      <c r="A2034" s="10"/>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spans="1:26" ht="17.399999999999999" x14ac:dyDescent="0.3">
      <c r="A2035" s="10"/>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spans="1:26" ht="17.399999999999999" x14ac:dyDescent="0.3">
      <c r="A2036" s="10"/>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spans="1:26" ht="17.399999999999999" x14ac:dyDescent="0.3">
      <c r="A2037" s="10"/>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spans="1:26" ht="17.399999999999999" x14ac:dyDescent="0.3">
      <c r="A2038" s="10"/>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spans="1:26" ht="17.399999999999999" x14ac:dyDescent="0.3">
      <c r="A2039" s="10"/>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spans="1:26" ht="17.399999999999999" x14ac:dyDescent="0.3">
      <c r="A2040" s="10"/>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spans="1:26" ht="17.399999999999999" x14ac:dyDescent="0.3">
      <c r="A2041" s="10"/>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spans="1:26" ht="17.399999999999999" x14ac:dyDescent="0.3">
      <c r="A2042" s="10"/>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spans="1:26" ht="17.399999999999999" x14ac:dyDescent="0.3">
      <c r="A2043" s="10"/>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spans="1:26" ht="17.399999999999999" x14ac:dyDescent="0.3">
      <c r="A2044" s="10"/>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spans="1:26" ht="17.399999999999999" x14ac:dyDescent="0.3">
      <c r="A2045" s="10"/>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spans="1:26" ht="17.399999999999999" x14ac:dyDescent="0.3">
      <c r="A2046" s="10"/>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spans="1:26" ht="17.399999999999999" x14ac:dyDescent="0.3">
      <c r="A2047" s="10"/>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spans="1:26" ht="17.399999999999999" x14ac:dyDescent="0.3">
      <c r="A2048" s="10"/>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spans="1:26" ht="17.399999999999999" x14ac:dyDescent="0.3">
      <c r="A2049" s="10"/>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spans="1:26" ht="17.399999999999999" x14ac:dyDescent="0.3">
      <c r="A2050" s="10"/>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spans="1:26" ht="17.399999999999999" x14ac:dyDescent="0.3">
      <c r="A2051" s="10"/>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spans="1:26" ht="17.399999999999999" x14ac:dyDescent="0.3">
      <c r="A2052" s="10"/>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spans="1:26" ht="17.399999999999999" x14ac:dyDescent="0.3">
      <c r="A2053" s="10"/>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spans="1:26" ht="17.399999999999999" x14ac:dyDescent="0.3">
      <c r="A2054" s="10"/>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spans="1:26" ht="17.399999999999999" x14ac:dyDescent="0.3">
      <c r="A2055" s="10"/>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spans="1:26" ht="17.399999999999999" x14ac:dyDescent="0.3">
      <c r="A2056" s="10"/>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spans="1:26" ht="17.399999999999999" x14ac:dyDescent="0.3">
      <c r="A2057" s="10"/>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spans="1:26" ht="17.399999999999999" x14ac:dyDescent="0.3">
      <c r="A2058" s="10"/>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spans="1:26" ht="17.399999999999999" x14ac:dyDescent="0.3">
      <c r="A2059" s="10"/>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spans="1:26" ht="17.399999999999999" x14ac:dyDescent="0.3">
      <c r="A2060" s="10"/>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spans="1:26" ht="17.399999999999999" x14ac:dyDescent="0.3">
      <c r="A2061" s="10"/>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spans="1:26" ht="17.399999999999999" x14ac:dyDescent="0.3">
      <c r="A2062" s="10"/>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spans="1:26" ht="17.399999999999999" x14ac:dyDescent="0.3">
      <c r="A2063" s="10"/>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spans="1:26" ht="17.399999999999999" x14ac:dyDescent="0.3">
      <c r="A2064" s="10"/>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spans="1:26" ht="17.399999999999999" x14ac:dyDescent="0.3">
      <c r="A2065" s="10"/>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spans="1:26" ht="17.399999999999999" x14ac:dyDescent="0.3">
      <c r="A2066" s="10"/>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spans="1:26" ht="17.399999999999999" x14ac:dyDescent="0.3">
      <c r="A2067" s="10"/>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spans="1:26" ht="17.399999999999999" x14ac:dyDescent="0.3">
      <c r="A2068" s="10"/>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spans="1:26" ht="17.399999999999999" x14ac:dyDescent="0.3">
      <c r="A2069" s="10"/>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spans="1:26" ht="17.399999999999999" x14ac:dyDescent="0.3">
      <c r="A2070" s="10"/>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spans="1:26" ht="17.399999999999999" x14ac:dyDescent="0.3">
      <c r="A2071" s="10"/>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spans="1:26" ht="17.399999999999999" x14ac:dyDescent="0.3">
      <c r="A2072" s="10"/>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spans="1:26" ht="17.399999999999999" x14ac:dyDescent="0.3">
      <c r="A2073" s="10"/>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spans="1:26" ht="17.399999999999999" x14ac:dyDescent="0.3">
      <c r="A2074" s="10"/>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spans="1:26" ht="17.399999999999999" x14ac:dyDescent="0.3">
      <c r="A2075" s="10"/>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spans="1:26" ht="17.399999999999999" x14ac:dyDescent="0.3">
      <c r="A2076" s="10"/>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spans="1:26" ht="17.399999999999999" x14ac:dyDescent="0.3">
      <c r="A2077" s="10"/>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spans="1:26" ht="17.399999999999999" x14ac:dyDescent="0.3">
      <c r="A2078" s="10"/>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spans="1:26" ht="17.399999999999999" x14ac:dyDescent="0.3">
      <c r="A2079" s="10"/>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spans="1:26" ht="17.399999999999999" x14ac:dyDescent="0.3">
      <c r="A2080" s="10"/>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spans="1:26" ht="17.399999999999999" x14ac:dyDescent="0.3">
      <c r="A2081" s="10"/>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spans="1:26" ht="17.399999999999999" x14ac:dyDescent="0.3">
      <c r="A2082" s="10"/>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spans="1:26" ht="17.399999999999999" x14ac:dyDescent="0.3">
      <c r="A2083" s="10"/>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spans="1:26" ht="17.399999999999999" x14ac:dyDescent="0.3">
      <c r="A2084" s="10"/>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spans="1:26" ht="17.399999999999999" x14ac:dyDescent="0.3">
      <c r="A2085" s="10"/>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spans="1:26" ht="17.399999999999999" x14ac:dyDescent="0.3">
      <c r="A2086" s="10"/>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spans="1:26" ht="17.399999999999999" x14ac:dyDescent="0.3">
      <c r="A2087" s="10"/>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spans="1:26" ht="17.399999999999999" x14ac:dyDescent="0.3">
      <c r="A2088" s="10"/>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spans="1:26" ht="17.399999999999999" x14ac:dyDescent="0.3">
      <c r="A2089" s="10"/>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spans="1:26" ht="17.399999999999999" x14ac:dyDescent="0.3">
      <c r="A2090" s="10"/>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spans="1:26" ht="17.399999999999999" x14ac:dyDescent="0.3">
      <c r="A2091" s="10"/>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spans="1:26" ht="17.399999999999999" x14ac:dyDescent="0.3">
      <c r="A2092" s="10"/>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spans="1:26" ht="17.399999999999999" x14ac:dyDescent="0.3">
      <c r="A2093" s="10"/>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spans="1:26" ht="17.399999999999999" x14ac:dyDescent="0.3">
      <c r="A2094" s="10"/>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spans="1:26" ht="17.399999999999999" x14ac:dyDescent="0.3">
      <c r="A2095" s="10"/>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spans="1:26" ht="17.399999999999999" x14ac:dyDescent="0.3">
      <c r="A2096" s="10"/>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spans="1:26" ht="17.399999999999999" x14ac:dyDescent="0.3">
      <c r="A2097" s="10"/>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spans="1:26" ht="17.399999999999999" x14ac:dyDescent="0.3">
      <c r="A2098" s="10"/>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spans="1:26" ht="17.399999999999999" x14ac:dyDescent="0.3">
      <c r="A2099" s="10"/>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spans="1:26" ht="17.399999999999999" x14ac:dyDescent="0.3">
      <c r="A2100" s="10"/>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spans="1:26" ht="17.399999999999999" x14ac:dyDescent="0.3">
      <c r="A2101" s="10"/>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spans="1:26" ht="17.399999999999999" x14ac:dyDescent="0.3">
      <c r="A2102" s="10"/>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spans="1:26" ht="17.399999999999999" x14ac:dyDescent="0.3">
      <c r="A2103" s="10"/>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spans="1:26" ht="17.399999999999999" x14ac:dyDescent="0.3">
      <c r="A2104" s="10"/>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spans="1:26" ht="17.399999999999999" x14ac:dyDescent="0.3">
      <c r="A2105" s="10"/>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spans="1:26" ht="17.399999999999999" x14ac:dyDescent="0.3">
      <c r="A2106" s="10"/>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spans="1:26" ht="17.399999999999999" x14ac:dyDescent="0.3">
      <c r="A2107" s="10"/>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spans="1:26" ht="17.399999999999999" x14ac:dyDescent="0.3">
      <c r="A2108" s="10"/>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spans="1:26" ht="17.399999999999999" x14ac:dyDescent="0.3">
      <c r="A2109" s="10"/>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spans="1:26" ht="17.399999999999999" x14ac:dyDescent="0.3">
      <c r="A2110" s="10"/>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spans="1:26" ht="17.399999999999999" x14ac:dyDescent="0.3">
      <c r="A2111" s="10"/>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spans="1:26" ht="17.399999999999999" x14ac:dyDescent="0.3">
      <c r="A2112" s="10"/>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spans="1:26" ht="17.399999999999999" x14ac:dyDescent="0.3">
      <c r="A2113" s="10"/>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spans="1:26" ht="17.399999999999999" x14ac:dyDescent="0.3">
      <c r="A2114" s="10"/>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spans="1:26" ht="17.399999999999999" x14ac:dyDescent="0.3">
      <c r="A2115" s="10"/>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spans="1:26" ht="17.399999999999999" x14ac:dyDescent="0.3">
      <c r="A2116" s="10"/>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spans="1:26" ht="17.399999999999999" x14ac:dyDescent="0.3">
      <c r="A2117" s="10"/>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spans="1:26" ht="17.399999999999999" x14ac:dyDescent="0.3">
      <c r="A2118" s="10"/>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spans="1:26" ht="17.399999999999999" x14ac:dyDescent="0.3">
      <c r="A2119" s="10"/>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spans="1:26" ht="17.399999999999999" x14ac:dyDescent="0.3">
      <c r="A2120" s="10"/>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spans="1:26" ht="17.399999999999999" x14ac:dyDescent="0.3">
      <c r="A2121" s="10"/>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spans="1:26" ht="17.399999999999999" x14ac:dyDescent="0.3">
      <c r="A2122" s="10"/>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spans="1:26" ht="17.399999999999999" x14ac:dyDescent="0.3">
      <c r="A2123" s="10"/>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spans="1:26" ht="17.399999999999999" x14ac:dyDescent="0.3">
      <c r="A2124" s="10"/>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spans="1:26" ht="17.399999999999999" x14ac:dyDescent="0.3">
      <c r="A2125" s="10"/>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spans="1:26" ht="17.399999999999999" x14ac:dyDescent="0.3">
      <c r="A2126" s="10"/>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spans="1:26" ht="17.399999999999999" x14ac:dyDescent="0.3">
      <c r="A2127" s="10"/>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spans="1:26" ht="17.399999999999999" x14ac:dyDescent="0.3">
      <c r="A2128" s="10"/>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spans="1:26" ht="17.399999999999999" x14ac:dyDescent="0.3">
      <c r="A2129" s="10"/>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spans="1:26" ht="17.399999999999999" x14ac:dyDescent="0.3">
      <c r="A2130" s="10"/>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spans="1:26" ht="17.399999999999999" x14ac:dyDescent="0.3">
      <c r="A2131" s="10"/>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spans="1:26" ht="17.399999999999999" x14ac:dyDescent="0.3">
      <c r="A2132" s="10"/>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spans="1:26" ht="17.399999999999999" x14ac:dyDescent="0.3">
      <c r="A2133" s="10"/>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spans="1:26" ht="17.399999999999999" x14ac:dyDescent="0.3">
      <c r="A2134" s="10"/>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spans="1:26" ht="17.399999999999999" x14ac:dyDescent="0.3">
      <c r="A2135" s="10"/>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spans="1:26" ht="17.399999999999999" x14ac:dyDescent="0.3">
      <c r="A2136" s="10"/>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spans="1:26" ht="17.399999999999999" x14ac:dyDescent="0.3">
      <c r="A2137" s="10"/>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spans="1:26" ht="17.399999999999999" x14ac:dyDescent="0.3">
      <c r="A2138" s="10"/>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spans="1:26" ht="17.399999999999999" x14ac:dyDescent="0.3">
      <c r="A2139" s="10"/>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spans="1:26" ht="17.399999999999999" x14ac:dyDescent="0.3">
      <c r="A2140" s="10"/>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spans="1:26" ht="17.399999999999999" x14ac:dyDescent="0.3">
      <c r="A2141" s="10"/>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spans="1:26" ht="17.399999999999999" x14ac:dyDescent="0.3">
      <c r="A2142" s="10"/>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spans="1:26" ht="17.399999999999999" x14ac:dyDescent="0.3">
      <c r="A2143" s="10"/>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spans="1:26" ht="17.399999999999999" x14ac:dyDescent="0.3">
      <c r="A2144" s="10"/>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spans="1:26" ht="17.399999999999999" x14ac:dyDescent="0.3">
      <c r="A2145" s="10"/>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spans="1:26" ht="17.399999999999999" x14ac:dyDescent="0.3">
      <c r="A2146" s="10"/>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spans="1:26" ht="17.399999999999999" x14ac:dyDescent="0.3">
      <c r="A2147" s="10"/>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spans="1:26" ht="17.399999999999999" x14ac:dyDescent="0.3">
      <c r="A2148" s="10"/>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spans="1:26" ht="17.399999999999999" x14ac:dyDescent="0.3">
      <c r="A2149" s="10"/>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spans="1:26" ht="17.399999999999999" x14ac:dyDescent="0.3">
      <c r="A2150" s="10"/>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spans="1:26" ht="17.399999999999999" x14ac:dyDescent="0.3">
      <c r="A2151" s="10"/>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spans="1:26" ht="17.399999999999999" x14ac:dyDescent="0.3">
      <c r="A2152" s="10"/>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spans="1:26" ht="17.399999999999999" x14ac:dyDescent="0.3">
      <c r="A2153" s="10"/>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spans="1:26" ht="17.399999999999999" x14ac:dyDescent="0.3">
      <c r="A2154" s="10"/>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spans="1:26" ht="17.399999999999999" x14ac:dyDescent="0.3">
      <c r="A2155" s="10"/>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spans="1:26" ht="17.399999999999999" x14ac:dyDescent="0.3">
      <c r="A2156" s="10"/>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spans="1:26" ht="17.399999999999999" x14ac:dyDescent="0.3">
      <c r="A2157" s="10"/>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spans="1:26" ht="17.399999999999999" x14ac:dyDescent="0.3">
      <c r="A2158" s="10"/>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spans="1:26" ht="17.399999999999999" x14ac:dyDescent="0.3">
      <c r="A2159" s="10"/>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spans="1:26" ht="17.399999999999999" x14ac:dyDescent="0.3">
      <c r="A2160" s="10"/>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spans="1:26" ht="17.399999999999999" x14ac:dyDescent="0.3">
      <c r="A2161" s="10"/>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spans="1:26" ht="17.399999999999999" x14ac:dyDescent="0.3">
      <c r="A2162" s="10"/>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spans="1:26" ht="17.399999999999999" x14ac:dyDescent="0.3">
      <c r="A2163" s="10"/>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spans="1:26" ht="17.399999999999999" x14ac:dyDescent="0.3">
      <c r="A2164" s="10"/>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spans="1:26" ht="17.399999999999999" x14ac:dyDescent="0.3">
      <c r="A2165" s="10"/>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spans="1:26" ht="17.399999999999999" x14ac:dyDescent="0.3">
      <c r="A2166" s="10"/>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spans="1:26" ht="17.399999999999999" x14ac:dyDescent="0.3">
      <c r="A2167" s="10"/>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spans="1:26" ht="17.399999999999999" x14ac:dyDescent="0.3">
      <c r="A2168" s="10"/>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spans="1:26" ht="17.399999999999999" x14ac:dyDescent="0.3">
      <c r="A2169" s="10"/>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spans="1:26" ht="17.399999999999999" x14ac:dyDescent="0.3">
      <c r="A2170" s="10"/>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spans="1:26" ht="17.399999999999999" x14ac:dyDescent="0.3">
      <c r="A2171" s="10"/>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spans="1:26" ht="17.399999999999999" x14ac:dyDescent="0.3">
      <c r="A2172" s="10"/>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spans="1:26" ht="17.399999999999999" x14ac:dyDescent="0.3">
      <c r="A2173" s="10"/>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spans="1:26" ht="17.399999999999999" x14ac:dyDescent="0.3">
      <c r="A2174" s="10"/>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spans="1:26" ht="17.399999999999999" x14ac:dyDescent="0.3">
      <c r="A2175" s="10"/>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spans="1:26" ht="17.399999999999999" x14ac:dyDescent="0.3">
      <c r="A2176" s="10"/>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spans="1:26" ht="17.399999999999999" x14ac:dyDescent="0.3">
      <c r="A2177" s="10"/>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spans="1:26" ht="17.399999999999999" x14ac:dyDescent="0.3">
      <c r="A2178" s="10"/>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spans="1:26" ht="17.399999999999999" x14ac:dyDescent="0.3">
      <c r="A2179" s="10"/>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spans="1:26" ht="17.399999999999999" x14ac:dyDescent="0.3">
      <c r="A2180" s="10"/>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spans="1:26" ht="17.399999999999999" x14ac:dyDescent="0.3">
      <c r="A2181" s="10"/>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spans="1:26" ht="17.399999999999999" x14ac:dyDescent="0.3">
      <c r="A2182" s="10"/>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spans="1:26" ht="17.399999999999999" x14ac:dyDescent="0.3">
      <c r="A2183" s="10"/>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spans="1:26" ht="17.399999999999999" x14ac:dyDescent="0.3">
      <c r="A2184" s="10"/>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spans="1:26" ht="17.399999999999999" x14ac:dyDescent="0.3">
      <c r="A2185" s="10"/>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spans="1:26" ht="17.399999999999999" x14ac:dyDescent="0.3">
      <c r="A2186" s="10"/>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spans="1:26" ht="17.399999999999999" x14ac:dyDescent="0.3">
      <c r="A2187" s="10"/>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spans="1:26" ht="17.399999999999999" x14ac:dyDescent="0.3">
      <c r="A2188" s="10"/>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spans="1:26" ht="17.399999999999999" x14ac:dyDescent="0.3">
      <c r="A2189" s="10"/>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spans="1:26" ht="17.399999999999999" x14ac:dyDescent="0.3">
      <c r="A2190" s="10"/>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spans="1:26" ht="17.399999999999999" x14ac:dyDescent="0.3">
      <c r="A2191" s="10"/>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spans="1:26" ht="17.399999999999999" x14ac:dyDescent="0.3">
      <c r="A2192" s="10"/>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spans="1:26" ht="17.399999999999999" x14ac:dyDescent="0.3">
      <c r="A2193" s="10"/>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spans="1:26" ht="17.399999999999999" x14ac:dyDescent="0.3">
      <c r="A2194" s="10"/>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spans="1:26" ht="17.399999999999999" x14ac:dyDescent="0.3">
      <c r="A2195" s="10"/>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spans="1:26" ht="17.399999999999999" x14ac:dyDescent="0.3">
      <c r="A2196" s="10"/>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spans="1:26" ht="17.399999999999999" x14ac:dyDescent="0.3">
      <c r="A2197" s="10"/>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spans="1:26" ht="17.399999999999999" x14ac:dyDescent="0.3">
      <c r="A2198" s="10"/>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spans="1:26" ht="17.399999999999999" x14ac:dyDescent="0.3">
      <c r="A2199" s="10"/>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spans="1:26" ht="17.399999999999999" x14ac:dyDescent="0.3">
      <c r="A2200" s="10"/>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spans="1:26" ht="17.399999999999999" x14ac:dyDescent="0.3">
      <c r="A2201" s="10"/>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spans="1:26" ht="17.399999999999999" x14ac:dyDescent="0.3">
      <c r="A2202" s="10"/>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spans="1:26" ht="17.399999999999999" x14ac:dyDescent="0.3">
      <c r="A2203" s="10"/>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spans="1:26" ht="17.399999999999999" x14ac:dyDescent="0.3">
      <c r="A2204" s="10"/>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spans="1:26" ht="17.399999999999999" x14ac:dyDescent="0.3">
      <c r="A2205" s="10"/>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spans="1:26" ht="17.399999999999999" x14ac:dyDescent="0.3">
      <c r="A2206" s="10"/>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spans="1:26" ht="17.399999999999999" x14ac:dyDescent="0.3">
      <c r="A2207" s="10"/>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spans="1:26" ht="17.399999999999999" x14ac:dyDescent="0.3">
      <c r="A2208" s="10"/>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spans="1:26" ht="17.399999999999999" x14ac:dyDescent="0.3">
      <c r="A2209" s="10"/>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spans="1:26" ht="17.399999999999999" x14ac:dyDescent="0.3">
      <c r="A2210" s="10"/>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spans="1:26" ht="17.399999999999999" x14ac:dyDescent="0.3">
      <c r="A2211" s="10"/>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spans="1:26" ht="17.399999999999999" x14ac:dyDescent="0.3">
      <c r="A2212" s="10"/>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spans="1:26" ht="17.399999999999999" x14ac:dyDescent="0.3">
      <c r="A2213" s="10"/>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spans="1:26" ht="17.399999999999999" x14ac:dyDescent="0.3">
      <c r="A2214" s="10"/>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spans="1:26" ht="17.399999999999999" x14ac:dyDescent="0.3">
      <c r="A2215" s="10"/>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spans="1:26" ht="17.399999999999999" x14ac:dyDescent="0.3">
      <c r="A2216" s="10"/>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spans="1:26" ht="17.399999999999999" x14ac:dyDescent="0.3">
      <c r="A2217" s="10"/>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spans="1:26" ht="17.399999999999999" x14ac:dyDescent="0.3">
      <c r="A2218" s="10"/>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spans="1:26" ht="17.399999999999999" x14ac:dyDescent="0.3">
      <c r="A2219" s="10"/>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spans="1:26" ht="17.399999999999999" x14ac:dyDescent="0.3">
      <c r="A2220" s="10"/>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spans="1:26" ht="17.399999999999999" x14ac:dyDescent="0.3">
      <c r="A2221" s="10"/>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spans="1:26" ht="17.399999999999999" x14ac:dyDescent="0.3">
      <c r="A2222" s="10"/>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spans="1:26" ht="17.399999999999999" x14ac:dyDescent="0.3">
      <c r="A2223" s="10"/>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spans="1:26" ht="17.399999999999999" x14ac:dyDescent="0.3">
      <c r="A2224" s="10"/>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spans="1:26" ht="17.399999999999999" x14ac:dyDescent="0.3">
      <c r="A2225" s="10"/>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spans="1:26" ht="17.399999999999999" x14ac:dyDescent="0.3">
      <c r="A2226" s="10"/>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spans="1:26" ht="17.399999999999999" x14ac:dyDescent="0.3">
      <c r="A2227" s="10"/>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spans="1:26" ht="17.399999999999999" x14ac:dyDescent="0.3">
      <c r="A2228" s="10"/>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spans="1:26" ht="17.399999999999999" x14ac:dyDescent="0.3">
      <c r="A2229" s="10"/>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spans="1:26" ht="17.399999999999999" x14ac:dyDescent="0.3">
      <c r="A2230" s="10"/>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spans="1:26" ht="17.399999999999999" x14ac:dyDescent="0.3">
      <c r="A2231" s="10"/>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spans="1:26" ht="17.399999999999999" x14ac:dyDescent="0.3">
      <c r="A2232" s="10"/>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spans="1:26" ht="17.399999999999999" x14ac:dyDescent="0.3">
      <c r="A2233" s="10"/>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spans="1:26" ht="17.399999999999999" x14ac:dyDescent="0.3">
      <c r="A2234" s="10"/>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spans="1:26" ht="17.399999999999999" x14ac:dyDescent="0.3">
      <c r="A2235" s="10"/>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spans="1:26" ht="17.399999999999999" x14ac:dyDescent="0.3">
      <c r="A2236" s="10"/>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spans="1:26" ht="17.399999999999999" x14ac:dyDescent="0.3">
      <c r="A2237" s="10"/>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spans="1:26" ht="17.399999999999999" x14ac:dyDescent="0.3">
      <c r="A2238" s="10"/>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spans="1:26" ht="17.399999999999999" x14ac:dyDescent="0.3">
      <c r="A2239" s="10"/>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spans="1:26" ht="17.399999999999999" x14ac:dyDescent="0.3">
      <c r="A2240" s="10"/>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spans="1:26" ht="17.399999999999999" x14ac:dyDescent="0.3">
      <c r="A2241" s="10"/>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spans="1:26" ht="17.399999999999999" x14ac:dyDescent="0.3">
      <c r="A2242" s="10"/>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spans="1:26" ht="17.399999999999999" x14ac:dyDescent="0.3">
      <c r="A2243" s="10"/>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spans="1:26" ht="17.399999999999999" x14ac:dyDescent="0.3">
      <c r="A2244" s="10"/>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spans="1:26" ht="17.399999999999999" x14ac:dyDescent="0.3">
      <c r="A2245" s="10"/>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spans="1:26" ht="17.399999999999999" x14ac:dyDescent="0.3">
      <c r="A2246" s="10"/>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spans="1:26" ht="17.399999999999999" x14ac:dyDescent="0.3">
      <c r="A2247" s="10"/>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spans="1:26" ht="17.399999999999999" x14ac:dyDescent="0.3">
      <c r="A2248" s="10"/>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spans="1:26" ht="17.399999999999999" x14ac:dyDescent="0.3">
      <c r="A2249" s="10"/>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spans="1:26" ht="17.399999999999999" x14ac:dyDescent="0.3">
      <c r="A2250" s="10"/>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spans="1:26" ht="17.399999999999999" x14ac:dyDescent="0.3">
      <c r="A2251" s="10"/>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spans="1:26" ht="17.399999999999999" x14ac:dyDescent="0.3">
      <c r="A2252" s="10"/>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spans="1:26" ht="17.399999999999999" x14ac:dyDescent="0.3">
      <c r="A2253" s="10"/>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spans="1:26" ht="17.399999999999999" x14ac:dyDescent="0.3">
      <c r="A2254" s="10"/>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spans="1:26" ht="17.399999999999999" x14ac:dyDescent="0.3">
      <c r="A2255" s="10"/>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spans="1:26" ht="17.399999999999999" x14ac:dyDescent="0.3">
      <c r="A2256" s="10"/>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spans="1:26" ht="17.399999999999999" x14ac:dyDescent="0.3">
      <c r="A2257" s="10"/>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spans="1:26" ht="17.399999999999999" x14ac:dyDescent="0.3">
      <c r="A2258" s="10"/>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spans="1:26" ht="17.399999999999999" x14ac:dyDescent="0.3">
      <c r="A2259" s="10"/>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spans="1:26" ht="17.399999999999999" x14ac:dyDescent="0.3">
      <c r="A2260" s="10"/>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spans="1:26" ht="17.399999999999999" x14ac:dyDescent="0.3">
      <c r="A2261" s="10"/>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spans="1:26" ht="17.399999999999999" x14ac:dyDescent="0.3">
      <c r="A2262" s="10"/>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spans="1:26" ht="17.399999999999999" x14ac:dyDescent="0.3">
      <c r="A2263" s="10"/>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spans="1:26" ht="17.399999999999999" x14ac:dyDescent="0.3">
      <c r="A2264" s="10"/>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spans="1:26" ht="17.399999999999999" x14ac:dyDescent="0.3">
      <c r="A2265" s="10"/>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spans="1:26" ht="17.399999999999999" x14ac:dyDescent="0.3">
      <c r="A2266" s="10"/>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spans="1:26" ht="17.399999999999999" x14ac:dyDescent="0.3">
      <c r="A2267" s="10"/>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spans="1:26" ht="17.399999999999999" x14ac:dyDescent="0.3">
      <c r="A2268" s="10"/>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spans="1:26" ht="17.399999999999999" x14ac:dyDescent="0.3">
      <c r="A2269" s="10"/>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spans="1:26" ht="17.399999999999999" x14ac:dyDescent="0.3">
      <c r="A2270" s="10"/>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spans="1:26" ht="17.399999999999999" x14ac:dyDescent="0.3">
      <c r="A2271" s="10"/>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spans="1:26" ht="17.399999999999999" x14ac:dyDescent="0.3">
      <c r="A2272" s="10"/>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spans="1:26" ht="17.399999999999999" x14ac:dyDescent="0.3">
      <c r="A2273" s="10"/>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spans="1:26" ht="17.399999999999999" x14ac:dyDescent="0.3">
      <c r="A2274" s="10"/>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spans="1:26" ht="17.399999999999999" x14ac:dyDescent="0.3">
      <c r="A2275" s="10"/>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spans="1:26" ht="17.399999999999999" x14ac:dyDescent="0.3">
      <c r="A2276" s="10"/>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spans="1:26" ht="17.399999999999999" x14ac:dyDescent="0.3">
      <c r="A2277" s="10"/>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spans="1:26" ht="17.399999999999999" x14ac:dyDescent="0.3">
      <c r="A2278" s="10"/>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spans="1:26" ht="17.399999999999999" x14ac:dyDescent="0.3">
      <c r="A2279" s="10"/>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spans="1:26" ht="17.399999999999999" x14ac:dyDescent="0.3">
      <c r="A2280" s="10"/>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spans="1:26" ht="17.399999999999999" x14ac:dyDescent="0.3">
      <c r="A2281" s="10"/>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spans="1:26" ht="17.399999999999999" x14ac:dyDescent="0.3">
      <c r="A2282" s="10"/>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spans="1:26" ht="17.399999999999999" x14ac:dyDescent="0.3">
      <c r="A2283" s="10"/>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spans="1:26" ht="17.399999999999999" x14ac:dyDescent="0.3">
      <c r="A2284" s="10"/>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spans="1:26" ht="17.399999999999999" x14ac:dyDescent="0.3">
      <c r="A2285" s="10"/>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spans="1:26" ht="17.399999999999999" x14ac:dyDescent="0.3">
      <c r="A2286" s="10"/>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spans="1:26" ht="17.399999999999999" x14ac:dyDescent="0.3">
      <c r="A2287" s="10"/>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spans="1:26" ht="17.399999999999999" x14ac:dyDescent="0.3">
      <c r="A2288" s="10"/>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spans="1:26" ht="17.399999999999999" x14ac:dyDescent="0.3">
      <c r="A2289" s="10"/>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spans="1:26" ht="17.399999999999999" x14ac:dyDescent="0.3">
      <c r="A2290" s="10"/>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spans="1:26" ht="17.399999999999999" x14ac:dyDescent="0.3">
      <c r="A2291" s="10"/>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spans="1:26" ht="17.399999999999999" x14ac:dyDescent="0.3">
      <c r="A2292" s="10"/>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spans="1:26" ht="17.399999999999999" x14ac:dyDescent="0.3">
      <c r="A2293" s="10"/>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spans="1:26" ht="17.399999999999999" x14ac:dyDescent="0.3">
      <c r="A2294" s="10"/>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spans="1:26" ht="17.399999999999999" x14ac:dyDescent="0.3">
      <c r="A2295" s="10"/>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spans="1:26" ht="17.399999999999999" x14ac:dyDescent="0.3">
      <c r="A2296" s="10"/>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spans="1:26" ht="17.399999999999999" x14ac:dyDescent="0.3">
      <c r="A2297" s="10"/>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spans="1:26" ht="17.399999999999999" x14ac:dyDescent="0.3">
      <c r="A2298" s="10"/>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spans="1:26" ht="17.399999999999999" x14ac:dyDescent="0.3">
      <c r="A2299" s="10"/>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spans="1:26" ht="17.399999999999999" x14ac:dyDescent="0.3">
      <c r="A2300" s="10"/>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spans="1:26" ht="17.399999999999999" x14ac:dyDescent="0.3">
      <c r="A2301" s="10"/>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spans="1:26" ht="17.399999999999999" x14ac:dyDescent="0.3">
      <c r="A2302" s="10"/>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spans="1:26" ht="17.399999999999999" x14ac:dyDescent="0.3">
      <c r="A2303" s="10"/>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spans="1:26" ht="17.399999999999999" x14ac:dyDescent="0.3">
      <c r="A2304" s="10"/>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spans="1:26" ht="17.399999999999999" x14ac:dyDescent="0.3">
      <c r="A2305" s="10"/>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spans="1:26" ht="17.399999999999999" x14ac:dyDescent="0.3">
      <c r="A2306" s="10"/>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spans="1:26" ht="17.399999999999999" x14ac:dyDescent="0.3">
      <c r="A2307" s="10"/>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spans="1:26" ht="17.399999999999999" x14ac:dyDescent="0.3">
      <c r="A2308" s="10"/>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spans="1:26" ht="17.399999999999999" x14ac:dyDescent="0.3">
      <c r="A2309" s="10"/>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spans="1:26" ht="17.399999999999999" x14ac:dyDescent="0.3">
      <c r="A2310" s="10"/>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spans="1:26" ht="17.399999999999999" x14ac:dyDescent="0.3">
      <c r="A2311" s="10"/>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spans="1:26" ht="17.399999999999999" x14ac:dyDescent="0.3">
      <c r="A2312" s="10"/>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spans="1:26" ht="17.399999999999999" x14ac:dyDescent="0.3">
      <c r="A2313" s="10"/>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spans="1:26" ht="17.399999999999999" x14ac:dyDescent="0.3">
      <c r="A2314" s="10"/>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spans="1:26" ht="17.399999999999999" x14ac:dyDescent="0.3">
      <c r="A2315" s="10"/>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spans="1:26" ht="17.399999999999999" x14ac:dyDescent="0.3">
      <c r="A2316" s="10"/>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spans="1:26" ht="17.399999999999999" x14ac:dyDescent="0.3">
      <c r="A2317" s="10"/>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spans="1:26" ht="17.399999999999999" x14ac:dyDescent="0.3">
      <c r="A2318" s="10"/>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spans="1:26" ht="17.399999999999999" x14ac:dyDescent="0.3">
      <c r="A2319" s="10"/>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spans="1:26" ht="17.399999999999999" x14ac:dyDescent="0.3">
      <c r="A2320" s="10"/>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spans="1:26" ht="17.399999999999999" x14ac:dyDescent="0.3">
      <c r="A2321" s="10"/>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spans="1:26" ht="17.399999999999999" x14ac:dyDescent="0.3">
      <c r="A2322" s="10"/>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spans="1:26" ht="17.399999999999999" x14ac:dyDescent="0.3">
      <c r="A2323" s="10"/>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spans="1:26" ht="17.399999999999999" x14ac:dyDescent="0.3">
      <c r="A2324" s="10"/>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spans="1:26" ht="17.399999999999999" x14ac:dyDescent="0.3">
      <c r="A2325" s="10"/>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spans="1:26" ht="17.399999999999999" x14ac:dyDescent="0.3">
      <c r="A2326" s="10"/>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spans="1:26" ht="17.399999999999999" x14ac:dyDescent="0.3">
      <c r="A2327" s="10"/>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spans="1:26" ht="17.399999999999999" x14ac:dyDescent="0.3">
      <c r="A2328" s="10"/>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spans="1:26" ht="17.399999999999999" x14ac:dyDescent="0.3">
      <c r="A2329" s="10"/>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spans="1:26" ht="17.399999999999999" x14ac:dyDescent="0.3">
      <c r="A2330" s="10"/>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spans="1:26" ht="17.399999999999999" x14ac:dyDescent="0.3">
      <c r="A2331" s="10"/>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spans="1:26" ht="17.399999999999999" x14ac:dyDescent="0.3">
      <c r="A2332" s="10"/>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spans="1:26" ht="17.399999999999999" x14ac:dyDescent="0.3">
      <c r="A2333" s="10"/>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spans="1:26" ht="17.399999999999999" x14ac:dyDescent="0.3">
      <c r="A2334" s="10"/>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spans="1:26" ht="17.399999999999999" x14ac:dyDescent="0.3">
      <c r="A2335" s="10"/>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spans="1:26" ht="17.399999999999999" x14ac:dyDescent="0.3">
      <c r="A2336" s="10"/>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spans="1:26" ht="17.399999999999999" x14ac:dyDescent="0.3">
      <c r="A2337" s="10"/>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spans="1:26" ht="17.399999999999999" x14ac:dyDescent="0.3">
      <c r="A2338" s="10"/>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spans="1:26" ht="17.399999999999999" x14ac:dyDescent="0.3">
      <c r="A2339" s="10"/>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spans="1:26" ht="17.399999999999999" x14ac:dyDescent="0.3">
      <c r="A2340" s="10"/>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spans="1:26" ht="17.399999999999999" x14ac:dyDescent="0.3">
      <c r="A2341" s="10"/>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spans="1:26" ht="17.399999999999999" x14ac:dyDescent="0.3">
      <c r="A2342" s="10"/>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spans="1:26" ht="17.399999999999999" x14ac:dyDescent="0.3">
      <c r="A2343" s="10"/>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spans="1:26" ht="17.399999999999999" x14ac:dyDescent="0.3">
      <c r="A2344" s="10"/>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spans="1:26" ht="17.399999999999999" x14ac:dyDescent="0.3">
      <c r="A2345" s="10"/>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spans="1:26" ht="17.399999999999999" x14ac:dyDescent="0.3">
      <c r="A2346" s="10"/>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spans="1:26" ht="17.399999999999999" x14ac:dyDescent="0.3">
      <c r="A2347" s="10"/>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spans="1:26" ht="17.399999999999999" x14ac:dyDescent="0.3">
      <c r="A2348" s="10"/>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spans="1:26" ht="17.399999999999999" x14ac:dyDescent="0.3">
      <c r="A2349" s="10"/>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spans="1:26" ht="17.399999999999999" x14ac:dyDescent="0.3">
      <c r="A2350" s="10"/>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spans="1:26" ht="17.399999999999999" x14ac:dyDescent="0.3">
      <c r="A2351" s="10"/>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spans="1:26" ht="17.399999999999999" x14ac:dyDescent="0.3">
      <c r="A2352" s="10"/>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spans="1:26" ht="17.399999999999999" x14ac:dyDescent="0.3">
      <c r="A2353" s="10"/>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spans="1:26" ht="17.399999999999999" x14ac:dyDescent="0.3">
      <c r="A2354" s="10"/>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spans="1:26" ht="17.399999999999999" x14ac:dyDescent="0.3">
      <c r="A2355" s="10"/>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spans="1:26" ht="17.399999999999999" x14ac:dyDescent="0.3">
      <c r="A2356" s="10"/>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spans="1:26" ht="17.399999999999999" x14ac:dyDescent="0.3">
      <c r="A2357" s="10"/>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spans="1:26" ht="17.399999999999999" x14ac:dyDescent="0.3">
      <c r="A2358" s="10"/>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spans="1:26" ht="17.399999999999999" x14ac:dyDescent="0.3">
      <c r="A2359" s="10"/>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spans="1:26" ht="17.399999999999999" x14ac:dyDescent="0.3">
      <c r="A2360" s="10"/>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spans="1:26" ht="17.399999999999999" x14ac:dyDescent="0.3">
      <c r="A2361" s="10"/>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spans="1:26" ht="17.399999999999999" x14ac:dyDescent="0.3">
      <c r="A2362" s="10"/>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spans="1:26" ht="17.399999999999999" x14ac:dyDescent="0.3">
      <c r="A2363" s="10"/>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spans="1:26" ht="17.399999999999999" x14ac:dyDescent="0.3">
      <c r="A2364" s="10"/>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spans="1:26" ht="17.399999999999999" x14ac:dyDescent="0.3">
      <c r="A2365" s="10"/>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spans="1:26" ht="17.399999999999999" x14ac:dyDescent="0.3">
      <c r="A2366" s="10"/>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spans="1:26" ht="17.399999999999999" x14ac:dyDescent="0.3">
      <c r="A2367" s="10"/>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spans="1:26" ht="17.399999999999999" x14ac:dyDescent="0.3">
      <c r="A2368" s="10"/>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spans="1:26" ht="17.399999999999999" x14ac:dyDescent="0.3">
      <c r="A2369" s="10"/>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spans="1:26" ht="17.399999999999999" x14ac:dyDescent="0.3">
      <c r="A2370" s="10"/>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spans="1:26" ht="17.399999999999999" x14ac:dyDescent="0.3">
      <c r="A2371" s="10"/>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spans="1:26" ht="17.399999999999999" x14ac:dyDescent="0.3">
      <c r="A2372" s="10"/>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spans="1:26" ht="17.399999999999999" x14ac:dyDescent="0.3">
      <c r="A2373" s="10"/>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spans="1:26" ht="17.399999999999999" x14ac:dyDescent="0.3">
      <c r="A2374" s="10"/>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spans="1:26" ht="17.399999999999999" x14ac:dyDescent="0.3">
      <c r="A2375" s="10"/>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spans="1:26" ht="17.399999999999999" x14ac:dyDescent="0.3">
      <c r="A2376" s="10"/>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spans="1:26" ht="17.399999999999999" x14ac:dyDescent="0.3">
      <c r="A2377" s="10"/>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spans="1:26" ht="17.399999999999999" x14ac:dyDescent="0.3">
      <c r="A2378" s="10"/>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spans="1:26" ht="17.399999999999999" x14ac:dyDescent="0.3">
      <c r="A2379" s="10"/>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spans="1:26" ht="17.399999999999999" x14ac:dyDescent="0.3">
      <c r="A2380" s="10"/>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spans="1:26" ht="17.399999999999999" x14ac:dyDescent="0.3">
      <c r="A2381" s="10"/>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spans="1:26" ht="17.399999999999999" x14ac:dyDescent="0.3">
      <c r="A2382" s="10"/>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spans="1:26" ht="17.399999999999999" x14ac:dyDescent="0.3">
      <c r="A2383" s="10"/>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spans="1:26" ht="17.399999999999999" x14ac:dyDescent="0.3">
      <c r="A2384" s="10"/>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spans="1:26" ht="17.399999999999999" x14ac:dyDescent="0.3">
      <c r="A2385" s="10"/>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spans="1:26" ht="17.399999999999999" x14ac:dyDescent="0.3">
      <c r="A2386" s="10"/>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spans="1:26" ht="17.399999999999999" x14ac:dyDescent="0.3">
      <c r="A2387" s="10"/>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spans="1:26" ht="17.399999999999999" x14ac:dyDescent="0.3">
      <c r="A2388" s="10"/>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spans="1:26" ht="17.399999999999999" x14ac:dyDescent="0.3">
      <c r="A2389" s="10"/>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spans="1:26" ht="17.399999999999999" x14ac:dyDescent="0.3">
      <c r="A2390" s="10"/>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spans="1:26" ht="17.399999999999999" x14ac:dyDescent="0.3">
      <c r="A2391" s="10"/>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spans="1:26" ht="17.399999999999999" x14ac:dyDescent="0.3">
      <c r="A2392" s="10"/>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spans="1:26" ht="17.399999999999999" x14ac:dyDescent="0.3">
      <c r="A2393" s="10"/>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spans="1:26" ht="17.399999999999999" x14ac:dyDescent="0.3">
      <c r="A2394" s="10"/>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spans="1:26" ht="17.399999999999999" x14ac:dyDescent="0.3">
      <c r="A2395" s="10"/>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spans="1:26" ht="17.399999999999999" x14ac:dyDescent="0.3">
      <c r="A2396" s="10"/>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spans="1:26" ht="17.399999999999999" x14ac:dyDescent="0.3">
      <c r="A2397" s="10"/>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spans="1:26" ht="17.399999999999999" x14ac:dyDescent="0.3">
      <c r="A2398" s="10"/>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spans="1:26" ht="17.399999999999999" x14ac:dyDescent="0.3">
      <c r="A2399" s="10"/>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spans="1:26" ht="17.399999999999999" x14ac:dyDescent="0.3">
      <c r="A2400" s="10"/>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spans="1:26" ht="17.399999999999999" x14ac:dyDescent="0.3">
      <c r="A2401" s="10"/>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spans="1:26" ht="17.399999999999999" x14ac:dyDescent="0.3">
      <c r="A2402" s="10"/>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spans="1:26" ht="17.399999999999999" x14ac:dyDescent="0.3">
      <c r="A2403" s="10"/>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spans="1:26" ht="17.399999999999999" x14ac:dyDescent="0.3">
      <c r="A2404" s="10"/>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spans="1:26" ht="17.399999999999999" x14ac:dyDescent="0.3">
      <c r="A2405" s="10"/>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spans="1:26" ht="17.399999999999999" x14ac:dyDescent="0.3">
      <c r="A2406" s="10"/>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spans="1:26" ht="17.399999999999999" x14ac:dyDescent="0.3">
      <c r="A2407" s="10"/>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spans="1:26" ht="17.399999999999999" x14ac:dyDescent="0.3">
      <c r="A2408" s="10"/>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spans="1:26" ht="17.399999999999999" x14ac:dyDescent="0.3">
      <c r="A2409" s="10"/>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spans="1:26" ht="17.399999999999999" x14ac:dyDescent="0.3">
      <c r="A2410" s="10"/>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spans="1:26" ht="17.399999999999999" x14ac:dyDescent="0.3">
      <c r="A2411" s="10"/>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spans="1:26" ht="17.399999999999999" x14ac:dyDescent="0.3">
      <c r="A2412" s="10"/>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spans="1:26" ht="17.399999999999999" x14ac:dyDescent="0.3">
      <c r="A2413" s="10"/>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spans="1:26" ht="17.399999999999999" x14ac:dyDescent="0.3">
      <c r="A2414" s="10"/>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spans="1:26" ht="17.399999999999999" x14ac:dyDescent="0.3">
      <c r="A2415" s="10"/>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spans="1:26" ht="17.399999999999999" x14ac:dyDescent="0.3">
      <c r="A2416" s="10"/>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spans="1:26" ht="17.399999999999999" x14ac:dyDescent="0.3">
      <c r="A2417" s="10"/>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spans="1:26" ht="17.399999999999999" x14ac:dyDescent="0.3">
      <c r="A2418" s="10"/>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spans="1:26" ht="17.399999999999999" x14ac:dyDescent="0.3">
      <c r="A2419" s="10"/>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spans="1:26" ht="17.399999999999999" x14ac:dyDescent="0.3">
      <c r="A2420" s="10"/>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spans="1:26" ht="17.399999999999999" x14ac:dyDescent="0.3">
      <c r="A2421" s="10"/>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spans="1:26" ht="17.399999999999999" x14ac:dyDescent="0.3">
      <c r="A2422" s="10"/>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spans="1:26" ht="17.399999999999999" x14ac:dyDescent="0.3">
      <c r="A2423" s="10"/>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spans="1:26" ht="17.399999999999999" x14ac:dyDescent="0.3">
      <c r="A2424" s="10"/>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spans="1:26" ht="17.399999999999999" x14ac:dyDescent="0.3">
      <c r="A2425" s="10"/>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spans="1:26" ht="17.399999999999999" x14ac:dyDescent="0.3">
      <c r="A2426" s="10"/>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spans="1:26" ht="17.399999999999999" x14ac:dyDescent="0.3">
      <c r="A2427" s="10"/>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spans="1:26" ht="17.399999999999999" x14ac:dyDescent="0.3">
      <c r="A2428" s="10"/>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spans="1:26" ht="17.399999999999999" x14ac:dyDescent="0.3">
      <c r="A2429" s="10"/>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spans="1:26" ht="17.399999999999999" x14ac:dyDescent="0.3">
      <c r="A2430" s="10"/>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spans="1:26" ht="17.399999999999999" x14ac:dyDescent="0.3">
      <c r="A2431" s="10"/>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spans="1:26" ht="17.399999999999999" x14ac:dyDescent="0.3">
      <c r="A2432" s="10"/>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spans="1:26" ht="17.399999999999999" x14ac:dyDescent="0.3">
      <c r="A2433" s="10"/>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spans="1:26" ht="17.399999999999999" x14ac:dyDescent="0.3">
      <c r="A2434" s="10"/>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spans="1:26" ht="17.399999999999999" x14ac:dyDescent="0.3">
      <c r="A2435" s="10"/>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spans="1:26" ht="17.399999999999999" x14ac:dyDescent="0.3">
      <c r="A2436" s="10"/>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spans="1:26" ht="17.399999999999999" x14ac:dyDescent="0.3">
      <c r="A2437" s="10"/>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spans="1:26" ht="17.399999999999999" x14ac:dyDescent="0.3">
      <c r="A2438" s="10"/>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spans="1:26" ht="17.399999999999999" x14ac:dyDescent="0.3">
      <c r="A2439" s="10"/>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spans="1:26" ht="17.399999999999999" x14ac:dyDescent="0.3">
      <c r="A2440" s="10"/>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spans="1:26" ht="17.399999999999999" x14ac:dyDescent="0.3">
      <c r="A2441" s="10"/>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spans="1:26" ht="17.399999999999999" x14ac:dyDescent="0.3">
      <c r="A2442" s="10"/>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spans="1:26" ht="17.399999999999999" x14ac:dyDescent="0.3">
      <c r="A2443" s="10"/>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spans="1:26" ht="17.399999999999999" x14ac:dyDescent="0.3">
      <c r="A2444" s="10"/>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spans="1:26" ht="17.399999999999999" x14ac:dyDescent="0.3">
      <c r="A2445" s="10"/>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spans="1:26" ht="17.399999999999999" x14ac:dyDescent="0.3">
      <c r="A2446" s="10"/>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spans="1:26" ht="17.399999999999999" x14ac:dyDescent="0.3">
      <c r="A2447" s="10"/>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spans="1:26" ht="17.399999999999999" x14ac:dyDescent="0.3">
      <c r="A2448" s="10"/>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spans="1:26" ht="17.399999999999999" x14ac:dyDescent="0.3">
      <c r="A2449" s="10"/>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spans="1:26" ht="17.399999999999999" x14ac:dyDescent="0.3">
      <c r="A2450" s="10"/>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spans="1:26" ht="17.399999999999999" x14ac:dyDescent="0.3">
      <c r="A2451" s="10"/>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spans="1:26" ht="17.399999999999999" x14ac:dyDescent="0.3">
      <c r="A2452" s="10"/>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spans="1:26" ht="17.399999999999999" x14ac:dyDescent="0.3">
      <c r="A2453" s="10"/>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spans="1:26" ht="17.399999999999999" x14ac:dyDescent="0.3">
      <c r="A2454" s="10"/>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spans="1:26" ht="17.399999999999999" x14ac:dyDescent="0.3">
      <c r="A2455" s="10"/>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spans="1:26" ht="17.399999999999999" x14ac:dyDescent="0.3">
      <c r="A2456" s="10"/>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spans="1:26" ht="17.399999999999999" x14ac:dyDescent="0.3">
      <c r="A2457" s="10"/>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spans="1:26" ht="17.399999999999999" x14ac:dyDescent="0.3">
      <c r="A2458" s="10"/>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spans="1:26" ht="17.399999999999999" x14ac:dyDescent="0.3">
      <c r="A2459" s="10"/>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spans="1:26" ht="17.399999999999999" x14ac:dyDescent="0.3">
      <c r="A2460" s="10"/>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spans="1:26" ht="17.399999999999999" x14ac:dyDescent="0.3">
      <c r="A2461" s="10"/>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spans="1:26" ht="17.399999999999999" x14ac:dyDescent="0.3">
      <c r="A2462" s="10"/>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spans="1:26" ht="17.399999999999999" x14ac:dyDescent="0.3">
      <c r="A2463" s="10"/>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spans="1:26" ht="17.399999999999999" x14ac:dyDescent="0.3">
      <c r="A2464" s="10"/>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spans="1:26" ht="17.399999999999999" x14ac:dyDescent="0.3">
      <c r="A2465" s="10"/>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spans="1:26" ht="17.399999999999999" x14ac:dyDescent="0.3">
      <c r="A2466" s="10"/>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spans="1:26" ht="17.399999999999999" x14ac:dyDescent="0.3">
      <c r="A2467" s="10"/>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spans="1:26" ht="17.399999999999999" x14ac:dyDescent="0.3">
      <c r="A2468" s="10"/>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spans="1:26" ht="17.399999999999999" x14ac:dyDescent="0.3">
      <c r="A2469" s="10"/>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spans="1:26" ht="17.399999999999999" x14ac:dyDescent="0.3">
      <c r="A2470" s="10"/>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spans="1:26" ht="17.399999999999999" x14ac:dyDescent="0.3">
      <c r="A2471" s="10"/>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spans="1:26" ht="17.399999999999999" x14ac:dyDescent="0.3">
      <c r="A2472" s="10"/>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spans="1:26" ht="17.399999999999999" x14ac:dyDescent="0.3">
      <c r="A2473" s="10"/>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spans="1:26" ht="17.399999999999999" x14ac:dyDescent="0.3">
      <c r="A2474" s="10"/>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spans="1:26" ht="17.399999999999999" x14ac:dyDescent="0.3">
      <c r="A2475" s="10"/>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spans="1:26" ht="17.399999999999999" x14ac:dyDescent="0.3">
      <c r="A2476" s="10"/>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spans="1:26" ht="17.399999999999999" x14ac:dyDescent="0.3">
      <c r="A2477" s="10"/>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spans="1:26" ht="17.399999999999999" x14ac:dyDescent="0.3">
      <c r="A2478" s="10"/>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spans="1:26" ht="17.399999999999999" x14ac:dyDescent="0.3">
      <c r="A2479" s="10"/>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spans="1:26" ht="17.399999999999999" x14ac:dyDescent="0.3">
      <c r="A2480" s="10"/>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spans="1:26" ht="17.399999999999999" x14ac:dyDescent="0.3">
      <c r="A2481" s="10"/>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spans="1:26" ht="17.399999999999999" x14ac:dyDescent="0.3">
      <c r="A2482" s="10"/>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spans="1:26" ht="17.399999999999999" x14ac:dyDescent="0.3">
      <c r="A2483" s="10"/>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spans="1:26" ht="17.399999999999999" x14ac:dyDescent="0.3">
      <c r="A2484" s="10"/>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spans="1:26" ht="17.399999999999999" x14ac:dyDescent="0.3">
      <c r="A2485" s="10"/>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spans="1:26" ht="17.399999999999999" x14ac:dyDescent="0.3">
      <c r="A2486" s="10"/>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spans="1:26" ht="17.399999999999999" x14ac:dyDescent="0.3">
      <c r="A2487" s="10"/>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spans="1:26" ht="17.399999999999999" x14ac:dyDescent="0.3">
      <c r="A2488" s="10"/>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spans="1:26" ht="17.399999999999999" x14ac:dyDescent="0.3">
      <c r="A2489" s="10"/>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spans="1:26" ht="17.399999999999999" x14ac:dyDescent="0.3">
      <c r="A2490" s="10"/>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spans="1:26" ht="17.399999999999999" x14ac:dyDescent="0.3">
      <c r="A2491" s="10"/>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spans="1:26" ht="17.399999999999999" x14ac:dyDescent="0.3">
      <c r="A2492" s="10"/>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spans="1:26" ht="17.399999999999999" x14ac:dyDescent="0.3">
      <c r="A2493" s="10"/>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spans="1:26" ht="17.399999999999999" x14ac:dyDescent="0.3">
      <c r="A2494" s="10"/>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spans="1:26" ht="17.399999999999999" x14ac:dyDescent="0.3">
      <c r="A2495" s="10"/>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spans="1:26" ht="17.399999999999999" x14ac:dyDescent="0.3">
      <c r="A2496" s="10"/>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spans="1:26" ht="17.399999999999999" x14ac:dyDescent="0.3">
      <c r="A2497" s="10"/>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spans="1:26" ht="17.399999999999999" x14ac:dyDescent="0.3">
      <c r="A2498" s="10"/>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spans="1:26" ht="17.399999999999999" x14ac:dyDescent="0.3">
      <c r="A2499" s="10"/>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spans="1:26" ht="17.399999999999999" x14ac:dyDescent="0.3">
      <c r="A2500" s="10"/>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spans="1:26" ht="17.399999999999999" x14ac:dyDescent="0.3">
      <c r="A2501" s="10"/>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spans="1:26" ht="17.399999999999999" x14ac:dyDescent="0.3">
      <c r="A2502" s="10"/>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spans="1:26" ht="17.399999999999999" x14ac:dyDescent="0.3">
      <c r="A2503" s="10"/>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spans="1:26" ht="17.399999999999999" x14ac:dyDescent="0.3">
      <c r="A2504" s="10"/>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spans="1:26" ht="17.399999999999999" x14ac:dyDescent="0.3">
      <c r="A2505" s="10"/>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spans="1:26" ht="17.399999999999999" x14ac:dyDescent="0.3">
      <c r="A2506" s="10"/>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spans="1:26" ht="17.399999999999999" x14ac:dyDescent="0.3">
      <c r="A2507" s="10"/>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spans="1:26" ht="17.399999999999999" x14ac:dyDescent="0.3">
      <c r="A2508" s="10"/>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spans="1:26" ht="17.399999999999999" x14ac:dyDescent="0.3">
      <c r="A2509" s="10"/>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spans="1:26" ht="17.399999999999999" x14ac:dyDescent="0.3">
      <c r="A2510" s="10"/>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spans="1:26" ht="17.399999999999999" x14ac:dyDescent="0.3">
      <c r="A2511" s="10"/>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spans="1:26" ht="17.399999999999999" x14ac:dyDescent="0.3">
      <c r="A2512" s="10"/>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spans="1:26" ht="17.399999999999999" x14ac:dyDescent="0.3">
      <c r="A2513" s="10"/>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spans="1:26" ht="17.399999999999999" x14ac:dyDescent="0.3">
      <c r="A2514" s="10"/>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spans="1:26" ht="17.399999999999999" x14ac:dyDescent="0.3">
      <c r="A2515" s="10"/>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spans="1:26" ht="17.399999999999999" x14ac:dyDescent="0.3">
      <c r="A2516" s="10"/>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spans="1:26" ht="17.399999999999999" x14ac:dyDescent="0.3">
      <c r="A2517" s="10"/>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spans="1:26" ht="17.399999999999999" x14ac:dyDescent="0.3">
      <c r="A2518" s="10"/>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spans="1:26" ht="17.399999999999999" x14ac:dyDescent="0.3">
      <c r="A2519" s="10"/>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spans="1:26" ht="17.399999999999999" x14ac:dyDescent="0.3">
      <c r="A2520" s="10"/>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spans="1:26" ht="17.399999999999999" x14ac:dyDescent="0.3">
      <c r="A2521" s="10"/>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spans="1:26" ht="17.399999999999999" x14ac:dyDescent="0.3">
      <c r="A2522" s="10"/>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spans="1:26" ht="17.399999999999999" x14ac:dyDescent="0.3">
      <c r="A2523" s="10"/>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spans="1:26" ht="17.399999999999999" x14ac:dyDescent="0.3">
      <c r="A2524" s="10"/>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spans="1:26" ht="17.399999999999999" x14ac:dyDescent="0.3">
      <c r="A2525" s="10"/>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spans="1:26" ht="17.399999999999999" x14ac:dyDescent="0.3">
      <c r="A2526" s="10"/>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spans="1:26" ht="17.399999999999999" x14ac:dyDescent="0.3">
      <c r="A2527" s="10"/>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spans="1:26" ht="17.399999999999999" x14ac:dyDescent="0.3">
      <c r="A2528" s="10"/>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spans="1:26" ht="17.399999999999999" x14ac:dyDescent="0.3">
      <c r="A2529" s="10"/>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spans="1:26" ht="17.399999999999999" x14ac:dyDescent="0.3">
      <c r="A2530" s="10"/>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spans="1:26" ht="17.399999999999999" x14ac:dyDescent="0.3">
      <c r="A2531" s="10"/>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spans="1:26" ht="17.399999999999999" x14ac:dyDescent="0.3">
      <c r="A2532" s="10"/>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spans="1:26" ht="17.399999999999999" x14ac:dyDescent="0.3">
      <c r="A2533" s="10"/>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spans="1:26" ht="17.399999999999999" x14ac:dyDescent="0.3">
      <c r="A2534" s="10"/>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spans="1:26" ht="17.399999999999999" x14ac:dyDescent="0.3">
      <c r="A2535" s="10"/>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spans="1:26" ht="17.399999999999999" x14ac:dyDescent="0.3">
      <c r="A2536" s="10"/>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spans="1:26" ht="17.399999999999999" x14ac:dyDescent="0.3">
      <c r="A2537" s="10"/>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spans="1:26" ht="17.399999999999999" x14ac:dyDescent="0.3">
      <c r="A2538" s="10"/>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spans="1:26" ht="17.399999999999999" x14ac:dyDescent="0.3">
      <c r="A2539" s="10"/>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spans="1:26" ht="17.399999999999999" x14ac:dyDescent="0.3">
      <c r="A2540" s="10"/>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spans="1:26" ht="17.399999999999999" x14ac:dyDescent="0.3">
      <c r="A2541" s="10"/>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spans="1:26" ht="17.399999999999999" x14ac:dyDescent="0.3">
      <c r="A2542" s="10"/>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spans="1:26" ht="17.399999999999999" x14ac:dyDescent="0.3">
      <c r="A2543" s="10"/>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spans="1:26" ht="17.399999999999999" x14ac:dyDescent="0.3">
      <c r="A2544" s="10"/>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spans="1:26" ht="17.399999999999999" x14ac:dyDescent="0.3">
      <c r="A2545" s="10"/>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spans="1:26" ht="17.399999999999999" x14ac:dyDescent="0.3">
      <c r="A2546" s="10"/>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spans="1:26" ht="17.399999999999999" x14ac:dyDescent="0.3">
      <c r="A2547" s="10"/>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spans="1:26" ht="17.399999999999999" x14ac:dyDescent="0.3">
      <c r="A2548" s="10"/>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spans="1:26" ht="17.399999999999999" x14ac:dyDescent="0.3">
      <c r="A2549" s="10"/>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spans="1:26" ht="17.399999999999999" x14ac:dyDescent="0.3">
      <c r="A2550" s="10"/>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spans="1:26" ht="17.399999999999999" x14ac:dyDescent="0.3">
      <c r="A2551" s="10"/>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spans="1:26" ht="17.399999999999999" x14ac:dyDescent="0.3">
      <c r="A2552" s="10"/>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spans="1:26" ht="17.399999999999999" x14ac:dyDescent="0.3">
      <c r="A2553" s="10"/>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spans="1:26" ht="17.399999999999999" x14ac:dyDescent="0.3">
      <c r="A2554" s="10"/>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spans="1:26" ht="17.399999999999999" x14ac:dyDescent="0.3">
      <c r="A2555" s="10"/>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spans="1:26" ht="17.399999999999999" x14ac:dyDescent="0.3">
      <c r="A2556" s="10"/>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spans="1:26" ht="17.399999999999999" x14ac:dyDescent="0.3">
      <c r="A2557" s="10"/>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spans="1:26" ht="17.399999999999999" x14ac:dyDescent="0.3">
      <c r="A2558" s="10"/>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spans="1:26" ht="17.399999999999999" x14ac:dyDescent="0.3">
      <c r="A2559" s="10"/>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spans="1:26" ht="17.399999999999999" x14ac:dyDescent="0.3">
      <c r="A2560" s="10"/>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spans="1:26" ht="17.399999999999999" x14ac:dyDescent="0.3">
      <c r="A2561" s="10"/>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spans="1:26" ht="17.399999999999999" x14ac:dyDescent="0.3">
      <c r="A2562" s="10"/>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spans="1:26" ht="17.399999999999999" x14ac:dyDescent="0.3">
      <c r="A2563" s="10"/>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spans="1:26" ht="17.399999999999999" x14ac:dyDescent="0.3">
      <c r="A2564" s="10"/>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spans="1:26" ht="17.399999999999999" x14ac:dyDescent="0.3">
      <c r="A2565" s="10"/>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spans="1:26" ht="17.399999999999999" x14ac:dyDescent="0.3">
      <c r="A2566" s="10"/>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spans="1:26" ht="17.399999999999999" x14ac:dyDescent="0.3">
      <c r="A2567" s="10"/>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spans="1:26" ht="17.399999999999999" x14ac:dyDescent="0.3">
      <c r="A2568" s="10"/>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spans="1:26" ht="17.399999999999999" x14ac:dyDescent="0.3">
      <c r="A2569" s="10"/>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spans="1:26" ht="17.399999999999999" x14ac:dyDescent="0.3">
      <c r="A2570" s="10"/>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spans="1:26" ht="17.399999999999999" x14ac:dyDescent="0.3">
      <c r="A2571" s="10"/>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spans="1:26" ht="17.399999999999999" x14ac:dyDescent="0.3">
      <c r="A2572" s="10"/>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spans="1:26" ht="17.399999999999999" x14ac:dyDescent="0.3">
      <c r="A2573" s="10"/>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spans="1:26" ht="17.399999999999999" x14ac:dyDescent="0.3">
      <c r="A2574" s="10"/>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spans="1:26" ht="17.399999999999999" x14ac:dyDescent="0.3">
      <c r="A2575" s="10"/>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spans="1:26" ht="17.399999999999999" x14ac:dyDescent="0.3">
      <c r="A2576" s="10"/>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spans="1:26" ht="17.399999999999999" x14ac:dyDescent="0.3">
      <c r="A2577" s="10"/>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spans="1:26" ht="17.399999999999999" x14ac:dyDescent="0.3">
      <c r="A2578" s="10"/>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spans="1:26" ht="17.399999999999999" x14ac:dyDescent="0.3">
      <c r="A2579" s="10"/>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spans="1:26" ht="17.399999999999999" x14ac:dyDescent="0.3">
      <c r="A2580" s="10"/>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spans="1:26" ht="17.399999999999999" x14ac:dyDescent="0.3">
      <c r="A2581" s="10"/>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spans="1:26" ht="17.399999999999999" x14ac:dyDescent="0.3">
      <c r="A2582" s="10"/>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spans="1:26" ht="17.399999999999999" x14ac:dyDescent="0.3">
      <c r="A2583" s="10"/>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spans="1:26" ht="17.399999999999999" x14ac:dyDescent="0.3">
      <c r="A2584" s="10"/>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spans="1:26" ht="17.399999999999999" x14ac:dyDescent="0.3">
      <c r="A2585" s="10"/>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spans="1:26" ht="17.399999999999999" x14ac:dyDescent="0.3">
      <c r="A2586" s="10"/>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spans="1:26" ht="17.399999999999999" x14ac:dyDescent="0.3">
      <c r="A2587" s="10"/>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spans="1:26" ht="17.399999999999999" x14ac:dyDescent="0.3">
      <c r="A2588" s="10"/>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spans="1:26" ht="17.399999999999999" x14ac:dyDescent="0.3">
      <c r="A2589" s="10"/>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spans="1:26" ht="17.399999999999999" x14ac:dyDescent="0.3">
      <c r="A2590" s="10"/>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spans="1:26" ht="17.399999999999999" x14ac:dyDescent="0.3">
      <c r="A2591" s="10"/>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spans="1:26" ht="17.399999999999999" x14ac:dyDescent="0.3">
      <c r="A2592" s="10"/>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spans="1:26" ht="17.399999999999999" x14ac:dyDescent="0.3">
      <c r="A2593" s="10"/>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spans="1:26" ht="17.399999999999999" x14ac:dyDescent="0.3">
      <c r="A2594" s="10"/>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spans="1:26" ht="17.399999999999999" x14ac:dyDescent="0.3">
      <c r="A2595" s="10"/>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spans="1:26" ht="17.399999999999999" x14ac:dyDescent="0.3">
      <c r="A2596" s="10"/>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spans="1:26" ht="17.399999999999999" x14ac:dyDescent="0.3">
      <c r="A2597" s="10"/>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spans="1:26" ht="17.399999999999999" x14ac:dyDescent="0.3">
      <c r="A2598" s="10"/>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spans="1:26" ht="17.399999999999999" x14ac:dyDescent="0.3">
      <c r="A2599" s="10"/>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spans="1:26" ht="17.399999999999999" x14ac:dyDescent="0.3">
      <c r="A2600" s="10"/>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spans="1:26" ht="17.399999999999999" x14ac:dyDescent="0.3">
      <c r="A2601" s="10"/>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spans="1:26" ht="17.399999999999999" x14ac:dyDescent="0.3">
      <c r="A2602" s="10"/>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spans="1:26" ht="17.399999999999999" x14ac:dyDescent="0.3">
      <c r="A2603" s="10"/>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spans="1:26" ht="17.399999999999999" x14ac:dyDescent="0.3">
      <c r="A2604" s="10"/>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spans="1:26" ht="17.399999999999999" x14ac:dyDescent="0.3">
      <c r="A2605" s="10"/>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spans="1:26" ht="17.399999999999999" x14ac:dyDescent="0.3">
      <c r="A2606" s="10"/>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spans="1:26" ht="17.399999999999999" x14ac:dyDescent="0.3">
      <c r="A2607" s="10"/>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spans="1:26" ht="17.399999999999999" x14ac:dyDescent="0.3">
      <c r="A2608" s="10"/>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spans="1:26" ht="17.399999999999999" x14ac:dyDescent="0.3">
      <c r="A2609" s="10"/>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spans="1:26" ht="17.399999999999999" x14ac:dyDescent="0.3">
      <c r="A2610" s="10"/>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spans="1:26" ht="17.399999999999999" x14ac:dyDescent="0.3">
      <c r="A2611" s="10"/>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spans="1:26" ht="17.399999999999999" x14ac:dyDescent="0.3">
      <c r="A2612" s="10"/>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spans="1:26" ht="17.399999999999999" x14ac:dyDescent="0.3">
      <c r="A2613" s="10"/>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spans="1:26" ht="17.399999999999999" x14ac:dyDescent="0.3">
      <c r="A2614" s="10"/>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spans="1:26" ht="17.399999999999999" x14ac:dyDescent="0.3">
      <c r="A2615" s="10"/>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spans="1:26" ht="17.399999999999999" x14ac:dyDescent="0.3">
      <c r="A2616" s="10"/>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spans="1:26" ht="17.399999999999999" x14ac:dyDescent="0.3">
      <c r="A2617" s="10"/>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spans="1:26" ht="17.399999999999999" x14ac:dyDescent="0.3">
      <c r="A2618" s="10"/>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spans="1:26" ht="17.399999999999999" x14ac:dyDescent="0.3">
      <c r="A2619" s="10"/>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spans="1:26" ht="17.399999999999999" x14ac:dyDescent="0.3">
      <c r="A2620" s="10"/>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spans="1:26" ht="17.399999999999999" x14ac:dyDescent="0.3">
      <c r="A2621" s="10"/>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spans="1:26" ht="17.399999999999999" x14ac:dyDescent="0.3">
      <c r="A2622" s="10"/>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spans="1:26" ht="17.399999999999999" x14ac:dyDescent="0.3">
      <c r="A2623" s="10"/>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spans="1:26" ht="17.399999999999999" x14ac:dyDescent="0.3">
      <c r="A2624" s="10"/>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spans="1:26" ht="17.399999999999999" x14ac:dyDescent="0.3">
      <c r="A2625" s="10"/>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spans="1:26" ht="17.399999999999999" x14ac:dyDescent="0.3">
      <c r="A2626" s="10"/>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spans="1:26" ht="17.399999999999999" x14ac:dyDescent="0.3">
      <c r="A2627" s="10"/>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spans="1:26" ht="17.399999999999999" x14ac:dyDescent="0.3">
      <c r="A2628" s="10"/>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spans="1:26" ht="17.399999999999999" x14ac:dyDescent="0.3">
      <c r="A2629" s="10"/>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spans="1:26" ht="17.399999999999999" x14ac:dyDescent="0.3">
      <c r="A2630" s="10"/>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spans="1:26" ht="17.399999999999999" x14ac:dyDescent="0.3">
      <c r="A2631" s="10"/>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spans="1:26" ht="17.399999999999999" x14ac:dyDescent="0.3">
      <c r="A2632" s="10"/>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spans="1:26" ht="17.399999999999999" x14ac:dyDescent="0.3">
      <c r="A2633" s="10"/>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spans="1:26" ht="17.399999999999999" x14ac:dyDescent="0.3">
      <c r="A2634" s="10"/>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spans="1:26" ht="17.399999999999999" x14ac:dyDescent="0.3">
      <c r="A2635" s="10"/>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spans="1:26" ht="17.399999999999999" x14ac:dyDescent="0.3">
      <c r="A2636" s="10"/>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spans="1:26" ht="17.399999999999999" x14ac:dyDescent="0.3">
      <c r="A2637" s="10"/>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spans="1:26" ht="17.399999999999999" x14ac:dyDescent="0.3">
      <c r="A2638" s="10"/>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spans="1:26" ht="17.399999999999999" x14ac:dyDescent="0.3">
      <c r="A2639" s="10"/>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spans="1:26" ht="17.399999999999999" x14ac:dyDescent="0.3">
      <c r="A2640" s="10"/>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spans="1:26" ht="17.399999999999999" x14ac:dyDescent="0.3">
      <c r="A2641" s="10"/>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spans="1:26" ht="17.399999999999999" x14ac:dyDescent="0.3">
      <c r="A2642" s="10"/>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spans="1:26" ht="17.399999999999999" x14ac:dyDescent="0.3">
      <c r="A2643" s="10"/>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spans="1:26" ht="17.399999999999999" x14ac:dyDescent="0.3">
      <c r="A2644" s="10"/>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spans="1:26" ht="17.399999999999999" x14ac:dyDescent="0.3">
      <c r="A2645" s="10"/>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spans="1:26" ht="17.399999999999999" x14ac:dyDescent="0.3">
      <c r="A2646" s="10"/>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spans="1:26" ht="17.399999999999999" x14ac:dyDescent="0.3">
      <c r="A2647" s="10"/>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spans="1:26" ht="17.399999999999999" x14ac:dyDescent="0.3">
      <c r="A2648" s="10"/>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spans="1:26" ht="17.399999999999999" x14ac:dyDescent="0.3">
      <c r="A2649" s="10"/>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spans="1:26" ht="17.399999999999999" x14ac:dyDescent="0.3">
      <c r="A2650" s="10"/>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spans="1:26" ht="17.399999999999999" x14ac:dyDescent="0.3">
      <c r="A2651" s="10"/>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spans="1:26" ht="17.399999999999999" x14ac:dyDescent="0.3">
      <c r="A2652" s="10"/>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spans="1:26" ht="17.399999999999999" x14ac:dyDescent="0.3">
      <c r="A2653" s="10"/>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spans="1:26" ht="17.399999999999999" x14ac:dyDescent="0.3">
      <c r="A2654" s="10"/>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spans="1:26" ht="17.399999999999999" x14ac:dyDescent="0.3">
      <c r="A2655" s="10"/>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spans="1:26" ht="17.399999999999999" x14ac:dyDescent="0.3">
      <c r="A2656" s="10"/>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spans="1:26" ht="17.399999999999999" x14ac:dyDescent="0.3">
      <c r="A2657" s="10"/>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spans="1:26" ht="17.399999999999999" x14ac:dyDescent="0.3">
      <c r="A2658" s="10"/>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spans="1:26" ht="17.399999999999999" x14ac:dyDescent="0.3">
      <c r="A2659" s="10"/>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spans="1:26" ht="17.399999999999999" x14ac:dyDescent="0.3">
      <c r="A2660" s="10"/>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spans="1:26" ht="17.399999999999999" x14ac:dyDescent="0.3">
      <c r="A2661" s="10"/>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spans="1:26" ht="17.399999999999999" x14ac:dyDescent="0.3">
      <c r="A2662" s="10"/>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spans="1:26" ht="17.399999999999999" x14ac:dyDescent="0.3">
      <c r="A2663" s="10"/>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spans="1:26" ht="17.399999999999999" x14ac:dyDescent="0.3">
      <c r="A2664" s="10"/>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spans="1:26" ht="17.399999999999999" x14ac:dyDescent="0.3">
      <c r="A2665" s="10"/>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spans="1:26" ht="17.399999999999999" x14ac:dyDescent="0.3">
      <c r="A2666" s="10"/>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spans="1:26" ht="17.399999999999999" x14ac:dyDescent="0.3">
      <c r="A2667" s="10"/>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spans="1:26" ht="17.399999999999999" x14ac:dyDescent="0.3">
      <c r="A2668" s="10"/>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spans="1:26" ht="17.399999999999999" x14ac:dyDescent="0.3">
      <c r="A2669" s="10"/>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spans="1:26" ht="17.399999999999999" x14ac:dyDescent="0.3">
      <c r="A2670" s="10"/>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spans="1:26" ht="17.399999999999999" x14ac:dyDescent="0.3">
      <c r="A2671" s="10"/>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spans="1:26" ht="17.399999999999999" x14ac:dyDescent="0.3">
      <c r="A2672" s="10"/>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spans="1:26" ht="17.399999999999999" x14ac:dyDescent="0.3">
      <c r="A2673" s="10"/>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spans="1:26" ht="17.399999999999999" x14ac:dyDescent="0.3">
      <c r="A2674" s="10"/>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spans="1:26" ht="17.399999999999999" x14ac:dyDescent="0.3">
      <c r="A2675" s="10"/>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spans="1:26" ht="17.399999999999999" x14ac:dyDescent="0.3">
      <c r="A2676" s="10"/>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spans="1:26" ht="17.399999999999999" x14ac:dyDescent="0.3">
      <c r="A2677" s="10"/>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spans="1:26" ht="17.399999999999999" x14ac:dyDescent="0.3">
      <c r="A2678" s="10"/>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spans="1:26" ht="17.399999999999999" x14ac:dyDescent="0.3">
      <c r="A2679" s="10"/>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spans="1:26" ht="17.399999999999999" x14ac:dyDescent="0.3">
      <c r="A2680" s="10"/>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spans="1:26" ht="17.399999999999999" x14ac:dyDescent="0.3">
      <c r="A2681" s="10"/>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spans="1:26" ht="17.399999999999999" x14ac:dyDescent="0.3">
      <c r="A2682" s="10"/>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spans="1:26" ht="17.399999999999999" x14ac:dyDescent="0.3">
      <c r="A2683" s="10"/>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spans="1:26" ht="17.399999999999999" x14ac:dyDescent="0.3">
      <c r="A2684" s="10"/>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spans="1:26" ht="17.399999999999999" x14ac:dyDescent="0.3">
      <c r="A2685" s="10"/>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spans="1:26" ht="17.399999999999999" x14ac:dyDescent="0.3">
      <c r="A2686" s="10"/>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spans="1:26" ht="17.399999999999999" x14ac:dyDescent="0.3">
      <c r="A2687" s="10"/>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spans="1:26" ht="17.399999999999999" x14ac:dyDescent="0.3">
      <c r="A2688" s="10"/>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spans="1:26" ht="17.399999999999999" x14ac:dyDescent="0.3">
      <c r="A2689" s="10"/>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spans="1:26" ht="17.399999999999999" x14ac:dyDescent="0.3">
      <c r="A2690" s="10"/>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spans="1:26" ht="17.399999999999999" x14ac:dyDescent="0.3">
      <c r="A2691" s="10"/>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spans="1:26" ht="17.399999999999999" x14ac:dyDescent="0.3">
      <c r="A2692" s="10"/>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spans="1:26" ht="17.399999999999999" x14ac:dyDescent="0.3">
      <c r="A2693" s="10"/>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spans="1:26" ht="17.399999999999999" x14ac:dyDescent="0.3">
      <c r="A2694" s="10"/>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spans="1:26" ht="17.399999999999999" x14ac:dyDescent="0.3">
      <c r="A2695" s="10"/>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spans="1:26" ht="17.399999999999999" x14ac:dyDescent="0.3">
      <c r="A2696" s="10"/>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spans="1:26" ht="17.399999999999999" x14ac:dyDescent="0.3">
      <c r="A2697" s="10"/>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spans="1:26" ht="17.399999999999999" x14ac:dyDescent="0.3">
      <c r="A2698" s="10"/>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spans="1:26" ht="17.399999999999999" x14ac:dyDescent="0.3">
      <c r="A2699" s="10"/>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spans="1:26" ht="17.399999999999999" x14ac:dyDescent="0.3">
      <c r="A2700" s="10"/>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spans="1:26" ht="17.399999999999999" x14ac:dyDescent="0.3">
      <c r="A2701" s="10"/>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spans="1:26" ht="17.399999999999999" x14ac:dyDescent="0.3">
      <c r="A2702" s="10"/>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spans="1:26" ht="17.399999999999999" x14ac:dyDescent="0.3">
      <c r="A2703" s="10"/>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spans="1:26" ht="17.399999999999999" x14ac:dyDescent="0.3">
      <c r="A2704" s="10"/>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spans="1:26" ht="17.399999999999999" x14ac:dyDescent="0.3">
      <c r="A2705" s="10"/>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spans="1:26" ht="17.399999999999999" x14ac:dyDescent="0.3">
      <c r="A2706" s="10"/>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spans="1:26" ht="17.399999999999999" x14ac:dyDescent="0.3">
      <c r="A2707" s="10"/>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spans="1:26" ht="17.399999999999999" x14ac:dyDescent="0.3">
      <c r="A2708" s="10"/>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spans="1:26" ht="17.399999999999999" x14ac:dyDescent="0.3">
      <c r="A2709" s="10"/>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spans="1:26" ht="17.399999999999999" x14ac:dyDescent="0.3">
      <c r="A2710" s="10"/>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spans="1:26" ht="17.399999999999999" x14ac:dyDescent="0.3">
      <c r="A2711" s="10"/>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spans="1:26" ht="17.399999999999999" x14ac:dyDescent="0.3">
      <c r="A2712" s="10"/>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spans="1:26" ht="17.399999999999999" x14ac:dyDescent="0.3">
      <c r="A2713" s="10"/>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spans="1:26" ht="17.399999999999999" x14ac:dyDescent="0.3">
      <c r="A2714" s="10"/>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spans="1:26" ht="17.399999999999999" x14ac:dyDescent="0.3">
      <c r="A2715" s="10"/>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spans="1:26" ht="17.399999999999999" x14ac:dyDescent="0.3">
      <c r="A2716" s="10"/>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spans="1:26" ht="17.399999999999999" x14ac:dyDescent="0.3">
      <c r="A2717" s="10"/>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spans="1:26" ht="17.399999999999999" x14ac:dyDescent="0.3">
      <c r="A2718" s="10"/>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spans="1:26" ht="17.399999999999999" x14ac:dyDescent="0.3">
      <c r="A2719" s="10"/>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spans="1:26" ht="17.399999999999999" x14ac:dyDescent="0.3">
      <c r="A2720" s="10"/>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spans="1:26" ht="17.399999999999999" x14ac:dyDescent="0.3">
      <c r="A2721" s="10"/>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spans="1:26" ht="17.399999999999999" x14ac:dyDescent="0.3">
      <c r="A2722" s="10"/>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spans="1:26" ht="17.399999999999999" x14ac:dyDescent="0.3">
      <c r="A2723" s="10"/>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spans="1:26" ht="17.399999999999999" x14ac:dyDescent="0.3">
      <c r="A2724" s="10"/>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spans="1:26" ht="17.399999999999999" x14ac:dyDescent="0.3">
      <c r="A2725" s="10"/>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spans="1:26" ht="17.399999999999999" x14ac:dyDescent="0.3">
      <c r="A2726" s="10"/>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spans="1:26" ht="17.399999999999999" x14ac:dyDescent="0.3">
      <c r="A2727" s="10"/>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spans="1:26" ht="17.399999999999999" x14ac:dyDescent="0.3">
      <c r="A2728" s="10"/>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spans="1:26" ht="17.399999999999999" x14ac:dyDescent="0.3">
      <c r="A2729" s="10"/>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spans="1:26" ht="17.399999999999999" x14ac:dyDescent="0.3">
      <c r="A2730" s="10"/>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spans="1:26" ht="17.399999999999999" x14ac:dyDescent="0.3">
      <c r="A2731" s="10"/>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spans="1:26" ht="17.399999999999999" x14ac:dyDescent="0.3">
      <c r="A2732" s="10"/>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spans="1:26" ht="17.399999999999999" x14ac:dyDescent="0.3">
      <c r="A2733" s="10"/>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spans="1:26" ht="17.399999999999999" x14ac:dyDescent="0.3">
      <c r="A2734" s="10"/>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spans="1:26" ht="17.399999999999999" x14ac:dyDescent="0.3">
      <c r="A2735" s="10"/>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spans="1:26" ht="17.399999999999999" x14ac:dyDescent="0.3">
      <c r="A2736" s="10"/>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spans="1:26" ht="17.399999999999999" x14ac:dyDescent="0.3">
      <c r="A2737" s="10"/>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spans="1:26" ht="17.399999999999999" x14ac:dyDescent="0.3">
      <c r="A2738" s="10"/>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spans="1:26" ht="17.399999999999999" x14ac:dyDescent="0.3">
      <c r="A2739" s="10"/>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spans="1:26" ht="17.399999999999999" x14ac:dyDescent="0.3">
      <c r="A2740" s="10"/>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spans="1:26" ht="17.399999999999999" x14ac:dyDescent="0.3">
      <c r="A2741" s="10"/>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spans="1:26" ht="17.399999999999999" x14ac:dyDescent="0.3">
      <c r="A2742" s="10"/>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spans="1:26" ht="17.399999999999999" x14ac:dyDescent="0.3">
      <c r="A2743" s="10"/>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spans="1:26" ht="17.399999999999999" x14ac:dyDescent="0.3">
      <c r="A2744" s="10"/>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spans="1:26" ht="17.399999999999999" x14ac:dyDescent="0.3">
      <c r="A2745" s="10"/>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spans="1:26" ht="17.399999999999999" x14ac:dyDescent="0.3">
      <c r="A2746" s="10"/>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spans="1:26" ht="17.399999999999999" x14ac:dyDescent="0.3">
      <c r="A2747" s="10"/>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spans="1:26" ht="17.399999999999999" x14ac:dyDescent="0.3">
      <c r="A2748" s="10"/>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spans="1:26" ht="17.399999999999999" x14ac:dyDescent="0.3">
      <c r="A2749" s="10"/>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spans="1:26" ht="17.399999999999999" x14ac:dyDescent="0.3">
      <c r="A2750" s="10"/>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spans="1:26" ht="17.399999999999999" x14ac:dyDescent="0.3">
      <c r="A2751" s="10"/>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spans="1:26" ht="17.399999999999999" x14ac:dyDescent="0.3">
      <c r="A2752" s="10"/>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spans="1:26" ht="17.399999999999999" x14ac:dyDescent="0.3">
      <c r="A2753" s="10"/>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spans="1:26" ht="17.399999999999999" x14ac:dyDescent="0.3">
      <c r="A2754" s="10"/>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spans="1:26" ht="17.399999999999999" x14ac:dyDescent="0.3">
      <c r="A2755" s="10"/>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spans="1:26" ht="17.399999999999999" x14ac:dyDescent="0.3">
      <c r="A2756" s="10"/>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spans="1:26" ht="17.399999999999999" x14ac:dyDescent="0.3">
      <c r="A2757" s="10"/>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spans="1:26" ht="17.399999999999999" x14ac:dyDescent="0.3">
      <c r="A2758" s="10"/>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spans="1:26" ht="17.399999999999999" x14ac:dyDescent="0.3">
      <c r="A2759" s="10"/>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spans="1:26" ht="17.399999999999999" x14ac:dyDescent="0.3">
      <c r="A2760" s="10"/>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spans="1:26" ht="17.399999999999999" x14ac:dyDescent="0.3">
      <c r="A2761" s="10"/>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spans="1:26" ht="17.399999999999999" x14ac:dyDescent="0.3">
      <c r="A2762" s="10"/>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spans="1:26" ht="17.399999999999999" x14ac:dyDescent="0.3">
      <c r="A2763" s="10"/>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spans="1:26" ht="17.399999999999999" x14ac:dyDescent="0.3">
      <c r="A2764" s="10"/>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spans="1:26" ht="17.399999999999999" x14ac:dyDescent="0.3">
      <c r="A2765" s="10"/>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spans="1:26" ht="17.399999999999999" x14ac:dyDescent="0.3">
      <c r="A2766" s="10"/>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spans="1:26" ht="17.399999999999999" x14ac:dyDescent="0.3">
      <c r="A2767" s="10"/>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spans="1:26" ht="17.399999999999999" x14ac:dyDescent="0.3">
      <c r="A2768" s="10"/>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spans="1:26" ht="17.399999999999999" x14ac:dyDescent="0.3">
      <c r="A2769" s="10"/>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spans="1:26" ht="17.399999999999999" x14ac:dyDescent="0.3">
      <c r="A2770" s="10"/>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spans="1:26" ht="17.399999999999999" x14ac:dyDescent="0.3">
      <c r="A2771" s="10"/>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spans="1:26" ht="17.399999999999999" x14ac:dyDescent="0.3">
      <c r="A2772" s="10"/>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spans="1:26" ht="17.399999999999999" x14ac:dyDescent="0.3">
      <c r="A2773" s="10"/>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spans="1:26" ht="17.399999999999999" x14ac:dyDescent="0.3">
      <c r="A2774" s="10"/>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spans="1:26" ht="17.399999999999999" x14ac:dyDescent="0.3">
      <c r="A2775" s="10"/>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spans="1:26" ht="17.399999999999999" x14ac:dyDescent="0.3">
      <c r="A2776" s="10"/>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spans="1:26" ht="17.399999999999999" x14ac:dyDescent="0.3">
      <c r="A2777" s="10"/>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spans="1:26" ht="17.399999999999999" x14ac:dyDescent="0.3">
      <c r="A2778" s="10"/>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spans="1:26" ht="17.399999999999999" x14ac:dyDescent="0.3">
      <c r="A2779" s="10"/>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spans="1:26" ht="17.399999999999999" x14ac:dyDescent="0.3">
      <c r="A2780" s="10"/>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spans="1:26" ht="17.399999999999999" x14ac:dyDescent="0.3">
      <c r="A2781" s="10"/>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spans="1:26" ht="17.399999999999999" x14ac:dyDescent="0.3">
      <c r="A2782" s="10"/>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spans="1:26" ht="17.399999999999999" x14ac:dyDescent="0.3">
      <c r="A2783" s="10"/>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spans="1:26" ht="17.399999999999999" x14ac:dyDescent="0.3">
      <c r="A2784" s="10"/>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spans="1:26" ht="17.399999999999999" x14ac:dyDescent="0.3">
      <c r="A2785" s="10"/>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spans="1:26" ht="17.399999999999999" x14ac:dyDescent="0.3">
      <c r="A2786" s="10"/>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spans="1:26" ht="17.399999999999999" x14ac:dyDescent="0.3">
      <c r="A2787" s="10"/>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spans="1:26" ht="17.399999999999999" x14ac:dyDescent="0.3">
      <c r="A2788" s="10"/>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spans="1:26" ht="17.399999999999999" x14ac:dyDescent="0.3">
      <c r="A2789" s="10"/>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spans="1:26" ht="17.399999999999999" x14ac:dyDescent="0.3">
      <c r="A2790" s="10"/>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spans="1:26" ht="17.399999999999999" x14ac:dyDescent="0.3">
      <c r="A2791" s="10"/>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spans="1:26" ht="17.399999999999999" x14ac:dyDescent="0.3">
      <c r="A2792" s="10"/>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spans="1:26" ht="17.399999999999999" x14ac:dyDescent="0.3">
      <c r="A2793" s="10"/>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spans="1:26" ht="17.399999999999999" x14ac:dyDescent="0.3">
      <c r="A2794" s="10"/>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spans="1:26" ht="17.399999999999999" x14ac:dyDescent="0.3">
      <c r="A2795" s="10"/>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spans="1:26" ht="17.399999999999999" x14ac:dyDescent="0.3">
      <c r="A2796" s="10"/>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spans="1:26" ht="17.399999999999999" x14ac:dyDescent="0.3">
      <c r="A2797" s="10"/>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spans="1:26" ht="17.399999999999999" x14ac:dyDescent="0.3">
      <c r="A2798" s="10"/>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spans="1:26" ht="17.399999999999999" x14ac:dyDescent="0.3">
      <c r="A2799" s="10"/>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spans="1:26" ht="17.399999999999999" x14ac:dyDescent="0.3">
      <c r="A2800" s="10"/>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spans="1:26" ht="17.399999999999999" x14ac:dyDescent="0.3">
      <c r="A2801" s="10"/>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spans="1:26" ht="17.399999999999999" x14ac:dyDescent="0.3">
      <c r="A2802" s="10"/>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spans="1:26" ht="17.399999999999999" x14ac:dyDescent="0.3">
      <c r="A2803" s="10"/>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spans="1:26" ht="17.399999999999999" x14ac:dyDescent="0.3">
      <c r="A2804" s="10"/>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spans="1:26" ht="17.399999999999999" x14ac:dyDescent="0.3">
      <c r="A2805" s="10"/>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spans="1:26" ht="17.399999999999999" x14ac:dyDescent="0.3">
      <c r="A2806" s="10"/>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spans="1:26" ht="17.399999999999999" x14ac:dyDescent="0.3">
      <c r="A2807" s="10"/>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spans="1:26" ht="17.399999999999999" x14ac:dyDescent="0.3">
      <c r="A2808" s="10"/>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spans="1:26" ht="17.399999999999999" x14ac:dyDescent="0.3">
      <c r="A2809" s="10"/>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spans="1:26" ht="17.399999999999999" x14ac:dyDescent="0.3">
      <c r="A2810" s="10"/>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spans="1:26" ht="17.399999999999999" x14ac:dyDescent="0.3">
      <c r="A2811" s="10"/>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spans="1:26" ht="17.399999999999999" x14ac:dyDescent="0.3">
      <c r="A2812" s="10"/>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spans="1:26" ht="17.399999999999999" x14ac:dyDescent="0.3">
      <c r="A2813" s="10"/>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spans="1:26" ht="17.399999999999999" x14ac:dyDescent="0.3">
      <c r="A2814" s="10"/>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spans="1:26" ht="17.399999999999999" x14ac:dyDescent="0.3">
      <c r="A2815" s="10"/>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spans="1:26" ht="17.399999999999999" x14ac:dyDescent="0.3">
      <c r="A2816" s="10"/>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spans="1:26" ht="17.399999999999999" x14ac:dyDescent="0.3">
      <c r="A2817" s="10"/>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spans="1:26" ht="17.399999999999999" x14ac:dyDescent="0.3">
      <c r="A2818" s="10"/>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spans="1:26" ht="17.399999999999999" x14ac:dyDescent="0.3">
      <c r="A2819" s="10"/>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spans="1:26" ht="17.399999999999999" x14ac:dyDescent="0.3">
      <c r="A2820" s="10"/>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spans="1:26" ht="17.399999999999999" x14ac:dyDescent="0.3">
      <c r="A2821" s="10"/>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spans="1:26" ht="17.399999999999999" x14ac:dyDescent="0.3">
      <c r="A2822" s="10"/>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spans="1:26" ht="17.399999999999999" x14ac:dyDescent="0.3">
      <c r="A2823" s="10"/>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spans="1:26" ht="17.399999999999999" x14ac:dyDescent="0.3">
      <c r="A2824" s="10"/>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spans="1:26" ht="17.399999999999999" x14ac:dyDescent="0.3">
      <c r="A2825" s="10"/>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spans="1:26" ht="17.399999999999999" x14ac:dyDescent="0.3">
      <c r="A2826" s="10"/>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spans="1:26" ht="17.399999999999999" x14ac:dyDescent="0.3">
      <c r="A2827" s="10"/>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spans="1:26" ht="17.399999999999999" x14ac:dyDescent="0.3">
      <c r="A2828" s="10"/>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spans="1:26" ht="17.399999999999999" x14ac:dyDescent="0.3">
      <c r="A2829" s="10"/>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spans="1:26" ht="17.399999999999999" x14ac:dyDescent="0.3">
      <c r="A2830" s="10"/>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spans="1:26" ht="17.399999999999999" x14ac:dyDescent="0.3">
      <c r="A2831" s="10"/>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spans="1:26" ht="17.399999999999999" x14ac:dyDescent="0.3">
      <c r="A2832" s="10"/>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spans="1:26" ht="17.399999999999999" x14ac:dyDescent="0.3">
      <c r="A2833" s="10"/>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spans="1:26" ht="17.399999999999999" x14ac:dyDescent="0.3">
      <c r="A2834" s="10"/>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spans="1:26" ht="17.399999999999999" x14ac:dyDescent="0.3">
      <c r="A2835" s="10"/>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spans="1:26" ht="17.399999999999999" x14ac:dyDescent="0.3">
      <c r="A2836" s="10"/>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spans="1:26" ht="17.399999999999999" x14ac:dyDescent="0.3">
      <c r="A2837" s="10"/>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spans="1:26" ht="17.399999999999999" x14ac:dyDescent="0.3">
      <c r="A2838" s="10"/>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spans="1:26" ht="17.399999999999999" x14ac:dyDescent="0.3">
      <c r="A2839" s="10"/>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spans="1:26" ht="17.399999999999999" x14ac:dyDescent="0.3">
      <c r="A2840" s="10"/>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spans="1:26" ht="17.399999999999999" x14ac:dyDescent="0.3">
      <c r="A2841" s="10"/>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spans="1:26" ht="17.399999999999999" x14ac:dyDescent="0.3">
      <c r="A2842" s="10"/>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spans="1:26" ht="17.399999999999999" x14ac:dyDescent="0.3">
      <c r="A2843" s="10"/>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spans="1:26" ht="17.399999999999999" x14ac:dyDescent="0.3">
      <c r="A2844" s="10"/>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spans="1:26" ht="17.399999999999999" x14ac:dyDescent="0.3">
      <c r="A2845" s="10"/>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spans="1:26" ht="17.399999999999999" x14ac:dyDescent="0.3">
      <c r="A2846" s="10"/>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spans="1:26" ht="17.399999999999999" x14ac:dyDescent="0.3">
      <c r="A2847" s="10"/>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spans="1:26" ht="17.399999999999999" x14ac:dyDescent="0.3">
      <c r="A2848" s="10"/>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spans="1:26" ht="17.399999999999999" x14ac:dyDescent="0.3">
      <c r="A2849" s="10"/>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spans="1:26" ht="17.399999999999999" x14ac:dyDescent="0.3">
      <c r="A2850" s="10"/>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spans="1:26" ht="17.399999999999999" x14ac:dyDescent="0.3">
      <c r="A2851" s="10"/>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spans="1:26" ht="17.399999999999999" x14ac:dyDescent="0.3">
      <c r="A2852" s="10"/>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spans="1:26" ht="17.399999999999999" x14ac:dyDescent="0.3">
      <c r="A2853" s="10"/>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spans="1:26" ht="17.399999999999999" x14ac:dyDescent="0.3">
      <c r="A2854" s="10"/>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spans="1:26" ht="17.399999999999999" x14ac:dyDescent="0.3">
      <c r="A2855" s="10"/>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spans="1:26" ht="17.399999999999999" x14ac:dyDescent="0.3">
      <c r="A2856" s="10"/>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spans="1:26" ht="17.399999999999999" x14ac:dyDescent="0.3">
      <c r="A2857" s="10"/>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spans="1:26" ht="17.399999999999999" x14ac:dyDescent="0.3">
      <c r="A2858" s="10"/>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spans="1:26" ht="17.399999999999999" x14ac:dyDescent="0.3">
      <c r="A2859" s="10"/>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spans="1:26" ht="17.399999999999999" x14ac:dyDescent="0.3">
      <c r="A2860" s="10"/>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spans="1:26" ht="17.399999999999999" x14ac:dyDescent="0.3">
      <c r="A2861" s="10"/>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spans="1:26" ht="17.399999999999999" x14ac:dyDescent="0.3">
      <c r="A2862" s="10"/>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spans="1:26" ht="17.399999999999999" x14ac:dyDescent="0.3">
      <c r="A2863" s="10"/>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spans="1:26" ht="17.399999999999999" x14ac:dyDescent="0.3">
      <c r="A2864" s="10"/>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spans="1:26" ht="17.399999999999999" x14ac:dyDescent="0.3">
      <c r="A2865" s="10"/>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spans="1:26" ht="17.399999999999999" x14ac:dyDescent="0.3">
      <c r="A2866" s="10"/>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spans="1:26" ht="17.399999999999999" x14ac:dyDescent="0.3">
      <c r="A2867" s="10"/>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spans="1:26" ht="17.399999999999999" x14ac:dyDescent="0.3">
      <c r="A2868" s="10"/>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spans="1:26" ht="17.399999999999999" x14ac:dyDescent="0.3">
      <c r="A2869" s="10"/>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spans="1:26" ht="17.399999999999999" x14ac:dyDescent="0.3">
      <c r="A2870" s="10"/>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spans="1:26" ht="17.399999999999999" x14ac:dyDescent="0.3">
      <c r="A2871" s="10"/>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spans="1:26" ht="17.399999999999999" x14ac:dyDescent="0.3">
      <c r="A2872" s="10"/>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spans="1:26" ht="17.399999999999999" x14ac:dyDescent="0.3">
      <c r="A2873" s="10"/>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spans="1:26" ht="17.399999999999999" x14ac:dyDescent="0.3">
      <c r="A2874" s="10"/>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spans="1:26" ht="17.399999999999999" x14ac:dyDescent="0.3">
      <c r="A2875" s="10"/>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spans="1:26" ht="17.399999999999999" x14ac:dyDescent="0.3">
      <c r="A2876" s="10"/>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spans="1:26" ht="17.399999999999999" x14ac:dyDescent="0.3">
      <c r="A2877" s="10"/>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spans="1:26" ht="17.399999999999999" x14ac:dyDescent="0.3">
      <c r="A2878" s="10"/>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spans="1:26" ht="17.399999999999999" x14ac:dyDescent="0.3">
      <c r="A2879" s="10"/>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spans="1:26" ht="17.399999999999999" x14ac:dyDescent="0.3">
      <c r="A2880" s="10"/>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spans="1:26" ht="17.399999999999999" x14ac:dyDescent="0.3">
      <c r="A2881" s="10"/>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spans="1:26" ht="17.399999999999999" x14ac:dyDescent="0.3">
      <c r="A2882" s="10"/>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spans="1:26" ht="17.399999999999999" x14ac:dyDescent="0.3">
      <c r="A2883" s="10"/>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spans="1:26" ht="17.399999999999999" x14ac:dyDescent="0.3">
      <c r="A2884" s="10"/>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spans="1:26" ht="17.399999999999999" x14ac:dyDescent="0.3">
      <c r="A2885" s="10"/>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spans="1:26" ht="17.399999999999999" x14ac:dyDescent="0.3">
      <c r="A2886" s="10"/>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spans="1:26" ht="17.399999999999999" x14ac:dyDescent="0.3">
      <c r="A2887" s="10"/>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spans="1:26" ht="17.399999999999999" x14ac:dyDescent="0.3">
      <c r="A2888" s="10"/>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spans="1:26" ht="17.399999999999999" x14ac:dyDescent="0.3">
      <c r="A2889" s="10"/>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spans="1:26" ht="17.399999999999999" x14ac:dyDescent="0.3">
      <c r="A2890" s="10"/>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spans="1:26" ht="17.399999999999999" x14ac:dyDescent="0.3">
      <c r="A2891" s="10"/>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spans="1:26" ht="17.399999999999999" x14ac:dyDescent="0.3">
      <c r="A2892" s="10"/>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spans="1:26" ht="17.399999999999999" x14ac:dyDescent="0.3">
      <c r="A2893" s="10"/>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spans="1:26" ht="17.399999999999999" x14ac:dyDescent="0.3">
      <c r="A2894" s="10"/>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spans="1:26" ht="17.399999999999999" x14ac:dyDescent="0.3">
      <c r="A2895" s="10"/>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spans="1:26" ht="17.399999999999999" x14ac:dyDescent="0.3">
      <c r="A2896" s="10"/>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spans="1:26" ht="17.399999999999999" x14ac:dyDescent="0.3">
      <c r="A2897" s="10"/>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spans="1:26" ht="17.399999999999999" x14ac:dyDescent="0.3">
      <c r="A2898" s="10"/>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spans="1:26" ht="17.399999999999999" x14ac:dyDescent="0.3">
      <c r="A2899" s="10"/>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spans="1:26" ht="17.399999999999999" x14ac:dyDescent="0.3">
      <c r="A2900" s="10"/>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spans="1:26" ht="17.399999999999999" x14ac:dyDescent="0.3">
      <c r="A2901" s="10"/>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spans="1:26" ht="17.399999999999999" x14ac:dyDescent="0.3">
      <c r="A2902" s="10"/>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spans="1:26" ht="17.399999999999999" x14ac:dyDescent="0.3">
      <c r="A2903" s="10"/>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spans="1:26" ht="17.399999999999999" x14ac:dyDescent="0.3">
      <c r="A2904" s="10"/>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spans="1:26" ht="17.399999999999999" x14ac:dyDescent="0.3">
      <c r="A2905" s="10"/>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spans="1:26" ht="17.399999999999999" x14ac:dyDescent="0.3">
      <c r="A2906" s="10"/>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spans="1:26" ht="17.399999999999999" x14ac:dyDescent="0.3">
      <c r="A2907" s="10"/>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spans="1:26" ht="17.399999999999999" x14ac:dyDescent="0.3">
      <c r="A2908" s="10"/>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spans="1:26" ht="17.399999999999999" x14ac:dyDescent="0.3">
      <c r="A2909" s="10"/>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spans="1:26" ht="17.399999999999999" x14ac:dyDescent="0.3">
      <c r="A2910" s="10"/>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spans="1:26" ht="17.399999999999999" x14ac:dyDescent="0.3">
      <c r="A2911" s="10"/>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spans="1:26" ht="17.399999999999999" x14ac:dyDescent="0.3">
      <c r="A2912" s="10"/>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spans="1:26" ht="17.399999999999999" x14ac:dyDescent="0.3">
      <c r="A2913" s="10"/>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spans="1:26" ht="17.399999999999999" x14ac:dyDescent="0.3">
      <c r="A2914" s="10"/>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spans="1:26" ht="17.399999999999999" x14ac:dyDescent="0.3">
      <c r="A2915" s="10"/>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spans="1:26" ht="17.399999999999999" x14ac:dyDescent="0.3">
      <c r="A2916" s="10"/>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spans="1:26" ht="17.399999999999999" x14ac:dyDescent="0.3">
      <c r="A2917" s="10"/>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spans="1:26" ht="17.399999999999999" x14ac:dyDescent="0.3">
      <c r="A2918" s="10"/>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spans="1:26" ht="17.399999999999999" x14ac:dyDescent="0.3">
      <c r="A2919" s="10"/>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spans="1:26" ht="17.399999999999999" x14ac:dyDescent="0.3">
      <c r="A2920" s="10"/>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spans="1:26" ht="17.399999999999999" x14ac:dyDescent="0.3">
      <c r="A2921" s="10"/>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spans="1:26" ht="17.399999999999999" x14ac:dyDescent="0.3">
      <c r="A2922" s="10"/>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spans="1:26" ht="17.399999999999999" x14ac:dyDescent="0.3">
      <c r="A2923" s="10"/>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spans="1:26" ht="17.399999999999999" x14ac:dyDescent="0.3">
      <c r="A2924" s="10"/>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spans="1:26" ht="17.399999999999999" x14ac:dyDescent="0.3">
      <c r="A2925" s="10"/>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spans="1:26" ht="17.399999999999999" x14ac:dyDescent="0.3">
      <c r="A2926" s="10"/>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spans="1:26" ht="17.399999999999999" x14ac:dyDescent="0.3">
      <c r="A2927" s="10"/>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spans="1:26" ht="17.399999999999999" x14ac:dyDescent="0.3">
      <c r="A2928" s="10"/>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spans="1:26" ht="17.399999999999999" x14ac:dyDescent="0.3">
      <c r="A2929" s="10"/>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spans="1:26" ht="17.399999999999999" x14ac:dyDescent="0.3">
      <c r="A2930" s="10"/>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spans="1:26" ht="17.399999999999999" x14ac:dyDescent="0.3">
      <c r="A2931" s="10"/>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spans="1:26" ht="17.399999999999999" x14ac:dyDescent="0.3">
      <c r="A2932" s="10"/>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spans="1:26" ht="17.399999999999999" x14ac:dyDescent="0.3">
      <c r="A2933" s="10"/>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spans="1:26" ht="17.399999999999999" x14ac:dyDescent="0.3">
      <c r="A2934" s="10"/>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spans="1:26" ht="17.399999999999999" x14ac:dyDescent="0.3">
      <c r="A2935" s="10"/>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spans="1:26" ht="17.399999999999999" x14ac:dyDescent="0.3">
      <c r="A2936" s="10"/>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spans="1:26" ht="17.399999999999999" x14ac:dyDescent="0.3">
      <c r="A2937" s="10"/>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spans="1:26" ht="17.399999999999999" x14ac:dyDescent="0.3">
      <c r="A2938" s="10"/>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spans="1:26" ht="17.399999999999999" x14ac:dyDescent="0.3">
      <c r="A2939" s="10"/>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spans="1:26" ht="17.399999999999999" x14ac:dyDescent="0.3">
      <c r="A2940" s="10"/>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spans="1:26" ht="17.399999999999999" x14ac:dyDescent="0.3">
      <c r="A2941" s="10"/>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spans="1:26" ht="17.399999999999999" x14ac:dyDescent="0.3">
      <c r="A2942" s="10"/>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spans="1:26" ht="17.399999999999999" x14ac:dyDescent="0.3">
      <c r="A2943" s="10"/>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spans="1:26" ht="17.399999999999999" x14ac:dyDescent="0.3">
      <c r="A2944" s="10"/>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spans="1:26" ht="17.399999999999999" x14ac:dyDescent="0.3">
      <c r="A2945" s="10"/>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spans="1:26" ht="17.399999999999999" x14ac:dyDescent="0.3">
      <c r="A2946" s="10"/>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spans="1:26" ht="17.399999999999999" x14ac:dyDescent="0.3">
      <c r="A2947" s="10"/>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spans="1:26" ht="17.399999999999999" x14ac:dyDescent="0.3">
      <c r="A2948" s="10"/>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spans="1:26" ht="17.399999999999999" x14ac:dyDescent="0.3">
      <c r="A2949" s="10"/>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spans="1:26" ht="17.399999999999999" x14ac:dyDescent="0.3">
      <c r="A2950" s="10"/>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spans="1:26" ht="17.399999999999999" x14ac:dyDescent="0.3">
      <c r="A2951" s="10"/>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spans="1:26" ht="17.399999999999999" x14ac:dyDescent="0.3">
      <c r="A2952" s="10"/>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spans="1:26" ht="17.399999999999999" x14ac:dyDescent="0.3">
      <c r="A2953" s="10"/>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spans="1:26" ht="17.399999999999999" x14ac:dyDescent="0.3">
      <c r="A2954" s="10"/>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spans="1:26" ht="17.399999999999999" x14ac:dyDescent="0.3">
      <c r="A2955" s="10"/>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spans="1:26" ht="17.399999999999999" x14ac:dyDescent="0.3">
      <c r="A2956" s="10"/>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spans="1:26" ht="17.399999999999999" x14ac:dyDescent="0.3">
      <c r="A2957" s="10"/>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spans="1:26" ht="17.399999999999999" x14ac:dyDescent="0.3">
      <c r="A2958" s="10"/>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spans="1:26" ht="17.399999999999999" x14ac:dyDescent="0.3">
      <c r="A2959" s="10"/>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spans="1:26" ht="17.399999999999999" x14ac:dyDescent="0.3">
      <c r="A2960" s="10"/>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spans="1:26" ht="17.399999999999999" x14ac:dyDescent="0.3">
      <c r="A2961" s="10"/>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spans="1:26" ht="17.399999999999999" x14ac:dyDescent="0.3">
      <c r="A2962" s="10"/>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spans="1:26" ht="17.399999999999999" x14ac:dyDescent="0.3">
      <c r="A2963" s="10"/>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spans="1:26" ht="17.399999999999999" x14ac:dyDescent="0.3">
      <c r="A2964" s="10"/>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spans="1:26" ht="17.399999999999999" x14ac:dyDescent="0.3">
      <c r="A2965" s="10"/>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spans="1:26" ht="17.399999999999999" x14ac:dyDescent="0.3">
      <c r="A2966" s="10"/>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spans="1:26" ht="17.399999999999999" x14ac:dyDescent="0.3">
      <c r="A2967" s="10"/>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spans="1:26" ht="17.399999999999999" x14ac:dyDescent="0.3">
      <c r="A2968" s="10"/>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spans="1:26" ht="17.399999999999999" x14ac:dyDescent="0.3">
      <c r="A2969" s="10"/>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spans="1:26" ht="17.399999999999999" x14ac:dyDescent="0.3">
      <c r="A2970" s="10"/>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spans="1:26" ht="17.399999999999999" x14ac:dyDescent="0.3">
      <c r="A2971" s="10"/>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spans="1:26" ht="17.399999999999999" x14ac:dyDescent="0.3">
      <c r="A2972" s="10"/>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spans="1:26" ht="17.399999999999999" x14ac:dyDescent="0.3">
      <c r="A2973" s="10"/>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spans="1:26" ht="17.399999999999999" x14ac:dyDescent="0.3">
      <c r="A2974" s="10"/>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spans="1:26" ht="17.399999999999999" x14ac:dyDescent="0.3">
      <c r="A2975" s="10"/>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spans="1:26" ht="17.399999999999999" x14ac:dyDescent="0.3">
      <c r="A2976" s="10"/>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spans="1:26" ht="17.399999999999999" x14ac:dyDescent="0.3">
      <c r="A2977" s="10"/>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spans="1:26" ht="17.399999999999999" x14ac:dyDescent="0.3">
      <c r="A2978" s="10"/>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spans="1:26" ht="17.399999999999999" x14ac:dyDescent="0.3">
      <c r="A2979" s="10"/>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spans="1:26" ht="17.399999999999999" x14ac:dyDescent="0.3">
      <c r="A2980" s="10"/>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spans="1:26" ht="17.399999999999999" x14ac:dyDescent="0.3">
      <c r="A2981" s="10"/>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spans="1:26" ht="17.399999999999999" x14ac:dyDescent="0.3">
      <c r="A2982" s="10"/>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spans="1:26" ht="17.399999999999999" x14ac:dyDescent="0.3">
      <c r="A2983" s="10"/>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spans="1:26" ht="17.399999999999999" x14ac:dyDescent="0.3">
      <c r="A2984" s="10"/>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spans="1:26" ht="17.399999999999999" x14ac:dyDescent="0.3">
      <c r="A2985" s="10"/>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spans="1:26" ht="17.399999999999999" x14ac:dyDescent="0.3">
      <c r="A2986" s="10"/>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spans="1:26" ht="17.399999999999999" x14ac:dyDescent="0.3">
      <c r="A2987" s="10"/>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spans="1:26" ht="17.399999999999999" x14ac:dyDescent="0.3">
      <c r="A2988" s="10"/>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spans="1:26" ht="17.399999999999999" x14ac:dyDescent="0.3">
      <c r="A2989" s="10"/>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spans="1:26" ht="17.399999999999999" x14ac:dyDescent="0.3">
      <c r="A2990" s="10"/>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spans="1:26" ht="17.399999999999999" x14ac:dyDescent="0.3">
      <c r="A2991" s="10"/>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spans="1:26" ht="17.399999999999999" x14ac:dyDescent="0.3">
      <c r="A2992" s="10"/>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spans="1:26" ht="17.399999999999999" x14ac:dyDescent="0.3">
      <c r="A2993" s="10"/>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spans="1:26" ht="17.399999999999999" x14ac:dyDescent="0.3">
      <c r="A2994" s="10"/>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spans="1:26" ht="17.399999999999999" x14ac:dyDescent="0.3">
      <c r="A2995" s="10"/>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spans="1:26" ht="17.399999999999999" x14ac:dyDescent="0.3">
      <c r="A2996" s="10"/>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spans="1:26" ht="17.399999999999999" x14ac:dyDescent="0.3">
      <c r="A2997" s="10"/>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spans="1:26" ht="17.399999999999999" x14ac:dyDescent="0.3">
      <c r="A2998" s="10"/>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spans="1:26" ht="17.399999999999999" x14ac:dyDescent="0.3">
      <c r="A2999" s="10"/>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spans="1:26" ht="17.399999999999999" x14ac:dyDescent="0.3">
      <c r="A3000" s="10"/>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spans="1:26" ht="17.399999999999999" x14ac:dyDescent="0.3">
      <c r="A3001" s="10"/>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spans="1:26" ht="17.399999999999999" x14ac:dyDescent="0.3">
      <c r="A3002" s="10"/>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spans="1:26" ht="17.399999999999999" x14ac:dyDescent="0.3">
      <c r="A3003" s="10"/>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spans="1:26" ht="17.399999999999999" x14ac:dyDescent="0.3">
      <c r="A3004" s="10"/>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spans="1:26" ht="17.399999999999999" x14ac:dyDescent="0.3">
      <c r="A3005" s="10"/>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spans="1:26" ht="17.399999999999999" x14ac:dyDescent="0.3">
      <c r="A3006" s="10"/>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spans="1:26" ht="17.399999999999999" x14ac:dyDescent="0.3">
      <c r="A3007" s="10"/>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spans="1:26" ht="17.399999999999999" x14ac:dyDescent="0.3">
      <c r="A3008" s="10"/>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spans="1:26" ht="17.399999999999999" x14ac:dyDescent="0.3">
      <c r="A3009" s="10"/>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spans="1:26" ht="17.399999999999999" x14ac:dyDescent="0.3">
      <c r="A3010" s="10"/>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spans="1:26" ht="17.399999999999999" x14ac:dyDescent="0.3">
      <c r="A3011" s="10"/>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spans="1:26" ht="17.399999999999999" x14ac:dyDescent="0.3">
      <c r="A3012" s="10"/>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spans="1:26" ht="17.399999999999999" x14ac:dyDescent="0.3">
      <c r="A3013" s="10"/>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spans="1:26" ht="17.399999999999999" x14ac:dyDescent="0.3">
      <c r="A3014" s="10"/>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spans="1:26" ht="17.399999999999999" x14ac:dyDescent="0.3">
      <c r="A3015" s="10"/>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spans="1:26" ht="17.399999999999999" x14ac:dyDescent="0.3">
      <c r="A3016" s="10"/>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spans="1:26" ht="17.399999999999999" x14ac:dyDescent="0.3">
      <c r="A3017" s="10"/>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spans="1:26" ht="17.399999999999999" x14ac:dyDescent="0.3">
      <c r="A3018" s="10"/>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spans="1:26" ht="17.399999999999999" x14ac:dyDescent="0.3">
      <c r="A3019" s="10"/>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spans="1:26" ht="17.399999999999999" x14ac:dyDescent="0.3">
      <c r="A3020" s="10"/>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spans="1:26" ht="17.399999999999999" x14ac:dyDescent="0.3">
      <c r="A3021" s="10"/>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spans="1:26" ht="17.399999999999999" x14ac:dyDescent="0.3">
      <c r="A3022" s="10"/>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spans="1:26" ht="17.399999999999999" x14ac:dyDescent="0.3">
      <c r="A3023" s="10"/>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spans="1:26" ht="17.399999999999999" x14ac:dyDescent="0.3">
      <c r="A3024" s="10"/>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spans="1:26" ht="17.399999999999999" x14ac:dyDescent="0.3">
      <c r="A3025" s="10"/>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spans="1:26" ht="17.399999999999999" x14ac:dyDescent="0.3">
      <c r="A3026" s="10"/>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spans="1:26" ht="17.399999999999999" x14ac:dyDescent="0.3">
      <c r="A3027" s="10"/>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spans="1:26" ht="17.399999999999999" x14ac:dyDescent="0.3">
      <c r="A3028" s="10"/>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spans="1:26" ht="17.399999999999999" x14ac:dyDescent="0.3">
      <c r="A3029" s="10"/>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spans="1:26" ht="17.399999999999999" x14ac:dyDescent="0.3">
      <c r="A3030" s="10"/>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spans="1:26" ht="17.399999999999999" x14ac:dyDescent="0.3">
      <c r="A3031" s="10"/>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spans="1:26" ht="17.399999999999999" x14ac:dyDescent="0.3">
      <c r="A3032" s="10"/>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spans="1:26" ht="17.399999999999999" x14ac:dyDescent="0.3">
      <c r="A3033" s="10"/>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spans="1:26" ht="17.399999999999999" x14ac:dyDescent="0.3">
      <c r="A3034" s="10"/>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spans="1:26" ht="17.399999999999999" x14ac:dyDescent="0.3">
      <c r="A3035" s="10"/>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spans="1:26" ht="17.399999999999999" x14ac:dyDescent="0.3">
      <c r="A3036" s="10"/>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spans="1:26" ht="17.399999999999999" x14ac:dyDescent="0.3">
      <c r="A3037" s="10"/>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spans="1:26" ht="17.399999999999999" x14ac:dyDescent="0.3">
      <c r="A3038" s="10"/>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spans="1:26" ht="17.399999999999999" x14ac:dyDescent="0.3">
      <c r="A3039" s="10"/>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spans="1:26" ht="17.399999999999999" x14ac:dyDescent="0.3">
      <c r="A3040" s="10"/>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spans="1:26" ht="17.399999999999999" x14ac:dyDescent="0.3">
      <c r="A3041" s="10"/>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spans="1:26" ht="17.399999999999999" x14ac:dyDescent="0.3">
      <c r="A3042" s="10"/>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spans="1:26" ht="17.399999999999999" x14ac:dyDescent="0.3">
      <c r="A3043" s="10"/>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spans="1:26" ht="17.399999999999999" x14ac:dyDescent="0.3">
      <c r="A3044" s="10"/>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spans="1:26" ht="17.399999999999999" x14ac:dyDescent="0.3">
      <c r="A3045" s="10"/>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spans="1:26" ht="17.399999999999999" x14ac:dyDescent="0.3">
      <c r="A3046" s="10"/>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spans="1:26" ht="17.399999999999999" x14ac:dyDescent="0.3">
      <c r="A3047" s="10"/>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spans="1:26" ht="17.399999999999999" x14ac:dyDescent="0.3">
      <c r="A3048" s="10"/>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spans="1:26" ht="17.399999999999999" x14ac:dyDescent="0.3">
      <c r="A3049" s="10"/>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spans="1:26" ht="17.399999999999999" x14ac:dyDescent="0.3">
      <c r="A3050" s="10"/>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spans="1:26" ht="17.399999999999999" x14ac:dyDescent="0.3">
      <c r="A3051" s="10"/>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spans="1:26" ht="17.399999999999999" x14ac:dyDescent="0.3">
      <c r="A3052" s="10"/>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spans="1:26" ht="17.399999999999999" x14ac:dyDescent="0.3">
      <c r="A3053" s="10"/>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spans="1:26" ht="17.399999999999999" x14ac:dyDescent="0.3">
      <c r="A3054" s="10"/>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spans="1:26" ht="17.399999999999999" x14ac:dyDescent="0.3">
      <c r="A3055" s="10"/>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spans="1:26" ht="17.399999999999999" x14ac:dyDescent="0.3">
      <c r="A3056" s="10"/>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spans="1:26" ht="17.399999999999999" x14ac:dyDescent="0.3">
      <c r="A3057" s="10"/>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spans="1:26" ht="17.399999999999999" x14ac:dyDescent="0.3">
      <c r="A3058" s="10"/>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spans="1:26" ht="17.399999999999999" x14ac:dyDescent="0.3">
      <c r="A3059" s="10"/>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spans="1:26" ht="17.399999999999999" x14ac:dyDescent="0.3">
      <c r="A3060" s="10"/>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spans="1:26" ht="17.399999999999999" x14ac:dyDescent="0.3">
      <c r="A3061" s="10"/>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spans="1:26" ht="17.399999999999999" x14ac:dyDescent="0.3">
      <c r="A3062" s="10"/>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spans="1:26" ht="17.399999999999999" x14ac:dyDescent="0.3">
      <c r="A3063" s="10"/>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spans="1:26" ht="17.399999999999999" x14ac:dyDescent="0.3">
      <c r="A3064" s="10"/>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spans="1:26" ht="17.399999999999999" x14ac:dyDescent="0.3">
      <c r="A3065" s="10"/>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spans="1:26" ht="17.399999999999999" x14ac:dyDescent="0.3">
      <c r="A3066" s="10"/>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spans="1:26" ht="17.399999999999999" x14ac:dyDescent="0.3">
      <c r="A3067" s="10"/>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spans="1:26" ht="17.399999999999999" x14ac:dyDescent="0.3">
      <c r="A3068" s="10"/>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spans="1:26" ht="17.399999999999999" x14ac:dyDescent="0.3">
      <c r="A3069" s="10"/>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spans="1:26" ht="17.399999999999999" x14ac:dyDescent="0.3">
      <c r="A3070" s="10"/>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spans="1:26" ht="17.399999999999999" x14ac:dyDescent="0.3">
      <c r="A3071" s="10"/>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spans="1:26" ht="17.399999999999999" x14ac:dyDescent="0.3">
      <c r="A3072" s="10"/>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spans="1:26" ht="17.399999999999999" x14ac:dyDescent="0.3">
      <c r="A3073" s="10"/>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spans="1:26" ht="17.399999999999999" x14ac:dyDescent="0.3">
      <c r="A3074" s="10"/>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spans="1:26" ht="17.399999999999999" x14ac:dyDescent="0.3">
      <c r="A3075" s="10"/>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spans="1:26" ht="17.399999999999999" x14ac:dyDescent="0.3">
      <c r="A3076" s="10"/>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spans="1:26" ht="17.399999999999999" x14ac:dyDescent="0.3">
      <c r="A3077" s="10"/>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spans="1:26" ht="17.399999999999999" x14ac:dyDescent="0.3">
      <c r="A3078" s="10"/>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spans="1:26" ht="17.399999999999999" x14ac:dyDescent="0.3">
      <c r="A3079" s="10"/>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spans="1:26" ht="17.399999999999999" x14ac:dyDescent="0.3">
      <c r="A3080" s="10"/>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spans="1:26" ht="17.399999999999999" x14ac:dyDescent="0.3">
      <c r="A3081" s="10"/>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spans="1:26" ht="17.399999999999999" x14ac:dyDescent="0.3">
      <c r="A3082" s="10"/>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spans="1:26" ht="17.399999999999999" x14ac:dyDescent="0.3">
      <c r="A3083" s="10"/>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spans="1:26" ht="17.399999999999999" x14ac:dyDescent="0.3">
      <c r="A3084" s="10"/>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spans="1:26" ht="17.399999999999999" x14ac:dyDescent="0.3">
      <c r="A3085" s="10"/>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spans="1:26" ht="17.399999999999999" x14ac:dyDescent="0.3">
      <c r="A3086" s="10"/>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spans="1:26" ht="17.399999999999999" x14ac:dyDescent="0.3">
      <c r="A3087" s="10"/>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spans="1:26" ht="17.399999999999999" x14ac:dyDescent="0.3">
      <c r="A3088" s="10"/>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spans="1:26" ht="17.399999999999999" x14ac:dyDescent="0.3">
      <c r="A3089" s="10"/>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spans="1:26" ht="17.399999999999999" x14ac:dyDescent="0.3">
      <c r="A3090" s="10"/>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spans="1:26" ht="17.399999999999999" x14ac:dyDescent="0.3">
      <c r="A3091" s="10"/>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spans="1:26" ht="17.399999999999999" x14ac:dyDescent="0.3">
      <c r="A3092" s="10"/>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spans="1:26" ht="17.399999999999999" x14ac:dyDescent="0.3">
      <c r="A3093" s="10"/>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spans="1:26" ht="17.399999999999999" x14ac:dyDescent="0.3">
      <c r="A3094" s="10"/>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spans="1:26" ht="17.399999999999999" x14ac:dyDescent="0.3">
      <c r="A3095" s="10"/>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spans="1:26" ht="17.399999999999999" x14ac:dyDescent="0.3">
      <c r="A3096" s="10"/>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spans="1:26" ht="17.399999999999999" x14ac:dyDescent="0.3">
      <c r="A3097" s="10"/>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spans="1:26" ht="17.399999999999999" x14ac:dyDescent="0.3">
      <c r="A3098" s="10"/>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spans="1:26" ht="17.399999999999999" x14ac:dyDescent="0.3">
      <c r="A3099" s="10"/>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spans="1:26" ht="17.399999999999999" x14ac:dyDescent="0.3">
      <c r="A3100" s="10"/>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spans="1:26" ht="17.399999999999999" x14ac:dyDescent="0.3">
      <c r="A3101" s="10"/>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spans="1:26" ht="17.399999999999999" x14ac:dyDescent="0.3">
      <c r="A3102" s="10"/>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spans="1:26" ht="17.399999999999999" x14ac:dyDescent="0.3">
      <c r="A3103" s="10"/>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spans="1:26" ht="17.399999999999999" x14ac:dyDescent="0.3">
      <c r="A3104" s="10"/>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spans="1:26" ht="17.399999999999999" x14ac:dyDescent="0.3">
      <c r="A3105" s="10"/>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spans="1:26" ht="17.399999999999999" x14ac:dyDescent="0.3">
      <c r="A3106" s="10"/>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spans="1:26" ht="17.399999999999999" x14ac:dyDescent="0.3">
      <c r="A3107" s="10"/>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spans="1:26" ht="17.399999999999999" x14ac:dyDescent="0.3">
      <c r="A3108" s="10"/>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spans="1:26" ht="17.399999999999999" x14ac:dyDescent="0.3">
      <c r="A3109" s="10"/>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spans="1:26" ht="17.399999999999999" x14ac:dyDescent="0.3">
      <c r="A3110" s="10"/>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spans="1:26" ht="17.399999999999999" x14ac:dyDescent="0.3">
      <c r="A3111" s="10"/>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spans="1:26" ht="17.399999999999999" x14ac:dyDescent="0.3">
      <c r="A3112" s="10"/>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spans="1:26" ht="17.399999999999999" x14ac:dyDescent="0.3">
      <c r="A3113" s="10"/>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spans="1:26" ht="17.399999999999999" x14ac:dyDescent="0.3">
      <c r="A3114" s="10"/>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spans="1:26" ht="17.399999999999999" x14ac:dyDescent="0.3">
      <c r="A3115" s="10"/>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spans="1:26" ht="17.399999999999999" x14ac:dyDescent="0.3">
      <c r="A3116" s="10"/>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spans="1:26" ht="17.399999999999999" x14ac:dyDescent="0.3">
      <c r="A3117" s="10"/>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spans="1:26" ht="17.399999999999999" x14ac:dyDescent="0.3">
      <c r="A3118" s="10"/>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spans="1:26" ht="17.399999999999999" x14ac:dyDescent="0.3">
      <c r="A3119" s="10"/>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spans="1:26" ht="17.399999999999999" x14ac:dyDescent="0.3">
      <c r="A3120" s="10"/>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spans="1:26" ht="17.399999999999999" x14ac:dyDescent="0.3">
      <c r="A3121" s="10"/>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spans="1:26" ht="17.399999999999999" x14ac:dyDescent="0.3">
      <c r="A3122" s="10"/>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spans="1:26" ht="17.399999999999999" x14ac:dyDescent="0.3">
      <c r="A3123" s="10"/>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spans="1:26" ht="17.399999999999999" x14ac:dyDescent="0.3">
      <c r="A3124" s="10"/>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spans="1:26" ht="17.399999999999999" x14ac:dyDescent="0.3">
      <c r="A3125" s="10"/>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spans="1:26" ht="17.399999999999999" x14ac:dyDescent="0.3">
      <c r="A3126" s="10"/>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spans="1:26" ht="17.399999999999999" x14ac:dyDescent="0.3">
      <c r="A3127" s="10"/>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spans="1:26" ht="17.399999999999999" x14ac:dyDescent="0.3">
      <c r="A3128" s="10"/>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spans="1:26" ht="17.399999999999999" x14ac:dyDescent="0.3">
      <c r="A3129" s="10"/>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spans="1:26" ht="17.399999999999999" x14ac:dyDescent="0.3">
      <c r="A3130" s="10"/>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spans="1:26" ht="17.399999999999999" x14ac:dyDescent="0.3">
      <c r="A3131" s="10"/>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spans="1:26" ht="17.399999999999999" x14ac:dyDescent="0.3">
      <c r="A3132" s="10"/>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spans="1:26" ht="17.399999999999999" x14ac:dyDescent="0.3">
      <c r="A3133" s="10"/>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spans="1:26" ht="17.399999999999999" x14ac:dyDescent="0.3">
      <c r="A3134" s="10"/>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spans="1:26" ht="17.399999999999999" x14ac:dyDescent="0.3">
      <c r="A3135" s="10"/>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spans="1:26" ht="17.399999999999999" x14ac:dyDescent="0.3">
      <c r="A3136" s="10"/>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spans="1:26" ht="17.399999999999999" x14ac:dyDescent="0.3">
      <c r="A3137" s="10"/>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spans="1:26" ht="17.399999999999999" x14ac:dyDescent="0.3">
      <c r="A3138" s="10"/>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spans="1:26" ht="17.399999999999999" x14ac:dyDescent="0.3">
      <c r="A3139" s="10"/>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spans="1:26" ht="17.399999999999999" x14ac:dyDescent="0.3">
      <c r="A3140" s="10"/>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spans="1:26" ht="17.399999999999999" x14ac:dyDescent="0.3">
      <c r="A3141" s="10"/>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spans="1:26" ht="17.399999999999999" x14ac:dyDescent="0.3">
      <c r="A3142" s="10"/>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spans="1:26" ht="17.399999999999999" x14ac:dyDescent="0.3">
      <c r="A3143" s="10"/>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spans="1:26" ht="17.399999999999999" x14ac:dyDescent="0.3">
      <c r="A3144" s="10"/>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spans="1:26" ht="17.399999999999999" x14ac:dyDescent="0.3">
      <c r="A3145" s="10"/>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spans="1:26" ht="17.399999999999999" x14ac:dyDescent="0.3">
      <c r="A3146" s="10"/>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spans="1:26" ht="17.399999999999999" x14ac:dyDescent="0.3">
      <c r="A3147" s="10"/>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spans="1:26" ht="17.399999999999999" x14ac:dyDescent="0.3">
      <c r="A3148" s="10"/>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spans="1:26" ht="17.399999999999999" x14ac:dyDescent="0.3">
      <c r="A3149" s="10"/>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spans="1:26" ht="17.399999999999999" x14ac:dyDescent="0.3">
      <c r="A3150" s="10"/>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spans="1:26" ht="17.399999999999999" x14ac:dyDescent="0.3">
      <c r="A3151" s="10"/>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spans="1:26" ht="17.399999999999999" x14ac:dyDescent="0.3">
      <c r="A3152" s="10"/>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spans="1:26" ht="17.399999999999999" x14ac:dyDescent="0.3">
      <c r="A3153" s="10"/>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spans="1:26" ht="17.399999999999999" x14ac:dyDescent="0.3">
      <c r="A3154" s="10"/>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spans="1:26" ht="17.399999999999999" x14ac:dyDescent="0.3">
      <c r="A3155" s="10"/>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spans="1:26" ht="17.399999999999999" x14ac:dyDescent="0.3">
      <c r="A3156" s="10"/>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spans="1:26" ht="17.399999999999999" x14ac:dyDescent="0.3">
      <c r="A3157" s="10"/>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spans="1:26" ht="17.399999999999999" x14ac:dyDescent="0.3">
      <c r="A3158" s="10"/>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spans="1:26" ht="17.399999999999999" x14ac:dyDescent="0.3">
      <c r="A3159" s="10"/>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spans="1:26" ht="17.399999999999999" x14ac:dyDescent="0.3">
      <c r="A3160" s="10"/>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spans="1:26" ht="17.399999999999999" x14ac:dyDescent="0.3">
      <c r="A3161" s="10"/>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spans="1:26" ht="17.399999999999999" x14ac:dyDescent="0.3">
      <c r="A3162" s="10"/>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spans="1:26" ht="17.399999999999999" x14ac:dyDescent="0.3">
      <c r="A3163" s="10"/>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spans="1:26" ht="17.399999999999999" x14ac:dyDescent="0.3">
      <c r="A3164" s="10"/>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spans="1:26" ht="17.399999999999999" x14ac:dyDescent="0.3">
      <c r="A3165" s="10"/>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spans="1:26" ht="17.399999999999999" x14ac:dyDescent="0.3">
      <c r="A3166" s="10"/>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spans="1:26" ht="17.399999999999999" x14ac:dyDescent="0.3">
      <c r="A3167" s="10"/>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spans="1:26" ht="17.399999999999999" x14ac:dyDescent="0.3">
      <c r="A3168" s="10"/>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spans="1:26" ht="17.399999999999999" x14ac:dyDescent="0.3">
      <c r="A3169" s="10"/>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spans="1:26" ht="17.399999999999999" x14ac:dyDescent="0.3">
      <c r="A3170" s="10"/>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spans="1:26" ht="17.399999999999999" x14ac:dyDescent="0.3">
      <c r="A3171" s="10"/>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spans="1:26" ht="17.399999999999999" x14ac:dyDescent="0.3">
      <c r="A3172" s="10"/>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spans="1:26" ht="17.399999999999999" x14ac:dyDescent="0.3">
      <c r="A3173" s="10"/>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spans="1:26" ht="17.399999999999999" x14ac:dyDescent="0.3">
      <c r="A3174" s="10"/>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spans="1:26" ht="17.399999999999999" x14ac:dyDescent="0.3">
      <c r="A3175" s="10"/>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spans="1:26" ht="17.399999999999999" x14ac:dyDescent="0.3">
      <c r="A3176" s="10"/>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spans="1:26" ht="17.399999999999999" x14ac:dyDescent="0.3">
      <c r="A3177" s="10"/>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spans="1:26" ht="17.399999999999999" x14ac:dyDescent="0.3">
      <c r="A3178" s="10"/>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spans="1:26" ht="17.399999999999999" x14ac:dyDescent="0.3">
      <c r="A3179" s="10"/>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spans="1:26" ht="17.399999999999999" x14ac:dyDescent="0.3">
      <c r="A3180" s="10"/>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spans="1:26" ht="17.399999999999999" x14ac:dyDescent="0.3">
      <c r="A3181" s="10"/>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spans="1:26" ht="17.399999999999999" x14ac:dyDescent="0.3">
      <c r="A3182" s="10"/>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spans="1:26" ht="17.399999999999999" x14ac:dyDescent="0.3">
      <c r="A3183" s="10"/>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spans="1:26" ht="17.399999999999999" x14ac:dyDescent="0.3">
      <c r="A3184" s="10"/>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spans="1:26" ht="17.399999999999999" x14ac:dyDescent="0.3">
      <c r="A3185" s="10"/>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spans="1:26" ht="17.399999999999999" x14ac:dyDescent="0.3">
      <c r="A3186" s="10"/>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spans="1:26" ht="17.399999999999999" x14ac:dyDescent="0.3">
      <c r="A3187" s="10"/>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spans="1:26" ht="17.399999999999999" x14ac:dyDescent="0.3">
      <c r="A3188" s="10"/>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spans="1:26" ht="17.399999999999999" x14ac:dyDescent="0.3">
      <c r="A3189" s="10"/>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spans="1:26" ht="17.399999999999999" x14ac:dyDescent="0.3">
      <c r="A3190" s="10"/>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spans="1:26" ht="17.399999999999999" x14ac:dyDescent="0.3">
      <c r="A3191" s="10"/>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spans="1:26" ht="17.399999999999999" x14ac:dyDescent="0.3">
      <c r="A3192" s="10"/>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spans="1:26" ht="17.399999999999999" x14ac:dyDescent="0.3">
      <c r="A3193" s="10"/>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spans="1:26" ht="17.399999999999999" x14ac:dyDescent="0.3">
      <c r="A3194" s="10"/>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spans="1:26" ht="17.399999999999999" x14ac:dyDescent="0.3">
      <c r="A3195" s="10"/>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spans="1:26" ht="17.399999999999999" x14ac:dyDescent="0.3">
      <c r="A3196" s="10"/>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spans="1:26" ht="17.399999999999999" x14ac:dyDescent="0.3">
      <c r="A3197" s="10"/>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spans="1:26" ht="17.399999999999999" x14ac:dyDescent="0.3">
      <c r="A3198" s="10"/>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spans="1:26" ht="17.399999999999999" x14ac:dyDescent="0.3">
      <c r="A3199" s="10"/>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spans="1:26" ht="17.399999999999999" x14ac:dyDescent="0.3">
      <c r="A3200" s="10"/>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spans="1:26" ht="17.399999999999999" x14ac:dyDescent="0.3">
      <c r="A3201" s="10"/>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spans="1:26" ht="17.399999999999999" x14ac:dyDescent="0.3">
      <c r="A3202" s="10"/>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spans="1:26" ht="17.399999999999999" x14ac:dyDescent="0.3">
      <c r="A3203" s="10"/>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spans="1:26" ht="17.399999999999999" x14ac:dyDescent="0.3">
      <c r="A3204" s="10"/>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spans="1:26" ht="17.399999999999999" x14ac:dyDescent="0.3">
      <c r="A3205" s="10"/>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spans="1:26" ht="17.399999999999999" x14ac:dyDescent="0.3">
      <c r="A3206" s="10"/>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spans="1:26" ht="17.399999999999999" x14ac:dyDescent="0.3">
      <c r="A3207" s="10"/>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spans="1:26" ht="17.399999999999999" x14ac:dyDescent="0.3">
      <c r="A3208" s="10"/>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spans="1:26" ht="17.399999999999999" x14ac:dyDescent="0.3">
      <c r="A3209" s="10"/>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spans="1:26" ht="17.399999999999999" x14ac:dyDescent="0.3">
      <c r="A3210" s="10"/>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spans="1:26" ht="17.399999999999999" x14ac:dyDescent="0.3">
      <c r="A3211" s="10"/>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spans="1:26" ht="17.399999999999999" x14ac:dyDescent="0.3">
      <c r="A3212" s="10"/>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spans="1:26" ht="17.399999999999999" x14ac:dyDescent="0.3">
      <c r="A3213" s="10"/>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spans="1:26" ht="17.399999999999999" x14ac:dyDescent="0.3">
      <c r="A3214" s="10"/>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spans="1:26" ht="17.399999999999999" x14ac:dyDescent="0.3">
      <c r="A3215" s="10"/>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spans="1:26" ht="17.399999999999999" x14ac:dyDescent="0.3">
      <c r="A3216" s="10"/>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spans="1:26" ht="17.399999999999999" x14ac:dyDescent="0.3">
      <c r="A3217" s="10"/>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spans="1:26" ht="17.399999999999999" x14ac:dyDescent="0.3">
      <c r="A3218" s="10"/>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spans="1:26" ht="17.399999999999999" x14ac:dyDescent="0.3">
      <c r="A3219" s="10"/>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spans="1:26" ht="17.399999999999999" x14ac:dyDescent="0.3">
      <c r="A3220" s="10"/>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spans="1:26" ht="17.399999999999999" x14ac:dyDescent="0.3">
      <c r="A3221" s="10"/>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spans="1:26" ht="17.399999999999999" x14ac:dyDescent="0.3">
      <c r="A3222" s="10"/>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spans="1:26" ht="17.399999999999999" x14ac:dyDescent="0.3">
      <c r="A3223" s="10"/>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spans="1:26" ht="17.399999999999999" x14ac:dyDescent="0.3">
      <c r="A3224" s="10"/>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spans="1:26" ht="17.399999999999999" x14ac:dyDescent="0.3">
      <c r="A3225" s="10"/>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spans="1:26" ht="17.399999999999999" x14ac:dyDescent="0.3">
      <c r="A3226" s="10"/>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spans="1:26" ht="17.399999999999999" x14ac:dyDescent="0.3">
      <c r="A3227" s="10"/>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spans="1:26" ht="17.399999999999999" x14ac:dyDescent="0.3">
      <c r="A3228" s="10"/>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spans="1:26" ht="17.399999999999999" x14ac:dyDescent="0.3">
      <c r="A3229" s="10"/>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spans="1:26" ht="17.399999999999999" x14ac:dyDescent="0.3">
      <c r="A3230" s="10"/>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spans="1:26" ht="17.399999999999999" x14ac:dyDescent="0.3">
      <c r="A3231" s="10"/>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spans="1:26" ht="17.399999999999999" x14ac:dyDescent="0.3">
      <c r="A3232" s="10"/>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spans="1:26" ht="17.399999999999999" x14ac:dyDescent="0.3">
      <c r="A3233" s="10"/>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spans="1:26" ht="17.399999999999999" x14ac:dyDescent="0.3">
      <c r="A3234" s="10"/>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spans="1:26" ht="17.399999999999999" x14ac:dyDescent="0.3">
      <c r="A3235" s="10"/>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spans="1:26" ht="17.399999999999999" x14ac:dyDescent="0.3">
      <c r="A3236" s="10"/>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spans="1:26" ht="17.399999999999999" x14ac:dyDescent="0.3">
      <c r="A3237" s="10"/>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spans="1:26" ht="17.399999999999999" x14ac:dyDescent="0.3">
      <c r="A3238" s="10"/>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spans="1:26" ht="17.399999999999999" x14ac:dyDescent="0.3">
      <c r="A3239" s="10"/>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spans="1:26" ht="17.399999999999999" x14ac:dyDescent="0.3">
      <c r="A3240" s="10"/>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spans="1:26" ht="17.399999999999999" x14ac:dyDescent="0.3">
      <c r="A3241" s="10"/>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spans="1:26" ht="17.399999999999999" x14ac:dyDescent="0.3">
      <c r="A3242" s="10"/>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spans="1:26" ht="17.399999999999999" x14ac:dyDescent="0.3">
      <c r="A3243" s="10"/>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spans="1:26" ht="17.399999999999999" x14ac:dyDescent="0.3">
      <c r="A3244" s="10"/>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spans="1:26" ht="17.399999999999999" x14ac:dyDescent="0.3">
      <c r="A3245" s="10"/>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spans="1:26" ht="17.399999999999999" x14ac:dyDescent="0.3">
      <c r="A3246" s="10"/>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spans="1:26" ht="17.399999999999999" x14ac:dyDescent="0.3">
      <c r="A3247" s="10"/>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spans="1:26" ht="17.399999999999999" x14ac:dyDescent="0.3">
      <c r="A3248" s="10"/>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spans="1:26" ht="17.399999999999999" x14ac:dyDescent="0.3">
      <c r="A3249" s="10"/>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spans="1:26" ht="17.399999999999999" x14ac:dyDescent="0.3">
      <c r="A3250" s="10"/>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spans="1:26" ht="17.399999999999999" x14ac:dyDescent="0.3">
      <c r="A3251" s="10"/>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spans="1:26" ht="17.399999999999999" x14ac:dyDescent="0.3">
      <c r="A3252" s="10"/>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spans="1:26" ht="17.399999999999999" x14ac:dyDescent="0.3">
      <c r="A3253" s="10"/>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spans="1:26" ht="17.399999999999999" x14ac:dyDescent="0.3">
      <c r="A3254" s="10"/>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spans="1:26" ht="17.399999999999999" x14ac:dyDescent="0.3">
      <c r="A3255" s="10"/>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spans="1:26" ht="17.399999999999999" x14ac:dyDescent="0.3">
      <c r="A3256" s="10"/>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spans="1:26" ht="17.399999999999999" x14ac:dyDescent="0.3">
      <c r="A3257" s="10"/>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spans="1:26" ht="17.399999999999999" x14ac:dyDescent="0.3">
      <c r="A3258" s="10"/>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spans="1:26" ht="17.399999999999999" x14ac:dyDescent="0.3">
      <c r="A3259" s="10"/>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spans="1:26" ht="17.399999999999999" x14ac:dyDescent="0.3">
      <c r="A3260" s="10"/>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spans="1:26" ht="17.399999999999999" x14ac:dyDescent="0.3">
      <c r="A3261" s="10"/>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spans="1:26" ht="17.399999999999999" x14ac:dyDescent="0.3">
      <c r="A3262" s="10"/>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spans="1:26" ht="17.399999999999999" x14ac:dyDescent="0.3">
      <c r="A3263" s="10"/>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spans="1:26" ht="17.399999999999999" x14ac:dyDescent="0.3">
      <c r="A3264" s="10"/>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spans="1:26" ht="17.399999999999999" x14ac:dyDescent="0.3">
      <c r="A3265" s="10"/>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spans="1:26" ht="17.399999999999999" x14ac:dyDescent="0.3">
      <c r="A3266" s="10"/>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spans="1:26" ht="17.399999999999999" x14ac:dyDescent="0.3">
      <c r="A3267" s="10"/>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spans="1:26" ht="17.399999999999999" x14ac:dyDescent="0.3">
      <c r="A3268" s="10"/>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spans="1:26" ht="17.399999999999999" x14ac:dyDescent="0.3">
      <c r="A3269" s="10"/>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spans="1:26" ht="17.399999999999999" x14ac:dyDescent="0.3">
      <c r="A3270" s="10"/>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spans="1:26" ht="17.399999999999999" x14ac:dyDescent="0.3">
      <c r="A3271" s="10"/>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spans="1:26" ht="17.399999999999999" x14ac:dyDescent="0.3">
      <c r="A3272" s="10"/>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spans="1:26" ht="17.399999999999999" x14ac:dyDescent="0.3">
      <c r="A3273" s="10"/>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spans="1:26" ht="17.399999999999999" x14ac:dyDescent="0.3">
      <c r="A3274" s="10"/>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spans="1:26" ht="17.399999999999999" x14ac:dyDescent="0.3">
      <c r="A3275" s="10"/>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spans="1:26" ht="17.399999999999999" x14ac:dyDescent="0.3">
      <c r="A3276" s="10"/>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spans="1:26" ht="17.399999999999999" x14ac:dyDescent="0.3">
      <c r="A3277" s="10"/>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spans="1:26" ht="17.399999999999999" x14ac:dyDescent="0.3">
      <c r="A3278" s="10"/>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spans="1:26" ht="17.399999999999999" x14ac:dyDescent="0.3">
      <c r="A3279" s="10"/>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spans="1:26" ht="17.399999999999999" x14ac:dyDescent="0.3">
      <c r="A3280" s="10"/>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spans="1:26" ht="17.399999999999999" x14ac:dyDescent="0.3">
      <c r="A3281" s="10"/>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spans="1:26" ht="17.399999999999999" x14ac:dyDescent="0.3">
      <c r="A3282" s="10"/>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spans="1:26" ht="17.399999999999999" x14ac:dyDescent="0.3">
      <c r="A3283" s="10"/>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spans="1:26" ht="17.399999999999999" x14ac:dyDescent="0.3">
      <c r="A3284" s="10"/>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spans="1:26" ht="17.399999999999999" x14ac:dyDescent="0.3">
      <c r="A3285" s="10"/>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spans="1:26" ht="17.399999999999999" x14ac:dyDescent="0.3">
      <c r="A3286" s="10"/>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spans="1:26" ht="17.399999999999999" x14ac:dyDescent="0.3">
      <c r="A3287" s="10"/>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spans="1:26" ht="17.399999999999999" x14ac:dyDescent="0.3">
      <c r="A3288" s="10"/>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spans="1:26" ht="17.399999999999999" x14ac:dyDescent="0.3">
      <c r="A3289" s="10"/>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spans="1:26" ht="17.399999999999999" x14ac:dyDescent="0.3">
      <c r="A3290" s="10"/>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spans="1:26" ht="17.399999999999999" x14ac:dyDescent="0.3">
      <c r="A3291" s="10"/>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spans="1:26" ht="17.399999999999999" x14ac:dyDescent="0.3">
      <c r="A3292" s="10"/>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spans="1:26" ht="17.399999999999999" x14ac:dyDescent="0.3">
      <c r="A3293" s="10"/>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spans="1:26" ht="17.399999999999999" x14ac:dyDescent="0.3">
      <c r="A3294" s="10"/>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spans="1:26" ht="17.399999999999999" x14ac:dyDescent="0.3">
      <c r="A3295" s="10"/>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spans="1:26" ht="17.399999999999999" x14ac:dyDescent="0.3">
      <c r="A3296" s="10"/>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spans="1:26" ht="17.399999999999999" x14ac:dyDescent="0.3">
      <c r="A3297" s="10"/>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spans="1:26" ht="17.399999999999999" x14ac:dyDescent="0.3">
      <c r="A3298" s="10"/>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spans="1:26" ht="17.399999999999999" x14ac:dyDescent="0.3">
      <c r="A3299" s="10"/>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spans="1:26" ht="17.399999999999999" x14ac:dyDescent="0.3">
      <c r="A3300" s="10"/>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spans="1:26" ht="17.399999999999999" x14ac:dyDescent="0.3">
      <c r="A3301" s="10"/>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spans="1:26" ht="17.399999999999999" x14ac:dyDescent="0.3">
      <c r="A3302" s="10"/>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spans="1:26" ht="17.399999999999999" x14ac:dyDescent="0.3">
      <c r="A3303" s="10"/>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spans="1:26" ht="17.399999999999999" x14ac:dyDescent="0.3">
      <c r="A3304" s="10"/>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spans="1:26" ht="17.399999999999999" x14ac:dyDescent="0.3">
      <c r="A3305" s="10"/>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spans="1:26" ht="17.399999999999999" x14ac:dyDescent="0.3">
      <c r="A3306" s="10"/>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spans="1:26" ht="17.399999999999999" x14ac:dyDescent="0.3">
      <c r="A3307" s="10"/>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spans="1:26" ht="17.399999999999999" x14ac:dyDescent="0.3">
      <c r="A3308" s="10"/>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spans="1:26" ht="17.399999999999999" x14ac:dyDescent="0.3">
      <c r="A3309" s="10"/>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spans="1:26" ht="17.399999999999999" x14ac:dyDescent="0.3">
      <c r="A3310" s="10"/>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spans="1:26" ht="17.399999999999999" x14ac:dyDescent="0.3">
      <c r="A3311" s="10"/>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spans="1:26" ht="17.399999999999999" x14ac:dyDescent="0.3">
      <c r="A3312" s="10"/>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spans="1:26" ht="17.399999999999999" x14ac:dyDescent="0.3">
      <c r="A3313" s="10"/>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spans="1:26" ht="17.399999999999999" x14ac:dyDescent="0.3">
      <c r="A3314" s="10"/>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spans="1:26" ht="17.399999999999999" x14ac:dyDescent="0.3">
      <c r="A3315" s="10"/>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spans="1:26" ht="17.399999999999999" x14ac:dyDescent="0.3">
      <c r="A3316" s="10"/>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spans="1:26" ht="17.399999999999999" x14ac:dyDescent="0.3">
      <c r="A3317" s="10"/>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spans="1:26" ht="17.399999999999999" x14ac:dyDescent="0.3">
      <c r="A3318" s="10"/>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spans="1:26" ht="17.399999999999999" x14ac:dyDescent="0.3">
      <c r="A3319" s="10"/>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spans="1:26" ht="17.399999999999999" x14ac:dyDescent="0.3">
      <c r="A3320" s="10"/>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spans="1:26" ht="17.399999999999999" x14ac:dyDescent="0.3">
      <c r="A3321" s="10"/>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spans="1:26" ht="17.399999999999999" x14ac:dyDescent="0.3">
      <c r="A3322" s="10"/>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spans="1:26" ht="17.399999999999999" x14ac:dyDescent="0.3">
      <c r="A3323" s="10"/>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spans="1:26" ht="17.399999999999999" x14ac:dyDescent="0.3">
      <c r="A3324" s="10"/>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spans="1:26" ht="17.399999999999999" x14ac:dyDescent="0.3">
      <c r="A3325" s="10"/>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spans="1:26" ht="17.399999999999999" x14ac:dyDescent="0.3">
      <c r="A3326" s="10"/>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spans="1:26" ht="17.399999999999999" x14ac:dyDescent="0.3">
      <c r="A3327" s="10"/>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spans="1:26" ht="17.399999999999999" x14ac:dyDescent="0.3">
      <c r="A3328" s="10"/>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spans="1:26" ht="17.399999999999999" x14ac:dyDescent="0.3">
      <c r="A3329" s="10"/>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spans="1:26" ht="17.399999999999999" x14ac:dyDescent="0.3">
      <c r="A3330" s="10"/>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spans="1:26" ht="17.399999999999999" x14ac:dyDescent="0.3">
      <c r="A3331" s="10"/>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spans="1:26" ht="17.399999999999999" x14ac:dyDescent="0.3">
      <c r="A3332" s="10"/>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spans="1:26" ht="17.399999999999999" x14ac:dyDescent="0.3">
      <c r="A3333" s="10"/>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spans="1:26" ht="17.399999999999999" x14ac:dyDescent="0.3">
      <c r="A3334" s="10"/>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spans="1:26" ht="17.399999999999999" x14ac:dyDescent="0.3">
      <c r="A3335" s="10"/>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spans="1:26" ht="17.399999999999999" x14ac:dyDescent="0.3">
      <c r="A3336" s="10"/>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spans="1:26" ht="17.399999999999999" x14ac:dyDescent="0.3">
      <c r="A3337" s="10"/>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spans="1:26" ht="17.399999999999999" x14ac:dyDescent="0.3">
      <c r="A3338" s="10"/>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spans="1:26" ht="17.399999999999999" x14ac:dyDescent="0.3">
      <c r="A3339" s="10"/>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spans="1:26" ht="17.399999999999999" x14ac:dyDescent="0.3">
      <c r="A3340" s="10"/>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spans="1:26" ht="17.399999999999999" x14ac:dyDescent="0.3">
      <c r="A3341" s="10"/>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spans="1:26" ht="17.399999999999999" x14ac:dyDescent="0.3">
      <c r="A3342" s="10"/>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spans="1:26" ht="17.399999999999999" x14ac:dyDescent="0.3">
      <c r="A3343" s="10"/>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spans="1:26" ht="17.399999999999999" x14ac:dyDescent="0.3">
      <c r="A3344" s="10"/>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spans="1:26" ht="17.399999999999999" x14ac:dyDescent="0.3">
      <c r="A3345" s="10"/>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spans="1:26" ht="17.399999999999999" x14ac:dyDescent="0.3">
      <c r="A3346" s="10"/>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spans="1:26" ht="17.399999999999999" x14ac:dyDescent="0.3">
      <c r="A3347" s="10"/>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spans="1:26" ht="17.399999999999999" x14ac:dyDescent="0.3">
      <c r="A3348" s="10"/>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spans="1:26" ht="17.399999999999999" x14ac:dyDescent="0.3">
      <c r="A3349" s="10"/>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spans="1:26" ht="17.399999999999999" x14ac:dyDescent="0.3">
      <c r="A3350" s="10"/>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spans="1:26" ht="17.399999999999999" x14ac:dyDescent="0.3">
      <c r="A3351" s="10"/>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spans="1:26" ht="17.399999999999999" x14ac:dyDescent="0.3">
      <c r="A3352" s="10"/>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spans="1:26" ht="17.399999999999999" x14ac:dyDescent="0.3">
      <c r="A3353" s="10"/>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spans="1:26" ht="17.399999999999999" x14ac:dyDescent="0.3">
      <c r="A3354" s="10"/>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spans="1:26" ht="17.399999999999999" x14ac:dyDescent="0.3">
      <c r="A3355" s="10"/>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spans="1:26" ht="17.399999999999999" x14ac:dyDescent="0.3">
      <c r="A3356" s="10"/>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spans="1:26" ht="17.399999999999999" x14ac:dyDescent="0.3">
      <c r="A3357" s="10"/>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spans="1:26" ht="17.399999999999999" x14ac:dyDescent="0.3">
      <c r="A3358" s="10"/>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spans="1:26" ht="17.399999999999999" x14ac:dyDescent="0.3">
      <c r="A3359" s="10"/>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spans="1:26" ht="17.399999999999999" x14ac:dyDescent="0.3">
      <c r="A3360" s="10"/>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spans="1:26" ht="17.399999999999999" x14ac:dyDescent="0.3">
      <c r="A3361" s="10"/>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spans="1:26" ht="17.399999999999999" x14ac:dyDescent="0.3">
      <c r="A3362" s="10"/>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spans="1:26" ht="17.399999999999999" x14ac:dyDescent="0.3">
      <c r="A3363" s="10"/>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spans="1:26" ht="17.399999999999999" x14ac:dyDescent="0.3">
      <c r="A3364" s="10"/>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spans="1:26" ht="17.399999999999999" x14ac:dyDescent="0.3">
      <c r="A3365" s="10"/>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spans="1:26" ht="17.399999999999999" x14ac:dyDescent="0.3">
      <c r="A3366" s="10"/>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spans="1:26" ht="17.399999999999999" x14ac:dyDescent="0.3">
      <c r="A3367" s="10"/>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spans="1:26" ht="17.399999999999999" x14ac:dyDescent="0.3">
      <c r="A3368" s="10"/>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spans="1:26" ht="17.399999999999999" x14ac:dyDescent="0.3">
      <c r="A3369" s="10"/>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spans="1:26" ht="17.399999999999999" x14ac:dyDescent="0.3">
      <c r="A3370" s="10"/>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spans="1:26" ht="17.399999999999999" x14ac:dyDescent="0.3">
      <c r="A3371" s="10"/>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spans="1:26" ht="17.399999999999999" x14ac:dyDescent="0.3">
      <c r="A3372" s="10"/>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spans="1:26" ht="17.399999999999999" x14ac:dyDescent="0.3">
      <c r="A3373" s="10"/>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spans="1:26" ht="17.399999999999999" x14ac:dyDescent="0.3">
      <c r="A3374" s="10"/>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spans="1:26" ht="17.399999999999999" x14ac:dyDescent="0.3">
      <c r="A3375" s="10"/>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spans="1:26" ht="17.399999999999999" x14ac:dyDescent="0.3">
      <c r="A3376" s="10"/>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spans="1:26" ht="17.399999999999999" x14ac:dyDescent="0.3">
      <c r="A3377" s="10"/>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spans="1:26" ht="17.399999999999999" x14ac:dyDescent="0.3">
      <c r="A3378" s="10"/>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spans="1:26" ht="17.399999999999999" x14ac:dyDescent="0.3">
      <c r="A3379" s="10"/>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spans="1:26" ht="17.399999999999999" x14ac:dyDescent="0.3">
      <c r="A3380" s="10"/>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spans="1:26" ht="17.399999999999999" x14ac:dyDescent="0.3">
      <c r="A3381" s="10"/>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spans="1:26" ht="17.399999999999999" x14ac:dyDescent="0.3">
      <c r="A3382" s="10"/>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spans="1:26" ht="17.399999999999999" x14ac:dyDescent="0.3">
      <c r="A3383" s="10"/>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spans="1:26" ht="17.399999999999999" x14ac:dyDescent="0.3">
      <c r="A3384" s="10"/>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spans="1:26" ht="17.399999999999999" x14ac:dyDescent="0.3">
      <c r="A3385" s="10"/>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spans="1:26" ht="17.399999999999999" x14ac:dyDescent="0.3">
      <c r="A3386" s="10"/>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spans="1:26" ht="17.399999999999999" x14ac:dyDescent="0.3">
      <c r="A3387" s="10"/>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spans="1:26" ht="17.399999999999999" x14ac:dyDescent="0.3">
      <c r="A3388" s="10"/>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spans="1:26" ht="17.399999999999999" x14ac:dyDescent="0.3">
      <c r="A3389" s="10"/>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spans="1:26" ht="17.399999999999999" x14ac:dyDescent="0.3">
      <c r="A3390" s="10"/>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spans="1:26" ht="17.399999999999999" x14ac:dyDescent="0.3">
      <c r="A3391" s="10"/>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spans="1:26" ht="17.399999999999999" x14ac:dyDescent="0.3">
      <c r="A3392" s="10"/>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spans="1:26" ht="17.399999999999999" x14ac:dyDescent="0.3">
      <c r="A3393" s="10"/>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spans="1:26" ht="17.399999999999999" x14ac:dyDescent="0.3">
      <c r="A3394" s="10"/>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spans="1:26" ht="17.399999999999999" x14ac:dyDescent="0.3">
      <c r="A3395" s="10"/>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spans="1:26" ht="17.399999999999999" x14ac:dyDescent="0.3">
      <c r="A3396" s="10"/>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spans="1:26" ht="17.399999999999999" x14ac:dyDescent="0.3">
      <c r="A3397" s="10"/>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spans="1:26" ht="17.399999999999999" x14ac:dyDescent="0.3">
      <c r="A3398" s="10"/>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spans="1:26" ht="17.399999999999999" x14ac:dyDescent="0.3">
      <c r="A3399" s="10"/>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spans="1:26" ht="17.399999999999999" x14ac:dyDescent="0.3">
      <c r="A3400" s="10"/>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spans="1:26" ht="17.399999999999999" x14ac:dyDescent="0.3">
      <c r="A3401" s="10"/>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spans="1:26" ht="17.399999999999999" x14ac:dyDescent="0.3">
      <c r="A3402" s="10"/>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spans="1:26" ht="17.399999999999999" x14ac:dyDescent="0.3">
      <c r="A3403" s="10"/>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spans="1:26" ht="17.399999999999999" x14ac:dyDescent="0.3">
      <c r="A3404" s="10"/>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spans="1:26" ht="17.399999999999999" x14ac:dyDescent="0.3">
      <c r="A3405" s="10"/>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spans="1:26" ht="17.399999999999999" x14ac:dyDescent="0.3">
      <c r="A3406" s="10"/>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spans="1:26" ht="17.399999999999999" x14ac:dyDescent="0.3">
      <c r="A3407" s="10"/>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spans="1:26" ht="17.399999999999999" x14ac:dyDescent="0.3">
      <c r="A3408" s="10"/>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spans="1:26" ht="17.399999999999999" x14ac:dyDescent="0.3">
      <c r="A3409" s="10"/>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spans="1:26" ht="17.399999999999999" x14ac:dyDescent="0.3">
      <c r="A3410" s="10"/>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spans="1:26" ht="17.399999999999999" x14ac:dyDescent="0.3">
      <c r="A3411" s="10"/>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spans="1:26" ht="17.399999999999999" x14ac:dyDescent="0.3">
      <c r="A3412" s="10"/>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spans="1:26" ht="17.399999999999999" x14ac:dyDescent="0.3">
      <c r="A3413" s="10"/>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spans="1:26" ht="17.399999999999999" x14ac:dyDescent="0.3">
      <c r="A3414" s="10"/>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spans="1:26" ht="17.399999999999999" x14ac:dyDescent="0.3">
      <c r="A3415" s="10"/>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spans="1:26" ht="17.399999999999999" x14ac:dyDescent="0.3">
      <c r="A3416" s="10"/>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spans="1:26" ht="17.399999999999999" x14ac:dyDescent="0.3">
      <c r="A3417" s="10"/>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spans="1:26" ht="17.399999999999999" x14ac:dyDescent="0.3">
      <c r="A3418" s="10"/>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spans="1:26" ht="17.399999999999999" x14ac:dyDescent="0.3">
      <c r="A3419" s="10"/>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spans="1:26" ht="17.399999999999999" x14ac:dyDescent="0.3">
      <c r="A3420" s="10"/>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spans="1:26" ht="17.399999999999999" x14ac:dyDescent="0.3">
      <c r="A3421" s="10"/>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spans="1:26" ht="17.399999999999999" x14ac:dyDescent="0.3">
      <c r="A3422" s="10"/>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spans="1:26" ht="17.399999999999999" x14ac:dyDescent="0.3">
      <c r="A3423" s="10"/>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spans="1:26" ht="17.399999999999999" x14ac:dyDescent="0.3">
      <c r="A3424" s="10"/>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spans="1:26" ht="17.399999999999999" x14ac:dyDescent="0.3">
      <c r="A3425" s="10"/>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spans="1:26" ht="17.399999999999999" x14ac:dyDescent="0.3">
      <c r="A3426" s="10"/>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spans="1:26" ht="17.399999999999999" x14ac:dyDescent="0.3">
      <c r="A3427" s="10"/>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spans="1:26" ht="17.399999999999999" x14ac:dyDescent="0.3">
      <c r="A3428" s="10"/>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spans="1:26" ht="17.399999999999999" x14ac:dyDescent="0.3">
      <c r="A3429" s="10"/>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spans="1:26" ht="17.399999999999999" x14ac:dyDescent="0.3">
      <c r="A3430" s="10"/>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spans="1:26" ht="17.399999999999999" x14ac:dyDescent="0.3">
      <c r="A3431" s="10"/>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spans="1:26" ht="17.399999999999999" x14ac:dyDescent="0.3">
      <c r="A3432" s="10"/>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spans="1:26" ht="17.399999999999999" x14ac:dyDescent="0.3">
      <c r="A3433" s="10"/>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spans="1:26" ht="17.399999999999999" x14ac:dyDescent="0.3">
      <c r="A3434" s="10"/>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spans="1:26" ht="17.399999999999999" x14ac:dyDescent="0.3">
      <c r="A3435" s="10"/>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spans="1:26" ht="17.399999999999999" x14ac:dyDescent="0.3">
      <c r="A3436" s="10"/>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spans="1:26" ht="17.399999999999999" x14ac:dyDescent="0.3">
      <c r="A3437" s="10"/>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spans="1:26" ht="17.399999999999999" x14ac:dyDescent="0.3">
      <c r="A3438" s="10"/>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spans="1:26" ht="17.399999999999999" x14ac:dyDescent="0.3">
      <c r="A3439" s="10"/>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spans="1:26" ht="17.399999999999999" x14ac:dyDescent="0.3">
      <c r="A3440" s="10"/>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spans="1:26" ht="17.399999999999999" x14ac:dyDescent="0.3">
      <c r="A3441" s="10"/>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spans="1:26" ht="17.399999999999999" x14ac:dyDescent="0.3">
      <c r="A3442" s="10"/>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spans="1:26" ht="17.399999999999999" x14ac:dyDescent="0.3">
      <c r="A3443" s="10"/>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spans="1:26" ht="17.399999999999999" x14ac:dyDescent="0.3">
      <c r="A3444" s="10"/>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spans="1:26" ht="17.399999999999999" x14ac:dyDescent="0.3">
      <c r="A3445" s="10"/>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spans="1:26" ht="17.399999999999999" x14ac:dyDescent="0.3">
      <c r="A3446" s="10"/>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spans="1:26" ht="17.399999999999999" x14ac:dyDescent="0.3">
      <c r="A3447" s="10"/>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spans="1:26" ht="17.399999999999999" x14ac:dyDescent="0.3">
      <c r="A3448" s="10"/>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spans="1:26" ht="17.399999999999999" x14ac:dyDescent="0.3">
      <c r="A3449" s="10"/>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spans="1:26" ht="17.399999999999999" x14ac:dyDescent="0.3">
      <c r="A3450" s="10"/>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spans="1:26" ht="17.399999999999999" x14ac:dyDescent="0.3">
      <c r="A3451" s="10"/>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spans="1:26" ht="17.399999999999999" x14ac:dyDescent="0.3">
      <c r="A3452" s="10"/>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spans="1:26" ht="17.399999999999999" x14ac:dyDescent="0.3">
      <c r="A3453" s="10"/>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spans="1:26" ht="17.399999999999999" x14ac:dyDescent="0.3">
      <c r="A3454" s="10"/>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spans="1:26" ht="17.399999999999999" x14ac:dyDescent="0.3">
      <c r="A3455" s="10"/>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spans="1:26" ht="17.399999999999999" x14ac:dyDescent="0.3">
      <c r="A3456" s="10"/>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spans="1:26" ht="17.399999999999999" x14ac:dyDescent="0.3">
      <c r="A3457" s="10"/>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spans="1:26" ht="17.399999999999999" x14ac:dyDescent="0.3">
      <c r="A3458" s="10"/>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spans="1:26" ht="17.399999999999999" x14ac:dyDescent="0.3">
      <c r="A3459" s="10"/>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spans="1:26" ht="17.399999999999999" x14ac:dyDescent="0.3">
      <c r="A3460" s="10"/>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spans="1:26" ht="17.399999999999999" x14ac:dyDescent="0.3">
      <c r="A3461" s="10"/>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spans="1:26" ht="17.399999999999999" x14ac:dyDescent="0.3">
      <c r="A3462" s="10"/>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spans="1:26" ht="17.399999999999999" x14ac:dyDescent="0.3">
      <c r="A3463" s="10"/>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spans="1:26" ht="17.399999999999999" x14ac:dyDescent="0.3">
      <c r="A3464" s="10"/>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spans="1:26" ht="17.399999999999999" x14ac:dyDescent="0.3">
      <c r="A3465" s="10"/>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spans="1:26" ht="17.399999999999999" x14ac:dyDescent="0.3">
      <c r="A3466" s="10"/>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spans="1:26" ht="17.399999999999999" x14ac:dyDescent="0.3">
      <c r="A3467" s="10"/>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spans="1:26" ht="17.399999999999999" x14ac:dyDescent="0.3">
      <c r="A3468" s="10"/>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spans="1:26" ht="17.399999999999999" x14ac:dyDescent="0.3">
      <c r="A3469" s="10"/>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spans="1:26" ht="17.399999999999999" x14ac:dyDescent="0.3">
      <c r="A3470" s="10"/>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spans="1:26" ht="17.399999999999999" x14ac:dyDescent="0.3">
      <c r="A3471" s="10"/>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spans="1:26" ht="17.399999999999999" x14ac:dyDescent="0.3">
      <c r="A3472" s="10"/>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spans="1:26" ht="17.399999999999999" x14ac:dyDescent="0.3">
      <c r="A3473" s="10"/>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spans="1:26" ht="17.399999999999999" x14ac:dyDescent="0.3">
      <c r="A3474" s="10"/>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spans="1:26" ht="17.399999999999999" x14ac:dyDescent="0.3">
      <c r="A3475" s="10"/>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spans="1:26" ht="17.399999999999999" x14ac:dyDescent="0.3">
      <c r="A3476" s="10"/>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spans="1:26" ht="17.399999999999999" x14ac:dyDescent="0.3">
      <c r="A3477" s="10"/>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spans="1:26" ht="17.399999999999999" x14ac:dyDescent="0.3">
      <c r="A3478" s="10"/>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spans="1:26" ht="17.399999999999999" x14ac:dyDescent="0.3">
      <c r="A3479" s="10"/>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spans="1:26" ht="17.399999999999999" x14ac:dyDescent="0.3">
      <c r="A3480" s="10"/>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spans="1:26" ht="17.399999999999999" x14ac:dyDescent="0.3">
      <c r="A3481" s="10"/>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spans="1:26" ht="17.399999999999999" x14ac:dyDescent="0.3">
      <c r="A3482" s="10"/>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spans="1:26" ht="17.399999999999999" x14ac:dyDescent="0.3">
      <c r="A3483" s="10"/>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spans="1:26" ht="17.399999999999999" x14ac:dyDescent="0.3">
      <c r="A3484" s="10"/>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spans="1:26" ht="17.399999999999999" x14ac:dyDescent="0.3">
      <c r="A3485" s="10"/>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spans="1:26" ht="17.399999999999999" x14ac:dyDescent="0.3">
      <c r="A3486" s="10"/>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spans="1:26" ht="17.399999999999999" x14ac:dyDescent="0.3">
      <c r="A3487" s="10"/>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spans="1:26" ht="17.399999999999999" x14ac:dyDescent="0.3">
      <c r="A3488" s="10"/>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spans="1:26" ht="17.399999999999999" x14ac:dyDescent="0.3">
      <c r="A3489" s="10"/>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spans="1:26" ht="17.399999999999999" x14ac:dyDescent="0.3">
      <c r="A3490" s="10"/>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spans="1:26" ht="17.399999999999999" x14ac:dyDescent="0.3">
      <c r="A3491" s="10"/>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spans="1:26" ht="17.399999999999999" x14ac:dyDescent="0.3">
      <c r="A3492" s="10"/>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spans="1:26" ht="17.399999999999999" x14ac:dyDescent="0.3">
      <c r="A3493" s="10"/>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spans="1:26" ht="17.399999999999999" x14ac:dyDescent="0.3">
      <c r="A3494" s="10"/>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spans="1:26" ht="17.399999999999999" x14ac:dyDescent="0.3">
      <c r="A3495" s="10"/>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spans="1:26" ht="17.399999999999999" x14ac:dyDescent="0.3">
      <c r="A3496" s="10"/>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spans="1:26" ht="17.399999999999999" x14ac:dyDescent="0.3">
      <c r="A3497" s="10"/>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spans="1:26" ht="17.399999999999999" x14ac:dyDescent="0.3">
      <c r="A3498" s="10"/>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spans="1:26" ht="17.399999999999999" x14ac:dyDescent="0.3">
      <c r="A3499" s="10"/>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spans="1:26" ht="17.399999999999999" x14ac:dyDescent="0.3">
      <c r="A3500" s="10"/>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spans="1:26" ht="17.399999999999999" x14ac:dyDescent="0.3">
      <c r="A3501" s="10"/>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spans="1:26" ht="17.399999999999999" x14ac:dyDescent="0.3">
      <c r="A3502" s="10"/>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spans="1:26" ht="17.399999999999999" x14ac:dyDescent="0.3">
      <c r="A3503" s="10"/>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spans="1:26" ht="17.399999999999999" x14ac:dyDescent="0.3">
      <c r="A3504" s="10"/>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spans="1:26" ht="17.399999999999999" x14ac:dyDescent="0.3">
      <c r="A3505" s="10"/>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spans="1:26" ht="17.399999999999999" x14ac:dyDescent="0.3">
      <c r="A3506" s="10"/>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spans="1:26" ht="17.399999999999999" x14ac:dyDescent="0.3">
      <c r="A3507" s="10"/>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spans="1:26" ht="17.399999999999999" x14ac:dyDescent="0.3">
      <c r="A3508" s="10"/>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spans="1:26" ht="17.399999999999999" x14ac:dyDescent="0.3">
      <c r="A3509" s="10"/>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spans="1:26" ht="17.399999999999999" x14ac:dyDescent="0.3">
      <c r="A3510" s="10"/>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spans="1:26" ht="17.399999999999999" x14ac:dyDescent="0.3">
      <c r="A3511" s="10"/>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spans="1:26" ht="17.399999999999999" x14ac:dyDescent="0.3">
      <c r="A3512" s="10"/>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spans="1:26" ht="17.399999999999999" x14ac:dyDescent="0.3">
      <c r="A3513" s="10"/>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spans="1:26" ht="17.399999999999999" x14ac:dyDescent="0.3">
      <c r="A3514" s="10"/>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spans="1:26" ht="17.399999999999999" x14ac:dyDescent="0.3">
      <c r="A3515" s="10"/>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spans="1:26" ht="17.399999999999999" x14ac:dyDescent="0.3">
      <c r="A3516" s="10"/>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spans="1:26" ht="17.399999999999999" x14ac:dyDescent="0.3">
      <c r="A3517" s="10"/>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spans="1:26" ht="17.399999999999999" x14ac:dyDescent="0.3">
      <c r="A3518" s="10"/>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spans="1:26" ht="17.399999999999999" x14ac:dyDescent="0.3">
      <c r="A3519" s="10"/>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spans="1:26" ht="17.399999999999999" x14ac:dyDescent="0.3">
      <c r="A3520" s="10"/>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spans="1:26" ht="17.399999999999999" x14ac:dyDescent="0.3">
      <c r="A3521" s="10"/>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spans="1:26" ht="17.399999999999999" x14ac:dyDescent="0.3">
      <c r="A3522" s="10"/>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spans="1:26" ht="17.399999999999999" x14ac:dyDescent="0.3">
      <c r="A3523" s="10"/>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spans="1:26" ht="17.399999999999999" x14ac:dyDescent="0.3">
      <c r="A3524" s="10"/>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spans="1:26" ht="17.399999999999999" x14ac:dyDescent="0.3">
      <c r="A3525" s="10"/>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spans="1:26" ht="17.399999999999999" x14ac:dyDescent="0.3">
      <c r="A3526" s="10"/>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spans="1:26" ht="17.399999999999999" x14ac:dyDescent="0.3">
      <c r="A3527" s="10"/>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spans="1:26" ht="17.399999999999999" x14ac:dyDescent="0.3">
      <c r="A3528" s="10"/>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spans="1:26" ht="17.399999999999999" x14ac:dyDescent="0.3">
      <c r="A3529" s="10"/>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spans="1:26" ht="17.399999999999999" x14ac:dyDescent="0.3">
      <c r="A3530" s="10"/>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spans="1:26" ht="17.399999999999999" x14ac:dyDescent="0.3">
      <c r="A3531" s="10"/>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spans="1:26" ht="17.399999999999999" x14ac:dyDescent="0.3">
      <c r="A3532" s="10"/>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spans="1:26" ht="17.399999999999999" x14ac:dyDescent="0.3">
      <c r="A3533" s="10"/>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spans="1:26" ht="17.399999999999999" x14ac:dyDescent="0.3">
      <c r="A3534" s="10"/>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spans="1:26" ht="17.399999999999999" x14ac:dyDescent="0.3">
      <c r="A3535" s="10"/>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spans="1:26" ht="17.399999999999999" x14ac:dyDescent="0.3">
      <c r="A3536" s="10"/>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spans="1:26" ht="17.399999999999999" x14ac:dyDescent="0.3">
      <c r="A3537" s="10"/>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spans="1:26" ht="17.399999999999999" x14ac:dyDescent="0.3">
      <c r="A3538" s="10"/>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spans="1:26" ht="17.399999999999999" x14ac:dyDescent="0.3">
      <c r="A3539" s="10"/>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spans="1:26" ht="17.399999999999999" x14ac:dyDescent="0.3">
      <c r="A3540" s="10"/>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spans="1:26" ht="17.399999999999999" x14ac:dyDescent="0.3">
      <c r="A3541" s="10"/>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spans="1:26" ht="17.399999999999999" x14ac:dyDescent="0.3">
      <c r="A3542" s="10"/>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spans="1:26" ht="17.399999999999999" x14ac:dyDescent="0.3">
      <c r="A3543" s="10"/>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spans="1:26" ht="17.399999999999999" x14ac:dyDescent="0.3">
      <c r="A3544" s="10"/>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spans="1:26" ht="17.399999999999999" x14ac:dyDescent="0.3">
      <c r="A3545" s="10"/>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spans="1:26" ht="17.399999999999999" x14ac:dyDescent="0.3">
      <c r="A3546" s="10"/>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spans="1:26" ht="17.399999999999999" x14ac:dyDescent="0.3">
      <c r="A3547" s="10"/>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spans="1:26" ht="17.399999999999999" x14ac:dyDescent="0.3">
      <c r="A3548" s="10"/>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spans="1:26" ht="17.399999999999999" x14ac:dyDescent="0.3">
      <c r="A3549" s="10"/>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spans="1:26" ht="17.399999999999999" x14ac:dyDescent="0.3">
      <c r="A3550" s="10"/>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spans="1:26" ht="17.399999999999999" x14ac:dyDescent="0.3">
      <c r="A3551" s="10"/>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spans="1:26" ht="17.399999999999999" x14ac:dyDescent="0.3">
      <c r="A3552" s="10"/>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spans="1:26" ht="17.399999999999999" x14ac:dyDescent="0.3">
      <c r="A3553" s="10"/>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spans="1:26" ht="17.399999999999999" x14ac:dyDescent="0.3">
      <c r="A3554" s="10"/>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spans="1:26" ht="17.399999999999999" x14ac:dyDescent="0.3">
      <c r="A3555" s="10"/>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spans="1:26" ht="17.399999999999999" x14ac:dyDescent="0.3">
      <c r="A3556" s="10"/>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spans="1:26" ht="17.399999999999999" x14ac:dyDescent="0.3">
      <c r="A3557" s="10"/>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spans="1:26" ht="17.399999999999999" x14ac:dyDescent="0.3">
      <c r="A3558" s="10"/>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spans="1:26" ht="17.399999999999999" x14ac:dyDescent="0.3">
      <c r="A3559" s="10"/>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spans="1:26" ht="17.399999999999999" x14ac:dyDescent="0.3">
      <c r="A3560" s="10"/>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spans="1:26" ht="17.399999999999999" x14ac:dyDescent="0.3">
      <c r="A3561" s="10"/>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spans="1:26" ht="17.399999999999999" x14ac:dyDescent="0.3">
      <c r="A3562" s="10"/>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spans="1:26" ht="17.399999999999999" x14ac:dyDescent="0.3">
      <c r="A3563" s="10"/>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spans="1:26" ht="17.399999999999999" x14ac:dyDescent="0.3">
      <c r="A3564" s="10"/>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spans="1:26" ht="17.399999999999999" x14ac:dyDescent="0.3">
      <c r="A3565" s="10"/>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spans="1:26" ht="17.399999999999999" x14ac:dyDescent="0.3">
      <c r="A3566" s="10"/>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spans="1:26" ht="17.399999999999999" x14ac:dyDescent="0.3">
      <c r="A3567" s="10"/>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spans="1:26" ht="17.399999999999999" x14ac:dyDescent="0.3">
      <c r="A3568" s="10"/>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spans="1:26" ht="17.399999999999999" x14ac:dyDescent="0.3">
      <c r="A3569" s="10"/>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spans="1:26" ht="17.399999999999999" x14ac:dyDescent="0.3">
      <c r="A3570" s="10"/>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spans="1:26" ht="17.399999999999999" x14ac:dyDescent="0.3">
      <c r="A3571" s="10"/>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spans="1:26" ht="17.399999999999999" x14ac:dyDescent="0.3">
      <c r="A3572" s="10"/>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spans="1:26" ht="17.399999999999999" x14ac:dyDescent="0.3">
      <c r="A3573" s="10"/>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spans="1:26" ht="17.399999999999999" x14ac:dyDescent="0.3">
      <c r="A3574" s="10"/>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spans="1:26" ht="17.399999999999999" x14ac:dyDescent="0.3">
      <c r="A3575" s="10"/>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spans="1:26" ht="17.399999999999999" x14ac:dyDescent="0.3">
      <c r="A3576" s="10"/>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spans="1:26" ht="17.399999999999999" x14ac:dyDescent="0.3">
      <c r="A3577" s="10"/>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spans="1:26" ht="17.399999999999999" x14ac:dyDescent="0.3">
      <c r="A3578" s="10"/>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spans="1:26" ht="17.399999999999999" x14ac:dyDescent="0.3">
      <c r="A3579" s="10"/>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spans="1:26" ht="17.399999999999999" x14ac:dyDescent="0.3">
      <c r="A3580" s="10"/>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spans="1:26" ht="17.399999999999999" x14ac:dyDescent="0.3">
      <c r="A3581" s="10"/>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spans="1:26" ht="17.399999999999999" x14ac:dyDescent="0.3">
      <c r="A3582" s="10"/>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spans="1:26" ht="17.399999999999999" x14ac:dyDescent="0.3">
      <c r="A3583" s="10"/>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spans="1:26" ht="17.399999999999999" x14ac:dyDescent="0.3">
      <c r="A3584" s="10"/>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spans="1:26" ht="17.399999999999999" x14ac:dyDescent="0.3">
      <c r="A3585" s="10"/>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spans="1:26" ht="17.399999999999999" x14ac:dyDescent="0.3">
      <c r="A3586" s="10"/>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spans="1:26" ht="17.399999999999999" x14ac:dyDescent="0.3">
      <c r="A3587" s="10"/>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spans="1:26" ht="17.399999999999999" x14ac:dyDescent="0.3">
      <c r="A3588" s="10"/>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spans="1:26" ht="17.399999999999999" x14ac:dyDescent="0.3">
      <c r="A3589" s="10"/>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spans="1:26" ht="17.399999999999999" x14ac:dyDescent="0.3">
      <c r="A3590" s="10"/>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spans="1:26" ht="17.399999999999999" x14ac:dyDescent="0.3">
      <c r="A3591" s="10"/>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spans="1:26" ht="17.399999999999999" x14ac:dyDescent="0.3">
      <c r="A3592" s="10"/>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spans="1:26" ht="17.399999999999999" x14ac:dyDescent="0.3">
      <c r="A3593" s="10"/>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spans="1:26" ht="17.399999999999999" x14ac:dyDescent="0.3">
      <c r="A3594" s="10"/>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spans="1:26" ht="17.399999999999999" x14ac:dyDescent="0.3">
      <c r="A3595" s="10"/>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spans="1:26" ht="17.399999999999999" x14ac:dyDescent="0.3">
      <c r="A3596" s="10"/>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spans="1:26" ht="17.399999999999999" x14ac:dyDescent="0.3">
      <c r="A3597" s="10"/>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spans="1:26" ht="17.399999999999999" x14ac:dyDescent="0.3">
      <c r="A3598" s="10"/>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spans="1:26" ht="17.399999999999999" x14ac:dyDescent="0.3">
      <c r="A3599" s="10"/>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spans="1:26" ht="17.399999999999999" x14ac:dyDescent="0.3">
      <c r="A3600" s="10"/>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spans="1:26" ht="17.399999999999999" x14ac:dyDescent="0.3">
      <c r="A3601" s="10"/>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spans="1:26" ht="17.399999999999999" x14ac:dyDescent="0.3">
      <c r="A3602" s="10"/>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spans="1:26" ht="17.399999999999999" x14ac:dyDescent="0.3">
      <c r="A3603" s="10"/>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spans="1:26" ht="17.399999999999999" x14ac:dyDescent="0.3">
      <c r="A3604" s="10"/>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spans="1:26" ht="17.399999999999999" x14ac:dyDescent="0.3">
      <c r="A3605" s="10"/>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spans="1:26" ht="17.399999999999999" x14ac:dyDescent="0.3">
      <c r="A3606" s="10"/>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spans="1:26" ht="17.399999999999999" x14ac:dyDescent="0.3">
      <c r="A3607" s="10"/>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spans="1:26" ht="17.399999999999999" x14ac:dyDescent="0.3">
      <c r="A3608" s="10"/>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spans="1:26" ht="17.399999999999999" x14ac:dyDescent="0.3">
      <c r="A3609" s="10"/>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spans="1:26" ht="17.399999999999999" x14ac:dyDescent="0.3">
      <c r="A3610" s="10"/>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spans="1:26" ht="17.399999999999999" x14ac:dyDescent="0.3">
      <c r="A3611" s="10"/>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spans="1:26" ht="17.399999999999999" x14ac:dyDescent="0.3">
      <c r="A3612" s="10"/>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spans="1:26" ht="17.399999999999999" x14ac:dyDescent="0.3">
      <c r="A3613" s="10"/>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spans="1:26" ht="17.399999999999999" x14ac:dyDescent="0.3">
      <c r="A3614" s="10"/>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spans="1:26" ht="17.399999999999999" x14ac:dyDescent="0.3">
      <c r="A3615" s="10"/>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spans="1:26" ht="17.399999999999999" x14ac:dyDescent="0.3">
      <c r="A3616" s="10"/>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spans="1:26" ht="17.399999999999999" x14ac:dyDescent="0.3">
      <c r="A3617" s="10"/>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spans="1:26" ht="17.399999999999999" x14ac:dyDescent="0.3">
      <c r="A3618" s="10"/>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spans="1:26" ht="17.399999999999999" x14ac:dyDescent="0.3">
      <c r="A3619" s="10"/>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spans="1:26" ht="17.399999999999999" x14ac:dyDescent="0.3">
      <c r="A3620" s="10"/>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spans="1:26" ht="17.399999999999999" x14ac:dyDescent="0.3">
      <c r="A3621" s="10"/>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spans="1:26" ht="17.399999999999999" x14ac:dyDescent="0.3">
      <c r="A3622" s="10"/>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spans="1:26" ht="17.399999999999999" x14ac:dyDescent="0.3">
      <c r="A3623" s="10"/>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spans="1:26" ht="17.399999999999999" x14ac:dyDescent="0.3">
      <c r="A3624" s="10"/>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spans="1:26" ht="17.399999999999999" x14ac:dyDescent="0.3">
      <c r="A3625" s="10"/>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spans="1:26" ht="17.399999999999999" x14ac:dyDescent="0.3">
      <c r="A3626" s="10"/>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spans="1:26" ht="17.399999999999999" x14ac:dyDescent="0.3">
      <c r="A3627" s="10"/>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spans="1:26" ht="17.399999999999999" x14ac:dyDescent="0.3">
      <c r="A3628" s="10"/>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spans="1:26" ht="17.399999999999999" x14ac:dyDescent="0.3">
      <c r="A3629" s="10"/>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spans="1:26" ht="17.399999999999999" x14ac:dyDescent="0.3">
      <c r="A3630" s="10"/>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spans="1:26" ht="17.399999999999999" x14ac:dyDescent="0.3">
      <c r="A3631" s="10"/>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spans="1:26" ht="17.399999999999999" x14ac:dyDescent="0.3">
      <c r="A3632" s="10"/>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spans="1:26" ht="17.399999999999999" x14ac:dyDescent="0.3">
      <c r="A3633" s="10"/>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spans="1:26" ht="17.399999999999999" x14ac:dyDescent="0.3">
      <c r="A3634" s="10"/>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spans="1:26" ht="17.399999999999999" x14ac:dyDescent="0.3">
      <c r="A3635" s="10"/>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spans="1:26" ht="17.399999999999999" x14ac:dyDescent="0.3">
      <c r="A3636" s="10"/>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spans="1:26" ht="17.399999999999999" x14ac:dyDescent="0.3">
      <c r="A3637" s="10"/>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spans="1:26" ht="17.399999999999999" x14ac:dyDescent="0.3">
      <c r="A3638" s="10"/>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spans="1:26" ht="17.399999999999999" x14ac:dyDescent="0.3">
      <c r="A3639" s="10"/>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spans="1:26" ht="17.399999999999999" x14ac:dyDescent="0.3">
      <c r="A3640" s="10"/>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spans="1:26" ht="17.399999999999999" x14ac:dyDescent="0.3">
      <c r="A3641" s="10"/>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spans="1:26" ht="17.399999999999999" x14ac:dyDescent="0.3">
      <c r="A3642" s="10"/>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spans="1:26" ht="17.399999999999999" x14ac:dyDescent="0.3">
      <c r="A3643" s="10"/>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spans="1:26" ht="17.399999999999999" x14ac:dyDescent="0.3">
      <c r="A3644" s="10"/>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spans="1:26" ht="17.399999999999999" x14ac:dyDescent="0.3">
      <c r="A3645" s="10"/>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spans="1:26" ht="17.399999999999999" x14ac:dyDescent="0.3">
      <c r="A3646" s="10"/>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spans="1:26" ht="17.399999999999999" x14ac:dyDescent="0.3">
      <c r="A3647" s="10"/>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spans="1:26" ht="17.399999999999999" x14ac:dyDescent="0.3">
      <c r="A3648" s="10"/>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spans="1:26" ht="17.399999999999999" x14ac:dyDescent="0.3">
      <c r="A3649" s="10"/>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spans="1:26" ht="17.399999999999999" x14ac:dyDescent="0.3">
      <c r="A3650" s="10"/>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spans="1:26" ht="17.399999999999999" x14ac:dyDescent="0.3">
      <c r="A3651" s="10"/>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spans="1:26" ht="17.399999999999999" x14ac:dyDescent="0.3">
      <c r="A3652" s="10"/>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spans="1:26" ht="17.399999999999999" x14ac:dyDescent="0.3">
      <c r="A3653" s="10"/>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spans="1:26" ht="17.399999999999999" x14ac:dyDescent="0.3">
      <c r="A3654" s="10"/>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spans="1:26" ht="17.399999999999999" x14ac:dyDescent="0.3">
      <c r="A3655" s="10"/>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spans="1:26" ht="17.399999999999999" x14ac:dyDescent="0.3">
      <c r="A3656" s="10"/>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spans="1:26" ht="17.399999999999999" x14ac:dyDescent="0.3">
      <c r="A3657" s="10"/>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spans="1:26" ht="17.399999999999999" x14ac:dyDescent="0.3">
      <c r="A3658" s="10"/>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spans="1:26" ht="17.399999999999999" x14ac:dyDescent="0.3">
      <c r="A3659" s="10"/>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spans="1:26" ht="17.399999999999999" x14ac:dyDescent="0.3">
      <c r="A3660" s="10"/>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spans="1:26" ht="17.399999999999999" x14ac:dyDescent="0.3">
      <c r="A3661" s="10"/>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spans="1:26" ht="17.399999999999999" x14ac:dyDescent="0.3">
      <c r="A3662" s="10"/>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spans="1:26" ht="17.399999999999999" x14ac:dyDescent="0.3">
      <c r="A3663" s="10"/>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spans="1:26" ht="17.399999999999999" x14ac:dyDescent="0.3">
      <c r="A3664" s="10"/>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spans="1:26" ht="17.399999999999999" x14ac:dyDescent="0.3">
      <c r="A3665" s="10"/>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spans="1:26" ht="17.399999999999999" x14ac:dyDescent="0.3">
      <c r="A3666" s="10"/>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spans="1:26" ht="17.399999999999999" x14ac:dyDescent="0.3">
      <c r="A3667" s="10"/>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spans="1:26" ht="17.399999999999999" x14ac:dyDescent="0.3">
      <c r="A3668" s="10"/>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spans="1:26" ht="17.399999999999999" x14ac:dyDescent="0.3">
      <c r="A3669" s="10"/>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spans="1:26" ht="17.399999999999999" x14ac:dyDescent="0.3">
      <c r="A3670" s="10"/>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spans="1:26" ht="17.399999999999999" x14ac:dyDescent="0.3">
      <c r="A3671" s="10"/>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spans="1:26" ht="17.399999999999999" x14ac:dyDescent="0.3">
      <c r="A3672" s="10"/>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spans="1:26" ht="17.399999999999999" x14ac:dyDescent="0.3">
      <c r="A3673" s="10"/>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spans="1:26" ht="17.399999999999999" x14ac:dyDescent="0.3">
      <c r="A3674" s="10"/>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spans="1:26" ht="17.399999999999999" x14ac:dyDescent="0.3">
      <c r="A3675" s="10"/>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spans="1:26" ht="17.399999999999999" x14ac:dyDescent="0.3">
      <c r="A3676" s="10"/>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spans="1:26" ht="17.399999999999999" x14ac:dyDescent="0.3">
      <c r="A3677" s="10"/>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spans="1:26" ht="17.399999999999999" x14ac:dyDescent="0.3">
      <c r="A3678" s="10"/>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spans="1:26" ht="17.399999999999999" x14ac:dyDescent="0.3">
      <c r="A3679" s="10"/>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spans="1:26" ht="17.399999999999999" x14ac:dyDescent="0.3">
      <c r="A3680" s="10"/>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spans="1:26" ht="17.399999999999999" x14ac:dyDescent="0.3">
      <c r="A3681" s="10"/>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spans="1:26" ht="17.399999999999999" x14ac:dyDescent="0.3">
      <c r="A3682" s="10"/>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spans="1:26" ht="17.399999999999999" x14ac:dyDescent="0.3">
      <c r="A3683" s="10"/>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spans="1:26" ht="17.399999999999999" x14ac:dyDescent="0.3">
      <c r="A3684" s="10"/>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spans="1:26" ht="17.399999999999999" x14ac:dyDescent="0.3">
      <c r="A3685" s="10"/>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spans="1:26" ht="17.399999999999999" x14ac:dyDescent="0.3">
      <c r="A3686" s="10"/>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spans="1:26" ht="17.399999999999999" x14ac:dyDescent="0.3">
      <c r="A3687" s="10"/>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spans="1:26" ht="17.399999999999999" x14ac:dyDescent="0.3">
      <c r="A3688" s="10"/>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spans="1:26" ht="17.399999999999999" x14ac:dyDescent="0.3">
      <c r="A3689" s="10"/>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spans="1:26" ht="17.399999999999999" x14ac:dyDescent="0.3">
      <c r="A3690" s="10"/>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spans="1:26" ht="17.399999999999999" x14ac:dyDescent="0.3">
      <c r="A3691" s="10"/>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spans="1:26" ht="17.399999999999999" x14ac:dyDescent="0.3">
      <c r="A3692" s="10"/>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spans="1:26" ht="17.399999999999999" x14ac:dyDescent="0.3">
      <c r="A3693" s="10"/>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spans="1:26" ht="17.399999999999999" x14ac:dyDescent="0.3">
      <c r="A3694" s="10"/>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spans="1:26" ht="17.399999999999999" x14ac:dyDescent="0.3">
      <c r="A3695" s="10"/>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spans="1:26" ht="17.399999999999999" x14ac:dyDescent="0.3">
      <c r="A3696" s="10"/>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spans="1:26" ht="17.399999999999999" x14ac:dyDescent="0.3">
      <c r="A3697" s="10"/>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spans="1:26" ht="17.399999999999999" x14ac:dyDescent="0.3">
      <c r="A3698" s="10"/>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spans="1:26" ht="17.399999999999999" x14ac:dyDescent="0.3">
      <c r="A3699" s="10"/>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spans="1:26" ht="17.399999999999999" x14ac:dyDescent="0.3">
      <c r="A3700" s="10"/>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spans="1:26" ht="17.399999999999999" x14ac:dyDescent="0.3">
      <c r="A3701" s="10"/>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spans="1:26" ht="17.399999999999999" x14ac:dyDescent="0.3">
      <c r="A3702" s="10"/>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spans="1:26" ht="17.399999999999999" x14ac:dyDescent="0.3">
      <c r="A3703" s="10"/>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spans="1:26" ht="17.399999999999999" x14ac:dyDescent="0.3">
      <c r="A3704" s="10"/>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spans="1:26" ht="17.399999999999999" x14ac:dyDescent="0.3">
      <c r="A3705" s="10"/>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spans="1:26" ht="17.399999999999999" x14ac:dyDescent="0.3">
      <c r="A3706" s="10"/>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spans="1:26" ht="17.399999999999999" x14ac:dyDescent="0.3">
      <c r="A3707" s="10"/>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spans="1:26" ht="17.399999999999999" x14ac:dyDescent="0.3">
      <c r="A3708" s="10"/>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spans="1:26" ht="17.399999999999999" x14ac:dyDescent="0.3">
      <c r="A3709" s="10"/>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spans="1:26" ht="17.399999999999999" x14ac:dyDescent="0.3">
      <c r="A3710" s="10"/>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spans="1:26" ht="17.399999999999999" x14ac:dyDescent="0.3">
      <c r="A3711" s="10"/>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spans="1:26" ht="17.399999999999999" x14ac:dyDescent="0.3">
      <c r="A3712" s="10"/>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spans="1:26" ht="17.399999999999999" x14ac:dyDescent="0.3">
      <c r="A3713" s="10"/>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spans="1:26" ht="17.399999999999999" x14ac:dyDescent="0.3">
      <c r="A3714" s="10"/>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spans="1:26" ht="17.399999999999999" x14ac:dyDescent="0.3">
      <c r="A3715" s="10"/>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spans="1:26" ht="17.399999999999999" x14ac:dyDescent="0.3">
      <c r="A3716" s="10"/>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spans="1:26" ht="17.399999999999999" x14ac:dyDescent="0.3">
      <c r="A3717" s="10"/>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spans="1:26" ht="17.399999999999999" x14ac:dyDescent="0.3">
      <c r="A3718" s="10"/>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spans="1:26" ht="17.399999999999999" x14ac:dyDescent="0.3">
      <c r="A3719" s="10"/>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spans="1:26" ht="17.399999999999999" x14ac:dyDescent="0.3">
      <c r="A3720" s="10"/>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spans="1:26" ht="17.399999999999999" x14ac:dyDescent="0.3">
      <c r="A3721" s="10"/>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spans="1:26" ht="17.399999999999999" x14ac:dyDescent="0.3">
      <c r="A3722" s="10"/>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spans="1:26" ht="17.399999999999999" x14ac:dyDescent="0.3">
      <c r="A3723" s="10"/>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spans="1:26" ht="17.399999999999999" x14ac:dyDescent="0.3">
      <c r="A3724" s="10"/>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spans="1:26" ht="17.399999999999999" x14ac:dyDescent="0.3">
      <c r="A3725" s="10"/>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spans="1:26" ht="17.399999999999999" x14ac:dyDescent="0.3">
      <c r="A3726" s="10"/>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spans="1:26" ht="17.399999999999999" x14ac:dyDescent="0.3">
      <c r="A3727" s="10"/>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spans="1:26" ht="17.399999999999999" x14ac:dyDescent="0.3">
      <c r="A3728" s="10"/>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spans="1:26" ht="17.399999999999999" x14ac:dyDescent="0.3">
      <c r="A3729" s="10"/>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spans="1:26" ht="17.399999999999999" x14ac:dyDescent="0.3">
      <c r="A3730" s="10"/>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spans="1:26" ht="17.399999999999999" x14ac:dyDescent="0.3">
      <c r="A3731" s="10"/>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spans="1:26" ht="17.399999999999999" x14ac:dyDescent="0.3">
      <c r="A3732" s="10"/>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spans="1:26" ht="17.399999999999999" x14ac:dyDescent="0.3">
      <c r="A3733" s="10"/>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spans="1:26" ht="17.399999999999999" x14ac:dyDescent="0.3">
      <c r="A3734" s="10"/>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spans="1:26" ht="17.399999999999999" x14ac:dyDescent="0.3">
      <c r="A3735" s="10"/>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spans="1:26" ht="17.399999999999999" x14ac:dyDescent="0.3">
      <c r="A3736" s="10"/>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spans="1:26" ht="17.399999999999999" x14ac:dyDescent="0.3">
      <c r="A3737" s="10"/>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spans="1:26" ht="17.399999999999999" x14ac:dyDescent="0.3">
      <c r="A3738" s="10"/>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spans="1:26" ht="17.399999999999999" x14ac:dyDescent="0.3">
      <c r="A3739" s="10"/>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spans="1:26" ht="17.399999999999999" x14ac:dyDescent="0.3">
      <c r="A3740" s="10"/>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spans="1:26" ht="17.399999999999999" x14ac:dyDescent="0.3">
      <c r="A3741" s="10"/>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spans="1:26" ht="17.399999999999999" x14ac:dyDescent="0.3">
      <c r="A3742" s="10"/>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spans="1:26" ht="17.399999999999999" x14ac:dyDescent="0.3">
      <c r="A3743" s="10"/>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spans="1:26" ht="17.399999999999999" x14ac:dyDescent="0.3">
      <c r="A3744" s="10"/>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spans="1:26" ht="17.399999999999999" x14ac:dyDescent="0.3">
      <c r="A3745" s="10"/>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spans="1:26" ht="17.399999999999999" x14ac:dyDescent="0.3">
      <c r="A3746" s="10"/>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spans="1:26" ht="17.399999999999999" x14ac:dyDescent="0.3">
      <c r="A3747" s="10"/>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spans="1:26" ht="17.399999999999999" x14ac:dyDescent="0.3">
      <c r="A3748" s="10"/>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spans="1:26" ht="17.399999999999999" x14ac:dyDescent="0.3">
      <c r="A3749" s="10"/>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spans="1:26" ht="17.399999999999999" x14ac:dyDescent="0.3">
      <c r="A3750" s="10"/>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spans="1:26" ht="17.399999999999999" x14ac:dyDescent="0.3">
      <c r="A3751" s="10"/>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spans="1:26" ht="17.399999999999999" x14ac:dyDescent="0.3">
      <c r="A3752" s="10"/>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spans="1:26" ht="17.399999999999999" x14ac:dyDescent="0.3">
      <c r="A3753" s="10"/>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spans="1:26" ht="17.399999999999999" x14ac:dyDescent="0.3">
      <c r="A3754" s="10"/>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spans="1:26" ht="17.399999999999999" x14ac:dyDescent="0.3">
      <c r="A3755" s="10"/>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spans="1:26" ht="17.399999999999999" x14ac:dyDescent="0.3">
      <c r="A3756" s="10"/>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spans="1:26" ht="17.399999999999999" x14ac:dyDescent="0.3">
      <c r="A3757" s="10"/>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spans="1:26" ht="17.399999999999999" x14ac:dyDescent="0.3">
      <c r="A3758" s="10"/>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spans="1:26" ht="17.399999999999999" x14ac:dyDescent="0.3">
      <c r="A3759" s="10"/>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spans="1:26" ht="17.399999999999999" x14ac:dyDescent="0.3">
      <c r="A3760" s="10"/>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spans="1:26" ht="17.399999999999999" x14ac:dyDescent="0.3">
      <c r="A3761" s="10"/>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spans="1:26" ht="17.399999999999999" x14ac:dyDescent="0.3">
      <c r="A3762" s="10"/>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spans="1:26" ht="17.399999999999999" x14ac:dyDescent="0.3">
      <c r="A3763" s="10"/>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spans="1:26" ht="17.399999999999999" x14ac:dyDescent="0.3">
      <c r="A3764" s="10"/>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spans="1:26" ht="17.399999999999999" x14ac:dyDescent="0.3">
      <c r="A3765" s="10"/>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spans="1:26" ht="17.399999999999999" x14ac:dyDescent="0.3">
      <c r="A3766" s="10"/>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spans="1:26" ht="17.399999999999999" x14ac:dyDescent="0.3">
      <c r="A3767" s="10"/>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spans="1:26" ht="17.399999999999999" x14ac:dyDescent="0.3">
      <c r="A3768" s="10"/>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spans="1:26" ht="17.399999999999999" x14ac:dyDescent="0.3">
      <c r="A3769" s="10"/>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spans="1:26" ht="17.399999999999999" x14ac:dyDescent="0.3">
      <c r="A3770" s="10"/>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spans="1:26" ht="17.399999999999999" x14ac:dyDescent="0.3">
      <c r="A3771" s="10"/>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spans="1:26" ht="17.399999999999999" x14ac:dyDescent="0.3">
      <c r="A3772" s="10"/>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spans="1:26" ht="17.399999999999999" x14ac:dyDescent="0.3">
      <c r="A3773" s="10"/>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spans="1:26" ht="17.399999999999999" x14ac:dyDescent="0.3">
      <c r="A3774" s="10"/>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spans="1:26" ht="17.399999999999999" x14ac:dyDescent="0.3">
      <c r="A3775" s="10"/>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spans="1:26" ht="17.399999999999999" x14ac:dyDescent="0.3">
      <c r="A3776" s="10"/>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spans="1:26" ht="17.399999999999999" x14ac:dyDescent="0.3">
      <c r="A3777" s="10"/>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spans="1:26" ht="17.399999999999999" x14ac:dyDescent="0.3">
      <c r="A3778" s="10"/>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spans="1:26" ht="17.399999999999999" x14ac:dyDescent="0.3">
      <c r="A3779" s="10"/>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spans="1:26" ht="17.399999999999999" x14ac:dyDescent="0.3">
      <c r="A3780" s="10"/>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spans="1:26" ht="17.399999999999999" x14ac:dyDescent="0.3">
      <c r="A3781" s="10"/>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spans="1:26" ht="17.399999999999999" x14ac:dyDescent="0.3">
      <c r="A3782" s="10"/>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spans="1:26" ht="17.399999999999999" x14ac:dyDescent="0.3">
      <c r="A3783" s="10"/>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spans="1:26" ht="17.399999999999999" x14ac:dyDescent="0.3">
      <c r="A3784" s="10"/>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spans="1:26" ht="17.399999999999999" x14ac:dyDescent="0.3">
      <c r="A3785" s="10"/>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spans="1:26" ht="17.399999999999999" x14ac:dyDescent="0.3">
      <c r="A3786" s="10"/>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spans="1:26" ht="17.399999999999999" x14ac:dyDescent="0.3">
      <c r="A3787" s="10"/>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spans="1:26" ht="17.399999999999999" x14ac:dyDescent="0.3">
      <c r="A3788" s="10"/>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spans="1:26" ht="17.399999999999999" x14ac:dyDescent="0.3">
      <c r="A3789" s="10"/>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spans="1:26" ht="17.399999999999999" x14ac:dyDescent="0.3">
      <c r="A3790" s="10"/>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spans="1:26" ht="17.399999999999999" x14ac:dyDescent="0.3">
      <c r="A3791" s="10"/>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spans="1:26" ht="17.399999999999999" x14ac:dyDescent="0.3">
      <c r="A3792" s="10"/>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spans="1:26" ht="17.399999999999999" x14ac:dyDescent="0.3">
      <c r="A3793" s="10"/>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spans="1:26" ht="17.399999999999999" x14ac:dyDescent="0.3">
      <c r="A3794" s="10"/>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spans="1:26" ht="17.399999999999999" x14ac:dyDescent="0.3">
      <c r="A3795" s="10"/>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spans="1:26" ht="17.399999999999999" x14ac:dyDescent="0.3">
      <c r="A3796" s="10"/>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spans="1:26" ht="17.399999999999999" x14ac:dyDescent="0.3">
      <c r="A3797" s="10"/>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spans="1:26" ht="17.399999999999999" x14ac:dyDescent="0.3">
      <c r="A3798" s="10"/>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spans="1:26" ht="17.399999999999999" x14ac:dyDescent="0.3">
      <c r="A3799" s="10"/>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spans="1:26" ht="17.399999999999999" x14ac:dyDescent="0.3">
      <c r="A3800" s="10"/>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spans="1:26" ht="17.399999999999999" x14ac:dyDescent="0.3">
      <c r="A3801" s="10"/>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spans="1:26" ht="17.399999999999999" x14ac:dyDescent="0.3">
      <c r="A3802" s="10"/>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spans="1:26" ht="17.399999999999999" x14ac:dyDescent="0.3">
      <c r="A3803" s="10"/>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spans="1:26" ht="17.399999999999999" x14ac:dyDescent="0.3">
      <c r="A3804" s="10"/>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spans="1:26" ht="17.399999999999999" x14ac:dyDescent="0.3">
      <c r="A3805" s="10"/>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spans="1:26" ht="17.399999999999999" x14ac:dyDescent="0.3">
      <c r="A3806" s="10"/>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spans="1:26" ht="17.399999999999999" x14ac:dyDescent="0.3">
      <c r="A3807" s="10"/>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spans="1:26" ht="17.399999999999999" x14ac:dyDescent="0.3">
      <c r="A3808" s="10"/>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spans="1:26" ht="17.399999999999999" x14ac:dyDescent="0.3">
      <c r="A3809" s="10"/>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spans="1:26" ht="17.399999999999999" x14ac:dyDescent="0.3">
      <c r="A3810" s="10"/>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spans="1:26" ht="17.399999999999999" x14ac:dyDescent="0.3">
      <c r="A3811" s="10"/>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spans="1:26" ht="17.399999999999999" x14ac:dyDescent="0.3">
      <c r="A3812" s="10"/>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spans="1:26" ht="17.399999999999999" x14ac:dyDescent="0.3">
      <c r="A3813" s="10"/>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spans="1:26" ht="17.399999999999999" x14ac:dyDescent="0.3">
      <c r="A3814" s="10"/>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spans="1:26" ht="17.399999999999999" x14ac:dyDescent="0.3">
      <c r="A3815" s="10"/>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spans="1:26" ht="17.399999999999999" x14ac:dyDescent="0.3">
      <c r="A3816" s="10"/>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spans="1:26" ht="17.399999999999999" x14ac:dyDescent="0.3">
      <c r="A3817" s="10"/>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spans="1:26" ht="17.399999999999999" x14ac:dyDescent="0.3">
      <c r="A3818" s="10"/>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spans="1:26" ht="17.399999999999999" x14ac:dyDescent="0.3">
      <c r="A3819" s="10"/>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spans="1:26" ht="17.399999999999999" x14ac:dyDescent="0.3">
      <c r="A3820" s="10"/>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spans="1:26" ht="17.399999999999999" x14ac:dyDescent="0.3">
      <c r="A3821" s="10"/>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spans="1:26" ht="17.399999999999999" x14ac:dyDescent="0.3">
      <c r="A3822" s="10"/>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spans="1:26" ht="17.399999999999999" x14ac:dyDescent="0.3">
      <c r="A3823" s="10"/>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spans="1:26" ht="17.399999999999999" x14ac:dyDescent="0.3">
      <c r="A3824" s="10"/>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spans="1:26" ht="17.399999999999999" x14ac:dyDescent="0.3">
      <c r="A3825" s="10"/>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spans="1:26" ht="17.399999999999999" x14ac:dyDescent="0.3">
      <c r="A3826" s="10"/>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spans="1:26" ht="17.399999999999999" x14ac:dyDescent="0.3">
      <c r="A3827" s="10"/>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spans="1:26" ht="17.399999999999999" x14ac:dyDescent="0.3">
      <c r="A3828" s="10"/>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spans="1:26" ht="17.399999999999999" x14ac:dyDescent="0.3">
      <c r="A3829" s="10"/>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spans="1:26" ht="17.399999999999999" x14ac:dyDescent="0.3">
      <c r="A3830" s="10"/>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spans="1:26" ht="17.399999999999999" x14ac:dyDescent="0.3">
      <c r="A3831" s="10"/>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spans="1:26" ht="17.399999999999999" x14ac:dyDescent="0.3">
      <c r="A3832" s="10"/>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spans="1:26" ht="17.399999999999999" x14ac:dyDescent="0.3">
      <c r="A3833" s="10"/>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spans="1:26" ht="17.399999999999999" x14ac:dyDescent="0.3">
      <c r="A3834" s="10"/>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spans="1:26" ht="17.399999999999999" x14ac:dyDescent="0.3">
      <c r="A3835" s="10"/>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spans="1:26" ht="17.399999999999999" x14ac:dyDescent="0.3">
      <c r="A3836" s="10"/>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spans="1:26" ht="17.399999999999999" x14ac:dyDescent="0.3">
      <c r="A3837" s="10"/>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spans="1:26" ht="17.399999999999999" x14ac:dyDescent="0.3">
      <c r="A3838" s="10"/>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spans="1:26" ht="17.399999999999999" x14ac:dyDescent="0.3">
      <c r="A3839" s="10"/>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spans="1:26" ht="17.399999999999999" x14ac:dyDescent="0.3">
      <c r="A3840" s="10"/>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spans="1:26" ht="17.399999999999999" x14ac:dyDescent="0.3">
      <c r="A3841" s="10"/>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spans="1:26" ht="17.399999999999999" x14ac:dyDescent="0.3">
      <c r="A3842" s="10"/>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spans="1:26" ht="17.399999999999999" x14ac:dyDescent="0.3">
      <c r="A3843" s="10"/>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spans="1:26" ht="17.399999999999999" x14ac:dyDescent="0.3">
      <c r="A3844" s="10"/>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spans="1:26" ht="17.399999999999999" x14ac:dyDescent="0.3">
      <c r="A3845" s="10"/>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spans="1:26" ht="17.399999999999999" x14ac:dyDescent="0.3">
      <c r="A3846" s="10"/>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spans="1:26" ht="17.399999999999999" x14ac:dyDescent="0.3">
      <c r="A3847" s="10"/>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spans="1:26" ht="17.399999999999999" x14ac:dyDescent="0.3">
      <c r="A3848" s="10"/>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spans="1:26" ht="17.399999999999999" x14ac:dyDescent="0.3">
      <c r="A3849" s="10"/>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spans="1:26" ht="17.399999999999999" x14ac:dyDescent="0.3">
      <c r="A3850" s="10"/>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spans="1:26" ht="17.399999999999999" x14ac:dyDescent="0.3">
      <c r="A3851" s="10"/>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spans="1:26" ht="17.399999999999999" x14ac:dyDescent="0.3">
      <c r="A3852" s="10"/>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spans="1:26" ht="17.399999999999999" x14ac:dyDescent="0.3">
      <c r="A3853" s="10"/>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spans="1:26" ht="17.399999999999999" x14ac:dyDescent="0.3">
      <c r="A3854" s="10"/>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spans="1:26" ht="17.399999999999999" x14ac:dyDescent="0.3">
      <c r="A3855" s="10"/>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spans="1:26" ht="17.399999999999999" x14ac:dyDescent="0.3">
      <c r="A3856" s="10"/>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spans="1:26" ht="17.399999999999999" x14ac:dyDescent="0.3">
      <c r="A3857" s="10"/>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spans="1:26" ht="17.399999999999999" x14ac:dyDescent="0.3">
      <c r="A3858" s="10"/>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spans="1:26" ht="17.399999999999999" x14ac:dyDescent="0.3">
      <c r="A3859" s="10"/>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spans="1:26" ht="17.399999999999999" x14ac:dyDescent="0.3">
      <c r="A3860" s="10"/>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spans="1:26" ht="17.399999999999999" x14ac:dyDescent="0.3">
      <c r="A3861" s="10"/>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spans="1:26" ht="17.399999999999999" x14ac:dyDescent="0.3">
      <c r="A3862" s="10"/>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spans="1:26" ht="17.399999999999999" x14ac:dyDescent="0.3">
      <c r="A3863" s="10"/>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spans="1:26" ht="17.399999999999999" x14ac:dyDescent="0.3">
      <c r="A3864" s="10"/>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spans="1:26" ht="17.399999999999999" x14ac:dyDescent="0.3">
      <c r="A3865" s="10"/>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spans="1:26" ht="17.399999999999999" x14ac:dyDescent="0.3">
      <c r="A3866" s="10"/>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spans="1:26" ht="17.399999999999999" x14ac:dyDescent="0.3">
      <c r="A3867" s="10"/>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spans="1:26" ht="17.399999999999999" x14ac:dyDescent="0.3">
      <c r="A3868" s="10"/>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spans="1:26" ht="17.399999999999999" x14ac:dyDescent="0.3">
      <c r="A3869" s="10"/>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spans="1:26" ht="17.399999999999999" x14ac:dyDescent="0.3">
      <c r="A3870" s="10"/>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spans="1:26" ht="17.399999999999999" x14ac:dyDescent="0.3">
      <c r="A3871" s="10"/>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spans="1:26" ht="17.399999999999999" x14ac:dyDescent="0.3">
      <c r="A3872" s="10"/>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spans="1:26" ht="17.399999999999999" x14ac:dyDescent="0.3">
      <c r="A3873" s="10"/>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spans="1:26" ht="17.399999999999999" x14ac:dyDescent="0.3">
      <c r="A3874" s="10"/>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spans="1:26" ht="17.399999999999999" x14ac:dyDescent="0.3">
      <c r="A3875" s="10"/>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spans="1:26" ht="17.399999999999999" x14ac:dyDescent="0.3">
      <c r="A3876" s="10"/>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spans="1:26" ht="17.399999999999999" x14ac:dyDescent="0.3">
      <c r="A3877" s="10"/>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spans="1:26" ht="17.399999999999999" x14ac:dyDescent="0.3">
      <c r="A3878" s="10"/>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spans="1:26" ht="17.399999999999999" x14ac:dyDescent="0.3">
      <c r="A3879" s="10"/>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spans="1:26" ht="17.399999999999999" x14ac:dyDescent="0.3">
      <c r="A3880" s="10"/>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spans="1:26" ht="17.399999999999999" x14ac:dyDescent="0.3">
      <c r="A3881" s="10"/>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spans="1:26" ht="17.399999999999999" x14ac:dyDescent="0.3">
      <c r="A3882" s="10"/>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spans="1:26" ht="17.399999999999999" x14ac:dyDescent="0.3">
      <c r="A3883" s="10"/>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spans="1:26" ht="17.399999999999999" x14ac:dyDescent="0.3">
      <c r="A3884" s="10"/>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spans="1:26" ht="17.399999999999999" x14ac:dyDescent="0.3">
      <c r="A3885" s="10"/>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spans="1:26" ht="17.399999999999999" x14ac:dyDescent="0.3">
      <c r="A3886" s="10"/>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spans="1:26" ht="17.399999999999999" x14ac:dyDescent="0.3">
      <c r="A3887" s="10"/>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spans="1:26" ht="17.399999999999999" x14ac:dyDescent="0.3">
      <c r="A3888" s="10"/>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spans="1:26" ht="17.399999999999999" x14ac:dyDescent="0.3">
      <c r="A3889" s="10"/>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spans="1:26" ht="17.399999999999999" x14ac:dyDescent="0.3">
      <c r="A3890" s="10"/>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spans="1:26" ht="17.399999999999999" x14ac:dyDescent="0.3">
      <c r="A3891" s="10"/>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spans="1:26" ht="17.399999999999999" x14ac:dyDescent="0.3">
      <c r="A3892" s="10"/>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spans="1:26" ht="17.399999999999999" x14ac:dyDescent="0.3">
      <c r="A3893" s="10"/>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spans="1:26" ht="17.399999999999999" x14ac:dyDescent="0.3">
      <c r="A3894" s="10"/>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spans="1:26" ht="17.399999999999999" x14ac:dyDescent="0.3">
      <c r="A3895" s="10"/>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spans="1:26" ht="17.399999999999999" x14ac:dyDescent="0.3">
      <c r="A3896" s="10"/>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spans="1:26" ht="17.399999999999999" x14ac:dyDescent="0.3">
      <c r="A3897" s="10"/>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spans="1:26" ht="17.399999999999999" x14ac:dyDescent="0.3">
      <c r="A3898" s="10"/>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spans="1:26" ht="17.399999999999999" x14ac:dyDescent="0.3">
      <c r="A3899" s="10"/>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spans="1:26" ht="17.399999999999999" x14ac:dyDescent="0.3">
      <c r="A3900" s="10"/>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spans="1:26" ht="17.399999999999999" x14ac:dyDescent="0.3">
      <c r="A3901" s="10"/>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spans="1:26" ht="17.399999999999999" x14ac:dyDescent="0.3">
      <c r="A3902" s="10"/>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spans="1:26" ht="17.399999999999999" x14ac:dyDescent="0.3">
      <c r="A3903" s="10"/>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spans="1:26" ht="17.399999999999999" x14ac:dyDescent="0.3">
      <c r="A3904" s="10"/>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spans="1:26" ht="17.399999999999999" x14ac:dyDescent="0.3">
      <c r="A3905" s="10"/>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spans="1:26" ht="17.399999999999999" x14ac:dyDescent="0.3">
      <c r="A3906" s="10"/>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spans="1:26" ht="17.399999999999999" x14ac:dyDescent="0.3">
      <c r="A3907" s="10"/>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spans="1:26" ht="17.399999999999999" x14ac:dyDescent="0.3">
      <c r="A3908" s="10"/>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spans="1:26" ht="17.399999999999999" x14ac:dyDescent="0.3">
      <c r="A3909" s="10"/>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spans="1:26" ht="17.399999999999999" x14ac:dyDescent="0.3">
      <c r="A3910" s="10"/>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spans="1:26" ht="17.399999999999999" x14ac:dyDescent="0.3">
      <c r="A3911" s="10"/>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spans="1:26" ht="17.399999999999999" x14ac:dyDescent="0.3">
      <c r="A3912" s="10"/>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spans="1:26" ht="17.399999999999999" x14ac:dyDescent="0.3">
      <c r="A3913" s="10"/>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spans="1:26" ht="17.399999999999999" x14ac:dyDescent="0.3">
      <c r="A3914" s="10"/>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spans="1:26" ht="17.399999999999999" x14ac:dyDescent="0.3">
      <c r="A3915" s="10"/>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spans="1:26" ht="17.399999999999999" x14ac:dyDescent="0.3">
      <c r="A3916" s="10"/>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spans="1:26" ht="17.399999999999999" x14ac:dyDescent="0.3">
      <c r="A3917" s="10"/>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spans="1:26" ht="17.399999999999999" x14ac:dyDescent="0.3">
      <c r="A3918" s="10"/>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spans="1:26" ht="17.399999999999999" x14ac:dyDescent="0.3">
      <c r="A3919" s="10"/>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spans="1:26" ht="17.399999999999999" x14ac:dyDescent="0.3">
      <c r="A3920" s="10"/>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spans="1:26" ht="17.399999999999999" x14ac:dyDescent="0.3">
      <c r="A3921" s="10"/>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spans="1:26" ht="17.399999999999999" x14ac:dyDescent="0.3">
      <c r="A3922" s="10"/>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spans="1:26" ht="17.399999999999999" x14ac:dyDescent="0.3">
      <c r="A3923" s="10"/>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spans="1:26" ht="17.399999999999999" x14ac:dyDescent="0.3">
      <c r="A3924" s="10"/>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spans="1:26" ht="17.399999999999999" x14ac:dyDescent="0.3">
      <c r="A3925" s="10"/>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spans="1:26" ht="17.399999999999999" x14ac:dyDescent="0.3">
      <c r="A3926" s="10"/>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spans="1:26" ht="17.399999999999999" x14ac:dyDescent="0.3">
      <c r="A3927" s="10"/>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spans="1:26" ht="17.399999999999999" x14ac:dyDescent="0.3">
      <c r="A3928" s="10"/>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spans="1:26" ht="17.399999999999999" x14ac:dyDescent="0.3">
      <c r="A3929" s="10"/>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spans="1:26" ht="17.399999999999999" x14ac:dyDescent="0.3">
      <c r="A3930" s="10"/>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spans="1:26" ht="17.399999999999999" x14ac:dyDescent="0.3">
      <c r="A3931" s="10"/>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spans="1:26" ht="17.399999999999999" x14ac:dyDescent="0.3">
      <c r="A3932" s="10"/>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spans="1:26" ht="17.399999999999999" x14ac:dyDescent="0.3">
      <c r="A3933" s="10"/>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spans="1:26" ht="17.399999999999999" x14ac:dyDescent="0.3">
      <c r="A3934" s="10"/>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spans="1:26" ht="17.399999999999999" x14ac:dyDescent="0.3">
      <c r="A3935" s="10"/>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spans="1:26" ht="17.399999999999999" x14ac:dyDescent="0.3">
      <c r="A3936" s="10"/>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spans="1:26" ht="17.399999999999999" x14ac:dyDescent="0.3">
      <c r="A3937" s="10"/>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spans="1:26" ht="17.399999999999999" x14ac:dyDescent="0.3">
      <c r="A3938" s="10"/>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spans="1:26" ht="17.399999999999999" x14ac:dyDescent="0.3">
      <c r="A3939" s="10"/>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spans="1:26" ht="17.399999999999999" x14ac:dyDescent="0.3">
      <c r="A3940" s="10"/>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spans="1:26" ht="17.399999999999999" x14ac:dyDescent="0.3">
      <c r="A3941" s="10"/>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spans="1:26" ht="17.399999999999999" x14ac:dyDescent="0.3">
      <c r="A3942" s="10"/>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spans="1:26" ht="17.399999999999999" x14ac:dyDescent="0.3">
      <c r="A3943" s="10"/>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spans="1:26" ht="17.399999999999999" x14ac:dyDescent="0.3">
      <c r="A3944" s="10"/>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spans="1:26" ht="17.399999999999999" x14ac:dyDescent="0.3">
      <c r="A3945" s="10"/>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spans="1:26" ht="17.399999999999999" x14ac:dyDescent="0.3">
      <c r="A3946" s="10"/>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spans="1:26" ht="17.399999999999999" x14ac:dyDescent="0.3">
      <c r="A3947" s="10"/>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spans="1:26" ht="17.399999999999999" x14ac:dyDescent="0.3">
      <c r="A3948" s="10"/>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spans="1:26" ht="17.399999999999999" x14ac:dyDescent="0.3">
      <c r="A3949" s="10"/>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spans="1:26" ht="17.399999999999999" x14ac:dyDescent="0.3">
      <c r="A3950" s="10"/>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spans="1:26" ht="17.399999999999999" x14ac:dyDescent="0.3">
      <c r="A3951" s="10"/>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spans="1:26" ht="17.399999999999999" x14ac:dyDescent="0.3">
      <c r="A3952" s="10"/>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spans="1:26" ht="17.399999999999999" x14ac:dyDescent="0.3">
      <c r="A3953" s="10"/>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spans="1:26" ht="17.399999999999999" x14ac:dyDescent="0.3">
      <c r="A3954" s="10"/>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spans="1:26" ht="17.399999999999999" x14ac:dyDescent="0.3">
      <c r="A3955" s="10"/>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spans="1:26" ht="17.399999999999999" x14ac:dyDescent="0.3">
      <c r="A3956" s="10"/>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spans="1:26" ht="17.399999999999999" x14ac:dyDescent="0.3">
      <c r="A3957" s="10"/>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spans="1:26" ht="17.399999999999999" x14ac:dyDescent="0.3">
      <c r="A3958" s="10"/>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spans="1:26" ht="17.399999999999999" x14ac:dyDescent="0.3">
      <c r="A3959" s="10"/>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spans="1:26" ht="17.399999999999999" x14ac:dyDescent="0.3">
      <c r="A3960" s="10"/>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spans="1:26" ht="17.399999999999999" x14ac:dyDescent="0.3">
      <c r="A3961" s="10"/>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spans="1:26" ht="17.399999999999999" x14ac:dyDescent="0.3">
      <c r="A3962" s="10"/>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spans="1:26" ht="17.399999999999999" x14ac:dyDescent="0.3">
      <c r="A3963" s="10"/>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spans="1:26" ht="17.399999999999999" x14ac:dyDescent="0.3">
      <c r="A3964" s="10"/>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spans="1:26" ht="17.399999999999999" x14ac:dyDescent="0.3">
      <c r="A3965" s="10"/>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spans="1:26" ht="17.399999999999999" x14ac:dyDescent="0.3">
      <c r="A3966" s="10"/>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spans="1:26" ht="17.399999999999999" x14ac:dyDescent="0.3">
      <c r="A3967" s="10"/>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spans="1:26" ht="17.399999999999999" x14ac:dyDescent="0.3">
      <c r="A3968" s="10"/>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spans="1:26" ht="17.399999999999999" x14ac:dyDescent="0.3">
      <c r="A3969" s="10"/>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spans="1:26" ht="17.399999999999999" x14ac:dyDescent="0.3">
      <c r="A3970" s="10"/>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spans="1:26" ht="17.399999999999999" x14ac:dyDescent="0.3">
      <c r="A3971" s="10"/>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spans="1:26" ht="17.399999999999999" x14ac:dyDescent="0.3">
      <c r="A3972" s="10"/>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spans="1:26" ht="17.399999999999999" x14ac:dyDescent="0.3">
      <c r="A3973" s="10"/>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spans="1:26" ht="17.399999999999999" x14ac:dyDescent="0.3">
      <c r="A3974" s="10"/>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spans="1:26" ht="17.399999999999999" x14ac:dyDescent="0.3">
      <c r="A3975" s="10"/>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spans="1:26" ht="17.399999999999999" x14ac:dyDescent="0.3">
      <c r="A3976" s="10"/>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spans="1:26" ht="17.399999999999999" x14ac:dyDescent="0.3">
      <c r="A3977" s="10"/>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spans="1:26" ht="17.399999999999999" x14ac:dyDescent="0.3">
      <c r="A3978" s="10"/>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spans="1:26" ht="17.399999999999999" x14ac:dyDescent="0.3">
      <c r="A3979" s="10"/>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spans="1:26" ht="17.399999999999999" x14ac:dyDescent="0.3">
      <c r="A3980" s="10"/>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spans="1:26" ht="17.399999999999999" x14ac:dyDescent="0.3">
      <c r="A3981" s="10"/>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spans="1:26" ht="17.399999999999999" x14ac:dyDescent="0.3">
      <c r="A3982" s="10"/>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spans="1:26" ht="17.399999999999999" x14ac:dyDescent="0.3">
      <c r="A3983" s="10"/>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spans="1:26" ht="17.399999999999999" x14ac:dyDescent="0.3">
      <c r="A3984" s="10"/>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spans="1:26" ht="17.399999999999999" x14ac:dyDescent="0.3">
      <c r="A3985" s="10"/>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spans="1:26" ht="17.399999999999999" x14ac:dyDescent="0.3">
      <c r="A3986" s="10"/>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spans="1:26" ht="17.399999999999999" x14ac:dyDescent="0.3">
      <c r="A3987" s="10"/>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spans="1:26" ht="17.399999999999999" x14ac:dyDescent="0.3">
      <c r="A3988" s="10"/>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spans="1:26" ht="17.399999999999999" x14ac:dyDescent="0.3">
      <c r="A3989" s="10"/>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spans="1:26" ht="17.399999999999999" x14ac:dyDescent="0.3">
      <c r="A3990" s="10"/>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spans="1:26" ht="17.399999999999999" x14ac:dyDescent="0.3">
      <c r="A3991" s="10"/>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spans="1:26" ht="17.399999999999999" x14ac:dyDescent="0.3">
      <c r="A3992" s="10"/>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spans="1:26" ht="17.399999999999999" x14ac:dyDescent="0.3">
      <c r="A3993" s="10"/>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spans="1:26" ht="17.399999999999999" x14ac:dyDescent="0.3">
      <c r="A3994" s="10"/>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spans="1:26" ht="17.399999999999999" x14ac:dyDescent="0.3">
      <c r="A3995" s="10"/>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spans="1:26" ht="17.399999999999999" x14ac:dyDescent="0.3">
      <c r="A3996" s="10"/>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spans="1:26" ht="17.399999999999999" x14ac:dyDescent="0.3">
      <c r="A3997" s="10"/>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spans="1:26" ht="17.399999999999999" x14ac:dyDescent="0.3">
      <c r="A3998" s="10"/>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spans="1:26" ht="17.399999999999999" x14ac:dyDescent="0.3">
      <c r="A3999" s="10"/>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spans="1:26" ht="17.399999999999999" x14ac:dyDescent="0.3">
      <c r="A4000" s="10"/>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spans="1:26" ht="17.399999999999999" x14ac:dyDescent="0.3">
      <c r="A4001" s="10"/>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spans="1:26" ht="17.399999999999999" x14ac:dyDescent="0.3">
      <c r="A4002" s="10"/>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spans="1:26" ht="17.399999999999999" x14ac:dyDescent="0.3">
      <c r="A4003" s="10"/>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spans="1:26" ht="17.399999999999999" x14ac:dyDescent="0.3">
      <c r="A4004" s="10"/>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spans="1:26" ht="17.399999999999999" x14ac:dyDescent="0.3">
      <c r="A4005" s="10"/>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spans="1:26" ht="17.399999999999999" x14ac:dyDescent="0.3">
      <c r="A4006" s="10"/>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spans="1:26" ht="17.399999999999999" x14ac:dyDescent="0.3">
      <c r="A4007" s="10"/>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spans="1:26" ht="17.399999999999999" x14ac:dyDescent="0.3">
      <c r="A4008" s="10"/>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spans="1:26" ht="17.399999999999999" x14ac:dyDescent="0.3">
      <c r="A4009" s="10"/>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spans="1:26" ht="17.399999999999999" x14ac:dyDescent="0.3">
      <c r="A4010" s="10"/>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spans="1:26" ht="17.399999999999999" x14ac:dyDescent="0.3">
      <c r="A4011" s="10"/>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spans="1:26" ht="17.399999999999999" x14ac:dyDescent="0.3">
      <c r="A4012" s="10"/>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spans="1:26" ht="17.399999999999999" x14ac:dyDescent="0.3">
      <c r="A4013" s="10"/>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spans="1:26" ht="17.399999999999999" x14ac:dyDescent="0.3">
      <c r="A4014" s="10"/>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spans="1:26" ht="17.399999999999999" x14ac:dyDescent="0.3">
      <c r="A4015" s="10"/>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spans="1:26" ht="17.399999999999999" x14ac:dyDescent="0.3">
      <c r="A4016" s="10"/>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spans="1:26" ht="17.399999999999999" x14ac:dyDescent="0.3">
      <c r="A4017" s="10"/>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spans="1:26" ht="17.399999999999999" x14ac:dyDescent="0.3">
      <c r="A4018" s="10"/>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spans="1:26" ht="17.399999999999999" x14ac:dyDescent="0.3">
      <c r="A4019" s="10"/>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spans="1:26" ht="17.399999999999999" x14ac:dyDescent="0.3">
      <c r="A4020" s="10"/>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spans="1:26" ht="17.399999999999999" x14ac:dyDescent="0.3">
      <c r="A4021" s="10"/>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spans="1:26" ht="17.399999999999999" x14ac:dyDescent="0.3">
      <c r="A4022" s="10"/>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spans="1:26" ht="17.399999999999999" x14ac:dyDescent="0.3">
      <c r="A4023" s="10"/>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spans="1:26" ht="17.399999999999999" x14ac:dyDescent="0.3">
      <c r="A4024" s="10"/>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spans="1:26" ht="17.399999999999999" x14ac:dyDescent="0.3">
      <c r="A4025" s="10"/>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spans="1:26" ht="17.399999999999999" x14ac:dyDescent="0.3">
      <c r="A4026" s="10"/>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spans="1:26" ht="17.399999999999999" x14ac:dyDescent="0.3">
      <c r="A4027" s="10"/>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spans="1:26" ht="17.399999999999999" x14ac:dyDescent="0.3">
      <c r="A4028" s="10"/>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spans="1:26" ht="17.399999999999999" x14ac:dyDescent="0.3">
      <c r="A4029" s="10"/>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spans="1:26" ht="17.399999999999999" x14ac:dyDescent="0.3">
      <c r="A4030" s="10"/>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spans="1:26" ht="17.399999999999999" x14ac:dyDescent="0.3">
      <c r="A4031" s="10"/>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spans="1:26" ht="17.399999999999999" x14ac:dyDescent="0.3">
      <c r="A4032" s="10"/>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spans="1:26" ht="17.399999999999999" x14ac:dyDescent="0.3">
      <c r="A4033" s="10"/>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spans="1:26" ht="17.399999999999999" x14ac:dyDescent="0.3">
      <c r="A4034" s="10"/>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spans="1:26" ht="17.399999999999999" x14ac:dyDescent="0.3">
      <c r="A4035" s="10"/>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spans="1:26" ht="17.399999999999999" x14ac:dyDescent="0.3">
      <c r="A4036" s="10"/>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spans="1:26" ht="17.399999999999999" x14ac:dyDescent="0.3">
      <c r="A4037" s="10"/>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spans="1:26" ht="17.399999999999999" x14ac:dyDescent="0.3">
      <c r="A4038" s="10"/>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spans="1:26" ht="17.399999999999999" x14ac:dyDescent="0.3">
      <c r="A4039" s="10"/>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spans="1:26" ht="17.399999999999999" x14ac:dyDescent="0.3">
      <c r="A4040" s="10"/>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spans="1:26" ht="17.399999999999999" x14ac:dyDescent="0.3">
      <c r="A4041" s="10"/>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spans="1:26" ht="17.399999999999999" x14ac:dyDescent="0.3">
      <c r="A4042" s="10"/>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spans="1:26" ht="17.399999999999999" x14ac:dyDescent="0.3">
      <c r="A4043" s="10"/>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spans="1:26" ht="17.399999999999999" x14ac:dyDescent="0.3">
      <c r="A4044" s="10"/>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spans="1:26" ht="17.399999999999999" x14ac:dyDescent="0.3">
      <c r="A4045" s="10"/>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spans="1:26" ht="17.399999999999999" x14ac:dyDescent="0.3">
      <c r="A4046" s="10"/>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spans="1:26" ht="17.399999999999999" x14ac:dyDescent="0.3">
      <c r="A4047" s="10"/>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spans="1:26" ht="17.399999999999999" x14ac:dyDescent="0.3">
      <c r="A4048" s="10"/>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spans="1:26" ht="17.399999999999999" x14ac:dyDescent="0.3">
      <c r="A4049" s="10"/>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spans="1:26" ht="17.399999999999999" x14ac:dyDescent="0.3">
      <c r="A4050" s="10"/>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spans="1:26" ht="17.399999999999999" x14ac:dyDescent="0.3">
      <c r="A4051" s="10"/>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spans="1:26" ht="17.399999999999999" x14ac:dyDescent="0.3">
      <c r="A4052" s="10"/>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spans="1:26" ht="17.399999999999999" x14ac:dyDescent="0.3">
      <c r="A4053" s="10"/>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spans="1:26" ht="17.399999999999999" x14ac:dyDescent="0.3">
      <c r="A4054" s="10"/>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spans="1:26" ht="17.399999999999999" x14ac:dyDescent="0.3">
      <c r="A4055" s="10"/>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spans="1:26" ht="17.399999999999999" x14ac:dyDescent="0.3">
      <c r="A4056" s="10"/>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spans="1:26" ht="17.399999999999999" x14ac:dyDescent="0.3">
      <c r="A4057" s="10"/>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spans="1:26" ht="17.399999999999999" x14ac:dyDescent="0.3">
      <c r="A4058" s="10"/>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spans="1:26" ht="17.399999999999999" x14ac:dyDescent="0.3">
      <c r="A4059" s="10"/>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spans="1:26" ht="17.399999999999999" x14ac:dyDescent="0.3">
      <c r="A4060" s="10"/>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spans="1:26" ht="17.399999999999999" x14ac:dyDescent="0.3">
      <c r="A4061" s="10"/>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spans="1:26" ht="17.399999999999999" x14ac:dyDescent="0.3">
      <c r="A4062" s="10"/>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spans="1:26" ht="17.399999999999999" x14ac:dyDescent="0.3">
      <c r="A4063" s="10"/>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spans="1:26" ht="17.399999999999999" x14ac:dyDescent="0.3">
      <c r="A4064" s="10"/>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spans="1:26" ht="17.399999999999999" x14ac:dyDescent="0.3">
      <c r="A4065" s="10"/>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spans="1:26" ht="17.399999999999999" x14ac:dyDescent="0.3">
      <c r="A4066" s="10"/>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spans="1:26" ht="17.399999999999999" x14ac:dyDescent="0.3">
      <c r="A4067" s="10"/>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spans="1:26" ht="17.399999999999999" x14ac:dyDescent="0.3">
      <c r="A4068" s="10"/>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spans="1:26" ht="17.399999999999999" x14ac:dyDescent="0.3">
      <c r="A4069" s="10"/>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spans="1:26" ht="17.399999999999999" x14ac:dyDescent="0.3">
      <c r="A4070" s="10"/>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spans="1:26" ht="17.399999999999999" x14ac:dyDescent="0.3">
      <c r="A4071" s="10"/>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spans="1:26" ht="17.399999999999999" x14ac:dyDescent="0.3">
      <c r="A4072" s="10"/>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spans="1:26" ht="17.399999999999999" x14ac:dyDescent="0.3">
      <c r="A4073" s="10"/>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spans="1:26" ht="17.399999999999999" x14ac:dyDescent="0.3">
      <c r="A4074" s="10"/>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spans="1:26" ht="17.399999999999999" x14ac:dyDescent="0.3">
      <c r="A4075" s="10"/>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spans="1:26" ht="17.399999999999999" x14ac:dyDescent="0.3">
      <c r="A4076" s="10"/>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spans="1:26" ht="17.399999999999999" x14ac:dyDescent="0.3">
      <c r="A4077" s="10"/>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spans="1:26" ht="17.399999999999999" x14ac:dyDescent="0.3">
      <c r="A4078" s="10"/>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spans="1:26" ht="17.399999999999999" x14ac:dyDescent="0.3">
      <c r="A4079" s="10"/>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spans="1:26" ht="17.399999999999999" x14ac:dyDescent="0.3">
      <c r="A4080" s="10"/>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spans="1:26" ht="17.399999999999999" x14ac:dyDescent="0.3">
      <c r="A4081" s="10"/>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spans="1:26" ht="17.399999999999999" x14ac:dyDescent="0.3">
      <c r="A4082" s="10"/>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spans="1:26" ht="17.399999999999999" x14ac:dyDescent="0.3">
      <c r="A4083" s="10"/>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spans="1:26" ht="17.399999999999999" x14ac:dyDescent="0.3">
      <c r="A4084" s="10"/>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spans="1:26" ht="17.399999999999999" x14ac:dyDescent="0.3">
      <c r="A4085" s="10"/>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spans="1:26" ht="17.399999999999999" x14ac:dyDescent="0.3">
      <c r="A4086" s="10"/>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spans="1:26" ht="17.399999999999999" x14ac:dyDescent="0.3">
      <c r="A4087" s="10"/>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spans="1:26" ht="17.399999999999999" x14ac:dyDescent="0.3">
      <c r="A4088" s="10"/>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spans="1:26" ht="17.399999999999999" x14ac:dyDescent="0.3">
      <c r="A4089" s="10"/>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spans="1:26" ht="17.399999999999999" x14ac:dyDescent="0.3">
      <c r="A4090" s="10"/>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spans="1:26" ht="17.399999999999999" x14ac:dyDescent="0.3">
      <c r="A4091" s="10"/>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spans="1:26" ht="17.399999999999999" x14ac:dyDescent="0.3">
      <c r="A4092" s="10"/>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spans="1:26" ht="17.399999999999999" x14ac:dyDescent="0.3">
      <c r="A4093" s="10"/>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spans="1:26" ht="17.399999999999999" x14ac:dyDescent="0.3">
      <c r="A4094" s="10"/>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spans="1:26" ht="17.399999999999999" x14ac:dyDescent="0.3">
      <c r="A4095" s="10"/>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spans="1:26" ht="17.399999999999999" x14ac:dyDescent="0.3">
      <c r="A4096" s="10"/>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spans="1:26" ht="17.399999999999999" x14ac:dyDescent="0.3">
      <c r="A4097" s="10"/>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spans="1:26" ht="17.399999999999999" x14ac:dyDescent="0.3">
      <c r="A4098" s="10"/>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spans="1:26" ht="17.399999999999999" x14ac:dyDescent="0.3">
      <c r="A4099" s="10"/>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spans="1:26" ht="17.399999999999999" x14ac:dyDescent="0.3">
      <c r="A4100" s="10"/>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spans="1:26" ht="17.399999999999999" x14ac:dyDescent="0.3">
      <c r="A4101" s="10"/>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spans="1:26" ht="17.399999999999999" x14ac:dyDescent="0.3">
      <c r="A4102" s="10"/>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spans="1:26" ht="17.399999999999999" x14ac:dyDescent="0.3">
      <c r="A4103" s="10"/>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spans="1:26" ht="17.399999999999999" x14ac:dyDescent="0.3">
      <c r="A4104" s="10"/>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spans="1:26" ht="17.399999999999999" x14ac:dyDescent="0.3">
      <c r="A4105" s="10"/>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spans="1:26" ht="17.399999999999999" x14ac:dyDescent="0.3">
      <c r="A4106" s="10"/>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spans="1:26" ht="17.399999999999999" x14ac:dyDescent="0.3">
      <c r="A4107" s="10"/>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spans="1:26" ht="17.399999999999999" x14ac:dyDescent="0.3">
      <c r="A4108" s="10"/>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spans="1:26" ht="17.399999999999999" x14ac:dyDescent="0.3">
      <c r="A4109" s="10"/>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spans="1:26" ht="17.399999999999999" x14ac:dyDescent="0.3">
      <c r="A4110" s="10"/>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spans="1:26" ht="17.399999999999999" x14ac:dyDescent="0.3">
      <c r="A4111" s="10"/>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spans="1:26" ht="17.399999999999999" x14ac:dyDescent="0.3">
      <c r="A4112" s="10"/>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spans="1:26" ht="17.399999999999999" x14ac:dyDescent="0.3">
      <c r="A4113" s="10"/>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spans="1:26" ht="17.399999999999999" x14ac:dyDescent="0.3">
      <c r="A4114" s="10"/>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spans="1:26" ht="17.399999999999999" x14ac:dyDescent="0.3">
      <c r="A4115" s="10"/>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spans="1:26" ht="17.399999999999999" x14ac:dyDescent="0.3">
      <c r="A4116" s="10"/>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spans="1:26" ht="17.399999999999999" x14ac:dyDescent="0.3">
      <c r="A4117" s="10"/>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spans="1:26" ht="17.399999999999999" x14ac:dyDescent="0.3">
      <c r="A4118" s="10"/>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spans="1:26" ht="17.399999999999999" x14ac:dyDescent="0.3">
      <c r="A4119" s="10"/>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spans="1:26" ht="17.399999999999999" x14ac:dyDescent="0.3">
      <c r="A4120" s="10"/>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spans="1:26" ht="17.399999999999999" x14ac:dyDescent="0.3">
      <c r="A4121" s="10"/>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spans="1:26" ht="17.399999999999999" x14ac:dyDescent="0.3">
      <c r="A4122" s="10"/>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spans="1:26" ht="17.399999999999999" x14ac:dyDescent="0.3">
      <c r="A4123" s="10"/>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spans="1:26" ht="17.399999999999999" x14ac:dyDescent="0.3">
      <c r="A4124" s="10"/>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spans="1:26" ht="17.399999999999999" x14ac:dyDescent="0.3">
      <c r="A4125" s="10"/>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spans="1:26" ht="17.399999999999999" x14ac:dyDescent="0.3">
      <c r="A4126" s="10"/>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spans="1:26" ht="17.399999999999999" x14ac:dyDescent="0.3">
      <c r="A4127" s="10"/>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spans="1:26" ht="17.399999999999999" x14ac:dyDescent="0.3">
      <c r="A4128" s="10"/>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spans="1:26" ht="17.399999999999999" x14ac:dyDescent="0.3">
      <c r="A4129" s="10"/>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spans="1:26" ht="17.399999999999999" x14ac:dyDescent="0.3">
      <c r="A4130" s="10"/>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spans="1:26" ht="17.399999999999999" x14ac:dyDescent="0.3">
      <c r="A4131" s="10"/>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spans="1:26" ht="17.399999999999999" x14ac:dyDescent="0.3">
      <c r="A4132" s="10"/>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spans="1:26" ht="17.399999999999999" x14ac:dyDescent="0.3">
      <c r="A4133" s="10"/>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spans="1:26" ht="17.399999999999999" x14ac:dyDescent="0.3">
      <c r="A4134" s="10"/>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spans="1:26" ht="17.399999999999999" x14ac:dyDescent="0.3">
      <c r="A4135" s="10"/>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spans="1:26" ht="17.399999999999999" x14ac:dyDescent="0.3">
      <c r="A4136" s="10"/>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spans="1:26" ht="17.399999999999999" x14ac:dyDescent="0.3">
      <c r="A4137" s="10"/>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spans="1:26" ht="17.399999999999999" x14ac:dyDescent="0.3">
      <c r="A4138" s="10"/>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spans="1:26" ht="17.399999999999999" x14ac:dyDescent="0.3">
      <c r="A4139" s="10"/>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spans="1:26" ht="17.399999999999999" x14ac:dyDescent="0.3">
      <c r="A4140" s="10"/>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spans="1:26" ht="17.399999999999999" x14ac:dyDescent="0.3">
      <c r="A4141" s="10"/>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spans="1:26" ht="17.399999999999999" x14ac:dyDescent="0.3">
      <c r="A4142" s="10"/>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spans="1:26" ht="17.399999999999999" x14ac:dyDescent="0.3">
      <c r="A4143" s="10"/>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spans="1:26" ht="17.399999999999999" x14ac:dyDescent="0.3">
      <c r="A4144" s="10"/>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spans="1:26" ht="17.399999999999999" x14ac:dyDescent="0.3">
      <c r="A4145" s="10"/>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spans="1:26" ht="17.399999999999999" x14ac:dyDescent="0.3">
      <c r="A4146" s="10"/>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spans="1:26" ht="17.399999999999999" x14ac:dyDescent="0.3">
      <c r="A4147" s="10"/>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spans="1:26" ht="17.399999999999999" x14ac:dyDescent="0.3">
      <c r="A4148" s="10"/>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spans="1:26" ht="17.399999999999999" x14ac:dyDescent="0.3">
      <c r="A4149" s="10"/>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spans="1:26" ht="17.399999999999999" x14ac:dyDescent="0.3">
      <c r="A4150" s="10"/>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spans="1:26" ht="17.399999999999999" x14ac:dyDescent="0.3">
      <c r="A4151" s="10"/>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spans="1:26" ht="17.399999999999999" x14ac:dyDescent="0.3">
      <c r="A4152" s="10"/>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spans="1:26" ht="17.399999999999999" x14ac:dyDescent="0.3">
      <c r="A4153" s="10"/>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spans="1:26" ht="17.399999999999999" x14ac:dyDescent="0.3">
      <c r="A4154" s="10"/>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spans="1:26" ht="17.399999999999999" x14ac:dyDescent="0.3">
      <c r="A4155" s="10"/>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spans="1:26" ht="17.399999999999999" x14ac:dyDescent="0.3">
      <c r="A4156" s="10"/>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spans="1:26" ht="17.399999999999999" x14ac:dyDescent="0.3">
      <c r="A4157" s="10"/>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spans="1:26" ht="17.399999999999999" x14ac:dyDescent="0.3">
      <c r="A4158" s="10"/>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spans="1:26" ht="17.399999999999999" x14ac:dyDescent="0.3">
      <c r="A4159" s="10"/>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spans="1:26" ht="17.399999999999999" x14ac:dyDescent="0.3">
      <c r="A4160" s="10"/>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spans="1:26" ht="17.399999999999999" x14ac:dyDescent="0.3">
      <c r="A4161" s="10"/>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spans="1:26" ht="17.399999999999999" x14ac:dyDescent="0.3">
      <c r="A4162" s="10"/>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spans="1:26" ht="17.399999999999999" x14ac:dyDescent="0.3">
      <c r="A4163" s="10"/>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spans="1:26" ht="17.399999999999999" x14ac:dyDescent="0.3">
      <c r="A4164" s="10"/>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spans="1:26" ht="17.399999999999999" x14ac:dyDescent="0.3">
      <c r="A4165" s="10"/>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spans="1:26" ht="17.399999999999999" x14ac:dyDescent="0.3">
      <c r="A4166" s="10"/>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spans="1:26" ht="17.399999999999999" x14ac:dyDescent="0.3">
      <c r="A4167" s="10"/>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spans="1:26" ht="17.399999999999999" x14ac:dyDescent="0.3">
      <c r="A4168" s="10"/>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spans="1:26" ht="17.399999999999999" x14ac:dyDescent="0.3">
      <c r="A4169" s="10"/>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spans="1:26" ht="17.399999999999999" x14ac:dyDescent="0.3">
      <c r="A4170" s="10"/>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spans="1:26" ht="17.399999999999999" x14ac:dyDescent="0.3">
      <c r="A4171" s="10"/>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spans="1:26" ht="17.399999999999999" x14ac:dyDescent="0.3">
      <c r="A4172" s="10"/>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spans="1:26" ht="17.399999999999999" x14ac:dyDescent="0.3">
      <c r="A4173" s="10"/>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spans="1:26" ht="17.399999999999999" x14ac:dyDescent="0.3">
      <c r="A4174" s="10"/>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spans="1:26" ht="17.399999999999999" x14ac:dyDescent="0.3">
      <c r="A4175" s="10"/>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spans="1:26" ht="17.399999999999999" x14ac:dyDescent="0.3">
      <c r="A4176" s="10"/>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spans="1:26" ht="17.399999999999999" x14ac:dyDescent="0.3">
      <c r="A4177" s="10"/>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spans="1:26" ht="17.399999999999999" x14ac:dyDescent="0.3">
      <c r="A4178" s="10"/>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spans="1:26" ht="17.399999999999999" x14ac:dyDescent="0.3">
      <c r="A4179" s="10"/>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spans="1:26" ht="17.399999999999999" x14ac:dyDescent="0.3">
      <c r="A4180" s="10"/>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spans="1:26" ht="17.399999999999999" x14ac:dyDescent="0.3">
      <c r="A4181" s="10"/>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spans="1:26" ht="17.399999999999999" x14ac:dyDescent="0.3">
      <c r="A4182" s="10"/>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spans="1:26" ht="17.399999999999999" x14ac:dyDescent="0.3">
      <c r="A4183" s="10"/>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spans="1:26" ht="17.399999999999999" x14ac:dyDescent="0.3">
      <c r="A4184" s="10"/>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spans="1:26" ht="17.399999999999999" x14ac:dyDescent="0.3">
      <c r="A4185" s="10"/>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spans="1:26" ht="17.399999999999999" x14ac:dyDescent="0.3">
      <c r="A4186" s="10"/>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spans="1:26" ht="17.399999999999999" x14ac:dyDescent="0.3">
      <c r="A4187" s="10"/>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spans="1:26" ht="17.399999999999999" x14ac:dyDescent="0.3">
      <c r="A4188" s="10"/>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spans="1:26" ht="17.399999999999999" x14ac:dyDescent="0.3">
      <c r="A4189" s="10"/>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spans="1:26" ht="17.399999999999999" x14ac:dyDescent="0.3">
      <c r="A4190" s="10"/>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spans="1:26" ht="17.399999999999999" x14ac:dyDescent="0.3">
      <c r="A4191" s="10"/>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spans="1:26" ht="17.399999999999999" x14ac:dyDescent="0.3">
      <c r="A4192" s="10"/>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spans="1:26" ht="17.399999999999999" x14ac:dyDescent="0.3">
      <c r="A4193" s="10"/>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spans="1:26" ht="17.399999999999999" x14ac:dyDescent="0.3">
      <c r="A4194" s="10"/>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spans="1:26" ht="17.399999999999999" x14ac:dyDescent="0.3">
      <c r="A4195" s="10"/>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spans="1:26" ht="17.399999999999999" x14ac:dyDescent="0.3">
      <c r="A4196" s="10"/>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spans="1:26" ht="17.399999999999999" x14ac:dyDescent="0.3">
      <c r="A4197" s="10"/>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spans="1:26" ht="17.399999999999999" x14ac:dyDescent="0.3">
      <c r="A4198" s="10"/>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spans="1:26" ht="17.399999999999999" x14ac:dyDescent="0.3">
      <c r="A4199" s="10"/>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spans="1:26" ht="17.399999999999999" x14ac:dyDescent="0.3">
      <c r="A4200" s="10"/>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spans="1:26" ht="17.399999999999999" x14ac:dyDescent="0.3">
      <c r="A4201" s="10"/>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spans="1:26" ht="17.399999999999999" x14ac:dyDescent="0.3">
      <c r="A4202" s="10"/>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spans="1:26" ht="17.399999999999999" x14ac:dyDescent="0.3">
      <c r="A4203" s="10"/>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spans="1:26" ht="17.399999999999999" x14ac:dyDescent="0.3">
      <c r="A4204" s="10"/>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spans="1:26" ht="17.399999999999999" x14ac:dyDescent="0.3">
      <c r="A4205" s="10"/>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spans="1:26" ht="17.399999999999999" x14ac:dyDescent="0.3">
      <c r="A4206" s="10"/>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spans="1:26" ht="17.399999999999999" x14ac:dyDescent="0.3">
      <c r="A4207" s="10"/>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spans="1:26" ht="17.399999999999999" x14ac:dyDescent="0.3">
      <c r="A4208" s="10"/>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spans="1:26" ht="17.399999999999999" x14ac:dyDescent="0.3">
      <c r="A4209" s="10"/>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spans="1:26" ht="17.399999999999999" x14ac:dyDescent="0.3">
      <c r="A4210" s="10"/>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spans="1:26" ht="17.399999999999999" x14ac:dyDescent="0.3">
      <c r="A4211" s="10"/>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spans="1:26" ht="17.399999999999999" x14ac:dyDescent="0.3">
      <c r="A4212" s="10"/>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spans="1:26" ht="17.399999999999999" x14ac:dyDescent="0.3">
      <c r="A4213" s="10"/>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spans="1:26" ht="17.399999999999999" x14ac:dyDescent="0.3">
      <c r="A4214" s="10"/>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spans="1:26" ht="17.399999999999999" x14ac:dyDescent="0.3">
      <c r="A4215" s="10"/>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spans="1:26" ht="17.399999999999999" x14ac:dyDescent="0.3">
      <c r="A4216" s="10"/>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spans="1:26" ht="17.399999999999999" x14ac:dyDescent="0.3">
      <c r="A4217" s="10"/>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spans="1:26" ht="17.399999999999999" x14ac:dyDescent="0.3">
      <c r="A4218" s="10"/>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spans="1:26" ht="17.399999999999999" x14ac:dyDescent="0.3">
      <c r="A4219" s="10"/>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spans="1:26" ht="17.399999999999999" x14ac:dyDescent="0.3">
      <c r="A4220" s="10"/>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spans="1:26" ht="17.399999999999999" x14ac:dyDescent="0.3">
      <c r="A4221" s="10"/>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spans="1:26" ht="17.399999999999999" x14ac:dyDescent="0.3">
      <c r="A4222" s="10"/>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spans="1:26" ht="17.399999999999999" x14ac:dyDescent="0.3">
      <c r="A4223" s="10"/>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spans="1:26" ht="17.399999999999999" x14ac:dyDescent="0.3">
      <c r="A4224" s="10"/>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spans="1:26" ht="17.399999999999999" x14ac:dyDescent="0.3">
      <c r="A4225" s="10"/>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spans="1:26" ht="17.399999999999999" x14ac:dyDescent="0.3">
      <c r="A4226" s="10"/>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spans="1:26" ht="17.399999999999999" x14ac:dyDescent="0.3">
      <c r="A4227" s="10"/>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spans="1:26" ht="17.399999999999999" x14ac:dyDescent="0.3">
      <c r="A4228" s="10"/>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spans="1:26" ht="17.399999999999999" x14ac:dyDescent="0.3">
      <c r="A4229" s="10"/>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spans="1:26" ht="17.399999999999999" x14ac:dyDescent="0.3">
      <c r="A4230" s="10"/>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spans="1:26" ht="17.399999999999999" x14ac:dyDescent="0.3">
      <c r="A4231" s="10"/>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spans="1:26" ht="17.399999999999999" x14ac:dyDescent="0.3">
      <c r="A4232" s="10"/>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spans="1:26" ht="17.399999999999999" x14ac:dyDescent="0.3">
      <c r="A4233" s="10"/>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spans="1:26" ht="17.399999999999999" x14ac:dyDescent="0.3">
      <c r="A4234" s="10"/>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spans="1:26" ht="17.399999999999999" x14ac:dyDescent="0.3">
      <c r="A4235" s="10"/>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spans="1:26" ht="17.399999999999999" x14ac:dyDescent="0.3">
      <c r="A4236" s="10"/>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spans="1:26" ht="17.399999999999999" x14ac:dyDescent="0.3">
      <c r="A4237" s="10"/>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spans="1:26" ht="17.399999999999999" x14ac:dyDescent="0.3">
      <c r="A4238" s="10"/>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spans="1:26" ht="17.399999999999999" x14ac:dyDescent="0.3">
      <c r="A4239" s="10"/>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spans="1:26" ht="17.399999999999999" x14ac:dyDescent="0.3">
      <c r="A4240" s="10"/>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spans="1:26" ht="17.399999999999999" x14ac:dyDescent="0.3">
      <c r="A4241" s="10"/>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spans="1:26" ht="17.399999999999999" x14ac:dyDescent="0.3">
      <c r="A4242" s="10"/>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spans="1:26" ht="17.399999999999999" x14ac:dyDescent="0.3">
      <c r="A4243" s="10"/>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spans="1:26" ht="17.399999999999999" x14ac:dyDescent="0.3">
      <c r="A4244" s="10"/>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spans="1:26" ht="17.399999999999999" x14ac:dyDescent="0.3">
      <c r="A4245" s="10"/>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spans="1:26" ht="17.399999999999999" x14ac:dyDescent="0.3">
      <c r="A4246" s="10"/>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spans="1:26" ht="17.399999999999999" x14ac:dyDescent="0.3">
      <c r="A4247" s="10"/>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spans="1:26" ht="17.399999999999999" x14ac:dyDescent="0.3">
      <c r="A4248" s="10"/>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spans="1:26" ht="17.399999999999999" x14ac:dyDescent="0.3">
      <c r="A4249" s="10"/>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spans="1:26" ht="17.399999999999999" x14ac:dyDescent="0.3">
      <c r="A4250" s="10"/>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spans="1:26" ht="17.399999999999999" x14ac:dyDescent="0.3">
      <c r="A4251" s="10"/>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spans="1:26" ht="17.399999999999999" x14ac:dyDescent="0.3">
      <c r="A4252" s="10"/>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spans="1:26" ht="17.399999999999999" x14ac:dyDescent="0.3">
      <c r="A4253" s="10"/>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spans="1:26" ht="17.399999999999999" x14ac:dyDescent="0.3">
      <c r="A4254" s="10"/>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spans="1:26" ht="17.399999999999999" x14ac:dyDescent="0.3">
      <c r="A4255" s="10"/>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spans="1:26" ht="17.399999999999999" x14ac:dyDescent="0.3">
      <c r="A4256" s="10"/>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spans="1:26" ht="17.399999999999999" x14ac:dyDescent="0.3">
      <c r="A4257" s="10"/>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spans="1:26" ht="17.399999999999999" x14ac:dyDescent="0.3">
      <c r="A4258" s="10"/>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spans="1:26" ht="17.399999999999999" x14ac:dyDescent="0.3">
      <c r="A4259" s="10"/>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spans="1:26" ht="17.399999999999999" x14ac:dyDescent="0.3">
      <c r="A4260" s="10"/>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spans="1:26" ht="17.399999999999999" x14ac:dyDescent="0.3">
      <c r="A4261" s="10"/>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spans="1:26" ht="17.399999999999999" x14ac:dyDescent="0.3">
      <c r="A4262" s="10"/>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spans="1:26" ht="17.399999999999999" x14ac:dyDescent="0.3">
      <c r="A4263" s="10"/>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spans="1:26" ht="17.399999999999999" x14ac:dyDescent="0.3">
      <c r="A4264" s="10"/>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spans="1:26" ht="17.399999999999999" x14ac:dyDescent="0.3">
      <c r="A4265" s="10"/>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spans="1:26" ht="17.399999999999999" x14ac:dyDescent="0.3">
      <c r="A4266" s="10"/>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spans="1:26" ht="17.399999999999999" x14ac:dyDescent="0.3">
      <c r="A4267" s="10"/>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spans="1:26" ht="17.399999999999999" x14ac:dyDescent="0.3">
      <c r="A4268" s="10"/>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spans="1:26" ht="17.399999999999999" x14ac:dyDescent="0.3">
      <c r="A4269" s="10"/>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spans="1:26" ht="17.399999999999999" x14ac:dyDescent="0.3">
      <c r="A4270" s="10"/>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spans="1:26" ht="17.399999999999999" x14ac:dyDescent="0.3">
      <c r="A4271" s="10"/>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spans="1:26" ht="17.399999999999999" x14ac:dyDescent="0.3">
      <c r="A4272" s="10"/>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spans="1:26" ht="17.399999999999999" x14ac:dyDescent="0.3">
      <c r="A4273" s="10"/>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spans="1:26" ht="17.399999999999999" x14ac:dyDescent="0.3">
      <c r="A4274" s="10"/>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spans="1:26" ht="17.399999999999999" x14ac:dyDescent="0.3">
      <c r="A4275" s="10"/>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spans="1:26" ht="17.399999999999999" x14ac:dyDescent="0.3">
      <c r="A4276" s="10"/>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spans="1:26" ht="17.399999999999999" x14ac:dyDescent="0.3">
      <c r="A4277" s="10"/>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spans="1:26" ht="17.399999999999999" x14ac:dyDescent="0.3">
      <c r="A4278" s="10"/>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spans="1:26" ht="17.399999999999999" x14ac:dyDescent="0.3">
      <c r="A4279" s="10"/>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spans="1:26" ht="17.399999999999999" x14ac:dyDescent="0.3">
      <c r="A4280" s="10"/>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spans="1:26" ht="17.399999999999999" x14ac:dyDescent="0.3">
      <c r="A4281" s="10"/>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spans="1:26" ht="17.399999999999999" x14ac:dyDescent="0.3">
      <c r="A4282" s="10"/>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spans="1:26" ht="17.399999999999999" x14ac:dyDescent="0.3">
      <c r="A4283" s="10"/>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spans="1:26" ht="17.399999999999999" x14ac:dyDescent="0.3">
      <c r="A4284" s="10"/>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spans="1:26" ht="17.399999999999999" x14ac:dyDescent="0.3">
      <c r="A4285" s="10"/>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spans="1:26" ht="17.399999999999999" x14ac:dyDescent="0.3">
      <c r="A4286" s="10"/>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spans="1:26" ht="17.399999999999999" x14ac:dyDescent="0.3">
      <c r="A4287" s="10"/>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spans="1:26" ht="17.399999999999999" x14ac:dyDescent="0.3">
      <c r="A4288" s="10"/>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spans="1:26" ht="17.399999999999999" x14ac:dyDescent="0.3">
      <c r="A4289" s="10"/>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spans="1:26" ht="17.399999999999999" x14ac:dyDescent="0.3">
      <c r="A4290" s="10"/>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spans="1:26" ht="17.399999999999999" x14ac:dyDescent="0.3">
      <c r="A4291" s="10"/>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spans="1:26" ht="17.399999999999999" x14ac:dyDescent="0.3">
      <c r="A4292" s="10"/>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spans="1:26" ht="17.399999999999999" x14ac:dyDescent="0.3">
      <c r="A4293" s="10"/>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spans="1:26" ht="17.399999999999999" x14ac:dyDescent="0.3">
      <c r="A4294" s="10"/>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spans="1:26" ht="17.399999999999999" x14ac:dyDescent="0.3">
      <c r="A4295" s="10"/>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spans="1:26" ht="17.399999999999999" x14ac:dyDescent="0.3">
      <c r="A4296" s="10"/>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spans="1:26" ht="17.399999999999999" x14ac:dyDescent="0.3">
      <c r="A4297" s="10"/>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spans="1:26" ht="17.399999999999999" x14ac:dyDescent="0.3">
      <c r="A4298" s="10"/>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spans="1:26" ht="17.399999999999999" x14ac:dyDescent="0.3">
      <c r="A4299" s="10"/>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spans="1:26" ht="17.399999999999999" x14ac:dyDescent="0.3">
      <c r="A4300" s="10"/>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spans="1:26" ht="17.399999999999999" x14ac:dyDescent="0.3">
      <c r="A4301" s="10"/>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spans="1:26" ht="17.399999999999999" x14ac:dyDescent="0.3">
      <c r="A4302" s="10"/>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spans="1:26" ht="17.399999999999999" x14ac:dyDescent="0.3">
      <c r="A4303" s="10"/>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spans="1:26" ht="17.399999999999999" x14ac:dyDescent="0.3">
      <c r="A4304" s="10"/>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spans="1:26" ht="17.399999999999999" x14ac:dyDescent="0.3">
      <c r="A4305" s="10"/>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spans="1:26" ht="17.399999999999999" x14ac:dyDescent="0.3">
      <c r="A4306" s="10"/>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spans="1:26" ht="17.399999999999999" x14ac:dyDescent="0.3">
      <c r="A4307" s="10"/>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spans="1:26" ht="17.399999999999999" x14ac:dyDescent="0.3">
      <c r="A4308" s="10"/>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spans="1:26" ht="17.399999999999999" x14ac:dyDescent="0.3">
      <c r="A4309" s="10"/>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spans="1:26" ht="17.399999999999999" x14ac:dyDescent="0.3">
      <c r="A4310" s="10"/>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spans="1:26" ht="17.399999999999999" x14ac:dyDescent="0.3">
      <c r="A4311" s="10"/>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spans="1:26" ht="17.399999999999999" x14ac:dyDescent="0.3">
      <c r="A4312" s="10"/>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spans="1:26" ht="17.399999999999999" x14ac:dyDescent="0.3">
      <c r="A4313" s="10"/>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spans="1:26" ht="17.399999999999999" x14ac:dyDescent="0.3">
      <c r="A4314" s="10"/>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spans="1:26" ht="17.399999999999999" x14ac:dyDescent="0.3">
      <c r="A4315" s="10"/>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spans="1:26" ht="17.399999999999999" x14ac:dyDescent="0.3">
      <c r="A4316" s="10"/>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spans="1:26" ht="17.399999999999999" x14ac:dyDescent="0.3">
      <c r="A4317" s="10"/>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spans="1:26" ht="17.399999999999999" x14ac:dyDescent="0.3">
      <c r="A4318" s="10"/>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spans="1:26" ht="17.399999999999999" x14ac:dyDescent="0.3">
      <c r="A4319" s="10"/>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spans="1:26" ht="17.399999999999999" x14ac:dyDescent="0.3">
      <c r="A4320" s="10"/>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spans="1:26" ht="17.399999999999999" x14ac:dyDescent="0.3">
      <c r="A4321" s="10"/>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spans="1:26" ht="17.399999999999999" x14ac:dyDescent="0.3">
      <c r="A4322" s="10"/>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spans="1:26" ht="17.399999999999999" x14ac:dyDescent="0.3">
      <c r="A4323" s="10"/>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spans="1:26" ht="17.399999999999999" x14ac:dyDescent="0.3">
      <c r="A4324" s="10"/>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spans="1:26" ht="17.399999999999999" x14ac:dyDescent="0.3">
      <c r="A4325" s="10"/>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spans="1:26" ht="17.399999999999999" x14ac:dyDescent="0.3">
      <c r="A4326" s="10"/>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spans="1:26" ht="17.399999999999999" x14ac:dyDescent="0.3">
      <c r="A4327" s="10"/>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spans="1:26" ht="17.399999999999999" x14ac:dyDescent="0.3">
      <c r="A4328" s="10"/>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spans="1:26" ht="17.399999999999999" x14ac:dyDescent="0.3">
      <c r="A4329" s="10"/>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spans="1:26" ht="17.399999999999999" x14ac:dyDescent="0.3">
      <c r="A4330" s="10"/>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spans="1:26" ht="17.399999999999999" x14ac:dyDescent="0.3">
      <c r="A4331" s="10"/>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spans="1:26" ht="17.399999999999999" x14ac:dyDescent="0.3">
      <c r="A4332" s="10"/>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spans="1:26" ht="17.399999999999999" x14ac:dyDescent="0.3">
      <c r="A4333" s="10"/>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spans="1:26" ht="17.399999999999999" x14ac:dyDescent="0.3">
      <c r="A4334" s="10"/>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spans="1:26" ht="17.399999999999999" x14ac:dyDescent="0.3">
      <c r="A4335" s="10"/>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spans="1:26" ht="17.399999999999999" x14ac:dyDescent="0.3">
      <c r="A4336" s="10"/>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spans="1:26" ht="17.399999999999999" x14ac:dyDescent="0.3">
      <c r="A4337" s="10"/>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spans="1:26" ht="17.399999999999999" x14ac:dyDescent="0.3">
      <c r="A4338" s="10"/>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spans="1:26" ht="17.399999999999999" x14ac:dyDescent="0.3">
      <c r="A4339" s="10"/>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spans="1:26" ht="17.399999999999999" x14ac:dyDescent="0.3">
      <c r="A4340" s="10"/>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spans="1:26" ht="17.399999999999999" x14ac:dyDescent="0.3">
      <c r="A4341" s="10"/>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spans="1:26" ht="17.399999999999999" x14ac:dyDescent="0.3">
      <c r="A4342" s="10"/>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spans="1:26" ht="17.399999999999999" x14ac:dyDescent="0.3">
      <c r="A4343" s="10"/>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spans="1:26" ht="17.399999999999999" x14ac:dyDescent="0.3">
      <c r="A4344" s="10"/>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spans="1:26" ht="17.399999999999999" x14ac:dyDescent="0.3">
      <c r="A4345" s="10"/>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spans="1:26" ht="17.399999999999999" x14ac:dyDescent="0.3">
      <c r="A4346" s="10"/>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spans="1:26" ht="17.399999999999999" x14ac:dyDescent="0.3">
      <c r="A4347" s="10"/>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spans="1:26" ht="17.399999999999999" x14ac:dyDescent="0.3">
      <c r="A4348" s="10"/>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spans="1:26" ht="17.399999999999999" x14ac:dyDescent="0.3">
      <c r="A4349" s="10"/>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spans="1:26" ht="17.399999999999999" x14ac:dyDescent="0.3">
      <c r="A4350" s="10"/>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spans="1:26" ht="17.399999999999999" x14ac:dyDescent="0.3">
      <c r="A4351" s="10"/>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spans="1:26" ht="17.399999999999999" x14ac:dyDescent="0.3">
      <c r="A4352" s="10"/>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spans="1:26" ht="17.399999999999999" x14ac:dyDescent="0.3">
      <c r="A4353" s="10"/>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spans="1:26" ht="17.399999999999999" x14ac:dyDescent="0.3">
      <c r="A4354" s="10"/>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spans="1:26" ht="17.399999999999999" x14ac:dyDescent="0.3">
      <c r="A4355" s="10"/>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spans="1:26" ht="17.399999999999999" x14ac:dyDescent="0.3">
      <c r="A4356" s="10"/>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spans="1:26" ht="17.399999999999999" x14ac:dyDescent="0.3">
      <c r="A4357" s="10"/>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spans="1:26" ht="17.399999999999999" x14ac:dyDescent="0.3">
      <c r="A4358" s="10"/>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spans="1:26" ht="17.399999999999999" x14ac:dyDescent="0.3">
      <c r="A4359" s="10"/>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spans="1:26" ht="17.399999999999999" x14ac:dyDescent="0.3">
      <c r="A4360" s="10"/>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spans="1:26" ht="17.399999999999999" x14ac:dyDescent="0.3">
      <c r="A4361" s="10"/>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spans="1:26" ht="17.399999999999999" x14ac:dyDescent="0.3">
      <c r="A4362" s="10"/>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spans="1:26" ht="17.399999999999999" x14ac:dyDescent="0.3">
      <c r="A4363" s="10"/>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spans="1:26" ht="17.399999999999999" x14ac:dyDescent="0.3">
      <c r="A4364" s="10"/>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spans="1:26" ht="17.399999999999999" x14ac:dyDescent="0.3">
      <c r="A4365" s="10"/>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spans="1:26" ht="17.399999999999999" x14ac:dyDescent="0.3">
      <c r="A4366" s="10"/>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spans="1:26" ht="17.399999999999999" x14ac:dyDescent="0.3">
      <c r="A4367" s="10"/>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spans="1:26" ht="17.399999999999999" x14ac:dyDescent="0.3">
      <c r="A4368" s="10"/>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spans="1:26" ht="17.399999999999999" x14ac:dyDescent="0.3">
      <c r="A4369" s="10"/>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spans="1:26" ht="17.399999999999999" x14ac:dyDescent="0.3">
      <c r="A4370" s="10"/>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spans="1:26" ht="17.399999999999999" x14ac:dyDescent="0.3">
      <c r="A4371" s="10"/>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spans="1:26" ht="17.399999999999999" x14ac:dyDescent="0.3">
      <c r="A4372" s="10"/>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spans="1:26" ht="17.399999999999999" x14ac:dyDescent="0.3">
      <c r="A4373" s="10"/>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spans="1:26" ht="17.399999999999999" x14ac:dyDescent="0.3">
      <c r="A4374" s="10"/>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spans="1:26" ht="17.399999999999999" x14ac:dyDescent="0.3">
      <c r="A4375" s="10"/>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spans="1:26" ht="17.399999999999999" x14ac:dyDescent="0.3">
      <c r="A4376" s="10"/>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spans="1:26" ht="17.399999999999999" x14ac:dyDescent="0.3">
      <c r="A4377" s="10"/>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spans="1:26" ht="17.399999999999999" x14ac:dyDescent="0.3">
      <c r="A4378" s="10"/>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spans="1:26" ht="17.399999999999999" x14ac:dyDescent="0.3">
      <c r="A4379" s="10"/>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spans="1:26" ht="17.399999999999999" x14ac:dyDescent="0.3">
      <c r="A4380" s="10"/>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spans="1:26" ht="17.399999999999999" x14ac:dyDescent="0.3">
      <c r="A4381" s="10"/>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spans="1:26" ht="17.399999999999999" x14ac:dyDescent="0.3">
      <c r="A4382" s="10"/>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spans="1:26" ht="17.399999999999999" x14ac:dyDescent="0.3">
      <c r="A4383" s="10"/>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spans="1:26" ht="17.399999999999999" x14ac:dyDescent="0.3">
      <c r="A4384" s="10"/>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spans="1:26" ht="17.399999999999999" x14ac:dyDescent="0.3">
      <c r="A4385" s="10"/>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spans="1:26" ht="17.399999999999999" x14ac:dyDescent="0.3">
      <c r="A4386" s="10"/>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spans="1:26" ht="17.399999999999999" x14ac:dyDescent="0.3">
      <c r="A4387" s="10"/>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spans="1:26" ht="17.399999999999999" x14ac:dyDescent="0.3">
      <c r="A4388" s="10"/>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spans="1:26" ht="17.399999999999999" x14ac:dyDescent="0.3">
      <c r="A4389" s="10"/>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spans="1:26" ht="17.399999999999999" x14ac:dyDescent="0.3">
      <c r="A4390" s="10"/>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spans="1:26" ht="17.399999999999999" x14ac:dyDescent="0.3">
      <c r="A4391" s="10"/>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spans="1:26" ht="17.399999999999999" x14ac:dyDescent="0.3">
      <c r="A4392" s="10"/>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spans="1:26" ht="17.399999999999999" x14ac:dyDescent="0.3">
      <c r="A4393" s="10"/>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spans="1:26" ht="17.399999999999999" x14ac:dyDescent="0.3">
      <c r="A4394" s="10"/>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spans="1:26" ht="17.399999999999999" x14ac:dyDescent="0.3">
      <c r="A4395" s="10"/>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spans="1:26" ht="17.399999999999999" x14ac:dyDescent="0.3">
      <c r="A4396" s="10"/>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spans="1:26" ht="17.399999999999999" x14ac:dyDescent="0.3">
      <c r="A4397" s="10"/>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spans="1:26" ht="17.399999999999999" x14ac:dyDescent="0.3">
      <c r="A4398" s="10"/>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spans="1:26" ht="17.399999999999999" x14ac:dyDescent="0.3">
      <c r="A4399" s="10"/>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spans="1:26" ht="17.399999999999999" x14ac:dyDescent="0.3">
      <c r="A4400" s="10"/>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spans="1:26" ht="17.399999999999999" x14ac:dyDescent="0.3">
      <c r="A4401" s="10"/>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spans="1:26" ht="17.399999999999999" x14ac:dyDescent="0.3">
      <c r="A4402" s="10"/>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spans="1:26" ht="17.399999999999999" x14ac:dyDescent="0.3">
      <c r="A4403" s="10"/>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spans="1:26" ht="17.399999999999999" x14ac:dyDescent="0.3">
      <c r="A4404" s="10"/>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spans="1:26" ht="17.399999999999999" x14ac:dyDescent="0.3">
      <c r="A4405" s="10"/>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spans="1:26" ht="17.399999999999999" x14ac:dyDescent="0.3">
      <c r="A4406" s="10"/>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spans="1:26" ht="17.399999999999999" x14ac:dyDescent="0.3">
      <c r="A4407" s="10"/>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spans="1:26" ht="17.399999999999999" x14ac:dyDescent="0.3">
      <c r="A4408" s="10"/>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spans="1:26" ht="17.399999999999999" x14ac:dyDescent="0.3">
      <c r="A4409" s="10"/>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spans="1:26" ht="17.399999999999999" x14ac:dyDescent="0.3">
      <c r="A4410" s="10"/>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spans="1:26" ht="17.399999999999999" x14ac:dyDescent="0.3">
      <c r="A4411" s="10"/>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spans="1:26" ht="17.399999999999999" x14ac:dyDescent="0.3">
      <c r="A4412" s="10"/>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spans="1:26" ht="17.399999999999999" x14ac:dyDescent="0.3">
      <c r="A4413" s="10"/>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spans="1:26" ht="17.399999999999999" x14ac:dyDescent="0.3">
      <c r="A4414" s="10"/>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spans="1:26" ht="17.399999999999999" x14ac:dyDescent="0.3">
      <c r="A4415" s="10"/>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spans="1:26" ht="17.399999999999999" x14ac:dyDescent="0.3">
      <c r="A4416" s="10"/>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spans="1:26" ht="17.399999999999999" x14ac:dyDescent="0.3">
      <c r="A4417" s="10"/>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spans="1:26" ht="17.399999999999999" x14ac:dyDescent="0.3">
      <c r="A4418" s="10"/>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spans="1:26" ht="17.399999999999999" x14ac:dyDescent="0.3">
      <c r="A4419" s="10"/>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spans="1:26" ht="17.399999999999999" x14ac:dyDescent="0.3">
      <c r="A4420" s="10"/>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spans="1:26" ht="17.399999999999999" x14ac:dyDescent="0.3">
      <c r="A4421" s="10"/>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spans="1:26" ht="17.399999999999999" x14ac:dyDescent="0.3">
      <c r="A4422" s="10"/>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spans="1:26" ht="17.399999999999999" x14ac:dyDescent="0.3">
      <c r="A4423" s="10"/>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spans="1:26" ht="17.399999999999999" x14ac:dyDescent="0.3">
      <c r="A4424" s="10"/>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spans="1:26" ht="17.399999999999999" x14ac:dyDescent="0.3">
      <c r="A4425" s="10"/>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spans="1:26" ht="17.399999999999999" x14ac:dyDescent="0.3">
      <c r="A4426" s="10"/>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spans="1:26" ht="17.399999999999999" x14ac:dyDescent="0.3">
      <c r="A4427" s="10"/>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spans="1:26" ht="17.399999999999999" x14ac:dyDescent="0.3">
      <c r="A4428" s="10"/>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spans="1:26" ht="17.399999999999999" x14ac:dyDescent="0.3">
      <c r="A4429" s="10"/>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spans="1:26" ht="17.399999999999999" x14ac:dyDescent="0.3">
      <c r="A4430" s="10"/>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spans="1:26" ht="17.399999999999999" x14ac:dyDescent="0.3">
      <c r="A4431" s="10"/>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spans="1:26" ht="17.399999999999999" x14ac:dyDescent="0.3">
      <c r="A4432" s="10"/>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spans="1:26" ht="17.399999999999999" x14ac:dyDescent="0.3">
      <c r="A4433" s="10"/>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spans="1:26" ht="17.399999999999999" x14ac:dyDescent="0.3">
      <c r="A4434" s="10"/>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spans="1:26" ht="17.399999999999999" x14ac:dyDescent="0.3">
      <c r="A4435" s="10"/>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spans="1:26" ht="17.399999999999999" x14ac:dyDescent="0.3">
      <c r="A4436" s="10"/>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spans="1:26" ht="17.399999999999999" x14ac:dyDescent="0.3">
      <c r="A4437" s="10"/>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spans="1:26" ht="17.399999999999999" x14ac:dyDescent="0.3">
      <c r="A4438" s="10"/>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spans="1:26" ht="17.399999999999999" x14ac:dyDescent="0.3">
      <c r="A4439" s="10"/>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spans="1:26" ht="17.399999999999999" x14ac:dyDescent="0.3">
      <c r="A4440" s="10"/>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spans="1:26" ht="17.399999999999999" x14ac:dyDescent="0.3">
      <c r="A4441" s="10"/>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spans="1:26" ht="17.399999999999999" x14ac:dyDescent="0.3">
      <c r="A4442" s="10"/>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spans="1:26" ht="17.399999999999999" x14ac:dyDescent="0.3">
      <c r="A4443" s="10"/>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spans="1:26" ht="17.399999999999999" x14ac:dyDescent="0.3">
      <c r="A4444" s="10"/>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spans="1:26" ht="17.399999999999999" x14ac:dyDescent="0.3">
      <c r="A4445" s="10"/>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spans="1:26" ht="17.399999999999999" x14ac:dyDescent="0.3">
      <c r="A4446" s="10"/>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spans="1:26" ht="17.399999999999999" x14ac:dyDescent="0.3">
      <c r="A4447" s="10"/>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spans="1:26" ht="17.399999999999999" x14ac:dyDescent="0.3">
      <c r="A4448" s="10"/>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spans="1:26" ht="17.399999999999999" x14ac:dyDescent="0.3">
      <c r="A4449" s="10"/>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spans="1:26" ht="17.399999999999999" x14ac:dyDescent="0.3">
      <c r="A4450" s="10"/>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spans="1:26" ht="17.399999999999999" x14ac:dyDescent="0.3">
      <c r="A4451" s="10"/>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spans="1:26" ht="17.399999999999999" x14ac:dyDescent="0.3">
      <c r="A4452" s="10"/>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spans="1:26" ht="17.399999999999999" x14ac:dyDescent="0.3">
      <c r="A4453" s="10"/>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spans="1:26" ht="17.399999999999999" x14ac:dyDescent="0.3">
      <c r="A4454" s="10"/>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spans="1:26" ht="17.399999999999999" x14ac:dyDescent="0.3">
      <c r="A4455" s="10"/>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spans="1:26" ht="17.399999999999999" x14ac:dyDescent="0.3">
      <c r="A4456" s="10"/>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spans="1:26" ht="17.399999999999999" x14ac:dyDescent="0.3">
      <c r="A4457" s="10"/>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spans="1:26" ht="17.399999999999999" x14ac:dyDescent="0.3">
      <c r="A4458" s="10"/>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spans="1:26" ht="17.399999999999999" x14ac:dyDescent="0.3">
      <c r="A4459" s="10"/>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spans="1:26" ht="17.399999999999999" x14ac:dyDescent="0.3">
      <c r="A4460" s="10"/>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spans="1:26" ht="17.399999999999999" x14ac:dyDescent="0.3">
      <c r="A4461" s="10"/>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spans="1:26" ht="17.399999999999999" x14ac:dyDescent="0.3">
      <c r="A4462" s="10"/>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spans="1:26" ht="17.399999999999999" x14ac:dyDescent="0.3">
      <c r="A4463" s="10"/>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spans="1:26" ht="17.399999999999999" x14ac:dyDescent="0.3">
      <c r="A4464" s="10"/>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spans="1:26" ht="17.399999999999999" x14ac:dyDescent="0.3">
      <c r="A4465" s="10"/>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spans="1:26" ht="17.399999999999999" x14ac:dyDescent="0.3">
      <c r="A4466" s="10"/>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spans="1:26" ht="17.399999999999999" x14ac:dyDescent="0.3">
      <c r="A4467" s="10"/>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spans="1:26" ht="17.399999999999999" x14ac:dyDescent="0.3">
      <c r="A4468" s="10"/>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spans="1:26" ht="17.399999999999999" x14ac:dyDescent="0.3">
      <c r="A4469" s="10"/>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spans="1:26" ht="17.399999999999999" x14ac:dyDescent="0.3">
      <c r="A4470" s="10"/>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spans="1:26" ht="17.399999999999999" x14ac:dyDescent="0.3">
      <c r="A4471" s="10"/>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spans="1:26" ht="17.399999999999999" x14ac:dyDescent="0.3">
      <c r="A4472" s="10"/>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spans="1:26" ht="17.399999999999999" x14ac:dyDescent="0.3">
      <c r="A4473" s="10"/>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spans="1:26" ht="17.399999999999999" x14ac:dyDescent="0.3">
      <c r="A4474" s="10"/>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spans="1:26" ht="17.399999999999999" x14ac:dyDescent="0.3">
      <c r="A4475" s="10"/>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spans="1:26" ht="17.399999999999999" x14ac:dyDescent="0.3">
      <c r="A4476" s="10"/>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spans="1:26" ht="17.399999999999999" x14ac:dyDescent="0.3">
      <c r="A4477" s="10"/>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spans="1:26" ht="17.399999999999999" x14ac:dyDescent="0.3">
      <c r="A4478" s="10"/>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spans="1:26" ht="17.399999999999999" x14ac:dyDescent="0.3">
      <c r="A4479" s="10"/>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spans="1:26" ht="17.399999999999999" x14ac:dyDescent="0.3">
      <c r="A4480" s="10"/>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spans="1:26" ht="17.399999999999999" x14ac:dyDescent="0.3">
      <c r="A4481" s="10"/>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spans="1:26" ht="17.399999999999999" x14ac:dyDescent="0.3">
      <c r="A4482" s="10"/>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spans="1:26" ht="17.399999999999999" x14ac:dyDescent="0.3">
      <c r="A4483" s="10"/>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spans="1:26" ht="17.399999999999999" x14ac:dyDescent="0.3">
      <c r="A4484" s="10"/>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spans="1:26" ht="17.399999999999999" x14ac:dyDescent="0.3">
      <c r="A4485" s="10"/>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spans="1:26" ht="17.399999999999999" x14ac:dyDescent="0.3">
      <c r="A4486" s="10"/>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spans="1:26" ht="17.399999999999999" x14ac:dyDescent="0.3">
      <c r="A4487" s="10"/>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spans="1:26" ht="17.399999999999999" x14ac:dyDescent="0.3">
      <c r="A4488" s="10"/>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spans="1:26" ht="17.399999999999999" x14ac:dyDescent="0.3">
      <c r="A4489" s="10"/>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spans="1:26" ht="17.399999999999999" x14ac:dyDescent="0.3">
      <c r="A4490" s="10"/>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spans="1:26" ht="17.399999999999999" x14ac:dyDescent="0.3">
      <c r="A4491" s="10"/>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spans="1:26" ht="17.399999999999999" x14ac:dyDescent="0.3">
      <c r="A4492" s="10"/>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spans="1:26" ht="17.399999999999999" x14ac:dyDescent="0.3">
      <c r="A4493" s="10"/>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spans="1:26" ht="17.399999999999999" x14ac:dyDescent="0.3">
      <c r="A4494" s="10"/>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spans="1:26" ht="17.399999999999999" x14ac:dyDescent="0.3">
      <c r="A4495" s="10"/>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spans="1:26" ht="17.399999999999999" x14ac:dyDescent="0.3">
      <c r="A4496" s="10"/>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spans="1:26" ht="17.399999999999999" x14ac:dyDescent="0.3">
      <c r="A4497" s="10"/>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spans="1:26" ht="17.399999999999999" x14ac:dyDescent="0.3">
      <c r="A4498" s="10"/>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spans="1:26" ht="17.399999999999999" x14ac:dyDescent="0.3">
      <c r="A4499" s="10"/>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spans="1:26" ht="17.399999999999999" x14ac:dyDescent="0.3">
      <c r="A4500" s="10"/>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spans="1:26" ht="17.399999999999999" x14ac:dyDescent="0.3">
      <c r="A4501" s="10"/>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spans="1:26" ht="17.399999999999999" x14ac:dyDescent="0.3">
      <c r="A4502" s="10"/>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spans="1:26" ht="17.399999999999999" x14ac:dyDescent="0.3">
      <c r="A4503" s="10"/>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spans="1:26" ht="17.399999999999999" x14ac:dyDescent="0.3">
      <c r="A4504" s="10"/>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spans="1:26" ht="17.399999999999999" x14ac:dyDescent="0.3">
      <c r="A4505" s="10"/>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spans="1:26" ht="17.399999999999999" x14ac:dyDescent="0.3">
      <c r="A4506" s="10"/>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spans="1:26" ht="17.399999999999999" x14ac:dyDescent="0.3">
      <c r="A4507" s="10"/>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spans="1:26" ht="17.399999999999999" x14ac:dyDescent="0.3">
      <c r="A4508" s="10"/>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spans="1:26" ht="17.399999999999999" x14ac:dyDescent="0.3">
      <c r="A4509" s="10"/>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spans="1:26" ht="17.399999999999999" x14ac:dyDescent="0.3">
      <c r="A4510" s="10"/>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spans="1:26" ht="17.399999999999999" x14ac:dyDescent="0.3">
      <c r="A4511" s="10"/>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spans="1:26" ht="17.399999999999999" x14ac:dyDescent="0.3">
      <c r="A4512" s="10"/>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spans="1:26" ht="17.399999999999999" x14ac:dyDescent="0.3">
      <c r="A4513" s="10"/>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spans="1:26" ht="17.399999999999999" x14ac:dyDescent="0.3">
      <c r="A4514" s="10"/>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spans="1:26" ht="17.399999999999999" x14ac:dyDescent="0.3">
      <c r="A4515" s="10"/>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spans="1:26" ht="17.399999999999999" x14ac:dyDescent="0.3">
      <c r="A4516" s="10"/>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spans="1:26" ht="17.399999999999999" x14ac:dyDescent="0.3">
      <c r="A4517" s="10"/>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spans="1:26" ht="17.399999999999999" x14ac:dyDescent="0.3">
      <c r="A4518" s="10"/>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spans="1:26" ht="17.399999999999999" x14ac:dyDescent="0.3">
      <c r="A4519" s="10"/>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spans="1:26" ht="17.399999999999999" x14ac:dyDescent="0.3">
      <c r="A4520" s="10"/>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spans="1:26" ht="17.399999999999999" x14ac:dyDescent="0.3">
      <c r="A4521" s="10"/>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spans="1:26" ht="17.399999999999999" x14ac:dyDescent="0.3">
      <c r="A4522" s="10"/>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spans="1:26" ht="17.399999999999999" x14ac:dyDescent="0.3">
      <c r="A4523" s="10"/>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spans="1:26" ht="17.399999999999999" x14ac:dyDescent="0.3">
      <c r="A4524" s="10"/>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spans="1:26" ht="17.399999999999999" x14ac:dyDescent="0.3">
      <c r="A4525" s="10"/>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spans="1:26" ht="17.399999999999999" x14ac:dyDescent="0.3">
      <c r="A4526" s="10"/>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spans="1:26" ht="17.399999999999999" x14ac:dyDescent="0.3">
      <c r="A4527" s="10"/>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spans="1:26" ht="17.399999999999999" x14ac:dyDescent="0.3">
      <c r="A4528" s="10"/>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spans="1:26" ht="17.399999999999999" x14ac:dyDescent="0.3">
      <c r="A4529" s="10"/>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spans="1:26" ht="17.399999999999999" x14ac:dyDescent="0.3">
      <c r="A4530" s="10"/>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spans="1:26" ht="17.399999999999999" x14ac:dyDescent="0.3">
      <c r="A4531" s="10"/>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spans="1:26" ht="17.399999999999999" x14ac:dyDescent="0.3">
      <c r="A4532" s="10"/>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spans="1:26" ht="17.399999999999999" x14ac:dyDescent="0.3">
      <c r="A4533" s="10"/>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spans="1:26" ht="17.399999999999999" x14ac:dyDescent="0.3">
      <c r="A4534" s="10"/>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spans="1:26" ht="17.399999999999999" x14ac:dyDescent="0.3">
      <c r="A4535" s="10"/>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spans="1:26" ht="17.399999999999999" x14ac:dyDescent="0.3">
      <c r="A4536" s="10"/>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spans="1:26" ht="17.399999999999999" x14ac:dyDescent="0.3">
      <c r="A4537" s="10"/>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spans="1:26" ht="17.399999999999999" x14ac:dyDescent="0.3">
      <c r="A4538" s="10"/>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spans="1:26" ht="17.399999999999999" x14ac:dyDescent="0.3">
      <c r="A4539" s="10"/>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spans="1:26" ht="17.399999999999999" x14ac:dyDescent="0.3">
      <c r="A4540" s="10"/>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spans="1:26" ht="17.399999999999999" x14ac:dyDescent="0.3">
      <c r="A4541" s="10"/>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spans="1:26" ht="17.399999999999999" x14ac:dyDescent="0.3">
      <c r="A4542" s="10"/>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spans="1:26" ht="17.399999999999999" x14ac:dyDescent="0.3">
      <c r="A4543" s="10"/>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spans="1:26" ht="17.399999999999999" x14ac:dyDescent="0.3">
      <c r="A4544" s="10"/>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spans="1:26" ht="17.399999999999999" x14ac:dyDescent="0.3">
      <c r="A4545" s="10"/>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spans="1:26" ht="17.399999999999999" x14ac:dyDescent="0.3">
      <c r="A4546" s="10"/>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spans="1:26" ht="17.399999999999999" x14ac:dyDescent="0.3">
      <c r="A4547" s="10"/>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spans="1:26" ht="17.399999999999999" x14ac:dyDescent="0.3">
      <c r="A4548" s="10"/>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spans="1:26" ht="17.399999999999999" x14ac:dyDescent="0.3">
      <c r="A4549" s="10"/>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spans="1:26" ht="17.399999999999999" x14ac:dyDescent="0.3">
      <c r="A4550" s="10"/>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spans="1:26" ht="17.399999999999999" x14ac:dyDescent="0.3">
      <c r="A4551" s="10"/>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spans="1:26" ht="17.399999999999999" x14ac:dyDescent="0.3">
      <c r="A4552" s="10"/>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spans="1:26" ht="17.399999999999999" x14ac:dyDescent="0.3">
      <c r="A4553" s="10"/>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spans="1:26" ht="17.399999999999999" x14ac:dyDescent="0.3">
      <c r="A4554" s="10"/>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spans="1:26" ht="17.399999999999999" x14ac:dyDescent="0.3">
      <c r="A4555" s="10"/>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spans="1:26" ht="17.399999999999999" x14ac:dyDescent="0.3">
      <c r="A4556" s="10"/>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spans="1:26" ht="17.399999999999999" x14ac:dyDescent="0.3">
      <c r="A4557" s="10"/>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spans="1:26" ht="17.399999999999999" x14ac:dyDescent="0.3">
      <c r="A4558" s="10"/>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spans="1:26" ht="17.399999999999999" x14ac:dyDescent="0.3">
      <c r="A4559" s="10"/>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spans="1:26" ht="17.399999999999999" x14ac:dyDescent="0.3">
      <c r="A4560" s="10"/>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spans="1:26" ht="17.399999999999999" x14ac:dyDescent="0.3">
      <c r="A4561" s="10"/>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spans="1:26" ht="17.399999999999999" x14ac:dyDescent="0.3">
      <c r="A4562" s="10"/>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spans="1:26" ht="17.399999999999999" x14ac:dyDescent="0.3">
      <c r="A4563" s="10"/>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spans="1:26" ht="17.399999999999999" x14ac:dyDescent="0.3">
      <c r="A4564" s="10"/>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spans="1:26" ht="17.399999999999999" x14ac:dyDescent="0.3">
      <c r="A4565" s="10"/>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spans="1:26" ht="17.399999999999999" x14ac:dyDescent="0.3">
      <c r="A4566" s="10"/>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spans="1:26" ht="17.399999999999999" x14ac:dyDescent="0.3">
      <c r="A4567" s="10"/>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spans="1:26" ht="17.399999999999999" x14ac:dyDescent="0.3">
      <c r="A4568" s="10"/>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spans="1:26" ht="17.399999999999999" x14ac:dyDescent="0.3">
      <c r="A4569" s="10"/>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spans="1:26" ht="17.399999999999999" x14ac:dyDescent="0.3">
      <c r="A4570" s="10"/>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spans="1:26" ht="17.399999999999999" x14ac:dyDescent="0.3">
      <c r="A4571" s="10"/>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spans="1:26" ht="17.399999999999999" x14ac:dyDescent="0.3">
      <c r="A4572" s="10"/>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spans="1:26" ht="17.399999999999999" x14ac:dyDescent="0.3">
      <c r="A4573" s="10"/>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spans="1:26" ht="17.399999999999999" x14ac:dyDescent="0.3">
      <c r="A4574" s="10"/>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spans="1:26" ht="17.399999999999999" x14ac:dyDescent="0.3">
      <c r="A4575" s="10"/>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spans="1:26" ht="17.399999999999999" x14ac:dyDescent="0.3">
      <c r="A4576" s="10"/>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spans="1:26" ht="17.399999999999999" x14ac:dyDescent="0.3">
      <c r="A4577" s="10"/>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spans="1:26" ht="17.399999999999999" x14ac:dyDescent="0.3">
      <c r="A4578" s="10"/>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spans="1:26" ht="17.399999999999999" x14ac:dyDescent="0.3">
      <c r="A4579" s="10"/>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spans="1:26" ht="17.399999999999999" x14ac:dyDescent="0.3">
      <c r="A4580" s="10"/>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spans="1:26" ht="17.399999999999999" x14ac:dyDescent="0.3">
      <c r="A4581" s="10"/>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spans="1:26" ht="17.399999999999999" x14ac:dyDescent="0.3">
      <c r="A4582" s="10"/>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spans="1:26" ht="17.399999999999999" x14ac:dyDescent="0.3">
      <c r="A4583" s="10"/>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spans="1:26" ht="17.399999999999999" x14ac:dyDescent="0.3">
      <c r="A4584" s="10"/>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spans="1:26" ht="17.399999999999999" x14ac:dyDescent="0.3">
      <c r="A4585" s="10"/>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spans="1:26" ht="17.399999999999999" x14ac:dyDescent="0.3">
      <c r="A4586" s="10"/>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spans="1:26" ht="17.399999999999999" x14ac:dyDescent="0.3">
      <c r="A4587" s="10"/>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spans="1:26" ht="17.399999999999999" x14ac:dyDescent="0.3">
      <c r="A4588" s="10"/>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spans="1:26" ht="17.399999999999999" x14ac:dyDescent="0.3">
      <c r="A4589" s="10"/>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spans="1:26" ht="17.399999999999999" x14ac:dyDescent="0.3">
      <c r="A4590" s="10"/>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spans="1:26" ht="17.399999999999999" x14ac:dyDescent="0.3">
      <c r="A4591" s="10"/>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spans="1:26" ht="17.399999999999999" x14ac:dyDescent="0.3">
      <c r="A4592" s="10"/>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spans="1:26" ht="17.399999999999999" x14ac:dyDescent="0.3">
      <c r="A4593" s="10"/>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spans="1:26" ht="17.399999999999999" x14ac:dyDescent="0.3">
      <c r="A4594" s="10"/>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spans="1:26" ht="17.399999999999999" x14ac:dyDescent="0.3">
      <c r="A4595" s="10"/>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spans="1:26" ht="17.399999999999999" x14ac:dyDescent="0.3">
      <c r="A4596" s="10"/>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spans="1:26" ht="17.399999999999999" x14ac:dyDescent="0.3">
      <c r="A4597" s="10"/>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spans="1:26" ht="17.399999999999999" x14ac:dyDescent="0.3">
      <c r="A4598" s="10"/>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spans="1:26" ht="17.399999999999999" x14ac:dyDescent="0.3">
      <c r="A4599" s="10"/>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spans="1:26" ht="17.399999999999999" x14ac:dyDescent="0.3">
      <c r="A4600" s="10"/>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spans="1:26" ht="17.399999999999999" x14ac:dyDescent="0.3">
      <c r="A4601" s="10"/>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spans="1:26" ht="17.399999999999999" x14ac:dyDescent="0.3">
      <c r="A4602" s="10"/>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spans="1:26" ht="17.399999999999999" x14ac:dyDescent="0.3">
      <c r="A4603" s="10"/>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spans="1:26" ht="17.399999999999999" x14ac:dyDescent="0.3">
      <c r="A4604" s="10"/>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spans="1:26" ht="17.399999999999999" x14ac:dyDescent="0.3">
      <c r="A4605" s="10"/>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spans="1:26" ht="17.399999999999999" x14ac:dyDescent="0.3">
      <c r="A4606" s="10"/>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spans="1:26" ht="17.399999999999999" x14ac:dyDescent="0.3">
      <c r="A4607" s="10"/>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spans="1:26" ht="17.399999999999999" x14ac:dyDescent="0.3">
      <c r="A4608" s="10"/>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spans="1:26" ht="17.399999999999999" x14ac:dyDescent="0.3">
      <c r="A4609" s="10"/>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spans="1:26" ht="17.399999999999999" x14ac:dyDescent="0.3">
      <c r="A4610" s="10"/>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spans="1:26" ht="17.399999999999999" x14ac:dyDescent="0.3">
      <c r="A4611" s="10"/>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spans="1:26" ht="17.399999999999999" x14ac:dyDescent="0.3">
      <c r="A4612" s="10"/>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spans="1:26" ht="17.399999999999999" x14ac:dyDescent="0.3">
      <c r="A4613" s="10"/>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spans="1:26" ht="17.399999999999999" x14ac:dyDescent="0.3">
      <c r="A4614" s="10"/>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spans="1:26" ht="17.399999999999999" x14ac:dyDescent="0.3">
      <c r="A4615" s="10"/>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spans="1:26" ht="17.399999999999999" x14ac:dyDescent="0.3">
      <c r="A4616" s="10"/>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spans="1:26" ht="17.399999999999999" x14ac:dyDescent="0.3">
      <c r="A4617" s="10"/>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spans="1:26" ht="17.399999999999999" x14ac:dyDescent="0.3">
      <c r="A4618" s="10"/>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spans="1:26" ht="17.399999999999999" x14ac:dyDescent="0.3">
      <c r="A4619" s="10"/>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spans="1:26" ht="17.399999999999999" x14ac:dyDescent="0.3">
      <c r="A4620" s="10"/>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spans="1:26" ht="17.399999999999999" x14ac:dyDescent="0.3">
      <c r="A4621" s="10"/>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spans="1:26" ht="17.399999999999999" x14ac:dyDescent="0.3">
      <c r="A4622" s="10"/>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spans="1:26" ht="17.399999999999999" x14ac:dyDescent="0.3">
      <c r="A4623" s="10"/>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spans="1:26" ht="17.399999999999999" x14ac:dyDescent="0.3">
      <c r="A4624" s="10"/>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spans="1:26" ht="17.399999999999999" x14ac:dyDescent="0.3">
      <c r="A4625" s="10"/>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spans="1:26" ht="17.399999999999999" x14ac:dyDescent="0.3">
      <c r="A4626" s="10"/>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spans="1:26" ht="17.399999999999999" x14ac:dyDescent="0.3">
      <c r="A4627" s="10"/>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spans="1:26" ht="17.399999999999999" x14ac:dyDescent="0.3">
      <c r="A4628" s="10"/>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spans="1:26" ht="17.399999999999999" x14ac:dyDescent="0.3">
      <c r="A4629" s="10"/>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spans="1:26" ht="17.399999999999999" x14ac:dyDescent="0.3">
      <c r="A4630" s="10"/>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spans="1:26" ht="17.399999999999999" x14ac:dyDescent="0.3">
      <c r="A4631" s="10"/>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spans="1:26" ht="17.399999999999999" x14ac:dyDescent="0.3">
      <c r="A4632" s="10"/>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spans="1:26" ht="17.399999999999999" x14ac:dyDescent="0.3">
      <c r="A4633" s="10"/>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spans="1:26" ht="17.399999999999999" x14ac:dyDescent="0.3">
      <c r="A4634" s="10"/>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spans="1:26" ht="17.399999999999999" x14ac:dyDescent="0.3">
      <c r="A4635" s="10"/>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spans="1:26" ht="17.399999999999999" x14ac:dyDescent="0.3">
      <c r="A4636" s="10"/>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spans="1:26" ht="17.399999999999999" x14ac:dyDescent="0.3">
      <c r="A4637" s="10"/>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spans="1:26" ht="17.399999999999999" x14ac:dyDescent="0.3">
      <c r="A4638" s="10"/>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spans="1:26" ht="17.399999999999999" x14ac:dyDescent="0.3">
      <c r="A4639" s="10"/>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spans="1:26" ht="17.399999999999999" x14ac:dyDescent="0.3">
      <c r="A4640" s="10"/>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spans="1:26" ht="17.399999999999999" x14ac:dyDescent="0.3">
      <c r="A4641" s="10"/>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spans="1:26" ht="17.399999999999999" x14ac:dyDescent="0.3">
      <c r="A4642" s="10"/>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spans="1:26" ht="17.399999999999999" x14ac:dyDescent="0.3">
      <c r="A4643" s="10"/>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spans="1:26" ht="17.399999999999999" x14ac:dyDescent="0.3">
      <c r="A4644" s="10"/>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spans="1:26" ht="17.399999999999999" x14ac:dyDescent="0.3">
      <c r="A4645" s="10"/>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spans="1:26" ht="17.399999999999999" x14ac:dyDescent="0.3">
      <c r="A4646" s="10"/>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spans="1:26" ht="17.399999999999999" x14ac:dyDescent="0.3">
      <c r="A4647" s="10"/>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spans="1:26" ht="17.399999999999999" x14ac:dyDescent="0.3">
      <c r="A4648" s="10"/>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spans="1:26" ht="17.399999999999999" x14ac:dyDescent="0.3">
      <c r="A4649" s="10"/>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spans="1:26" ht="17.399999999999999" x14ac:dyDescent="0.3">
      <c r="A4650" s="10"/>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spans="1:26" ht="17.399999999999999" x14ac:dyDescent="0.3">
      <c r="A4651" s="10"/>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spans="1:26" ht="17.399999999999999" x14ac:dyDescent="0.3">
      <c r="A4652" s="10"/>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spans="1:26" ht="17.399999999999999" x14ac:dyDescent="0.3">
      <c r="A4653" s="10"/>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spans="1:26" ht="17.399999999999999" x14ac:dyDescent="0.3">
      <c r="A4654" s="10"/>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spans="1:26" ht="17.399999999999999" x14ac:dyDescent="0.3">
      <c r="A4655" s="10"/>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spans="1:26" ht="17.399999999999999" x14ac:dyDescent="0.3">
      <c r="A4656" s="10"/>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spans="1:26" ht="17.399999999999999" x14ac:dyDescent="0.3">
      <c r="A4657" s="10"/>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spans="1:26" ht="17.399999999999999" x14ac:dyDescent="0.3">
      <c r="A4658" s="10"/>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spans="1:26" ht="17.399999999999999" x14ac:dyDescent="0.3">
      <c r="A4659" s="10"/>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spans="1:26" ht="17.399999999999999" x14ac:dyDescent="0.3">
      <c r="A4660" s="10"/>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spans="1:26" ht="17.399999999999999" x14ac:dyDescent="0.3">
      <c r="A4661" s="10"/>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spans="1:26" ht="17.399999999999999" x14ac:dyDescent="0.3">
      <c r="A4662" s="10"/>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spans="1:26" ht="17.399999999999999" x14ac:dyDescent="0.3">
      <c r="A4663" s="10"/>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spans="1:26" ht="17.399999999999999" x14ac:dyDescent="0.3">
      <c r="A4664" s="10"/>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spans="1:26" ht="17.399999999999999" x14ac:dyDescent="0.3">
      <c r="A4665" s="10"/>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spans="1:26" ht="17.399999999999999" x14ac:dyDescent="0.3">
      <c r="A4666" s="10"/>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spans="1:26" ht="17.399999999999999" x14ac:dyDescent="0.3">
      <c r="A4667" s="10"/>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spans="1:26" ht="17.399999999999999" x14ac:dyDescent="0.3">
      <c r="A4668" s="10"/>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spans="1:26" ht="17.399999999999999" x14ac:dyDescent="0.3">
      <c r="A4669" s="10"/>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spans="1:26" ht="17.399999999999999" x14ac:dyDescent="0.3">
      <c r="A4670" s="10"/>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spans="1:26" ht="17.399999999999999" x14ac:dyDescent="0.3">
      <c r="A4671" s="10"/>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spans="1:26" ht="17.399999999999999" x14ac:dyDescent="0.3">
      <c r="A4672" s="10"/>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spans="1:26" ht="17.399999999999999" x14ac:dyDescent="0.3">
      <c r="A4673" s="10"/>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spans="1:26" ht="17.399999999999999" x14ac:dyDescent="0.3">
      <c r="A4674" s="10"/>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spans="1:26" ht="17.399999999999999" x14ac:dyDescent="0.3">
      <c r="A4675" s="10"/>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spans="1:26" ht="17.399999999999999" x14ac:dyDescent="0.3">
      <c r="A4676" s="10"/>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spans="1:26" ht="17.399999999999999" x14ac:dyDescent="0.3">
      <c r="A4677" s="10"/>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spans="1:26" ht="17.399999999999999" x14ac:dyDescent="0.3">
      <c r="A4678" s="10"/>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spans="1:26" ht="17.399999999999999" x14ac:dyDescent="0.3">
      <c r="A4679" s="10"/>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spans="1:26" ht="17.399999999999999" x14ac:dyDescent="0.3">
      <c r="A4680" s="10"/>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spans="1:26" ht="17.399999999999999" x14ac:dyDescent="0.3">
      <c r="A4681" s="10"/>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spans="1:26" ht="17.399999999999999" x14ac:dyDescent="0.3">
      <c r="A4682" s="10"/>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spans="1:26" ht="17.399999999999999" x14ac:dyDescent="0.3">
      <c r="A4683" s="10"/>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spans="1:26" ht="17.399999999999999" x14ac:dyDescent="0.3">
      <c r="A4684" s="10"/>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spans="1:26" ht="17.399999999999999" x14ac:dyDescent="0.3">
      <c r="A4685" s="10"/>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spans="1:26" ht="17.399999999999999" x14ac:dyDescent="0.3">
      <c r="A4686" s="10"/>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spans="1:26" ht="17.399999999999999" x14ac:dyDescent="0.3">
      <c r="A4687" s="10"/>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spans="1:26" ht="17.399999999999999" x14ac:dyDescent="0.3">
      <c r="A4688" s="10"/>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spans="1:26" ht="17.399999999999999" x14ac:dyDescent="0.3">
      <c r="A4689" s="10"/>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spans="1:26" ht="17.399999999999999" x14ac:dyDescent="0.3">
      <c r="A4690" s="10"/>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spans="1:26" ht="17.399999999999999" x14ac:dyDescent="0.3">
      <c r="A4691" s="10"/>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spans="1:26" ht="17.399999999999999" x14ac:dyDescent="0.3">
      <c r="A4692" s="10"/>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spans="1:26" ht="17.399999999999999" x14ac:dyDescent="0.3">
      <c r="A4693" s="10"/>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spans="1:26" ht="17.399999999999999" x14ac:dyDescent="0.3">
      <c r="A4694" s="10"/>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spans="1:26" ht="17.399999999999999" x14ac:dyDescent="0.3">
      <c r="A4695" s="10"/>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spans="1:26" ht="17.399999999999999" x14ac:dyDescent="0.3">
      <c r="A4696" s="10"/>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spans="1:26" ht="17.399999999999999" x14ac:dyDescent="0.3">
      <c r="A4697" s="10"/>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spans="1:26" ht="17.399999999999999" x14ac:dyDescent="0.3">
      <c r="A4698" s="10"/>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spans="1:26" ht="17.399999999999999" x14ac:dyDescent="0.3">
      <c r="A4699" s="10"/>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spans="1:26" ht="17.399999999999999" x14ac:dyDescent="0.3">
      <c r="A4700" s="10"/>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spans="1:26" ht="17.399999999999999" x14ac:dyDescent="0.3">
      <c r="A4701" s="10"/>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spans="1:26" ht="17.399999999999999" x14ac:dyDescent="0.3">
      <c r="A4702" s="10"/>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spans="1:26" ht="17.399999999999999" x14ac:dyDescent="0.3">
      <c r="A4703" s="10"/>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spans="1:26" ht="17.399999999999999" x14ac:dyDescent="0.3">
      <c r="A4704" s="10"/>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spans="1:26" ht="17.399999999999999" x14ac:dyDescent="0.3">
      <c r="A4705" s="10"/>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spans="1:26" ht="17.399999999999999" x14ac:dyDescent="0.3">
      <c r="A4706" s="10"/>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spans="1:26" ht="17.399999999999999" x14ac:dyDescent="0.3">
      <c r="A4707" s="10"/>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spans="1:26" ht="17.399999999999999" x14ac:dyDescent="0.3">
      <c r="A4708" s="10"/>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spans="1:26" ht="17.399999999999999" x14ac:dyDescent="0.3">
      <c r="A4709" s="10"/>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spans="1:26" ht="17.399999999999999" x14ac:dyDescent="0.3">
      <c r="A4710" s="10"/>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spans="1:26" ht="17.399999999999999" x14ac:dyDescent="0.3">
      <c r="A4711" s="10"/>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spans="1:26" ht="17.399999999999999" x14ac:dyDescent="0.3">
      <c r="A4712" s="10"/>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spans="1:26" ht="17.399999999999999" x14ac:dyDescent="0.3">
      <c r="A4713" s="10"/>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spans="1:26" ht="17.399999999999999" x14ac:dyDescent="0.3">
      <c r="A4714" s="10"/>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spans="1:26" ht="17.399999999999999" x14ac:dyDescent="0.3">
      <c r="A4715" s="10"/>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spans="1:26" ht="17.399999999999999" x14ac:dyDescent="0.3">
      <c r="A4716" s="10"/>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spans="1:26" ht="17.399999999999999" x14ac:dyDescent="0.3">
      <c r="A4717" s="10"/>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spans="1:26" ht="17.399999999999999" x14ac:dyDescent="0.3">
      <c r="A4718" s="10"/>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spans="1:26" ht="17.399999999999999" x14ac:dyDescent="0.3">
      <c r="A4719" s="10"/>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spans="1:26" ht="17.399999999999999" x14ac:dyDescent="0.3">
      <c r="A4720" s="10"/>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spans="1:26" ht="17.399999999999999" x14ac:dyDescent="0.3">
      <c r="A4721" s="10"/>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spans="1:26" ht="17.399999999999999" x14ac:dyDescent="0.3">
      <c r="A4722" s="10"/>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spans="1:26" ht="17.399999999999999" x14ac:dyDescent="0.3">
      <c r="A4723" s="10"/>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spans="1:26" ht="17.399999999999999" x14ac:dyDescent="0.3">
      <c r="A4724" s="10"/>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spans="1:26" ht="17.399999999999999" x14ac:dyDescent="0.3">
      <c r="A4725" s="10"/>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spans="1:26" ht="17.399999999999999" x14ac:dyDescent="0.3">
      <c r="A4726" s="10"/>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spans="1:26" ht="17.399999999999999" x14ac:dyDescent="0.3">
      <c r="A4727" s="10"/>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spans="1:26" ht="17.399999999999999" x14ac:dyDescent="0.3">
      <c r="A4728" s="10"/>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spans="1:26" ht="17.399999999999999" x14ac:dyDescent="0.3">
      <c r="A4729" s="10"/>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spans="1:26" ht="17.399999999999999" x14ac:dyDescent="0.3">
      <c r="A4730" s="10"/>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spans="1:26" ht="17.399999999999999" x14ac:dyDescent="0.3">
      <c r="A4731" s="10"/>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spans="1:26" ht="17.399999999999999" x14ac:dyDescent="0.3">
      <c r="A4732" s="10"/>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spans="1:26" ht="17.399999999999999" x14ac:dyDescent="0.3">
      <c r="A4733" s="10"/>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spans="1:26" ht="17.399999999999999" x14ac:dyDescent="0.3">
      <c r="A4734" s="10"/>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spans="1:26" ht="17.399999999999999" x14ac:dyDescent="0.3">
      <c r="A4735" s="10"/>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spans="1:26" ht="17.399999999999999" x14ac:dyDescent="0.3">
      <c r="A4736" s="10"/>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spans="1:26" ht="17.399999999999999" x14ac:dyDescent="0.3">
      <c r="A4737" s="10"/>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spans="1:26" ht="17.399999999999999" x14ac:dyDescent="0.3">
      <c r="A4738" s="10"/>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spans="1:26" ht="17.399999999999999" x14ac:dyDescent="0.3">
      <c r="A4739" s="10"/>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spans="1:26" ht="17.399999999999999" x14ac:dyDescent="0.3">
      <c r="A4740" s="10"/>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spans="1:26" ht="17.399999999999999" x14ac:dyDescent="0.3">
      <c r="A4741" s="10"/>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spans="1:26" ht="17.399999999999999" x14ac:dyDescent="0.3">
      <c r="A4742" s="10"/>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spans="1:26" ht="17.399999999999999" x14ac:dyDescent="0.3">
      <c r="A4743" s="10"/>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spans="1:26" ht="17.399999999999999" x14ac:dyDescent="0.3">
      <c r="A4744" s="10"/>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spans="1:26" ht="17.399999999999999" x14ac:dyDescent="0.3">
      <c r="A4745" s="10"/>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spans="1:26" ht="17.399999999999999" x14ac:dyDescent="0.3">
      <c r="A4746" s="10"/>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spans="1:26" ht="17.399999999999999" x14ac:dyDescent="0.3">
      <c r="A4747" s="10"/>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spans="1:26" ht="17.399999999999999" x14ac:dyDescent="0.3">
      <c r="A4748" s="10"/>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spans="1:26" ht="17.399999999999999" x14ac:dyDescent="0.3">
      <c r="A4749" s="10"/>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spans="1:26" ht="17.399999999999999" x14ac:dyDescent="0.3">
      <c r="A4750" s="10"/>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spans="1:26" ht="17.399999999999999" x14ac:dyDescent="0.3">
      <c r="A4751" s="10"/>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spans="1:26" ht="17.399999999999999" x14ac:dyDescent="0.3">
      <c r="A4752" s="10"/>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spans="1:26" ht="17.399999999999999" x14ac:dyDescent="0.3">
      <c r="A4753" s="10"/>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spans="1:26" ht="17.399999999999999" x14ac:dyDescent="0.3">
      <c r="A4754" s="10"/>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spans="1:26" ht="17.399999999999999" x14ac:dyDescent="0.3">
      <c r="A4755" s="10"/>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spans="1:26" ht="17.399999999999999" x14ac:dyDescent="0.3">
      <c r="A4756" s="10"/>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spans="1:26" ht="17.399999999999999" x14ac:dyDescent="0.3">
      <c r="A4757" s="10"/>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spans="1:26" ht="17.399999999999999" x14ac:dyDescent="0.3">
      <c r="A4758" s="10"/>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spans="1:26" ht="17.399999999999999" x14ac:dyDescent="0.3">
      <c r="A4759" s="10"/>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spans="1:26" ht="17.399999999999999" x14ac:dyDescent="0.3">
      <c r="A4760" s="10"/>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spans="1:26" ht="17.399999999999999" x14ac:dyDescent="0.3">
      <c r="A4761" s="10"/>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spans="1:26" ht="17.399999999999999" x14ac:dyDescent="0.3">
      <c r="A4762" s="10"/>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spans="1:26" ht="17.399999999999999" x14ac:dyDescent="0.3">
      <c r="A4763" s="10"/>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spans="1:26" ht="17.399999999999999" x14ac:dyDescent="0.3">
      <c r="A4764" s="10"/>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spans="1:26" ht="17.399999999999999" x14ac:dyDescent="0.3">
      <c r="A4765" s="10"/>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spans="1:26" ht="17.399999999999999" x14ac:dyDescent="0.3">
      <c r="A4766" s="10"/>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spans="1:26" ht="17.399999999999999" x14ac:dyDescent="0.3">
      <c r="A4767" s="10"/>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spans="1:26" ht="17.399999999999999" x14ac:dyDescent="0.3">
      <c r="A4768" s="10"/>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spans="1:26" ht="17.399999999999999" x14ac:dyDescent="0.3">
      <c r="A4769" s="10"/>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spans="1:26" ht="17.399999999999999" x14ac:dyDescent="0.3">
      <c r="A4770" s="10"/>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spans="1:26" ht="17.399999999999999" x14ac:dyDescent="0.3">
      <c r="A4771" s="10"/>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spans="1:26" ht="17.399999999999999" x14ac:dyDescent="0.3">
      <c r="A4772" s="10"/>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spans="1:26" ht="17.399999999999999" x14ac:dyDescent="0.3">
      <c r="A4773" s="10"/>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spans="1:26" ht="17.399999999999999" x14ac:dyDescent="0.3">
      <c r="A4774" s="10"/>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spans="1:26" ht="17.399999999999999" x14ac:dyDescent="0.3">
      <c r="A4775" s="10"/>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spans="1:26" ht="17.399999999999999" x14ac:dyDescent="0.3">
      <c r="A4776" s="10"/>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spans="1:26" ht="17.399999999999999" x14ac:dyDescent="0.3">
      <c r="A4777" s="10"/>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spans="1:26" ht="17.399999999999999" x14ac:dyDescent="0.3">
      <c r="A4778" s="10"/>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spans="1:26" ht="17.399999999999999" x14ac:dyDescent="0.3">
      <c r="A4779" s="10"/>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spans="1:26" ht="17.399999999999999" x14ac:dyDescent="0.3">
      <c r="A4780" s="10"/>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spans="1:26" ht="17.399999999999999" x14ac:dyDescent="0.3">
      <c r="A4781" s="10"/>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spans="1:26" ht="17.399999999999999" x14ac:dyDescent="0.3">
      <c r="A4782" s="10"/>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spans="1:26" ht="17.399999999999999" x14ac:dyDescent="0.3">
      <c r="A4783" s="10"/>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spans="1:26" ht="17.399999999999999" x14ac:dyDescent="0.3">
      <c r="A4784" s="10"/>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spans="1:26" ht="17.399999999999999" x14ac:dyDescent="0.3">
      <c r="A4785" s="10"/>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spans="1:26" ht="17.399999999999999" x14ac:dyDescent="0.3">
      <c r="A4786" s="10"/>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spans="1:26" ht="17.399999999999999" x14ac:dyDescent="0.3">
      <c r="A4787" s="10"/>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spans="1:26" ht="17.399999999999999" x14ac:dyDescent="0.3">
      <c r="A4788" s="10"/>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spans="1:26" ht="17.399999999999999" x14ac:dyDescent="0.3">
      <c r="A4789" s="10"/>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spans="1:26" ht="17.399999999999999" x14ac:dyDescent="0.3">
      <c r="A4790" s="10"/>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spans="1:26" ht="17.399999999999999" x14ac:dyDescent="0.3">
      <c r="A4791" s="10"/>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spans="1:26" ht="17.399999999999999" x14ac:dyDescent="0.3">
      <c r="A4792" s="10"/>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spans="1:26" ht="17.399999999999999" x14ac:dyDescent="0.3">
      <c r="A4793" s="10"/>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spans="1:26" ht="17.399999999999999" x14ac:dyDescent="0.3">
      <c r="A4794" s="10"/>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spans="1:26" ht="17.399999999999999" x14ac:dyDescent="0.3">
      <c r="A4795" s="10"/>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spans="1:26" ht="17.399999999999999" x14ac:dyDescent="0.3">
      <c r="A4796" s="10"/>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spans="1:26" ht="17.399999999999999" x14ac:dyDescent="0.3">
      <c r="A4797" s="10"/>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spans="1:26" ht="17.399999999999999" x14ac:dyDescent="0.3">
      <c r="A4798" s="10"/>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spans="1:26" ht="17.399999999999999" x14ac:dyDescent="0.3">
      <c r="A4799" s="10"/>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spans="1:26" ht="17.399999999999999" x14ac:dyDescent="0.3">
      <c r="A4800" s="10"/>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spans="1:26" ht="17.399999999999999" x14ac:dyDescent="0.3">
      <c r="A4801" s="10"/>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spans="1:26" ht="17.399999999999999" x14ac:dyDescent="0.3">
      <c r="A4802" s="10"/>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spans="1:26" ht="17.399999999999999" x14ac:dyDescent="0.3">
      <c r="A4803" s="10"/>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spans="1:26" ht="17.399999999999999" x14ac:dyDescent="0.3">
      <c r="A4804" s="10"/>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spans="1:26" ht="17.399999999999999" x14ac:dyDescent="0.3">
      <c r="A4805" s="10"/>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spans="1:26" ht="17.399999999999999" x14ac:dyDescent="0.3">
      <c r="A4806" s="10"/>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spans="1:26" ht="17.399999999999999" x14ac:dyDescent="0.3">
      <c r="A4807" s="10"/>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spans="1:26" ht="17.399999999999999" x14ac:dyDescent="0.3">
      <c r="A4808" s="10"/>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spans="1:26" ht="17.399999999999999" x14ac:dyDescent="0.3">
      <c r="A4809" s="10"/>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spans="1:26" ht="17.399999999999999" x14ac:dyDescent="0.3">
      <c r="A4810" s="10"/>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spans="1:26" ht="17.399999999999999" x14ac:dyDescent="0.3">
      <c r="A4811" s="10"/>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spans="1:26" ht="17.399999999999999" x14ac:dyDescent="0.3">
      <c r="A4812" s="10"/>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spans="1:26" ht="17.399999999999999" x14ac:dyDescent="0.3">
      <c r="A4813" s="10"/>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spans="1:26" ht="17.399999999999999" x14ac:dyDescent="0.3">
      <c r="A4814" s="10"/>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spans="1:26" ht="17.399999999999999" x14ac:dyDescent="0.3">
      <c r="A4815" s="10"/>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spans="1:26" ht="17.399999999999999" x14ac:dyDescent="0.3">
      <c r="A4816" s="10"/>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spans="1:26" ht="17.399999999999999" x14ac:dyDescent="0.3">
      <c r="A4817" s="10"/>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spans="1:26" ht="17.399999999999999" x14ac:dyDescent="0.3">
      <c r="A4818" s="10"/>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spans="1:26" ht="17.399999999999999" x14ac:dyDescent="0.3">
      <c r="A4819" s="10"/>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spans="1:26" ht="17.399999999999999" x14ac:dyDescent="0.3">
      <c r="A4820" s="10"/>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spans="1:26" ht="17.399999999999999" x14ac:dyDescent="0.3">
      <c r="A4821" s="10"/>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spans="1:26" ht="17.399999999999999" x14ac:dyDescent="0.3">
      <c r="A4822" s="10"/>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spans="1:26" ht="17.399999999999999" x14ac:dyDescent="0.3">
      <c r="A4823" s="10"/>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spans="1:26" ht="17.399999999999999" x14ac:dyDescent="0.3">
      <c r="A4824" s="10"/>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spans="1:26" ht="17.399999999999999" x14ac:dyDescent="0.3">
      <c r="A4825" s="10"/>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spans="1:26" ht="17.399999999999999" x14ac:dyDescent="0.3">
      <c r="A4826" s="10"/>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spans="1:26" ht="17.399999999999999" x14ac:dyDescent="0.3">
      <c r="A4827" s="10"/>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spans="1:26" ht="17.399999999999999" x14ac:dyDescent="0.3">
      <c r="A4828" s="10"/>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spans="1:26" ht="17.399999999999999" x14ac:dyDescent="0.3">
      <c r="A4829" s="10"/>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spans="1:26" ht="17.399999999999999" x14ac:dyDescent="0.3">
      <c r="A4830" s="10"/>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spans="1:26" ht="17.399999999999999" x14ac:dyDescent="0.3">
      <c r="A4831" s="10"/>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spans="1:26" ht="17.399999999999999" x14ac:dyDescent="0.3">
      <c r="A4832" s="10"/>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spans="1:26" ht="17.399999999999999" x14ac:dyDescent="0.3">
      <c r="A4833" s="10"/>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spans="1:26" ht="17.399999999999999" x14ac:dyDescent="0.3">
      <c r="A4834" s="10"/>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spans="1:26" ht="17.399999999999999" x14ac:dyDescent="0.3">
      <c r="A4835" s="10"/>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spans="1:26" ht="17.399999999999999" x14ac:dyDescent="0.3">
      <c r="A4836" s="10"/>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spans="1:26" ht="17.399999999999999" x14ac:dyDescent="0.3">
      <c r="A4837" s="10"/>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spans="1:26" ht="17.399999999999999" x14ac:dyDescent="0.3">
      <c r="A4838" s="10"/>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spans="1:26" ht="17.399999999999999" x14ac:dyDescent="0.3">
      <c r="A4839" s="10"/>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spans="1:26" ht="17.399999999999999" x14ac:dyDescent="0.3">
      <c r="A4840" s="10"/>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spans="1:26" ht="17.399999999999999" x14ac:dyDescent="0.3">
      <c r="A4841" s="10"/>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spans="1:26" ht="17.399999999999999" x14ac:dyDescent="0.3">
      <c r="A4842" s="10"/>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spans="1:26" ht="17.399999999999999" x14ac:dyDescent="0.3">
      <c r="A4843" s="10"/>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spans="1:26" ht="17.399999999999999" x14ac:dyDescent="0.3">
      <c r="A4844" s="10"/>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spans="1:26" ht="17.399999999999999" x14ac:dyDescent="0.3">
      <c r="A4845" s="10"/>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spans="1:26" ht="17.399999999999999" x14ac:dyDescent="0.3">
      <c r="A4846" s="10"/>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spans="1:26" ht="17.399999999999999" x14ac:dyDescent="0.3">
      <c r="A4847" s="10"/>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spans="1:26" ht="17.399999999999999" x14ac:dyDescent="0.3">
      <c r="A4848" s="10"/>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spans="1:26" ht="17.399999999999999" x14ac:dyDescent="0.3">
      <c r="A4849" s="10"/>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spans="1:26" ht="17.399999999999999" x14ac:dyDescent="0.3">
      <c r="A4850" s="10"/>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spans="1:26" ht="17.399999999999999" x14ac:dyDescent="0.3">
      <c r="A4851" s="10"/>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spans="1:26" ht="17.399999999999999" x14ac:dyDescent="0.3">
      <c r="A4852" s="10"/>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spans="1:26" ht="17.399999999999999" x14ac:dyDescent="0.3">
      <c r="A4853" s="10"/>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spans="1:26" ht="17.399999999999999" x14ac:dyDescent="0.3">
      <c r="A4854" s="10"/>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spans="1:26" ht="17.399999999999999" x14ac:dyDescent="0.3">
      <c r="A4855" s="10"/>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spans="1:26" ht="17.399999999999999" x14ac:dyDescent="0.3">
      <c r="A4856" s="10"/>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spans="1:26" ht="17.399999999999999" x14ac:dyDescent="0.3">
      <c r="A4857" s="10"/>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spans="1:26" ht="17.399999999999999" x14ac:dyDescent="0.3">
      <c r="A4858" s="10"/>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spans="1:26" ht="17.399999999999999" x14ac:dyDescent="0.3">
      <c r="A4859" s="10"/>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spans="1:26" ht="17.399999999999999" x14ac:dyDescent="0.3">
      <c r="A4860" s="10"/>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spans="1:26" ht="17.399999999999999" x14ac:dyDescent="0.3">
      <c r="A4861" s="10"/>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spans="1:26" ht="17.399999999999999" x14ac:dyDescent="0.3">
      <c r="A4862" s="10"/>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spans="1:26" ht="17.399999999999999" x14ac:dyDescent="0.3">
      <c r="A4863" s="10"/>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spans="1:26" ht="17.399999999999999" x14ac:dyDescent="0.3">
      <c r="A4864" s="10"/>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spans="1:26" ht="17.399999999999999" x14ac:dyDescent="0.3">
      <c r="A4865" s="10"/>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spans="1:26" ht="17.399999999999999" x14ac:dyDescent="0.3">
      <c r="A4866" s="10"/>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spans="1:26" ht="17.399999999999999" x14ac:dyDescent="0.3">
      <c r="A4867" s="10"/>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spans="1:26" ht="17.399999999999999" x14ac:dyDescent="0.3">
      <c r="A4868" s="10"/>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spans="1:26" ht="17.399999999999999" x14ac:dyDescent="0.3">
      <c r="A4869" s="10"/>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spans="1:26" ht="17.399999999999999" x14ac:dyDescent="0.3">
      <c r="A4870" s="10"/>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spans="1:26" ht="17.399999999999999" x14ac:dyDescent="0.3">
      <c r="A4871" s="10"/>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spans="1:26" ht="17.399999999999999" x14ac:dyDescent="0.3">
      <c r="A4872" s="10"/>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spans="1:26" ht="17.399999999999999" x14ac:dyDescent="0.3">
      <c r="A4873" s="10"/>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spans="1:26" ht="17.399999999999999" x14ac:dyDescent="0.3">
      <c r="A4874" s="10"/>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spans="1:26" ht="17.399999999999999" x14ac:dyDescent="0.3">
      <c r="A4875" s="10"/>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spans="1:26" ht="17.399999999999999" x14ac:dyDescent="0.3">
      <c r="A4876" s="10"/>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spans="1:26" ht="17.399999999999999" x14ac:dyDescent="0.3">
      <c r="A4877" s="10"/>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spans="1:26" ht="17.399999999999999" x14ac:dyDescent="0.3">
      <c r="A4878" s="10"/>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spans="1:26" ht="17.399999999999999" x14ac:dyDescent="0.3">
      <c r="A4879" s="10"/>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spans="1:26" ht="17.399999999999999" x14ac:dyDescent="0.3">
      <c r="A4880" s="10"/>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spans="1:26" ht="17.399999999999999" x14ac:dyDescent="0.3">
      <c r="A4881" s="10"/>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spans="1:26" ht="17.399999999999999" x14ac:dyDescent="0.3">
      <c r="A4882" s="10"/>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spans="1:26" ht="17.399999999999999" x14ac:dyDescent="0.3">
      <c r="A4883" s="10"/>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spans="1:26" ht="17.399999999999999" x14ac:dyDescent="0.3">
      <c r="A4884" s="10"/>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spans="1:26" ht="17.399999999999999" x14ac:dyDescent="0.3">
      <c r="A4885" s="10"/>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spans="1:26" ht="17.399999999999999" x14ac:dyDescent="0.3">
      <c r="A4886" s="10"/>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spans="1:26" ht="17.399999999999999" x14ac:dyDescent="0.3">
      <c r="A4887" s="10"/>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spans="1:26" ht="17.399999999999999" x14ac:dyDescent="0.3">
      <c r="A4888" s="10"/>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spans="1:26" ht="17.399999999999999" x14ac:dyDescent="0.3">
      <c r="A4889" s="10"/>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spans="1:26" ht="17.399999999999999" x14ac:dyDescent="0.3">
      <c r="A4890" s="10"/>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spans="1:26" ht="17.399999999999999" x14ac:dyDescent="0.3">
      <c r="A4891" s="10"/>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spans="1:26" ht="17.399999999999999" x14ac:dyDescent="0.3">
      <c r="A4892" s="10"/>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spans="1:26" ht="17.399999999999999" x14ac:dyDescent="0.3">
      <c r="A4893" s="10"/>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spans="1:26" ht="17.399999999999999" x14ac:dyDescent="0.3">
      <c r="A4894" s="10"/>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spans="1:26" ht="17.399999999999999" x14ac:dyDescent="0.3">
      <c r="A4895" s="10"/>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spans="1:26" ht="17.399999999999999" x14ac:dyDescent="0.3">
      <c r="A4896" s="10"/>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spans="1:26" ht="17.399999999999999" x14ac:dyDescent="0.3">
      <c r="A4897" s="10"/>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spans="1:26" ht="17.399999999999999" x14ac:dyDescent="0.3">
      <c r="A4898" s="10"/>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spans="1:26" ht="17.399999999999999" x14ac:dyDescent="0.3">
      <c r="A4899" s="10"/>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spans="1:26" ht="17.399999999999999" x14ac:dyDescent="0.3">
      <c r="A4900" s="10"/>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spans="1:26" ht="17.399999999999999" x14ac:dyDescent="0.3">
      <c r="A4901" s="10"/>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spans="1:26" ht="17.399999999999999" x14ac:dyDescent="0.3">
      <c r="A4902" s="10"/>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spans="1:26" ht="17.399999999999999" x14ac:dyDescent="0.3">
      <c r="A4903" s="10"/>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spans="1:26" ht="17.399999999999999" x14ac:dyDescent="0.3">
      <c r="A4904" s="10"/>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spans="1:26" ht="17.399999999999999" x14ac:dyDescent="0.3">
      <c r="A4905" s="10"/>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spans="1:26" ht="17.399999999999999" x14ac:dyDescent="0.3">
      <c r="A4906" s="10"/>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spans="1:26" ht="17.399999999999999" x14ac:dyDescent="0.3">
      <c r="A4907" s="10"/>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spans="1:26" ht="17.399999999999999" x14ac:dyDescent="0.3">
      <c r="A4908" s="10"/>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spans="1:26" ht="17.399999999999999" x14ac:dyDescent="0.3">
      <c r="A4909" s="10"/>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spans="1:26" ht="17.399999999999999" x14ac:dyDescent="0.3">
      <c r="A4910" s="10"/>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spans="1:26" ht="17.399999999999999" x14ac:dyDescent="0.3">
      <c r="A4911" s="10"/>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spans="1:26" ht="17.399999999999999" x14ac:dyDescent="0.3">
      <c r="A4912" s="10"/>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spans="1:26" ht="17.399999999999999" x14ac:dyDescent="0.3">
      <c r="A4913" s="10"/>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spans="1:26" ht="17.399999999999999" x14ac:dyDescent="0.3">
      <c r="A4914" s="10"/>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spans="1:26" ht="17.399999999999999" x14ac:dyDescent="0.3">
      <c r="A4915" s="10"/>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spans="1:26" ht="17.399999999999999" x14ac:dyDescent="0.3">
      <c r="A4916" s="10"/>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spans="1:26" ht="17.399999999999999" x14ac:dyDescent="0.3">
      <c r="A4917" s="10"/>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spans="1:26" ht="17.399999999999999" x14ac:dyDescent="0.3">
      <c r="A4918" s="10"/>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spans="1:26" ht="17.399999999999999" x14ac:dyDescent="0.3">
      <c r="A4919" s="10"/>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spans="1:26" ht="17.399999999999999" x14ac:dyDescent="0.3">
      <c r="A4920" s="10"/>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spans="1:26" ht="17.399999999999999" x14ac:dyDescent="0.3">
      <c r="A4921" s="10"/>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spans="1:26" ht="17.399999999999999" x14ac:dyDescent="0.3">
      <c r="A4922" s="10"/>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spans="1:26" ht="17.399999999999999" x14ac:dyDescent="0.3">
      <c r="A4923" s="10"/>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spans="1:26" ht="17.399999999999999" x14ac:dyDescent="0.3">
      <c r="A4924" s="10"/>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spans="1:26" ht="17.399999999999999" x14ac:dyDescent="0.3">
      <c r="A4925" s="10"/>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spans="1:26" ht="17.399999999999999" x14ac:dyDescent="0.3">
      <c r="A4926" s="10"/>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spans="1:26" ht="17.399999999999999" x14ac:dyDescent="0.3">
      <c r="A4927" s="10"/>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spans="1:26" ht="17.399999999999999" x14ac:dyDescent="0.3">
      <c r="A4928" s="10"/>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spans="1:26" ht="17.399999999999999" x14ac:dyDescent="0.3">
      <c r="A4929" s="10"/>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spans="1:26" ht="17.399999999999999" x14ac:dyDescent="0.3">
      <c r="A4930" s="10"/>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spans="1:26" ht="17.399999999999999" x14ac:dyDescent="0.3">
      <c r="A4931" s="10"/>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spans="1:26" ht="17.399999999999999" x14ac:dyDescent="0.3">
      <c r="A4932" s="10"/>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spans="1:26" ht="17.399999999999999" x14ac:dyDescent="0.3">
      <c r="A4933" s="10"/>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spans="1:26" ht="17.399999999999999" x14ac:dyDescent="0.3">
      <c r="A4934" s="10"/>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spans="1:26" ht="17.399999999999999" x14ac:dyDescent="0.3">
      <c r="A4935" s="10"/>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spans="1:26" ht="17.399999999999999" x14ac:dyDescent="0.3">
      <c r="A4936" s="10"/>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spans="1:26" ht="17.399999999999999" x14ac:dyDescent="0.3">
      <c r="A4937" s="10"/>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spans="1:26" ht="17.399999999999999" x14ac:dyDescent="0.3">
      <c r="A4938" s="10"/>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spans="1:26" ht="17.399999999999999" x14ac:dyDescent="0.3">
      <c r="A4939" s="10"/>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spans="1:26" ht="17.399999999999999" x14ac:dyDescent="0.3">
      <c r="A4940" s="10"/>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spans="1:26" ht="17.399999999999999" x14ac:dyDescent="0.3">
      <c r="A4941" s="10"/>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spans="1:26" ht="17.399999999999999" x14ac:dyDescent="0.3">
      <c r="A4942" s="10"/>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spans="1:26" ht="17.399999999999999" x14ac:dyDescent="0.3">
      <c r="A4943" s="10"/>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spans="1:26" ht="17.399999999999999" x14ac:dyDescent="0.3">
      <c r="A4944" s="10"/>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spans="1:26" ht="17.399999999999999" x14ac:dyDescent="0.3">
      <c r="A4945" s="10"/>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spans="1:26" ht="17.399999999999999" x14ac:dyDescent="0.3">
      <c r="A4946" s="10"/>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spans="1:26" ht="17.399999999999999" x14ac:dyDescent="0.3">
      <c r="A4947" s="10"/>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spans="1:26" ht="17.399999999999999" x14ac:dyDescent="0.3">
      <c r="A4948" s="10"/>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spans="1:26" ht="17.399999999999999" x14ac:dyDescent="0.3">
      <c r="A4949" s="10"/>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spans="1:26" ht="17.399999999999999" x14ac:dyDescent="0.3">
      <c r="A4950" s="10"/>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spans="1:26" ht="17.399999999999999" x14ac:dyDescent="0.3">
      <c r="A4951" s="10"/>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spans="1:26" ht="17.399999999999999" x14ac:dyDescent="0.3">
      <c r="A4952" s="10"/>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spans="1:26" ht="17.399999999999999" x14ac:dyDescent="0.3">
      <c r="A4953" s="10"/>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spans="1:26" ht="17.399999999999999" x14ac:dyDescent="0.3">
      <c r="A4954" s="10"/>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spans="1:26" ht="17.399999999999999" x14ac:dyDescent="0.3">
      <c r="A4955" s="10"/>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spans="1:26" ht="17.399999999999999" x14ac:dyDescent="0.3">
      <c r="A4956" s="10"/>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spans="1:26" ht="17.399999999999999" x14ac:dyDescent="0.3">
      <c r="A4957" s="10"/>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spans="1:26" ht="17.399999999999999" x14ac:dyDescent="0.3">
      <c r="A4958" s="10"/>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spans="1:26" ht="17.399999999999999" x14ac:dyDescent="0.3">
      <c r="A4959" s="10"/>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spans="1:26" ht="17.399999999999999" x14ac:dyDescent="0.3">
      <c r="A4960" s="10"/>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spans="1:26" ht="17.399999999999999" x14ac:dyDescent="0.3">
      <c r="A4961" s="10"/>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spans="1:26" ht="17.399999999999999" x14ac:dyDescent="0.3">
      <c r="A4962" s="10"/>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spans="1:26" ht="17.399999999999999" x14ac:dyDescent="0.3">
      <c r="A4963" s="10"/>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spans="1:26" ht="17.399999999999999" x14ac:dyDescent="0.3">
      <c r="A4964" s="10"/>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spans="1:26" ht="17.399999999999999" x14ac:dyDescent="0.3">
      <c r="A4965" s="10"/>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spans="1:26" ht="17.399999999999999" x14ac:dyDescent="0.3">
      <c r="A4966" s="10"/>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spans="1:26" ht="17.399999999999999" x14ac:dyDescent="0.3">
      <c r="A4967" s="10"/>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spans="1:26" ht="17.399999999999999" x14ac:dyDescent="0.3">
      <c r="A4968" s="10"/>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spans="1:26" ht="17.399999999999999" x14ac:dyDescent="0.3">
      <c r="A4969" s="10"/>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spans="1:26" ht="17.399999999999999" x14ac:dyDescent="0.3">
      <c r="A4970" s="10"/>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spans="1:26" ht="17.399999999999999" x14ac:dyDescent="0.3">
      <c r="A4971" s="10"/>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spans="1:26" ht="17.399999999999999" x14ac:dyDescent="0.3">
      <c r="A4972" s="10"/>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spans="1:26" ht="17.399999999999999" x14ac:dyDescent="0.3">
      <c r="A4973" s="10"/>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spans="1:26" ht="17.399999999999999" x14ac:dyDescent="0.3">
      <c r="A4974" s="10"/>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spans="1:26" ht="17.399999999999999" x14ac:dyDescent="0.3">
      <c r="A4975" s="10"/>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spans="1:26" ht="17.399999999999999" x14ac:dyDescent="0.3">
      <c r="A4976" s="10"/>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spans="1:26" ht="17.399999999999999" x14ac:dyDescent="0.3">
      <c r="A4977" s="10"/>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spans="1:26" ht="17.399999999999999" x14ac:dyDescent="0.3">
      <c r="A4978" s="10"/>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spans="1:26" ht="17.399999999999999" x14ac:dyDescent="0.3">
      <c r="A4979" s="10"/>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spans="1:26" ht="17.399999999999999" x14ac:dyDescent="0.3">
      <c r="A4980" s="10"/>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spans="1:26" ht="17.399999999999999" x14ac:dyDescent="0.3">
      <c r="A4981" s="10"/>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spans="1:26" ht="17.399999999999999" x14ac:dyDescent="0.3">
      <c r="A4982" s="10"/>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spans="1:26" ht="17.399999999999999" x14ac:dyDescent="0.3">
      <c r="A4983" s="10"/>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spans="1:26" ht="17.399999999999999" x14ac:dyDescent="0.3">
      <c r="A4984" s="10"/>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spans="1:26" ht="17.399999999999999" x14ac:dyDescent="0.3">
      <c r="A4985" s="10"/>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spans="1:26" ht="17.399999999999999" x14ac:dyDescent="0.3">
      <c r="A4986" s="10"/>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spans="1:26" ht="17.399999999999999" x14ac:dyDescent="0.3">
      <c r="A4987" s="10"/>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spans="1:26" ht="17.399999999999999" x14ac:dyDescent="0.3">
      <c r="A4988" s="10"/>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spans="1:26" ht="17.399999999999999" x14ac:dyDescent="0.3">
      <c r="A4989" s="10"/>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spans="1:26" ht="17.399999999999999" x14ac:dyDescent="0.3">
      <c r="A4990" s="10"/>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spans="1:26" ht="17.399999999999999" x14ac:dyDescent="0.3">
      <c r="A4991" s="10"/>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spans="1:26" ht="17.399999999999999" x14ac:dyDescent="0.3">
      <c r="A4992" s="10"/>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spans="1:26" ht="17.399999999999999" x14ac:dyDescent="0.3">
      <c r="A4993" s="10"/>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spans="1:26" ht="17.399999999999999" x14ac:dyDescent="0.3">
      <c r="A4994" s="10"/>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spans="1:26" ht="17.399999999999999" x14ac:dyDescent="0.3">
      <c r="A4995" s="10"/>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spans="1:26" ht="17.399999999999999" x14ac:dyDescent="0.3">
      <c r="A4996" s="10"/>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spans="1:26" ht="17.399999999999999" x14ac:dyDescent="0.3">
      <c r="A4997" s="10"/>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spans="1:26" ht="17.399999999999999" x14ac:dyDescent="0.3">
      <c r="A4998" s="10"/>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spans="1:26" ht="17.399999999999999" x14ac:dyDescent="0.3">
      <c r="A4999" s="10"/>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spans="1:26" ht="17.399999999999999" x14ac:dyDescent="0.3">
      <c r="A5000" s="10"/>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spans="1:26" ht="17.399999999999999" x14ac:dyDescent="0.3">
      <c r="A5001" s="10"/>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spans="1:26" ht="17.399999999999999" x14ac:dyDescent="0.3">
      <c r="A5002" s="10"/>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spans="1:26" ht="17.399999999999999" x14ac:dyDescent="0.3">
      <c r="A5003" s="10"/>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spans="1:26" ht="17.399999999999999" x14ac:dyDescent="0.3">
      <c r="A5004" s="10"/>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spans="1:26" ht="17.399999999999999" x14ac:dyDescent="0.3">
      <c r="A5005" s="10"/>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spans="1:26" ht="17.399999999999999" x14ac:dyDescent="0.3">
      <c r="A5006" s="10"/>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spans="1:26" ht="17.399999999999999" x14ac:dyDescent="0.3">
      <c r="A5007" s="10"/>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spans="1:26" ht="17.399999999999999" x14ac:dyDescent="0.3">
      <c r="A5008" s="10"/>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spans="1:26" ht="17.399999999999999" x14ac:dyDescent="0.3">
      <c r="A5009" s="10"/>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spans="1:26" ht="17.399999999999999" x14ac:dyDescent="0.3">
      <c r="A5010" s="10"/>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spans="1:26" ht="17.399999999999999" x14ac:dyDescent="0.3">
      <c r="A5011" s="10"/>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spans="1:26" ht="17.399999999999999" x14ac:dyDescent="0.3">
      <c r="A5012" s="10"/>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spans="1:26" ht="17.399999999999999" x14ac:dyDescent="0.3">
      <c r="A5013" s="10"/>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spans="1:26" ht="17.399999999999999" x14ac:dyDescent="0.3">
      <c r="A5014" s="10"/>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spans="1:26" ht="17.399999999999999" x14ac:dyDescent="0.3">
      <c r="A5015" s="10"/>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spans="1:26" ht="17.399999999999999" x14ac:dyDescent="0.3">
      <c r="A5016" s="10"/>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spans="1:26" ht="17.399999999999999" x14ac:dyDescent="0.3">
      <c r="A5017" s="10"/>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spans="1:26" ht="17.399999999999999" x14ac:dyDescent="0.3">
      <c r="A5018" s="10"/>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spans="1:26" ht="17.399999999999999" x14ac:dyDescent="0.3">
      <c r="A5019" s="10"/>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spans="1:26" ht="17.399999999999999" x14ac:dyDescent="0.3">
      <c r="A5020" s="10"/>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spans="1:26" ht="17.399999999999999" x14ac:dyDescent="0.3">
      <c r="A5021" s="10"/>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spans="1:26" ht="17.399999999999999" x14ac:dyDescent="0.3">
      <c r="A5022" s="10"/>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spans="1:26" ht="17.399999999999999" x14ac:dyDescent="0.3">
      <c r="A5023" s="10"/>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spans="1:26" ht="17.399999999999999" x14ac:dyDescent="0.3">
      <c r="A5024" s="10"/>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spans="1:26" ht="17.399999999999999" x14ac:dyDescent="0.3">
      <c r="A5025" s="10"/>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spans="1:26" ht="17.399999999999999" x14ac:dyDescent="0.3">
      <c r="A5026" s="10"/>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spans="1:26" ht="17.399999999999999" x14ac:dyDescent="0.3">
      <c r="A5027" s="10"/>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spans="1:26" ht="17.399999999999999" x14ac:dyDescent="0.3">
      <c r="A5028" s="10"/>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spans="1:26" ht="17.399999999999999" x14ac:dyDescent="0.3">
      <c r="A5029" s="10"/>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spans="1:26" ht="17.399999999999999" x14ac:dyDescent="0.3">
      <c r="A5030" s="10"/>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spans="1:26" ht="17.399999999999999" x14ac:dyDescent="0.3">
      <c r="A5031" s="10"/>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spans="1:26" ht="17.399999999999999" x14ac:dyDescent="0.3">
      <c r="A5032" s="10"/>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spans="1:26" ht="17.399999999999999" x14ac:dyDescent="0.3">
      <c r="A5033" s="10"/>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spans="1:26" ht="17.399999999999999" x14ac:dyDescent="0.3">
      <c r="A5034" s="10"/>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spans="1:26" ht="17.399999999999999" x14ac:dyDescent="0.3">
      <c r="A5035" s="10"/>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spans="1:26" ht="17.399999999999999" x14ac:dyDescent="0.3">
      <c r="A5036" s="10"/>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spans="1:26" ht="17.399999999999999" x14ac:dyDescent="0.3">
      <c r="A5037" s="10"/>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spans="1:26" ht="17.399999999999999" x14ac:dyDescent="0.3">
      <c r="A5038" s="10"/>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spans="1:26" ht="17.399999999999999" x14ac:dyDescent="0.3">
      <c r="A5039" s="10"/>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spans="1:26" ht="17.399999999999999" x14ac:dyDescent="0.3">
      <c r="A5040" s="10"/>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spans="1:26" ht="17.399999999999999" x14ac:dyDescent="0.3">
      <c r="A5041" s="10"/>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spans="1:26" ht="17.399999999999999" x14ac:dyDescent="0.3">
      <c r="A5042" s="10"/>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spans="1:26" ht="17.399999999999999" x14ac:dyDescent="0.3">
      <c r="A5043" s="10"/>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spans="1:26" ht="17.399999999999999" x14ac:dyDescent="0.3">
      <c r="A5044" s="10"/>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spans="1:26" ht="17.399999999999999" x14ac:dyDescent="0.3">
      <c r="A5045" s="10"/>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spans="1:26" ht="17.399999999999999" x14ac:dyDescent="0.3">
      <c r="A5046" s="10"/>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spans="1:26" ht="17.399999999999999" x14ac:dyDescent="0.3">
      <c r="A5047" s="10"/>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spans="1:26" ht="17.399999999999999" x14ac:dyDescent="0.3">
      <c r="A5048" s="10"/>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spans="1:26" ht="17.399999999999999" x14ac:dyDescent="0.3">
      <c r="A5049" s="10"/>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spans="1:26" ht="17.399999999999999" x14ac:dyDescent="0.3">
      <c r="A5050" s="10"/>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spans="1:26" ht="17.399999999999999" x14ac:dyDescent="0.3">
      <c r="A5051" s="10"/>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spans="1:26" ht="17.399999999999999" x14ac:dyDescent="0.3">
      <c r="A5052" s="10"/>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spans="1:26" ht="17.399999999999999" x14ac:dyDescent="0.3">
      <c r="A5053" s="10"/>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spans="1:26" ht="17.399999999999999" x14ac:dyDescent="0.3">
      <c r="A5054" s="10"/>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spans="1:26" ht="17.399999999999999" x14ac:dyDescent="0.3">
      <c r="A5055" s="10"/>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spans="1:26" ht="17.399999999999999" x14ac:dyDescent="0.3">
      <c r="A5056" s="10"/>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spans="1:26" ht="17.399999999999999" x14ac:dyDescent="0.3">
      <c r="A5057" s="10"/>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spans="1:26" ht="17.399999999999999" x14ac:dyDescent="0.3">
      <c r="A5058" s="10"/>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spans="1:26" ht="17.399999999999999" x14ac:dyDescent="0.3">
      <c r="A5059" s="10"/>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spans="1:26" ht="17.399999999999999" x14ac:dyDescent="0.3">
      <c r="A5060" s="10"/>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spans="1:26" ht="17.399999999999999" x14ac:dyDescent="0.3">
      <c r="A5061" s="10"/>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spans="1:26" ht="17.399999999999999" x14ac:dyDescent="0.3">
      <c r="A5062" s="10"/>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spans="1:26" ht="17.399999999999999" x14ac:dyDescent="0.3">
      <c r="A5063" s="10"/>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spans="1:26" ht="17.399999999999999" x14ac:dyDescent="0.3">
      <c r="A5064" s="10"/>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spans="1:26" ht="17.399999999999999" x14ac:dyDescent="0.3">
      <c r="A5065" s="10"/>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spans="1:26" ht="17.399999999999999" x14ac:dyDescent="0.3">
      <c r="A5066" s="10"/>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spans="1:26" ht="17.399999999999999" x14ac:dyDescent="0.3">
      <c r="A5067" s="10"/>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spans="1:26" ht="17.399999999999999" x14ac:dyDescent="0.3">
      <c r="A5068" s="10"/>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spans="1:26" ht="17.399999999999999" x14ac:dyDescent="0.3">
      <c r="A5069" s="10"/>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spans="1:26" ht="17.399999999999999" x14ac:dyDescent="0.3">
      <c r="A5070" s="10"/>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spans="1:26" ht="17.399999999999999" x14ac:dyDescent="0.3">
      <c r="A5071" s="10"/>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spans="1:26" ht="17.399999999999999" x14ac:dyDescent="0.3">
      <c r="A5072" s="10"/>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spans="1:26" ht="17.399999999999999" x14ac:dyDescent="0.3">
      <c r="A5073" s="10"/>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spans="1:26" ht="17.399999999999999" x14ac:dyDescent="0.3">
      <c r="A5074" s="10"/>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spans="1:26" ht="17.399999999999999" x14ac:dyDescent="0.3">
      <c r="A5075" s="10"/>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spans="1:26" ht="17.399999999999999" x14ac:dyDescent="0.3">
      <c r="A5076" s="10"/>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spans="1:26" ht="17.399999999999999" x14ac:dyDescent="0.3">
      <c r="A5077" s="10"/>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spans="1:26" ht="17.399999999999999" x14ac:dyDescent="0.3">
      <c r="A5078" s="10"/>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spans="1:26" ht="17.399999999999999" x14ac:dyDescent="0.3">
      <c r="A5079" s="10"/>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spans="1:26" ht="17.399999999999999" x14ac:dyDescent="0.3">
      <c r="A5080" s="10"/>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spans="1:26" ht="17.399999999999999" x14ac:dyDescent="0.3">
      <c r="A5081" s="10"/>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spans="1:26" ht="17.399999999999999" x14ac:dyDescent="0.3">
      <c r="A5082" s="10"/>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spans="1:26" ht="17.399999999999999" x14ac:dyDescent="0.3">
      <c r="A5083" s="10"/>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spans="1:26" ht="17.399999999999999" x14ac:dyDescent="0.3">
      <c r="A5084" s="10"/>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spans="1:26" ht="17.399999999999999" x14ac:dyDescent="0.3">
      <c r="A5085" s="10"/>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spans="1:26" ht="17.399999999999999" x14ac:dyDescent="0.3">
      <c r="A5086" s="10"/>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spans="1:26" ht="17.399999999999999" x14ac:dyDescent="0.3">
      <c r="A5087" s="10"/>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spans="1:26" ht="17.399999999999999" x14ac:dyDescent="0.3">
      <c r="A5088" s="10"/>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spans="1:26" ht="17.399999999999999" x14ac:dyDescent="0.3">
      <c r="A5089" s="10"/>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spans="1:26" ht="17.399999999999999" x14ac:dyDescent="0.3">
      <c r="A5090" s="10"/>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spans="1:26" ht="17.399999999999999" x14ac:dyDescent="0.3">
      <c r="A5091" s="10"/>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spans="1:26" ht="17.399999999999999" x14ac:dyDescent="0.3">
      <c r="A5092" s="10"/>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spans="1:26" ht="17.399999999999999" x14ac:dyDescent="0.3">
      <c r="A5093" s="10"/>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spans="1:26" ht="17.399999999999999" x14ac:dyDescent="0.3">
      <c r="A5094" s="10"/>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spans="1:26" ht="17.399999999999999" x14ac:dyDescent="0.3">
      <c r="A5095" s="10"/>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spans="1:26" ht="17.399999999999999" x14ac:dyDescent="0.3">
      <c r="A5096" s="10"/>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spans="1:26" ht="17.399999999999999" x14ac:dyDescent="0.3">
      <c r="A5097" s="10"/>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spans="1:26" ht="17.399999999999999" x14ac:dyDescent="0.3">
      <c r="A5098" s="10"/>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spans="1:26" ht="17.399999999999999" x14ac:dyDescent="0.3">
      <c r="A5099" s="10"/>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spans="1:26" ht="17.399999999999999" x14ac:dyDescent="0.3">
      <c r="A5100" s="10"/>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spans="1:26" ht="17.399999999999999" x14ac:dyDescent="0.3">
      <c r="A5101" s="10"/>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spans="1:26" ht="17.399999999999999" x14ac:dyDescent="0.3">
      <c r="A5102" s="10"/>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spans="1:26" ht="17.399999999999999" x14ac:dyDescent="0.3">
      <c r="A5103" s="10"/>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spans="1:26" ht="17.399999999999999" x14ac:dyDescent="0.3">
      <c r="A5104" s="10"/>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spans="1:26" ht="17.399999999999999" x14ac:dyDescent="0.3">
      <c r="A5105" s="10"/>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spans="1:26" ht="17.399999999999999" x14ac:dyDescent="0.3">
      <c r="A5106" s="10"/>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spans="1:26" ht="17.399999999999999" x14ac:dyDescent="0.3">
      <c r="A5107" s="10"/>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spans="1:26" ht="17.399999999999999" x14ac:dyDescent="0.3">
      <c r="A5108" s="10"/>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spans="1:26" ht="17.399999999999999" x14ac:dyDescent="0.3">
      <c r="A5109" s="10"/>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spans="1:26" ht="17.399999999999999" x14ac:dyDescent="0.3">
      <c r="A5110" s="10"/>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spans="1:26" ht="17.399999999999999" x14ac:dyDescent="0.3">
      <c r="A5111" s="10"/>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spans="1:26" ht="17.399999999999999" x14ac:dyDescent="0.3">
      <c r="A5112" s="10"/>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spans="1:26" ht="17.399999999999999" x14ac:dyDescent="0.3">
      <c r="A5113" s="10"/>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spans="1:26" ht="17.399999999999999" x14ac:dyDescent="0.3">
      <c r="A5114" s="10"/>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spans="1:26" ht="17.399999999999999" x14ac:dyDescent="0.3">
      <c r="A5115" s="10"/>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spans="1:26" ht="17.399999999999999" x14ac:dyDescent="0.3">
      <c r="A5116" s="10"/>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spans="1:26" ht="17.399999999999999" x14ac:dyDescent="0.3">
      <c r="A5117" s="10"/>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spans="1:26" ht="17.399999999999999" x14ac:dyDescent="0.3">
      <c r="A5118" s="10"/>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spans="1:26" ht="17.399999999999999" x14ac:dyDescent="0.3">
      <c r="A5119" s="10"/>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spans="1:26" ht="17.399999999999999" x14ac:dyDescent="0.3">
      <c r="A5120" s="10"/>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spans="1:26" ht="17.399999999999999" x14ac:dyDescent="0.3">
      <c r="A5121" s="10"/>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spans="1:26" ht="17.399999999999999" x14ac:dyDescent="0.3">
      <c r="A5122" s="10"/>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spans="1:26" ht="17.399999999999999" x14ac:dyDescent="0.3">
      <c r="A5123" s="10"/>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spans="1:26" ht="17.399999999999999" x14ac:dyDescent="0.3">
      <c r="A5124" s="10"/>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spans="1:26" ht="17.399999999999999" x14ac:dyDescent="0.3">
      <c r="A5125" s="10"/>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spans="1:26" ht="17.399999999999999" x14ac:dyDescent="0.3">
      <c r="A5126" s="10"/>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spans="1:26" ht="17.399999999999999" x14ac:dyDescent="0.3">
      <c r="A5127" s="10"/>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spans="1:26" ht="17.399999999999999" x14ac:dyDescent="0.3">
      <c r="A5128" s="10"/>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spans="1:26" ht="17.399999999999999" x14ac:dyDescent="0.3">
      <c r="A5129" s="10"/>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spans="1:26" ht="17.399999999999999" x14ac:dyDescent="0.3">
      <c r="A5130" s="10"/>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spans="1:26" ht="17.399999999999999" x14ac:dyDescent="0.3">
      <c r="A5131" s="10"/>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spans="1:26" ht="17.399999999999999" x14ac:dyDescent="0.3">
      <c r="A5132" s="10"/>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spans="1:26" ht="17.399999999999999" x14ac:dyDescent="0.3">
      <c r="A5133" s="10"/>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spans="1:26" ht="17.399999999999999" x14ac:dyDescent="0.3">
      <c r="A5134" s="10"/>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spans="1:26" ht="17.399999999999999" x14ac:dyDescent="0.3">
      <c r="A5135" s="10"/>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spans="1:26" ht="17.399999999999999" x14ac:dyDescent="0.3">
      <c r="A5136" s="10"/>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spans="1:26" ht="17.399999999999999" x14ac:dyDescent="0.3">
      <c r="A5137" s="10"/>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spans="1:26" ht="17.399999999999999" x14ac:dyDescent="0.3">
      <c r="A5138" s="10"/>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spans="1:26" ht="17.399999999999999" x14ac:dyDescent="0.3">
      <c r="A5139" s="10"/>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spans="1:26" ht="17.399999999999999" x14ac:dyDescent="0.3">
      <c r="A5140" s="10"/>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spans="1:26" ht="17.399999999999999" x14ac:dyDescent="0.3">
      <c r="A5141" s="10"/>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spans="1:26" ht="17.399999999999999" x14ac:dyDescent="0.3">
      <c r="A5142" s="10"/>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spans="1:26" ht="17.399999999999999" x14ac:dyDescent="0.3">
      <c r="A5143" s="10"/>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spans="1:26" ht="17.399999999999999" x14ac:dyDescent="0.3">
      <c r="A5144" s="10"/>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spans="1:26" ht="17.399999999999999" x14ac:dyDescent="0.3">
      <c r="A5145" s="10"/>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spans="1:26" ht="17.399999999999999" x14ac:dyDescent="0.3">
      <c r="A5146" s="10"/>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spans="1:26" ht="17.399999999999999" x14ac:dyDescent="0.3">
      <c r="A5147" s="10"/>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spans="1:26" ht="17.399999999999999" x14ac:dyDescent="0.3">
      <c r="A5148" s="10"/>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spans="1:26" ht="17.399999999999999" x14ac:dyDescent="0.3">
      <c r="A5149" s="10"/>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spans="1:26" ht="17.399999999999999" x14ac:dyDescent="0.3">
      <c r="A5150" s="10"/>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spans="1:26" ht="17.399999999999999" x14ac:dyDescent="0.3">
      <c r="A5151" s="10"/>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spans="1:26" ht="17.399999999999999" x14ac:dyDescent="0.3">
      <c r="A5152" s="10"/>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spans="1:26" ht="17.399999999999999" x14ac:dyDescent="0.3">
      <c r="A5153" s="10"/>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spans="1:26" ht="17.399999999999999" x14ac:dyDescent="0.3">
      <c r="A5154" s="10"/>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spans="1:26" ht="17.399999999999999" x14ac:dyDescent="0.3">
      <c r="A5155" s="10"/>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spans="1:26" ht="17.399999999999999" x14ac:dyDescent="0.3">
      <c r="A5156" s="10"/>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spans="1:26" ht="17.399999999999999" x14ac:dyDescent="0.3">
      <c r="A5157" s="10"/>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spans="1:26" ht="17.399999999999999" x14ac:dyDescent="0.3">
      <c r="A5158" s="10"/>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spans="1:26" ht="17.399999999999999" x14ac:dyDescent="0.3">
      <c r="A5159" s="10"/>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spans="1:26" ht="17.399999999999999" x14ac:dyDescent="0.3">
      <c r="A5160" s="10"/>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spans="1:26" ht="17.399999999999999" x14ac:dyDescent="0.3">
      <c r="A5161" s="10"/>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spans="1:26" ht="17.399999999999999" x14ac:dyDescent="0.3">
      <c r="A5162" s="10"/>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spans="1:26" ht="17.399999999999999" x14ac:dyDescent="0.3">
      <c r="A5163" s="10"/>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spans="1:26" ht="17.399999999999999" x14ac:dyDescent="0.3">
      <c r="A5164" s="10"/>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spans="1:26" ht="17.399999999999999" x14ac:dyDescent="0.3">
      <c r="A5165" s="10"/>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spans="1:26" ht="17.399999999999999" x14ac:dyDescent="0.3">
      <c r="A5166" s="10"/>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spans="1:26" ht="17.399999999999999" x14ac:dyDescent="0.3">
      <c r="A5167" s="10"/>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spans="1:26" ht="17.399999999999999" x14ac:dyDescent="0.3">
      <c r="A5168" s="10"/>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spans="1:26" ht="17.399999999999999" x14ac:dyDescent="0.3">
      <c r="A5169" s="10"/>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spans="1:26" ht="17.399999999999999" x14ac:dyDescent="0.3">
      <c r="A5170" s="10"/>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spans="1:26" ht="17.399999999999999" x14ac:dyDescent="0.3">
      <c r="A5171" s="10"/>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spans="1:26" ht="17.399999999999999" x14ac:dyDescent="0.3">
      <c r="A5172" s="10"/>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spans="1:26" ht="17.399999999999999" x14ac:dyDescent="0.3">
      <c r="A5173" s="10"/>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spans="1:26" ht="17.399999999999999" x14ac:dyDescent="0.3">
      <c r="A5174" s="10"/>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spans="1:26" ht="17.399999999999999" x14ac:dyDescent="0.3">
      <c r="A5175" s="10"/>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spans="1:26" ht="17.399999999999999" x14ac:dyDescent="0.3">
      <c r="A5176" s="10"/>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spans="1:26" ht="17.399999999999999" x14ac:dyDescent="0.3">
      <c r="A5177" s="10"/>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spans="1:26" ht="17.399999999999999" x14ac:dyDescent="0.3">
      <c r="A5178" s="10"/>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spans="1:26" ht="17.399999999999999" x14ac:dyDescent="0.3">
      <c r="A5179" s="10"/>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spans="1:26" ht="17.399999999999999" x14ac:dyDescent="0.3">
      <c r="A5180" s="10"/>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spans="1:26" ht="17.399999999999999" x14ac:dyDescent="0.3">
      <c r="A5181" s="10"/>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spans="1:26" ht="17.399999999999999" x14ac:dyDescent="0.3">
      <c r="A5182" s="10"/>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spans="1:26" ht="17.399999999999999" x14ac:dyDescent="0.3">
      <c r="A5183" s="10"/>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spans="1:26" ht="17.399999999999999" x14ac:dyDescent="0.3">
      <c r="A5184" s="10"/>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spans="1:26" ht="17.399999999999999" x14ac:dyDescent="0.3">
      <c r="A5185" s="10"/>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spans="1:26" ht="17.399999999999999" x14ac:dyDescent="0.3">
      <c r="A5186" s="10"/>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spans="1:26" ht="17.399999999999999" x14ac:dyDescent="0.3">
      <c r="A5187" s="10"/>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spans="1:26" ht="17.399999999999999" x14ac:dyDescent="0.3">
      <c r="A5188" s="10"/>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spans="1:26" ht="17.399999999999999" x14ac:dyDescent="0.3">
      <c r="A5189" s="10"/>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spans="1:26" ht="17.399999999999999" x14ac:dyDescent="0.3">
      <c r="A5190" s="10"/>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spans="1:26" ht="17.399999999999999" x14ac:dyDescent="0.3">
      <c r="A5191" s="10"/>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spans="1:26" ht="17.399999999999999" x14ac:dyDescent="0.3">
      <c r="A5192" s="10"/>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spans="1:26" ht="17.399999999999999" x14ac:dyDescent="0.3">
      <c r="A5193" s="10"/>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spans="1:26" ht="17.399999999999999" x14ac:dyDescent="0.3">
      <c r="A5194" s="10"/>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spans="1:26" ht="17.399999999999999" x14ac:dyDescent="0.3">
      <c r="A5195" s="10"/>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spans="1:26" ht="17.399999999999999" x14ac:dyDescent="0.3">
      <c r="A5196" s="10"/>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spans="1:26" ht="17.399999999999999" x14ac:dyDescent="0.3">
      <c r="A5197" s="10"/>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spans="1:26" ht="17.399999999999999" x14ac:dyDescent="0.3">
      <c r="A5198" s="10"/>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spans="1:26" ht="17.399999999999999" x14ac:dyDescent="0.3">
      <c r="A5199" s="10"/>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spans="1:26" ht="17.399999999999999" x14ac:dyDescent="0.3">
      <c r="A5200" s="10"/>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spans="1:26" ht="17.399999999999999" x14ac:dyDescent="0.3">
      <c r="A5201" s="10"/>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spans="1:26" ht="17.399999999999999" x14ac:dyDescent="0.3">
      <c r="A5202" s="10"/>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spans="1:26" ht="17.399999999999999" x14ac:dyDescent="0.3">
      <c r="A5203" s="10"/>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spans="1:26" ht="17.399999999999999" x14ac:dyDescent="0.3">
      <c r="A5204" s="10"/>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spans="1:26" ht="17.399999999999999" x14ac:dyDescent="0.3">
      <c r="A5205" s="10"/>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spans="1:26" ht="17.399999999999999" x14ac:dyDescent="0.3">
      <c r="A5206" s="10"/>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spans="1:26" ht="17.399999999999999" x14ac:dyDescent="0.3">
      <c r="A5207" s="10"/>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spans="1:26" ht="17.399999999999999" x14ac:dyDescent="0.3">
      <c r="A5208" s="10"/>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spans="1:26" ht="17.399999999999999" x14ac:dyDescent="0.3">
      <c r="A5209" s="10"/>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spans="1:26" ht="17.399999999999999" x14ac:dyDescent="0.3">
      <c r="A5210" s="10"/>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spans="1:26" ht="17.399999999999999" x14ac:dyDescent="0.3">
      <c r="A5211" s="10"/>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spans="1:26" ht="17.399999999999999" x14ac:dyDescent="0.3">
      <c r="A5212" s="10"/>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spans="1:26" ht="17.399999999999999" x14ac:dyDescent="0.3">
      <c r="A5213" s="10"/>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spans="1:26" ht="17.399999999999999" x14ac:dyDescent="0.3">
      <c r="A5214" s="10"/>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spans="1:26" ht="17.399999999999999" x14ac:dyDescent="0.3">
      <c r="A5215" s="10"/>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spans="1:26" ht="17.399999999999999" x14ac:dyDescent="0.3">
      <c r="A5216" s="10"/>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spans="1:26" ht="17.399999999999999" x14ac:dyDescent="0.3">
      <c r="A5217" s="10"/>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spans="1:26" ht="17.399999999999999" x14ac:dyDescent="0.3">
      <c r="A5218" s="10"/>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spans="1:26" ht="17.399999999999999" x14ac:dyDescent="0.3">
      <c r="A5219" s="10"/>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spans="1:26" ht="17.399999999999999" x14ac:dyDescent="0.3">
      <c r="A5220" s="10"/>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spans="1:26" ht="17.399999999999999" x14ac:dyDescent="0.3">
      <c r="A5221" s="10"/>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spans="1:26" ht="17.399999999999999" x14ac:dyDescent="0.3">
      <c r="A5222" s="10"/>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spans="1:26" ht="17.399999999999999" x14ac:dyDescent="0.3">
      <c r="A5223" s="10"/>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spans="1:26" ht="17.399999999999999" x14ac:dyDescent="0.3">
      <c r="A5224" s="10"/>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spans="1:26" ht="17.399999999999999" x14ac:dyDescent="0.3">
      <c r="A5225" s="10"/>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spans="1:26" ht="17.399999999999999" x14ac:dyDescent="0.3">
      <c r="A5226" s="10"/>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spans="1:26" ht="17.399999999999999" x14ac:dyDescent="0.3">
      <c r="A5227" s="10"/>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spans="1:26" ht="17.399999999999999" x14ac:dyDescent="0.3">
      <c r="A5228" s="10"/>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spans="1:26" ht="17.399999999999999" x14ac:dyDescent="0.3">
      <c r="A5229" s="10"/>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spans="1:26" ht="17.399999999999999" x14ac:dyDescent="0.3">
      <c r="A5230" s="10"/>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spans="1:26" ht="17.399999999999999" x14ac:dyDescent="0.3">
      <c r="A5231" s="10"/>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spans="1:26" ht="17.399999999999999" x14ac:dyDescent="0.3">
      <c r="A5232" s="10"/>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spans="1:26" ht="17.399999999999999" x14ac:dyDescent="0.3">
      <c r="A5233" s="10"/>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spans="1:26" ht="17.399999999999999" x14ac:dyDescent="0.3">
      <c r="A5234" s="10"/>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spans="1:26" ht="17.399999999999999" x14ac:dyDescent="0.3">
      <c r="A5235" s="10"/>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spans="1:26" ht="17.399999999999999" x14ac:dyDescent="0.3">
      <c r="A5236" s="10"/>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spans="1:26" ht="17.399999999999999" x14ac:dyDescent="0.3">
      <c r="A5237" s="10"/>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spans="1:26" ht="17.399999999999999" x14ac:dyDescent="0.3">
      <c r="A5238" s="10"/>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spans="1:26" ht="17.399999999999999" x14ac:dyDescent="0.3">
      <c r="A5239" s="10"/>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spans="1:26" ht="17.399999999999999" x14ac:dyDescent="0.3">
      <c r="A5240" s="10"/>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spans="1:26" ht="17.399999999999999" x14ac:dyDescent="0.3">
      <c r="A5241" s="10"/>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spans="1:26" ht="17.399999999999999" x14ac:dyDescent="0.3">
      <c r="A5242" s="10"/>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spans="1:26" ht="17.399999999999999" x14ac:dyDescent="0.3">
      <c r="A5243" s="10"/>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spans="1:26" ht="17.399999999999999" x14ac:dyDescent="0.3">
      <c r="A5244" s="10"/>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spans="1:26" ht="17.399999999999999" x14ac:dyDescent="0.3">
      <c r="A5245" s="10"/>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spans="1:26" ht="17.399999999999999" x14ac:dyDescent="0.3">
      <c r="A5246" s="10"/>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spans="1:26" ht="17.399999999999999" x14ac:dyDescent="0.3">
      <c r="A5247" s="10"/>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spans="1:26" ht="17.399999999999999" x14ac:dyDescent="0.3">
      <c r="A5248" s="10"/>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spans="1:26" ht="17.399999999999999" x14ac:dyDescent="0.3">
      <c r="A5249" s="10"/>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spans="1:26" ht="17.399999999999999" x14ac:dyDescent="0.3">
      <c r="A5250" s="10"/>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spans="1:26" ht="17.399999999999999" x14ac:dyDescent="0.3">
      <c r="A5251" s="10"/>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spans="1:26" ht="17.399999999999999" x14ac:dyDescent="0.3">
      <c r="A5252" s="10"/>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spans="1:26" ht="17.399999999999999" x14ac:dyDescent="0.3">
      <c r="A5253" s="10"/>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spans="1:26" ht="17.399999999999999" x14ac:dyDescent="0.3">
      <c r="A5254" s="10"/>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spans="1:26" ht="17.399999999999999" x14ac:dyDescent="0.3">
      <c r="A5255" s="10"/>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spans="1:26" ht="17.399999999999999" x14ac:dyDescent="0.3">
      <c r="A5256" s="10"/>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spans="1:26" ht="17.399999999999999" x14ac:dyDescent="0.3">
      <c r="A5257" s="10"/>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spans="1:26" ht="17.399999999999999" x14ac:dyDescent="0.3">
      <c r="A5258" s="10"/>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spans="1:26" ht="17.399999999999999" x14ac:dyDescent="0.3">
      <c r="A5259" s="10"/>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spans="1:26" ht="17.399999999999999" x14ac:dyDescent="0.3">
      <c r="A5260" s="10"/>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spans="1:26" ht="17.399999999999999" x14ac:dyDescent="0.3">
      <c r="A5261" s="10"/>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spans="1:26" ht="17.399999999999999" x14ac:dyDescent="0.3">
      <c r="A5262" s="10"/>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spans="1:26" ht="17.399999999999999" x14ac:dyDescent="0.3">
      <c r="A5263" s="10"/>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spans="1:26" ht="17.399999999999999" x14ac:dyDescent="0.3">
      <c r="A5264" s="10"/>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spans="1:26" ht="17.399999999999999" x14ac:dyDescent="0.3">
      <c r="A5265" s="10"/>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spans="1:26" ht="17.399999999999999" x14ac:dyDescent="0.3">
      <c r="A5266" s="10"/>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spans="1:26" ht="17.399999999999999" x14ac:dyDescent="0.3">
      <c r="A5267" s="10"/>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spans="1:26" ht="17.399999999999999" x14ac:dyDescent="0.3">
      <c r="A5268" s="10"/>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spans="1:26" ht="17.399999999999999" x14ac:dyDescent="0.3">
      <c r="A5269" s="10"/>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spans="1:26" ht="17.399999999999999" x14ac:dyDescent="0.3">
      <c r="A5270" s="10"/>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spans="1:26" ht="17.399999999999999" x14ac:dyDescent="0.3">
      <c r="A5271" s="10"/>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spans="1:26" ht="17.399999999999999" x14ac:dyDescent="0.3">
      <c r="A5272" s="10"/>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spans="1:26" ht="17.399999999999999" x14ac:dyDescent="0.3">
      <c r="A5273" s="10"/>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spans="1:26" ht="17.399999999999999" x14ac:dyDescent="0.3">
      <c r="A5274" s="10"/>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spans="1:26" ht="17.399999999999999" x14ac:dyDescent="0.3">
      <c r="A5275" s="10"/>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spans="1:26" ht="17.399999999999999" x14ac:dyDescent="0.3">
      <c r="A5276" s="10"/>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spans="1:26" ht="17.399999999999999" x14ac:dyDescent="0.3">
      <c r="A5277" s="10"/>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spans="1:26" ht="17.399999999999999" x14ac:dyDescent="0.3">
      <c r="A5278" s="10"/>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spans="1:26" ht="17.399999999999999" x14ac:dyDescent="0.3">
      <c r="A5279" s="10"/>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spans="1:26" ht="17.399999999999999" x14ac:dyDescent="0.3">
      <c r="A5280" s="10"/>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spans="1:26" ht="17.399999999999999" x14ac:dyDescent="0.3">
      <c r="A5281" s="10"/>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spans="1:26" ht="17.399999999999999" x14ac:dyDescent="0.3">
      <c r="A5282" s="10"/>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spans="1:26" ht="17.399999999999999" x14ac:dyDescent="0.3">
      <c r="A5283" s="10"/>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spans="1:26" ht="17.399999999999999" x14ac:dyDescent="0.3">
      <c r="A5284" s="10"/>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spans="1:26" ht="17.399999999999999" x14ac:dyDescent="0.3">
      <c r="A5285" s="10"/>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spans="1:26" ht="17.399999999999999" x14ac:dyDescent="0.3">
      <c r="A5286" s="10"/>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spans="1:26" ht="17.399999999999999" x14ac:dyDescent="0.3">
      <c r="A5287" s="10"/>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spans="1:26" ht="17.399999999999999" x14ac:dyDescent="0.3">
      <c r="A5288" s="10"/>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spans="1:26" ht="17.399999999999999" x14ac:dyDescent="0.3">
      <c r="A5289" s="10"/>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spans="1:26" ht="17.399999999999999" x14ac:dyDescent="0.3">
      <c r="A5290" s="10"/>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spans="1:26" ht="17.399999999999999" x14ac:dyDescent="0.3">
      <c r="A5291" s="10"/>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spans="1:26" ht="17.399999999999999" x14ac:dyDescent="0.3">
      <c r="A5292" s="10"/>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spans="1:26" ht="17.399999999999999" x14ac:dyDescent="0.3">
      <c r="A5293" s="10"/>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spans="1:26" ht="17.399999999999999" x14ac:dyDescent="0.3">
      <c r="A5294" s="10"/>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spans="1:26" ht="17.399999999999999" x14ac:dyDescent="0.3">
      <c r="A5295" s="10"/>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spans="1:26" ht="17.399999999999999" x14ac:dyDescent="0.3">
      <c r="A5296" s="10"/>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spans="1:26" ht="17.399999999999999" x14ac:dyDescent="0.3">
      <c r="A5297" s="10"/>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spans="1:26" ht="17.399999999999999" x14ac:dyDescent="0.3">
      <c r="A5298" s="10"/>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spans="1:26" ht="17.399999999999999" x14ac:dyDescent="0.3">
      <c r="A5299" s="10"/>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spans="1:26" ht="17.399999999999999" x14ac:dyDescent="0.3">
      <c r="A5300" s="10"/>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spans="1:26" ht="17.399999999999999" x14ac:dyDescent="0.3">
      <c r="A5301" s="10"/>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spans="1:26" ht="17.399999999999999" x14ac:dyDescent="0.3">
      <c r="A5302" s="10"/>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spans="1:26" ht="17.399999999999999" x14ac:dyDescent="0.3">
      <c r="A5303" s="10"/>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spans="1:26" ht="17.399999999999999" x14ac:dyDescent="0.3">
      <c r="A5304" s="10"/>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spans="1:26" ht="17.399999999999999" x14ac:dyDescent="0.3">
      <c r="A5305" s="10"/>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spans="1:26" ht="17.399999999999999" x14ac:dyDescent="0.3">
      <c r="A5306" s="10"/>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spans="1:26" ht="17.399999999999999" x14ac:dyDescent="0.3">
      <c r="A5307" s="10"/>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spans="1:26" ht="17.399999999999999" x14ac:dyDescent="0.3">
      <c r="A5308" s="10"/>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spans="1:26" ht="17.399999999999999" x14ac:dyDescent="0.3">
      <c r="A5309" s="10"/>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spans="1:26" ht="17.399999999999999" x14ac:dyDescent="0.3">
      <c r="A5310" s="10"/>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spans="1:26" ht="17.399999999999999" x14ac:dyDescent="0.3">
      <c r="A5311" s="10"/>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spans="1:26" ht="17.399999999999999" x14ac:dyDescent="0.3">
      <c r="A5312" s="10"/>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spans="1:26" ht="17.399999999999999" x14ac:dyDescent="0.3">
      <c r="A5313" s="10"/>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spans="1:26" ht="17.399999999999999" x14ac:dyDescent="0.3">
      <c r="A5314" s="10"/>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spans="1:26" ht="17.399999999999999" x14ac:dyDescent="0.3">
      <c r="A5315" s="10"/>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spans="1:26" ht="17.399999999999999" x14ac:dyDescent="0.3">
      <c r="A5316" s="10"/>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spans="1:26" ht="17.399999999999999" x14ac:dyDescent="0.3">
      <c r="A5317" s="10"/>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spans="1:26" ht="17.399999999999999" x14ac:dyDescent="0.3">
      <c r="A5318" s="10"/>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spans="1:26" ht="17.399999999999999" x14ac:dyDescent="0.3">
      <c r="A5319" s="10"/>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spans="1:26" ht="17.399999999999999" x14ac:dyDescent="0.3">
      <c r="A5320" s="10"/>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spans="1:26" ht="17.399999999999999" x14ac:dyDescent="0.3">
      <c r="A5321" s="10"/>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spans="1:26" ht="17.399999999999999" x14ac:dyDescent="0.3">
      <c r="A5322" s="10"/>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spans="1:26" ht="17.399999999999999" x14ac:dyDescent="0.3">
      <c r="A5323" s="10"/>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spans="1:26" ht="17.399999999999999" x14ac:dyDescent="0.3">
      <c r="A5324" s="10"/>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spans="1:26" ht="17.399999999999999" x14ac:dyDescent="0.3">
      <c r="A5325" s="10"/>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spans="1:26" ht="17.399999999999999" x14ac:dyDescent="0.3">
      <c r="A5326" s="10"/>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spans="1:26" ht="17.399999999999999" x14ac:dyDescent="0.3">
      <c r="A5327" s="10"/>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spans="1:26" ht="17.399999999999999" x14ac:dyDescent="0.3">
      <c r="A5328" s="10"/>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spans="1:26" ht="17.399999999999999" x14ac:dyDescent="0.3">
      <c r="A5329" s="10"/>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spans="1:26" ht="17.399999999999999" x14ac:dyDescent="0.3">
      <c r="A5330" s="10"/>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spans="1:26" ht="17.399999999999999" x14ac:dyDescent="0.3">
      <c r="A5331" s="10"/>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spans="1:26" ht="17.399999999999999" x14ac:dyDescent="0.3">
      <c r="A5332" s="10"/>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spans="1:26" ht="17.399999999999999" x14ac:dyDescent="0.3">
      <c r="A5333" s="10"/>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spans="1:26" ht="17.399999999999999" x14ac:dyDescent="0.3">
      <c r="A5334" s="10"/>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spans="1:26" ht="17.399999999999999" x14ac:dyDescent="0.3">
      <c r="A5335" s="10"/>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spans="1:26" ht="17.399999999999999" x14ac:dyDescent="0.3">
      <c r="A5336" s="10"/>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spans="1:26" ht="17.399999999999999" x14ac:dyDescent="0.3">
      <c r="A5337" s="10"/>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spans="1:26" ht="17.399999999999999" x14ac:dyDescent="0.3">
      <c r="A5338" s="10"/>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spans="1:26" ht="17.399999999999999" x14ac:dyDescent="0.3">
      <c r="A5339" s="10"/>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spans="1:26" ht="17.399999999999999" x14ac:dyDescent="0.3">
      <c r="A5340" s="10"/>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spans="1:26" ht="17.399999999999999" x14ac:dyDescent="0.3">
      <c r="A5341" s="10"/>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spans="1:26" ht="17.399999999999999" x14ac:dyDescent="0.3">
      <c r="A5342" s="10"/>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spans="1:26" ht="17.399999999999999" x14ac:dyDescent="0.3">
      <c r="A5343" s="10"/>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spans="1:26" ht="17.399999999999999" x14ac:dyDescent="0.3">
      <c r="A5344" s="10"/>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spans="1:26" ht="17.399999999999999" x14ac:dyDescent="0.3">
      <c r="A5345" s="10"/>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spans="1:26" ht="17.399999999999999" x14ac:dyDescent="0.3">
      <c r="A5346" s="10"/>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spans="1:26" ht="17.399999999999999" x14ac:dyDescent="0.3">
      <c r="A5347" s="10"/>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spans="1:26" ht="17.399999999999999" x14ac:dyDescent="0.3">
      <c r="A5348" s="10"/>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spans="1:26" ht="17.399999999999999" x14ac:dyDescent="0.3">
      <c r="A5349" s="10"/>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spans="1:26" ht="17.399999999999999" x14ac:dyDescent="0.3">
      <c r="A5350" s="10"/>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spans="1:26" ht="17.399999999999999" x14ac:dyDescent="0.3">
      <c r="A5351" s="10"/>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spans="1:26" ht="17.399999999999999" x14ac:dyDescent="0.3">
      <c r="A5352" s="10"/>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spans="1:26" ht="17.399999999999999" x14ac:dyDescent="0.3">
      <c r="A5353" s="10"/>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spans="1:26" ht="17.399999999999999" x14ac:dyDescent="0.3">
      <c r="A5354" s="10"/>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spans="1:26" ht="17.399999999999999" x14ac:dyDescent="0.3">
      <c r="A5355" s="10"/>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spans="1:26" ht="17.399999999999999" x14ac:dyDescent="0.3">
      <c r="A5356" s="10"/>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spans="1:26" ht="17.399999999999999" x14ac:dyDescent="0.3">
      <c r="A5357" s="10"/>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spans="1:26" ht="17.399999999999999" x14ac:dyDescent="0.3">
      <c r="A5358" s="10"/>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spans="1:26" ht="17.399999999999999" x14ac:dyDescent="0.3">
      <c r="A5359" s="10"/>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spans="1:26" ht="17.399999999999999" x14ac:dyDescent="0.3">
      <c r="A5360" s="10"/>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spans="1:26" ht="17.399999999999999" x14ac:dyDescent="0.3">
      <c r="A5361" s="10"/>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spans="1:26" ht="17.399999999999999" x14ac:dyDescent="0.3">
      <c r="A5362" s="10"/>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spans="1:26" ht="17.399999999999999" x14ac:dyDescent="0.3">
      <c r="A5363" s="10"/>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spans="1:26" ht="17.399999999999999" x14ac:dyDescent="0.3">
      <c r="A5364" s="10"/>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spans="1:26" ht="17.399999999999999" x14ac:dyDescent="0.3">
      <c r="A5365" s="10"/>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spans="1:26" ht="17.399999999999999" x14ac:dyDescent="0.3">
      <c r="A5366" s="10"/>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spans="1:26" ht="17.399999999999999" x14ac:dyDescent="0.3">
      <c r="A5367" s="10"/>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spans="1:26" ht="17.399999999999999" x14ac:dyDescent="0.3">
      <c r="A5368" s="10"/>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spans="1:26" ht="17.399999999999999" x14ac:dyDescent="0.3">
      <c r="A5369" s="10"/>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spans="1:26" ht="17.399999999999999" x14ac:dyDescent="0.3">
      <c r="A5370" s="10"/>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spans="1:26" ht="17.399999999999999" x14ac:dyDescent="0.3">
      <c r="A5371" s="10"/>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spans="1:26" ht="17.399999999999999" x14ac:dyDescent="0.3">
      <c r="A5372" s="10"/>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spans="1:26" ht="17.399999999999999" x14ac:dyDescent="0.3">
      <c r="A5373" s="10"/>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spans="1:26" ht="17.399999999999999" x14ac:dyDescent="0.3">
      <c r="A5374" s="10"/>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spans="1:26" ht="17.399999999999999" x14ac:dyDescent="0.3">
      <c r="A5375" s="10"/>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spans="1:26" ht="17.399999999999999" x14ac:dyDescent="0.3">
      <c r="A5376" s="10"/>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spans="1:26" ht="17.399999999999999" x14ac:dyDescent="0.3">
      <c r="A5377" s="10"/>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spans="1:26" ht="17.399999999999999" x14ac:dyDescent="0.3">
      <c r="A5378" s="10"/>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spans="1:26" ht="17.399999999999999" x14ac:dyDescent="0.3">
      <c r="A5379" s="10"/>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spans="1:26" ht="17.399999999999999" x14ac:dyDescent="0.3">
      <c r="A5380" s="10"/>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spans="1:26" ht="17.399999999999999" x14ac:dyDescent="0.3">
      <c r="A5381" s="10"/>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spans="1:26" ht="17.399999999999999" x14ac:dyDescent="0.3">
      <c r="A5382" s="10"/>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spans="1:26" ht="17.399999999999999" x14ac:dyDescent="0.3">
      <c r="A5383" s="10"/>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spans="1:26" ht="17.399999999999999" x14ac:dyDescent="0.3">
      <c r="A5384" s="10"/>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spans="1:26" ht="17.399999999999999" x14ac:dyDescent="0.3">
      <c r="A5385" s="10"/>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spans="1:26" ht="17.399999999999999" x14ac:dyDescent="0.3">
      <c r="A5386" s="10"/>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spans="1:26" ht="17.399999999999999" x14ac:dyDescent="0.3">
      <c r="A5387" s="10"/>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spans="1:26" ht="17.399999999999999" x14ac:dyDescent="0.3">
      <c r="A5388" s="10"/>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spans="1:26" ht="17.399999999999999" x14ac:dyDescent="0.3">
      <c r="A5389" s="10"/>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spans="1:26" ht="17.399999999999999" x14ac:dyDescent="0.3">
      <c r="A5390" s="10"/>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spans="1:26" ht="17.399999999999999" x14ac:dyDescent="0.3">
      <c r="A5391" s="10"/>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spans="1:26" ht="17.399999999999999" x14ac:dyDescent="0.3">
      <c r="A5392" s="10"/>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spans="1:26" ht="17.399999999999999" x14ac:dyDescent="0.3">
      <c r="A5393" s="10"/>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spans="1:26" ht="17.399999999999999" x14ac:dyDescent="0.3">
      <c r="A5394" s="10"/>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spans="1:26" ht="17.399999999999999" x14ac:dyDescent="0.3">
      <c r="A5395" s="10"/>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spans="1:26" ht="17.399999999999999" x14ac:dyDescent="0.3">
      <c r="A5396" s="10"/>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spans="1:26" ht="17.399999999999999" x14ac:dyDescent="0.3">
      <c r="A5397" s="10"/>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spans="1:26" ht="17.399999999999999" x14ac:dyDescent="0.3">
      <c r="A5398" s="10"/>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spans="1:26" ht="17.399999999999999" x14ac:dyDescent="0.3">
      <c r="A5399" s="10"/>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spans="1:26" ht="17.399999999999999" x14ac:dyDescent="0.3">
      <c r="A5400" s="10"/>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spans="1:26" ht="17.399999999999999" x14ac:dyDescent="0.3">
      <c r="A5401" s="10"/>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spans="1:26" ht="17.399999999999999" x14ac:dyDescent="0.3">
      <c r="A5402" s="10"/>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spans="1:26" ht="17.399999999999999" x14ac:dyDescent="0.3">
      <c r="A5403" s="10"/>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spans="1:26" ht="17.399999999999999" x14ac:dyDescent="0.3">
      <c r="A5404" s="10"/>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spans="1:26" ht="17.399999999999999" x14ac:dyDescent="0.3">
      <c r="A5405" s="10"/>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spans="1:26" ht="17.399999999999999" x14ac:dyDescent="0.3">
      <c r="A5406" s="10"/>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spans="1:26" ht="17.399999999999999" x14ac:dyDescent="0.3">
      <c r="A5407" s="10"/>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spans="1:26" ht="17.399999999999999" x14ac:dyDescent="0.3">
      <c r="A5408" s="10"/>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spans="1:26" ht="17.399999999999999" x14ac:dyDescent="0.3">
      <c r="A5409" s="10"/>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spans="1:26" ht="17.399999999999999" x14ac:dyDescent="0.3">
      <c r="A5410" s="10"/>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spans="1:26" ht="17.399999999999999" x14ac:dyDescent="0.3">
      <c r="A5411" s="10"/>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spans="1:26" ht="17.399999999999999" x14ac:dyDescent="0.3">
      <c r="A5412" s="10"/>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spans="1:26" ht="17.399999999999999" x14ac:dyDescent="0.3">
      <c r="A5413" s="10"/>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spans="1:26" ht="17.399999999999999" x14ac:dyDescent="0.3">
      <c r="A5414" s="10"/>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spans="1:26" ht="17.399999999999999" x14ac:dyDescent="0.3">
      <c r="A5415" s="10"/>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spans="1:26" ht="17.399999999999999" x14ac:dyDescent="0.3">
      <c r="A5416" s="10"/>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spans="1:26" ht="17.399999999999999" x14ac:dyDescent="0.3">
      <c r="A5417" s="10"/>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spans="1:26" ht="17.399999999999999" x14ac:dyDescent="0.3">
      <c r="A5418" s="10"/>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spans="1:26" ht="17.399999999999999" x14ac:dyDescent="0.3">
      <c r="A5419" s="10"/>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spans="1:26" ht="17.399999999999999" x14ac:dyDescent="0.3">
      <c r="A5420" s="10"/>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spans="1:26" ht="17.399999999999999" x14ac:dyDescent="0.3">
      <c r="A5421" s="10"/>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spans="1:26" ht="17.399999999999999" x14ac:dyDescent="0.3">
      <c r="A5422" s="10"/>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spans="1:26" ht="17.399999999999999" x14ac:dyDescent="0.3">
      <c r="A5423" s="10"/>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spans="1:26" ht="17.399999999999999" x14ac:dyDescent="0.3">
      <c r="A5424" s="10"/>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spans="1:26" ht="17.399999999999999" x14ac:dyDescent="0.3">
      <c r="A5425" s="10"/>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spans="1:26" ht="17.399999999999999" x14ac:dyDescent="0.3">
      <c r="A5426" s="10"/>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spans="1:26" ht="17.399999999999999" x14ac:dyDescent="0.3">
      <c r="A5427" s="10"/>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spans="1:26" ht="17.399999999999999" x14ac:dyDescent="0.3">
      <c r="A5428" s="10"/>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spans="1:26" ht="17.399999999999999" x14ac:dyDescent="0.3">
      <c r="A5429" s="10"/>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spans="1:26" ht="17.399999999999999" x14ac:dyDescent="0.3">
      <c r="A5430" s="10"/>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spans="1:26" ht="17.399999999999999" x14ac:dyDescent="0.3">
      <c r="A5431" s="10"/>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spans="1:26" ht="17.399999999999999" x14ac:dyDescent="0.3">
      <c r="A5432" s="10"/>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spans="1:26" ht="17.399999999999999" x14ac:dyDescent="0.3">
      <c r="A5433" s="10"/>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spans="1:26" ht="17.399999999999999" x14ac:dyDescent="0.3">
      <c r="A5434" s="10"/>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spans="1:26" ht="17.399999999999999" x14ac:dyDescent="0.3">
      <c r="A5435" s="10"/>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spans="1:26" ht="17.399999999999999" x14ac:dyDescent="0.3">
      <c r="A5436" s="10"/>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spans="1:26" ht="17.399999999999999" x14ac:dyDescent="0.3">
      <c r="A5437" s="10"/>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spans="1:26" ht="17.399999999999999" x14ac:dyDescent="0.3">
      <c r="A5438" s="10"/>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spans="1:26" ht="17.399999999999999" x14ac:dyDescent="0.3">
      <c r="A5439" s="10"/>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spans="1:26" ht="17.399999999999999" x14ac:dyDescent="0.3">
      <c r="A5440" s="10"/>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spans="1:26" ht="17.399999999999999" x14ac:dyDescent="0.3">
      <c r="A5441" s="10"/>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spans="1:26" ht="17.399999999999999" x14ac:dyDescent="0.3">
      <c r="A5442" s="10"/>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spans="1:26" ht="17.399999999999999" x14ac:dyDescent="0.3">
      <c r="A5443" s="10"/>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spans="1:26" ht="17.399999999999999" x14ac:dyDescent="0.3">
      <c r="A5444" s="10"/>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spans="1:26" ht="17.399999999999999" x14ac:dyDescent="0.3">
      <c r="A5445" s="10"/>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spans="1:26" ht="17.399999999999999" x14ac:dyDescent="0.3">
      <c r="A5446" s="10"/>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spans="1:26" ht="17.399999999999999" x14ac:dyDescent="0.3">
      <c r="A5447" s="10"/>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spans="1:26" ht="17.399999999999999" x14ac:dyDescent="0.3">
      <c r="A5448" s="10"/>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spans="1:26" ht="17.399999999999999" x14ac:dyDescent="0.3">
      <c r="A5449" s="10"/>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spans="1:26" ht="17.399999999999999" x14ac:dyDescent="0.3">
      <c r="A5450" s="10"/>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spans="1:26" ht="17.399999999999999" x14ac:dyDescent="0.3">
      <c r="A5451" s="10"/>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spans="1:26" ht="17.399999999999999" x14ac:dyDescent="0.3">
      <c r="A5452" s="10"/>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spans="1:26" ht="17.399999999999999" x14ac:dyDescent="0.3">
      <c r="A5453" s="10"/>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spans="1:26" ht="17.399999999999999" x14ac:dyDescent="0.3">
      <c r="A5454" s="10"/>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spans="1:26" ht="17.399999999999999" x14ac:dyDescent="0.3">
      <c r="A5455" s="10"/>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spans="1:26" ht="17.399999999999999" x14ac:dyDescent="0.3">
      <c r="A5456" s="10"/>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spans="1:26" ht="17.399999999999999" x14ac:dyDescent="0.3">
      <c r="A5457" s="10"/>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spans="1:26" ht="17.399999999999999" x14ac:dyDescent="0.3">
      <c r="A5458" s="10"/>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spans="1:26" ht="17.399999999999999" x14ac:dyDescent="0.3">
      <c r="A5459" s="10"/>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spans="1:26" ht="17.399999999999999" x14ac:dyDescent="0.3">
      <c r="A5460" s="10"/>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spans="1:26" ht="17.399999999999999" x14ac:dyDescent="0.3">
      <c r="A5461" s="10"/>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spans="1:26" ht="17.399999999999999" x14ac:dyDescent="0.3">
      <c r="A5462" s="10"/>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spans="1:26" ht="17.399999999999999" x14ac:dyDescent="0.3">
      <c r="A5463" s="10"/>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spans="1:26" ht="17.399999999999999" x14ac:dyDescent="0.3">
      <c r="A5464" s="10"/>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spans="1:26" ht="17.399999999999999" x14ac:dyDescent="0.3">
      <c r="A5465" s="10"/>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spans="1:26" ht="17.399999999999999" x14ac:dyDescent="0.3">
      <c r="A5466" s="10"/>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spans="1:26" ht="17.399999999999999" x14ac:dyDescent="0.3">
      <c r="A5467" s="10"/>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spans="1:26" ht="17.399999999999999" x14ac:dyDescent="0.3">
      <c r="A5468" s="10"/>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spans="1:26" ht="17.399999999999999" x14ac:dyDescent="0.3">
      <c r="A5469" s="10"/>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spans="1:26" ht="17.399999999999999" x14ac:dyDescent="0.3">
      <c r="A5470" s="10"/>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spans="1:26" ht="17.399999999999999" x14ac:dyDescent="0.3">
      <c r="A5471" s="10"/>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spans="1:26" ht="17.399999999999999" x14ac:dyDescent="0.3">
      <c r="A5472" s="10"/>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spans="1:26" ht="17.399999999999999" x14ac:dyDescent="0.3">
      <c r="A5473" s="10"/>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spans="1:26" ht="17.399999999999999" x14ac:dyDescent="0.3">
      <c r="A5474" s="10"/>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spans="1:26" ht="17.399999999999999" x14ac:dyDescent="0.3">
      <c r="A5475" s="10"/>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spans="1:26" ht="17.399999999999999" x14ac:dyDescent="0.3">
      <c r="A5476" s="10"/>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spans="1:26" ht="17.399999999999999" x14ac:dyDescent="0.3">
      <c r="A5477" s="10"/>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spans="1:26" ht="17.399999999999999" x14ac:dyDescent="0.3">
      <c r="A5478" s="10"/>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spans="1:26" ht="17.399999999999999" x14ac:dyDescent="0.3">
      <c r="A5479" s="10"/>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spans="1:26" ht="17.399999999999999" x14ac:dyDescent="0.3">
      <c r="A5480" s="10"/>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spans="1:26" ht="17.399999999999999" x14ac:dyDescent="0.3">
      <c r="A5481" s="10"/>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spans="1:26" ht="17.399999999999999" x14ac:dyDescent="0.3">
      <c r="A5482" s="10"/>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spans="1:26" ht="17.399999999999999" x14ac:dyDescent="0.3">
      <c r="A5483" s="10"/>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spans="1:26" ht="17.399999999999999" x14ac:dyDescent="0.3">
      <c r="A5484" s="10"/>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spans="1:26" ht="17.399999999999999" x14ac:dyDescent="0.3">
      <c r="A5485" s="10"/>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spans="1:26" ht="17.399999999999999" x14ac:dyDescent="0.3">
      <c r="A5486" s="10"/>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spans="1:26" ht="17.399999999999999" x14ac:dyDescent="0.3">
      <c r="A5487" s="10"/>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spans="1:26" ht="17.399999999999999" x14ac:dyDescent="0.3">
      <c r="A5488" s="10"/>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spans="1:26" ht="17.399999999999999" x14ac:dyDescent="0.3">
      <c r="A5489" s="10"/>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spans="1:26" ht="17.399999999999999" x14ac:dyDescent="0.3">
      <c r="A5490" s="10"/>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spans="1:26" ht="17.399999999999999" x14ac:dyDescent="0.3">
      <c r="A5491" s="10"/>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spans="1:26" ht="17.399999999999999" x14ac:dyDescent="0.3">
      <c r="A5492" s="10"/>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spans="1:26" ht="17.399999999999999" x14ac:dyDescent="0.3">
      <c r="A5493" s="10"/>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spans="1:26" ht="17.399999999999999" x14ac:dyDescent="0.3">
      <c r="A5494" s="10"/>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spans="1:26" ht="17.399999999999999" x14ac:dyDescent="0.3">
      <c r="A5495" s="10"/>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spans="1:26" ht="17.399999999999999" x14ac:dyDescent="0.3">
      <c r="A5496" s="10"/>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spans="1:26" ht="17.399999999999999" x14ac:dyDescent="0.3">
      <c r="A5497" s="10"/>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spans="1:26" ht="17.399999999999999" x14ac:dyDescent="0.3">
      <c r="A5498" s="10"/>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spans="1:26" ht="17.399999999999999" x14ac:dyDescent="0.3">
      <c r="A5499" s="10"/>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spans="1:26" ht="17.399999999999999" x14ac:dyDescent="0.3">
      <c r="A5500" s="10"/>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spans="1:26" ht="17.399999999999999" x14ac:dyDescent="0.3">
      <c r="A5501" s="10"/>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spans="1:26" ht="17.399999999999999" x14ac:dyDescent="0.3">
      <c r="A5502" s="10"/>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spans="1:26" ht="17.399999999999999" x14ac:dyDescent="0.3">
      <c r="A5503" s="10"/>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spans="1:26" ht="17.399999999999999" x14ac:dyDescent="0.3">
      <c r="A5504" s="10"/>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spans="1:26" ht="17.399999999999999" x14ac:dyDescent="0.3">
      <c r="A5505" s="10"/>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spans="1:26" ht="17.399999999999999" x14ac:dyDescent="0.3">
      <c r="A5506" s="10"/>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spans="1:26" ht="17.399999999999999" x14ac:dyDescent="0.3">
      <c r="A5507" s="10"/>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spans="1:26" ht="17.399999999999999" x14ac:dyDescent="0.3">
      <c r="A5508" s="10"/>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spans="1:26" ht="17.399999999999999" x14ac:dyDescent="0.3">
      <c r="A5509" s="10"/>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spans="1:26" ht="17.399999999999999" x14ac:dyDescent="0.3">
      <c r="A5510" s="10"/>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spans="1:26" ht="17.399999999999999" x14ac:dyDescent="0.3">
      <c r="A5511" s="10"/>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spans="1:26" ht="17.399999999999999" x14ac:dyDescent="0.3">
      <c r="A5512" s="10"/>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spans="1:26" ht="17.399999999999999" x14ac:dyDescent="0.3">
      <c r="A5513" s="10"/>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spans="1:26" ht="17.399999999999999" x14ac:dyDescent="0.3">
      <c r="A5514" s="10"/>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spans="1:26" ht="17.399999999999999" x14ac:dyDescent="0.3">
      <c r="A5515" s="10"/>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spans="1:26" ht="17.399999999999999" x14ac:dyDescent="0.3">
      <c r="A5516" s="10"/>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spans="1:26" ht="17.399999999999999" x14ac:dyDescent="0.3">
      <c r="A5517" s="10"/>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spans="1:26" ht="17.399999999999999" x14ac:dyDescent="0.3">
      <c r="A5518" s="10"/>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spans="1:26" ht="17.399999999999999" x14ac:dyDescent="0.3">
      <c r="A5519" s="10"/>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spans="1:26" ht="17.399999999999999" x14ac:dyDescent="0.3">
      <c r="A5520" s="10"/>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spans="1:26" ht="17.399999999999999" x14ac:dyDescent="0.3">
      <c r="A5521" s="10"/>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spans="1:26" ht="17.399999999999999" x14ac:dyDescent="0.3">
      <c r="A5522" s="10"/>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spans="1:26" ht="17.399999999999999" x14ac:dyDescent="0.3">
      <c r="A5523" s="10"/>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spans="1:26" ht="17.399999999999999" x14ac:dyDescent="0.3">
      <c r="A5524" s="10"/>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spans="1:26" ht="17.399999999999999" x14ac:dyDescent="0.3">
      <c r="A5525" s="10"/>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spans="1:26" ht="17.399999999999999" x14ac:dyDescent="0.3">
      <c r="A5526" s="10"/>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spans="1:26" ht="17.399999999999999" x14ac:dyDescent="0.3">
      <c r="A5527" s="10"/>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spans="1:26" ht="17.399999999999999" x14ac:dyDescent="0.3">
      <c r="A5528" s="10"/>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spans="1:26" ht="17.399999999999999" x14ac:dyDescent="0.3">
      <c r="A5529" s="10"/>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spans="1:26" ht="17.399999999999999" x14ac:dyDescent="0.3">
      <c r="A5530" s="10"/>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spans="1:26" ht="17.399999999999999" x14ac:dyDescent="0.3">
      <c r="A5531" s="10"/>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spans="1:26" ht="17.399999999999999" x14ac:dyDescent="0.3">
      <c r="A5532" s="10"/>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spans="1:26" ht="17.399999999999999" x14ac:dyDescent="0.3">
      <c r="A5533" s="10"/>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spans="1:26" ht="17.399999999999999" x14ac:dyDescent="0.3">
      <c r="A5534" s="10"/>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spans="1:26" ht="17.399999999999999" x14ac:dyDescent="0.3">
      <c r="A5535" s="10"/>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spans="1:26" ht="17.399999999999999" x14ac:dyDescent="0.3">
      <c r="A5536" s="10"/>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spans="1:26" ht="17.399999999999999" x14ac:dyDescent="0.3">
      <c r="A5537" s="10"/>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spans="1:26" ht="17.399999999999999" x14ac:dyDescent="0.3">
      <c r="A5538" s="10"/>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spans="1:26" ht="17.399999999999999" x14ac:dyDescent="0.3">
      <c r="A5539" s="10"/>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spans="1:26" ht="17.399999999999999" x14ac:dyDescent="0.3">
      <c r="A5540" s="10"/>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spans="1:26" ht="17.399999999999999" x14ac:dyDescent="0.3">
      <c r="A5541" s="10"/>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spans="1:26" ht="17.399999999999999" x14ac:dyDescent="0.3">
      <c r="A5542" s="10"/>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spans="1:26" ht="17.399999999999999" x14ac:dyDescent="0.3">
      <c r="A5543" s="10"/>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spans="1:26" ht="17.399999999999999" x14ac:dyDescent="0.3">
      <c r="A5544" s="10"/>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spans="1:26" ht="17.399999999999999" x14ac:dyDescent="0.3">
      <c r="A5545" s="10"/>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spans="1:26" ht="17.399999999999999" x14ac:dyDescent="0.3">
      <c r="A5546" s="10"/>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spans="1:26" ht="17.399999999999999" x14ac:dyDescent="0.3">
      <c r="A5547" s="10"/>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spans="1:26" ht="17.399999999999999" x14ac:dyDescent="0.3">
      <c r="A5548" s="10"/>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spans="1:26" ht="17.399999999999999" x14ac:dyDescent="0.3">
      <c r="A5549" s="10"/>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spans="1:26" ht="17.399999999999999" x14ac:dyDescent="0.3">
      <c r="A5550" s="10"/>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spans="1:26" ht="17.399999999999999" x14ac:dyDescent="0.3">
      <c r="A5551" s="10"/>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spans="1:26" ht="17.399999999999999" x14ac:dyDescent="0.3">
      <c r="A5552" s="10"/>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spans="1:26" ht="17.399999999999999" x14ac:dyDescent="0.3">
      <c r="A5553" s="10"/>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spans="1:26" ht="17.399999999999999" x14ac:dyDescent="0.3">
      <c r="A5554" s="10"/>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spans="1:26" ht="17.399999999999999" x14ac:dyDescent="0.3">
      <c r="A5555" s="10"/>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spans="1:26" ht="17.399999999999999" x14ac:dyDescent="0.3">
      <c r="A5556" s="10"/>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spans="1:26" ht="17.399999999999999" x14ac:dyDescent="0.3">
      <c r="A5557" s="10"/>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spans="1:26" ht="17.399999999999999" x14ac:dyDescent="0.3">
      <c r="A5558" s="10"/>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spans="1:26" ht="17.399999999999999" x14ac:dyDescent="0.3">
      <c r="A5559" s="10"/>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spans="1:26" ht="17.399999999999999" x14ac:dyDescent="0.3">
      <c r="A5560" s="10"/>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spans="1:26" ht="17.399999999999999" x14ac:dyDescent="0.3">
      <c r="A5561" s="10"/>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spans="1:26" ht="17.399999999999999" x14ac:dyDescent="0.3">
      <c r="A5562" s="10"/>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spans="1:26" ht="17.399999999999999" x14ac:dyDescent="0.3">
      <c r="A5563" s="10"/>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spans="1:26" ht="17.399999999999999" x14ac:dyDescent="0.3">
      <c r="A5564" s="10"/>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spans="1:26" ht="17.399999999999999" x14ac:dyDescent="0.3">
      <c r="A5565" s="10"/>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spans="1:26" ht="17.399999999999999" x14ac:dyDescent="0.3">
      <c r="A5566" s="10"/>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spans="1:26" ht="17.399999999999999" x14ac:dyDescent="0.3">
      <c r="A5567" s="10"/>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spans="1:26" ht="17.399999999999999" x14ac:dyDescent="0.3">
      <c r="A5568" s="10"/>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spans="1:26" ht="17.399999999999999" x14ac:dyDescent="0.3">
      <c r="A5569" s="10"/>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spans="1:26" ht="17.399999999999999" x14ac:dyDescent="0.3">
      <c r="A5570" s="10"/>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spans="1:26" ht="17.399999999999999" x14ac:dyDescent="0.3">
      <c r="A5571" s="10"/>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spans="1:26" ht="17.399999999999999" x14ac:dyDescent="0.3">
      <c r="A5572" s="10"/>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spans="1:26" ht="17.399999999999999" x14ac:dyDescent="0.3">
      <c r="A5573" s="10"/>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spans="1:26" ht="17.399999999999999" x14ac:dyDescent="0.3">
      <c r="A5574" s="10"/>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spans="1:26" ht="17.399999999999999" x14ac:dyDescent="0.3">
      <c r="A5575" s="10"/>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spans="1:26" ht="17.399999999999999" x14ac:dyDescent="0.3">
      <c r="A5576" s="10"/>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spans="1:26" ht="17.399999999999999" x14ac:dyDescent="0.3">
      <c r="A5577" s="10"/>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spans="1:26" ht="17.399999999999999" x14ac:dyDescent="0.3">
      <c r="A5578" s="10"/>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spans="1:26" ht="17.399999999999999" x14ac:dyDescent="0.3">
      <c r="A5579" s="10"/>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spans="1:26" ht="17.399999999999999" x14ac:dyDescent="0.3">
      <c r="A5580" s="10"/>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spans="1:26" ht="17.399999999999999" x14ac:dyDescent="0.3">
      <c r="A5581" s="10"/>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spans="1:26" ht="17.399999999999999" x14ac:dyDescent="0.3">
      <c r="A5582" s="10"/>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spans="1:26" ht="17.399999999999999" x14ac:dyDescent="0.3">
      <c r="A5583" s="10"/>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spans="1:26" ht="17.399999999999999" x14ac:dyDescent="0.3">
      <c r="A5584" s="10"/>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spans="1:26" ht="17.399999999999999" x14ac:dyDescent="0.3">
      <c r="A5585" s="10"/>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spans="1:26" ht="17.399999999999999" x14ac:dyDescent="0.3">
      <c r="A5586" s="10"/>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spans="1:26" ht="17.399999999999999" x14ac:dyDescent="0.3">
      <c r="A5587" s="10"/>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spans="1:26" ht="17.399999999999999" x14ac:dyDescent="0.3">
      <c r="A5588" s="10"/>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spans="1:26" ht="17.399999999999999" x14ac:dyDescent="0.3">
      <c r="A5589" s="10"/>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spans="1:26" ht="17.399999999999999" x14ac:dyDescent="0.3">
      <c r="A5590" s="10"/>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spans="1:26" ht="17.399999999999999" x14ac:dyDescent="0.3">
      <c r="A5591" s="10"/>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spans="1:26" ht="17.399999999999999" x14ac:dyDescent="0.3">
      <c r="A5592" s="10"/>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spans="1:26" ht="17.399999999999999" x14ac:dyDescent="0.3">
      <c r="A5593" s="10"/>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spans="1:26" ht="17.399999999999999" x14ac:dyDescent="0.3">
      <c r="A5594" s="10"/>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spans="1:26" ht="17.399999999999999" x14ac:dyDescent="0.3">
      <c r="A5595" s="10"/>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spans="1:26" ht="17.399999999999999" x14ac:dyDescent="0.3">
      <c r="A5596" s="10"/>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spans="1:26" ht="17.399999999999999" x14ac:dyDescent="0.3">
      <c r="A5597" s="10"/>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spans="1:26" ht="17.399999999999999" x14ac:dyDescent="0.3">
      <c r="A5598" s="10"/>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spans="1:26" ht="17.399999999999999" x14ac:dyDescent="0.3">
      <c r="A5599" s="10"/>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spans="1:26" ht="17.399999999999999" x14ac:dyDescent="0.3">
      <c r="A5600" s="10"/>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spans="1:26" ht="17.399999999999999" x14ac:dyDescent="0.3">
      <c r="A5601" s="10"/>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spans="1:26" ht="17.399999999999999" x14ac:dyDescent="0.3">
      <c r="A5602" s="10"/>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spans="1:26" ht="17.399999999999999" x14ac:dyDescent="0.3">
      <c r="A5603" s="10"/>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spans="1:26" ht="17.399999999999999" x14ac:dyDescent="0.3">
      <c r="A5604" s="10"/>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spans="1:26" ht="17.399999999999999" x14ac:dyDescent="0.3">
      <c r="A5605" s="10"/>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spans="1:26" ht="17.399999999999999" x14ac:dyDescent="0.3">
      <c r="A5606" s="10"/>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spans="1:26" ht="17.399999999999999" x14ac:dyDescent="0.3">
      <c r="A5607" s="10"/>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spans="1:26" ht="17.399999999999999" x14ac:dyDescent="0.3">
      <c r="A5608" s="10"/>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spans="1:26" ht="17.399999999999999" x14ac:dyDescent="0.3">
      <c r="A5609" s="10"/>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spans="1:26" ht="17.399999999999999" x14ac:dyDescent="0.3">
      <c r="A5610" s="10"/>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spans="1:26" ht="17.399999999999999" x14ac:dyDescent="0.3">
      <c r="A5611" s="10"/>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spans="1:26" ht="17.399999999999999" x14ac:dyDescent="0.3">
      <c r="A5612" s="10"/>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spans="1:26" ht="17.399999999999999" x14ac:dyDescent="0.3">
      <c r="A5613" s="10"/>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spans="1:26" ht="17.399999999999999" x14ac:dyDescent="0.3">
      <c r="A5614" s="10"/>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spans="1:26" ht="17.399999999999999" x14ac:dyDescent="0.3">
      <c r="A5615" s="10"/>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spans="1:26" ht="17.399999999999999" x14ac:dyDescent="0.3">
      <c r="A5616" s="10"/>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spans="1:26" ht="17.399999999999999" x14ac:dyDescent="0.3">
      <c r="A5617" s="10"/>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spans="1:26" ht="17.399999999999999" x14ac:dyDescent="0.3">
      <c r="A5618" s="10"/>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spans="1:26" ht="17.399999999999999" x14ac:dyDescent="0.3">
      <c r="A5619" s="10"/>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spans="1:26" ht="17.399999999999999" x14ac:dyDescent="0.3">
      <c r="A5620" s="10"/>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spans="1:26" ht="17.399999999999999" x14ac:dyDescent="0.3">
      <c r="A5621" s="10"/>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spans="1:26" ht="17.399999999999999" x14ac:dyDescent="0.3">
      <c r="A5622" s="10"/>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spans="1:26" ht="17.399999999999999" x14ac:dyDescent="0.3">
      <c r="A5623" s="10"/>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spans="1:26" ht="17.399999999999999" x14ac:dyDescent="0.3">
      <c r="A5624" s="10"/>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spans="1:26" ht="17.399999999999999" x14ac:dyDescent="0.3">
      <c r="A5625" s="10"/>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spans="1:26" ht="17.399999999999999" x14ac:dyDescent="0.3">
      <c r="A5626" s="10"/>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spans="1:26" ht="17.399999999999999" x14ac:dyDescent="0.3">
      <c r="A5627" s="10"/>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spans="1:26" ht="17.399999999999999" x14ac:dyDescent="0.3">
      <c r="A5628" s="10"/>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spans="1:26" ht="17.399999999999999" x14ac:dyDescent="0.3">
      <c r="A5629" s="10"/>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spans="1:26" ht="17.399999999999999" x14ac:dyDescent="0.3">
      <c r="A5630" s="10"/>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spans="1:26" ht="17.399999999999999" x14ac:dyDescent="0.3">
      <c r="A5631" s="10"/>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spans="1:26" ht="17.399999999999999" x14ac:dyDescent="0.3">
      <c r="A5632" s="10"/>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spans="1:26" ht="17.399999999999999" x14ac:dyDescent="0.3">
      <c r="A5633" s="10"/>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spans="1:26" ht="17.399999999999999" x14ac:dyDescent="0.3">
      <c r="A5634" s="10"/>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spans="1:26" ht="17.399999999999999" x14ac:dyDescent="0.3">
      <c r="A5635" s="10"/>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spans="1:26" ht="17.399999999999999" x14ac:dyDescent="0.3">
      <c r="A5636" s="10"/>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spans="1:26" ht="17.399999999999999" x14ac:dyDescent="0.3">
      <c r="A5637" s="10"/>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spans="1:26" ht="17.399999999999999" x14ac:dyDescent="0.3">
      <c r="A5638" s="10"/>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spans="1:26" ht="17.399999999999999" x14ac:dyDescent="0.3">
      <c r="A5639" s="10"/>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spans="1:26" ht="17.399999999999999" x14ac:dyDescent="0.3">
      <c r="A5640" s="10"/>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spans="1:26" ht="17.399999999999999" x14ac:dyDescent="0.3">
      <c r="A5641" s="10"/>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spans="1:26" ht="17.399999999999999" x14ac:dyDescent="0.3">
      <c r="A5642" s="10"/>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spans="1:26" ht="17.399999999999999" x14ac:dyDescent="0.3">
      <c r="A5643" s="10"/>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spans="1:26" ht="17.399999999999999" x14ac:dyDescent="0.3">
      <c r="A5644" s="10"/>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spans="1:26" ht="17.399999999999999" x14ac:dyDescent="0.3">
      <c r="A5645" s="10"/>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spans="1:26" ht="17.399999999999999" x14ac:dyDescent="0.3">
      <c r="A5646" s="10"/>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spans="1:26" ht="17.399999999999999" x14ac:dyDescent="0.3">
      <c r="A5647" s="10"/>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spans="1:26" ht="17.399999999999999" x14ac:dyDescent="0.3">
      <c r="A5648" s="10"/>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spans="1:26" ht="17.399999999999999" x14ac:dyDescent="0.3">
      <c r="A5649" s="10"/>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spans="1:26" ht="17.399999999999999" x14ac:dyDescent="0.3">
      <c r="A5650" s="10"/>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spans="1:26" ht="17.399999999999999" x14ac:dyDescent="0.3">
      <c r="A5651" s="10"/>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spans="1:26" ht="17.399999999999999" x14ac:dyDescent="0.3">
      <c r="A5652" s="10"/>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spans="1:26" ht="17.399999999999999" x14ac:dyDescent="0.3">
      <c r="A5653" s="10"/>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spans="1:26" ht="17.399999999999999" x14ac:dyDescent="0.3">
      <c r="A5654" s="10"/>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spans="1:26" ht="17.399999999999999" x14ac:dyDescent="0.3">
      <c r="A5655" s="10"/>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spans="1:26" ht="17.399999999999999" x14ac:dyDescent="0.3">
      <c r="A5656" s="10"/>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spans="1:26" ht="17.399999999999999" x14ac:dyDescent="0.3">
      <c r="A5657" s="10"/>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spans="1:26" ht="17.399999999999999" x14ac:dyDescent="0.3">
      <c r="A5658" s="10"/>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spans="1:26" ht="17.399999999999999" x14ac:dyDescent="0.3">
      <c r="A5659" s="10"/>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spans="1:26" ht="17.399999999999999" x14ac:dyDescent="0.3">
      <c r="A5660" s="10"/>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spans="1:26" ht="17.399999999999999" x14ac:dyDescent="0.3">
      <c r="A5661" s="10"/>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spans="1:26" ht="17.399999999999999" x14ac:dyDescent="0.3">
      <c r="A5662" s="10"/>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spans="1:26" ht="17.399999999999999" x14ac:dyDescent="0.3">
      <c r="A5663" s="10"/>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spans="1:26" ht="17.399999999999999" x14ac:dyDescent="0.3">
      <c r="A5664" s="10"/>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spans="1:26" ht="17.399999999999999" x14ac:dyDescent="0.3">
      <c r="A5665" s="10"/>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spans="1:26" ht="17.399999999999999" x14ac:dyDescent="0.3">
      <c r="A5666" s="10"/>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spans="1:26" ht="17.399999999999999" x14ac:dyDescent="0.3">
      <c r="A5667" s="10"/>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spans="1:26" ht="17.399999999999999" x14ac:dyDescent="0.3">
      <c r="A5668" s="10"/>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spans="1:26" ht="17.399999999999999" x14ac:dyDescent="0.3">
      <c r="A5669" s="10"/>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spans="1:26" ht="17.399999999999999" x14ac:dyDescent="0.3">
      <c r="A5670" s="10"/>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spans="1:26" ht="17.399999999999999" x14ac:dyDescent="0.3">
      <c r="A5671" s="10"/>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spans="1:26" ht="17.399999999999999" x14ac:dyDescent="0.3">
      <c r="A5672" s="10"/>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spans="1:26" ht="17.399999999999999" x14ac:dyDescent="0.3">
      <c r="A5673" s="10"/>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spans="1:26" ht="17.399999999999999" x14ac:dyDescent="0.3">
      <c r="A5674" s="10"/>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spans="1:26" ht="17.399999999999999" x14ac:dyDescent="0.3">
      <c r="A5675" s="10"/>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spans="1:26" ht="17.399999999999999" x14ac:dyDescent="0.3">
      <c r="A5676" s="10"/>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spans="1:26" ht="17.399999999999999" x14ac:dyDescent="0.3">
      <c r="A5677" s="10"/>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spans="1:26" ht="17.399999999999999" x14ac:dyDescent="0.3">
      <c r="A5678" s="10"/>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spans="1:26" ht="17.399999999999999" x14ac:dyDescent="0.3">
      <c r="A5679" s="10"/>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spans="1:26" ht="17.399999999999999" x14ac:dyDescent="0.3">
      <c r="A5680" s="10"/>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spans="1:26" ht="17.399999999999999" x14ac:dyDescent="0.3">
      <c r="A5681" s="10"/>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spans="1:26" ht="17.399999999999999" x14ac:dyDescent="0.3">
      <c r="A5682" s="10"/>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spans="1:26" ht="17.399999999999999" x14ac:dyDescent="0.3">
      <c r="A5683" s="10"/>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spans="1:26" ht="17.399999999999999" x14ac:dyDescent="0.3">
      <c r="A5684" s="10"/>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spans="1:26" ht="17.399999999999999" x14ac:dyDescent="0.3">
      <c r="A5685" s="10"/>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spans="1:26" ht="17.399999999999999" x14ac:dyDescent="0.3">
      <c r="A5686" s="10"/>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spans="1:26" ht="17.399999999999999" x14ac:dyDescent="0.3">
      <c r="A5687" s="10"/>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spans="1:26" ht="17.399999999999999" x14ac:dyDescent="0.3">
      <c r="A5688" s="10"/>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spans="1:26" ht="17.399999999999999" x14ac:dyDescent="0.3">
      <c r="A5689" s="10"/>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spans="1:26" ht="17.399999999999999" x14ac:dyDescent="0.3">
      <c r="A5690" s="10"/>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spans="1:26" ht="17.399999999999999" x14ac:dyDescent="0.3">
      <c r="A5691" s="10"/>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spans="1:26" ht="17.399999999999999" x14ac:dyDescent="0.3">
      <c r="A5692" s="10"/>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spans="1:26" ht="17.399999999999999" x14ac:dyDescent="0.3">
      <c r="A5693" s="10"/>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spans="1:26" ht="17.399999999999999" x14ac:dyDescent="0.3">
      <c r="A5694" s="10"/>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spans="1:26" ht="17.399999999999999" x14ac:dyDescent="0.3">
      <c r="A5695" s="10"/>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spans="1:26" ht="17.399999999999999" x14ac:dyDescent="0.3">
      <c r="A5696" s="10"/>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spans="1:26" ht="17.399999999999999" x14ac:dyDescent="0.3">
      <c r="A5697" s="10"/>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spans="1:26" ht="17.399999999999999" x14ac:dyDescent="0.3">
      <c r="A5698" s="10"/>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spans="1:26" ht="17.399999999999999" x14ac:dyDescent="0.3">
      <c r="A5699" s="10"/>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spans="1:26" ht="17.399999999999999" x14ac:dyDescent="0.3">
      <c r="A5700" s="10"/>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spans="1:26" ht="17.399999999999999" x14ac:dyDescent="0.3">
      <c r="A5701" s="10"/>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spans="1:26" ht="17.399999999999999" x14ac:dyDescent="0.3">
      <c r="A5702" s="10"/>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spans="1:26" ht="17.399999999999999" x14ac:dyDescent="0.3">
      <c r="A5703" s="10"/>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spans="1:26" ht="17.399999999999999" x14ac:dyDescent="0.3">
      <c r="A5704" s="10"/>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spans="1:26" ht="17.399999999999999" x14ac:dyDescent="0.3">
      <c r="A5705" s="10"/>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spans="1:26" ht="17.399999999999999" x14ac:dyDescent="0.3">
      <c r="A5706" s="10"/>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spans="1:26" ht="17.399999999999999" x14ac:dyDescent="0.3">
      <c r="A5707" s="10"/>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spans="1:26" ht="17.399999999999999" x14ac:dyDescent="0.3">
      <c r="A5708" s="10"/>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spans="1:26" ht="17.399999999999999" x14ac:dyDescent="0.3">
      <c r="A5709" s="10"/>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spans="1:26" ht="17.399999999999999" x14ac:dyDescent="0.3">
      <c r="A5710" s="10"/>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spans="1:26" ht="17.399999999999999" x14ac:dyDescent="0.3">
      <c r="A5711" s="10"/>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spans="1:26" ht="17.399999999999999" x14ac:dyDescent="0.3">
      <c r="A5712" s="10"/>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spans="1:26" ht="17.399999999999999" x14ac:dyDescent="0.3">
      <c r="A5713" s="10"/>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spans="1:26" ht="17.399999999999999" x14ac:dyDescent="0.3">
      <c r="A5714" s="10"/>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spans="1:26" ht="17.399999999999999" x14ac:dyDescent="0.3">
      <c r="A5715" s="10"/>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spans="1:26" ht="17.399999999999999" x14ac:dyDescent="0.3">
      <c r="A5716" s="10"/>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spans="1:26" ht="17.399999999999999" x14ac:dyDescent="0.3">
      <c r="A5717" s="10"/>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spans="1:26" ht="17.399999999999999" x14ac:dyDescent="0.3">
      <c r="A5718" s="10"/>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spans="1:26" ht="17.399999999999999" x14ac:dyDescent="0.3">
      <c r="A5719" s="10"/>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spans="1:26" ht="17.399999999999999" x14ac:dyDescent="0.3">
      <c r="A5720" s="10"/>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spans="1:26" ht="17.399999999999999" x14ac:dyDescent="0.3">
      <c r="A5721" s="10"/>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spans="1:26" ht="17.399999999999999" x14ac:dyDescent="0.3">
      <c r="A5722" s="10"/>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spans="1:26" ht="17.399999999999999" x14ac:dyDescent="0.3">
      <c r="A5723" s="10"/>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spans="1:26" ht="17.399999999999999" x14ac:dyDescent="0.3">
      <c r="A5724" s="10"/>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spans="1:26" ht="17.399999999999999" x14ac:dyDescent="0.3">
      <c r="A5725" s="10"/>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spans="1:26" ht="17.399999999999999" x14ac:dyDescent="0.3">
      <c r="A5726" s="10"/>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spans="1:26" ht="17.399999999999999" x14ac:dyDescent="0.3">
      <c r="A5727" s="10"/>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spans="1:26" ht="17.399999999999999" x14ac:dyDescent="0.3">
      <c r="A5728" s="10"/>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spans="1:26" ht="17.399999999999999" x14ac:dyDescent="0.3">
      <c r="A5729" s="10"/>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spans="1:26" ht="17.399999999999999" x14ac:dyDescent="0.3">
      <c r="A5730" s="10"/>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spans="1:26" ht="17.399999999999999" x14ac:dyDescent="0.3">
      <c r="A5731" s="10"/>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spans="1:26" ht="17.399999999999999" x14ac:dyDescent="0.3">
      <c r="A5732" s="10"/>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spans="1:26" ht="17.399999999999999" x14ac:dyDescent="0.3">
      <c r="A5733" s="10"/>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spans="1:26" ht="17.399999999999999" x14ac:dyDescent="0.3">
      <c r="A5734" s="10"/>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spans="1:26" ht="17.399999999999999" x14ac:dyDescent="0.3">
      <c r="A5735" s="10"/>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spans="1:26" ht="17.399999999999999" x14ac:dyDescent="0.3">
      <c r="A5736" s="10"/>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spans="1:26" ht="17.399999999999999" x14ac:dyDescent="0.3">
      <c r="A5737" s="10"/>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spans="1:26" ht="17.399999999999999" x14ac:dyDescent="0.3">
      <c r="A5738" s="10"/>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spans="1:26" ht="17.399999999999999" x14ac:dyDescent="0.3">
      <c r="A5739" s="10"/>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spans="1:26" ht="17.399999999999999" x14ac:dyDescent="0.3">
      <c r="A5740" s="10"/>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spans="1:26" ht="17.399999999999999" x14ac:dyDescent="0.3">
      <c r="A5741" s="10"/>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spans="1:26" ht="17.399999999999999" x14ac:dyDescent="0.3">
      <c r="A5742" s="10"/>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spans="1:26" ht="17.399999999999999" x14ac:dyDescent="0.3">
      <c r="A5743" s="10"/>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spans="1:26" ht="17.399999999999999" x14ac:dyDescent="0.3">
      <c r="A5744" s="10"/>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spans="1:26" ht="17.399999999999999" x14ac:dyDescent="0.3">
      <c r="A5745" s="10"/>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spans="1:26" ht="17.399999999999999" x14ac:dyDescent="0.3">
      <c r="A5746" s="10"/>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spans="1:26" ht="17.399999999999999" x14ac:dyDescent="0.3">
      <c r="A5747" s="10"/>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spans="1:26" ht="17.399999999999999" x14ac:dyDescent="0.3">
      <c r="A5748" s="10"/>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spans="1:26" ht="17.399999999999999" x14ac:dyDescent="0.3">
      <c r="A5749" s="10"/>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spans="1:26" ht="17.399999999999999" x14ac:dyDescent="0.3">
      <c r="A5750" s="10"/>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spans="1:26" ht="17.399999999999999" x14ac:dyDescent="0.3">
      <c r="A5751" s="10"/>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spans="1:26" ht="17.399999999999999" x14ac:dyDescent="0.3">
      <c r="A5752" s="10"/>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spans="1:26" ht="17.399999999999999" x14ac:dyDescent="0.3">
      <c r="A5753" s="10"/>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spans="1:26" ht="17.399999999999999" x14ac:dyDescent="0.3">
      <c r="A5754" s="10"/>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spans="1:26" ht="17.399999999999999" x14ac:dyDescent="0.3">
      <c r="A5755" s="10"/>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spans="1:26" ht="17.399999999999999" x14ac:dyDescent="0.3">
      <c r="A5756" s="10"/>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spans="1:26" ht="17.399999999999999" x14ac:dyDescent="0.3">
      <c r="A5757" s="10"/>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spans="1:26" ht="17.399999999999999" x14ac:dyDescent="0.3">
      <c r="A5758" s="10"/>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spans="1:26" ht="17.399999999999999" x14ac:dyDescent="0.3">
      <c r="A5759" s="10"/>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spans="1:26" ht="17.399999999999999" x14ac:dyDescent="0.3">
      <c r="A5760" s="10"/>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spans="1:26" ht="17.399999999999999" x14ac:dyDescent="0.3">
      <c r="A5761" s="10"/>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spans="1:26" ht="17.399999999999999" x14ac:dyDescent="0.3">
      <c r="A5762" s="10"/>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spans="1:26" ht="17.399999999999999" x14ac:dyDescent="0.3">
      <c r="A5763" s="10"/>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spans="1:26" ht="17.399999999999999" x14ac:dyDescent="0.3">
      <c r="A5764" s="10"/>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spans="1:26" ht="17.399999999999999" x14ac:dyDescent="0.3">
      <c r="A5765" s="10"/>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spans="1:26" ht="17.399999999999999" x14ac:dyDescent="0.3">
      <c r="A5766" s="10"/>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spans="1:26" ht="17.399999999999999" x14ac:dyDescent="0.3">
      <c r="A5767" s="10"/>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spans="1:26" ht="17.399999999999999" x14ac:dyDescent="0.3">
      <c r="A5768" s="10"/>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spans="1:26" ht="17.399999999999999" x14ac:dyDescent="0.3">
      <c r="A5769" s="10"/>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spans="1:26" ht="17.399999999999999" x14ac:dyDescent="0.3">
      <c r="A5770" s="10"/>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spans="1:26" ht="17.399999999999999" x14ac:dyDescent="0.3">
      <c r="A5771" s="10"/>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spans="1:26" ht="17.399999999999999" x14ac:dyDescent="0.3">
      <c r="A5772" s="10"/>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spans="1:26" ht="17.399999999999999" x14ac:dyDescent="0.3">
      <c r="A5773" s="10"/>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spans="1:26" ht="17.399999999999999" x14ac:dyDescent="0.3">
      <c r="A5774" s="10"/>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spans="1:26" ht="17.399999999999999" x14ac:dyDescent="0.3">
      <c r="A5775" s="10"/>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spans="1:26" ht="17.399999999999999" x14ac:dyDescent="0.3">
      <c r="A5776" s="10"/>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spans="1:26" ht="17.399999999999999" x14ac:dyDescent="0.3">
      <c r="A5777" s="10"/>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spans="1:26" ht="17.399999999999999" x14ac:dyDescent="0.3">
      <c r="A5778" s="10"/>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spans="1:26" ht="17.399999999999999" x14ac:dyDescent="0.3">
      <c r="A5779" s="10"/>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spans="1:26" ht="17.399999999999999" x14ac:dyDescent="0.3">
      <c r="A5780" s="10"/>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spans="1:26" ht="17.399999999999999" x14ac:dyDescent="0.3">
      <c r="A5781" s="10"/>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spans="1:26" ht="17.399999999999999" x14ac:dyDescent="0.3">
      <c r="A5782" s="10"/>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spans="1:26" ht="17.399999999999999" x14ac:dyDescent="0.3">
      <c r="A5783" s="10"/>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spans="1:26" ht="17.399999999999999" x14ac:dyDescent="0.3">
      <c r="A5784" s="10"/>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spans="1:26" ht="17.399999999999999" x14ac:dyDescent="0.3">
      <c r="A5785" s="10"/>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spans="1:26" ht="17.399999999999999" x14ac:dyDescent="0.3">
      <c r="A5786" s="10"/>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spans="1:26" ht="17.399999999999999" x14ac:dyDescent="0.3">
      <c r="A5787" s="10"/>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spans="1:26" ht="17.399999999999999" x14ac:dyDescent="0.3">
      <c r="A5788" s="10"/>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spans="1:26" ht="17.399999999999999" x14ac:dyDescent="0.3">
      <c r="A5789" s="10"/>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spans="1:26" ht="17.399999999999999" x14ac:dyDescent="0.3">
      <c r="A5790" s="10"/>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spans="1:26" ht="17.399999999999999" x14ac:dyDescent="0.3">
      <c r="A5791" s="10"/>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spans="1:26" ht="17.399999999999999" x14ac:dyDescent="0.3">
      <c r="A5792" s="10"/>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spans="1:26" ht="17.399999999999999" x14ac:dyDescent="0.3">
      <c r="A5793" s="10"/>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spans="1:26" ht="17.399999999999999" x14ac:dyDescent="0.3">
      <c r="A5794" s="10"/>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spans="1:26" ht="17.399999999999999" x14ac:dyDescent="0.3">
      <c r="A5795" s="10"/>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spans="1:26" ht="17.399999999999999" x14ac:dyDescent="0.3">
      <c r="A5796" s="10"/>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spans="1:26" ht="17.399999999999999" x14ac:dyDescent="0.3">
      <c r="A5797" s="10"/>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spans="1:26" ht="17.399999999999999" x14ac:dyDescent="0.3">
      <c r="A5798" s="10"/>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spans="1:26" ht="17.399999999999999" x14ac:dyDescent="0.3">
      <c r="A5799" s="10"/>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spans="1:26" ht="17.399999999999999" x14ac:dyDescent="0.3">
      <c r="A5800" s="10"/>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spans="1:26" ht="17.399999999999999" x14ac:dyDescent="0.3">
      <c r="A5801" s="10"/>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spans="1:26" ht="17.399999999999999" x14ac:dyDescent="0.3">
      <c r="A5802" s="10"/>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spans="1:26" ht="17.399999999999999" x14ac:dyDescent="0.3">
      <c r="A5803" s="10"/>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spans="1:26" ht="17.399999999999999" x14ac:dyDescent="0.3">
      <c r="A5804" s="10"/>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spans="1:26" ht="17.399999999999999" x14ac:dyDescent="0.3">
      <c r="A5805" s="10"/>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spans="1:26" ht="17.399999999999999" x14ac:dyDescent="0.3">
      <c r="A5806" s="10"/>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spans="1:26" ht="17.399999999999999" x14ac:dyDescent="0.3">
      <c r="A5807" s="10"/>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spans="1:26" ht="17.399999999999999" x14ac:dyDescent="0.3">
      <c r="A5808" s="10"/>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spans="1:26" ht="17.399999999999999" x14ac:dyDescent="0.3">
      <c r="A5809" s="10"/>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spans="1:26" ht="17.399999999999999" x14ac:dyDescent="0.3">
      <c r="A5810" s="10"/>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spans="1:26" ht="17.399999999999999" x14ac:dyDescent="0.3">
      <c r="A5811" s="10"/>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spans="1:26" ht="17.399999999999999" x14ac:dyDescent="0.3">
      <c r="A5812" s="10"/>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spans="1:26" ht="17.399999999999999" x14ac:dyDescent="0.3">
      <c r="A5813" s="10"/>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spans="1:26" ht="17.399999999999999" x14ac:dyDescent="0.3">
      <c r="A5814" s="10"/>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spans="1:26" ht="17.399999999999999" x14ac:dyDescent="0.3">
      <c r="A5815" s="10"/>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spans="1:26" ht="17.399999999999999" x14ac:dyDescent="0.3">
      <c r="A5816" s="10"/>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spans="1:26" ht="17.399999999999999" x14ac:dyDescent="0.3">
      <c r="A5817" s="10"/>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spans="1:26" ht="17.399999999999999" x14ac:dyDescent="0.3">
      <c r="A5818" s="10"/>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spans="1:26" ht="17.399999999999999" x14ac:dyDescent="0.3">
      <c r="A5819" s="10"/>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spans="1:26" ht="17.399999999999999" x14ac:dyDescent="0.3">
      <c r="A5820" s="10"/>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spans="1:26" ht="17.399999999999999" x14ac:dyDescent="0.3">
      <c r="A5821" s="10"/>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spans="1:26" ht="17.399999999999999" x14ac:dyDescent="0.3">
      <c r="A5822" s="10"/>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spans="1:26" ht="17.399999999999999" x14ac:dyDescent="0.3">
      <c r="A5823" s="10"/>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spans="1:26" ht="17.399999999999999" x14ac:dyDescent="0.3">
      <c r="A5824" s="10"/>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spans="1:26" ht="17.399999999999999" x14ac:dyDescent="0.3">
      <c r="A5825" s="10"/>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spans="1:26" ht="17.399999999999999" x14ac:dyDescent="0.3">
      <c r="A5826" s="10"/>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spans="1:26" ht="17.399999999999999" x14ac:dyDescent="0.3">
      <c r="A5827" s="10"/>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spans="1:26" ht="17.399999999999999" x14ac:dyDescent="0.3">
      <c r="A5828" s="10"/>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spans="1:26" ht="17.399999999999999" x14ac:dyDescent="0.3">
      <c r="A5829" s="10"/>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spans="1:26" ht="17.399999999999999" x14ac:dyDescent="0.3">
      <c r="A5830" s="10"/>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spans="1:26" ht="17.399999999999999" x14ac:dyDescent="0.3">
      <c r="A5831" s="10"/>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spans="1:26" ht="17.399999999999999" x14ac:dyDescent="0.3">
      <c r="A5832" s="10"/>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spans="1:26" ht="17.399999999999999" x14ac:dyDescent="0.3">
      <c r="A5833" s="10"/>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spans="1:26" ht="17.399999999999999" x14ac:dyDescent="0.3">
      <c r="A5834" s="10"/>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spans="1:26" ht="17.399999999999999" x14ac:dyDescent="0.3">
      <c r="A5835" s="10"/>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spans="1:26" ht="17.399999999999999" x14ac:dyDescent="0.3">
      <c r="A5836" s="10"/>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spans="1:26" ht="17.399999999999999" x14ac:dyDescent="0.3">
      <c r="A5837" s="10"/>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spans="1:26" ht="17.399999999999999" x14ac:dyDescent="0.3">
      <c r="A5838" s="10"/>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spans="1:26" ht="17.399999999999999" x14ac:dyDescent="0.3">
      <c r="A5839" s="10"/>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spans="1:26" ht="17.399999999999999" x14ac:dyDescent="0.3">
      <c r="A5840" s="10"/>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spans="1:26" ht="17.399999999999999" x14ac:dyDescent="0.3">
      <c r="A5841" s="10"/>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spans="1:26" ht="17.399999999999999" x14ac:dyDescent="0.3">
      <c r="A5842" s="10"/>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spans="1:26" ht="17.399999999999999" x14ac:dyDescent="0.3">
      <c r="A5843" s="10"/>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spans="1:26" ht="17.399999999999999" x14ac:dyDescent="0.3">
      <c r="A5844" s="10"/>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spans="1:26" ht="17.399999999999999" x14ac:dyDescent="0.3">
      <c r="A5845" s="10"/>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spans="1:26" ht="17.399999999999999" x14ac:dyDescent="0.3">
      <c r="A5846" s="10"/>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spans="1:26" ht="17.399999999999999" x14ac:dyDescent="0.3">
      <c r="A5847" s="10"/>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spans="1:26" ht="17.399999999999999" x14ac:dyDescent="0.3">
      <c r="A5848" s="10"/>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spans="1:26" ht="17.399999999999999" x14ac:dyDescent="0.3">
      <c r="A5849" s="10"/>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spans="1:26" ht="17.399999999999999" x14ac:dyDescent="0.3">
      <c r="A5850" s="10"/>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spans="1:26" ht="17.399999999999999" x14ac:dyDescent="0.3">
      <c r="A5851" s="10"/>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spans="1:26" ht="17.399999999999999" x14ac:dyDescent="0.3">
      <c r="A5852" s="10"/>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spans="1:26" ht="17.399999999999999" x14ac:dyDescent="0.3">
      <c r="A5853" s="10"/>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spans="1:26" ht="17.399999999999999" x14ac:dyDescent="0.3">
      <c r="A5854" s="10"/>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spans="1:26" ht="17.399999999999999" x14ac:dyDescent="0.3">
      <c r="A5855" s="10"/>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spans="1:26" ht="17.399999999999999" x14ac:dyDescent="0.3">
      <c r="A5856" s="10"/>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spans="1:26" ht="17.399999999999999" x14ac:dyDescent="0.3">
      <c r="A5857" s="10"/>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spans="1:26" ht="17.399999999999999" x14ac:dyDescent="0.3">
      <c r="A5858" s="10"/>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spans="1:26" ht="17.399999999999999" x14ac:dyDescent="0.3">
      <c r="A5859" s="10"/>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spans="1:26" ht="17.399999999999999" x14ac:dyDescent="0.3">
      <c r="A5860" s="10"/>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spans="1:26" ht="17.399999999999999" x14ac:dyDescent="0.3">
      <c r="A5861" s="10"/>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spans="1:26" ht="17.399999999999999" x14ac:dyDescent="0.3">
      <c r="A5862" s="10"/>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spans="1:26" ht="17.399999999999999" x14ac:dyDescent="0.3">
      <c r="A5863" s="10"/>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spans="1:26" ht="17.399999999999999" x14ac:dyDescent="0.3">
      <c r="A5864" s="10"/>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spans="1:26" ht="17.399999999999999" x14ac:dyDescent="0.3">
      <c r="A5865" s="10"/>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spans="1:26" ht="17.399999999999999" x14ac:dyDescent="0.3">
      <c r="A5866" s="10"/>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spans="1:26" ht="17.399999999999999" x14ac:dyDescent="0.3">
      <c r="A5867" s="10"/>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spans="1:26" ht="17.399999999999999" x14ac:dyDescent="0.3">
      <c r="A5868" s="10"/>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spans="1:26" ht="17.399999999999999" x14ac:dyDescent="0.3">
      <c r="A5869" s="10"/>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spans="1:26" ht="17.399999999999999" x14ac:dyDescent="0.3">
      <c r="A5870" s="10"/>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spans="1:26" ht="17.399999999999999" x14ac:dyDescent="0.3">
      <c r="A5871" s="10"/>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spans="1:26" ht="17.399999999999999" x14ac:dyDescent="0.3">
      <c r="A5872" s="10"/>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spans="1:26" ht="17.399999999999999" x14ac:dyDescent="0.3">
      <c r="A5873" s="10"/>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spans="1:26" ht="17.399999999999999" x14ac:dyDescent="0.3">
      <c r="A5874" s="10"/>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spans="1:26" ht="17.399999999999999" x14ac:dyDescent="0.3">
      <c r="A5875" s="10"/>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spans="1:26" ht="17.399999999999999" x14ac:dyDescent="0.3">
      <c r="A5876" s="10"/>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spans="1:26" ht="17.399999999999999" x14ac:dyDescent="0.3">
      <c r="A5877" s="10"/>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spans="1:26" ht="17.399999999999999" x14ac:dyDescent="0.3">
      <c r="A5878" s="10"/>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spans="1:26" ht="17.399999999999999" x14ac:dyDescent="0.3">
      <c r="A5879" s="10"/>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spans="1:26" ht="17.399999999999999" x14ac:dyDescent="0.3">
      <c r="A5880" s="10"/>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spans="1:26" ht="17.399999999999999" x14ac:dyDescent="0.3">
      <c r="A5881" s="10"/>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spans="1:26" ht="17.399999999999999" x14ac:dyDescent="0.3">
      <c r="A5882" s="10"/>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spans="1:26" ht="17.399999999999999" x14ac:dyDescent="0.3">
      <c r="A5883" s="10"/>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spans="1:26" ht="17.399999999999999" x14ac:dyDescent="0.3">
      <c r="A5884" s="10"/>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spans="1:26" ht="17.399999999999999" x14ac:dyDescent="0.3">
      <c r="A5885" s="10"/>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spans="1:26" ht="17.399999999999999" x14ac:dyDescent="0.3">
      <c r="A5886" s="10"/>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spans="1:26" ht="17.399999999999999" x14ac:dyDescent="0.3">
      <c r="A5887" s="10"/>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spans="1:26" ht="17.399999999999999" x14ac:dyDescent="0.3">
      <c r="A5888" s="10"/>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spans="1:26" ht="17.399999999999999" x14ac:dyDescent="0.3">
      <c r="A5889" s="10"/>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spans="1:26" ht="17.399999999999999" x14ac:dyDescent="0.3">
      <c r="A5890" s="10"/>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spans="1:26" ht="17.399999999999999" x14ac:dyDescent="0.3">
      <c r="A5891" s="10"/>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spans="1:26" ht="17.399999999999999" x14ac:dyDescent="0.3">
      <c r="A5892" s="10"/>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spans="1:26" ht="17.399999999999999" x14ac:dyDescent="0.3">
      <c r="A5893" s="10"/>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spans="1:26" ht="17.399999999999999" x14ac:dyDescent="0.3">
      <c r="A5894" s="10"/>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spans="1:26" ht="17.399999999999999" x14ac:dyDescent="0.3">
      <c r="A5895" s="10"/>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spans="1:26" ht="17.399999999999999" x14ac:dyDescent="0.3">
      <c r="A5896" s="10"/>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spans="1:26" ht="17.399999999999999" x14ac:dyDescent="0.3">
      <c r="A5897" s="10"/>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spans="1:26" ht="17.399999999999999" x14ac:dyDescent="0.3">
      <c r="A5898" s="10"/>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spans="1:26" ht="17.399999999999999" x14ac:dyDescent="0.3">
      <c r="A5899" s="10"/>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spans="1:26" ht="17.399999999999999" x14ac:dyDescent="0.3">
      <c r="A5900" s="10"/>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spans="1:26" ht="17.399999999999999" x14ac:dyDescent="0.3">
      <c r="A5901" s="10"/>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spans="1:26" ht="17.399999999999999" x14ac:dyDescent="0.3">
      <c r="A5902" s="10"/>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spans="1:26" ht="17.399999999999999" x14ac:dyDescent="0.3">
      <c r="A5903" s="10"/>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spans="1:26" ht="17.399999999999999" x14ac:dyDescent="0.3">
      <c r="A5904" s="10"/>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spans="1:26" ht="17.399999999999999" x14ac:dyDescent="0.3">
      <c r="A5905" s="10"/>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spans="1:26" ht="17.399999999999999" x14ac:dyDescent="0.3">
      <c r="A5906" s="10"/>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spans="1:26" ht="17.399999999999999" x14ac:dyDescent="0.3">
      <c r="A5907" s="10"/>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spans="1:26" ht="17.399999999999999" x14ac:dyDescent="0.3">
      <c r="A5908" s="10"/>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spans="1:26" ht="17.399999999999999" x14ac:dyDescent="0.3">
      <c r="A5909" s="10"/>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spans="1:26" ht="17.399999999999999" x14ac:dyDescent="0.3">
      <c r="A5910" s="10"/>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spans="1:26" ht="17.399999999999999" x14ac:dyDescent="0.3">
      <c r="A5911" s="10"/>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spans="1:26" ht="17.399999999999999" x14ac:dyDescent="0.3">
      <c r="A5912" s="10"/>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spans="1:26" ht="17.399999999999999" x14ac:dyDescent="0.3">
      <c r="A5913" s="10"/>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spans="1:26" ht="17.399999999999999" x14ac:dyDescent="0.3">
      <c r="A5914" s="10"/>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spans="1:26" ht="17.399999999999999" x14ac:dyDescent="0.3">
      <c r="A5915" s="10"/>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spans="1:26" ht="17.399999999999999" x14ac:dyDescent="0.3">
      <c r="A5916" s="10"/>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spans="1:26" ht="17.399999999999999" x14ac:dyDescent="0.3">
      <c r="A5917" s="10"/>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spans="1:26" ht="17.399999999999999" x14ac:dyDescent="0.3">
      <c r="A5918" s="10"/>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spans="1:26" ht="17.399999999999999" x14ac:dyDescent="0.3">
      <c r="A5919" s="10"/>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spans="1:26" ht="17.399999999999999" x14ac:dyDescent="0.3">
      <c r="A5920" s="10"/>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spans="1:26" ht="17.399999999999999" x14ac:dyDescent="0.3">
      <c r="A5921" s="10"/>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spans="1:26" ht="17.399999999999999" x14ac:dyDescent="0.3">
      <c r="A5922" s="10"/>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spans="1:26" ht="17.399999999999999" x14ac:dyDescent="0.3">
      <c r="A5923" s="10"/>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spans="1:26" ht="17.399999999999999" x14ac:dyDescent="0.3">
      <c r="A5924" s="10"/>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spans="1:26" ht="17.399999999999999" x14ac:dyDescent="0.3">
      <c r="A5925" s="10"/>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spans="1:26" ht="17.399999999999999" x14ac:dyDescent="0.3">
      <c r="A5926" s="10"/>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spans="1:26" ht="17.399999999999999" x14ac:dyDescent="0.3">
      <c r="A5927" s="10"/>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spans="1:26" ht="17.399999999999999" x14ac:dyDescent="0.3">
      <c r="A5928" s="10"/>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spans="1:26" ht="17.399999999999999" x14ac:dyDescent="0.3">
      <c r="A5929" s="10"/>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spans="1:26" ht="17.399999999999999" x14ac:dyDescent="0.3">
      <c r="A5930" s="10"/>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spans="1:26" ht="17.399999999999999" x14ac:dyDescent="0.3">
      <c r="A5931" s="10"/>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spans="1:26" ht="17.399999999999999" x14ac:dyDescent="0.3">
      <c r="A5932" s="10"/>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spans="1:26" ht="17.399999999999999" x14ac:dyDescent="0.3">
      <c r="A5933" s="10"/>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spans="1:26" ht="17.399999999999999" x14ac:dyDescent="0.3">
      <c r="A5934" s="10"/>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spans="1:26" ht="17.399999999999999" x14ac:dyDescent="0.3">
      <c r="A5935" s="10"/>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spans="1:26" ht="17.399999999999999" x14ac:dyDescent="0.3">
      <c r="A5936" s="10"/>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spans="1:26" ht="17.399999999999999" x14ac:dyDescent="0.3">
      <c r="A5937" s="10"/>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spans="1:26" ht="17.399999999999999" x14ac:dyDescent="0.3">
      <c r="A5938" s="10"/>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spans="1:26" ht="17.399999999999999" x14ac:dyDescent="0.3">
      <c r="A5939" s="10"/>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spans="1:26" ht="17.399999999999999" x14ac:dyDescent="0.3">
      <c r="A5940" s="10"/>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spans="1:26" ht="17.399999999999999" x14ac:dyDescent="0.3">
      <c r="A5941" s="10"/>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spans="1:26" ht="17.399999999999999" x14ac:dyDescent="0.3">
      <c r="A5942" s="10"/>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spans="1:26" ht="17.399999999999999" x14ac:dyDescent="0.3">
      <c r="A5943" s="10"/>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spans="1:26" ht="17.399999999999999" x14ac:dyDescent="0.3">
      <c r="A5944" s="10"/>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spans="1:26" ht="17.399999999999999" x14ac:dyDescent="0.3">
      <c r="A5945" s="10"/>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spans="1:26" ht="17.399999999999999" x14ac:dyDescent="0.3">
      <c r="A5946" s="10"/>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spans="1:26" ht="17.399999999999999" x14ac:dyDescent="0.3">
      <c r="A5947" s="10"/>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spans="1:26" ht="17.399999999999999" x14ac:dyDescent="0.3">
      <c r="A5948" s="10"/>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spans="1:26" ht="17.399999999999999" x14ac:dyDescent="0.3">
      <c r="A5949" s="10"/>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spans="1:26" ht="17.399999999999999" x14ac:dyDescent="0.3">
      <c r="A5950" s="10"/>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spans="1:26" ht="17.399999999999999" x14ac:dyDescent="0.3">
      <c r="A5951" s="10"/>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spans="1:26" ht="17.399999999999999" x14ac:dyDescent="0.3">
      <c r="A5952" s="10"/>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spans="1:26" ht="17.399999999999999" x14ac:dyDescent="0.3">
      <c r="A5953" s="10"/>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spans="1:26" ht="17.399999999999999" x14ac:dyDescent="0.3">
      <c r="A5954" s="10"/>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spans="1:26" ht="17.399999999999999" x14ac:dyDescent="0.3">
      <c r="A5955" s="10"/>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spans="1:26" ht="17.399999999999999" x14ac:dyDescent="0.3">
      <c r="A5956" s="10"/>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spans="1:26" ht="17.399999999999999" x14ac:dyDescent="0.3">
      <c r="A5957" s="10"/>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spans="1:26" ht="17.399999999999999" x14ac:dyDescent="0.3">
      <c r="A5958" s="10"/>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spans="1:26" ht="17.399999999999999" x14ac:dyDescent="0.3">
      <c r="A5959" s="10"/>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spans="1:26" ht="17.399999999999999" x14ac:dyDescent="0.3">
      <c r="A5960" s="10"/>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spans="1:26" ht="17.399999999999999" x14ac:dyDescent="0.3">
      <c r="A5961" s="10"/>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spans="1:26" ht="17.399999999999999" x14ac:dyDescent="0.3">
      <c r="A5962" s="10"/>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spans="1:26" ht="17.399999999999999" x14ac:dyDescent="0.3">
      <c r="A5963" s="10"/>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spans="1:26" ht="17.399999999999999" x14ac:dyDescent="0.3">
      <c r="A5964" s="10"/>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spans="1:26" ht="17.399999999999999" x14ac:dyDescent="0.3">
      <c r="A5965" s="10"/>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spans="1:26" ht="17.399999999999999" x14ac:dyDescent="0.3">
      <c r="A5966" s="10"/>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spans="1:26" ht="17.399999999999999" x14ac:dyDescent="0.3">
      <c r="A5967" s="10"/>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spans="1:26" ht="17.399999999999999" x14ac:dyDescent="0.3">
      <c r="A5968" s="10"/>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spans="1:26" ht="17.399999999999999" x14ac:dyDescent="0.3">
      <c r="A5969" s="10"/>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spans="1:26" ht="17.399999999999999" x14ac:dyDescent="0.3">
      <c r="A5970" s="10"/>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spans="1:26" ht="17.399999999999999" x14ac:dyDescent="0.3">
      <c r="A5971" s="10"/>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spans="1:26" ht="17.399999999999999" x14ac:dyDescent="0.3">
      <c r="A5972" s="10"/>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spans="1:26" ht="17.399999999999999" x14ac:dyDescent="0.3">
      <c r="A5973" s="10"/>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spans="1:26" ht="17.399999999999999" x14ac:dyDescent="0.3">
      <c r="A5974" s="10"/>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spans="1:26" ht="17.399999999999999" x14ac:dyDescent="0.3">
      <c r="A5975" s="10"/>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spans="1:26" ht="17.399999999999999" x14ac:dyDescent="0.3">
      <c r="A5976" s="10"/>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spans="1:26" ht="17.399999999999999" x14ac:dyDescent="0.3">
      <c r="A5977" s="10"/>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spans="1:26" ht="17.399999999999999" x14ac:dyDescent="0.3">
      <c r="A5978" s="10"/>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spans="1:26" ht="17.399999999999999" x14ac:dyDescent="0.3">
      <c r="A5979" s="10"/>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spans="1:26" ht="17.399999999999999" x14ac:dyDescent="0.3">
      <c r="A5980" s="10"/>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spans="1:26" ht="17.399999999999999" x14ac:dyDescent="0.3">
      <c r="A5981" s="10"/>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spans="1:26" ht="17.399999999999999" x14ac:dyDescent="0.3">
      <c r="A5982" s="10"/>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spans="1:26" ht="17.399999999999999" x14ac:dyDescent="0.3">
      <c r="A5983" s="10"/>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spans="1:26" ht="17.399999999999999" x14ac:dyDescent="0.3">
      <c r="A5984" s="10"/>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spans="1:26" ht="17.399999999999999" x14ac:dyDescent="0.3">
      <c r="A5985" s="10"/>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spans="1:26" ht="17.399999999999999" x14ac:dyDescent="0.3">
      <c r="A5986" s="10"/>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spans="1:26" ht="17.399999999999999" x14ac:dyDescent="0.3">
      <c r="A5987" s="10"/>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spans="1:26" ht="17.399999999999999" x14ac:dyDescent="0.3">
      <c r="A5988" s="10"/>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spans="1:26" ht="17.399999999999999" x14ac:dyDescent="0.3">
      <c r="A5989" s="10"/>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spans="1:26" ht="17.399999999999999" x14ac:dyDescent="0.3">
      <c r="A5990" s="10"/>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spans="1:26" ht="17.399999999999999" x14ac:dyDescent="0.3">
      <c r="A5991" s="10"/>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spans="1:26" ht="17.399999999999999" x14ac:dyDescent="0.3">
      <c r="A5992" s="10"/>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spans="1:26" ht="17.399999999999999" x14ac:dyDescent="0.3">
      <c r="A5993" s="10"/>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spans="1:26" ht="17.399999999999999" x14ac:dyDescent="0.3">
      <c r="A5994" s="10"/>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spans="1:26" ht="17.399999999999999" x14ac:dyDescent="0.3">
      <c r="A5995" s="10"/>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spans="1:26" ht="17.399999999999999" x14ac:dyDescent="0.3">
      <c r="A5996" s="10"/>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spans="1:26" ht="17.399999999999999" x14ac:dyDescent="0.3">
      <c r="A5997" s="10"/>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spans="1:26" ht="17.399999999999999" x14ac:dyDescent="0.3">
      <c r="A5998" s="10"/>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spans="1:26" ht="17.399999999999999" x14ac:dyDescent="0.3">
      <c r="A5999" s="10"/>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spans="1:26" ht="17.399999999999999" x14ac:dyDescent="0.3">
      <c r="A6000" s="10"/>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spans="1:26" ht="17.399999999999999" x14ac:dyDescent="0.3">
      <c r="A6001" s="10"/>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spans="1:26" ht="17.399999999999999" x14ac:dyDescent="0.3">
      <c r="A6002" s="10"/>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spans="1:26" ht="17.399999999999999" x14ac:dyDescent="0.3">
      <c r="A6003" s="10"/>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spans="1:26" ht="17.399999999999999" x14ac:dyDescent="0.3">
      <c r="A6004" s="10"/>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spans="1:26" ht="17.399999999999999" x14ac:dyDescent="0.3">
      <c r="A6005" s="10"/>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spans="1:26" ht="17.399999999999999" x14ac:dyDescent="0.3">
      <c r="A6006" s="10"/>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spans="1:26" ht="17.399999999999999" x14ac:dyDescent="0.3">
      <c r="A6007" s="10"/>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spans="1:26" ht="17.399999999999999" x14ac:dyDescent="0.3">
      <c r="A6008" s="10"/>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spans="1:26" ht="17.399999999999999" x14ac:dyDescent="0.3">
      <c r="A6009" s="10"/>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spans="1:26" ht="17.399999999999999" x14ac:dyDescent="0.3">
      <c r="A6010" s="10"/>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spans="1:26" ht="17.399999999999999" x14ac:dyDescent="0.3">
      <c r="A6011" s="10"/>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spans="1:26" ht="17.399999999999999" x14ac:dyDescent="0.3">
      <c r="A6012" s="10"/>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spans="1:26" ht="17.399999999999999" x14ac:dyDescent="0.3">
      <c r="A6013" s="10"/>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spans="1:26" ht="17.399999999999999" x14ac:dyDescent="0.3">
      <c r="A6014" s="10"/>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spans="1:26" ht="17.399999999999999" x14ac:dyDescent="0.3">
      <c r="A6015" s="10"/>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spans="1:26" ht="17.399999999999999" x14ac:dyDescent="0.3">
      <c r="A6016" s="10"/>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spans="1:26" ht="17.399999999999999" x14ac:dyDescent="0.3">
      <c r="A6017" s="10"/>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spans="1:26" ht="17.399999999999999" x14ac:dyDescent="0.3">
      <c r="A6018" s="10"/>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spans="1:26" ht="17.399999999999999" x14ac:dyDescent="0.3">
      <c r="A6019" s="10"/>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spans="1:26" ht="17.399999999999999" x14ac:dyDescent="0.3">
      <c r="A6020" s="10"/>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spans="1:26" ht="17.399999999999999" x14ac:dyDescent="0.3">
      <c r="A6021" s="10"/>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spans="1:26" ht="17.399999999999999" x14ac:dyDescent="0.3">
      <c r="A6022" s="10"/>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spans="1:26" ht="17.399999999999999" x14ac:dyDescent="0.3">
      <c r="A6023" s="10"/>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spans="1:26" ht="17.399999999999999" x14ac:dyDescent="0.3">
      <c r="A6024" s="10"/>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spans="1:26" ht="17.399999999999999" x14ac:dyDescent="0.3">
      <c r="A6025" s="10"/>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spans="1:26" ht="17.399999999999999" x14ac:dyDescent="0.3">
      <c r="A6026" s="10"/>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spans="1:26" ht="17.399999999999999" x14ac:dyDescent="0.3">
      <c r="A6027" s="10"/>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spans="1:26" ht="17.399999999999999" x14ac:dyDescent="0.3">
      <c r="A6028" s="10"/>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spans="1:26" ht="17.399999999999999" x14ac:dyDescent="0.3">
      <c r="A6029" s="10"/>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spans="1:26" ht="17.399999999999999" x14ac:dyDescent="0.3">
      <c r="A6030" s="10"/>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spans="1:26" ht="17.399999999999999" x14ac:dyDescent="0.3">
      <c r="A6031" s="10"/>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spans="1:26" ht="17.399999999999999" x14ac:dyDescent="0.3">
      <c r="A6032" s="10"/>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spans="1:26" ht="17.399999999999999" x14ac:dyDescent="0.3">
      <c r="A6033" s="10"/>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spans="1:26" ht="17.399999999999999" x14ac:dyDescent="0.3">
      <c r="A6034" s="10"/>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spans="1:26" ht="17.399999999999999" x14ac:dyDescent="0.3">
      <c r="A6035" s="10"/>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spans="1:26" ht="17.399999999999999" x14ac:dyDescent="0.3">
      <c r="A6036" s="10"/>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spans="1:26" ht="17.399999999999999" x14ac:dyDescent="0.3">
      <c r="A6037" s="10"/>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spans="1:26" ht="17.399999999999999" x14ac:dyDescent="0.3">
      <c r="A6038" s="10"/>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spans="1:26" ht="17.399999999999999" x14ac:dyDescent="0.3">
      <c r="A6039" s="10"/>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spans="1:26" ht="17.399999999999999" x14ac:dyDescent="0.3">
      <c r="A6040" s="10"/>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spans="1:26" ht="17.399999999999999" x14ac:dyDescent="0.3">
      <c r="A6041" s="10"/>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spans="1:26" ht="17.399999999999999" x14ac:dyDescent="0.3">
      <c r="A6042" s="10"/>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spans="1:26" ht="17.399999999999999" x14ac:dyDescent="0.3">
      <c r="A6043" s="10"/>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spans="1:26" ht="17.399999999999999" x14ac:dyDescent="0.3">
      <c r="A6044" s="10"/>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spans="1:26" ht="17.399999999999999" x14ac:dyDescent="0.3">
      <c r="A6045" s="10"/>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spans="1:26" ht="17.399999999999999" x14ac:dyDescent="0.3">
      <c r="A6046" s="10"/>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spans="1:26" ht="17.399999999999999" x14ac:dyDescent="0.3">
      <c r="A6047" s="10"/>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spans="1:26" ht="17.399999999999999" x14ac:dyDescent="0.3">
      <c r="A6048" s="10"/>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spans="1:26" ht="17.399999999999999" x14ac:dyDescent="0.3">
      <c r="A6049" s="10"/>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spans="1:26" ht="17.399999999999999" x14ac:dyDescent="0.3">
      <c r="A6050" s="10"/>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spans="1:26" ht="17.399999999999999" x14ac:dyDescent="0.3">
      <c r="A6051" s="10"/>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spans="1:26" ht="17.399999999999999" x14ac:dyDescent="0.3">
      <c r="A6052" s="10"/>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spans="1:26" ht="17.399999999999999" x14ac:dyDescent="0.3">
      <c r="A6053" s="10"/>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spans="1:26" ht="17.399999999999999" x14ac:dyDescent="0.3">
      <c r="A6054" s="10"/>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spans="1:26" ht="17.399999999999999" x14ac:dyDescent="0.3">
      <c r="A6055" s="10"/>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spans="1:26" ht="17.399999999999999" x14ac:dyDescent="0.3">
      <c r="A6056" s="10"/>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spans="1:26" ht="17.399999999999999" x14ac:dyDescent="0.3">
      <c r="A6057" s="10"/>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spans="1:26" ht="17.399999999999999" x14ac:dyDescent="0.3">
      <c r="A6058" s="10"/>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spans="1:26" ht="17.399999999999999" x14ac:dyDescent="0.3">
      <c r="A6059" s="10"/>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spans="1:26" ht="17.399999999999999" x14ac:dyDescent="0.3">
      <c r="A6060" s="10"/>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spans="1:26" ht="17.399999999999999" x14ac:dyDescent="0.3">
      <c r="A6061" s="10"/>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spans="1:26" ht="17.399999999999999" x14ac:dyDescent="0.3">
      <c r="A6062" s="10"/>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spans="1:26" ht="17.399999999999999" x14ac:dyDescent="0.3">
      <c r="A6063" s="10"/>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spans="1:26" ht="17.399999999999999" x14ac:dyDescent="0.3">
      <c r="A6064" s="10"/>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spans="1:26" ht="17.399999999999999" x14ac:dyDescent="0.3">
      <c r="A6065" s="10"/>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spans="1:26" ht="17.399999999999999" x14ac:dyDescent="0.3">
      <c r="A6066" s="10"/>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spans="1:26" ht="17.399999999999999" x14ac:dyDescent="0.3">
      <c r="A6067" s="10"/>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spans="1:26" ht="17.399999999999999" x14ac:dyDescent="0.3">
      <c r="A6068" s="10"/>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spans="1:26" ht="17.399999999999999" x14ac:dyDescent="0.3">
      <c r="A6069" s="10"/>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spans="1:26" ht="17.399999999999999" x14ac:dyDescent="0.3">
      <c r="A6070" s="10"/>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spans="1:26" ht="17.399999999999999" x14ac:dyDescent="0.3">
      <c r="A6071" s="10"/>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spans="1:26" ht="17.399999999999999" x14ac:dyDescent="0.3">
      <c r="A6072" s="10"/>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spans="1:26" ht="17.399999999999999" x14ac:dyDescent="0.3">
      <c r="A6073" s="10"/>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spans="1:26" ht="17.399999999999999" x14ac:dyDescent="0.3">
      <c r="A6074" s="10"/>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spans="1:26" ht="17.399999999999999" x14ac:dyDescent="0.3">
      <c r="A6075" s="10"/>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spans="1:26" ht="17.399999999999999" x14ac:dyDescent="0.3">
      <c r="A6076" s="10"/>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spans="1:26" ht="17.399999999999999" x14ac:dyDescent="0.3">
      <c r="A6077" s="10"/>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spans="1:26" ht="17.399999999999999" x14ac:dyDescent="0.3">
      <c r="A6078" s="10"/>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spans="1:26" ht="17.399999999999999" x14ac:dyDescent="0.3">
      <c r="A6079" s="10"/>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spans="1:26" ht="17.399999999999999" x14ac:dyDescent="0.3">
      <c r="A6080" s="10"/>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spans="1:26" ht="17.399999999999999" x14ac:dyDescent="0.3">
      <c r="A6081" s="10"/>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spans="1:26" ht="17.399999999999999" x14ac:dyDescent="0.3">
      <c r="A6082" s="10"/>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spans="1:26" ht="17.399999999999999" x14ac:dyDescent="0.3">
      <c r="A6083" s="10"/>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spans="1:26" ht="17.399999999999999" x14ac:dyDescent="0.3">
      <c r="A6084" s="10"/>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spans="1:26" ht="17.399999999999999" x14ac:dyDescent="0.3">
      <c r="A6085" s="10"/>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spans="1:26" ht="17.399999999999999" x14ac:dyDescent="0.3">
      <c r="A6086" s="10"/>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spans="1:26" ht="17.399999999999999" x14ac:dyDescent="0.3">
      <c r="A6087" s="10"/>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spans="1:26" ht="17.399999999999999" x14ac:dyDescent="0.3">
      <c r="A6088" s="10"/>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spans="1:26" ht="17.399999999999999" x14ac:dyDescent="0.3">
      <c r="A6089" s="10"/>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spans="1:26" ht="17.399999999999999" x14ac:dyDescent="0.3">
      <c r="A6090" s="10"/>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spans="1:26" ht="17.399999999999999" x14ac:dyDescent="0.3">
      <c r="A6091" s="10"/>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spans="1:26" ht="17.399999999999999" x14ac:dyDescent="0.3">
      <c r="A6092" s="10"/>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spans="1:26" ht="17.399999999999999" x14ac:dyDescent="0.3">
      <c r="A6093" s="10"/>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spans="1:26" ht="17.399999999999999" x14ac:dyDescent="0.3">
      <c r="A6094" s="10"/>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spans="1:26" ht="17.399999999999999" x14ac:dyDescent="0.3">
      <c r="A6095" s="10"/>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spans="1:26" ht="17.399999999999999" x14ac:dyDescent="0.3">
      <c r="A6096" s="10"/>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spans="1:26" ht="17.399999999999999" x14ac:dyDescent="0.3">
      <c r="A6097" s="10"/>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spans="1:26" ht="17.399999999999999" x14ac:dyDescent="0.3">
      <c r="A6098" s="10"/>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spans="1:26" ht="17.399999999999999" x14ac:dyDescent="0.3">
      <c r="A6099" s="10"/>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spans="1:26" ht="17.399999999999999" x14ac:dyDescent="0.3">
      <c r="A6100" s="10"/>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spans="1:26" ht="17.399999999999999" x14ac:dyDescent="0.3">
      <c r="A6101" s="10"/>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spans="1:26" ht="17.399999999999999" x14ac:dyDescent="0.3">
      <c r="A6102" s="10"/>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spans="1:26" ht="17.399999999999999" x14ac:dyDescent="0.3">
      <c r="A6103" s="10"/>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spans="1:26" ht="17.399999999999999" x14ac:dyDescent="0.3">
      <c r="A6104" s="10"/>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spans="1:26" ht="17.399999999999999" x14ac:dyDescent="0.3">
      <c r="A6105" s="10"/>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spans="1:26" ht="17.399999999999999" x14ac:dyDescent="0.3">
      <c r="A6106" s="10"/>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spans="1:26" ht="17.399999999999999" x14ac:dyDescent="0.3">
      <c r="A6107" s="10"/>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spans="1:26" ht="17.399999999999999" x14ac:dyDescent="0.3">
      <c r="A6108" s="10"/>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spans="1:26" ht="17.399999999999999" x14ac:dyDescent="0.3">
      <c r="A6109" s="10"/>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spans="1:26" ht="17.399999999999999" x14ac:dyDescent="0.3">
      <c r="A6110" s="10"/>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spans="1:26" ht="17.399999999999999" x14ac:dyDescent="0.3">
      <c r="A6111" s="10"/>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spans="1:26" ht="17.399999999999999" x14ac:dyDescent="0.3">
      <c r="A6112" s="10"/>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spans="1:26" ht="17.399999999999999" x14ac:dyDescent="0.3">
      <c r="A6113" s="10"/>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spans="1:26" ht="17.399999999999999" x14ac:dyDescent="0.3">
      <c r="A6114" s="10"/>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spans="1:26" ht="17.399999999999999" x14ac:dyDescent="0.3">
      <c r="A6115" s="10"/>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spans="1:26" ht="17.399999999999999" x14ac:dyDescent="0.3">
      <c r="A6116" s="10"/>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spans="1:26" ht="17.399999999999999" x14ac:dyDescent="0.3">
      <c r="A6117" s="10"/>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spans="1:26" ht="17.399999999999999" x14ac:dyDescent="0.3">
      <c r="A6118" s="10"/>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spans="1:26" ht="17.399999999999999" x14ac:dyDescent="0.3">
      <c r="A6119" s="10"/>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spans="1:26" ht="17.399999999999999" x14ac:dyDescent="0.3">
      <c r="A6120" s="10"/>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spans="1:26" ht="17.399999999999999" x14ac:dyDescent="0.3">
      <c r="A6121" s="10"/>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spans="1:26" ht="17.399999999999999" x14ac:dyDescent="0.3">
      <c r="A6122" s="10"/>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spans="1:26" ht="17.399999999999999" x14ac:dyDescent="0.3">
      <c r="A6123" s="10"/>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spans="1:26" ht="17.399999999999999" x14ac:dyDescent="0.3">
      <c r="A6124" s="10"/>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spans="1:26" ht="17.399999999999999" x14ac:dyDescent="0.3">
      <c r="A6125" s="10"/>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spans="1:26" ht="17.399999999999999" x14ac:dyDescent="0.3">
      <c r="A6126" s="10"/>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spans="1:26" ht="17.399999999999999" x14ac:dyDescent="0.3">
      <c r="A6127" s="10"/>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spans="1:26" ht="17.399999999999999" x14ac:dyDescent="0.3">
      <c r="A6128" s="10"/>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spans="1:26" ht="17.399999999999999" x14ac:dyDescent="0.3">
      <c r="A6129" s="10"/>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spans="1:26" ht="17.399999999999999" x14ac:dyDescent="0.3">
      <c r="A6130" s="10"/>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spans="1:26" ht="17.399999999999999" x14ac:dyDescent="0.3">
      <c r="A6131" s="10"/>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spans="1:26" ht="17.399999999999999" x14ac:dyDescent="0.3">
      <c r="A6132" s="10"/>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spans="1:26" ht="17.399999999999999" x14ac:dyDescent="0.3">
      <c r="A6133" s="10"/>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spans="1:26" ht="17.399999999999999" x14ac:dyDescent="0.3">
      <c r="A6134" s="10"/>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spans="1:26" ht="17.399999999999999" x14ac:dyDescent="0.3">
      <c r="A6135" s="10"/>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spans="1:26" ht="17.399999999999999" x14ac:dyDescent="0.3">
      <c r="A6136" s="10"/>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spans="1:26" ht="17.399999999999999" x14ac:dyDescent="0.3">
      <c r="A6137" s="10"/>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spans="1:26" ht="17.399999999999999" x14ac:dyDescent="0.3">
      <c r="A6138" s="10"/>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spans="1:26" ht="17.399999999999999" x14ac:dyDescent="0.3">
      <c r="A6139" s="10"/>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spans="1:26" ht="17.399999999999999" x14ac:dyDescent="0.3">
      <c r="A6140" s="10"/>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spans="1:26" ht="17.399999999999999" x14ac:dyDescent="0.3">
      <c r="A6141" s="10"/>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spans="1:26" ht="17.399999999999999" x14ac:dyDescent="0.3">
      <c r="A6142" s="10"/>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spans="1:26" ht="17.399999999999999" x14ac:dyDescent="0.3">
      <c r="A6143" s="10"/>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spans="1:26" ht="17.399999999999999" x14ac:dyDescent="0.3">
      <c r="A6144" s="10"/>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spans="1:26" ht="17.399999999999999" x14ac:dyDescent="0.3">
      <c r="A6145" s="10"/>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spans="1:26" ht="17.399999999999999" x14ac:dyDescent="0.3">
      <c r="A6146" s="10"/>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spans="1:26" ht="17.399999999999999" x14ac:dyDescent="0.3">
      <c r="A6147" s="10"/>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spans="1:26" ht="17.399999999999999" x14ac:dyDescent="0.3">
      <c r="A6148" s="10"/>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spans="1:26" ht="17.399999999999999" x14ac:dyDescent="0.3">
      <c r="A6149" s="10"/>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spans="1:26" ht="17.399999999999999" x14ac:dyDescent="0.3">
      <c r="A6150" s="10"/>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spans="1:26" ht="17.399999999999999" x14ac:dyDescent="0.3">
      <c r="A6151" s="10"/>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spans="1:26" ht="17.399999999999999" x14ac:dyDescent="0.3">
      <c r="A6152" s="10"/>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spans="1:26" ht="17.399999999999999" x14ac:dyDescent="0.3">
      <c r="A6153" s="10"/>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spans="1:26" ht="17.399999999999999" x14ac:dyDescent="0.3">
      <c r="A6154" s="10"/>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spans="1:26" ht="17.399999999999999" x14ac:dyDescent="0.3">
      <c r="A6155" s="10"/>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spans="1:26" ht="17.399999999999999" x14ac:dyDescent="0.3">
      <c r="A6156" s="10"/>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spans="1:26" ht="17.399999999999999" x14ac:dyDescent="0.3">
      <c r="A6157" s="10"/>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spans="1:26" ht="17.399999999999999" x14ac:dyDescent="0.3">
      <c r="A6158" s="10"/>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spans="1:26" ht="17.399999999999999" x14ac:dyDescent="0.3">
      <c r="A6159" s="10"/>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spans="1:26" ht="17.399999999999999" x14ac:dyDescent="0.3">
      <c r="A6160" s="10"/>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spans="1:26" ht="17.399999999999999" x14ac:dyDescent="0.3">
      <c r="A6161" s="10"/>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spans="1:26" ht="17.399999999999999" x14ac:dyDescent="0.3">
      <c r="A6162" s="10"/>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spans="1:26" ht="17.399999999999999" x14ac:dyDescent="0.3">
      <c r="A6163" s="10"/>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spans="1:26" ht="17.399999999999999" x14ac:dyDescent="0.3">
      <c r="A6164" s="10"/>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spans="1:26" ht="17.399999999999999" x14ac:dyDescent="0.3">
      <c r="A6165" s="10"/>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spans="1:26" ht="17.399999999999999" x14ac:dyDescent="0.3">
      <c r="A6166" s="10"/>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spans="1:26" ht="17.399999999999999" x14ac:dyDescent="0.3">
      <c r="A6167" s="10"/>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spans="1:26" ht="17.399999999999999" x14ac:dyDescent="0.3">
      <c r="A6168" s="10"/>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spans="1:26" ht="17.399999999999999" x14ac:dyDescent="0.3">
      <c r="A6169" s="10"/>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spans="1:26" ht="17.399999999999999" x14ac:dyDescent="0.3">
      <c r="A6170" s="10"/>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spans="1:26" ht="17.399999999999999" x14ac:dyDescent="0.3">
      <c r="A6171" s="10"/>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spans="1:26" ht="17.399999999999999" x14ac:dyDescent="0.3">
      <c r="A6172" s="10"/>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spans="1:26" ht="17.399999999999999" x14ac:dyDescent="0.3">
      <c r="A6173" s="10"/>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spans="1:26" ht="17.399999999999999" x14ac:dyDescent="0.3">
      <c r="A6174" s="10"/>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spans="1:26" ht="17.399999999999999" x14ac:dyDescent="0.3">
      <c r="A6175" s="10"/>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spans="1:26" ht="17.399999999999999" x14ac:dyDescent="0.3">
      <c r="A6176" s="10"/>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spans="1:26" ht="17.399999999999999" x14ac:dyDescent="0.3">
      <c r="A6177" s="10"/>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spans="1:26" ht="17.399999999999999" x14ac:dyDescent="0.3">
      <c r="A6178" s="10"/>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spans="1:26" ht="17.399999999999999" x14ac:dyDescent="0.3">
      <c r="A6179" s="10"/>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spans="1:26" ht="17.399999999999999" x14ac:dyDescent="0.3">
      <c r="A6180" s="10"/>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spans="1:26" ht="17.399999999999999" x14ac:dyDescent="0.3">
      <c r="A6181" s="10"/>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spans="1:26" ht="17.399999999999999" x14ac:dyDescent="0.3">
      <c r="A6182" s="10"/>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spans="1:26" ht="17.399999999999999" x14ac:dyDescent="0.3">
      <c r="A6183" s="10"/>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spans="1:26" ht="17.399999999999999" x14ac:dyDescent="0.3">
      <c r="A6184" s="10"/>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spans="1:26" ht="17.399999999999999" x14ac:dyDescent="0.3">
      <c r="A6185" s="10"/>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spans="1:26" ht="17.399999999999999" x14ac:dyDescent="0.3">
      <c r="A6186" s="10"/>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spans="1:26" ht="17.399999999999999" x14ac:dyDescent="0.3">
      <c r="A6187" s="10"/>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spans="1:26" ht="17.399999999999999" x14ac:dyDescent="0.3">
      <c r="A6188" s="10"/>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spans="1:26" ht="17.399999999999999" x14ac:dyDescent="0.3">
      <c r="A6189" s="10"/>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spans="1:26" ht="17.399999999999999" x14ac:dyDescent="0.3">
      <c r="A6190" s="10"/>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spans="1:26" ht="17.399999999999999" x14ac:dyDescent="0.3">
      <c r="A6191" s="10"/>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spans="1:26" ht="17.399999999999999" x14ac:dyDescent="0.3">
      <c r="A6192" s="10"/>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spans="1:26" ht="17.399999999999999" x14ac:dyDescent="0.3">
      <c r="A6193" s="10"/>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spans="1:26" ht="17.399999999999999" x14ac:dyDescent="0.3">
      <c r="A6194" s="10"/>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spans="1:26" ht="17.399999999999999" x14ac:dyDescent="0.3">
      <c r="A6195" s="10"/>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spans="1:26" ht="17.399999999999999" x14ac:dyDescent="0.3">
      <c r="A6196" s="10"/>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spans="1:26" ht="17.399999999999999" x14ac:dyDescent="0.3">
      <c r="A6197" s="10"/>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spans="1:26" ht="17.399999999999999" x14ac:dyDescent="0.3">
      <c r="A6198" s="10"/>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spans="1:26" ht="17.399999999999999" x14ac:dyDescent="0.3">
      <c r="A6199" s="10"/>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spans="1:26" ht="17.399999999999999" x14ac:dyDescent="0.3">
      <c r="A6200" s="10"/>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spans="1:26" ht="17.399999999999999" x14ac:dyDescent="0.3">
      <c r="A6201" s="10"/>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spans="1:26" ht="17.399999999999999" x14ac:dyDescent="0.3">
      <c r="A6202" s="10"/>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spans="1:26" ht="17.399999999999999" x14ac:dyDescent="0.3">
      <c r="A6203" s="10"/>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spans="1:26" ht="17.399999999999999" x14ac:dyDescent="0.3">
      <c r="A6204" s="10"/>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spans="1:26" ht="17.399999999999999" x14ac:dyDescent="0.3">
      <c r="A6205" s="10"/>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spans="1:26" ht="17.399999999999999" x14ac:dyDescent="0.3">
      <c r="A6206" s="10"/>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spans="1:26" ht="17.399999999999999" x14ac:dyDescent="0.3">
      <c r="A6207" s="10"/>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spans="1:26" ht="17.399999999999999" x14ac:dyDescent="0.3">
      <c r="A6208" s="10"/>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spans="1:26" ht="17.399999999999999" x14ac:dyDescent="0.3">
      <c r="A6209" s="10"/>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spans="1:26" ht="17.399999999999999" x14ac:dyDescent="0.3">
      <c r="A6210" s="10"/>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spans="1:26" ht="17.399999999999999" x14ac:dyDescent="0.3">
      <c r="A6211" s="10"/>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spans="1:26" ht="17.399999999999999" x14ac:dyDescent="0.3">
      <c r="A6212" s="10"/>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spans="1:26" ht="17.399999999999999" x14ac:dyDescent="0.3">
      <c r="A6213" s="10"/>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spans="1:26" ht="17.399999999999999" x14ac:dyDescent="0.3">
      <c r="A6214" s="10"/>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spans="1:26" ht="17.399999999999999" x14ac:dyDescent="0.3">
      <c r="A6215" s="10"/>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spans="1:26" ht="17.399999999999999" x14ac:dyDescent="0.3">
      <c r="A6216" s="10"/>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spans="1:26" ht="17.399999999999999" x14ac:dyDescent="0.3">
      <c r="A6217" s="10"/>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spans="1:26" ht="17.399999999999999" x14ac:dyDescent="0.3">
      <c r="A6218" s="10"/>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spans="1:26" ht="17.399999999999999" x14ac:dyDescent="0.3">
      <c r="A6219" s="10"/>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spans="1:26" ht="17.399999999999999" x14ac:dyDescent="0.3">
      <c r="A6220" s="10"/>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spans="1:26" ht="17.399999999999999" x14ac:dyDescent="0.3">
      <c r="A6221" s="10"/>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spans="1:26" ht="17.399999999999999" x14ac:dyDescent="0.3">
      <c r="A6222" s="10"/>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spans="1:26" ht="17.399999999999999" x14ac:dyDescent="0.3">
      <c r="A6223" s="10"/>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spans="1:26" ht="17.399999999999999" x14ac:dyDescent="0.3">
      <c r="A6224" s="10"/>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spans="1:26" ht="17.399999999999999" x14ac:dyDescent="0.3">
      <c r="A6225" s="10"/>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spans="1:26" ht="17.399999999999999" x14ac:dyDescent="0.3">
      <c r="A6226" s="10"/>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spans="1:26" ht="17.399999999999999" x14ac:dyDescent="0.3">
      <c r="A6227" s="10"/>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spans="1:26" ht="17.399999999999999" x14ac:dyDescent="0.3">
      <c r="A6228" s="10"/>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spans="1:26" ht="17.399999999999999" x14ac:dyDescent="0.3">
      <c r="A6229" s="10"/>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spans="1:26" ht="17.399999999999999" x14ac:dyDescent="0.3">
      <c r="A6230" s="10"/>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spans="1:26" ht="17.399999999999999" x14ac:dyDescent="0.3">
      <c r="A6231" s="10"/>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spans="1:26" ht="17.399999999999999" x14ac:dyDescent="0.3">
      <c r="A6232" s="10"/>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spans="1:26" ht="17.399999999999999" x14ac:dyDescent="0.3">
      <c r="A6233" s="10"/>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spans="1:26" ht="17.399999999999999" x14ac:dyDescent="0.3">
      <c r="A6234" s="10"/>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spans="1:26" ht="17.399999999999999" x14ac:dyDescent="0.3">
      <c r="A6235" s="10"/>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spans="1:26" ht="17.399999999999999" x14ac:dyDescent="0.3">
      <c r="A6236" s="10"/>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spans="1:26" ht="17.399999999999999" x14ac:dyDescent="0.3">
      <c r="A6237" s="10"/>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spans="1:26" ht="17.399999999999999" x14ac:dyDescent="0.3">
      <c r="A6238" s="10"/>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spans="1:26" ht="17.399999999999999" x14ac:dyDescent="0.3">
      <c r="A6239" s="10"/>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spans="1:26" ht="17.399999999999999" x14ac:dyDescent="0.3">
      <c r="A6240" s="10"/>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spans="1:26" ht="17.399999999999999" x14ac:dyDescent="0.3">
      <c r="A6241" s="10"/>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spans="1:26" ht="17.399999999999999" x14ac:dyDescent="0.3">
      <c r="A6242" s="10"/>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spans="1:26" ht="17.399999999999999" x14ac:dyDescent="0.3">
      <c r="A6243" s="10"/>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spans="1:26" ht="17.399999999999999" x14ac:dyDescent="0.3">
      <c r="A6244" s="10"/>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spans="1:26" ht="17.399999999999999" x14ac:dyDescent="0.3">
      <c r="A6245" s="10"/>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spans="1:26" ht="17.399999999999999" x14ac:dyDescent="0.3">
      <c r="A6246" s="10"/>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spans="1:26" ht="17.399999999999999" x14ac:dyDescent="0.3">
      <c r="A6247" s="10"/>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spans="1:26" ht="17.399999999999999" x14ac:dyDescent="0.3">
      <c r="A6248" s="10"/>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spans="1:26" ht="17.399999999999999" x14ac:dyDescent="0.3">
      <c r="A6249" s="10"/>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spans="1:26" ht="17.399999999999999" x14ac:dyDescent="0.3">
      <c r="A6250" s="10"/>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spans="1:26" ht="17.399999999999999" x14ac:dyDescent="0.3">
      <c r="A6251" s="10"/>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spans="1:26" ht="17.399999999999999" x14ac:dyDescent="0.3">
      <c r="A6252" s="10"/>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spans="1:26" ht="17.399999999999999" x14ac:dyDescent="0.3">
      <c r="A6253" s="10"/>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spans="1:26" ht="17.399999999999999" x14ac:dyDescent="0.3">
      <c r="A6254" s="10"/>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spans="1:26" ht="17.399999999999999" x14ac:dyDescent="0.3">
      <c r="A6255" s="10"/>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spans="1:26" ht="17.399999999999999" x14ac:dyDescent="0.3">
      <c r="A6256" s="10"/>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spans="1:26" ht="17.399999999999999" x14ac:dyDescent="0.3">
      <c r="A6257" s="10"/>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spans="1:26" ht="17.399999999999999" x14ac:dyDescent="0.3">
      <c r="A6258" s="10"/>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spans="1:26" ht="17.399999999999999" x14ac:dyDescent="0.3">
      <c r="A6259" s="10"/>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spans="1:26" ht="17.399999999999999" x14ac:dyDescent="0.3">
      <c r="A6260" s="10"/>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spans="1:26" ht="17.399999999999999" x14ac:dyDescent="0.3">
      <c r="A6261" s="10"/>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spans="1:26" ht="17.399999999999999" x14ac:dyDescent="0.3">
      <c r="A6262" s="10"/>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spans="1:26" ht="17.399999999999999" x14ac:dyDescent="0.3">
      <c r="A6263" s="10"/>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spans="1:26" ht="17.399999999999999" x14ac:dyDescent="0.3">
      <c r="A6264" s="10"/>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spans="1:26" ht="17.399999999999999" x14ac:dyDescent="0.3">
      <c r="A6265" s="10"/>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spans="1:26" ht="17.399999999999999" x14ac:dyDescent="0.3">
      <c r="A6266" s="10"/>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spans="1:26" ht="17.399999999999999" x14ac:dyDescent="0.3">
      <c r="A6267" s="10"/>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spans="1:26" ht="17.399999999999999" x14ac:dyDescent="0.3">
      <c r="A6268" s="10"/>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spans="1:26" ht="17.399999999999999" x14ac:dyDescent="0.3">
      <c r="A6269" s="10"/>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spans="1:26" ht="17.399999999999999" x14ac:dyDescent="0.3">
      <c r="A6270" s="10"/>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spans="1:26" ht="17.399999999999999" x14ac:dyDescent="0.3">
      <c r="A6271" s="10"/>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spans="1:26" ht="17.399999999999999" x14ac:dyDescent="0.3">
      <c r="A6272" s="10"/>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spans="1:26" ht="17.399999999999999" x14ac:dyDescent="0.3">
      <c r="A6273" s="10"/>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spans="1:26" ht="17.399999999999999" x14ac:dyDescent="0.3">
      <c r="A6274" s="10"/>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spans="1:26" ht="17.399999999999999" x14ac:dyDescent="0.3">
      <c r="A6275" s="10"/>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spans="1:26" ht="17.399999999999999" x14ac:dyDescent="0.3">
      <c r="A6276" s="10"/>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spans="1:26" ht="17.399999999999999" x14ac:dyDescent="0.3">
      <c r="A6277" s="10"/>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spans="1:26" ht="17.399999999999999" x14ac:dyDescent="0.3">
      <c r="A6278" s="10"/>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spans="1:26" ht="17.399999999999999" x14ac:dyDescent="0.3">
      <c r="A6279" s="10"/>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spans="1:26" ht="17.399999999999999" x14ac:dyDescent="0.3">
      <c r="A6280" s="10"/>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spans="1:26" ht="17.399999999999999" x14ac:dyDescent="0.3">
      <c r="A6281" s="10"/>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spans="1:26" ht="17.399999999999999" x14ac:dyDescent="0.3">
      <c r="A6282" s="10"/>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spans="1:26" ht="17.399999999999999" x14ac:dyDescent="0.3">
      <c r="A6283" s="10"/>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spans="1:26" ht="17.399999999999999" x14ac:dyDescent="0.3">
      <c r="A6284" s="10"/>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spans="1:26" ht="17.399999999999999" x14ac:dyDescent="0.3">
      <c r="A6285" s="10"/>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spans="1:26" ht="17.399999999999999" x14ac:dyDescent="0.3">
      <c r="A6286" s="10"/>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spans="1:26" ht="17.399999999999999" x14ac:dyDescent="0.3">
      <c r="A6287" s="10"/>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spans="1:26" ht="17.399999999999999" x14ac:dyDescent="0.3">
      <c r="A6288" s="10"/>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spans="1:26" ht="17.399999999999999" x14ac:dyDescent="0.3">
      <c r="A6289" s="10"/>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spans="1:26" ht="17.399999999999999" x14ac:dyDescent="0.3">
      <c r="A6290" s="10"/>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spans="1:26" ht="17.399999999999999" x14ac:dyDescent="0.3">
      <c r="A6291" s="10"/>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spans="1:26" ht="17.399999999999999" x14ac:dyDescent="0.3">
      <c r="A6292" s="10"/>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spans="1:26" ht="17.399999999999999" x14ac:dyDescent="0.3">
      <c r="A6293" s="10"/>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spans="1:26" ht="17.399999999999999" x14ac:dyDescent="0.3">
      <c r="A6294" s="10"/>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spans="1:26" ht="17.399999999999999" x14ac:dyDescent="0.3">
      <c r="A6295" s="10"/>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spans="1:26" ht="17.399999999999999" x14ac:dyDescent="0.3">
      <c r="A6296" s="10"/>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spans="1:26" ht="17.399999999999999" x14ac:dyDescent="0.3">
      <c r="A6297" s="10"/>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spans="1:26" ht="17.399999999999999" x14ac:dyDescent="0.3">
      <c r="A6298" s="10"/>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spans="1:26" ht="17.399999999999999" x14ac:dyDescent="0.3">
      <c r="A6299" s="10"/>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spans="1:26" ht="17.399999999999999" x14ac:dyDescent="0.3">
      <c r="A6300" s="10"/>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spans="1:26" ht="17.399999999999999" x14ac:dyDescent="0.3">
      <c r="A6301" s="10"/>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spans="1:26" ht="17.399999999999999" x14ac:dyDescent="0.3">
      <c r="A6302" s="10"/>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spans="1:26" ht="17.399999999999999" x14ac:dyDescent="0.3">
      <c r="A6303" s="10"/>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spans="1:26" ht="17.399999999999999" x14ac:dyDescent="0.3">
      <c r="A6304" s="10"/>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spans="1:26" ht="17.399999999999999" x14ac:dyDescent="0.3">
      <c r="A6305" s="10"/>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spans="1:26" ht="17.399999999999999" x14ac:dyDescent="0.3">
      <c r="A6306" s="10"/>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spans="1:26" ht="17.399999999999999" x14ac:dyDescent="0.3">
      <c r="A6307" s="10"/>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spans="1:26" ht="17.399999999999999" x14ac:dyDescent="0.3">
      <c r="A6308" s="10"/>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spans="1:26" ht="17.399999999999999" x14ac:dyDescent="0.3">
      <c r="A6309" s="10"/>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spans="1:26" ht="17.399999999999999" x14ac:dyDescent="0.3">
      <c r="A6310" s="10"/>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spans="1:26" ht="17.399999999999999" x14ac:dyDescent="0.3">
      <c r="A6311" s="10"/>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spans="1:26" ht="17.399999999999999" x14ac:dyDescent="0.3">
      <c r="A6312" s="10"/>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spans="1:26" ht="17.399999999999999" x14ac:dyDescent="0.3">
      <c r="A6313" s="10"/>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spans="1:26" ht="17.399999999999999" x14ac:dyDescent="0.3">
      <c r="A6314" s="10"/>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spans="1:26" ht="17.399999999999999" x14ac:dyDescent="0.3">
      <c r="A6315" s="10"/>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spans="1:26" ht="17.399999999999999" x14ac:dyDescent="0.3">
      <c r="A6316" s="10"/>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spans="1:26" ht="17.399999999999999" x14ac:dyDescent="0.3">
      <c r="A6317" s="10"/>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spans="1:26" ht="17.399999999999999" x14ac:dyDescent="0.3">
      <c r="A6318" s="10"/>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spans="1:26" ht="17.399999999999999" x14ac:dyDescent="0.3">
      <c r="A6319" s="10"/>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spans="1:26" ht="17.399999999999999" x14ac:dyDescent="0.3">
      <c r="A6320" s="10"/>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spans="1:26" ht="17.399999999999999" x14ac:dyDescent="0.3">
      <c r="A6321" s="10"/>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spans="1:26" ht="17.399999999999999" x14ac:dyDescent="0.3">
      <c r="A6322" s="10"/>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spans="1:26" ht="17.399999999999999" x14ac:dyDescent="0.3">
      <c r="A6323" s="10"/>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spans="1:26" ht="17.399999999999999" x14ac:dyDescent="0.3">
      <c r="A6324" s="10"/>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spans="1:26" ht="17.399999999999999" x14ac:dyDescent="0.3">
      <c r="A6325" s="10"/>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spans="1:26" ht="17.399999999999999" x14ac:dyDescent="0.3">
      <c r="A6326" s="10"/>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spans="1:26" ht="17.399999999999999" x14ac:dyDescent="0.3">
      <c r="A6327" s="10"/>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spans="1:26" ht="17.399999999999999" x14ac:dyDescent="0.3">
      <c r="A6328" s="10"/>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spans="1:26" ht="17.399999999999999" x14ac:dyDescent="0.3">
      <c r="A6329" s="10"/>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spans="1:26" ht="17.399999999999999" x14ac:dyDescent="0.3">
      <c r="A6330" s="10"/>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spans="1:26" ht="17.399999999999999" x14ac:dyDescent="0.3">
      <c r="A6331" s="10"/>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spans="1:26" ht="17.399999999999999" x14ac:dyDescent="0.3">
      <c r="A6332" s="10"/>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spans="1:26" ht="17.399999999999999" x14ac:dyDescent="0.3">
      <c r="A6333" s="10"/>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spans="1:26" ht="17.399999999999999" x14ac:dyDescent="0.3">
      <c r="A6334" s="10"/>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spans="1:26" ht="17.399999999999999" x14ac:dyDescent="0.3">
      <c r="A6335" s="10"/>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spans="1:26" ht="17.399999999999999" x14ac:dyDescent="0.3">
      <c r="A6336" s="10"/>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spans="1:26" ht="17.399999999999999" x14ac:dyDescent="0.3">
      <c r="A6337" s="10"/>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spans="1:26" ht="17.399999999999999" x14ac:dyDescent="0.3">
      <c r="A6338" s="10"/>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spans="1:26" ht="17.399999999999999" x14ac:dyDescent="0.3">
      <c r="A6339" s="10"/>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spans="1:26" ht="17.399999999999999" x14ac:dyDescent="0.3">
      <c r="A6340" s="10"/>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spans="1:26" ht="17.399999999999999" x14ac:dyDescent="0.3">
      <c r="A6341" s="10"/>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spans="1:26" ht="17.399999999999999" x14ac:dyDescent="0.3">
      <c r="A6342" s="10"/>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spans="1:26" ht="17.399999999999999" x14ac:dyDescent="0.3">
      <c r="A6343" s="10"/>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spans="1:26" ht="17.399999999999999" x14ac:dyDescent="0.3">
      <c r="A6344" s="10"/>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spans="1:26" ht="17.399999999999999" x14ac:dyDescent="0.3">
      <c r="A6345" s="10"/>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spans="1:26" ht="17.399999999999999" x14ac:dyDescent="0.3">
      <c r="A6346" s="10"/>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spans="1:26" ht="17.399999999999999" x14ac:dyDescent="0.3">
      <c r="A6347" s="10"/>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spans="1:26" ht="17.399999999999999" x14ac:dyDescent="0.3">
      <c r="A6348" s="10"/>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spans="1:26" ht="17.399999999999999" x14ac:dyDescent="0.3">
      <c r="A6349" s="10"/>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spans="1:26" ht="17.399999999999999" x14ac:dyDescent="0.3">
      <c r="A6350" s="10"/>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spans="1:26" ht="17.399999999999999" x14ac:dyDescent="0.3">
      <c r="A6351" s="10"/>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spans="1:26" ht="17.399999999999999" x14ac:dyDescent="0.3">
      <c r="A6352" s="10"/>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spans="1:26" ht="17.399999999999999" x14ac:dyDescent="0.3">
      <c r="A6353" s="10"/>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spans="1:26" ht="17.399999999999999" x14ac:dyDescent="0.3">
      <c r="A6354" s="10"/>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spans="1:26" ht="17.399999999999999" x14ac:dyDescent="0.3">
      <c r="A6355" s="10"/>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spans="1:26" ht="17.399999999999999" x14ac:dyDescent="0.3">
      <c r="A6356" s="10"/>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spans="1:26" ht="17.399999999999999" x14ac:dyDescent="0.3">
      <c r="A6357" s="10"/>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spans="1:26" ht="17.399999999999999" x14ac:dyDescent="0.3">
      <c r="A6358" s="10"/>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spans="1:26" ht="17.399999999999999" x14ac:dyDescent="0.3">
      <c r="A6359" s="10"/>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spans="1:26" ht="17.399999999999999" x14ac:dyDescent="0.3">
      <c r="A6360" s="10"/>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spans="1:26" ht="17.399999999999999" x14ac:dyDescent="0.3">
      <c r="A6361" s="10"/>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spans="1:26" ht="17.399999999999999" x14ac:dyDescent="0.3">
      <c r="A6362" s="10"/>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spans="1:26" ht="17.399999999999999" x14ac:dyDescent="0.3">
      <c r="A6363" s="10"/>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spans="1:26" ht="17.399999999999999" x14ac:dyDescent="0.3">
      <c r="A6364" s="10"/>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spans="1:26" ht="17.399999999999999" x14ac:dyDescent="0.3">
      <c r="A6365" s="10"/>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spans="1:26" ht="17.399999999999999" x14ac:dyDescent="0.3">
      <c r="A6366" s="10"/>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spans="1:26" ht="17.399999999999999" x14ac:dyDescent="0.3">
      <c r="A6367" s="10"/>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spans="1:26" ht="17.399999999999999" x14ac:dyDescent="0.3">
      <c r="A6368" s="10"/>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spans="1:26" ht="17.399999999999999" x14ac:dyDescent="0.3">
      <c r="A6369" s="10"/>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spans="1:26" ht="17.399999999999999" x14ac:dyDescent="0.3">
      <c r="A6370" s="10"/>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spans="1:26" ht="17.399999999999999" x14ac:dyDescent="0.3">
      <c r="A6371" s="10"/>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spans="1:26" ht="17.399999999999999" x14ac:dyDescent="0.3">
      <c r="A6372" s="10"/>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spans="1:26" ht="17.399999999999999" x14ac:dyDescent="0.3">
      <c r="A6373" s="10"/>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spans="1:26" ht="17.399999999999999" x14ac:dyDescent="0.3">
      <c r="A6374" s="10"/>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spans="1:26" ht="17.399999999999999" x14ac:dyDescent="0.3">
      <c r="A6375" s="10"/>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spans="1:26" ht="17.399999999999999" x14ac:dyDescent="0.3">
      <c r="A6376" s="10"/>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spans="1:26" ht="17.399999999999999" x14ac:dyDescent="0.3">
      <c r="A6377" s="10"/>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spans="1:26" ht="17.399999999999999" x14ac:dyDescent="0.3">
      <c r="A6378" s="10"/>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spans="1:26" ht="17.399999999999999" x14ac:dyDescent="0.3">
      <c r="A6379" s="10"/>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spans="1:26" ht="17.399999999999999" x14ac:dyDescent="0.3">
      <c r="A6380" s="10"/>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spans="1:26" ht="17.399999999999999" x14ac:dyDescent="0.3">
      <c r="A6381" s="10"/>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spans="1:26" ht="17.399999999999999" x14ac:dyDescent="0.3">
      <c r="A6382" s="10"/>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spans="1:26" ht="17.399999999999999" x14ac:dyDescent="0.3">
      <c r="A6383" s="10"/>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spans="1:26" ht="17.399999999999999" x14ac:dyDescent="0.3">
      <c r="A6384" s="10"/>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spans="1:26" ht="17.399999999999999" x14ac:dyDescent="0.3">
      <c r="A6385" s="10"/>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spans="1:26" ht="17.399999999999999" x14ac:dyDescent="0.3">
      <c r="A6386" s="10"/>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spans="1:26" ht="17.399999999999999" x14ac:dyDescent="0.3">
      <c r="A6387" s="10"/>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spans="1:26" ht="17.399999999999999" x14ac:dyDescent="0.3">
      <c r="A6388" s="10"/>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spans="1:26" ht="17.399999999999999" x14ac:dyDescent="0.3">
      <c r="A6389" s="10"/>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spans="1:26" ht="17.399999999999999" x14ac:dyDescent="0.3">
      <c r="A6390" s="10"/>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spans="1:26" ht="17.399999999999999" x14ac:dyDescent="0.3">
      <c r="A6391" s="10"/>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spans="1:26" ht="17.399999999999999" x14ac:dyDescent="0.3">
      <c r="A6392" s="10"/>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spans="1:26" ht="17.399999999999999" x14ac:dyDescent="0.3">
      <c r="A6393" s="10"/>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spans="1:26" ht="17.399999999999999" x14ac:dyDescent="0.3">
      <c r="A6394" s="10"/>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spans="1:26" ht="17.399999999999999" x14ac:dyDescent="0.3">
      <c r="A6395" s="10"/>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spans="1:26" ht="17.399999999999999" x14ac:dyDescent="0.3">
      <c r="A6396" s="10"/>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spans="1:26" ht="17.399999999999999" x14ac:dyDescent="0.3">
      <c r="A6397" s="10"/>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spans="1:26" ht="17.399999999999999" x14ac:dyDescent="0.3">
      <c r="A6398" s="10"/>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spans="1:26" ht="17.399999999999999" x14ac:dyDescent="0.3">
      <c r="A6399" s="10"/>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spans="1:26" ht="17.399999999999999" x14ac:dyDescent="0.3">
      <c r="A6400" s="10"/>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spans="1:26" ht="17.399999999999999" x14ac:dyDescent="0.3">
      <c r="A6401" s="10"/>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spans="1:26" ht="17.399999999999999" x14ac:dyDescent="0.3">
      <c r="A6402" s="10"/>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spans="1:26" ht="17.399999999999999" x14ac:dyDescent="0.3">
      <c r="A6403" s="10"/>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spans="1:26" ht="17.399999999999999" x14ac:dyDescent="0.3">
      <c r="A6404" s="10"/>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spans="1:26" ht="17.399999999999999" x14ac:dyDescent="0.3">
      <c r="A6405" s="10"/>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spans="1:26" ht="17.399999999999999" x14ac:dyDescent="0.3">
      <c r="A6406" s="10"/>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spans="1:26" ht="17.399999999999999" x14ac:dyDescent="0.3">
      <c r="A6407" s="10"/>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spans="1:26" ht="17.399999999999999" x14ac:dyDescent="0.3">
      <c r="A6408" s="10"/>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spans="1:26" ht="17.399999999999999" x14ac:dyDescent="0.3">
      <c r="A6409" s="10"/>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spans="1:26" ht="17.399999999999999" x14ac:dyDescent="0.3">
      <c r="A6410" s="10"/>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spans="1:26" ht="17.399999999999999" x14ac:dyDescent="0.3">
      <c r="A6411" s="10"/>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spans="1:26" ht="17.399999999999999" x14ac:dyDescent="0.3">
      <c r="A6412" s="10"/>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spans="1:26" ht="17.399999999999999" x14ac:dyDescent="0.3">
      <c r="A6413" s="10"/>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spans="1:26" ht="17.399999999999999" x14ac:dyDescent="0.3">
      <c r="A6414" s="10"/>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spans="1:26" ht="17.399999999999999" x14ac:dyDescent="0.3">
      <c r="A6415" s="10"/>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spans="1:26" ht="17.399999999999999" x14ac:dyDescent="0.3">
      <c r="A6416" s="10"/>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spans="1:26" ht="17.399999999999999" x14ac:dyDescent="0.3">
      <c r="A6417" s="10"/>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spans="1:26" ht="17.399999999999999" x14ac:dyDescent="0.3">
      <c r="A6418" s="10"/>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spans="1:26" ht="17.399999999999999" x14ac:dyDescent="0.3">
      <c r="A6419" s="10"/>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spans="1:26" ht="17.399999999999999" x14ac:dyDescent="0.3">
      <c r="A6420" s="10"/>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spans="1:26" ht="17.399999999999999" x14ac:dyDescent="0.3">
      <c r="A6421" s="10"/>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spans="1:26" ht="17.399999999999999" x14ac:dyDescent="0.3">
      <c r="A6422" s="10"/>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spans="1:26" ht="17.399999999999999" x14ac:dyDescent="0.3">
      <c r="A6423" s="10"/>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spans="1:26" ht="17.399999999999999" x14ac:dyDescent="0.3">
      <c r="A6424" s="10"/>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spans="1:26" ht="17.399999999999999" x14ac:dyDescent="0.3">
      <c r="A6425" s="10"/>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spans="1:26" ht="17.399999999999999" x14ac:dyDescent="0.3">
      <c r="A6426" s="10"/>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spans="1:26" ht="17.399999999999999" x14ac:dyDescent="0.3">
      <c r="A6427" s="10"/>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spans="1:26" ht="17.399999999999999" x14ac:dyDescent="0.3">
      <c r="A6428" s="10"/>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spans="1:26" ht="17.399999999999999" x14ac:dyDescent="0.3">
      <c r="A6429" s="10"/>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spans="1:26" ht="17.399999999999999" x14ac:dyDescent="0.3">
      <c r="A6430" s="10"/>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spans="1:26" ht="17.399999999999999" x14ac:dyDescent="0.3">
      <c r="A6431" s="10"/>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spans="1:26" ht="17.399999999999999" x14ac:dyDescent="0.3">
      <c r="A6432" s="10"/>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spans="1:26" ht="17.399999999999999" x14ac:dyDescent="0.3">
      <c r="A6433" s="10"/>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spans="1:26" ht="17.399999999999999" x14ac:dyDescent="0.3">
      <c r="A6434" s="10"/>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spans="1:26" ht="17.399999999999999" x14ac:dyDescent="0.3">
      <c r="A6435" s="10"/>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spans="1:26" ht="17.399999999999999" x14ac:dyDescent="0.3">
      <c r="A6436" s="10"/>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spans="1:26" ht="17.399999999999999" x14ac:dyDescent="0.3">
      <c r="A6437" s="10"/>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spans="1:26" ht="17.399999999999999" x14ac:dyDescent="0.3">
      <c r="A6438" s="10"/>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spans="1:26" ht="17.399999999999999" x14ac:dyDescent="0.3">
      <c r="A6439" s="10"/>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spans="1:26" ht="17.399999999999999" x14ac:dyDescent="0.3">
      <c r="A6440" s="10"/>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spans="1:26" ht="17.399999999999999" x14ac:dyDescent="0.3">
      <c r="A6441" s="10"/>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spans="1:26" ht="17.399999999999999" x14ac:dyDescent="0.3">
      <c r="A6442" s="10"/>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spans="1:26" ht="17.399999999999999" x14ac:dyDescent="0.3">
      <c r="A6443" s="10"/>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spans="1:26" ht="17.399999999999999" x14ac:dyDescent="0.3">
      <c r="A6444" s="10"/>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spans="1:26" ht="17.399999999999999" x14ac:dyDescent="0.3">
      <c r="A6445" s="10"/>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spans="1:26" ht="17.399999999999999" x14ac:dyDescent="0.3">
      <c r="A6446" s="10"/>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spans="1:26" ht="17.399999999999999" x14ac:dyDescent="0.3">
      <c r="A6447" s="10"/>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spans="1:26" ht="17.399999999999999" x14ac:dyDescent="0.3">
      <c r="A6448" s="10"/>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spans="1:26" ht="17.399999999999999" x14ac:dyDescent="0.3">
      <c r="A6449" s="10"/>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spans="1:26" ht="17.399999999999999" x14ac:dyDescent="0.3">
      <c r="A6450" s="10"/>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spans="1:26" ht="17.399999999999999" x14ac:dyDescent="0.3">
      <c r="A6451" s="10"/>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spans="1:26" ht="17.399999999999999" x14ac:dyDescent="0.3">
      <c r="A6452" s="10"/>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spans="1:26" ht="17.399999999999999" x14ac:dyDescent="0.3">
      <c r="A6453" s="10"/>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spans="1:26" ht="17.399999999999999" x14ac:dyDescent="0.3">
      <c r="A6454" s="10"/>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spans="1:26" ht="17.399999999999999" x14ac:dyDescent="0.3">
      <c r="A6455" s="10"/>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spans="1:26" ht="17.399999999999999" x14ac:dyDescent="0.3">
      <c r="A6456" s="10"/>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spans="1:26" ht="17.399999999999999" x14ac:dyDescent="0.3">
      <c r="A6457" s="10"/>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spans="1:26" ht="17.399999999999999" x14ac:dyDescent="0.3">
      <c r="A6458" s="10"/>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spans="1:26" ht="17.399999999999999" x14ac:dyDescent="0.3">
      <c r="A6459" s="10"/>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spans="1:26" ht="17.399999999999999" x14ac:dyDescent="0.3">
      <c r="A6460" s="10"/>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spans="1:26" ht="17.399999999999999" x14ac:dyDescent="0.3">
      <c r="A6461" s="10"/>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spans="1:26" ht="17.399999999999999" x14ac:dyDescent="0.3">
      <c r="A6462" s="10"/>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spans="1:26" ht="17.399999999999999" x14ac:dyDescent="0.3">
      <c r="A6463" s="10"/>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spans="1:26" ht="17.399999999999999" x14ac:dyDescent="0.3">
      <c r="A6464" s="10"/>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spans="1:26" ht="17.399999999999999" x14ac:dyDescent="0.3">
      <c r="A6465" s="10"/>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spans="1:26" ht="17.399999999999999" x14ac:dyDescent="0.3">
      <c r="A6466" s="10"/>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spans="1:26" ht="17.399999999999999" x14ac:dyDescent="0.3">
      <c r="A6467" s="10"/>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spans="1:26" ht="17.399999999999999" x14ac:dyDescent="0.3">
      <c r="A6468" s="10"/>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spans="1:26" ht="17.399999999999999" x14ac:dyDescent="0.3">
      <c r="A6469" s="10"/>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spans="1:26" ht="17.399999999999999" x14ac:dyDescent="0.3">
      <c r="A6470" s="10"/>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spans="1:26" ht="17.399999999999999" x14ac:dyDescent="0.3">
      <c r="A6471" s="10"/>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spans="1:26" ht="17.399999999999999" x14ac:dyDescent="0.3">
      <c r="A6472" s="10"/>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spans="1:26" ht="17.399999999999999" x14ac:dyDescent="0.3">
      <c r="A6473" s="10"/>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spans="1:26" ht="17.399999999999999" x14ac:dyDescent="0.3">
      <c r="A6474" s="10"/>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spans="1:26" ht="17.399999999999999" x14ac:dyDescent="0.3">
      <c r="A6475" s="10"/>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spans="1:26" ht="17.399999999999999" x14ac:dyDescent="0.3">
      <c r="A6476" s="10"/>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spans="1:26" ht="17.399999999999999" x14ac:dyDescent="0.3">
      <c r="A6477" s="10"/>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spans="1:26" ht="17.399999999999999" x14ac:dyDescent="0.3">
      <c r="A6478" s="10"/>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spans="1:26" ht="17.399999999999999" x14ac:dyDescent="0.3">
      <c r="A6479" s="10"/>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spans="1:26" ht="17.399999999999999" x14ac:dyDescent="0.3">
      <c r="A6480" s="10"/>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spans="1:26" ht="17.399999999999999" x14ac:dyDescent="0.3">
      <c r="A6481" s="10"/>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spans="1:26" ht="17.399999999999999" x14ac:dyDescent="0.3">
      <c r="A6482" s="10"/>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spans="1:26" ht="17.399999999999999" x14ac:dyDescent="0.3">
      <c r="A6483" s="10"/>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spans="1:26" ht="17.399999999999999" x14ac:dyDescent="0.3">
      <c r="A6484" s="10"/>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spans="1:26" ht="17.399999999999999" x14ac:dyDescent="0.3">
      <c r="A6485" s="10"/>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spans="1:26" ht="17.399999999999999" x14ac:dyDescent="0.3">
      <c r="A6486" s="10"/>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spans="1:26" ht="17.399999999999999" x14ac:dyDescent="0.3">
      <c r="A6487" s="10"/>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spans="1:26" ht="17.399999999999999" x14ac:dyDescent="0.3">
      <c r="A6488" s="10"/>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spans="1:26" ht="17.399999999999999" x14ac:dyDescent="0.3">
      <c r="A6489" s="10"/>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spans="1:26" ht="17.399999999999999" x14ac:dyDescent="0.3">
      <c r="A6490" s="10"/>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spans="1:26" ht="17.399999999999999" x14ac:dyDescent="0.3">
      <c r="A6491" s="10"/>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spans="1:26" ht="17.399999999999999" x14ac:dyDescent="0.3">
      <c r="A6492" s="10"/>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spans="1:26" ht="17.399999999999999" x14ac:dyDescent="0.3">
      <c r="A6493" s="10"/>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spans="1:26" ht="17.399999999999999" x14ac:dyDescent="0.3">
      <c r="A6494" s="10"/>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spans="1:26" ht="17.399999999999999" x14ac:dyDescent="0.3">
      <c r="A6495" s="10"/>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spans="1:26" ht="17.399999999999999" x14ac:dyDescent="0.3">
      <c r="A6496" s="10"/>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spans="1:26" ht="17.399999999999999" x14ac:dyDescent="0.3">
      <c r="A6497" s="10"/>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spans="1:26" ht="17.399999999999999" x14ac:dyDescent="0.3">
      <c r="A6498" s="10"/>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spans="1:26" ht="17.399999999999999" x14ac:dyDescent="0.3">
      <c r="A6499" s="10"/>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spans="1:26" ht="17.399999999999999" x14ac:dyDescent="0.3">
      <c r="A6500" s="10"/>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spans="1:26" ht="17.399999999999999" x14ac:dyDescent="0.3">
      <c r="A6501" s="10"/>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spans="1:26" ht="17.399999999999999" x14ac:dyDescent="0.3">
      <c r="A6502" s="10"/>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spans="1:26" ht="17.399999999999999" x14ac:dyDescent="0.3">
      <c r="A6503" s="10"/>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spans="1:26" ht="17.399999999999999" x14ac:dyDescent="0.3">
      <c r="A6504" s="10"/>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spans="1:26" ht="17.399999999999999" x14ac:dyDescent="0.3">
      <c r="A6505" s="10"/>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spans="1:26" ht="17.399999999999999" x14ac:dyDescent="0.3">
      <c r="A6506" s="10"/>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spans="1:26" ht="17.399999999999999" x14ac:dyDescent="0.3">
      <c r="A6507" s="10"/>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spans="1:26" ht="17.399999999999999" x14ac:dyDescent="0.3">
      <c r="A6508" s="10"/>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spans="1:26" ht="17.399999999999999" x14ac:dyDescent="0.3">
      <c r="A6509" s="10"/>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spans="1:26" ht="17.399999999999999" x14ac:dyDescent="0.3">
      <c r="A6510" s="10"/>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spans="1:26" ht="17.399999999999999" x14ac:dyDescent="0.3">
      <c r="A6511" s="10"/>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spans="1:26" ht="17.399999999999999" x14ac:dyDescent="0.3">
      <c r="A6512" s="10"/>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spans="1:26" ht="17.399999999999999" x14ac:dyDescent="0.3">
      <c r="A6513" s="10"/>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spans="1:26" ht="17.399999999999999" x14ac:dyDescent="0.3">
      <c r="A6514" s="10"/>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spans="1:26" ht="17.399999999999999" x14ac:dyDescent="0.3">
      <c r="A6515" s="10"/>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spans="1:26" ht="17.399999999999999" x14ac:dyDescent="0.3">
      <c r="A6516" s="10"/>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spans="1:26" ht="17.399999999999999" x14ac:dyDescent="0.3">
      <c r="A6517" s="10"/>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spans="1:26" ht="17.399999999999999" x14ac:dyDescent="0.3">
      <c r="A6518" s="10"/>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spans="1:26" ht="17.399999999999999" x14ac:dyDescent="0.3">
      <c r="A6519" s="10"/>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spans="1:26" ht="17.399999999999999" x14ac:dyDescent="0.3">
      <c r="A6520" s="10"/>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spans="1:26" ht="17.399999999999999" x14ac:dyDescent="0.3">
      <c r="A6521" s="10"/>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spans="1:26" ht="17.399999999999999" x14ac:dyDescent="0.3">
      <c r="A6522" s="10"/>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spans="1:26" ht="17.399999999999999" x14ac:dyDescent="0.3">
      <c r="A6523" s="10"/>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spans="1:26" ht="17.399999999999999" x14ac:dyDescent="0.3">
      <c r="A6524" s="10"/>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spans="1:26" ht="17.399999999999999" x14ac:dyDescent="0.3">
      <c r="A6525" s="10"/>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spans="1:26" ht="17.399999999999999" x14ac:dyDescent="0.3">
      <c r="A6526" s="10"/>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spans="1:26" ht="17.399999999999999" x14ac:dyDescent="0.3">
      <c r="A6527" s="10"/>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spans="1:26" ht="17.399999999999999" x14ac:dyDescent="0.3">
      <c r="A6528" s="10"/>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spans="1:26" ht="17.399999999999999" x14ac:dyDescent="0.3">
      <c r="A6529" s="10"/>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spans="1:26" ht="17.399999999999999" x14ac:dyDescent="0.3">
      <c r="A6530" s="10"/>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spans="1:26" ht="17.399999999999999" x14ac:dyDescent="0.3">
      <c r="A6531" s="10"/>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spans="1:26" ht="17.399999999999999" x14ac:dyDescent="0.3">
      <c r="A6532" s="10"/>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spans="1:26" ht="17.399999999999999" x14ac:dyDescent="0.3">
      <c r="A6533" s="10"/>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spans="1:26" ht="17.399999999999999" x14ac:dyDescent="0.3">
      <c r="A6534" s="10"/>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spans="1:26" ht="17.399999999999999" x14ac:dyDescent="0.3">
      <c r="A6535" s="10"/>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spans="1:26" ht="17.399999999999999" x14ac:dyDescent="0.3">
      <c r="A6536" s="10"/>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spans="1:26" ht="17.399999999999999" x14ac:dyDescent="0.3">
      <c r="A6537" s="10"/>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spans="1:26" ht="17.399999999999999" x14ac:dyDescent="0.3">
      <c r="A6538" s="10"/>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spans="1:26" ht="17.399999999999999" x14ac:dyDescent="0.3">
      <c r="A6539" s="10"/>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spans="1:26" ht="17.399999999999999" x14ac:dyDescent="0.3">
      <c r="A6540" s="10"/>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spans="1:26" ht="17.399999999999999" x14ac:dyDescent="0.3">
      <c r="A6541" s="10"/>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spans="1:26" ht="17.399999999999999" x14ac:dyDescent="0.3">
      <c r="A6542" s="10"/>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spans="1:26" ht="17.399999999999999" x14ac:dyDescent="0.3">
      <c r="A6543" s="10"/>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spans="1:26" ht="17.399999999999999" x14ac:dyDescent="0.3">
      <c r="A6544" s="10"/>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spans="1:26" ht="17.399999999999999" x14ac:dyDescent="0.3">
      <c r="A6545" s="10"/>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spans="1:26" ht="17.399999999999999" x14ac:dyDescent="0.3">
      <c r="A6546" s="10"/>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spans="1:26" ht="17.399999999999999" x14ac:dyDescent="0.3">
      <c r="A6547" s="10"/>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spans="1:26" ht="17.399999999999999" x14ac:dyDescent="0.3">
      <c r="A6548" s="10"/>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spans="1:26" ht="17.399999999999999" x14ac:dyDescent="0.3">
      <c r="A6549" s="10"/>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spans="1:26" ht="17.399999999999999" x14ac:dyDescent="0.3">
      <c r="A6550" s="10"/>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spans="1:26" ht="17.399999999999999" x14ac:dyDescent="0.3">
      <c r="A6551" s="10"/>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spans="1:26" ht="17.399999999999999" x14ac:dyDescent="0.3">
      <c r="A6552" s="10"/>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spans="1:26" ht="17.399999999999999" x14ac:dyDescent="0.3">
      <c r="A6553" s="10"/>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spans="1:26" ht="17.399999999999999" x14ac:dyDescent="0.3">
      <c r="A6554" s="10"/>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spans="1:26" ht="17.399999999999999" x14ac:dyDescent="0.3">
      <c r="A6555" s="10"/>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spans="1:26" ht="17.399999999999999" x14ac:dyDescent="0.3">
      <c r="A6556" s="10"/>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spans="1:26" ht="17.399999999999999" x14ac:dyDescent="0.3">
      <c r="A6557" s="10"/>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spans="1:26" ht="17.399999999999999" x14ac:dyDescent="0.3">
      <c r="A6558" s="10"/>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spans="1:26" ht="17.399999999999999" x14ac:dyDescent="0.3">
      <c r="A6559" s="10"/>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spans="1:26" ht="17.399999999999999" x14ac:dyDescent="0.3">
      <c r="A6560" s="10"/>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spans="1:26" ht="17.399999999999999" x14ac:dyDescent="0.3">
      <c r="A6561" s="10"/>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spans="1:26" ht="17.399999999999999" x14ac:dyDescent="0.3">
      <c r="A6562" s="10"/>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spans="1:26" ht="17.399999999999999" x14ac:dyDescent="0.3">
      <c r="A6563" s="10"/>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spans="1:26" ht="17.399999999999999" x14ac:dyDescent="0.3">
      <c r="A6564" s="10"/>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spans="1:26" ht="17.399999999999999" x14ac:dyDescent="0.3">
      <c r="A6565" s="10"/>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spans="1:26" ht="17.399999999999999" x14ac:dyDescent="0.3">
      <c r="A6566" s="10"/>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spans="1:26" ht="17.399999999999999" x14ac:dyDescent="0.3">
      <c r="A6567" s="10"/>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spans="1:26" ht="17.399999999999999" x14ac:dyDescent="0.3">
      <c r="A6568" s="10"/>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spans="1:26" ht="17.399999999999999" x14ac:dyDescent="0.3">
      <c r="A6569" s="10"/>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spans="1:26" ht="17.399999999999999" x14ac:dyDescent="0.3">
      <c r="A6570" s="10"/>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spans="1:26" ht="17.399999999999999" x14ac:dyDescent="0.3">
      <c r="A6571" s="10"/>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spans="1:26" ht="17.399999999999999" x14ac:dyDescent="0.3">
      <c r="A6572" s="10"/>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spans="1:26" ht="17.399999999999999" x14ac:dyDescent="0.3">
      <c r="A6573" s="10"/>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spans="1:26" ht="17.399999999999999" x14ac:dyDescent="0.3">
      <c r="A6574" s="10"/>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spans="1:26" ht="17.399999999999999" x14ac:dyDescent="0.3">
      <c r="A6575" s="10"/>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spans="1:26" ht="17.399999999999999" x14ac:dyDescent="0.3">
      <c r="A6576" s="10"/>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spans="1:26" ht="17.399999999999999" x14ac:dyDescent="0.3">
      <c r="A6577" s="10"/>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spans="1:26" ht="17.399999999999999" x14ac:dyDescent="0.3">
      <c r="A6578" s="10"/>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spans="1:26" ht="17.399999999999999" x14ac:dyDescent="0.3">
      <c r="A6579" s="10"/>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spans="1:26" ht="17.399999999999999" x14ac:dyDescent="0.3">
      <c r="A6580" s="10"/>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spans="1:26" ht="17.399999999999999" x14ac:dyDescent="0.3">
      <c r="A6581" s="10"/>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spans="1:26" ht="17.399999999999999" x14ac:dyDescent="0.3">
      <c r="A6582" s="10"/>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spans="1:26" ht="17.399999999999999" x14ac:dyDescent="0.3">
      <c r="A6583" s="10"/>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spans="1:26" ht="17.399999999999999" x14ac:dyDescent="0.3">
      <c r="A6584" s="10"/>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spans="1:26" ht="17.399999999999999" x14ac:dyDescent="0.3">
      <c r="A6585" s="10"/>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spans="1:26" ht="17.399999999999999" x14ac:dyDescent="0.3">
      <c r="A6586" s="10"/>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spans="1:26" ht="17.399999999999999" x14ac:dyDescent="0.3">
      <c r="A6587" s="10"/>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spans="1:26" ht="17.399999999999999" x14ac:dyDescent="0.3">
      <c r="A6588" s="10"/>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spans="1:26" ht="17.399999999999999" x14ac:dyDescent="0.3">
      <c r="A6589" s="10"/>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spans="1:26" ht="17.399999999999999" x14ac:dyDescent="0.3">
      <c r="A6590" s="10"/>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spans="1:26" ht="17.399999999999999" x14ac:dyDescent="0.3">
      <c r="A6591" s="10"/>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spans="1:26" ht="17.399999999999999" x14ac:dyDescent="0.3">
      <c r="A6592" s="10"/>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spans="1:26" ht="17.399999999999999" x14ac:dyDescent="0.3">
      <c r="A6593" s="10"/>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spans="1:26" ht="17.399999999999999" x14ac:dyDescent="0.3">
      <c r="A6594" s="10"/>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spans="1:26" ht="17.399999999999999" x14ac:dyDescent="0.3">
      <c r="A6595" s="10"/>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spans="1:26" ht="17.399999999999999" x14ac:dyDescent="0.3">
      <c r="A6596" s="10"/>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spans="1:26" ht="17.399999999999999" x14ac:dyDescent="0.3">
      <c r="A6597" s="10"/>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spans="1:26" ht="17.399999999999999" x14ac:dyDescent="0.3">
      <c r="A6598" s="10"/>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spans="1:26" ht="17.399999999999999" x14ac:dyDescent="0.3">
      <c r="A6599" s="10"/>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spans="1:26" ht="17.399999999999999" x14ac:dyDescent="0.3">
      <c r="A6600" s="10"/>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spans="1:26" ht="17.399999999999999" x14ac:dyDescent="0.3">
      <c r="A6601" s="10"/>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spans="1:26" ht="17.399999999999999" x14ac:dyDescent="0.3">
      <c r="A6602" s="10"/>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spans="1:26" ht="17.399999999999999" x14ac:dyDescent="0.3">
      <c r="A6603" s="10"/>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spans="1:26" ht="17.399999999999999" x14ac:dyDescent="0.3">
      <c r="A6604" s="10"/>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spans="1:26" ht="17.399999999999999" x14ac:dyDescent="0.3">
      <c r="A6605" s="10"/>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spans="1:26" ht="17.399999999999999" x14ac:dyDescent="0.3">
      <c r="A6606" s="10"/>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spans="1:26" ht="17.399999999999999" x14ac:dyDescent="0.3">
      <c r="A6607" s="10"/>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spans="1:26" ht="17.399999999999999" x14ac:dyDescent="0.3">
      <c r="A6608" s="10"/>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spans="1:26" ht="17.399999999999999" x14ac:dyDescent="0.3">
      <c r="A6609" s="10"/>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spans="1:26" ht="17.399999999999999" x14ac:dyDescent="0.3">
      <c r="A6610" s="10"/>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spans="1:26" ht="17.399999999999999" x14ac:dyDescent="0.3">
      <c r="A6611" s="10"/>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spans="1:26" ht="17.399999999999999" x14ac:dyDescent="0.3">
      <c r="A6612" s="10"/>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spans="1:26" ht="17.399999999999999" x14ac:dyDescent="0.3">
      <c r="A6613" s="10"/>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spans="1:26" ht="17.399999999999999" x14ac:dyDescent="0.3">
      <c r="A6614" s="10"/>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spans="1:26" ht="17.399999999999999" x14ac:dyDescent="0.3">
      <c r="A6615" s="10"/>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spans="1:26" ht="17.399999999999999" x14ac:dyDescent="0.3">
      <c r="A6616" s="10"/>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spans="1:26" ht="17.399999999999999" x14ac:dyDescent="0.3">
      <c r="A6617" s="10"/>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spans="1:26" ht="17.399999999999999" x14ac:dyDescent="0.3">
      <c r="A6618" s="10"/>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spans="1:26" ht="17.399999999999999" x14ac:dyDescent="0.3">
      <c r="A6619" s="10"/>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spans="1:26" ht="17.399999999999999" x14ac:dyDescent="0.3">
      <c r="A6620" s="10"/>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spans="1:26" ht="17.399999999999999" x14ac:dyDescent="0.3">
      <c r="A6621" s="10"/>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spans="1:26" ht="17.399999999999999" x14ac:dyDescent="0.3">
      <c r="A6622" s="10"/>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spans="1:26" ht="17.399999999999999" x14ac:dyDescent="0.3">
      <c r="A6623" s="10"/>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spans="1:26" ht="17.399999999999999" x14ac:dyDescent="0.3">
      <c r="A6624" s="10"/>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spans="1:26" ht="17.399999999999999" x14ac:dyDescent="0.3">
      <c r="A6625" s="10"/>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spans="1:26" ht="17.399999999999999" x14ac:dyDescent="0.3">
      <c r="A6626" s="10"/>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spans="1:26" ht="17.399999999999999" x14ac:dyDescent="0.3">
      <c r="A6627" s="10"/>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spans="1:26" ht="17.399999999999999" x14ac:dyDescent="0.3">
      <c r="A6628" s="10"/>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spans="1:26" ht="17.399999999999999" x14ac:dyDescent="0.3">
      <c r="A6629" s="10"/>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spans="1:26" ht="17.399999999999999" x14ac:dyDescent="0.3">
      <c r="A6630" s="10"/>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spans="1:26" ht="17.399999999999999" x14ac:dyDescent="0.3">
      <c r="A6631" s="10"/>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spans="1:26" ht="17.399999999999999" x14ac:dyDescent="0.3">
      <c r="A6632" s="10"/>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spans="1:26" ht="17.399999999999999" x14ac:dyDescent="0.3">
      <c r="A6633" s="10"/>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spans="1:26" ht="17.399999999999999" x14ac:dyDescent="0.3">
      <c r="A6634" s="10"/>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spans="1:26" ht="17.399999999999999" x14ac:dyDescent="0.3">
      <c r="A6635" s="10"/>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spans="1:26" ht="17.399999999999999" x14ac:dyDescent="0.3">
      <c r="A6636" s="10"/>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spans="1:26" ht="17.399999999999999" x14ac:dyDescent="0.3">
      <c r="A6637" s="10"/>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spans="1:26" ht="17.399999999999999" x14ac:dyDescent="0.3">
      <c r="A6638" s="10"/>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spans="1:26" ht="17.399999999999999" x14ac:dyDescent="0.3">
      <c r="A6639" s="10"/>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spans="1:26" ht="17.399999999999999" x14ac:dyDescent="0.3">
      <c r="A6640" s="10"/>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spans="1:26" ht="17.399999999999999" x14ac:dyDescent="0.3">
      <c r="A6641" s="10"/>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spans="1:26" ht="17.399999999999999" x14ac:dyDescent="0.3">
      <c r="A6642" s="10"/>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spans="1:26" ht="17.399999999999999" x14ac:dyDescent="0.3">
      <c r="A6643" s="10"/>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spans="1:26" ht="17.399999999999999" x14ac:dyDescent="0.3">
      <c r="A6644" s="10"/>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spans="1:26" ht="17.399999999999999" x14ac:dyDescent="0.3">
      <c r="A6645" s="10"/>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spans="1:26" ht="17.399999999999999" x14ac:dyDescent="0.3">
      <c r="A6646" s="10"/>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spans="1:26" ht="17.399999999999999" x14ac:dyDescent="0.3">
      <c r="A6647" s="10"/>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spans="1:26" ht="17.399999999999999" x14ac:dyDescent="0.3">
      <c r="A6648" s="10"/>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spans="1:26" ht="17.399999999999999" x14ac:dyDescent="0.3">
      <c r="A6649" s="10"/>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spans="1:26" ht="17.399999999999999" x14ac:dyDescent="0.3">
      <c r="A6650" s="10"/>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spans="1:26" ht="17.399999999999999" x14ac:dyDescent="0.3">
      <c r="A6651" s="10"/>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spans="1:26" ht="17.399999999999999" x14ac:dyDescent="0.3">
      <c r="A6652" s="10"/>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spans="1:26" ht="17.399999999999999" x14ac:dyDescent="0.3">
      <c r="A6653" s="10"/>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spans="1:26" ht="17.399999999999999" x14ac:dyDescent="0.3">
      <c r="A6654" s="10"/>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spans="1:26" ht="17.399999999999999" x14ac:dyDescent="0.3">
      <c r="A6655" s="10"/>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spans="1:26" ht="17.399999999999999" x14ac:dyDescent="0.3">
      <c r="A6656" s="10"/>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spans="1:26" ht="17.399999999999999" x14ac:dyDescent="0.3">
      <c r="A6657" s="10"/>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spans="1:26" ht="17.399999999999999" x14ac:dyDescent="0.3">
      <c r="A6658" s="10"/>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spans="1:26" ht="17.399999999999999" x14ac:dyDescent="0.3">
      <c r="A6659" s="10"/>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spans="1:26" ht="17.399999999999999" x14ac:dyDescent="0.3">
      <c r="A6660" s="10"/>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spans="1:26" ht="17.399999999999999" x14ac:dyDescent="0.3">
      <c r="A6661" s="10"/>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spans="1:26" ht="17.399999999999999" x14ac:dyDescent="0.3">
      <c r="A6662" s="10"/>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spans="1:26" ht="17.399999999999999" x14ac:dyDescent="0.3">
      <c r="A6663" s="10"/>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spans="1:26" ht="17.399999999999999" x14ac:dyDescent="0.3">
      <c r="A6664" s="10"/>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spans="1:26" ht="17.399999999999999" x14ac:dyDescent="0.3">
      <c r="A6665" s="10"/>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spans="1:26" ht="17.399999999999999" x14ac:dyDescent="0.3">
      <c r="A6666" s="10"/>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spans="1:26" ht="17.399999999999999" x14ac:dyDescent="0.3">
      <c r="A6667" s="10"/>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spans="1:26" ht="17.399999999999999" x14ac:dyDescent="0.3">
      <c r="A6668" s="10"/>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spans="1:26" ht="17.399999999999999" x14ac:dyDescent="0.3">
      <c r="A6669" s="10"/>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spans="1:26" ht="17.399999999999999" x14ac:dyDescent="0.3">
      <c r="A6670" s="10"/>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spans="1:26" ht="17.399999999999999" x14ac:dyDescent="0.3">
      <c r="A6671" s="10"/>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spans="1:26" ht="17.399999999999999" x14ac:dyDescent="0.3">
      <c r="A6672" s="10"/>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spans="1:26" ht="17.399999999999999" x14ac:dyDescent="0.3">
      <c r="A6673" s="10"/>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spans="1:26" ht="17.399999999999999" x14ac:dyDescent="0.3">
      <c r="A6674" s="10"/>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spans="1:26" ht="17.399999999999999" x14ac:dyDescent="0.3">
      <c r="A6675" s="10"/>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spans="1:26" ht="17.399999999999999" x14ac:dyDescent="0.3">
      <c r="A6676" s="10"/>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spans="1:26" ht="17.399999999999999" x14ac:dyDescent="0.3">
      <c r="A6677" s="10"/>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spans="1:26" ht="17.399999999999999" x14ac:dyDescent="0.3">
      <c r="A6678" s="10"/>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spans="1:26" ht="17.399999999999999" x14ac:dyDescent="0.3">
      <c r="A6679" s="10"/>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spans="1:26" ht="17.399999999999999" x14ac:dyDescent="0.3">
      <c r="A6680" s="10"/>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spans="1:26" ht="17.399999999999999" x14ac:dyDescent="0.3">
      <c r="A6681" s="10"/>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spans="1:26" ht="17.399999999999999" x14ac:dyDescent="0.3">
      <c r="A6682" s="10"/>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spans="1:26" ht="17.399999999999999" x14ac:dyDescent="0.3">
      <c r="A6683" s="10"/>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spans="1:26" ht="17.399999999999999" x14ac:dyDescent="0.3">
      <c r="A6684" s="10"/>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spans="1:26" ht="17.399999999999999" x14ac:dyDescent="0.3">
      <c r="A6685" s="10"/>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spans="1:26" ht="17.399999999999999" x14ac:dyDescent="0.3">
      <c r="A6686" s="10"/>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spans="1:26" ht="17.399999999999999" x14ac:dyDescent="0.3">
      <c r="A6687" s="10"/>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spans="1:26" ht="17.399999999999999" x14ac:dyDescent="0.3">
      <c r="A6688" s="10"/>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spans="1:26" ht="17.399999999999999" x14ac:dyDescent="0.3">
      <c r="A6689" s="10"/>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spans="1:26" ht="17.399999999999999" x14ac:dyDescent="0.3">
      <c r="A6690" s="10"/>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spans="1:26" ht="17.399999999999999" x14ac:dyDescent="0.3">
      <c r="A6691" s="10"/>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spans="1:26" ht="17.399999999999999" x14ac:dyDescent="0.3">
      <c r="A6692" s="10"/>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spans="1:26" ht="17.399999999999999" x14ac:dyDescent="0.3">
      <c r="A6693" s="10"/>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spans="1:26" ht="17.399999999999999" x14ac:dyDescent="0.3">
      <c r="A6694" s="10"/>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spans="1:26" ht="17.399999999999999" x14ac:dyDescent="0.3">
      <c r="A6695" s="10"/>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spans="1:26" ht="17.399999999999999" x14ac:dyDescent="0.3">
      <c r="A6696" s="10"/>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spans="1:26" ht="17.399999999999999" x14ac:dyDescent="0.3">
      <c r="A6697" s="10"/>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spans="1:26" ht="17.399999999999999" x14ac:dyDescent="0.3">
      <c r="A6698" s="10"/>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spans="1:26" ht="17.399999999999999" x14ac:dyDescent="0.3">
      <c r="A6699" s="10"/>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spans="1:26" ht="17.399999999999999" x14ac:dyDescent="0.3">
      <c r="A6700" s="10"/>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spans="1:26" ht="17.399999999999999" x14ac:dyDescent="0.3">
      <c r="A6701" s="10"/>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spans="1:26" ht="17.399999999999999" x14ac:dyDescent="0.3">
      <c r="A6702" s="10"/>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spans="1:26" ht="17.399999999999999" x14ac:dyDescent="0.3">
      <c r="A6703" s="10"/>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spans="1:26" ht="17.399999999999999" x14ac:dyDescent="0.3">
      <c r="A6704" s="10"/>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spans="1:26" ht="17.399999999999999" x14ac:dyDescent="0.3">
      <c r="A6705" s="10"/>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spans="1:26" ht="17.399999999999999" x14ac:dyDescent="0.3">
      <c r="A6706" s="10"/>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spans="1:26" ht="17.399999999999999" x14ac:dyDescent="0.3">
      <c r="A6707" s="10"/>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spans="1:26" ht="17.399999999999999" x14ac:dyDescent="0.3">
      <c r="A6708" s="10"/>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spans="1:26" ht="17.399999999999999" x14ac:dyDescent="0.3">
      <c r="A6709" s="10"/>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spans="1:26" ht="17.399999999999999" x14ac:dyDescent="0.3">
      <c r="A6710" s="10"/>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spans="1:26" ht="17.399999999999999" x14ac:dyDescent="0.3">
      <c r="A6711" s="10"/>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spans="1:26" ht="17.399999999999999" x14ac:dyDescent="0.3">
      <c r="A6712" s="10"/>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spans="1:26" ht="17.399999999999999" x14ac:dyDescent="0.3">
      <c r="A6713" s="10"/>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spans="1:26" ht="17.399999999999999" x14ac:dyDescent="0.3">
      <c r="A6714" s="10"/>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spans="1:26" ht="17.399999999999999" x14ac:dyDescent="0.3">
      <c r="A6715" s="10"/>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spans="1:26" ht="17.399999999999999" x14ac:dyDescent="0.3">
      <c r="A6716" s="10"/>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spans="1:26" ht="17.399999999999999" x14ac:dyDescent="0.3">
      <c r="A6717" s="10"/>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spans="1:26" ht="17.399999999999999" x14ac:dyDescent="0.3">
      <c r="A6718" s="10"/>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spans="1:26" ht="17.399999999999999" x14ac:dyDescent="0.3">
      <c r="A6719" s="10"/>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spans="1:26" ht="17.399999999999999" x14ac:dyDescent="0.3">
      <c r="A6720" s="10"/>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spans="1:26" ht="17.399999999999999" x14ac:dyDescent="0.3">
      <c r="A6721" s="10"/>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spans="1:26" ht="17.399999999999999" x14ac:dyDescent="0.3">
      <c r="A6722" s="10"/>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spans="1:26" ht="17.399999999999999" x14ac:dyDescent="0.3">
      <c r="A6723" s="10"/>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spans="1:26" ht="17.399999999999999" x14ac:dyDescent="0.3">
      <c r="A6724" s="10"/>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spans="1:26" ht="17.399999999999999" x14ac:dyDescent="0.3">
      <c r="A6725" s="10"/>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spans="1:26" ht="17.399999999999999" x14ac:dyDescent="0.3">
      <c r="A6726" s="10"/>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spans="1:26" ht="17.399999999999999" x14ac:dyDescent="0.3">
      <c r="A6727" s="10"/>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spans="1:26" ht="17.399999999999999" x14ac:dyDescent="0.3">
      <c r="A6728" s="10"/>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spans="1:26" ht="17.399999999999999" x14ac:dyDescent="0.3">
      <c r="A6729" s="10"/>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spans="1:26" ht="17.399999999999999" x14ac:dyDescent="0.3">
      <c r="A6730" s="10"/>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spans="1:26" ht="17.399999999999999" x14ac:dyDescent="0.3">
      <c r="A6731" s="10"/>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spans="1:26" ht="17.399999999999999" x14ac:dyDescent="0.3">
      <c r="A6732" s="10"/>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spans="1:26" ht="17.399999999999999" x14ac:dyDescent="0.3">
      <c r="A6733" s="10"/>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spans="1:26" ht="17.399999999999999" x14ac:dyDescent="0.3">
      <c r="A6734" s="10"/>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spans="1:26" ht="17.399999999999999" x14ac:dyDescent="0.3">
      <c r="A6735" s="10"/>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spans="1:26" ht="17.399999999999999" x14ac:dyDescent="0.3">
      <c r="A6736" s="10"/>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spans="1:26" ht="17.399999999999999" x14ac:dyDescent="0.3">
      <c r="A6737" s="10"/>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spans="1:26" ht="17.399999999999999" x14ac:dyDescent="0.3">
      <c r="A6738" s="10"/>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spans="1:26" ht="17.399999999999999" x14ac:dyDescent="0.3">
      <c r="A6739" s="10"/>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spans="1:26" ht="17.399999999999999" x14ac:dyDescent="0.3">
      <c r="A6740" s="10"/>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spans="1:26" ht="17.399999999999999" x14ac:dyDescent="0.3">
      <c r="A6741" s="10"/>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spans="1:26" ht="17.399999999999999" x14ac:dyDescent="0.3">
      <c r="A6742" s="10"/>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spans="1:26" ht="17.399999999999999" x14ac:dyDescent="0.3">
      <c r="A6743" s="10"/>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spans="1:26" ht="17.399999999999999" x14ac:dyDescent="0.3">
      <c r="A6744" s="10"/>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spans="1:26" ht="17.399999999999999" x14ac:dyDescent="0.3">
      <c r="A6745" s="10"/>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spans="1:26" ht="17.399999999999999" x14ac:dyDescent="0.3">
      <c r="A6746" s="10"/>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spans="1:26" ht="17.399999999999999" x14ac:dyDescent="0.3">
      <c r="A6747" s="10"/>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spans="1:26" ht="17.399999999999999" x14ac:dyDescent="0.3">
      <c r="A6748" s="10"/>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spans="1:26" ht="17.399999999999999" x14ac:dyDescent="0.3">
      <c r="A6749" s="10"/>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spans="1:26" ht="17.399999999999999" x14ac:dyDescent="0.3">
      <c r="A6750" s="10"/>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spans="1:26" ht="17.399999999999999" x14ac:dyDescent="0.3">
      <c r="A6751" s="10"/>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spans="1:26" ht="17.399999999999999" x14ac:dyDescent="0.3">
      <c r="A6752" s="10"/>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spans="1:26" ht="17.399999999999999" x14ac:dyDescent="0.3">
      <c r="A6753" s="10"/>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spans="1:26" ht="17.399999999999999" x14ac:dyDescent="0.3">
      <c r="A6754" s="10"/>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spans="1:26" ht="17.399999999999999" x14ac:dyDescent="0.3">
      <c r="A6755" s="10"/>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spans="1:26" ht="17.399999999999999" x14ac:dyDescent="0.3">
      <c r="A6756" s="10"/>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spans="1:26" ht="17.399999999999999" x14ac:dyDescent="0.3">
      <c r="A6757" s="10"/>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spans="1:26" ht="17.399999999999999" x14ac:dyDescent="0.3">
      <c r="A6758" s="10"/>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spans="1:26" ht="17.399999999999999" x14ac:dyDescent="0.3">
      <c r="A6759" s="10"/>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spans="1:26" ht="17.399999999999999" x14ac:dyDescent="0.3">
      <c r="A6760" s="10"/>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spans="1:26" ht="17.399999999999999" x14ac:dyDescent="0.3">
      <c r="A6761" s="10"/>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spans="1:26" ht="17.399999999999999" x14ac:dyDescent="0.3">
      <c r="A6762" s="10"/>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spans="1:26" ht="17.399999999999999" x14ac:dyDescent="0.3">
      <c r="A6763" s="10"/>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spans="1:26" ht="17.399999999999999" x14ac:dyDescent="0.3">
      <c r="A6764" s="10"/>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spans="1:26" ht="17.399999999999999" x14ac:dyDescent="0.3">
      <c r="A6765" s="10"/>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spans="1:26" ht="17.399999999999999" x14ac:dyDescent="0.3">
      <c r="A6766" s="10"/>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spans="1:26" ht="17.399999999999999" x14ac:dyDescent="0.3">
      <c r="A6767" s="10"/>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spans="1:26" ht="17.399999999999999" x14ac:dyDescent="0.3">
      <c r="A6768" s="10"/>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spans="1:26" ht="17.399999999999999" x14ac:dyDescent="0.3">
      <c r="A6769" s="10"/>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spans="1:26" ht="17.399999999999999" x14ac:dyDescent="0.3">
      <c r="A6770" s="10"/>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spans="1:26" ht="17.399999999999999" x14ac:dyDescent="0.3">
      <c r="A6771" s="10"/>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spans="1:26" ht="17.399999999999999" x14ac:dyDescent="0.3">
      <c r="A6772" s="10"/>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spans="1:26" ht="17.399999999999999" x14ac:dyDescent="0.3">
      <c r="A6773" s="10"/>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spans="1:26" ht="17.399999999999999" x14ac:dyDescent="0.3">
      <c r="A6774" s="10"/>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spans="1:26" ht="17.399999999999999" x14ac:dyDescent="0.3">
      <c r="A6775" s="10"/>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spans="1:26" ht="17.399999999999999" x14ac:dyDescent="0.3">
      <c r="A6776" s="10"/>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spans="1:26" ht="17.399999999999999" x14ac:dyDescent="0.3">
      <c r="A6777" s="10"/>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spans="1:26" ht="17.399999999999999" x14ac:dyDescent="0.3">
      <c r="A6778" s="10"/>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spans="1:26" ht="17.399999999999999" x14ac:dyDescent="0.3">
      <c r="A6779" s="10"/>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spans="1:26" ht="17.399999999999999" x14ac:dyDescent="0.3">
      <c r="A6780" s="10"/>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spans="1:26" ht="17.399999999999999" x14ac:dyDescent="0.3">
      <c r="A6781" s="10"/>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spans="1:26" ht="17.399999999999999" x14ac:dyDescent="0.3">
      <c r="A6782" s="10"/>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spans="1:26" ht="17.399999999999999" x14ac:dyDescent="0.3">
      <c r="A6783" s="10"/>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spans="1:26" ht="17.399999999999999" x14ac:dyDescent="0.3">
      <c r="A6784" s="10"/>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spans="1:26" ht="17.399999999999999" x14ac:dyDescent="0.3">
      <c r="A6785" s="10"/>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spans="1:26" ht="17.399999999999999" x14ac:dyDescent="0.3">
      <c r="A6786" s="10"/>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spans="1:26" ht="17.399999999999999" x14ac:dyDescent="0.3">
      <c r="A6787" s="10"/>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spans="1:26" ht="17.399999999999999" x14ac:dyDescent="0.3">
      <c r="A6788" s="10"/>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spans="1:26" ht="17.399999999999999" x14ac:dyDescent="0.3">
      <c r="A6789" s="10"/>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spans="1:26" ht="17.399999999999999" x14ac:dyDescent="0.3">
      <c r="A6790" s="10"/>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spans="1:26" ht="17.399999999999999" x14ac:dyDescent="0.3">
      <c r="A6791" s="10"/>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spans="1:26" ht="17.399999999999999" x14ac:dyDescent="0.3">
      <c r="A6792" s="10"/>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spans="1:26" ht="17.399999999999999" x14ac:dyDescent="0.3">
      <c r="A6793" s="10"/>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spans="1:26" ht="17.399999999999999" x14ac:dyDescent="0.3">
      <c r="A6794" s="10"/>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spans="1:26" ht="17.399999999999999" x14ac:dyDescent="0.3">
      <c r="A6795" s="10"/>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spans="1:26" ht="17.399999999999999" x14ac:dyDescent="0.3">
      <c r="A6796" s="10"/>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spans="1:26" ht="17.399999999999999" x14ac:dyDescent="0.3">
      <c r="A6797" s="10"/>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spans="1:26" ht="17.399999999999999" x14ac:dyDescent="0.3">
      <c r="A6798" s="10"/>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spans="1:26" ht="17.399999999999999" x14ac:dyDescent="0.3">
      <c r="A6799" s="10"/>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spans="1:26" ht="17.399999999999999" x14ac:dyDescent="0.3">
      <c r="A6800" s="10"/>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spans="1:26" ht="17.399999999999999" x14ac:dyDescent="0.3">
      <c r="A6801" s="10"/>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spans="1:26" ht="17.399999999999999" x14ac:dyDescent="0.3">
      <c r="A6802" s="10"/>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spans="1:26" ht="17.399999999999999" x14ac:dyDescent="0.3">
      <c r="A6803" s="10"/>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spans="1:26" ht="17.399999999999999" x14ac:dyDescent="0.3">
      <c r="A6804" s="10"/>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spans="1:26" ht="17.399999999999999" x14ac:dyDescent="0.3">
      <c r="A6805" s="10"/>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spans="1:26" ht="17.399999999999999" x14ac:dyDescent="0.3">
      <c r="A6806" s="10"/>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spans="1:26" ht="17.399999999999999" x14ac:dyDescent="0.3">
      <c r="A6807" s="10"/>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spans="1:26" ht="17.399999999999999" x14ac:dyDescent="0.3">
      <c r="A6808" s="10"/>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spans="1:26" ht="17.399999999999999" x14ac:dyDescent="0.3">
      <c r="A6809" s="10"/>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spans="1:26" ht="17.399999999999999" x14ac:dyDescent="0.3">
      <c r="A6810" s="10"/>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spans="1:26" ht="17.399999999999999" x14ac:dyDescent="0.3">
      <c r="A6811" s="10"/>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spans="1:26" ht="17.399999999999999" x14ac:dyDescent="0.3">
      <c r="A6812" s="10"/>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spans="1:26" ht="17.399999999999999" x14ac:dyDescent="0.3">
      <c r="A6813" s="10"/>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spans="1:26" ht="17.399999999999999" x14ac:dyDescent="0.3">
      <c r="A6814" s="10"/>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spans="1:26" ht="17.399999999999999" x14ac:dyDescent="0.3">
      <c r="A6815" s="10"/>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spans="1:26" ht="17.399999999999999" x14ac:dyDescent="0.3">
      <c r="A6816" s="10"/>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spans="1:26" ht="17.399999999999999" x14ac:dyDescent="0.3">
      <c r="A6817" s="10"/>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spans="1:26" ht="17.399999999999999" x14ac:dyDescent="0.3">
      <c r="A6818" s="10"/>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spans="1:26" ht="17.399999999999999" x14ac:dyDescent="0.3">
      <c r="A6819" s="10"/>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spans="1:26" ht="17.399999999999999" x14ac:dyDescent="0.3">
      <c r="A6820" s="10"/>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spans="1:26" ht="17.399999999999999" x14ac:dyDescent="0.3">
      <c r="A6821" s="10"/>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spans="1:26" ht="17.399999999999999" x14ac:dyDescent="0.3">
      <c r="A6822" s="10"/>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spans="1:26" ht="17.399999999999999" x14ac:dyDescent="0.3">
      <c r="A6823" s="10"/>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spans="1:26" ht="17.399999999999999" x14ac:dyDescent="0.3">
      <c r="A6824" s="10"/>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spans="1:26" ht="17.399999999999999" x14ac:dyDescent="0.3">
      <c r="A6825" s="10"/>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spans="1:26" ht="17.399999999999999" x14ac:dyDescent="0.3">
      <c r="A6826" s="10"/>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spans="1:26" ht="17.399999999999999" x14ac:dyDescent="0.3">
      <c r="A6827" s="10"/>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spans="1:26" ht="17.399999999999999" x14ac:dyDescent="0.3">
      <c r="A6828" s="10"/>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spans="1:26" ht="17.399999999999999" x14ac:dyDescent="0.3">
      <c r="A6829" s="10"/>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spans="1:26" ht="17.399999999999999" x14ac:dyDescent="0.3">
      <c r="A6830" s="10"/>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spans="1:26" ht="17.399999999999999" x14ac:dyDescent="0.3">
      <c r="A6831" s="10"/>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spans="1:26" ht="17.399999999999999" x14ac:dyDescent="0.3">
      <c r="A6832" s="10"/>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spans="1:26" ht="17.399999999999999" x14ac:dyDescent="0.3">
      <c r="A6833" s="10"/>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spans="1:26" ht="17.399999999999999" x14ac:dyDescent="0.3">
      <c r="A6834" s="10"/>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spans="1:26" ht="17.399999999999999" x14ac:dyDescent="0.3">
      <c r="A6835" s="10"/>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spans="1:26" ht="17.399999999999999" x14ac:dyDescent="0.3">
      <c r="A6836" s="10"/>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spans="1:26" ht="17.399999999999999" x14ac:dyDescent="0.3">
      <c r="A6837" s="10"/>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spans="1:26" ht="17.399999999999999" x14ac:dyDescent="0.3">
      <c r="A6838" s="10"/>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spans="1:26" ht="17.399999999999999" x14ac:dyDescent="0.3">
      <c r="A6839" s="10"/>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spans="1:26" ht="17.399999999999999" x14ac:dyDescent="0.3">
      <c r="A6840" s="10"/>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spans="1:26" ht="17.399999999999999" x14ac:dyDescent="0.3">
      <c r="A6841" s="10"/>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spans="1:26" ht="17.399999999999999" x14ac:dyDescent="0.3">
      <c r="A6842" s="10"/>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spans="1:26" ht="17.399999999999999" x14ac:dyDescent="0.3">
      <c r="A6843" s="10"/>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spans="1:26" ht="17.399999999999999" x14ac:dyDescent="0.3">
      <c r="A6844" s="10"/>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spans="1:26" ht="17.399999999999999" x14ac:dyDescent="0.3">
      <c r="A6845" s="10"/>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spans="1:26" ht="17.399999999999999" x14ac:dyDescent="0.3">
      <c r="A6846" s="10"/>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spans="1:26" ht="17.399999999999999" x14ac:dyDescent="0.3">
      <c r="A6847" s="10"/>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spans="1:26" ht="17.399999999999999" x14ac:dyDescent="0.3">
      <c r="A6848" s="10"/>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spans="1:26" ht="17.399999999999999" x14ac:dyDescent="0.3">
      <c r="A6849" s="10"/>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spans="1:26" ht="17.399999999999999" x14ac:dyDescent="0.3">
      <c r="A6850" s="10"/>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spans="1:26" ht="17.399999999999999" x14ac:dyDescent="0.3">
      <c r="A6851" s="10"/>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spans="1:26" ht="17.399999999999999" x14ac:dyDescent="0.3">
      <c r="A6852" s="10"/>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spans="1:26" ht="17.399999999999999" x14ac:dyDescent="0.3">
      <c r="A6853" s="10"/>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spans="1:26" ht="17.399999999999999" x14ac:dyDescent="0.3">
      <c r="A6854" s="10"/>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spans="1:26" ht="17.399999999999999" x14ac:dyDescent="0.3">
      <c r="A6855" s="10"/>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spans="1:26" ht="17.399999999999999" x14ac:dyDescent="0.3">
      <c r="A6856" s="10"/>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spans="1:26" ht="17.399999999999999" x14ac:dyDescent="0.3">
      <c r="A6857" s="10"/>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spans="1:26" ht="17.399999999999999" x14ac:dyDescent="0.3">
      <c r="A6858" s="10"/>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spans="1:26" ht="17.399999999999999" x14ac:dyDescent="0.3">
      <c r="A6859" s="10"/>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spans="1:26" ht="17.399999999999999" x14ac:dyDescent="0.3">
      <c r="A6860" s="10"/>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spans="1:26" ht="17.399999999999999" x14ac:dyDescent="0.3">
      <c r="A6861" s="10"/>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spans="1:26" ht="17.399999999999999" x14ac:dyDescent="0.3">
      <c r="A6862" s="10"/>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spans="1:26" ht="17.399999999999999" x14ac:dyDescent="0.3">
      <c r="A6863" s="10"/>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spans="1:26" ht="17.399999999999999" x14ac:dyDescent="0.3">
      <c r="A6864" s="10"/>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spans="1:26" ht="17.399999999999999" x14ac:dyDescent="0.3">
      <c r="A6865" s="10"/>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spans="1:26" ht="17.399999999999999" x14ac:dyDescent="0.3">
      <c r="A6866" s="10"/>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spans="1:26" ht="17.399999999999999" x14ac:dyDescent="0.3">
      <c r="A6867" s="10"/>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spans="1:26" ht="17.399999999999999" x14ac:dyDescent="0.3">
      <c r="A6868" s="10"/>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spans="1:26" ht="17.399999999999999" x14ac:dyDescent="0.3">
      <c r="A6869" s="10"/>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spans="1:26" ht="17.399999999999999" x14ac:dyDescent="0.3">
      <c r="A6870" s="10"/>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spans="1:26" ht="17.399999999999999" x14ac:dyDescent="0.3">
      <c r="A6871" s="10"/>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spans="1:26" ht="17.399999999999999" x14ac:dyDescent="0.3">
      <c r="A6872" s="10"/>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spans="1:26" ht="17.399999999999999" x14ac:dyDescent="0.3">
      <c r="A6873" s="10"/>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spans="1:26" ht="17.399999999999999" x14ac:dyDescent="0.3">
      <c r="A6874" s="10"/>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spans="1:26" ht="17.399999999999999" x14ac:dyDescent="0.3">
      <c r="A6875" s="10"/>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spans="1:26" ht="17.399999999999999" x14ac:dyDescent="0.3">
      <c r="A6876" s="10"/>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spans="1:26" ht="17.399999999999999" x14ac:dyDescent="0.3">
      <c r="A6877" s="10"/>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spans="1:26" ht="17.399999999999999" x14ac:dyDescent="0.3">
      <c r="A6878" s="10"/>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spans="1:26" ht="17.399999999999999" x14ac:dyDescent="0.3">
      <c r="A6879" s="10"/>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spans="1:26" ht="17.399999999999999" x14ac:dyDescent="0.3">
      <c r="A6880" s="10"/>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spans="1:26" ht="17.399999999999999" x14ac:dyDescent="0.3">
      <c r="A6881" s="10"/>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spans="1:26" ht="17.399999999999999" x14ac:dyDescent="0.3">
      <c r="A6882" s="10"/>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spans="1:26" ht="17.399999999999999" x14ac:dyDescent="0.3">
      <c r="A6883" s="10"/>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spans="1:26" ht="17.399999999999999" x14ac:dyDescent="0.3">
      <c r="A6884" s="10"/>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spans="1:26" ht="17.399999999999999" x14ac:dyDescent="0.3">
      <c r="A6885" s="10"/>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spans="1:26" ht="17.399999999999999" x14ac:dyDescent="0.3">
      <c r="A6886" s="10"/>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spans="1:26" ht="17.399999999999999" x14ac:dyDescent="0.3">
      <c r="A6887" s="10"/>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spans="1:26" ht="17.399999999999999" x14ac:dyDescent="0.3">
      <c r="A6888" s="10"/>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spans="1:26" ht="17.399999999999999" x14ac:dyDescent="0.3">
      <c r="A6889" s="10"/>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spans="1:26" ht="17.399999999999999" x14ac:dyDescent="0.3">
      <c r="A6890" s="10"/>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spans="1:26" ht="17.399999999999999" x14ac:dyDescent="0.3">
      <c r="A6891" s="10"/>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spans="1:26" ht="17.399999999999999" x14ac:dyDescent="0.3">
      <c r="A6892" s="10"/>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spans="1:26" ht="17.399999999999999" x14ac:dyDescent="0.3">
      <c r="A6893" s="10"/>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spans="1:26" ht="17.399999999999999" x14ac:dyDescent="0.3">
      <c r="A6894" s="10"/>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spans="1:26" ht="17.399999999999999" x14ac:dyDescent="0.3">
      <c r="A6895" s="10"/>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spans="1:26" ht="17.399999999999999" x14ac:dyDescent="0.3">
      <c r="A6896" s="10"/>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spans="1:26" ht="17.399999999999999" x14ac:dyDescent="0.3">
      <c r="A6897" s="10"/>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spans="1:26" ht="17.399999999999999" x14ac:dyDescent="0.3">
      <c r="A6898" s="10"/>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spans="1:26" ht="17.399999999999999" x14ac:dyDescent="0.3">
      <c r="A6899" s="10"/>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spans="1:26" ht="17.399999999999999" x14ac:dyDescent="0.3">
      <c r="A6900" s="10"/>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spans="1:26" ht="17.399999999999999" x14ac:dyDescent="0.3">
      <c r="A6901" s="10"/>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spans="1:26" ht="17.399999999999999" x14ac:dyDescent="0.3">
      <c r="A6902" s="10"/>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spans="1:26" ht="17.399999999999999" x14ac:dyDescent="0.3">
      <c r="A6903" s="10"/>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spans="1:26" ht="17.399999999999999" x14ac:dyDescent="0.3">
      <c r="A6904" s="10"/>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spans="1:26" ht="17.399999999999999" x14ac:dyDescent="0.3">
      <c r="A6905" s="10"/>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spans="1:26" ht="17.399999999999999" x14ac:dyDescent="0.3">
      <c r="A6906" s="10"/>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spans="1:26" ht="17.399999999999999" x14ac:dyDescent="0.3">
      <c r="A6907" s="10"/>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spans="1:26" ht="17.399999999999999" x14ac:dyDescent="0.3">
      <c r="A6908" s="10"/>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spans="1:26" ht="17.399999999999999" x14ac:dyDescent="0.3">
      <c r="A6909" s="10"/>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spans="1:26" ht="17.399999999999999" x14ac:dyDescent="0.3">
      <c r="A6910" s="10"/>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spans="1:26" ht="17.399999999999999" x14ac:dyDescent="0.3">
      <c r="A6911" s="10"/>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spans="1:26" ht="17.399999999999999" x14ac:dyDescent="0.3">
      <c r="A6912" s="10"/>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spans="1:26" ht="17.399999999999999" x14ac:dyDescent="0.3">
      <c r="A6913" s="10"/>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spans="1:26" ht="17.399999999999999" x14ac:dyDescent="0.3">
      <c r="A6914" s="10"/>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spans="1:26" ht="17.399999999999999" x14ac:dyDescent="0.3">
      <c r="A6915" s="10"/>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spans="1:26" ht="17.399999999999999" x14ac:dyDescent="0.3">
      <c r="A6916" s="10"/>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spans="1:26" ht="17.399999999999999" x14ac:dyDescent="0.3">
      <c r="A6917" s="10"/>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spans="1:26" ht="17.399999999999999" x14ac:dyDescent="0.3">
      <c r="A6918" s="10"/>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spans="1:26" ht="17.399999999999999" x14ac:dyDescent="0.3">
      <c r="A6919" s="10"/>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spans="1:26" ht="17.399999999999999" x14ac:dyDescent="0.3">
      <c r="A6920" s="10"/>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spans="1:26" ht="17.399999999999999" x14ac:dyDescent="0.3">
      <c r="A6921" s="10"/>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spans="1:26" ht="17.399999999999999" x14ac:dyDescent="0.3">
      <c r="A6922" s="10"/>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spans="1:26" ht="17.399999999999999" x14ac:dyDescent="0.3">
      <c r="A6923" s="10"/>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spans="1:26" ht="17.399999999999999" x14ac:dyDescent="0.3">
      <c r="A6924" s="10"/>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spans="1:26" ht="17.399999999999999" x14ac:dyDescent="0.3">
      <c r="A6925" s="10"/>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spans="1:26" ht="17.399999999999999" x14ac:dyDescent="0.3">
      <c r="A6926" s="10"/>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spans="1:26" ht="17.399999999999999" x14ac:dyDescent="0.3">
      <c r="A6927" s="10"/>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spans="1:26" ht="17.399999999999999" x14ac:dyDescent="0.3">
      <c r="A6928" s="10"/>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spans="1:26" ht="17.399999999999999" x14ac:dyDescent="0.3">
      <c r="A6929" s="10"/>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spans="1:26" ht="17.399999999999999" x14ac:dyDescent="0.3">
      <c r="A6930" s="10"/>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spans="1:26" ht="17.399999999999999" x14ac:dyDescent="0.3">
      <c r="A6931" s="10"/>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spans="1:26" ht="17.399999999999999" x14ac:dyDescent="0.3">
      <c r="A6932" s="10"/>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spans="1:26" ht="17.399999999999999" x14ac:dyDescent="0.3">
      <c r="A6933" s="10"/>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spans="1:26" ht="17.399999999999999" x14ac:dyDescent="0.3">
      <c r="A6934" s="10"/>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spans="1:26" ht="17.399999999999999" x14ac:dyDescent="0.3">
      <c r="A6935" s="10"/>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spans="1:26" ht="17.399999999999999" x14ac:dyDescent="0.3">
      <c r="A6936" s="10"/>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spans="1:26" ht="17.399999999999999" x14ac:dyDescent="0.3">
      <c r="A6937" s="10"/>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spans="1:26" ht="17.399999999999999" x14ac:dyDescent="0.3">
      <c r="A6938" s="10"/>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spans="1:26" ht="17.399999999999999" x14ac:dyDescent="0.3">
      <c r="A6939" s="10"/>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spans="1:26" ht="17.399999999999999" x14ac:dyDescent="0.3">
      <c r="A6940" s="10"/>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spans="1:26" ht="17.399999999999999" x14ac:dyDescent="0.3">
      <c r="A6941" s="10"/>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spans="1:26" ht="17.399999999999999" x14ac:dyDescent="0.3">
      <c r="A6942" s="10"/>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spans="1:26" ht="17.399999999999999" x14ac:dyDescent="0.3">
      <c r="A6943" s="10"/>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spans="1:26" ht="17.399999999999999" x14ac:dyDescent="0.3">
      <c r="A6944" s="10"/>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spans="1:26" ht="17.399999999999999" x14ac:dyDescent="0.3">
      <c r="A6945" s="10"/>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spans="1:26" ht="17.399999999999999" x14ac:dyDescent="0.3">
      <c r="A6946" s="10"/>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spans="1:26" ht="17.399999999999999" x14ac:dyDescent="0.3">
      <c r="A6947" s="10"/>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spans="1:26" ht="17.399999999999999" x14ac:dyDescent="0.3">
      <c r="A6948" s="10"/>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spans="1:26" ht="17.399999999999999" x14ac:dyDescent="0.3">
      <c r="A6949" s="10"/>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spans="1:26" ht="17.399999999999999" x14ac:dyDescent="0.3">
      <c r="A6950" s="10"/>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spans="1:26" ht="17.399999999999999" x14ac:dyDescent="0.3">
      <c r="A6951" s="10"/>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spans="1:26" ht="17.399999999999999" x14ac:dyDescent="0.3">
      <c r="A6952" s="10"/>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spans="1:26" ht="17.399999999999999" x14ac:dyDescent="0.3">
      <c r="A6953" s="10"/>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spans="1:26" ht="17.399999999999999" x14ac:dyDescent="0.3">
      <c r="A6954" s="10"/>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spans="1:26" ht="17.399999999999999" x14ac:dyDescent="0.3">
      <c r="A6955" s="10"/>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spans="1:26" ht="17.399999999999999" x14ac:dyDescent="0.3">
      <c r="A6956" s="10"/>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spans="1:26" ht="17.399999999999999" x14ac:dyDescent="0.3">
      <c r="A6957" s="10"/>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spans="1:26" ht="17.399999999999999" x14ac:dyDescent="0.3">
      <c r="A6958" s="10"/>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spans="1:26" ht="17.399999999999999" x14ac:dyDescent="0.3">
      <c r="A6959" s="10"/>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spans="1:26" ht="17.399999999999999" x14ac:dyDescent="0.3">
      <c r="A6960" s="10"/>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spans="1:26" ht="17.399999999999999" x14ac:dyDescent="0.3">
      <c r="A6961" s="10"/>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spans="1:26" ht="17.399999999999999" x14ac:dyDescent="0.3">
      <c r="A6962" s="10"/>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spans="1:26" ht="17.399999999999999" x14ac:dyDescent="0.3">
      <c r="A6963" s="10"/>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spans="1:26" ht="17.399999999999999" x14ac:dyDescent="0.3">
      <c r="A6964" s="10"/>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spans="1:26" ht="17.399999999999999" x14ac:dyDescent="0.3">
      <c r="A6965" s="10"/>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spans="1:26" ht="17.399999999999999" x14ac:dyDescent="0.3">
      <c r="A6966" s="10"/>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spans="1:26" ht="17.399999999999999" x14ac:dyDescent="0.3">
      <c r="A6967" s="10"/>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spans="1:26" ht="17.399999999999999" x14ac:dyDescent="0.3">
      <c r="A6968" s="10"/>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spans="1:26" ht="17.399999999999999" x14ac:dyDescent="0.3">
      <c r="A6969" s="10"/>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spans="1:26" ht="17.399999999999999" x14ac:dyDescent="0.3">
      <c r="A6970" s="10"/>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spans="1:26" ht="17.399999999999999" x14ac:dyDescent="0.3">
      <c r="A6971" s="10"/>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spans="1:26" ht="17.399999999999999" x14ac:dyDescent="0.3">
      <c r="A6972" s="10"/>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spans="1:26" ht="17.399999999999999" x14ac:dyDescent="0.3">
      <c r="A6973" s="10"/>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spans="1:26" ht="17.399999999999999" x14ac:dyDescent="0.3">
      <c r="A6974" s="10"/>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spans="1:26" ht="17.399999999999999" x14ac:dyDescent="0.3">
      <c r="A6975" s="10"/>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spans="1:26" ht="17.399999999999999" x14ac:dyDescent="0.3">
      <c r="A6976" s="10"/>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spans="1:26" ht="17.399999999999999" x14ac:dyDescent="0.3">
      <c r="A6977" s="10"/>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spans="1:26" ht="17.399999999999999" x14ac:dyDescent="0.3">
      <c r="A6978" s="10"/>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spans="1:26" ht="17.399999999999999" x14ac:dyDescent="0.3">
      <c r="A6979" s="10"/>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spans="1:26" ht="17.399999999999999" x14ac:dyDescent="0.3">
      <c r="A6980" s="10"/>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spans="1:26" ht="17.399999999999999" x14ac:dyDescent="0.3">
      <c r="A6981" s="10"/>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spans="1:26" ht="17.399999999999999" x14ac:dyDescent="0.3">
      <c r="A6982" s="10"/>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spans="1:26" ht="17.399999999999999" x14ac:dyDescent="0.3">
      <c r="A6983" s="10"/>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spans="1:26" ht="17.399999999999999" x14ac:dyDescent="0.3">
      <c r="A6984" s="10"/>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spans="1:26" ht="17.399999999999999" x14ac:dyDescent="0.3">
      <c r="A6985" s="10"/>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spans="1:26" ht="17.399999999999999" x14ac:dyDescent="0.3">
      <c r="A6986" s="10"/>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spans="1:26" ht="17.399999999999999" x14ac:dyDescent="0.3">
      <c r="A6987" s="10"/>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spans="1:26" ht="17.399999999999999" x14ac:dyDescent="0.3">
      <c r="A6988" s="10"/>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spans="1:26" ht="17.399999999999999" x14ac:dyDescent="0.3">
      <c r="A6989" s="10"/>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spans="1:26" ht="17.399999999999999" x14ac:dyDescent="0.3">
      <c r="A6990" s="10"/>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spans="1:26" ht="17.399999999999999" x14ac:dyDescent="0.3">
      <c r="A6991" s="10"/>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spans="1:26" ht="17.399999999999999" x14ac:dyDescent="0.3">
      <c r="A6992" s="10"/>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spans="1:26" ht="17.399999999999999" x14ac:dyDescent="0.3">
      <c r="A6993" s="10"/>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spans="1:26" ht="17.399999999999999" x14ac:dyDescent="0.3">
      <c r="A6994" s="10"/>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spans="1:26" ht="17.399999999999999" x14ac:dyDescent="0.3">
      <c r="A6995" s="10"/>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spans="1:26" ht="17.399999999999999" x14ac:dyDescent="0.3">
      <c r="A6996" s="10"/>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spans="1:26" ht="17.399999999999999" x14ac:dyDescent="0.3">
      <c r="A6997" s="10"/>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spans="1:26" ht="17.399999999999999" x14ac:dyDescent="0.3">
      <c r="A6998" s="10"/>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spans="1:26" ht="17.399999999999999" x14ac:dyDescent="0.3">
      <c r="A6999" s="10"/>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spans="1:26" ht="17.399999999999999" x14ac:dyDescent="0.3">
      <c r="A7000" s="10"/>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spans="1:26" ht="17.399999999999999" x14ac:dyDescent="0.3">
      <c r="A7001" s="10"/>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spans="1:26" ht="17.399999999999999" x14ac:dyDescent="0.3">
      <c r="A7002" s="10"/>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spans="1:26" ht="17.399999999999999" x14ac:dyDescent="0.3">
      <c r="A7003" s="10"/>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spans="1:26" ht="17.399999999999999" x14ac:dyDescent="0.3">
      <c r="A7004" s="10"/>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spans="1:26" ht="17.399999999999999" x14ac:dyDescent="0.3">
      <c r="A7005" s="10"/>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spans="1:26" ht="17.399999999999999" x14ac:dyDescent="0.3">
      <c r="A7006" s="10"/>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spans="1:26" ht="17.399999999999999" x14ac:dyDescent="0.3">
      <c r="A7007" s="10"/>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spans="1:26" ht="17.399999999999999" x14ac:dyDescent="0.3">
      <c r="A7008" s="10"/>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spans="1:26" ht="17.399999999999999" x14ac:dyDescent="0.3">
      <c r="A7009" s="10"/>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spans="1:26" ht="17.399999999999999" x14ac:dyDescent="0.3">
      <c r="A7010" s="10"/>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spans="1:26" ht="17.399999999999999" x14ac:dyDescent="0.3">
      <c r="A7011" s="10"/>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spans="1:26" ht="17.399999999999999" x14ac:dyDescent="0.3">
      <c r="A7012" s="10"/>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spans="1:26" ht="17.399999999999999" x14ac:dyDescent="0.3">
      <c r="A7013" s="10"/>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spans="1:26" ht="17.399999999999999" x14ac:dyDescent="0.3">
      <c r="A7014" s="10"/>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spans="1:26" ht="17.399999999999999" x14ac:dyDescent="0.3">
      <c r="A7015" s="10"/>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spans="1:26" ht="17.399999999999999" x14ac:dyDescent="0.3">
      <c r="A7016" s="10"/>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spans="1:26" ht="17.399999999999999" x14ac:dyDescent="0.3">
      <c r="A7017" s="10"/>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spans="1:26" ht="17.399999999999999" x14ac:dyDescent="0.3">
      <c r="A7018" s="10"/>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spans="1:26" ht="17.399999999999999" x14ac:dyDescent="0.3">
      <c r="A7019" s="10"/>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spans="1:26" ht="17.399999999999999" x14ac:dyDescent="0.3">
      <c r="A7020" s="10"/>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spans="1:26" ht="17.399999999999999" x14ac:dyDescent="0.3">
      <c r="A7021" s="10"/>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spans="1:26" ht="17.399999999999999" x14ac:dyDescent="0.3">
      <c r="A7022" s="10"/>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spans="1:26" ht="17.399999999999999" x14ac:dyDescent="0.3">
      <c r="A7023" s="10"/>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spans="1:26" ht="17.399999999999999" x14ac:dyDescent="0.3">
      <c r="A7024" s="10"/>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spans="1:26" ht="17.399999999999999" x14ac:dyDescent="0.3">
      <c r="A7025" s="10"/>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spans="1:26" ht="17.399999999999999" x14ac:dyDescent="0.3">
      <c r="A7026" s="10"/>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spans="1:26" ht="17.399999999999999" x14ac:dyDescent="0.3">
      <c r="A7027" s="10"/>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spans="1:26" ht="17.399999999999999" x14ac:dyDescent="0.3">
      <c r="A7028" s="10"/>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spans="1:26" ht="17.399999999999999" x14ac:dyDescent="0.3">
      <c r="A7029" s="10"/>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spans="1:26" ht="17.399999999999999" x14ac:dyDescent="0.3">
      <c r="A7030" s="10"/>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spans="1:26" ht="17.399999999999999" x14ac:dyDescent="0.3">
      <c r="A7031" s="10"/>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spans="1:26" ht="17.399999999999999" x14ac:dyDescent="0.3">
      <c r="A7032" s="10"/>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spans="1:26" ht="17.399999999999999" x14ac:dyDescent="0.3">
      <c r="A7033" s="10"/>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spans="1:26" ht="17.399999999999999" x14ac:dyDescent="0.3">
      <c r="A7034" s="10"/>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spans="1:26" ht="17.399999999999999" x14ac:dyDescent="0.3">
      <c r="A7035" s="10"/>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spans="1:26" ht="17.399999999999999" x14ac:dyDescent="0.3">
      <c r="A7036" s="10"/>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spans="1:26" ht="17.399999999999999" x14ac:dyDescent="0.3">
      <c r="A7037" s="10"/>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spans="1:26" ht="17.399999999999999" x14ac:dyDescent="0.3">
      <c r="A7038" s="10"/>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spans="1:26" ht="17.399999999999999" x14ac:dyDescent="0.3">
      <c r="A7039" s="10"/>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spans="1:26" ht="17.399999999999999" x14ac:dyDescent="0.3">
      <c r="A7040" s="10"/>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spans="1:26" ht="17.399999999999999" x14ac:dyDescent="0.3">
      <c r="A7041" s="10"/>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spans="1:26" ht="17.399999999999999" x14ac:dyDescent="0.3">
      <c r="A7042" s="10"/>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spans="1:26" ht="17.399999999999999" x14ac:dyDescent="0.3">
      <c r="A7043" s="10"/>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spans="1:26" ht="17.399999999999999" x14ac:dyDescent="0.3">
      <c r="A7044" s="10"/>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spans="1:26" ht="17.399999999999999" x14ac:dyDescent="0.3">
      <c r="A7045" s="10"/>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spans="1:26" ht="17.399999999999999" x14ac:dyDescent="0.3">
      <c r="A7046" s="10"/>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spans="1:26" ht="17.399999999999999" x14ac:dyDescent="0.3">
      <c r="A7047" s="10"/>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spans="1:26" ht="17.399999999999999" x14ac:dyDescent="0.3">
      <c r="A7048" s="10"/>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spans="1:26" ht="17.399999999999999" x14ac:dyDescent="0.3">
      <c r="A7049" s="10"/>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spans="1:26" ht="17.399999999999999" x14ac:dyDescent="0.3">
      <c r="A7050" s="10"/>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spans="1:26" ht="17.399999999999999" x14ac:dyDescent="0.3">
      <c r="A7051" s="10"/>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spans="1:26" ht="17.399999999999999" x14ac:dyDescent="0.3">
      <c r="A7052" s="10"/>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spans="1:26" ht="17.399999999999999" x14ac:dyDescent="0.3">
      <c r="A7053" s="10"/>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spans="1:26" ht="17.399999999999999" x14ac:dyDescent="0.3">
      <c r="A7054" s="10"/>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spans="1:26" ht="17.399999999999999" x14ac:dyDescent="0.3">
      <c r="A7055" s="10"/>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spans="1:26" ht="17.399999999999999" x14ac:dyDescent="0.3">
      <c r="A7056" s="10"/>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spans="1:26" ht="17.399999999999999" x14ac:dyDescent="0.3">
      <c r="A7057" s="10"/>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spans="1:26" ht="17.399999999999999" x14ac:dyDescent="0.3">
      <c r="A7058" s="10"/>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spans="1:26" ht="17.399999999999999" x14ac:dyDescent="0.3">
      <c r="A7059" s="10"/>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spans="1:26" ht="17.399999999999999" x14ac:dyDescent="0.3">
      <c r="A7060" s="10"/>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spans="1:26" ht="17.399999999999999" x14ac:dyDescent="0.3">
      <c r="A7061" s="10"/>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spans="1:26" ht="17.399999999999999" x14ac:dyDescent="0.3">
      <c r="A7062" s="10"/>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spans="1:26" ht="17.399999999999999" x14ac:dyDescent="0.3">
      <c r="A7063" s="10"/>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spans="1:26" ht="17.399999999999999" x14ac:dyDescent="0.3">
      <c r="A7064" s="10"/>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spans="1:26" ht="17.399999999999999" x14ac:dyDescent="0.3">
      <c r="A7065" s="10"/>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spans="1:26" ht="17.399999999999999" x14ac:dyDescent="0.3">
      <c r="A7066" s="10"/>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spans="1:26" ht="17.399999999999999" x14ac:dyDescent="0.3">
      <c r="A7067" s="10"/>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spans="1:26" ht="17.399999999999999" x14ac:dyDescent="0.3">
      <c r="A7068" s="10"/>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spans="1:26" ht="17.399999999999999" x14ac:dyDescent="0.3">
      <c r="A7069" s="10"/>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spans="1:26" ht="17.399999999999999" x14ac:dyDescent="0.3">
      <c r="A7070" s="10"/>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spans="1:26" ht="17.399999999999999" x14ac:dyDescent="0.3">
      <c r="A7071" s="10"/>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spans="1:26" ht="17.399999999999999" x14ac:dyDescent="0.3">
      <c r="A7072" s="10"/>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spans="1:26" ht="17.399999999999999" x14ac:dyDescent="0.3">
      <c r="A7073" s="10"/>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spans="1:26" ht="17.399999999999999" x14ac:dyDescent="0.3">
      <c r="A7074" s="10"/>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spans="1:26" ht="17.399999999999999" x14ac:dyDescent="0.3">
      <c r="A7075" s="10"/>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spans="1:26" ht="17.399999999999999" x14ac:dyDescent="0.3">
      <c r="A7076" s="10"/>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spans="1:26" ht="17.399999999999999" x14ac:dyDescent="0.3">
      <c r="A7077" s="10"/>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spans="1:26" ht="17.399999999999999" x14ac:dyDescent="0.3">
      <c r="A7078" s="10"/>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spans="1:26" ht="17.399999999999999" x14ac:dyDescent="0.3">
      <c r="A7079" s="10"/>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spans="1:26" ht="17.399999999999999" x14ac:dyDescent="0.3">
      <c r="A7080" s="10"/>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spans="1:26" ht="17.399999999999999" x14ac:dyDescent="0.3">
      <c r="A7081" s="10"/>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spans="1:26" ht="17.399999999999999" x14ac:dyDescent="0.3">
      <c r="A7082" s="10"/>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spans="1:26" ht="17.399999999999999" x14ac:dyDescent="0.3">
      <c r="A7083" s="10"/>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spans="1:26" ht="17.399999999999999" x14ac:dyDescent="0.3">
      <c r="A7084" s="10"/>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spans="1:26" ht="17.399999999999999" x14ac:dyDescent="0.3">
      <c r="A7085" s="10"/>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spans="1:26" ht="17.399999999999999" x14ac:dyDescent="0.3">
      <c r="A7086" s="10"/>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spans="1:26" ht="17.399999999999999" x14ac:dyDescent="0.3">
      <c r="A7087" s="10"/>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spans="1:26" ht="17.399999999999999" x14ac:dyDescent="0.3">
      <c r="A7088" s="10"/>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spans="1:26" ht="17.399999999999999" x14ac:dyDescent="0.3">
      <c r="A7089" s="10"/>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spans="1:26" ht="17.399999999999999" x14ac:dyDescent="0.3">
      <c r="A7090" s="10"/>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spans="1:26" ht="17.399999999999999" x14ac:dyDescent="0.3">
      <c r="A7091" s="10"/>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spans="1:26" ht="17.399999999999999" x14ac:dyDescent="0.3">
      <c r="A7092" s="10"/>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spans="1:26" ht="17.399999999999999" x14ac:dyDescent="0.3">
      <c r="A7093" s="10"/>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spans="1:26" ht="17.399999999999999" x14ac:dyDescent="0.3">
      <c r="A7094" s="10"/>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spans="1:26" ht="17.399999999999999" x14ac:dyDescent="0.3">
      <c r="A7095" s="10"/>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spans="1:26" ht="17.399999999999999" x14ac:dyDescent="0.3">
      <c r="A7096" s="10"/>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spans="1:26" ht="17.399999999999999" x14ac:dyDescent="0.3">
      <c r="A7097" s="10"/>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spans="1:26" ht="17.399999999999999" x14ac:dyDescent="0.3">
      <c r="A7098" s="10"/>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spans="1:26" ht="17.399999999999999" x14ac:dyDescent="0.3">
      <c r="A7099" s="10"/>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spans="1:26" ht="17.399999999999999" x14ac:dyDescent="0.3">
      <c r="A7100" s="10"/>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spans="1:26" ht="17.399999999999999" x14ac:dyDescent="0.3">
      <c r="A7101" s="10"/>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spans="1:26" ht="17.399999999999999" x14ac:dyDescent="0.3">
      <c r="A7102" s="10"/>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spans="1:26" ht="17.399999999999999" x14ac:dyDescent="0.3">
      <c r="A7103" s="10"/>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spans="1:26" ht="17.399999999999999" x14ac:dyDescent="0.3">
      <c r="A7104" s="10"/>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spans="1:26" ht="17.399999999999999" x14ac:dyDescent="0.3">
      <c r="A7105" s="10"/>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spans="1:26" ht="17.399999999999999" x14ac:dyDescent="0.3">
      <c r="A7106" s="10"/>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spans="1:26" ht="17.399999999999999" x14ac:dyDescent="0.3">
      <c r="A7107" s="10"/>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spans="1:26" ht="17.399999999999999" x14ac:dyDescent="0.3">
      <c r="A7108" s="10"/>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spans="1:26" ht="17.399999999999999" x14ac:dyDescent="0.3">
      <c r="A7109" s="10"/>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spans="1:26" ht="17.399999999999999" x14ac:dyDescent="0.3">
      <c r="A7110" s="10"/>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spans="1:26" ht="17.399999999999999" x14ac:dyDescent="0.3">
      <c r="A7111" s="10"/>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spans="1:26" ht="17.399999999999999" x14ac:dyDescent="0.3">
      <c r="A7112" s="10"/>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spans="1:26" ht="17.399999999999999" x14ac:dyDescent="0.3">
      <c r="A7113" s="10"/>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spans="1:26" ht="17.399999999999999" x14ac:dyDescent="0.3">
      <c r="A7114" s="10"/>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spans="1:26" ht="17.399999999999999" x14ac:dyDescent="0.3">
      <c r="A7115" s="10"/>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spans="1:26" ht="17.399999999999999" x14ac:dyDescent="0.3">
      <c r="A7116" s="10"/>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spans="1:26" ht="17.399999999999999" x14ac:dyDescent="0.3">
      <c r="A7117" s="10"/>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spans="1:26" ht="17.399999999999999" x14ac:dyDescent="0.3">
      <c r="A7118" s="10"/>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spans="1:26" ht="17.399999999999999" x14ac:dyDescent="0.3">
      <c r="A7119" s="10"/>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spans="1:26" ht="17.399999999999999" x14ac:dyDescent="0.3">
      <c r="A7120" s="10"/>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spans="1:26" ht="17.399999999999999" x14ac:dyDescent="0.3">
      <c r="A7121" s="10"/>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spans="1:26" ht="17.399999999999999" x14ac:dyDescent="0.3">
      <c r="A7122" s="10"/>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spans="1:26" ht="17.399999999999999" x14ac:dyDescent="0.3">
      <c r="A7123" s="10"/>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spans="1:26" ht="17.399999999999999" x14ac:dyDescent="0.3">
      <c r="A7124" s="10"/>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spans="1:26" ht="17.399999999999999" x14ac:dyDescent="0.3">
      <c r="A7125" s="10"/>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spans="1:26" ht="17.399999999999999" x14ac:dyDescent="0.3">
      <c r="A7126" s="10"/>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spans="1:26" ht="17.399999999999999" x14ac:dyDescent="0.3">
      <c r="A7127" s="10"/>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spans="1:26" ht="17.399999999999999" x14ac:dyDescent="0.3">
      <c r="A7128" s="10"/>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spans="1:26" ht="17.399999999999999" x14ac:dyDescent="0.3">
      <c r="A7129" s="10"/>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spans="1:26" ht="17.399999999999999" x14ac:dyDescent="0.3">
      <c r="A7130" s="10"/>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spans="1:26" ht="17.399999999999999" x14ac:dyDescent="0.3">
      <c r="A7131" s="10"/>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spans="1:26" ht="17.399999999999999" x14ac:dyDescent="0.3">
      <c r="A7132" s="10"/>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spans="1:26" ht="17.399999999999999" x14ac:dyDescent="0.3">
      <c r="A7133" s="10"/>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spans="1:26" ht="17.399999999999999" x14ac:dyDescent="0.3">
      <c r="A7134" s="10"/>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spans="1:26" ht="17.399999999999999" x14ac:dyDescent="0.3">
      <c r="A7135" s="10"/>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spans="1:26" ht="17.399999999999999" x14ac:dyDescent="0.3">
      <c r="A7136" s="10"/>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spans="1:26" ht="17.399999999999999" x14ac:dyDescent="0.3">
      <c r="A7137" s="10"/>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spans="1:26" ht="17.399999999999999" x14ac:dyDescent="0.3">
      <c r="A7138" s="10"/>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spans="1:26" ht="17.399999999999999" x14ac:dyDescent="0.3">
      <c r="A7139" s="10"/>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spans="1:26" ht="17.399999999999999" x14ac:dyDescent="0.3">
      <c r="A7140" s="10"/>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spans="1:26" ht="17.399999999999999" x14ac:dyDescent="0.3">
      <c r="A7141" s="10"/>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spans="1:26" ht="17.399999999999999" x14ac:dyDescent="0.3">
      <c r="A7142" s="10"/>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spans="1:26" ht="17.399999999999999" x14ac:dyDescent="0.3">
      <c r="A7143" s="10"/>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spans="1:26" ht="17.399999999999999" x14ac:dyDescent="0.3">
      <c r="A7144" s="10"/>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spans="1:26" ht="17.399999999999999" x14ac:dyDescent="0.3">
      <c r="A7145" s="10"/>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spans="1:26" ht="17.399999999999999" x14ac:dyDescent="0.3">
      <c r="A7146" s="10"/>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spans="1:26" ht="17.399999999999999" x14ac:dyDescent="0.3">
      <c r="A7147" s="10"/>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spans="1:26" ht="17.399999999999999" x14ac:dyDescent="0.3">
      <c r="A7148" s="10"/>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spans="1:26" ht="17.399999999999999" x14ac:dyDescent="0.3">
      <c r="A7149" s="10"/>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spans="1:26" ht="17.399999999999999" x14ac:dyDescent="0.3">
      <c r="A7150" s="10"/>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spans="1:26" ht="17.399999999999999" x14ac:dyDescent="0.3">
      <c r="A7151" s="10"/>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spans="1:26" ht="17.399999999999999" x14ac:dyDescent="0.3">
      <c r="A7152" s="10"/>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spans="1:26" ht="17.399999999999999" x14ac:dyDescent="0.3">
      <c r="A7153" s="10"/>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spans="1:26" ht="17.399999999999999" x14ac:dyDescent="0.3">
      <c r="A7154" s="10"/>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spans="1:26" ht="17.399999999999999" x14ac:dyDescent="0.3">
      <c r="A7155" s="10"/>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spans="1:26" ht="17.399999999999999" x14ac:dyDescent="0.3">
      <c r="A7156" s="10"/>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spans="1:26" ht="17.399999999999999" x14ac:dyDescent="0.3">
      <c r="A7157" s="10"/>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spans="1:26" ht="17.399999999999999" x14ac:dyDescent="0.3">
      <c r="A7158" s="10"/>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spans="1:26" ht="17.399999999999999" x14ac:dyDescent="0.3">
      <c r="A7159" s="10"/>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spans="1:26" ht="17.399999999999999" x14ac:dyDescent="0.3">
      <c r="A7160" s="10"/>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spans="1:26" ht="17.399999999999999" x14ac:dyDescent="0.3">
      <c r="A7161" s="10"/>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spans="1:26" ht="17.399999999999999" x14ac:dyDescent="0.3">
      <c r="A7162" s="10"/>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spans="1:26" ht="17.399999999999999" x14ac:dyDescent="0.3">
      <c r="A7163" s="10"/>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spans="1:26" ht="17.399999999999999" x14ac:dyDescent="0.3">
      <c r="A7164" s="10"/>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spans="1:26" ht="17.399999999999999" x14ac:dyDescent="0.3">
      <c r="A7165" s="10"/>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spans="1:26" ht="17.399999999999999" x14ac:dyDescent="0.3">
      <c r="A7166" s="10"/>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spans="1:26" ht="17.399999999999999" x14ac:dyDescent="0.3">
      <c r="A7167" s="10"/>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spans="1:26" ht="17.399999999999999" x14ac:dyDescent="0.3">
      <c r="A7168" s="10"/>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spans="1:26" ht="17.399999999999999" x14ac:dyDescent="0.3">
      <c r="A7169" s="10"/>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spans="1:26" ht="17.399999999999999" x14ac:dyDescent="0.3">
      <c r="A7170" s="10"/>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spans="1:26" ht="17.399999999999999" x14ac:dyDescent="0.3">
      <c r="A7171" s="10"/>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spans="1:26" ht="17.399999999999999" x14ac:dyDescent="0.3">
      <c r="A7172" s="10"/>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spans="1:26" ht="17.399999999999999" x14ac:dyDescent="0.3">
      <c r="A7173" s="10"/>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spans="1:26" ht="17.399999999999999" x14ac:dyDescent="0.3">
      <c r="A7174" s="10"/>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spans="1:26" ht="17.399999999999999" x14ac:dyDescent="0.3">
      <c r="A7175" s="10"/>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spans="1:26" ht="17.399999999999999" x14ac:dyDescent="0.3">
      <c r="A7176" s="10"/>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spans="1:26" ht="17.399999999999999" x14ac:dyDescent="0.3">
      <c r="A7177" s="10"/>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spans="1:26" ht="17.399999999999999" x14ac:dyDescent="0.3">
      <c r="A7178" s="10"/>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spans="1:26" ht="17.399999999999999" x14ac:dyDescent="0.3">
      <c r="A7179" s="10"/>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spans="1:26" ht="17.399999999999999" x14ac:dyDescent="0.3">
      <c r="A7180" s="10"/>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spans="1:26" ht="17.399999999999999" x14ac:dyDescent="0.3">
      <c r="A7181" s="10"/>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spans="1:26" ht="17.399999999999999" x14ac:dyDescent="0.3">
      <c r="A7182" s="10"/>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spans="1:26" ht="17.399999999999999" x14ac:dyDescent="0.3">
      <c r="A7183" s="10"/>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spans="1:26" ht="17.399999999999999" x14ac:dyDescent="0.3">
      <c r="A7184" s="10"/>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spans="1:26" ht="17.399999999999999" x14ac:dyDescent="0.3">
      <c r="A7185" s="10"/>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spans="1:26" ht="17.399999999999999" x14ac:dyDescent="0.3">
      <c r="A7186" s="10"/>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spans="1:26" ht="17.399999999999999" x14ac:dyDescent="0.3">
      <c r="A7187" s="10"/>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spans="1:26" ht="17.399999999999999" x14ac:dyDescent="0.3">
      <c r="A7188" s="10"/>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spans="1:26" ht="17.399999999999999" x14ac:dyDescent="0.3">
      <c r="A7189" s="10"/>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spans="1:26" ht="17.399999999999999" x14ac:dyDescent="0.3">
      <c r="A7190" s="10"/>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spans="1:26" ht="17.399999999999999" x14ac:dyDescent="0.3">
      <c r="A7191" s="10"/>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spans="1:26" ht="17.399999999999999" x14ac:dyDescent="0.3">
      <c r="A7192" s="10"/>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spans="1:26" ht="17.399999999999999" x14ac:dyDescent="0.3">
      <c r="A7193" s="10"/>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spans="1:26" ht="17.399999999999999" x14ac:dyDescent="0.3">
      <c r="A7194" s="10"/>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spans="1:26" ht="17.399999999999999" x14ac:dyDescent="0.3">
      <c r="A7195" s="10"/>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spans="1:26" ht="17.399999999999999" x14ac:dyDescent="0.3">
      <c r="A7196" s="10"/>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spans="1:26" ht="17.399999999999999" x14ac:dyDescent="0.3">
      <c r="A7197" s="10"/>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spans="1:26" ht="17.399999999999999" x14ac:dyDescent="0.3">
      <c r="A7198" s="10"/>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spans="1:26" ht="17.399999999999999" x14ac:dyDescent="0.3">
      <c r="A7199" s="10"/>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spans="1:26" ht="17.399999999999999" x14ac:dyDescent="0.3">
      <c r="A7200" s="10"/>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spans="1:26" ht="17.399999999999999" x14ac:dyDescent="0.3">
      <c r="A7201" s="10"/>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spans="1:26" ht="17.399999999999999" x14ac:dyDescent="0.3">
      <c r="A7202" s="10"/>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spans="1:26" ht="17.399999999999999" x14ac:dyDescent="0.3">
      <c r="A7203" s="10"/>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spans="1:26" ht="17.399999999999999" x14ac:dyDescent="0.3">
      <c r="A7204" s="10"/>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spans="1:26" ht="17.399999999999999" x14ac:dyDescent="0.3">
      <c r="A7205" s="10"/>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spans="1:26" ht="17.399999999999999" x14ac:dyDescent="0.3">
      <c r="A7206" s="10"/>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spans="1:26" ht="17.399999999999999" x14ac:dyDescent="0.3">
      <c r="A7207" s="10"/>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spans="1:26" ht="17.399999999999999" x14ac:dyDescent="0.3">
      <c r="A7208" s="10"/>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spans="1:26" ht="17.399999999999999" x14ac:dyDescent="0.3">
      <c r="A7209" s="10"/>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spans="1:26" ht="17.399999999999999" x14ac:dyDescent="0.3">
      <c r="A7210" s="10"/>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spans="1:26" ht="17.399999999999999" x14ac:dyDescent="0.3">
      <c r="A7211" s="10"/>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spans="1:26" ht="17.399999999999999" x14ac:dyDescent="0.3">
      <c r="A7212" s="10"/>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spans="1:26" ht="17.399999999999999" x14ac:dyDescent="0.3">
      <c r="A7213" s="10"/>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spans="1:26" ht="17.399999999999999" x14ac:dyDescent="0.3">
      <c r="A7214" s="10"/>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spans="1:26" ht="17.399999999999999" x14ac:dyDescent="0.3">
      <c r="A7215" s="10"/>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spans="1:26" ht="17.399999999999999" x14ac:dyDescent="0.3">
      <c r="A7216" s="10"/>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spans="1:26" ht="17.399999999999999" x14ac:dyDescent="0.3">
      <c r="A7217" s="10"/>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spans="1:26" ht="17.399999999999999" x14ac:dyDescent="0.3">
      <c r="A7218" s="10"/>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spans="1:26" ht="17.399999999999999" x14ac:dyDescent="0.3">
      <c r="A7219" s="10"/>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spans="1:26" ht="17.399999999999999" x14ac:dyDescent="0.3">
      <c r="A7220" s="10"/>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spans="1:26" ht="17.399999999999999" x14ac:dyDescent="0.3">
      <c r="A7221" s="10"/>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spans="1:26" ht="17.399999999999999" x14ac:dyDescent="0.3">
      <c r="A7222" s="10"/>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spans="1:26" ht="17.399999999999999" x14ac:dyDescent="0.3">
      <c r="A7223" s="10"/>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spans="1:26" ht="17.399999999999999" x14ac:dyDescent="0.3">
      <c r="A7224" s="10"/>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spans="1:26" ht="17.399999999999999" x14ac:dyDescent="0.3">
      <c r="A7225" s="10"/>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spans="1:26" ht="17.399999999999999" x14ac:dyDescent="0.3">
      <c r="A7226" s="10"/>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spans="1:26" ht="17.399999999999999" x14ac:dyDescent="0.3">
      <c r="A7227" s="10"/>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spans="1:26" ht="17.399999999999999" x14ac:dyDescent="0.3">
      <c r="A7228" s="10"/>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spans="1:26" ht="17.399999999999999" x14ac:dyDescent="0.3">
      <c r="A7229" s="10"/>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spans="1:26" ht="17.399999999999999" x14ac:dyDescent="0.3">
      <c r="A7230" s="10"/>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spans="1:26" ht="17.399999999999999" x14ac:dyDescent="0.3">
      <c r="A7231" s="10"/>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spans="1:26" ht="17.399999999999999" x14ac:dyDescent="0.3">
      <c r="A7232" s="10"/>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spans="1:26" ht="17.399999999999999" x14ac:dyDescent="0.3">
      <c r="A7233" s="10"/>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spans="1:26" ht="17.399999999999999" x14ac:dyDescent="0.3">
      <c r="A7234" s="10"/>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spans="1:26" ht="17.399999999999999" x14ac:dyDescent="0.3">
      <c r="A7235" s="10"/>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spans="1:26" ht="17.399999999999999" x14ac:dyDescent="0.3">
      <c r="A7236" s="10"/>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spans="1:26" ht="17.399999999999999" x14ac:dyDescent="0.3">
      <c r="A7237" s="10"/>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spans="1:26" ht="17.399999999999999" x14ac:dyDescent="0.3">
      <c r="A7238" s="10"/>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spans="1:26" ht="17.399999999999999" x14ac:dyDescent="0.3">
      <c r="A7239" s="10"/>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spans="1:26" ht="17.399999999999999" x14ac:dyDescent="0.3">
      <c r="A7240" s="10"/>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spans="1:26" ht="17.399999999999999" x14ac:dyDescent="0.3">
      <c r="A7241" s="10"/>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spans="1:26" ht="17.399999999999999" x14ac:dyDescent="0.3">
      <c r="A7242" s="10"/>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spans="1:26" ht="17.399999999999999" x14ac:dyDescent="0.3">
      <c r="A7243" s="10"/>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spans="1:26" ht="17.399999999999999" x14ac:dyDescent="0.3">
      <c r="A7244" s="10"/>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spans="1:26" ht="17.399999999999999" x14ac:dyDescent="0.3">
      <c r="A7245" s="10"/>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spans="1:26" ht="17.399999999999999" x14ac:dyDescent="0.3">
      <c r="A7246" s="10"/>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spans="1:26" ht="17.399999999999999" x14ac:dyDescent="0.3">
      <c r="A7247" s="10"/>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spans="1:26" ht="17.399999999999999" x14ac:dyDescent="0.3">
      <c r="A7248" s="10"/>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spans="1:26" ht="17.399999999999999" x14ac:dyDescent="0.3">
      <c r="A7249" s="10"/>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spans="1:26" ht="17.399999999999999" x14ac:dyDescent="0.3">
      <c r="A7250" s="10"/>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spans="1:26" ht="17.399999999999999" x14ac:dyDescent="0.3">
      <c r="A7251" s="10"/>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spans="1:26" ht="17.399999999999999" x14ac:dyDescent="0.3">
      <c r="A7252" s="10"/>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spans="1:26" ht="17.399999999999999" x14ac:dyDescent="0.3">
      <c r="A7253" s="10"/>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spans="1:26" ht="17.399999999999999" x14ac:dyDescent="0.3">
      <c r="A7254" s="10"/>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spans="1:26" ht="17.399999999999999" x14ac:dyDescent="0.3">
      <c r="A7255" s="10"/>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spans="1:26" ht="17.399999999999999" x14ac:dyDescent="0.3">
      <c r="A7256" s="10"/>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spans="1:26" ht="17.399999999999999" x14ac:dyDescent="0.3">
      <c r="A7257" s="10"/>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spans="1:26" ht="17.399999999999999" x14ac:dyDescent="0.3">
      <c r="A7258" s="10"/>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spans="1:26" ht="17.399999999999999" x14ac:dyDescent="0.3">
      <c r="A7259" s="10"/>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spans="1:26" ht="17.399999999999999" x14ac:dyDescent="0.3">
      <c r="A7260" s="10"/>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spans="1:26" ht="17.399999999999999" x14ac:dyDescent="0.3">
      <c r="A7261" s="10"/>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spans="1:26" ht="17.399999999999999" x14ac:dyDescent="0.3">
      <c r="A7262" s="10"/>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spans="1:26" ht="17.399999999999999" x14ac:dyDescent="0.3">
      <c r="A7263" s="10"/>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spans="1:26" ht="17.399999999999999" x14ac:dyDescent="0.3">
      <c r="A7264" s="10"/>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spans="1:26" ht="17.399999999999999" x14ac:dyDescent="0.3">
      <c r="A7265" s="10"/>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spans="1:26" ht="17.399999999999999" x14ac:dyDescent="0.3">
      <c r="A7266" s="10"/>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spans="1:26" ht="17.399999999999999" x14ac:dyDescent="0.3">
      <c r="A7267" s="10"/>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spans="1:26" ht="17.399999999999999" x14ac:dyDescent="0.3">
      <c r="A7268" s="10"/>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spans="1:26" ht="17.399999999999999" x14ac:dyDescent="0.3">
      <c r="A7269" s="10"/>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spans="1:26" ht="17.399999999999999" x14ac:dyDescent="0.3">
      <c r="A7270" s="10"/>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spans="1:26" ht="17.399999999999999" x14ac:dyDescent="0.3">
      <c r="A7271" s="10"/>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spans="1:26" ht="17.399999999999999" x14ac:dyDescent="0.3">
      <c r="A7272" s="10"/>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spans="1:26" ht="17.399999999999999" x14ac:dyDescent="0.3">
      <c r="A7273" s="10"/>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spans="1:26" ht="17.399999999999999" x14ac:dyDescent="0.3">
      <c r="A7274" s="10"/>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spans="1:26" ht="17.399999999999999" x14ac:dyDescent="0.3">
      <c r="A7275" s="10"/>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spans="1:26" ht="17.399999999999999" x14ac:dyDescent="0.3">
      <c r="A7276" s="10"/>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spans="1:26" ht="17.399999999999999" x14ac:dyDescent="0.3">
      <c r="A7277" s="10"/>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spans="1:26" ht="17.399999999999999" x14ac:dyDescent="0.3">
      <c r="A7278" s="10"/>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spans="1:26" ht="17.399999999999999" x14ac:dyDescent="0.3">
      <c r="A7279" s="10"/>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spans="1:26" ht="17.399999999999999" x14ac:dyDescent="0.3">
      <c r="A7280" s="10"/>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spans="1:26" ht="17.399999999999999" x14ac:dyDescent="0.3">
      <c r="A7281" s="10"/>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spans="1:26" ht="17.399999999999999" x14ac:dyDescent="0.3">
      <c r="A7282" s="10"/>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spans="1:26" ht="17.399999999999999" x14ac:dyDescent="0.3">
      <c r="A7283" s="10"/>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spans="1:26" ht="17.399999999999999" x14ac:dyDescent="0.3">
      <c r="A7284" s="10"/>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spans="1:26" ht="17.399999999999999" x14ac:dyDescent="0.3">
      <c r="A7285" s="10"/>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spans="1:26" ht="17.399999999999999" x14ac:dyDescent="0.3">
      <c r="A7286" s="10"/>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spans="1:26" ht="17.399999999999999" x14ac:dyDescent="0.3">
      <c r="A7287" s="10"/>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spans="1:26" ht="17.399999999999999" x14ac:dyDescent="0.3">
      <c r="A7288" s="10"/>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spans="1:26" ht="17.399999999999999" x14ac:dyDescent="0.3">
      <c r="A7289" s="10"/>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spans="1:26" ht="17.399999999999999" x14ac:dyDescent="0.3">
      <c r="A7290" s="10"/>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spans="1:26" ht="17.399999999999999" x14ac:dyDescent="0.3">
      <c r="A7291" s="10"/>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spans="1:26" ht="17.399999999999999" x14ac:dyDescent="0.3">
      <c r="A7292" s="10"/>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spans="1:26" ht="17.399999999999999" x14ac:dyDescent="0.3">
      <c r="A7293" s="10"/>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spans="1:26" ht="17.399999999999999" x14ac:dyDescent="0.3">
      <c r="A7294" s="10"/>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spans="1:26" ht="17.399999999999999" x14ac:dyDescent="0.3">
      <c r="A7295" s="10"/>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spans="1:26" ht="17.399999999999999" x14ac:dyDescent="0.3">
      <c r="A7296" s="10"/>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spans="1:26" ht="17.399999999999999" x14ac:dyDescent="0.3">
      <c r="A7297" s="10"/>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spans="1:26" ht="17.399999999999999" x14ac:dyDescent="0.3">
      <c r="A7298" s="10"/>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spans="1:26" ht="17.399999999999999" x14ac:dyDescent="0.3">
      <c r="A7299" s="10"/>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spans="1:26" ht="17.399999999999999" x14ac:dyDescent="0.3">
      <c r="A7300" s="10"/>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spans="1:26" ht="17.399999999999999" x14ac:dyDescent="0.3">
      <c r="A7301" s="10"/>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spans="1:26" ht="17.399999999999999" x14ac:dyDescent="0.3">
      <c r="A7302" s="10"/>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spans="1:26" ht="17.399999999999999" x14ac:dyDescent="0.3">
      <c r="A7303" s="10"/>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spans="1:26" ht="17.399999999999999" x14ac:dyDescent="0.3">
      <c r="A7304" s="10"/>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spans="1:26" ht="17.399999999999999" x14ac:dyDescent="0.3">
      <c r="A7305" s="10"/>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spans="1:26" ht="17.399999999999999" x14ac:dyDescent="0.3">
      <c r="A7306" s="10"/>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spans="1:26" ht="17.399999999999999" x14ac:dyDescent="0.3">
      <c r="A7307" s="10"/>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spans="1:26" ht="17.399999999999999" x14ac:dyDescent="0.3">
      <c r="A7308" s="10"/>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spans="1:26" ht="17.399999999999999" x14ac:dyDescent="0.3">
      <c r="A7309" s="10"/>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spans="1:26" ht="17.399999999999999" x14ac:dyDescent="0.3">
      <c r="A7310" s="10"/>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spans="1:26" ht="17.399999999999999" x14ac:dyDescent="0.3">
      <c r="A7311" s="10"/>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spans="1:26" ht="17.399999999999999" x14ac:dyDescent="0.3">
      <c r="A7312" s="10"/>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spans="1:26" ht="17.399999999999999" x14ac:dyDescent="0.3">
      <c r="A7313" s="10"/>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spans="1:26" ht="17.399999999999999" x14ac:dyDescent="0.3">
      <c r="A7314" s="10"/>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spans="1:26" ht="17.399999999999999" x14ac:dyDescent="0.3">
      <c r="A7315" s="10"/>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spans="1:26" ht="17.399999999999999" x14ac:dyDescent="0.3">
      <c r="A7316" s="10"/>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spans="1:26" ht="17.399999999999999" x14ac:dyDescent="0.3">
      <c r="A7317" s="10"/>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spans="1:26" ht="17.399999999999999" x14ac:dyDescent="0.3">
      <c r="A7318" s="10"/>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spans="1:26" ht="17.399999999999999" x14ac:dyDescent="0.3">
      <c r="A7319" s="10"/>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spans="1:26" ht="17.399999999999999" x14ac:dyDescent="0.3">
      <c r="A7320" s="10"/>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spans="1:26" ht="17.399999999999999" x14ac:dyDescent="0.3">
      <c r="A7321" s="10"/>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spans="1:26" ht="17.399999999999999" x14ac:dyDescent="0.3">
      <c r="A7322" s="10"/>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spans="1:26" ht="17.399999999999999" x14ac:dyDescent="0.3">
      <c r="A7323" s="10"/>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spans="1:26" ht="17.399999999999999" x14ac:dyDescent="0.3">
      <c r="A7324" s="10"/>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spans="1:26" ht="17.399999999999999" x14ac:dyDescent="0.3">
      <c r="A7325" s="10"/>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spans="1:26" ht="17.399999999999999" x14ac:dyDescent="0.3">
      <c r="A7326" s="10"/>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spans="1:26" ht="17.399999999999999" x14ac:dyDescent="0.3">
      <c r="A7327" s="10"/>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spans="1:26" ht="17.399999999999999" x14ac:dyDescent="0.3">
      <c r="A7328" s="10"/>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spans="1:26" ht="17.399999999999999" x14ac:dyDescent="0.3">
      <c r="A7329" s="10"/>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spans="1:26" ht="17.399999999999999" x14ac:dyDescent="0.3">
      <c r="A7330" s="10"/>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spans="1:26" ht="17.399999999999999" x14ac:dyDescent="0.3">
      <c r="A7331" s="10"/>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spans="1:26" ht="17.399999999999999" x14ac:dyDescent="0.3">
      <c r="A7332" s="10"/>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spans="1:26" ht="17.399999999999999" x14ac:dyDescent="0.3">
      <c r="A7333" s="10"/>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spans="1:26" ht="17.399999999999999" x14ac:dyDescent="0.3">
      <c r="A7334" s="10"/>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spans="1:26" ht="17.399999999999999" x14ac:dyDescent="0.3">
      <c r="A7335" s="10"/>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spans="1:26" ht="17.399999999999999" x14ac:dyDescent="0.3">
      <c r="A7336" s="10"/>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spans="1:26" ht="17.399999999999999" x14ac:dyDescent="0.3">
      <c r="A7337" s="10"/>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spans="1:26" ht="17.399999999999999" x14ac:dyDescent="0.3">
      <c r="A7338" s="10"/>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spans="1:26" ht="17.399999999999999" x14ac:dyDescent="0.3">
      <c r="A7339" s="10"/>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spans="1:26" ht="17.399999999999999" x14ac:dyDescent="0.3">
      <c r="A7340" s="10"/>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spans="1:26" ht="17.399999999999999" x14ac:dyDescent="0.3">
      <c r="A7341" s="10"/>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spans="1:26" ht="17.399999999999999" x14ac:dyDescent="0.3">
      <c r="A7342" s="10"/>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spans="1:26" ht="17.399999999999999" x14ac:dyDescent="0.3">
      <c r="A7343" s="10"/>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spans="1:26" ht="17.399999999999999" x14ac:dyDescent="0.3">
      <c r="A7344" s="10"/>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spans="1:26" ht="17.399999999999999" x14ac:dyDescent="0.3">
      <c r="A7345" s="10"/>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spans="1:26" ht="17.399999999999999" x14ac:dyDescent="0.3">
      <c r="A7346" s="10"/>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spans="1:26" ht="17.399999999999999" x14ac:dyDescent="0.3">
      <c r="A7347" s="10"/>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spans="1:26" ht="17.399999999999999" x14ac:dyDescent="0.3">
      <c r="A7348" s="10"/>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spans="1:26" ht="17.399999999999999" x14ac:dyDescent="0.3">
      <c r="A7349" s="10"/>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spans="1:26" ht="17.399999999999999" x14ac:dyDescent="0.3">
      <c r="A7350" s="10"/>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spans="1:26" ht="17.399999999999999" x14ac:dyDescent="0.3">
      <c r="A7351" s="10"/>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spans="1:26" ht="17.399999999999999" x14ac:dyDescent="0.3">
      <c r="A7352" s="10"/>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spans="1:26" ht="17.399999999999999" x14ac:dyDescent="0.3">
      <c r="A7353" s="10"/>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spans="1:26" ht="17.399999999999999" x14ac:dyDescent="0.3">
      <c r="A7354" s="10"/>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spans="1:26" ht="17.399999999999999" x14ac:dyDescent="0.3">
      <c r="A7355" s="10"/>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spans="1:26" ht="17.399999999999999" x14ac:dyDescent="0.3">
      <c r="A7356" s="10"/>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spans="1:26" ht="17.399999999999999" x14ac:dyDescent="0.3">
      <c r="A7357" s="10"/>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spans="1:26" ht="17.399999999999999" x14ac:dyDescent="0.3">
      <c r="A7358" s="10"/>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spans="1:26" ht="17.399999999999999" x14ac:dyDescent="0.3">
      <c r="A7359" s="10"/>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spans="1:26" ht="17.399999999999999" x14ac:dyDescent="0.3">
      <c r="A7360" s="10"/>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spans="1:26" ht="17.399999999999999" x14ac:dyDescent="0.3">
      <c r="A7361" s="10"/>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spans="1:26" ht="17.399999999999999" x14ac:dyDescent="0.3">
      <c r="A7362" s="10"/>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spans="1:26" ht="17.399999999999999" x14ac:dyDescent="0.3">
      <c r="A7363" s="10"/>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spans="1:26" ht="17.399999999999999" x14ac:dyDescent="0.3">
      <c r="A7364" s="10"/>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spans="1:26" ht="17.399999999999999" x14ac:dyDescent="0.3">
      <c r="A7365" s="10"/>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spans="1:26" ht="17.399999999999999" x14ac:dyDescent="0.3">
      <c r="A7366" s="10"/>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spans="1:26" ht="17.399999999999999" x14ac:dyDescent="0.3">
      <c r="A7367" s="10"/>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spans="1:26" ht="17.399999999999999" x14ac:dyDescent="0.3">
      <c r="A7368" s="10"/>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spans="1:26" ht="17.399999999999999" x14ac:dyDescent="0.3">
      <c r="A7369" s="10"/>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spans="1:26" ht="17.399999999999999" x14ac:dyDescent="0.3">
      <c r="A7370" s="10"/>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spans="1:26" ht="17.399999999999999" x14ac:dyDescent="0.3">
      <c r="A7371" s="10"/>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spans="1:26" ht="17.399999999999999" x14ac:dyDescent="0.3">
      <c r="A7372" s="10"/>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spans="1:26" ht="17.399999999999999" x14ac:dyDescent="0.3">
      <c r="A7373" s="10"/>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spans="1:26" ht="17.399999999999999" x14ac:dyDescent="0.3">
      <c r="A7374" s="10"/>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spans="1:26" ht="17.399999999999999" x14ac:dyDescent="0.3">
      <c r="A7375" s="10"/>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spans="1:26" ht="17.399999999999999" x14ac:dyDescent="0.3">
      <c r="A7376" s="10"/>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spans="1:26" ht="17.399999999999999" x14ac:dyDescent="0.3">
      <c r="A7377" s="10"/>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spans="1:26" ht="17.399999999999999" x14ac:dyDescent="0.3">
      <c r="A7378" s="10"/>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spans="1:26" ht="17.399999999999999" x14ac:dyDescent="0.3">
      <c r="A7379" s="10"/>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spans="1:26" ht="17.399999999999999" x14ac:dyDescent="0.3">
      <c r="A7380" s="10"/>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spans="1:26" ht="17.399999999999999" x14ac:dyDescent="0.3">
      <c r="A7381" s="10"/>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spans="1:26" ht="17.399999999999999" x14ac:dyDescent="0.3">
      <c r="A7382" s="10"/>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spans="1:26" ht="17.399999999999999" x14ac:dyDescent="0.3">
      <c r="A7383" s="10"/>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spans="1:26" ht="17.399999999999999" x14ac:dyDescent="0.3">
      <c r="A7384" s="10"/>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spans="1:26" ht="17.399999999999999" x14ac:dyDescent="0.3">
      <c r="A7385" s="10"/>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spans="1:26" ht="17.399999999999999" x14ac:dyDescent="0.3">
      <c r="A7386" s="10"/>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spans="1:26" ht="17.399999999999999" x14ac:dyDescent="0.3">
      <c r="A7387" s="10"/>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spans="1:26" ht="17.399999999999999" x14ac:dyDescent="0.3">
      <c r="A7388" s="10"/>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spans="1:26" ht="17.399999999999999" x14ac:dyDescent="0.3">
      <c r="A7389" s="10"/>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spans="1:26" ht="17.399999999999999" x14ac:dyDescent="0.3">
      <c r="A7390" s="10"/>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spans="1:26" ht="17.399999999999999" x14ac:dyDescent="0.3">
      <c r="A7391" s="10"/>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spans="1:26" ht="17.399999999999999" x14ac:dyDescent="0.3">
      <c r="A7392" s="10"/>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spans="1:26" ht="17.399999999999999" x14ac:dyDescent="0.3">
      <c r="A7393" s="10"/>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spans="1:26" ht="17.399999999999999" x14ac:dyDescent="0.3">
      <c r="A7394" s="10"/>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spans="1:26" ht="17.399999999999999" x14ac:dyDescent="0.3">
      <c r="A7395" s="10"/>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spans="1:26" ht="17.399999999999999" x14ac:dyDescent="0.3">
      <c r="A7396" s="10"/>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spans="1:26" ht="17.399999999999999" x14ac:dyDescent="0.3">
      <c r="A7397" s="10"/>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spans="1:26" ht="17.399999999999999" x14ac:dyDescent="0.3">
      <c r="A7398" s="10"/>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spans="1:26" ht="17.399999999999999" x14ac:dyDescent="0.3">
      <c r="A7399" s="10"/>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spans="1:26" ht="17.399999999999999" x14ac:dyDescent="0.3">
      <c r="A7400" s="10"/>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spans="1:26" ht="17.399999999999999" x14ac:dyDescent="0.3">
      <c r="A7401" s="10"/>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spans="1:26" ht="17.399999999999999" x14ac:dyDescent="0.3">
      <c r="A7402" s="10"/>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spans="1:26" ht="17.399999999999999" x14ac:dyDescent="0.3">
      <c r="A7403" s="10"/>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spans="1:26" ht="17.399999999999999" x14ac:dyDescent="0.3">
      <c r="A7404" s="10"/>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spans="1:26" ht="17.399999999999999" x14ac:dyDescent="0.3">
      <c r="A7405" s="10"/>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spans="1:26" ht="17.399999999999999" x14ac:dyDescent="0.3">
      <c r="A7406" s="10"/>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spans="1:26" ht="17.399999999999999" x14ac:dyDescent="0.3">
      <c r="A7407" s="10"/>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spans="1:26" ht="17.399999999999999" x14ac:dyDescent="0.3">
      <c r="A7408" s="10"/>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spans="1:26" ht="17.399999999999999" x14ac:dyDescent="0.3">
      <c r="A7409" s="10"/>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spans="1:26" ht="17.399999999999999" x14ac:dyDescent="0.3">
      <c r="A7410" s="10"/>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spans="1:26" ht="17.399999999999999" x14ac:dyDescent="0.3">
      <c r="A7411" s="10"/>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spans="1:26" ht="17.399999999999999" x14ac:dyDescent="0.3">
      <c r="A7412" s="10"/>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spans="1:26" ht="17.399999999999999" x14ac:dyDescent="0.3">
      <c r="A7413" s="10"/>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spans="1:26" ht="17.399999999999999" x14ac:dyDescent="0.3">
      <c r="A7414" s="10"/>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spans="1:26" ht="17.399999999999999" x14ac:dyDescent="0.3">
      <c r="A7415" s="10"/>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spans="1:26" ht="17.399999999999999" x14ac:dyDescent="0.3">
      <c r="A7416" s="10"/>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spans="1:26" ht="17.399999999999999" x14ac:dyDescent="0.3">
      <c r="A7417" s="10"/>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spans="1:26" ht="17.399999999999999" x14ac:dyDescent="0.3">
      <c r="A7418" s="10"/>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spans="1:26" ht="17.399999999999999" x14ac:dyDescent="0.3">
      <c r="A7419" s="10"/>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spans="1:26" ht="17.399999999999999" x14ac:dyDescent="0.3">
      <c r="A7420" s="10"/>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spans="1:26" ht="17.399999999999999" x14ac:dyDescent="0.3">
      <c r="A7421" s="10"/>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spans="1:26" ht="17.399999999999999" x14ac:dyDescent="0.3">
      <c r="A7422" s="10"/>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spans="1:26" ht="17.399999999999999" x14ac:dyDescent="0.3">
      <c r="A7423" s="10"/>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spans="1:26" ht="17.399999999999999" x14ac:dyDescent="0.3">
      <c r="A7424" s="10"/>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spans="1:26" ht="17.399999999999999" x14ac:dyDescent="0.3">
      <c r="A7425" s="10"/>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spans="1:26" ht="17.399999999999999" x14ac:dyDescent="0.3">
      <c r="A7426" s="10"/>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spans="1:26" ht="17.399999999999999" x14ac:dyDescent="0.3">
      <c r="A7427" s="10"/>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spans="1:26" ht="17.399999999999999" x14ac:dyDescent="0.3">
      <c r="A7428" s="10"/>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spans="1:26" ht="17.399999999999999" x14ac:dyDescent="0.3">
      <c r="A7429" s="10"/>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spans="1:26" ht="17.399999999999999" x14ac:dyDescent="0.3">
      <c r="A7430" s="10"/>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spans="1:26" ht="17.399999999999999" x14ac:dyDescent="0.3">
      <c r="A7431" s="10"/>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spans="1:26" ht="17.399999999999999" x14ac:dyDescent="0.3">
      <c r="A7432" s="10"/>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spans="1:26" ht="17.399999999999999" x14ac:dyDescent="0.3">
      <c r="A7433" s="10"/>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spans="1:26" ht="17.399999999999999" x14ac:dyDescent="0.3">
      <c r="A7434" s="10"/>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spans="1:26" ht="17.399999999999999" x14ac:dyDescent="0.3">
      <c r="A7435" s="10"/>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spans="1:26" ht="17.399999999999999" x14ac:dyDescent="0.3">
      <c r="A7436" s="10"/>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spans="1:26" ht="17.399999999999999" x14ac:dyDescent="0.3">
      <c r="A7437" s="10"/>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spans="1:26" ht="17.399999999999999" x14ac:dyDescent="0.3">
      <c r="A7438" s="10"/>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spans="1:26" ht="17.399999999999999" x14ac:dyDescent="0.3">
      <c r="A7439" s="10"/>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spans="1:26" ht="17.399999999999999" x14ac:dyDescent="0.3">
      <c r="A7440" s="10"/>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spans="1:26" ht="17.399999999999999" x14ac:dyDescent="0.3">
      <c r="A7441" s="10"/>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spans="1:26" ht="17.399999999999999" x14ac:dyDescent="0.3">
      <c r="A7442" s="10"/>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spans="1:26" ht="17.399999999999999" x14ac:dyDescent="0.3">
      <c r="A7443" s="10"/>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spans="1:26" ht="17.399999999999999" x14ac:dyDescent="0.3">
      <c r="A7444" s="10"/>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spans="1:26" ht="17.399999999999999" x14ac:dyDescent="0.3">
      <c r="A7445" s="10"/>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spans="1:26" ht="17.399999999999999" x14ac:dyDescent="0.3">
      <c r="A7446" s="10"/>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spans="1:26" ht="17.399999999999999" x14ac:dyDescent="0.3">
      <c r="A7447" s="10"/>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spans="1:26" ht="17.399999999999999" x14ac:dyDescent="0.3">
      <c r="A7448" s="10"/>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spans="1:26" ht="17.399999999999999" x14ac:dyDescent="0.3">
      <c r="A7449" s="10"/>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spans="1:26" ht="17.399999999999999" x14ac:dyDescent="0.3">
      <c r="A7450" s="10"/>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spans="1:26" ht="17.399999999999999" x14ac:dyDescent="0.3">
      <c r="A7451" s="10"/>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spans="1:26" ht="17.399999999999999" x14ac:dyDescent="0.3">
      <c r="A7452" s="10"/>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spans="1:26" ht="17.399999999999999" x14ac:dyDescent="0.3">
      <c r="A7453" s="10"/>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spans="1:26" ht="17.399999999999999" x14ac:dyDescent="0.3">
      <c r="A7454" s="10"/>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spans="1:26" ht="17.399999999999999" x14ac:dyDescent="0.3">
      <c r="A7455" s="10"/>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spans="1:26" ht="17.399999999999999" x14ac:dyDescent="0.3">
      <c r="A7456" s="10"/>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spans="1:26" ht="17.399999999999999" x14ac:dyDescent="0.3">
      <c r="A7457" s="10"/>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spans="1:26" ht="17.399999999999999" x14ac:dyDescent="0.3">
      <c r="A7458" s="10"/>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spans="1:26" ht="17.399999999999999" x14ac:dyDescent="0.3">
      <c r="A7459" s="10"/>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spans="1:26" ht="17.399999999999999" x14ac:dyDescent="0.3">
      <c r="A7460" s="10"/>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spans="1:26" ht="17.399999999999999" x14ac:dyDescent="0.3">
      <c r="A7461" s="10"/>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spans="1:26" ht="17.399999999999999" x14ac:dyDescent="0.3">
      <c r="A7462" s="10"/>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spans="1:26" ht="17.399999999999999" x14ac:dyDescent="0.3">
      <c r="A7463" s="10"/>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spans="1:26" ht="17.399999999999999" x14ac:dyDescent="0.3">
      <c r="A7464" s="10"/>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spans="1:26" ht="17.399999999999999" x14ac:dyDescent="0.3">
      <c r="A7465" s="10"/>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spans="1:26" ht="17.399999999999999" x14ac:dyDescent="0.3">
      <c r="A7466" s="10"/>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spans="1:26" ht="17.399999999999999" x14ac:dyDescent="0.3">
      <c r="A7467" s="10"/>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spans="1:26" ht="17.399999999999999" x14ac:dyDescent="0.3">
      <c r="A7468" s="10"/>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spans="1:26" ht="17.399999999999999" x14ac:dyDescent="0.3">
      <c r="A7469" s="10"/>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spans="1:26" ht="17.399999999999999" x14ac:dyDescent="0.3">
      <c r="A7470" s="10"/>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spans="1:26" ht="17.399999999999999" x14ac:dyDescent="0.3">
      <c r="A7471" s="10"/>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spans="1:26" ht="17.399999999999999" x14ac:dyDescent="0.3">
      <c r="A7472" s="10"/>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spans="1:26" ht="17.399999999999999" x14ac:dyDescent="0.3">
      <c r="A7473" s="10"/>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spans="1:26" ht="17.399999999999999" x14ac:dyDescent="0.3">
      <c r="A7474" s="10"/>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spans="1:26" ht="17.399999999999999" x14ac:dyDescent="0.3">
      <c r="A7475" s="10"/>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spans="1:26" ht="17.399999999999999" x14ac:dyDescent="0.3">
      <c r="A7476" s="10"/>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spans="1:26" ht="17.399999999999999" x14ac:dyDescent="0.3">
      <c r="A7477" s="10"/>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spans="1:26" ht="17.399999999999999" x14ac:dyDescent="0.3">
      <c r="A7478" s="10"/>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spans="1:26" ht="17.399999999999999" x14ac:dyDescent="0.3">
      <c r="A7479" s="10"/>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spans="1:26" ht="17.399999999999999" x14ac:dyDescent="0.3">
      <c r="A7480" s="10"/>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spans="1:26" ht="17.399999999999999" x14ac:dyDescent="0.3">
      <c r="A7481" s="10"/>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spans="1:26" ht="17.399999999999999" x14ac:dyDescent="0.3">
      <c r="A7482" s="10"/>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spans="1:26" ht="17.399999999999999" x14ac:dyDescent="0.3">
      <c r="A7483" s="10"/>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spans="1:26" ht="17.399999999999999" x14ac:dyDescent="0.3">
      <c r="A7484" s="10"/>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spans="1:26" ht="17.399999999999999" x14ac:dyDescent="0.3">
      <c r="A7485" s="10"/>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spans="1:26" ht="17.399999999999999" x14ac:dyDescent="0.3">
      <c r="A7486" s="10"/>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spans="1:26" ht="17.399999999999999" x14ac:dyDescent="0.3">
      <c r="A7487" s="10"/>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spans="1:26" ht="17.399999999999999" x14ac:dyDescent="0.3">
      <c r="A7488" s="10"/>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spans="1:26" ht="17.399999999999999" x14ac:dyDescent="0.3">
      <c r="A7489" s="10"/>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spans="1:26" ht="17.399999999999999" x14ac:dyDescent="0.3">
      <c r="A7490" s="10"/>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spans="1:26" ht="17.399999999999999" x14ac:dyDescent="0.3">
      <c r="A7491" s="10"/>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spans="1:26" ht="17.399999999999999" x14ac:dyDescent="0.3">
      <c r="A7492" s="10"/>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spans="1:26" ht="17.399999999999999" x14ac:dyDescent="0.3">
      <c r="A7493" s="10"/>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spans="1:26" ht="17.399999999999999" x14ac:dyDescent="0.3">
      <c r="A7494" s="10"/>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spans="1:26" ht="17.399999999999999" x14ac:dyDescent="0.3">
      <c r="A7495" s="10"/>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spans="1:26" ht="17.399999999999999" x14ac:dyDescent="0.3">
      <c r="A7496" s="10"/>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spans="1:26" ht="17.399999999999999" x14ac:dyDescent="0.3">
      <c r="A7497" s="10"/>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spans="1:26" ht="17.399999999999999" x14ac:dyDescent="0.3">
      <c r="A7498" s="10"/>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spans="1:26" ht="17.399999999999999" x14ac:dyDescent="0.3">
      <c r="A7499" s="10"/>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spans="1:26" ht="17.399999999999999" x14ac:dyDescent="0.3">
      <c r="A7500" s="10"/>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spans="1:26" ht="17.399999999999999" x14ac:dyDescent="0.3">
      <c r="A7501" s="10"/>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spans="1:26" ht="17.399999999999999" x14ac:dyDescent="0.3">
      <c r="A7502" s="10"/>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spans="1:26" ht="17.399999999999999" x14ac:dyDescent="0.3">
      <c r="A7503" s="10"/>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spans="1:26" ht="17.399999999999999" x14ac:dyDescent="0.3">
      <c r="A7504" s="10"/>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spans="1:26" ht="17.399999999999999" x14ac:dyDescent="0.3">
      <c r="A7505" s="10"/>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spans="1:26" ht="17.399999999999999" x14ac:dyDescent="0.3">
      <c r="A7506" s="10"/>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spans="1:26" ht="17.399999999999999" x14ac:dyDescent="0.3">
      <c r="A7507" s="10"/>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spans="1:26" ht="17.399999999999999" x14ac:dyDescent="0.3">
      <c r="A7508" s="10"/>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spans="1:26" ht="17.399999999999999" x14ac:dyDescent="0.3">
      <c r="A7509" s="10"/>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spans="1:26" ht="17.399999999999999" x14ac:dyDescent="0.3">
      <c r="A7510" s="10"/>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spans="1:26" ht="17.399999999999999" x14ac:dyDescent="0.3">
      <c r="A7511" s="10"/>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spans="1:26" ht="17.399999999999999" x14ac:dyDescent="0.3">
      <c r="A7512" s="10"/>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spans="1:26" ht="17.399999999999999" x14ac:dyDescent="0.3">
      <c r="A7513" s="10"/>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spans="1:26" ht="17.399999999999999" x14ac:dyDescent="0.3">
      <c r="A7514" s="10"/>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spans="1:26" ht="17.399999999999999" x14ac:dyDescent="0.3">
      <c r="A7515" s="10"/>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spans="1:26" ht="17.399999999999999" x14ac:dyDescent="0.3">
      <c r="A7516" s="10"/>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spans="1:26" ht="17.399999999999999" x14ac:dyDescent="0.3">
      <c r="A7517" s="10"/>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spans="1:26" ht="17.399999999999999" x14ac:dyDescent="0.3">
      <c r="A7518" s="10"/>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spans="1:26" ht="17.399999999999999" x14ac:dyDescent="0.3">
      <c r="A7519" s="10"/>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spans="1:26" ht="17.399999999999999" x14ac:dyDescent="0.3">
      <c r="A7520" s="10"/>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spans="1:26" ht="17.399999999999999" x14ac:dyDescent="0.3">
      <c r="A7521" s="10"/>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spans="1:26" ht="17.399999999999999" x14ac:dyDescent="0.3">
      <c r="A7522" s="10"/>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spans="1:26" ht="17.399999999999999" x14ac:dyDescent="0.3">
      <c r="A7523" s="10"/>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spans="1:26" ht="17.399999999999999" x14ac:dyDescent="0.3">
      <c r="A7524" s="10"/>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spans="1:26" ht="17.399999999999999" x14ac:dyDescent="0.3">
      <c r="A7525" s="10"/>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spans="1:26" ht="17.399999999999999" x14ac:dyDescent="0.3">
      <c r="A7526" s="10"/>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spans="1:26" ht="17.399999999999999" x14ac:dyDescent="0.3">
      <c r="A7527" s="10"/>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spans="1:26" ht="17.399999999999999" x14ac:dyDescent="0.3">
      <c r="A7528" s="10"/>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spans="1:26" ht="17.399999999999999" x14ac:dyDescent="0.3">
      <c r="A7529" s="10"/>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spans="1:26" ht="17.399999999999999" x14ac:dyDescent="0.3">
      <c r="A7530" s="10"/>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spans="1:26" ht="17.399999999999999" x14ac:dyDescent="0.3">
      <c r="A7531" s="10"/>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spans="1:26" ht="17.399999999999999" x14ac:dyDescent="0.3">
      <c r="A7532" s="10"/>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spans="1:26" ht="17.399999999999999" x14ac:dyDescent="0.3">
      <c r="A7533" s="10"/>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spans="1:26" ht="17.399999999999999" x14ac:dyDescent="0.3">
      <c r="A7534" s="10"/>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spans="1:26" ht="17.399999999999999" x14ac:dyDescent="0.3">
      <c r="A7535" s="10"/>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spans="1:26" ht="17.399999999999999" x14ac:dyDescent="0.3">
      <c r="A7536" s="10"/>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spans="1:26" ht="17.399999999999999" x14ac:dyDescent="0.3">
      <c r="A7537" s="10"/>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spans="1:26" ht="17.399999999999999" x14ac:dyDescent="0.3">
      <c r="A7538" s="10"/>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spans="1:26" ht="17.399999999999999" x14ac:dyDescent="0.3">
      <c r="A7539" s="10"/>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spans="1:26" ht="17.399999999999999" x14ac:dyDescent="0.3">
      <c r="A7540" s="10"/>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spans="1:26" ht="17.399999999999999" x14ac:dyDescent="0.3">
      <c r="A7541" s="10"/>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spans="1:26" ht="17.399999999999999" x14ac:dyDescent="0.3">
      <c r="A7542" s="10"/>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spans="1:26" ht="17.399999999999999" x14ac:dyDescent="0.3">
      <c r="A7543" s="10"/>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spans="1:26" ht="17.399999999999999" x14ac:dyDescent="0.3">
      <c r="A7544" s="10"/>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spans="1:26" ht="17.399999999999999" x14ac:dyDescent="0.3">
      <c r="A7545" s="10"/>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spans="1:26" ht="17.399999999999999" x14ac:dyDescent="0.3">
      <c r="A7546" s="10"/>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spans="1:26" ht="17.399999999999999" x14ac:dyDescent="0.3">
      <c r="A7547" s="10"/>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spans="1:26" ht="17.399999999999999" x14ac:dyDescent="0.3">
      <c r="A7548" s="10"/>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spans="1:26" ht="17.399999999999999" x14ac:dyDescent="0.3">
      <c r="A7549" s="10"/>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spans="1:26" ht="17.399999999999999" x14ac:dyDescent="0.3">
      <c r="A7550" s="10"/>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spans="1:26" ht="17.399999999999999" x14ac:dyDescent="0.3">
      <c r="A7551" s="10"/>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spans="1:26" ht="17.399999999999999" x14ac:dyDescent="0.3">
      <c r="A7552" s="10"/>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spans="1:26" ht="17.399999999999999" x14ac:dyDescent="0.3">
      <c r="A7553" s="10"/>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spans="1:26" ht="17.399999999999999" x14ac:dyDescent="0.3">
      <c r="A7554" s="10"/>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spans="1:26" ht="17.399999999999999" x14ac:dyDescent="0.3">
      <c r="A7555" s="10"/>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spans="1:26" ht="17.399999999999999" x14ac:dyDescent="0.3">
      <c r="A7556" s="10"/>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spans="1:26" ht="17.399999999999999" x14ac:dyDescent="0.3">
      <c r="A7557" s="10"/>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spans="1:26" ht="17.399999999999999" x14ac:dyDescent="0.3">
      <c r="A7558" s="10"/>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spans="1:26" ht="17.399999999999999" x14ac:dyDescent="0.3">
      <c r="A7559" s="10"/>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spans="1:26" ht="17.399999999999999" x14ac:dyDescent="0.3">
      <c r="A7560" s="10"/>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spans="1:26" ht="17.399999999999999" x14ac:dyDescent="0.3">
      <c r="A7561" s="10"/>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spans="1:26" ht="17.399999999999999" x14ac:dyDescent="0.3">
      <c r="A7562" s="10"/>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spans="1:26" ht="17.399999999999999" x14ac:dyDescent="0.3">
      <c r="A7563" s="10"/>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spans="1:26" ht="17.399999999999999" x14ac:dyDescent="0.3">
      <c r="A7564" s="10"/>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spans="1:26" ht="17.399999999999999" x14ac:dyDescent="0.3">
      <c r="A7565" s="10"/>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spans="1:26" ht="17.399999999999999" x14ac:dyDescent="0.3">
      <c r="A7566" s="10"/>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spans="1:26" ht="17.399999999999999" x14ac:dyDescent="0.3">
      <c r="A7567" s="10"/>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spans="1:26" ht="17.399999999999999" x14ac:dyDescent="0.3">
      <c r="A7568" s="10"/>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spans="1:26" ht="17.399999999999999" x14ac:dyDescent="0.3">
      <c r="A7569" s="10"/>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spans="1:26" ht="17.399999999999999" x14ac:dyDescent="0.3">
      <c r="A7570" s="10"/>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spans="1:26" ht="17.399999999999999" x14ac:dyDescent="0.3">
      <c r="A7571" s="10"/>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spans="1:26" ht="17.399999999999999" x14ac:dyDescent="0.3">
      <c r="A7572" s="10"/>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spans="1:26" ht="17.399999999999999" x14ac:dyDescent="0.3">
      <c r="A7573" s="10"/>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spans="1:26" ht="17.399999999999999" x14ac:dyDescent="0.3">
      <c r="A7574" s="10"/>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spans="1:26" ht="17.399999999999999" x14ac:dyDescent="0.3">
      <c r="A7575" s="10"/>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spans="1:26" ht="17.399999999999999" x14ac:dyDescent="0.3">
      <c r="A7576" s="10"/>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spans="1:26" ht="17.399999999999999" x14ac:dyDescent="0.3">
      <c r="A7577" s="10"/>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spans="1:26" ht="17.399999999999999" x14ac:dyDescent="0.3">
      <c r="A7578" s="10"/>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spans="1:26" ht="17.399999999999999" x14ac:dyDescent="0.3">
      <c r="A7579" s="10"/>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spans="1:26" ht="17.399999999999999" x14ac:dyDescent="0.3">
      <c r="A7580" s="10"/>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spans="1:26" ht="17.399999999999999" x14ac:dyDescent="0.3">
      <c r="A7581" s="10"/>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spans="1:26" ht="17.399999999999999" x14ac:dyDescent="0.3">
      <c r="A7582" s="10"/>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spans="1:26" ht="17.399999999999999" x14ac:dyDescent="0.3">
      <c r="A7583" s="10"/>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spans="1:26" ht="17.399999999999999" x14ac:dyDescent="0.3">
      <c r="A7584" s="10"/>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spans="1:26" ht="17.399999999999999" x14ac:dyDescent="0.3">
      <c r="A7585" s="10"/>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spans="1:26" ht="17.399999999999999" x14ac:dyDescent="0.3">
      <c r="A7586" s="10"/>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spans="1:26" ht="17.399999999999999" x14ac:dyDescent="0.3">
      <c r="A7587" s="10"/>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spans="1:26" ht="17.399999999999999" x14ac:dyDescent="0.3">
      <c r="A7588" s="10"/>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spans="1:26" ht="17.399999999999999" x14ac:dyDescent="0.3">
      <c r="A7589" s="10"/>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spans="1:26" ht="17.399999999999999" x14ac:dyDescent="0.3">
      <c r="A7590" s="10"/>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spans="1:26" ht="17.399999999999999" x14ac:dyDescent="0.3">
      <c r="A7591" s="10"/>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spans="1:26" ht="17.399999999999999" x14ac:dyDescent="0.3">
      <c r="A7592" s="10"/>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spans="1:26" ht="17.399999999999999" x14ac:dyDescent="0.3">
      <c r="A7593" s="10"/>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spans="1:26" ht="17.399999999999999" x14ac:dyDescent="0.3">
      <c r="A7594" s="10"/>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spans="1:26" ht="17.399999999999999" x14ac:dyDescent="0.3">
      <c r="A7595" s="10"/>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spans="1:26" ht="17.399999999999999" x14ac:dyDescent="0.3">
      <c r="A7596" s="10"/>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spans="1:26" ht="17.399999999999999" x14ac:dyDescent="0.3">
      <c r="A7597" s="10"/>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spans="1:26" ht="17.399999999999999" x14ac:dyDescent="0.3">
      <c r="A7598" s="10"/>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spans="1:26" ht="17.399999999999999" x14ac:dyDescent="0.3">
      <c r="A7599" s="10"/>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spans="1:26" ht="17.399999999999999" x14ac:dyDescent="0.3">
      <c r="A7600" s="10"/>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spans="1:26" ht="17.399999999999999" x14ac:dyDescent="0.3">
      <c r="A7601" s="10"/>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spans="1:26" ht="17.399999999999999" x14ac:dyDescent="0.3">
      <c r="A7602" s="10"/>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spans="1:26" ht="17.399999999999999" x14ac:dyDescent="0.3">
      <c r="A7603" s="10"/>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spans="1:26" ht="17.399999999999999" x14ac:dyDescent="0.3">
      <c r="A7604" s="10"/>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spans="1:26" ht="17.399999999999999" x14ac:dyDescent="0.3">
      <c r="A7605" s="10"/>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spans="1:26" ht="17.399999999999999" x14ac:dyDescent="0.3">
      <c r="A7606" s="10"/>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spans="1:26" ht="17.399999999999999" x14ac:dyDescent="0.3">
      <c r="A7607" s="10"/>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spans="1:26" ht="17.399999999999999" x14ac:dyDescent="0.3">
      <c r="A7608" s="10"/>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spans="1:26" ht="17.399999999999999" x14ac:dyDescent="0.3">
      <c r="A7609" s="10"/>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spans="1:26" ht="17.399999999999999" x14ac:dyDescent="0.3">
      <c r="A7610" s="10"/>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spans="1:26" ht="17.399999999999999" x14ac:dyDescent="0.3">
      <c r="A7611" s="10"/>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spans="1:26" ht="17.399999999999999" x14ac:dyDescent="0.3">
      <c r="A7612" s="10"/>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spans="1:26" ht="17.399999999999999" x14ac:dyDescent="0.3">
      <c r="A7613" s="10"/>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spans="1:26" ht="17.399999999999999" x14ac:dyDescent="0.3">
      <c r="A7614" s="10"/>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spans="1:26" ht="17.399999999999999" x14ac:dyDescent="0.3">
      <c r="A7615" s="10"/>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spans="1:26" ht="17.399999999999999" x14ac:dyDescent="0.3">
      <c r="A7616" s="10"/>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spans="1:26" ht="17.399999999999999" x14ac:dyDescent="0.3">
      <c r="A7617" s="10"/>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spans="1:26" ht="17.399999999999999" x14ac:dyDescent="0.3">
      <c r="A7618" s="10"/>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spans="1:26" ht="17.399999999999999" x14ac:dyDescent="0.3">
      <c r="A7619" s="10"/>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spans="1:26" ht="17.399999999999999" x14ac:dyDescent="0.3">
      <c r="A7620" s="10"/>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spans="1:26" ht="17.399999999999999" x14ac:dyDescent="0.3">
      <c r="A7621" s="10"/>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spans="1:26" ht="17.399999999999999" x14ac:dyDescent="0.3">
      <c r="A7622" s="10"/>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spans="1:26" ht="17.399999999999999" x14ac:dyDescent="0.3">
      <c r="A7623" s="10"/>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spans="1:26" ht="17.399999999999999" x14ac:dyDescent="0.3">
      <c r="A7624" s="10"/>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spans="1:26" ht="17.399999999999999" x14ac:dyDescent="0.3">
      <c r="A7625" s="10"/>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spans="1:26" ht="17.399999999999999" x14ac:dyDescent="0.3">
      <c r="A7626" s="10"/>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spans="1:26" ht="17.399999999999999" x14ac:dyDescent="0.3">
      <c r="A7627" s="10"/>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spans="1:26" ht="17.399999999999999" x14ac:dyDescent="0.3">
      <c r="A7628" s="10"/>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spans="1:26" ht="17.399999999999999" x14ac:dyDescent="0.3">
      <c r="A7629" s="10"/>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spans="1:26" ht="17.399999999999999" x14ac:dyDescent="0.3">
      <c r="A7630" s="10"/>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spans="1:26" ht="17.399999999999999" x14ac:dyDescent="0.3">
      <c r="A7631" s="10"/>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spans="1:26" ht="17.399999999999999" x14ac:dyDescent="0.3">
      <c r="A7632" s="10"/>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spans="1:26" ht="17.399999999999999" x14ac:dyDescent="0.3">
      <c r="A7633" s="10"/>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spans="1:26" ht="17.399999999999999" x14ac:dyDescent="0.3">
      <c r="A7634" s="10"/>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spans="1:26" ht="17.399999999999999" x14ac:dyDescent="0.3">
      <c r="A7635" s="10"/>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spans="1:26" ht="17.399999999999999" x14ac:dyDescent="0.3">
      <c r="A7636" s="10"/>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spans="1:26" ht="17.399999999999999" x14ac:dyDescent="0.3">
      <c r="A7637" s="10"/>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spans="1:26" ht="17.399999999999999" x14ac:dyDescent="0.3">
      <c r="A7638" s="10"/>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spans="1:26" ht="17.399999999999999" x14ac:dyDescent="0.3">
      <c r="A7639" s="10"/>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spans="1:26" ht="17.399999999999999" x14ac:dyDescent="0.3">
      <c r="A7640" s="10"/>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spans="1:26" ht="17.399999999999999" x14ac:dyDescent="0.3">
      <c r="A7641" s="10"/>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spans="1:26" ht="17.399999999999999" x14ac:dyDescent="0.3">
      <c r="A7642" s="10"/>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spans="1:26" ht="17.399999999999999" x14ac:dyDescent="0.3">
      <c r="A7643" s="10"/>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spans="1:26" ht="17.399999999999999" x14ac:dyDescent="0.3">
      <c r="A7644" s="10"/>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spans="1:26" ht="17.399999999999999" x14ac:dyDescent="0.3">
      <c r="A7645" s="10"/>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spans="1:26" ht="17.399999999999999" x14ac:dyDescent="0.3">
      <c r="A7646" s="10"/>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spans="1:26" ht="17.399999999999999" x14ac:dyDescent="0.3">
      <c r="A7647" s="10"/>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spans="1:26" ht="17.399999999999999" x14ac:dyDescent="0.3">
      <c r="A7648" s="10"/>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spans="1:26" ht="17.399999999999999" x14ac:dyDescent="0.3">
      <c r="A7649" s="10"/>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spans="1:26" ht="17.399999999999999" x14ac:dyDescent="0.3">
      <c r="A7650" s="10"/>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spans="1:26" ht="17.399999999999999" x14ac:dyDescent="0.3">
      <c r="A7651" s="10"/>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spans="1:26" ht="17.399999999999999" x14ac:dyDescent="0.3">
      <c r="A7652" s="10"/>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spans="1:26" ht="17.399999999999999" x14ac:dyDescent="0.3">
      <c r="A7653" s="10"/>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spans="1:26" ht="17.399999999999999" x14ac:dyDescent="0.3">
      <c r="A7654" s="10"/>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spans="1:26" ht="17.399999999999999" x14ac:dyDescent="0.3">
      <c r="A7655" s="10"/>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spans="1:26" ht="17.399999999999999" x14ac:dyDescent="0.3">
      <c r="A7656" s="10"/>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spans="1:26" ht="17.399999999999999" x14ac:dyDescent="0.3">
      <c r="A7657" s="10"/>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spans="1:26" ht="17.399999999999999" x14ac:dyDescent="0.3">
      <c r="A7658" s="10"/>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spans="1:26" ht="17.399999999999999" x14ac:dyDescent="0.3">
      <c r="A7659" s="10"/>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spans="1:26" ht="17.399999999999999" x14ac:dyDescent="0.3">
      <c r="A7660" s="10"/>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spans="1:26" ht="17.399999999999999" x14ac:dyDescent="0.3">
      <c r="A7661" s="10"/>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spans="1:26" ht="17.399999999999999" x14ac:dyDescent="0.3">
      <c r="A7662" s="10"/>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spans="1:26" ht="17.399999999999999" x14ac:dyDescent="0.3">
      <c r="A7663" s="10"/>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spans="1:26" ht="17.399999999999999" x14ac:dyDescent="0.3">
      <c r="A7664" s="10"/>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spans="1:26" ht="17.399999999999999" x14ac:dyDescent="0.3">
      <c r="A7665" s="10"/>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spans="1:26" ht="17.399999999999999" x14ac:dyDescent="0.3">
      <c r="A7666" s="10"/>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spans="1:26" ht="17.399999999999999" x14ac:dyDescent="0.3">
      <c r="A7667" s="10"/>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spans="1:26" ht="17.399999999999999" x14ac:dyDescent="0.3">
      <c r="A7668" s="10"/>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spans="1:26" ht="17.399999999999999" x14ac:dyDescent="0.3">
      <c r="A7669" s="10"/>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spans="1:26" ht="17.399999999999999" x14ac:dyDescent="0.3">
      <c r="A7670" s="10"/>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spans="1:26" ht="17.399999999999999" x14ac:dyDescent="0.3">
      <c r="A7671" s="10"/>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spans="1:26" ht="17.399999999999999" x14ac:dyDescent="0.3">
      <c r="A7672" s="10"/>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spans="1:26" ht="17.399999999999999" x14ac:dyDescent="0.3">
      <c r="A7673" s="10"/>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spans="1:26" ht="17.399999999999999" x14ac:dyDescent="0.3">
      <c r="A7674" s="10"/>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spans="1:26" ht="17.399999999999999" x14ac:dyDescent="0.3">
      <c r="A7675" s="10"/>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spans="1:26" ht="17.399999999999999" x14ac:dyDescent="0.3">
      <c r="A7676" s="10"/>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spans="1:26" ht="17.399999999999999" x14ac:dyDescent="0.3">
      <c r="A7677" s="10"/>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spans="1:26" ht="17.399999999999999" x14ac:dyDescent="0.3">
      <c r="A7678" s="10"/>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spans="1:26" ht="17.399999999999999" x14ac:dyDescent="0.3">
      <c r="A7679" s="10"/>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spans="1:26" ht="17.399999999999999" x14ac:dyDescent="0.3">
      <c r="A7680" s="10"/>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spans="1:26" ht="17.399999999999999" x14ac:dyDescent="0.3">
      <c r="A7681" s="10"/>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spans="1:26" ht="17.399999999999999" x14ac:dyDescent="0.3">
      <c r="A7682" s="10"/>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spans="1:26" ht="17.399999999999999" x14ac:dyDescent="0.3">
      <c r="A7683" s="10"/>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spans="1:26" ht="17.399999999999999" x14ac:dyDescent="0.3">
      <c r="A7684" s="10"/>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spans="1:26" ht="17.399999999999999" x14ac:dyDescent="0.3">
      <c r="A7685" s="10"/>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spans="1:26" ht="17.399999999999999" x14ac:dyDescent="0.3">
      <c r="A7686" s="10"/>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spans="1:26" ht="17.399999999999999" x14ac:dyDescent="0.3">
      <c r="A7687" s="10"/>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spans="1:26" ht="17.399999999999999" x14ac:dyDescent="0.3">
      <c r="A7688" s="10"/>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spans="1:26" ht="17.399999999999999" x14ac:dyDescent="0.3">
      <c r="A7689" s="10"/>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spans="1:26" ht="17.399999999999999" x14ac:dyDescent="0.3">
      <c r="A7690" s="10"/>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spans="1:26" ht="17.399999999999999" x14ac:dyDescent="0.3">
      <c r="A7691" s="10"/>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spans="1:26" ht="17.399999999999999" x14ac:dyDescent="0.3">
      <c r="A7692" s="10"/>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spans="1:26" ht="17.399999999999999" x14ac:dyDescent="0.3">
      <c r="A7693" s="10"/>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spans="1:26" ht="17.399999999999999" x14ac:dyDescent="0.3">
      <c r="A7694" s="10"/>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spans="1:26" ht="17.399999999999999" x14ac:dyDescent="0.3">
      <c r="A7695" s="10"/>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spans="1:26" ht="17.399999999999999" x14ac:dyDescent="0.3">
      <c r="A7696" s="10"/>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spans="1:26" ht="17.399999999999999" x14ac:dyDescent="0.3">
      <c r="A7697" s="10"/>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spans="1:26" ht="17.399999999999999" x14ac:dyDescent="0.3">
      <c r="A7698" s="10"/>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spans="1:26" ht="17.399999999999999" x14ac:dyDescent="0.3">
      <c r="A7699" s="10"/>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spans="1:26" ht="17.399999999999999" x14ac:dyDescent="0.3">
      <c r="A7700" s="10"/>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spans="1:26" ht="17.399999999999999" x14ac:dyDescent="0.3">
      <c r="A7701" s="10"/>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spans="1:26" ht="17.399999999999999" x14ac:dyDescent="0.3">
      <c r="A7702" s="10"/>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spans="1:26" ht="17.399999999999999" x14ac:dyDescent="0.3">
      <c r="A7703" s="10"/>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spans="1:26" ht="17.399999999999999" x14ac:dyDescent="0.3">
      <c r="A7704" s="10"/>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spans="1:26" ht="17.399999999999999" x14ac:dyDescent="0.3">
      <c r="A7705" s="10"/>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spans="1:26" ht="17.399999999999999" x14ac:dyDescent="0.3">
      <c r="A7706" s="10"/>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spans="1:26" ht="17.399999999999999" x14ac:dyDescent="0.3">
      <c r="A7707" s="10"/>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spans="1:26" ht="17.399999999999999" x14ac:dyDescent="0.3">
      <c r="A7708" s="10"/>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spans="1:26" ht="17.399999999999999" x14ac:dyDescent="0.3">
      <c r="A7709" s="10"/>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spans="1:26" ht="17.399999999999999" x14ac:dyDescent="0.3">
      <c r="A7710" s="10"/>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spans="1:26" ht="17.399999999999999" x14ac:dyDescent="0.3">
      <c r="A7711" s="10"/>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spans="1:26" ht="17.399999999999999" x14ac:dyDescent="0.3">
      <c r="A7712" s="10"/>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spans="1:26" ht="17.399999999999999" x14ac:dyDescent="0.3">
      <c r="A7713" s="10"/>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spans="1:26" ht="17.399999999999999" x14ac:dyDescent="0.3">
      <c r="A7714" s="10"/>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spans="1:26" ht="17.399999999999999" x14ac:dyDescent="0.3">
      <c r="A7715" s="10"/>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spans="1:26" ht="17.399999999999999" x14ac:dyDescent="0.3">
      <c r="A7716" s="10"/>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spans="1:26" ht="17.399999999999999" x14ac:dyDescent="0.3">
      <c r="A7717" s="10"/>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spans="1:26" ht="17.399999999999999" x14ac:dyDescent="0.3">
      <c r="A7718" s="10"/>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spans="1:26" ht="17.399999999999999" x14ac:dyDescent="0.3">
      <c r="A7719" s="10"/>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spans="1:26" ht="17.399999999999999" x14ac:dyDescent="0.3">
      <c r="A7720" s="10"/>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spans="1:26" ht="17.399999999999999" x14ac:dyDescent="0.3">
      <c r="A7721" s="10"/>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spans="1:26" ht="17.399999999999999" x14ac:dyDescent="0.3">
      <c r="A7722" s="10"/>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spans="1:26" ht="17.399999999999999" x14ac:dyDescent="0.3">
      <c r="A7723" s="10"/>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spans="1:26" ht="17.399999999999999" x14ac:dyDescent="0.3">
      <c r="A7724" s="10"/>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spans="1:26" ht="17.399999999999999" x14ac:dyDescent="0.3">
      <c r="A7725" s="10"/>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spans="1:26" ht="17.399999999999999" x14ac:dyDescent="0.3">
      <c r="A7726" s="10"/>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spans="1:26" ht="17.399999999999999" x14ac:dyDescent="0.3">
      <c r="A7727" s="10"/>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spans="1:26" ht="17.399999999999999" x14ac:dyDescent="0.3">
      <c r="A7728" s="10"/>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spans="1:26" ht="17.399999999999999" x14ac:dyDescent="0.3">
      <c r="A7729" s="10"/>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spans="1:26" ht="17.399999999999999" x14ac:dyDescent="0.3">
      <c r="A7730" s="10"/>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spans="1:26" ht="17.399999999999999" x14ac:dyDescent="0.3">
      <c r="A7731" s="10"/>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spans="1:26" ht="17.399999999999999" x14ac:dyDescent="0.3">
      <c r="A7732" s="10"/>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spans="1:26" ht="17.399999999999999" x14ac:dyDescent="0.3">
      <c r="A7733" s="10"/>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spans="1:26" ht="17.399999999999999" x14ac:dyDescent="0.3">
      <c r="A7734" s="10"/>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spans="1:26" ht="17.399999999999999" x14ac:dyDescent="0.3">
      <c r="A7735" s="10"/>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spans="1:26" ht="17.399999999999999" x14ac:dyDescent="0.3">
      <c r="A7736" s="10"/>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spans="1:26" ht="17.399999999999999" x14ac:dyDescent="0.3">
      <c r="A7737" s="10"/>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spans="1:26" ht="17.399999999999999" x14ac:dyDescent="0.3">
      <c r="A7738" s="10"/>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spans="1:26" ht="17.399999999999999" x14ac:dyDescent="0.3">
      <c r="A7739" s="10"/>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spans="1:26" ht="17.399999999999999" x14ac:dyDescent="0.3">
      <c r="A7740" s="10"/>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spans="1:26" ht="17.399999999999999" x14ac:dyDescent="0.3">
      <c r="A7741" s="10"/>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spans="1:26" ht="17.399999999999999" x14ac:dyDescent="0.3">
      <c r="A7742" s="10"/>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spans="1:26" ht="17.399999999999999" x14ac:dyDescent="0.3">
      <c r="A7743" s="10"/>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spans="1:26" ht="17.399999999999999" x14ac:dyDescent="0.3">
      <c r="A7744" s="10"/>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spans="1:26" ht="17.399999999999999" x14ac:dyDescent="0.3">
      <c r="A7745" s="10"/>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spans="1:26" ht="17.399999999999999" x14ac:dyDescent="0.3">
      <c r="A7746" s="10"/>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spans="1:26" ht="17.399999999999999" x14ac:dyDescent="0.3">
      <c r="A7747" s="10"/>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spans="1:26" ht="17.399999999999999" x14ac:dyDescent="0.3">
      <c r="A7748" s="10"/>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spans="1:26" ht="17.399999999999999" x14ac:dyDescent="0.3">
      <c r="A7749" s="10"/>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spans="1:26" ht="17.399999999999999" x14ac:dyDescent="0.3">
      <c r="A7750" s="10"/>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spans="1:26" ht="17.399999999999999" x14ac:dyDescent="0.3">
      <c r="A7751" s="10"/>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spans="1:26" ht="17.399999999999999" x14ac:dyDescent="0.3">
      <c r="A7752" s="10"/>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spans="1:26" ht="17.399999999999999" x14ac:dyDescent="0.3">
      <c r="A7753" s="10"/>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spans="1:26" ht="17.399999999999999" x14ac:dyDescent="0.3">
      <c r="A7754" s="10"/>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spans="1:26" ht="17.399999999999999" x14ac:dyDescent="0.3">
      <c r="A7755" s="10"/>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spans="1:26" ht="17.399999999999999" x14ac:dyDescent="0.3">
      <c r="A7756" s="10"/>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spans="1:26" ht="17.399999999999999" x14ac:dyDescent="0.3">
      <c r="A7757" s="10"/>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spans="1:26" ht="17.399999999999999" x14ac:dyDescent="0.3">
      <c r="A7758" s="10"/>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spans="1:26" ht="17.399999999999999" x14ac:dyDescent="0.3">
      <c r="A7759" s="10"/>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spans="1:26" ht="17.399999999999999" x14ac:dyDescent="0.3">
      <c r="A7760" s="10"/>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spans="1:26" ht="17.399999999999999" x14ac:dyDescent="0.3">
      <c r="A7761" s="10"/>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spans="1:26" ht="17.399999999999999" x14ac:dyDescent="0.3">
      <c r="A7762" s="10"/>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spans="1:26" ht="17.399999999999999" x14ac:dyDescent="0.3">
      <c r="A7763" s="10"/>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spans="1:26" ht="17.399999999999999" x14ac:dyDescent="0.3">
      <c r="A7764" s="10"/>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spans="1:26" ht="17.399999999999999" x14ac:dyDescent="0.3">
      <c r="A7765" s="10"/>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spans="1:26" ht="17.399999999999999" x14ac:dyDescent="0.3">
      <c r="A7766" s="10"/>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spans="1:26" ht="17.399999999999999" x14ac:dyDescent="0.3">
      <c r="A7767" s="10"/>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spans="1:26" ht="17.399999999999999" x14ac:dyDescent="0.3">
      <c r="A7768" s="10"/>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spans="1:26" ht="17.399999999999999" x14ac:dyDescent="0.3">
      <c r="A7769" s="10"/>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spans="1:26" ht="17.399999999999999" x14ac:dyDescent="0.3">
      <c r="A7770" s="10"/>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spans="1:26" ht="17.399999999999999" x14ac:dyDescent="0.3">
      <c r="A7771" s="10"/>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spans="1:26" ht="17.399999999999999" x14ac:dyDescent="0.3">
      <c r="A7772" s="10"/>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spans="1:26" ht="17.399999999999999" x14ac:dyDescent="0.3">
      <c r="A7773" s="10"/>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spans="1:26" ht="17.399999999999999" x14ac:dyDescent="0.3">
      <c r="A7774" s="10"/>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spans="1:26" ht="17.399999999999999" x14ac:dyDescent="0.3">
      <c r="A7775" s="10"/>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spans="1:26" ht="17.399999999999999" x14ac:dyDescent="0.3">
      <c r="A7776" s="10"/>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spans="1:26" ht="17.399999999999999" x14ac:dyDescent="0.3">
      <c r="A7777" s="10"/>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spans="1:26" ht="17.399999999999999" x14ac:dyDescent="0.3">
      <c r="A7778" s="10"/>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spans="1:26" ht="17.399999999999999" x14ac:dyDescent="0.3">
      <c r="A7779" s="10"/>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spans="1:26" ht="17.399999999999999" x14ac:dyDescent="0.3">
      <c r="A7780" s="10"/>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spans="1:26" ht="17.399999999999999" x14ac:dyDescent="0.3">
      <c r="A7781" s="10"/>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spans="1:26" ht="17.399999999999999" x14ac:dyDescent="0.3">
      <c r="A7782" s="10"/>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spans="1:26" ht="17.399999999999999" x14ac:dyDescent="0.3">
      <c r="A7783" s="10"/>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spans="1:26" ht="17.399999999999999" x14ac:dyDescent="0.3">
      <c r="A7784" s="10"/>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spans="1:26" ht="17.399999999999999" x14ac:dyDescent="0.3">
      <c r="A7785" s="10"/>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spans="1:26" ht="17.399999999999999" x14ac:dyDescent="0.3">
      <c r="A7786" s="10"/>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spans="1:26" ht="17.399999999999999" x14ac:dyDescent="0.3">
      <c r="A7787" s="10"/>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spans="1:26" ht="17.399999999999999" x14ac:dyDescent="0.3">
      <c r="A7788" s="10"/>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spans="1:26" ht="17.399999999999999" x14ac:dyDescent="0.3">
      <c r="A7789" s="10"/>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spans="1:26" ht="17.399999999999999" x14ac:dyDescent="0.3">
      <c r="A7790" s="10"/>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spans="1:26" ht="17.399999999999999" x14ac:dyDescent="0.3">
      <c r="A7791" s="10"/>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spans="1:26" ht="17.399999999999999" x14ac:dyDescent="0.3">
      <c r="A7792" s="10"/>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spans="1:26" ht="17.399999999999999" x14ac:dyDescent="0.3">
      <c r="A7793" s="10"/>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spans="1:26" ht="17.399999999999999" x14ac:dyDescent="0.3">
      <c r="A7794" s="10"/>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spans="1:26" ht="17.399999999999999" x14ac:dyDescent="0.3">
      <c r="A7795" s="10"/>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spans="1:26" ht="17.399999999999999" x14ac:dyDescent="0.3">
      <c r="A7796" s="10"/>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spans="1:26" ht="17.399999999999999" x14ac:dyDescent="0.3">
      <c r="A7797" s="10"/>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spans="1:26" ht="17.399999999999999" x14ac:dyDescent="0.3">
      <c r="A7798" s="10"/>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spans="1:26" ht="17.399999999999999" x14ac:dyDescent="0.3">
      <c r="A7799" s="10"/>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spans="1:26" ht="17.399999999999999" x14ac:dyDescent="0.3">
      <c r="A7800" s="10"/>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spans="1:26" ht="17.399999999999999" x14ac:dyDescent="0.3">
      <c r="A7801" s="10"/>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spans="1:26" ht="17.399999999999999" x14ac:dyDescent="0.3">
      <c r="A7802" s="10"/>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spans="1:26" ht="17.399999999999999" x14ac:dyDescent="0.3">
      <c r="A7803" s="10"/>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spans="1:26" ht="17.399999999999999" x14ac:dyDescent="0.3">
      <c r="A7804" s="10"/>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spans="1:26" ht="17.399999999999999" x14ac:dyDescent="0.3">
      <c r="A7805" s="10"/>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spans="1:26" ht="17.399999999999999" x14ac:dyDescent="0.3">
      <c r="A7806" s="10"/>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spans="1:26" ht="17.399999999999999" x14ac:dyDescent="0.3">
      <c r="A7807" s="10"/>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spans="1:26" ht="17.399999999999999" x14ac:dyDescent="0.3">
      <c r="A7808" s="10"/>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spans="1:26" ht="17.399999999999999" x14ac:dyDescent="0.3">
      <c r="A7809" s="10"/>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spans="1:26" ht="17.399999999999999" x14ac:dyDescent="0.3">
      <c r="A7810" s="10"/>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spans="1:26" ht="17.399999999999999" x14ac:dyDescent="0.3">
      <c r="A7811" s="10"/>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spans="1:26" ht="17.399999999999999" x14ac:dyDescent="0.3">
      <c r="A7812" s="10"/>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spans="1:26" ht="17.399999999999999" x14ac:dyDescent="0.3">
      <c r="A7813" s="10"/>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spans="1:26" ht="17.399999999999999" x14ac:dyDescent="0.3">
      <c r="A7814" s="10"/>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spans="1:26" ht="17.399999999999999" x14ac:dyDescent="0.3">
      <c r="A7815" s="10"/>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spans="1:26" ht="17.399999999999999" x14ac:dyDescent="0.3">
      <c r="A7816" s="10"/>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spans="1:26" ht="17.399999999999999" x14ac:dyDescent="0.3">
      <c r="A7817" s="10"/>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spans="1:26" ht="17.399999999999999" x14ac:dyDescent="0.3">
      <c r="A7818" s="10"/>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spans="1:26" ht="17.399999999999999" x14ac:dyDescent="0.3">
      <c r="A7819" s="10"/>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spans="1:26" ht="17.399999999999999" x14ac:dyDescent="0.3">
      <c r="A7820" s="10"/>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spans="1:26" ht="17.399999999999999" x14ac:dyDescent="0.3">
      <c r="A7821" s="10"/>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spans="1:26" ht="17.399999999999999" x14ac:dyDescent="0.3">
      <c r="A7822" s="10"/>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spans="1:26" ht="17.399999999999999" x14ac:dyDescent="0.3">
      <c r="A7823" s="10"/>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spans="1:26" ht="17.399999999999999" x14ac:dyDescent="0.3">
      <c r="A7824" s="10"/>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spans="1:26" ht="17.399999999999999" x14ac:dyDescent="0.3">
      <c r="A7825" s="10"/>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spans="1:26" ht="17.399999999999999" x14ac:dyDescent="0.3">
      <c r="A7826" s="10"/>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spans="1:26" ht="17.399999999999999" x14ac:dyDescent="0.3">
      <c r="A7827" s="10"/>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spans="1:26" ht="17.399999999999999" x14ac:dyDescent="0.3">
      <c r="A7828" s="10"/>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spans="1:26" ht="17.399999999999999" x14ac:dyDescent="0.3">
      <c r="A7829" s="10"/>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spans="1:26" ht="17.399999999999999" x14ac:dyDescent="0.3">
      <c r="A7830" s="10"/>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spans="1:26" ht="17.399999999999999" x14ac:dyDescent="0.3">
      <c r="A7831" s="10"/>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spans="1:26" ht="17.399999999999999" x14ac:dyDescent="0.3">
      <c r="A7832" s="10"/>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spans="1:26" ht="17.399999999999999" x14ac:dyDescent="0.3">
      <c r="A7833" s="10"/>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spans="1:26" ht="17.399999999999999" x14ac:dyDescent="0.3">
      <c r="A7834" s="10"/>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spans="1:26" ht="17.399999999999999" x14ac:dyDescent="0.3">
      <c r="A7835" s="10"/>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spans="1:26" ht="17.399999999999999" x14ac:dyDescent="0.3">
      <c r="A7836" s="10"/>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spans="1:26" ht="17.399999999999999" x14ac:dyDescent="0.3">
      <c r="A7837" s="10"/>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spans="1:26" ht="17.399999999999999" x14ac:dyDescent="0.3">
      <c r="A7838" s="10"/>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spans="1:26" ht="17.399999999999999" x14ac:dyDescent="0.3">
      <c r="A7839" s="10"/>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spans="1:26" ht="17.399999999999999" x14ac:dyDescent="0.3">
      <c r="A7840" s="10"/>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spans="1:26" ht="17.399999999999999" x14ac:dyDescent="0.3">
      <c r="A7841" s="10"/>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spans="1:26" ht="17.399999999999999" x14ac:dyDescent="0.3">
      <c r="A7842" s="10"/>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spans="1:26" ht="17.399999999999999" x14ac:dyDescent="0.3">
      <c r="A7843" s="10"/>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spans="1:26" ht="17.399999999999999" x14ac:dyDescent="0.3">
      <c r="A7844" s="10"/>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spans="1:26" ht="17.399999999999999" x14ac:dyDescent="0.3">
      <c r="A7845" s="10"/>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spans="1:26" ht="17.399999999999999" x14ac:dyDescent="0.3">
      <c r="A7846" s="10"/>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spans="1:26" ht="17.399999999999999" x14ac:dyDescent="0.3">
      <c r="A7847" s="10"/>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spans="1:26" ht="17.399999999999999" x14ac:dyDescent="0.3">
      <c r="A7848" s="10"/>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spans="1:26" ht="17.399999999999999" x14ac:dyDescent="0.3">
      <c r="A7849" s="10"/>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spans="1:26" ht="17.399999999999999" x14ac:dyDescent="0.3">
      <c r="A7850" s="10"/>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spans="1:26" ht="17.399999999999999" x14ac:dyDescent="0.3">
      <c r="A7851" s="10"/>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spans="1:26" ht="17.399999999999999" x14ac:dyDescent="0.3">
      <c r="A7852" s="10"/>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spans="1:26" ht="17.399999999999999" x14ac:dyDescent="0.3">
      <c r="A7853" s="10"/>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spans="1:26" ht="17.399999999999999" x14ac:dyDescent="0.3">
      <c r="A7854" s="10"/>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spans="1:26" ht="17.399999999999999" x14ac:dyDescent="0.3">
      <c r="A7855" s="10"/>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spans="1:26" ht="17.399999999999999" x14ac:dyDescent="0.3">
      <c r="A7856" s="10"/>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spans="1:26" ht="17.399999999999999" x14ac:dyDescent="0.3">
      <c r="A7857" s="10"/>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spans="1:26" ht="17.399999999999999" x14ac:dyDescent="0.3">
      <c r="A7858" s="10"/>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spans="1:26" ht="17.399999999999999" x14ac:dyDescent="0.3">
      <c r="A7859" s="10"/>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spans="1:26" ht="17.399999999999999" x14ac:dyDescent="0.3">
      <c r="A7860" s="10"/>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spans="1:26" ht="17.399999999999999" x14ac:dyDescent="0.3">
      <c r="A7861" s="10"/>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spans="1:26" ht="17.399999999999999" x14ac:dyDescent="0.3">
      <c r="A7862" s="10"/>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spans="1:26" ht="17.399999999999999" x14ac:dyDescent="0.3">
      <c r="A7863" s="10"/>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spans="1:26" ht="17.399999999999999" x14ac:dyDescent="0.3">
      <c r="A7864" s="10"/>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spans="1:26" ht="17.399999999999999" x14ac:dyDescent="0.3">
      <c r="A7865" s="10"/>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spans="1:26" ht="17.399999999999999" x14ac:dyDescent="0.3">
      <c r="A7866" s="10"/>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spans="1:26" ht="17.399999999999999" x14ac:dyDescent="0.3">
      <c r="A7867" s="10"/>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spans="1:26" ht="17.399999999999999" x14ac:dyDescent="0.3">
      <c r="A7868" s="10"/>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spans="1:26" ht="17.399999999999999" x14ac:dyDescent="0.3">
      <c r="A7869" s="10"/>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spans="1:26" ht="17.399999999999999" x14ac:dyDescent="0.3">
      <c r="A7870" s="10"/>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spans="1:26" ht="17.399999999999999" x14ac:dyDescent="0.3">
      <c r="A7871" s="10"/>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spans="1:26" ht="17.399999999999999" x14ac:dyDescent="0.3">
      <c r="A7872" s="10"/>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spans="1:26" ht="17.399999999999999" x14ac:dyDescent="0.3">
      <c r="A7873" s="10"/>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spans="1:26" ht="17.399999999999999" x14ac:dyDescent="0.3">
      <c r="A7874" s="10"/>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spans="1:26" ht="17.399999999999999" x14ac:dyDescent="0.3">
      <c r="A7875" s="10"/>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spans="1:26" ht="17.399999999999999" x14ac:dyDescent="0.3">
      <c r="A7876" s="10"/>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spans="1:26" ht="17.399999999999999" x14ac:dyDescent="0.3">
      <c r="A7877" s="10"/>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spans="1:26" ht="17.399999999999999" x14ac:dyDescent="0.3">
      <c r="A7878" s="10"/>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spans="1:26" ht="17.399999999999999" x14ac:dyDescent="0.3">
      <c r="A7879" s="10"/>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spans="1:26" ht="17.399999999999999" x14ac:dyDescent="0.3">
      <c r="A7880" s="10"/>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spans="1:26" ht="17.399999999999999" x14ac:dyDescent="0.3">
      <c r="A7881" s="10"/>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spans="1:26" ht="17.399999999999999" x14ac:dyDescent="0.3">
      <c r="A7882" s="10"/>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spans="1:26" ht="17.399999999999999" x14ac:dyDescent="0.3">
      <c r="A7883" s="10"/>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spans="1:26" ht="17.399999999999999" x14ac:dyDescent="0.3">
      <c r="A7884" s="10"/>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spans="1:26" ht="17.399999999999999" x14ac:dyDescent="0.3">
      <c r="A7885" s="10"/>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spans="1:26" ht="17.399999999999999" x14ac:dyDescent="0.3">
      <c r="A7886" s="10"/>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spans="1:26" ht="17.399999999999999" x14ac:dyDescent="0.3">
      <c r="A7887" s="10"/>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spans="1:26" ht="17.399999999999999" x14ac:dyDescent="0.3">
      <c r="A7888" s="10"/>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spans="1:26" ht="17.399999999999999" x14ac:dyDescent="0.3">
      <c r="A7889" s="10"/>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spans="1:26" ht="17.399999999999999" x14ac:dyDescent="0.3">
      <c r="A7890" s="10"/>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spans="1:26" ht="17.399999999999999" x14ac:dyDescent="0.3">
      <c r="A7891" s="10"/>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spans="1:26" ht="17.399999999999999" x14ac:dyDescent="0.3">
      <c r="A7892" s="10"/>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spans="1:26" ht="17.399999999999999" x14ac:dyDescent="0.3">
      <c r="A7893" s="10"/>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spans="1:26" ht="17.399999999999999" x14ac:dyDescent="0.3">
      <c r="A7894" s="10"/>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spans="1:26" ht="17.399999999999999" x14ac:dyDescent="0.3">
      <c r="A7895" s="10"/>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spans="1:26" ht="17.399999999999999" x14ac:dyDescent="0.3">
      <c r="A7896" s="10"/>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spans="1:26" ht="17.399999999999999" x14ac:dyDescent="0.3">
      <c r="A7897" s="10"/>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spans="1:26" ht="17.399999999999999" x14ac:dyDescent="0.3">
      <c r="A7898" s="10"/>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spans="1:26" ht="17.399999999999999" x14ac:dyDescent="0.3">
      <c r="A7899" s="10"/>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spans="1:26" ht="17.399999999999999" x14ac:dyDescent="0.3">
      <c r="A7900" s="10"/>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spans="1:26" ht="17.399999999999999" x14ac:dyDescent="0.3">
      <c r="A7901" s="10"/>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spans="1:26" ht="17.399999999999999" x14ac:dyDescent="0.3">
      <c r="A7902" s="10"/>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spans="1:26" ht="17.399999999999999" x14ac:dyDescent="0.3">
      <c r="A7903" s="10"/>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spans="1:26" ht="17.399999999999999" x14ac:dyDescent="0.3">
      <c r="A7904" s="10"/>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spans="1:26" ht="17.399999999999999" x14ac:dyDescent="0.3">
      <c r="A7905" s="10"/>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spans="1:26" ht="17.399999999999999" x14ac:dyDescent="0.3">
      <c r="A7906" s="10"/>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spans="1:26" ht="17.399999999999999" x14ac:dyDescent="0.3">
      <c r="A7907" s="10"/>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spans="1:26" ht="17.399999999999999" x14ac:dyDescent="0.3">
      <c r="A7908" s="10"/>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spans="1:26" ht="17.399999999999999" x14ac:dyDescent="0.3">
      <c r="A7909" s="10"/>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spans="1:26" ht="17.399999999999999" x14ac:dyDescent="0.3">
      <c r="A7910" s="10"/>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spans="1:26" ht="17.399999999999999" x14ac:dyDescent="0.3">
      <c r="A7911" s="10"/>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spans="1:26" ht="17.399999999999999" x14ac:dyDescent="0.3">
      <c r="A7912" s="10"/>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spans="1:26" ht="17.399999999999999" x14ac:dyDescent="0.3">
      <c r="A7913" s="10"/>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spans="1:26" ht="17.399999999999999" x14ac:dyDescent="0.3">
      <c r="A7914" s="10"/>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spans="1:26" ht="17.399999999999999" x14ac:dyDescent="0.3">
      <c r="A7915" s="10"/>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spans="1:26" ht="17.399999999999999" x14ac:dyDescent="0.3">
      <c r="A7916" s="10"/>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spans="1:26" ht="17.399999999999999" x14ac:dyDescent="0.3">
      <c r="A7917" s="10"/>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spans="1:26" ht="17.399999999999999" x14ac:dyDescent="0.3">
      <c r="A7918" s="10"/>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spans="1:26" ht="17.399999999999999" x14ac:dyDescent="0.3">
      <c r="A7919" s="10"/>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spans="1:26" ht="17.399999999999999" x14ac:dyDescent="0.3">
      <c r="A7920" s="10"/>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spans="1:26" ht="17.399999999999999" x14ac:dyDescent="0.3">
      <c r="A7921" s="10"/>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spans="1:26" ht="17.399999999999999" x14ac:dyDescent="0.3">
      <c r="A7922" s="10"/>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spans="1:26" ht="17.399999999999999" x14ac:dyDescent="0.3">
      <c r="A7923" s="10"/>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spans="1:26" ht="17.399999999999999" x14ac:dyDescent="0.3">
      <c r="A7924" s="10"/>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spans="1:26" ht="17.399999999999999" x14ac:dyDescent="0.3">
      <c r="A7925" s="10"/>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spans="1:26" ht="17.399999999999999" x14ac:dyDescent="0.3">
      <c r="A7926" s="10"/>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spans="1:26" ht="17.399999999999999" x14ac:dyDescent="0.3">
      <c r="A7927" s="10"/>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spans="1:26" ht="17.399999999999999" x14ac:dyDescent="0.3">
      <c r="A7928" s="10"/>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spans="1:26" ht="17.399999999999999" x14ac:dyDescent="0.3">
      <c r="A7929" s="10"/>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spans="1:26" ht="17.399999999999999" x14ac:dyDescent="0.3">
      <c r="A7930" s="10"/>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spans="1:26" ht="17.399999999999999" x14ac:dyDescent="0.3">
      <c r="A7931" s="10"/>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spans="1:26" ht="17.399999999999999" x14ac:dyDescent="0.3">
      <c r="A7932" s="10"/>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spans="1:26" ht="17.399999999999999" x14ac:dyDescent="0.3">
      <c r="A7933" s="10"/>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spans="1:26" ht="17.399999999999999" x14ac:dyDescent="0.3">
      <c r="A7934" s="10"/>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spans="1:26" ht="17.399999999999999" x14ac:dyDescent="0.3">
      <c r="A7935" s="10"/>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spans="1:26" ht="17.399999999999999" x14ac:dyDescent="0.3">
      <c r="A7936" s="10"/>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spans="1:26" ht="17.399999999999999" x14ac:dyDescent="0.3">
      <c r="A7937" s="10"/>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spans="1:26" ht="17.399999999999999" x14ac:dyDescent="0.3">
      <c r="A7938" s="10"/>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spans="1:26" ht="17.399999999999999" x14ac:dyDescent="0.3">
      <c r="A7939" s="10"/>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spans="1:26" ht="17.399999999999999" x14ac:dyDescent="0.3">
      <c r="A7940" s="10"/>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spans="1:26" ht="17.399999999999999" x14ac:dyDescent="0.3">
      <c r="A7941" s="10"/>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spans="1:26" ht="17.399999999999999" x14ac:dyDescent="0.3">
      <c r="A7942" s="10"/>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spans="1:26" ht="17.399999999999999" x14ac:dyDescent="0.3">
      <c r="A7943" s="10"/>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spans="1:26" ht="17.399999999999999" x14ac:dyDescent="0.3">
      <c r="A7944" s="10"/>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spans="1:26" ht="17.399999999999999" x14ac:dyDescent="0.3">
      <c r="A7945" s="10"/>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spans="1:26" ht="17.399999999999999" x14ac:dyDescent="0.3">
      <c r="A7946" s="10"/>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spans="1:26" ht="17.399999999999999" x14ac:dyDescent="0.3">
      <c r="A7947" s="10"/>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spans="1:26" ht="17.399999999999999" x14ac:dyDescent="0.3">
      <c r="A7948" s="10"/>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spans="1:26" ht="17.399999999999999" x14ac:dyDescent="0.3">
      <c r="A7949" s="10"/>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spans="1:26" ht="17.399999999999999" x14ac:dyDescent="0.3">
      <c r="A7950" s="10"/>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spans="1:26" ht="17.399999999999999" x14ac:dyDescent="0.3">
      <c r="A7951" s="10"/>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spans="1:26" ht="17.399999999999999" x14ac:dyDescent="0.3">
      <c r="A7952" s="10"/>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spans="1:26" ht="17.399999999999999" x14ac:dyDescent="0.3">
      <c r="A7953" s="10"/>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spans="1:26" ht="17.399999999999999" x14ac:dyDescent="0.3">
      <c r="A7954" s="10"/>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spans="1:26" ht="17.399999999999999" x14ac:dyDescent="0.3">
      <c r="A7955" s="10"/>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spans="1:26" ht="17.399999999999999" x14ac:dyDescent="0.3">
      <c r="A7956" s="10"/>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spans="1:26" ht="17.399999999999999" x14ac:dyDescent="0.3">
      <c r="A7957" s="10"/>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spans="1:26" ht="17.399999999999999" x14ac:dyDescent="0.3">
      <c r="A7958" s="10"/>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spans="1:26" ht="17.399999999999999" x14ac:dyDescent="0.3">
      <c r="A7959" s="10"/>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spans="1:26" ht="17.399999999999999" x14ac:dyDescent="0.3">
      <c r="A7960" s="10"/>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spans="1:26" ht="17.399999999999999" x14ac:dyDescent="0.3">
      <c r="A7961" s="10"/>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spans="1:26" ht="17.399999999999999" x14ac:dyDescent="0.3">
      <c r="A7962" s="10"/>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spans="1:26" ht="17.399999999999999" x14ac:dyDescent="0.3">
      <c r="A7963" s="10"/>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spans="1:26" ht="17.399999999999999" x14ac:dyDescent="0.3">
      <c r="A7964" s="10"/>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spans="1:26" ht="17.399999999999999" x14ac:dyDescent="0.3">
      <c r="A7965" s="10"/>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spans="1:26" ht="17.399999999999999" x14ac:dyDescent="0.3">
      <c r="A7966" s="10"/>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spans="1:26" ht="17.399999999999999" x14ac:dyDescent="0.3">
      <c r="A7967" s="10"/>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spans="1:26" ht="17.399999999999999" x14ac:dyDescent="0.3">
      <c r="A7968" s="10"/>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spans="1:26" ht="17.399999999999999" x14ac:dyDescent="0.3">
      <c r="A7969" s="10"/>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spans="1:26" ht="17.399999999999999" x14ac:dyDescent="0.3">
      <c r="A7970" s="10"/>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spans="1:26" ht="17.399999999999999" x14ac:dyDescent="0.3">
      <c r="A7971" s="10"/>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spans="1:26" ht="17.399999999999999" x14ac:dyDescent="0.3">
      <c r="A7972" s="10"/>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spans="1:26" ht="17.399999999999999" x14ac:dyDescent="0.3">
      <c r="A7973" s="10"/>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spans="1:26" ht="17.399999999999999" x14ac:dyDescent="0.3">
      <c r="A7974" s="10"/>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spans="1:26" ht="17.399999999999999" x14ac:dyDescent="0.3">
      <c r="A7975" s="10"/>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spans="1:26" ht="17.399999999999999" x14ac:dyDescent="0.3">
      <c r="A7976" s="10"/>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spans="1:26" ht="17.399999999999999" x14ac:dyDescent="0.3">
      <c r="A7977" s="10"/>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spans="1:26" ht="17.399999999999999" x14ac:dyDescent="0.3">
      <c r="A7978" s="10"/>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spans="1:26" ht="17.399999999999999" x14ac:dyDescent="0.3">
      <c r="A7979" s="10"/>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spans="1:26" ht="17.399999999999999" x14ac:dyDescent="0.3">
      <c r="A7980" s="10"/>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spans="1:26" ht="17.399999999999999" x14ac:dyDescent="0.3">
      <c r="A7981" s="10"/>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spans="1:26" ht="17.399999999999999" x14ac:dyDescent="0.3">
      <c r="A7982" s="10"/>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spans="1:26" ht="17.399999999999999" x14ac:dyDescent="0.3">
      <c r="A7983" s="10"/>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spans="1:26" ht="17.399999999999999" x14ac:dyDescent="0.3">
      <c r="A7984" s="10"/>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spans="1:26" ht="17.399999999999999" x14ac:dyDescent="0.3">
      <c r="A7985" s="10"/>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spans="1:26" ht="17.399999999999999" x14ac:dyDescent="0.3">
      <c r="A7986" s="10"/>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spans="1:26" ht="17.399999999999999" x14ac:dyDescent="0.3">
      <c r="A7987" s="10"/>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spans="1:26" ht="17.399999999999999" x14ac:dyDescent="0.3">
      <c r="A7988" s="10"/>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spans="1:26" ht="17.399999999999999" x14ac:dyDescent="0.3">
      <c r="A7989" s="10"/>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spans="1:26" ht="17.399999999999999" x14ac:dyDescent="0.3">
      <c r="A7990" s="10"/>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spans="1:26" ht="17.399999999999999" x14ac:dyDescent="0.3">
      <c r="A7991" s="10"/>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spans="1:26" ht="17.399999999999999" x14ac:dyDescent="0.3">
      <c r="A7992" s="10"/>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spans="1:26" ht="17.399999999999999" x14ac:dyDescent="0.3">
      <c r="A7993" s="10"/>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spans="1:26" ht="17.399999999999999" x14ac:dyDescent="0.3">
      <c r="A7994" s="10"/>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spans="1:26" ht="17.399999999999999" x14ac:dyDescent="0.3">
      <c r="A7995" s="10"/>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spans="1:26" ht="17.399999999999999" x14ac:dyDescent="0.3">
      <c r="A7996" s="10"/>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spans="1:26" ht="17.399999999999999" x14ac:dyDescent="0.3">
      <c r="A7997" s="10"/>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spans="1:26" ht="17.399999999999999" x14ac:dyDescent="0.3">
      <c r="A7998" s="10"/>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spans="1:26" ht="17.399999999999999" x14ac:dyDescent="0.3">
      <c r="A7999" s="10"/>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spans="1:26" ht="17.399999999999999" x14ac:dyDescent="0.3">
      <c r="A8000" s="10"/>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spans="1:26" ht="17.399999999999999" x14ac:dyDescent="0.3">
      <c r="A8001" s="10"/>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spans="1:26" ht="17.399999999999999" x14ac:dyDescent="0.3">
      <c r="A8002" s="10"/>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spans="1:26" ht="17.399999999999999" x14ac:dyDescent="0.3">
      <c r="A8003" s="10"/>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spans="1:26" ht="17.399999999999999" x14ac:dyDescent="0.3">
      <c r="A8004" s="10"/>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spans="1:26" ht="17.399999999999999" x14ac:dyDescent="0.3">
      <c r="A8005" s="10"/>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spans="1:26" ht="17.399999999999999" x14ac:dyDescent="0.3">
      <c r="A8006" s="10"/>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spans="1:26" ht="17.399999999999999" x14ac:dyDescent="0.3">
      <c r="A8007" s="10"/>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spans="1:26" ht="17.399999999999999" x14ac:dyDescent="0.3">
      <c r="A8008" s="10"/>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spans="1:26" ht="17.399999999999999" x14ac:dyDescent="0.3">
      <c r="A8009" s="10"/>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spans="1:26" ht="17.399999999999999" x14ac:dyDescent="0.3">
      <c r="A8010" s="10"/>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spans="1:26" ht="17.399999999999999" x14ac:dyDescent="0.3">
      <c r="A8011" s="10"/>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spans="1:26" ht="17.399999999999999" x14ac:dyDescent="0.3">
      <c r="A8012" s="10"/>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spans="1:26" ht="17.399999999999999" x14ac:dyDescent="0.3">
      <c r="A8013" s="10"/>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spans="1:26" ht="17.399999999999999" x14ac:dyDescent="0.3">
      <c r="A8014" s="10"/>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spans="1:26" ht="17.399999999999999" x14ac:dyDescent="0.3">
      <c r="A8015" s="10"/>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spans="1:26" ht="17.399999999999999" x14ac:dyDescent="0.3">
      <c r="A8016" s="10"/>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spans="1:26" ht="17.399999999999999" x14ac:dyDescent="0.3">
      <c r="A8017" s="10"/>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spans="1:26" ht="17.399999999999999" x14ac:dyDescent="0.3">
      <c r="A8018" s="10"/>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spans="1:26" ht="17.399999999999999" x14ac:dyDescent="0.3">
      <c r="A8019" s="10"/>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spans="1:26" ht="17.399999999999999" x14ac:dyDescent="0.3">
      <c r="A8020" s="10"/>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spans="1:26" ht="17.399999999999999" x14ac:dyDescent="0.3">
      <c r="A8021" s="10"/>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spans="1:26" ht="17.399999999999999" x14ac:dyDescent="0.3">
      <c r="A8022" s="10"/>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spans="1:26" ht="17.399999999999999" x14ac:dyDescent="0.3">
      <c r="A8023" s="10"/>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spans="1:26" ht="17.399999999999999" x14ac:dyDescent="0.3">
      <c r="A8024" s="10"/>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spans="1:26" ht="17.399999999999999" x14ac:dyDescent="0.3">
      <c r="A8025" s="10"/>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spans="1:26" ht="17.399999999999999" x14ac:dyDescent="0.3">
      <c r="A8026" s="10"/>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spans="1:26" ht="17.399999999999999" x14ac:dyDescent="0.3">
      <c r="A8027" s="10"/>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spans="1:26" ht="17.399999999999999" x14ac:dyDescent="0.3">
      <c r="A8028" s="10"/>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spans="1:26" ht="17.399999999999999" x14ac:dyDescent="0.3">
      <c r="A8029" s="10"/>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spans="1:26" ht="17.399999999999999" x14ac:dyDescent="0.3">
      <c r="A8030" s="10"/>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spans="1:26" ht="17.399999999999999" x14ac:dyDescent="0.3">
      <c r="A8031" s="10"/>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spans="1:26" ht="17.399999999999999" x14ac:dyDescent="0.3">
      <c r="A8032" s="10"/>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spans="1:26" ht="17.399999999999999" x14ac:dyDescent="0.3">
      <c r="A8033" s="10"/>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spans="1:26" ht="17.399999999999999" x14ac:dyDescent="0.3">
      <c r="A8034" s="10"/>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spans="1:26" ht="17.399999999999999" x14ac:dyDescent="0.3">
      <c r="A8035" s="10"/>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spans="1:26" ht="17.399999999999999" x14ac:dyDescent="0.3">
      <c r="A8036" s="10"/>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spans="1:26" ht="17.399999999999999" x14ac:dyDescent="0.3">
      <c r="A8037" s="10"/>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spans="1:26" ht="17.399999999999999" x14ac:dyDescent="0.3">
      <c r="A8038" s="10"/>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spans="1:26" ht="17.399999999999999" x14ac:dyDescent="0.3">
      <c r="A8039" s="10"/>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spans="1:26" ht="17.399999999999999" x14ac:dyDescent="0.3">
      <c r="A8040" s="10"/>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spans="1:26" ht="17.399999999999999" x14ac:dyDescent="0.3">
      <c r="A8041" s="10"/>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spans="1:26" ht="17.399999999999999" x14ac:dyDescent="0.3">
      <c r="A8042" s="10"/>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spans="1:26" ht="17.399999999999999" x14ac:dyDescent="0.3">
      <c r="A8043" s="10"/>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spans="1:26" ht="17.399999999999999" x14ac:dyDescent="0.3">
      <c r="A8044" s="10"/>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spans="1:26" ht="17.399999999999999" x14ac:dyDescent="0.3">
      <c r="A8045" s="10"/>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spans="1:26" ht="17.399999999999999" x14ac:dyDescent="0.3">
      <c r="A8046" s="10"/>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spans="1:26" ht="17.399999999999999" x14ac:dyDescent="0.3">
      <c r="A8047" s="10"/>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spans="1:26" ht="17.399999999999999" x14ac:dyDescent="0.3">
      <c r="A8048" s="10"/>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spans="1:26" ht="17.399999999999999" x14ac:dyDescent="0.3">
      <c r="A8049" s="10"/>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spans="1:26" ht="17.399999999999999" x14ac:dyDescent="0.3">
      <c r="A8050" s="10"/>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spans="1:26" ht="17.399999999999999" x14ac:dyDescent="0.3">
      <c r="A8051" s="10"/>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spans="1:26" ht="17.399999999999999" x14ac:dyDescent="0.3">
      <c r="A8052" s="10"/>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spans="1:26" ht="17.399999999999999" x14ac:dyDescent="0.3">
      <c r="A8053" s="10"/>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spans="1:26" ht="17.399999999999999" x14ac:dyDescent="0.3">
      <c r="A8054" s="10"/>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spans="1:26" ht="17.399999999999999" x14ac:dyDescent="0.3">
      <c r="A8055" s="10"/>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spans="1:26" ht="17.399999999999999" x14ac:dyDescent="0.3">
      <c r="A8056" s="10"/>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spans="1:26" ht="17.399999999999999" x14ac:dyDescent="0.3">
      <c r="A8057" s="10"/>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spans="1:26" ht="17.399999999999999" x14ac:dyDescent="0.3">
      <c r="A8058" s="10"/>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spans="1:26" ht="17.399999999999999" x14ac:dyDescent="0.3">
      <c r="A8059" s="10"/>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spans="1:26" ht="17.399999999999999" x14ac:dyDescent="0.3">
      <c r="A8060" s="10"/>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spans="1:26" ht="17.399999999999999" x14ac:dyDescent="0.3">
      <c r="A8061" s="10"/>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spans="1:26" ht="17.399999999999999" x14ac:dyDescent="0.3">
      <c r="A8062" s="10"/>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spans="1:26" ht="17.399999999999999" x14ac:dyDescent="0.3">
      <c r="A8063" s="10"/>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spans="1:26" ht="17.399999999999999" x14ac:dyDescent="0.3">
      <c r="A8064" s="10"/>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spans="1:26" ht="17.399999999999999" x14ac:dyDescent="0.3">
      <c r="A8065" s="10"/>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spans="1:26" ht="17.399999999999999" x14ac:dyDescent="0.3">
      <c r="A8066" s="10"/>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spans="1:26" ht="17.399999999999999" x14ac:dyDescent="0.3">
      <c r="A8067" s="10"/>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spans="1:26" ht="17.399999999999999" x14ac:dyDescent="0.3">
      <c r="A8068" s="10"/>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spans="1:26" ht="17.399999999999999" x14ac:dyDescent="0.3">
      <c r="A8069" s="10"/>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spans="1:26" ht="17.399999999999999" x14ac:dyDescent="0.3">
      <c r="A8070" s="10"/>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spans="1:26" ht="17.399999999999999" x14ac:dyDescent="0.3">
      <c r="A8071" s="10"/>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spans="1:26" ht="17.399999999999999" x14ac:dyDescent="0.3">
      <c r="A8072" s="10"/>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spans="1:26" ht="17.399999999999999" x14ac:dyDescent="0.3">
      <c r="A8073" s="10"/>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spans="1:26" ht="17.399999999999999" x14ac:dyDescent="0.3">
      <c r="A8074" s="10"/>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spans="1:26" ht="17.399999999999999" x14ac:dyDescent="0.3">
      <c r="A8075" s="10"/>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spans="1:26" ht="17.399999999999999" x14ac:dyDescent="0.3">
      <c r="A8076" s="10"/>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spans="1:26" ht="17.399999999999999" x14ac:dyDescent="0.3">
      <c r="A8077" s="10"/>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spans="1:26" ht="17.399999999999999" x14ac:dyDescent="0.3">
      <c r="A8078" s="10"/>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spans="1:26" ht="17.399999999999999" x14ac:dyDescent="0.3">
      <c r="A8079" s="10"/>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spans="1:26" ht="17.399999999999999" x14ac:dyDescent="0.3">
      <c r="A8080" s="10"/>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spans="1:26" ht="17.399999999999999" x14ac:dyDescent="0.3">
      <c r="A8081" s="10"/>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spans="1:26" ht="17.399999999999999" x14ac:dyDescent="0.3">
      <c r="A8082" s="10"/>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spans="1:26" ht="17.399999999999999" x14ac:dyDescent="0.3">
      <c r="A8083" s="10"/>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spans="1:26" ht="17.399999999999999" x14ac:dyDescent="0.3">
      <c r="A8084" s="10"/>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spans="1:26" ht="17.399999999999999" x14ac:dyDescent="0.3">
      <c r="A8085" s="10"/>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spans="1:26" ht="17.399999999999999" x14ac:dyDescent="0.3">
      <c r="A8086" s="10"/>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spans="1:26" ht="17.399999999999999" x14ac:dyDescent="0.3">
      <c r="A8087" s="10"/>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spans="1:26" ht="17.399999999999999" x14ac:dyDescent="0.3">
      <c r="A8088" s="10"/>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spans="1:26" ht="17.399999999999999" x14ac:dyDescent="0.3">
      <c r="A8089" s="10"/>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spans="1:26" ht="17.399999999999999" x14ac:dyDescent="0.3">
      <c r="A8090" s="10"/>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spans="1:26" ht="17.399999999999999" x14ac:dyDescent="0.3">
      <c r="A8091" s="10"/>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spans="1:26" ht="17.399999999999999" x14ac:dyDescent="0.3">
      <c r="A8092" s="10"/>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spans="1:26" ht="17.399999999999999" x14ac:dyDescent="0.3">
      <c r="A8093" s="10"/>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spans="1:26" ht="17.399999999999999" x14ac:dyDescent="0.3">
      <c r="A8094" s="10"/>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spans="1:26" ht="17.399999999999999" x14ac:dyDescent="0.3">
      <c r="A8095" s="10"/>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spans="1:26" ht="17.399999999999999" x14ac:dyDescent="0.3">
      <c r="A8096" s="10"/>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spans="1:26" ht="17.399999999999999" x14ac:dyDescent="0.3">
      <c r="A8097" s="10"/>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spans="1:26" ht="17.399999999999999" x14ac:dyDescent="0.3">
      <c r="A8098" s="10"/>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spans="1:26" ht="17.399999999999999" x14ac:dyDescent="0.3">
      <c r="A8099" s="10"/>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spans="1:26" ht="17.399999999999999" x14ac:dyDescent="0.3">
      <c r="A8100" s="10"/>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spans="1:26" ht="17.399999999999999" x14ac:dyDescent="0.3">
      <c r="A8101" s="10"/>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spans="1:26" ht="17.399999999999999" x14ac:dyDescent="0.3">
      <c r="A8102" s="10"/>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spans="1:26" ht="17.399999999999999" x14ac:dyDescent="0.3">
      <c r="A8103" s="10"/>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spans="1:26" ht="17.399999999999999" x14ac:dyDescent="0.3">
      <c r="A8104" s="10"/>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spans="1:26" ht="17.399999999999999" x14ac:dyDescent="0.3">
      <c r="A8105" s="10"/>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spans="1:26" ht="17.399999999999999" x14ac:dyDescent="0.3">
      <c r="A8106" s="10"/>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spans="1:26" ht="17.399999999999999" x14ac:dyDescent="0.3">
      <c r="A8107" s="10"/>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spans="1:26" ht="17.399999999999999" x14ac:dyDescent="0.3">
      <c r="A8108" s="10"/>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spans="1:26" ht="17.399999999999999" x14ac:dyDescent="0.3">
      <c r="A8109" s="10"/>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spans="1:26" ht="17.399999999999999" x14ac:dyDescent="0.3">
      <c r="A8110" s="10"/>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spans="1:26" ht="17.399999999999999" x14ac:dyDescent="0.3">
      <c r="A8111" s="10"/>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spans="1:26" ht="17.399999999999999" x14ac:dyDescent="0.3">
      <c r="A8112" s="10"/>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spans="1:26" ht="17.399999999999999" x14ac:dyDescent="0.3">
      <c r="A8113" s="10"/>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spans="1:26" ht="17.399999999999999" x14ac:dyDescent="0.3">
      <c r="A8114" s="10"/>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spans="1:26" ht="17.399999999999999" x14ac:dyDescent="0.3">
      <c r="A8115" s="10"/>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spans="1:26" ht="17.399999999999999" x14ac:dyDescent="0.3">
      <c r="A8116" s="10"/>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spans="1:26" ht="17.399999999999999" x14ac:dyDescent="0.3">
      <c r="A8117" s="10"/>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spans="1:26" ht="17.399999999999999" x14ac:dyDescent="0.3">
      <c r="A8118" s="10"/>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spans="1:26" ht="17.399999999999999" x14ac:dyDescent="0.3">
      <c r="A8119" s="10"/>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spans="1:26" ht="17.399999999999999" x14ac:dyDescent="0.3">
      <c r="A8120" s="10"/>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spans="1:26" ht="17.399999999999999" x14ac:dyDescent="0.3">
      <c r="A8121" s="10"/>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spans="1:26" ht="17.399999999999999" x14ac:dyDescent="0.3">
      <c r="A8122" s="10"/>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spans="1:26" ht="17.399999999999999" x14ac:dyDescent="0.3">
      <c r="A8123" s="10"/>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spans="1:26" ht="17.399999999999999" x14ac:dyDescent="0.3">
      <c r="A8124" s="10"/>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spans="1:26" ht="17.399999999999999" x14ac:dyDescent="0.3">
      <c r="A8125" s="10"/>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spans="1:26" ht="17.399999999999999" x14ac:dyDescent="0.3">
      <c r="A8126" s="10"/>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spans="1:26" ht="17.399999999999999" x14ac:dyDescent="0.3">
      <c r="A8127" s="10"/>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spans="1:26" ht="17.399999999999999" x14ac:dyDescent="0.3">
      <c r="A8128" s="10"/>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spans="1:26" ht="17.399999999999999" x14ac:dyDescent="0.3">
      <c r="A8129" s="10"/>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spans="1:26" ht="17.399999999999999" x14ac:dyDescent="0.3">
      <c r="A8130" s="10"/>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spans="1:26" ht="17.399999999999999" x14ac:dyDescent="0.3">
      <c r="A8131" s="10"/>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spans="1:26" ht="17.399999999999999" x14ac:dyDescent="0.3">
      <c r="A8132" s="10"/>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spans="1:26" ht="17.399999999999999" x14ac:dyDescent="0.3">
      <c r="A8133" s="10"/>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spans="1:26" ht="17.399999999999999" x14ac:dyDescent="0.3">
      <c r="A8134" s="10"/>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spans="1:26" ht="17.399999999999999" x14ac:dyDescent="0.3">
      <c r="A8135" s="10"/>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spans="1:26" ht="17.399999999999999" x14ac:dyDescent="0.3">
      <c r="A8136" s="10"/>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spans="1:26" ht="17.399999999999999" x14ac:dyDescent="0.3">
      <c r="A8137" s="10"/>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spans="1:26" ht="17.399999999999999" x14ac:dyDescent="0.3">
      <c r="A8138" s="10"/>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spans="1:26" ht="17.399999999999999" x14ac:dyDescent="0.3">
      <c r="A8139" s="10"/>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spans="1:26" ht="17.399999999999999" x14ac:dyDescent="0.3">
      <c r="A8140" s="10"/>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spans="1:26" ht="17.399999999999999" x14ac:dyDescent="0.3">
      <c r="A8141" s="10"/>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spans="1:26" ht="17.399999999999999" x14ac:dyDescent="0.3">
      <c r="A8142" s="10"/>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spans="1:26" ht="17.399999999999999" x14ac:dyDescent="0.3">
      <c r="A8143" s="10"/>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spans="1:26" ht="17.399999999999999" x14ac:dyDescent="0.3">
      <c r="A8144" s="10"/>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spans="1:26" ht="17.399999999999999" x14ac:dyDescent="0.3">
      <c r="A8145" s="10"/>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spans="1:26" ht="17.399999999999999" x14ac:dyDescent="0.3">
      <c r="A8146" s="10"/>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spans="1:26" ht="17.399999999999999" x14ac:dyDescent="0.3">
      <c r="A8147" s="10"/>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spans="1:26" ht="17.399999999999999" x14ac:dyDescent="0.3">
      <c r="A8148" s="10"/>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spans="1:26" ht="17.399999999999999" x14ac:dyDescent="0.3">
      <c r="A8149" s="10"/>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spans="1:26" ht="17.399999999999999" x14ac:dyDescent="0.3">
      <c r="A8150" s="10"/>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spans="1:26" ht="17.399999999999999" x14ac:dyDescent="0.3">
      <c r="A8151" s="10"/>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spans="1:26" ht="17.399999999999999" x14ac:dyDescent="0.3">
      <c r="A8152" s="10"/>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spans="1:26" ht="17.399999999999999" x14ac:dyDescent="0.3">
      <c r="A8153" s="10"/>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spans="1:26" ht="17.399999999999999" x14ac:dyDescent="0.3">
      <c r="A8154" s="10"/>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spans="1:26" ht="17.399999999999999" x14ac:dyDescent="0.3">
      <c r="A8155" s="10"/>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spans="1:26" ht="17.399999999999999" x14ac:dyDescent="0.3">
      <c r="A8156" s="10"/>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spans="1:26" ht="17.399999999999999" x14ac:dyDescent="0.3">
      <c r="A8157" s="10"/>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spans="1:26" ht="17.399999999999999" x14ac:dyDescent="0.3">
      <c r="A8158" s="10"/>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spans="1:26" ht="17.399999999999999" x14ac:dyDescent="0.3">
      <c r="A8159" s="10"/>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spans="1:26" ht="17.399999999999999" x14ac:dyDescent="0.3">
      <c r="A8160" s="10"/>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spans="1:26" ht="17.399999999999999" x14ac:dyDescent="0.3">
      <c r="A8161" s="10"/>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spans="1:26" ht="17.399999999999999" x14ac:dyDescent="0.3">
      <c r="A8162" s="10"/>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spans="1:26" ht="17.399999999999999" x14ac:dyDescent="0.3">
      <c r="A8163" s="10"/>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spans="1:26" ht="17.399999999999999" x14ac:dyDescent="0.3">
      <c r="A8164" s="10"/>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spans="1:26" ht="17.399999999999999" x14ac:dyDescent="0.3">
      <c r="A8165" s="10"/>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spans="1:26" ht="17.399999999999999" x14ac:dyDescent="0.3">
      <c r="A8166" s="10"/>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spans="1:26" ht="17.399999999999999" x14ac:dyDescent="0.3">
      <c r="A8167" s="10"/>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spans="1:26" ht="17.399999999999999" x14ac:dyDescent="0.3">
      <c r="A8168" s="10"/>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spans="1:26" ht="17.399999999999999" x14ac:dyDescent="0.3">
      <c r="A8169" s="10"/>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spans="1:26" ht="17.399999999999999" x14ac:dyDescent="0.3">
      <c r="A8170" s="10"/>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spans="1:26" ht="17.399999999999999" x14ac:dyDescent="0.3">
      <c r="A8171" s="10"/>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spans="1:26" ht="17.399999999999999" x14ac:dyDescent="0.3">
      <c r="A8172" s="10"/>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spans="1:26" ht="17.399999999999999" x14ac:dyDescent="0.3">
      <c r="A8173" s="10"/>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spans="1:26" ht="17.399999999999999" x14ac:dyDescent="0.3">
      <c r="A8174" s="10"/>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spans="1:26" ht="17.399999999999999" x14ac:dyDescent="0.3">
      <c r="A8175" s="10"/>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spans="1:26" ht="17.399999999999999" x14ac:dyDescent="0.3">
      <c r="A8176" s="10"/>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spans="1:26" ht="17.399999999999999" x14ac:dyDescent="0.3">
      <c r="A8177" s="10"/>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spans="1:26" ht="17.399999999999999" x14ac:dyDescent="0.3">
      <c r="A8178" s="10"/>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spans="1:26" ht="17.399999999999999" x14ac:dyDescent="0.3">
      <c r="A8179" s="10"/>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spans="1:26" ht="17.399999999999999" x14ac:dyDescent="0.3">
      <c r="A8180" s="10"/>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spans="1:26" ht="17.399999999999999" x14ac:dyDescent="0.3">
      <c r="A8181" s="10"/>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spans="1:26" ht="17.399999999999999" x14ac:dyDescent="0.3">
      <c r="A8182" s="10"/>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spans="1:26" ht="17.399999999999999" x14ac:dyDescent="0.3">
      <c r="A8183" s="10"/>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spans="1:26" ht="17.399999999999999" x14ac:dyDescent="0.3">
      <c r="A8184" s="10"/>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spans="1:26" ht="17.399999999999999" x14ac:dyDescent="0.3">
      <c r="A8185" s="10"/>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spans="1:26" ht="17.399999999999999" x14ac:dyDescent="0.3">
      <c r="A8186" s="10"/>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spans="1:26" ht="17.399999999999999" x14ac:dyDescent="0.3">
      <c r="A8187" s="10"/>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spans="1:26" ht="17.399999999999999" x14ac:dyDescent="0.3">
      <c r="A8188" s="10"/>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spans="1:26" ht="17.399999999999999" x14ac:dyDescent="0.3">
      <c r="A8189" s="10"/>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spans="1:26" ht="17.399999999999999" x14ac:dyDescent="0.3">
      <c r="A8190" s="10"/>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spans="1:26" ht="17.399999999999999" x14ac:dyDescent="0.3">
      <c r="A8191" s="10"/>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spans="1:26" ht="17.399999999999999" x14ac:dyDescent="0.3">
      <c r="A8192" s="10"/>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spans="1:26" ht="17.399999999999999" x14ac:dyDescent="0.3">
      <c r="A8193" s="10"/>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spans="1:26" ht="17.399999999999999" x14ac:dyDescent="0.3">
      <c r="A8194" s="10"/>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spans="1:26" ht="17.399999999999999" x14ac:dyDescent="0.3">
      <c r="A8195" s="10"/>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spans="1:26" ht="17.399999999999999" x14ac:dyDescent="0.3">
      <c r="A8196" s="10"/>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spans="1:26" ht="17.399999999999999" x14ac:dyDescent="0.3">
      <c r="A8197" s="10"/>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spans="1:26" ht="17.399999999999999" x14ac:dyDescent="0.3">
      <c r="A8198" s="10"/>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spans="1:26" ht="17.399999999999999" x14ac:dyDescent="0.3">
      <c r="A8199" s="10"/>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spans="1:26" ht="17.399999999999999" x14ac:dyDescent="0.3">
      <c r="A8200" s="10"/>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spans="1:26" ht="17.399999999999999" x14ac:dyDescent="0.3">
      <c r="A8201" s="10"/>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spans="1:26" ht="17.399999999999999" x14ac:dyDescent="0.3">
      <c r="A8202" s="10"/>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spans="1:26" ht="17.399999999999999" x14ac:dyDescent="0.3">
      <c r="A8203" s="10"/>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spans="1:26" ht="17.399999999999999" x14ac:dyDescent="0.3">
      <c r="A8204" s="10"/>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spans="1:26" ht="17.399999999999999" x14ac:dyDescent="0.3">
      <c r="A8205" s="10"/>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spans="1:26" ht="17.399999999999999" x14ac:dyDescent="0.3">
      <c r="A8206" s="10"/>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spans="1:26" ht="17.399999999999999" x14ac:dyDescent="0.3">
      <c r="A8207" s="10"/>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spans="1:26" ht="17.399999999999999" x14ac:dyDescent="0.3">
      <c r="A8208" s="10"/>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spans="1:26" ht="17.399999999999999" x14ac:dyDescent="0.3">
      <c r="A8209" s="10"/>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spans="1:26" ht="17.399999999999999" x14ac:dyDescent="0.3">
      <c r="A8210" s="10"/>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spans="1:26" ht="17.399999999999999" x14ac:dyDescent="0.3">
      <c r="A8211" s="10"/>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spans="1:26" ht="17.399999999999999" x14ac:dyDescent="0.3">
      <c r="A8212" s="10"/>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spans="1:26" ht="17.399999999999999" x14ac:dyDescent="0.3">
      <c r="A8213" s="10"/>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spans="1:26" ht="17.399999999999999" x14ac:dyDescent="0.3">
      <c r="A8214" s="10"/>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spans="1:26" ht="17.399999999999999" x14ac:dyDescent="0.3">
      <c r="A8215" s="10"/>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spans="1:26" ht="17.399999999999999" x14ac:dyDescent="0.3">
      <c r="A8216" s="10"/>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spans="1:26" ht="17.399999999999999" x14ac:dyDescent="0.3">
      <c r="A8217" s="10"/>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spans="1:26" ht="17.399999999999999" x14ac:dyDescent="0.3">
      <c r="A8218" s="10"/>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spans="1:26" ht="17.399999999999999" x14ac:dyDescent="0.3">
      <c r="A8219" s="10"/>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spans="1:26" ht="17.399999999999999" x14ac:dyDescent="0.3">
      <c r="A8220" s="10"/>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spans="1:26" ht="17.399999999999999" x14ac:dyDescent="0.3">
      <c r="A8221" s="10"/>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spans="1:26" ht="17.399999999999999" x14ac:dyDescent="0.3">
      <c r="A8222" s="10"/>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spans="1:26" ht="17.399999999999999" x14ac:dyDescent="0.3">
      <c r="A8223" s="10"/>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spans="1:26" ht="17.399999999999999" x14ac:dyDescent="0.3">
      <c r="A8224" s="10"/>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spans="1:26" ht="17.399999999999999" x14ac:dyDescent="0.3">
      <c r="A8225" s="10"/>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spans="1:26" ht="17.399999999999999" x14ac:dyDescent="0.3">
      <c r="A8226" s="10"/>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spans="1:26" ht="17.399999999999999" x14ac:dyDescent="0.3">
      <c r="A8227" s="10"/>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spans="1:26" ht="17.399999999999999" x14ac:dyDescent="0.3">
      <c r="A8228" s="10"/>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spans="1:26" ht="17.399999999999999" x14ac:dyDescent="0.3">
      <c r="A8229" s="10"/>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spans="1:26" ht="17.399999999999999" x14ac:dyDescent="0.3">
      <c r="A8230" s="10"/>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spans="1:26" ht="17.399999999999999" x14ac:dyDescent="0.3">
      <c r="A8231" s="10"/>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spans="1:26" ht="17.399999999999999" x14ac:dyDescent="0.3">
      <c r="A8232" s="10"/>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spans="1:26" ht="17.399999999999999" x14ac:dyDescent="0.3">
      <c r="A8233" s="10"/>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spans="1:26" ht="17.399999999999999" x14ac:dyDescent="0.3">
      <c r="A8234" s="10"/>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spans="1:26" ht="17.399999999999999" x14ac:dyDescent="0.3">
      <c r="A8235" s="10"/>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spans="1:26" ht="17.399999999999999" x14ac:dyDescent="0.3">
      <c r="A8236" s="10"/>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spans="1:26" ht="17.399999999999999" x14ac:dyDescent="0.3">
      <c r="A8237" s="10"/>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spans="1:26" ht="17.399999999999999" x14ac:dyDescent="0.3">
      <c r="A8238" s="10"/>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spans="1:26" ht="17.399999999999999" x14ac:dyDescent="0.3">
      <c r="A8239" s="10"/>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spans="1:26" ht="17.399999999999999" x14ac:dyDescent="0.3">
      <c r="A8240" s="10"/>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spans="1:26" ht="17.399999999999999" x14ac:dyDescent="0.3">
      <c r="A8241" s="10"/>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spans="1:26" ht="17.399999999999999" x14ac:dyDescent="0.3">
      <c r="A8242" s="10"/>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spans="1:26" ht="17.399999999999999" x14ac:dyDescent="0.3">
      <c r="A8243" s="10"/>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spans="1:26" ht="17.399999999999999" x14ac:dyDescent="0.3">
      <c r="A8244" s="10"/>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spans="1:26" ht="17.399999999999999" x14ac:dyDescent="0.3">
      <c r="A8245" s="10"/>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spans="1:26" ht="17.399999999999999" x14ac:dyDescent="0.3">
      <c r="A8246" s="10"/>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spans="1:26" ht="17.399999999999999" x14ac:dyDescent="0.3">
      <c r="A8247" s="10"/>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spans="1:26" ht="17.399999999999999" x14ac:dyDescent="0.3">
      <c r="A8248" s="10"/>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spans="1:26" ht="17.399999999999999" x14ac:dyDescent="0.3">
      <c r="A8249" s="10"/>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spans="1:26" ht="17.399999999999999" x14ac:dyDescent="0.3">
      <c r="A8250" s="10"/>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spans="1:26" ht="17.399999999999999" x14ac:dyDescent="0.3">
      <c r="A8251" s="10"/>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spans="1:26" ht="17.399999999999999" x14ac:dyDescent="0.3">
      <c r="A8252" s="10"/>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spans="1:26" ht="17.399999999999999" x14ac:dyDescent="0.3">
      <c r="A8253" s="10"/>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spans="1:26" ht="17.399999999999999" x14ac:dyDescent="0.3">
      <c r="A8254" s="10"/>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spans="1:26" ht="17.399999999999999" x14ac:dyDescent="0.3">
      <c r="A8255" s="10"/>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spans="1:26" ht="17.399999999999999" x14ac:dyDescent="0.3">
      <c r="A8256" s="10"/>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spans="1:26" ht="17.399999999999999" x14ac:dyDescent="0.3">
      <c r="A8257" s="10"/>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spans="1:26" ht="17.399999999999999" x14ac:dyDescent="0.3">
      <c r="A8258" s="10"/>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spans="1:26" ht="17.399999999999999" x14ac:dyDescent="0.3">
      <c r="A8259" s="10"/>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spans="1:26" ht="17.399999999999999" x14ac:dyDescent="0.3">
      <c r="A8260" s="10"/>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spans="1:26" ht="17.399999999999999" x14ac:dyDescent="0.3">
      <c r="A8261" s="10"/>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spans="1:26" ht="17.399999999999999" x14ac:dyDescent="0.3">
      <c r="A8262" s="10"/>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spans="1:26" ht="17.399999999999999" x14ac:dyDescent="0.3">
      <c r="A8263" s="10"/>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spans="1:26" ht="17.399999999999999" x14ac:dyDescent="0.3">
      <c r="A8264" s="10"/>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spans="1:26" ht="17.399999999999999" x14ac:dyDescent="0.3">
      <c r="A8265" s="10"/>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spans="1:26" ht="17.399999999999999" x14ac:dyDescent="0.3">
      <c r="A8266" s="10"/>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spans="1:26" ht="17.399999999999999" x14ac:dyDescent="0.3">
      <c r="A8267" s="10"/>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spans="1:26" ht="17.399999999999999" x14ac:dyDescent="0.3">
      <c r="A8268" s="10"/>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spans="1:26" ht="17.399999999999999" x14ac:dyDescent="0.3">
      <c r="A8269" s="10"/>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spans="1:26" ht="17.399999999999999" x14ac:dyDescent="0.3">
      <c r="A8270" s="10"/>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spans="1:26" ht="17.399999999999999" x14ac:dyDescent="0.3">
      <c r="A8271" s="10"/>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spans="1:26" ht="17.399999999999999" x14ac:dyDescent="0.3">
      <c r="A8272" s="10"/>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spans="1:26" ht="17.399999999999999" x14ac:dyDescent="0.3">
      <c r="A8273" s="10"/>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spans="1:26" ht="17.399999999999999" x14ac:dyDescent="0.3">
      <c r="A8274" s="10"/>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spans="1:26" ht="17.399999999999999" x14ac:dyDescent="0.3">
      <c r="A8275" s="10"/>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spans="1:26" ht="17.399999999999999" x14ac:dyDescent="0.3">
      <c r="A8276" s="10"/>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spans="1:26" ht="17.399999999999999" x14ac:dyDescent="0.3">
      <c r="A8277" s="10"/>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spans="1:26" ht="17.399999999999999" x14ac:dyDescent="0.3">
      <c r="A8278" s="10"/>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spans="1:26" ht="17.399999999999999" x14ac:dyDescent="0.3">
      <c r="A8279" s="10"/>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spans="1:26" ht="17.399999999999999" x14ac:dyDescent="0.3">
      <c r="A8280" s="10"/>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spans="1:26" ht="17.399999999999999" x14ac:dyDescent="0.3">
      <c r="A8281" s="10"/>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spans="1:26" ht="17.399999999999999" x14ac:dyDescent="0.3">
      <c r="A8282" s="10"/>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spans="1:26" ht="17.399999999999999" x14ac:dyDescent="0.3">
      <c r="A8283" s="10"/>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spans="1:26" ht="17.399999999999999" x14ac:dyDescent="0.3">
      <c r="A8284" s="10"/>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spans="1:26" ht="17.399999999999999" x14ac:dyDescent="0.3">
      <c r="A8285" s="10"/>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spans="1:26" ht="17.399999999999999" x14ac:dyDescent="0.3">
      <c r="A8286" s="10"/>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spans="1:26" ht="17.399999999999999" x14ac:dyDescent="0.3">
      <c r="A8287" s="10"/>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spans="1:26" ht="17.399999999999999" x14ac:dyDescent="0.3">
      <c r="A8288" s="10"/>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spans="1:26" ht="17.399999999999999" x14ac:dyDescent="0.3">
      <c r="A8289" s="10"/>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spans="1:26" ht="17.399999999999999" x14ac:dyDescent="0.3">
      <c r="A8290" s="10"/>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spans="1:26" ht="17.399999999999999" x14ac:dyDescent="0.3">
      <c r="A8291" s="10"/>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spans="1:26" ht="17.399999999999999" x14ac:dyDescent="0.3">
      <c r="A8292" s="10"/>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spans="1:26" ht="17.399999999999999" x14ac:dyDescent="0.3">
      <c r="A8293" s="10"/>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spans="1:26" ht="17.399999999999999" x14ac:dyDescent="0.3">
      <c r="A8294" s="10"/>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spans="1:26" ht="17.399999999999999" x14ac:dyDescent="0.3">
      <c r="A8295" s="10"/>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spans="1:26" ht="17.399999999999999" x14ac:dyDescent="0.3">
      <c r="A8296" s="10"/>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spans="1:26" ht="17.399999999999999" x14ac:dyDescent="0.3">
      <c r="A8297" s="10"/>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spans="1:26" ht="17.399999999999999" x14ac:dyDescent="0.3">
      <c r="A8298" s="10"/>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spans="1:26" ht="17.399999999999999" x14ac:dyDescent="0.3">
      <c r="A8299" s="10"/>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spans="1:26" ht="17.399999999999999" x14ac:dyDescent="0.3">
      <c r="A8300" s="10"/>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spans="1:26" ht="17.399999999999999" x14ac:dyDescent="0.3">
      <c r="A8301" s="10"/>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spans="1:26" ht="17.399999999999999" x14ac:dyDescent="0.3">
      <c r="A8302" s="10"/>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spans="1:26" ht="17.399999999999999" x14ac:dyDescent="0.3">
      <c r="A8303" s="10"/>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spans="1:26" ht="17.399999999999999" x14ac:dyDescent="0.3">
      <c r="A8304" s="10"/>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spans="1:26" ht="17.399999999999999" x14ac:dyDescent="0.3">
      <c r="A8305" s="10"/>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spans="1:26" ht="17.399999999999999" x14ac:dyDescent="0.3">
      <c r="A8306" s="10"/>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spans="1:26" ht="17.399999999999999" x14ac:dyDescent="0.3">
      <c r="A8307" s="10"/>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spans="1:26" ht="17.399999999999999" x14ac:dyDescent="0.3">
      <c r="A8308" s="10"/>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spans="1:26" ht="17.399999999999999" x14ac:dyDescent="0.3">
      <c r="A8309" s="10"/>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spans="1:26" ht="17.399999999999999" x14ac:dyDescent="0.3">
      <c r="A8310" s="10"/>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spans="1:26" ht="17.399999999999999" x14ac:dyDescent="0.3">
      <c r="A8311" s="10"/>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spans="1:26" ht="17.399999999999999" x14ac:dyDescent="0.3">
      <c r="A8312" s="10"/>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spans="1:26" ht="17.399999999999999" x14ac:dyDescent="0.3">
      <c r="A8313" s="10"/>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spans="1:26" ht="17.399999999999999" x14ac:dyDescent="0.3">
      <c r="A8314" s="10"/>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spans="1:26" ht="17.399999999999999" x14ac:dyDescent="0.3">
      <c r="A8315" s="10"/>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spans="1:26" ht="17.399999999999999" x14ac:dyDescent="0.3">
      <c r="A8316" s="10"/>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spans="1:26" ht="17.399999999999999" x14ac:dyDescent="0.3">
      <c r="A8317" s="10"/>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spans="1:26" ht="17.399999999999999" x14ac:dyDescent="0.3">
      <c r="A8318" s="10"/>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spans="1:26" ht="17.399999999999999" x14ac:dyDescent="0.3">
      <c r="A8319" s="10"/>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spans="1:26" ht="17.399999999999999" x14ac:dyDescent="0.3">
      <c r="A8320" s="10"/>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spans="1:26" ht="17.399999999999999" x14ac:dyDescent="0.3">
      <c r="A8321" s="10"/>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spans="1:26" ht="17.399999999999999" x14ac:dyDescent="0.3">
      <c r="A8322" s="10"/>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spans="1:26" ht="17.399999999999999" x14ac:dyDescent="0.3">
      <c r="A8323" s="10"/>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spans="1:26" ht="17.399999999999999" x14ac:dyDescent="0.3">
      <c r="A8324" s="10"/>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spans="1:26" ht="17.399999999999999" x14ac:dyDescent="0.3">
      <c r="A8325" s="10"/>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spans="1:26" ht="17.399999999999999" x14ac:dyDescent="0.3">
      <c r="A8326" s="10"/>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spans="1:26" ht="17.399999999999999" x14ac:dyDescent="0.3">
      <c r="A8327" s="10"/>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spans="1:26" ht="17.399999999999999" x14ac:dyDescent="0.3">
      <c r="A8328" s="10"/>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spans="1:26" ht="17.399999999999999" x14ac:dyDescent="0.3">
      <c r="A8329" s="10"/>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spans="1:26" ht="17.399999999999999" x14ac:dyDescent="0.3">
      <c r="A8330" s="10"/>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spans="1:26" ht="17.399999999999999" x14ac:dyDescent="0.3">
      <c r="A8331" s="10"/>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spans="1:26" ht="17.399999999999999" x14ac:dyDescent="0.3">
      <c r="A8332" s="10"/>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spans="1:26" ht="17.399999999999999" x14ac:dyDescent="0.3">
      <c r="A8333" s="10"/>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spans="1:26" ht="17.399999999999999" x14ac:dyDescent="0.3">
      <c r="A8334" s="10"/>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spans="1:26" ht="17.399999999999999" x14ac:dyDescent="0.3">
      <c r="A8335" s="10"/>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spans="1:26" ht="17.399999999999999" x14ac:dyDescent="0.3">
      <c r="A8336" s="10"/>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spans="1:26" ht="17.399999999999999" x14ac:dyDescent="0.3">
      <c r="A8337" s="10"/>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spans="1:26" ht="17.399999999999999" x14ac:dyDescent="0.3">
      <c r="A8338" s="10"/>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spans="1:26" ht="17.399999999999999" x14ac:dyDescent="0.3">
      <c r="A8339" s="10"/>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spans="1:26" ht="17.399999999999999" x14ac:dyDescent="0.3">
      <c r="A8340" s="10"/>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spans="1:26" ht="17.399999999999999" x14ac:dyDescent="0.3">
      <c r="A8341" s="10"/>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spans="1:26" ht="17.399999999999999" x14ac:dyDescent="0.3">
      <c r="A8342" s="10"/>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spans="1:26" ht="17.399999999999999" x14ac:dyDescent="0.3">
      <c r="A8343" s="10"/>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spans="1:26" ht="17.399999999999999" x14ac:dyDescent="0.3">
      <c r="A8344" s="10"/>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spans="1:26" ht="17.399999999999999" x14ac:dyDescent="0.3">
      <c r="A8345" s="10"/>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spans="1:26" ht="17.399999999999999" x14ac:dyDescent="0.3">
      <c r="A8346" s="10"/>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spans="1:26" ht="17.399999999999999" x14ac:dyDescent="0.3">
      <c r="A8347" s="10"/>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spans="1:26" ht="17.399999999999999" x14ac:dyDescent="0.3">
      <c r="A8348" s="10"/>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spans="1:26" ht="17.399999999999999" x14ac:dyDescent="0.3">
      <c r="A8349" s="10"/>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spans="1:26" ht="17.399999999999999" x14ac:dyDescent="0.3">
      <c r="A8350" s="10"/>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spans="1:26" ht="17.399999999999999" x14ac:dyDescent="0.3">
      <c r="A8351" s="10"/>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spans="1:26" ht="17.399999999999999" x14ac:dyDescent="0.3">
      <c r="A8352" s="10"/>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spans="1:26" ht="17.399999999999999" x14ac:dyDescent="0.3">
      <c r="A8353" s="10"/>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spans="1:26" ht="17.399999999999999" x14ac:dyDescent="0.3">
      <c r="A8354" s="10"/>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spans="1:26" ht="17.399999999999999" x14ac:dyDescent="0.3">
      <c r="A8355" s="10"/>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spans="1:26" ht="17.399999999999999" x14ac:dyDescent="0.3">
      <c r="A8356" s="10"/>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spans="1:26" ht="17.399999999999999" x14ac:dyDescent="0.3">
      <c r="A8357" s="10"/>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spans="1:26" ht="17.399999999999999" x14ac:dyDescent="0.3">
      <c r="A8358" s="10"/>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spans="1:26" ht="17.399999999999999" x14ac:dyDescent="0.3">
      <c r="A8359" s="10"/>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spans="1:26" ht="17.399999999999999" x14ac:dyDescent="0.3">
      <c r="A8360" s="10"/>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spans="1:26" ht="17.399999999999999" x14ac:dyDescent="0.3">
      <c r="A8361" s="10"/>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spans="1:26" ht="17.399999999999999" x14ac:dyDescent="0.3">
      <c r="A8362" s="10"/>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spans="1:26" ht="17.399999999999999" x14ac:dyDescent="0.3">
      <c r="A8363" s="10"/>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spans="1:26" ht="17.399999999999999" x14ac:dyDescent="0.3">
      <c r="A8364" s="10"/>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spans="1:26" ht="17.399999999999999" x14ac:dyDescent="0.3">
      <c r="A8365" s="10"/>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spans="1:26" ht="17.399999999999999" x14ac:dyDescent="0.3">
      <c r="A8366" s="10"/>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spans="1:26" ht="17.399999999999999" x14ac:dyDescent="0.3">
      <c r="A8367" s="10"/>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spans="1:26" ht="17.399999999999999" x14ac:dyDescent="0.3">
      <c r="A8368" s="10"/>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spans="1:26" ht="17.399999999999999" x14ac:dyDescent="0.3">
      <c r="A8369" s="10"/>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spans="1:26" ht="17.399999999999999" x14ac:dyDescent="0.3">
      <c r="A8370" s="10"/>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spans="1:26" ht="17.399999999999999" x14ac:dyDescent="0.3">
      <c r="A8371" s="10"/>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spans="1:26" ht="17.399999999999999" x14ac:dyDescent="0.3">
      <c r="A8372" s="10"/>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spans="1:26" ht="17.399999999999999" x14ac:dyDescent="0.3">
      <c r="A8373" s="10"/>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spans="1:26" ht="17.399999999999999" x14ac:dyDescent="0.3">
      <c r="A8374" s="10"/>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spans="1:26" ht="17.399999999999999" x14ac:dyDescent="0.3">
      <c r="A8375" s="10"/>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spans="1:26" ht="17.399999999999999" x14ac:dyDescent="0.3">
      <c r="A8376" s="10"/>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spans="1:26" ht="17.399999999999999" x14ac:dyDescent="0.3">
      <c r="A8377" s="10"/>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spans="1:26" ht="17.399999999999999" x14ac:dyDescent="0.3">
      <c r="A8378" s="10"/>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spans="1:26" ht="17.399999999999999" x14ac:dyDescent="0.3">
      <c r="A8379" s="10"/>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spans="1:26" ht="17.399999999999999" x14ac:dyDescent="0.3">
      <c r="A8380" s="10"/>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spans="1:26" ht="17.399999999999999" x14ac:dyDescent="0.3">
      <c r="A8381" s="10"/>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spans="1:26" ht="17.399999999999999" x14ac:dyDescent="0.3">
      <c r="A8382" s="10"/>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spans="1:26" ht="17.399999999999999" x14ac:dyDescent="0.3">
      <c r="A8383" s="10"/>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spans="1:26" ht="17.399999999999999" x14ac:dyDescent="0.3">
      <c r="A8384" s="10"/>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spans="1:26" ht="17.399999999999999" x14ac:dyDescent="0.3">
      <c r="A8385" s="10"/>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spans="1:26" ht="17.399999999999999" x14ac:dyDescent="0.3">
      <c r="A8386" s="10"/>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spans="1:26" ht="17.399999999999999" x14ac:dyDescent="0.3">
      <c r="A8387" s="10"/>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spans="1:26" ht="17.399999999999999" x14ac:dyDescent="0.3">
      <c r="A8388" s="10"/>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spans="1:26" ht="17.399999999999999" x14ac:dyDescent="0.3">
      <c r="A8389" s="10"/>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spans="1:26" ht="17.399999999999999" x14ac:dyDescent="0.3">
      <c r="A8390" s="10"/>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spans="1:26" ht="17.399999999999999" x14ac:dyDescent="0.3">
      <c r="A8391" s="10"/>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spans="1:26" ht="17.399999999999999" x14ac:dyDescent="0.3">
      <c r="A8392" s="10"/>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spans="1:26" ht="17.399999999999999" x14ac:dyDescent="0.3">
      <c r="A8393" s="10"/>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spans="1:26" ht="17.399999999999999" x14ac:dyDescent="0.3">
      <c r="A8394" s="10"/>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spans="1:26" ht="17.399999999999999" x14ac:dyDescent="0.3">
      <c r="A8395" s="10"/>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spans="1:26" ht="17.399999999999999" x14ac:dyDescent="0.3">
      <c r="A8396" s="10"/>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spans="1:26" ht="17.399999999999999" x14ac:dyDescent="0.3">
      <c r="A8397" s="10"/>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spans="1:26" ht="17.399999999999999" x14ac:dyDescent="0.3">
      <c r="A8398" s="10"/>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spans="1:26" ht="17.399999999999999" x14ac:dyDescent="0.3">
      <c r="A8399" s="10"/>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spans="1:26" ht="17.399999999999999" x14ac:dyDescent="0.3">
      <c r="A8400" s="10"/>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spans="1:26" ht="17.399999999999999" x14ac:dyDescent="0.3">
      <c r="A8401" s="10"/>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spans="1:26" ht="17.399999999999999" x14ac:dyDescent="0.3">
      <c r="A8402" s="10"/>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spans="1:26" ht="17.399999999999999" x14ac:dyDescent="0.3">
      <c r="A8403" s="10"/>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spans="1:26" ht="17.399999999999999" x14ac:dyDescent="0.3">
      <c r="A8404" s="10"/>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spans="1:26" ht="17.399999999999999" x14ac:dyDescent="0.3">
      <c r="A8405" s="10"/>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spans="1:26" ht="17.399999999999999" x14ac:dyDescent="0.3">
      <c r="A8406" s="10"/>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spans="1:26" ht="17.399999999999999" x14ac:dyDescent="0.3">
      <c r="A8407" s="10"/>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spans="1:26" ht="17.399999999999999" x14ac:dyDescent="0.3">
      <c r="A8408" s="10"/>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spans="1:26" ht="17.399999999999999" x14ac:dyDescent="0.3">
      <c r="A8409" s="10"/>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spans="1:26" ht="17.399999999999999" x14ac:dyDescent="0.3">
      <c r="A8410" s="10"/>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spans="1:26" ht="17.399999999999999" x14ac:dyDescent="0.3">
      <c r="A8411" s="10"/>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spans="1:26" ht="17.399999999999999" x14ac:dyDescent="0.3">
      <c r="A8412" s="10"/>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spans="1:26" ht="17.399999999999999" x14ac:dyDescent="0.3">
      <c r="A8413" s="10"/>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spans="1:26" ht="17.399999999999999" x14ac:dyDescent="0.3">
      <c r="A8414" s="10"/>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spans="1:26" ht="17.399999999999999" x14ac:dyDescent="0.3">
      <c r="A8415" s="10"/>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spans="1:26" ht="17.399999999999999" x14ac:dyDescent="0.3">
      <c r="A8416" s="10"/>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spans="1:26" ht="17.399999999999999" x14ac:dyDescent="0.3">
      <c r="A8417" s="10"/>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spans="1:26" ht="17.399999999999999" x14ac:dyDescent="0.3">
      <c r="A8418" s="10"/>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spans="1:26" ht="17.399999999999999" x14ac:dyDescent="0.3">
      <c r="A8419" s="10"/>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spans="1:26" ht="17.399999999999999" x14ac:dyDescent="0.3">
      <c r="A8420" s="10"/>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spans="1:26" ht="17.399999999999999" x14ac:dyDescent="0.3">
      <c r="A8421" s="10"/>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spans="1:26" ht="17.399999999999999" x14ac:dyDescent="0.3">
      <c r="A8422" s="10"/>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spans="1:26" ht="17.399999999999999" x14ac:dyDescent="0.3">
      <c r="A8423" s="10"/>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spans="1:26" ht="17.399999999999999" x14ac:dyDescent="0.3">
      <c r="A8424" s="10"/>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spans="1:26" ht="17.399999999999999" x14ac:dyDescent="0.3">
      <c r="A8425" s="10"/>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spans="1:26" ht="17.399999999999999" x14ac:dyDescent="0.3">
      <c r="A8426" s="10"/>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spans="1:26" ht="17.399999999999999" x14ac:dyDescent="0.3">
      <c r="A8427" s="10"/>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spans="1:26" ht="17.399999999999999" x14ac:dyDescent="0.3">
      <c r="A8428" s="10"/>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spans="1:26" ht="17.399999999999999" x14ac:dyDescent="0.3">
      <c r="A8429" s="10"/>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spans="1:26" ht="17.399999999999999" x14ac:dyDescent="0.3">
      <c r="A8430" s="10"/>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spans="1:26" ht="17.399999999999999" x14ac:dyDescent="0.3">
      <c r="A8431" s="10"/>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spans="1:26" ht="17.399999999999999" x14ac:dyDescent="0.3">
      <c r="A8432" s="10"/>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spans="1:26" ht="17.399999999999999" x14ac:dyDescent="0.3">
      <c r="A8433" s="10"/>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spans="1:26" ht="17.399999999999999" x14ac:dyDescent="0.3">
      <c r="A8434" s="10"/>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spans="1:26" ht="17.399999999999999" x14ac:dyDescent="0.3">
      <c r="A8435" s="10"/>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spans="1:26" ht="17.399999999999999" x14ac:dyDescent="0.3">
      <c r="A8436" s="10"/>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spans="1:26" ht="17.399999999999999" x14ac:dyDescent="0.3">
      <c r="A8437" s="10"/>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spans="1:26" ht="17.399999999999999" x14ac:dyDescent="0.3">
      <c r="A8438" s="10"/>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spans="1:26" ht="17.399999999999999" x14ac:dyDescent="0.3">
      <c r="A8439" s="10"/>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spans="1:26" ht="17.399999999999999" x14ac:dyDescent="0.3">
      <c r="A8440" s="10"/>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spans="1:26" ht="17.399999999999999" x14ac:dyDescent="0.3">
      <c r="A8441" s="10"/>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spans="1:26" ht="17.399999999999999" x14ac:dyDescent="0.3">
      <c r="A8442" s="10"/>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spans="1:26" ht="17.399999999999999" x14ac:dyDescent="0.3">
      <c r="A8443" s="10"/>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spans="1:26" ht="17.399999999999999" x14ac:dyDescent="0.3">
      <c r="A8444" s="10"/>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spans="1:26" ht="17.399999999999999" x14ac:dyDescent="0.3">
      <c r="A8445" s="10"/>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spans="1:26" ht="17.399999999999999" x14ac:dyDescent="0.3">
      <c r="A8446" s="10"/>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spans="1:26" ht="17.399999999999999" x14ac:dyDescent="0.3">
      <c r="A8447" s="10"/>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spans="1:26" ht="17.399999999999999" x14ac:dyDescent="0.3">
      <c r="A8448" s="10"/>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spans="1:26" ht="17.399999999999999" x14ac:dyDescent="0.3">
      <c r="A8449" s="10"/>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spans="1:26" ht="17.399999999999999" x14ac:dyDescent="0.3">
      <c r="A8450" s="10"/>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spans="1:26" ht="17.399999999999999" x14ac:dyDescent="0.3">
      <c r="A8451" s="10"/>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spans="1:26" ht="17.399999999999999" x14ac:dyDescent="0.3">
      <c r="A8452" s="10"/>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spans="1:26" ht="17.399999999999999" x14ac:dyDescent="0.3">
      <c r="A8453" s="10"/>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spans="1:26" ht="17.399999999999999" x14ac:dyDescent="0.3">
      <c r="A8454" s="10"/>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spans="1:26" ht="17.399999999999999" x14ac:dyDescent="0.3">
      <c r="A8455" s="10"/>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spans="1:26" ht="17.399999999999999" x14ac:dyDescent="0.3">
      <c r="A8456" s="10"/>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spans="1:26" ht="17.399999999999999" x14ac:dyDescent="0.3">
      <c r="A8457" s="10"/>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spans="1:26" ht="17.399999999999999" x14ac:dyDescent="0.3">
      <c r="A8458" s="10"/>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spans="1:26" ht="17.399999999999999" x14ac:dyDescent="0.3">
      <c r="A8459" s="10"/>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spans="1:26" ht="17.399999999999999" x14ac:dyDescent="0.3">
      <c r="A8460" s="10"/>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spans="1:26" ht="17.399999999999999" x14ac:dyDescent="0.3">
      <c r="A8461" s="10"/>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spans="1:26" ht="17.399999999999999" x14ac:dyDescent="0.3">
      <c r="A8462" s="10"/>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spans="1:26" ht="17.399999999999999" x14ac:dyDescent="0.3">
      <c r="A8463" s="10"/>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spans="1:26" ht="17.399999999999999" x14ac:dyDescent="0.3">
      <c r="A8464" s="10"/>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spans="1:26" ht="17.399999999999999" x14ac:dyDescent="0.3">
      <c r="A8465" s="10"/>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spans="1:26" ht="17.399999999999999" x14ac:dyDescent="0.3">
      <c r="A8466" s="10"/>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spans="1:26" ht="17.399999999999999" x14ac:dyDescent="0.3">
      <c r="A8467" s="10"/>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spans="1:26" ht="17.399999999999999" x14ac:dyDescent="0.3">
      <c r="A8468" s="10"/>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spans="1:26" ht="17.399999999999999" x14ac:dyDescent="0.3">
      <c r="A8469" s="10"/>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spans="1:26" ht="17.399999999999999" x14ac:dyDescent="0.3">
      <c r="A8470" s="10"/>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spans="1:26" ht="17.399999999999999" x14ac:dyDescent="0.3">
      <c r="A8471" s="10"/>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spans="1:26" ht="17.399999999999999" x14ac:dyDescent="0.3">
      <c r="A8472" s="10"/>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spans="1:26" ht="17.399999999999999" x14ac:dyDescent="0.3">
      <c r="A8473" s="10"/>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spans="1:26" ht="17.399999999999999" x14ac:dyDescent="0.3">
      <c r="A8474" s="10"/>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spans="1:26" ht="17.399999999999999" x14ac:dyDescent="0.3">
      <c r="A8475" s="10"/>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spans="1:26" ht="17.399999999999999" x14ac:dyDescent="0.3">
      <c r="A8476" s="10"/>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spans="1:26" ht="17.399999999999999" x14ac:dyDescent="0.3">
      <c r="A8477" s="10"/>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spans="1:26" ht="17.399999999999999" x14ac:dyDescent="0.3">
      <c r="A8478" s="10"/>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spans="1:26" ht="17.399999999999999" x14ac:dyDescent="0.3">
      <c r="A8479" s="10"/>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spans="1:26" ht="17.399999999999999" x14ac:dyDescent="0.3">
      <c r="A8480" s="10"/>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spans="1:26" ht="17.399999999999999" x14ac:dyDescent="0.3">
      <c r="A8481" s="10"/>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spans="1:26" ht="17.399999999999999" x14ac:dyDescent="0.3">
      <c r="A8482" s="10"/>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spans="1:26" ht="17.399999999999999" x14ac:dyDescent="0.3">
      <c r="A8483" s="10"/>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spans="1:26" ht="17.399999999999999" x14ac:dyDescent="0.3">
      <c r="A8484" s="10"/>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spans="1:26" ht="17.399999999999999" x14ac:dyDescent="0.3">
      <c r="A8485" s="10"/>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spans="1:26" ht="17.399999999999999" x14ac:dyDescent="0.3">
      <c r="A8486" s="10"/>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spans="1:26" ht="17.399999999999999" x14ac:dyDescent="0.3">
      <c r="A8487" s="10"/>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spans="1:26" ht="17.399999999999999" x14ac:dyDescent="0.3">
      <c r="A8488" s="10"/>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spans="1:26" ht="17.399999999999999" x14ac:dyDescent="0.3">
      <c r="A8489" s="10"/>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spans="1:26" ht="17.399999999999999" x14ac:dyDescent="0.3">
      <c r="A8490" s="10"/>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spans="1:26" ht="17.399999999999999" x14ac:dyDescent="0.3">
      <c r="A8491" s="10"/>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spans="1:26" ht="17.399999999999999" x14ac:dyDescent="0.3">
      <c r="A8492" s="10"/>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spans="1:26" ht="17.399999999999999" x14ac:dyDescent="0.3">
      <c r="A8493" s="10"/>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spans="1:26" ht="17.399999999999999" x14ac:dyDescent="0.3">
      <c r="A8494" s="10"/>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spans="1:26" ht="17.399999999999999" x14ac:dyDescent="0.3">
      <c r="A8495" s="10"/>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spans="1:26" ht="17.399999999999999" x14ac:dyDescent="0.3">
      <c r="A8496" s="10"/>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spans="1:26" ht="17.399999999999999" x14ac:dyDescent="0.3">
      <c r="A8497" s="10"/>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spans="1:26" ht="17.399999999999999" x14ac:dyDescent="0.3">
      <c r="A8498" s="10"/>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spans="1:26" ht="17.399999999999999" x14ac:dyDescent="0.3">
      <c r="A8499" s="10"/>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spans="1:26" ht="17.399999999999999" x14ac:dyDescent="0.3">
      <c r="A8500" s="10"/>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spans="1:26" ht="17.399999999999999" x14ac:dyDescent="0.3">
      <c r="A8501" s="10"/>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spans="1:26" ht="17.399999999999999" x14ac:dyDescent="0.3">
      <c r="A8502" s="10"/>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spans="1:26" ht="17.399999999999999" x14ac:dyDescent="0.3">
      <c r="A8503" s="10"/>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spans="1:26" ht="17.399999999999999" x14ac:dyDescent="0.3">
      <c r="A8504" s="10"/>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spans="1:26" ht="17.399999999999999" x14ac:dyDescent="0.3">
      <c r="A8505" s="10"/>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spans="1:26" ht="17.399999999999999" x14ac:dyDescent="0.3">
      <c r="A8506" s="10"/>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spans="1:26" ht="17.399999999999999" x14ac:dyDescent="0.3">
      <c r="A8507" s="10"/>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spans="1:26" ht="17.399999999999999" x14ac:dyDescent="0.3">
      <c r="A8508" s="10"/>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spans="1:26" ht="17.399999999999999" x14ac:dyDescent="0.3">
      <c r="A8509" s="10"/>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spans="1:26" ht="17.399999999999999" x14ac:dyDescent="0.3">
      <c r="A8510" s="10"/>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spans="1:26" ht="17.399999999999999" x14ac:dyDescent="0.3">
      <c r="A8511" s="10"/>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spans="1:26" ht="17.399999999999999" x14ac:dyDescent="0.3">
      <c r="A8512" s="10"/>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spans="1:26" ht="17.399999999999999" x14ac:dyDescent="0.3">
      <c r="A8513" s="10"/>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spans="1:26" ht="17.399999999999999" x14ac:dyDescent="0.3">
      <c r="A8514" s="10"/>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spans="1:26" ht="17.399999999999999" x14ac:dyDescent="0.3">
      <c r="A8515" s="10"/>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spans="1:26" ht="17.399999999999999" x14ac:dyDescent="0.3">
      <c r="A8516" s="10"/>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spans="1:26" ht="17.399999999999999" x14ac:dyDescent="0.3">
      <c r="A8517" s="10"/>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spans="1:26" ht="17.399999999999999" x14ac:dyDescent="0.3">
      <c r="A8518" s="10"/>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spans="1:26" ht="17.399999999999999" x14ac:dyDescent="0.3">
      <c r="A8519" s="10"/>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spans="1:26" ht="17.399999999999999" x14ac:dyDescent="0.3">
      <c r="A8520" s="10"/>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spans="1:26" ht="17.399999999999999" x14ac:dyDescent="0.3">
      <c r="A8521" s="10"/>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spans="1:26" ht="17.399999999999999" x14ac:dyDescent="0.3">
      <c r="A8522" s="10"/>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spans="1:26" ht="17.399999999999999" x14ac:dyDescent="0.3">
      <c r="A8523" s="10"/>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spans="1:26" ht="17.399999999999999" x14ac:dyDescent="0.3">
      <c r="A8524" s="10"/>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spans="1:26" ht="17.399999999999999" x14ac:dyDescent="0.3">
      <c r="A8525" s="10"/>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spans="1:26" ht="17.399999999999999" x14ac:dyDescent="0.3">
      <c r="A8526" s="10"/>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spans="1:26" ht="17.399999999999999" x14ac:dyDescent="0.3">
      <c r="A8527" s="10"/>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spans="1:26" ht="17.399999999999999" x14ac:dyDescent="0.3">
      <c r="A8528" s="10"/>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spans="1:26" ht="17.399999999999999" x14ac:dyDescent="0.3">
      <c r="A8529" s="10"/>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spans="1:26" ht="17.399999999999999" x14ac:dyDescent="0.3">
      <c r="A8530" s="10"/>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spans="1:26" ht="17.399999999999999" x14ac:dyDescent="0.3">
      <c r="A8531" s="10"/>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spans="1:26" ht="17.399999999999999" x14ac:dyDescent="0.3">
      <c r="A8532" s="10"/>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spans="1:26" ht="17.399999999999999" x14ac:dyDescent="0.3">
      <c r="A8533" s="10"/>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spans="1:26" ht="17.399999999999999" x14ac:dyDescent="0.3">
      <c r="A8534" s="10"/>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spans="1:26" ht="17.399999999999999" x14ac:dyDescent="0.3">
      <c r="A8535" s="10"/>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spans="1:26" ht="17.399999999999999" x14ac:dyDescent="0.3">
      <c r="A8536" s="10"/>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spans="1:26" ht="17.399999999999999" x14ac:dyDescent="0.3">
      <c r="A8537" s="10"/>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spans="1:26" ht="17.399999999999999" x14ac:dyDescent="0.3">
      <c r="A8538" s="10"/>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spans="1:26" ht="17.399999999999999" x14ac:dyDescent="0.3">
      <c r="A8539" s="10"/>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spans="1:26" ht="17.399999999999999" x14ac:dyDescent="0.3">
      <c r="A8540" s="10"/>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spans="1:26" ht="17.399999999999999" x14ac:dyDescent="0.3">
      <c r="A8541" s="10"/>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spans="1:26" ht="17.399999999999999" x14ac:dyDescent="0.3">
      <c r="A8542" s="10"/>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spans="1:26" ht="17.399999999999999" x14ac:dyDescent="0.3">
      <c r="A8543" s="10"/>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spans="1:26" ht="17.399999999999999" x14ac:dyDescent="0.3">
      <c r="A8544" s="10"/>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spans="1:26" ht="17.399999999999999" x14ac:dyDescent="0.3">
      <c r="A8545" s="10"/>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spans="1:26" ht="17.399999999999999" x14ac:dyDescent="0.3">
      <c r="A8546" s="10"/>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spans="1:26" ht="17.399999999999999" x14ac:dyDescent="0.3">
      <c r="A8547" s="10"/>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spans="1:26" ht="17.399999999999999" x14ac:dyDescent="0.3">
      <c r="A8548" s="10"/>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spans="1:26" ht="17.399999999999999" x14ac:dyDescent="0.3">
      <c r="A8549" s="10"/>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spans="1:26" ht="17.399999999999999" x14ac:dyDescent="0.3">
      <c r="A8550" s="10"/>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spans="1:26" ht="17.399999999999999" x14ac:dyDescent="0.3">
      <c r="A8551" s="10"/>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spans="1:26" ht="17.399999999999999" x14ac:dyDescent="0.3">
      <c r="A8552" s="10"/>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spans="1:26" ht="17.399999999999999" x14ac:dyDescent="0.3">
      <c r="A8553" s="10"/>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spans="1:26" ht="17.399999999999999" x14ac:dyDescent="0.3">
      <c r="A8554" s="10"/>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spans="1:26" ht="17.399999999999999" x14ac:dyDescent="0.3">
      <c r="A8555" s="10"/>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spans="1:26" ht="17.399999999999999" x14ac:dyDescent="0.3">
      <c r="A8556" s="10"/>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spans="1:26" ht="17.399999999999999" x14ac:dyDescent="0.3">
      <c r="A8557" s="10"/>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spans="1:26" ht="17.399999999999999" x14ac:dyDescent="0.3">
      <c r="A8558" s="10"/>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spans="1:26" ht="17.399999999999999" x14ac:dyDescent="0.3">
      <c r="A8559" s="10"/>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spans="1:26" ht="17.399999999999999" x14ac:dyDescent="0.3">
      <c r="A8560" s="10"/>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spans="1:26" ht="17.399999999999999" x14ac:dyDescent="0.3">
      <c r="A8561" s="10"/>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spans="1:26" ht="17.399999999999999" x14ac:dyDescent="0.3">
      <c r="A8562" s="10"/>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spans="1:26" ht="17.399999999999999" x14ac:dyDescent="0.3">
      <c r="A8563" s="10"/>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spans="1:26" ht="17.399999999999999" x14ac:dyDescent="0.3">
      <c r="A8564" s="10"/>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spans="1:26" ht="17.399999999999999" x14ac:dyDescent="0.3">
      <c r="A8565" s="10"/>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spans="1:26" ht="17.399999999999999" x14ac:dyDescent="0.3">
      <c r="A8566" s="10"/>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spans="1:26" ht="17.399999999999999" x14ac:dyDescent="0.3">
      <c r="A8567" s="10"/>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spans="1:26" ht="17.399999999999999" x14ac:dyDescent="0.3">
      <c r="A8568" s="10"/>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spans="1:26" ht="17.399999999999999" x14ac:dyDescent="0.3">
      <c r="A8569" s="10"/>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spans="1:26" ht="17.399999999999999" x14ac:dyDescent="0.3">
      <c r="A8570" s="10"/>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spans="1:26" ht="17.399999999999999" x14ac:dyDescent="0.3">
      <c r="A8571" s="10"/>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spans="1:26" ht="17.399999999999999" x14ac:dyDescent="0.3">
      <c r="A8572" s="10"/>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spans="1:26" ht="17.399999999999999" x14ac:dyDescent="0.3">
      <c r="A8573" s="10"/>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spans="1:26" ht="17.399999999999999" x14ac:dyDescent="0.3">
      <c r="A8574" s="10"/>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spans="1:26" ht="17.399999999999999" x14ac:dyDescent="0.3">
      <c r="A8575" s="10"/>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spans="1:26" ht="17.399999999999999" x14ac:dyDescent="0.3">
      <c r="A8576" s="10"/>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spans="1:26" ht="17.399999999999999" x14ac:dyDescent="0.3">
      <c r="A8577" s="10"/>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spans="1:26" ht="17.399999999999999" x14ac:dyDescent="0.3">
      <c r="A8578" s="10"/>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spans="1:26" ht="17.399999999999999" x14ac:dyDescent="0.3">
      <c r="A8579" s="10"/>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spans="1:26" ht="17.399999999999999" x14ac:dyDescent="0.3">
      <c r="A8580" s="10"/>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spans="1:26" ht="17.399999999999999" x14ac:dyDescent="0.3">
      <c r="A8581" s="10"/>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spans="1:26" ht="17.399999999999999" x14ac:dyDescent="0.3">
      <c r="A8582" s="10"/>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spans="1:26" ht="17.399999999999999" x14ac:dyDescent="0.3">
      <c r="A8583" s="10"/>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spans="1:26" ht="17.399999999999999" x14ac:dyDescent="0.3">
      <c r="A8584" s="10"/>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spans="1:26" ht="17.399999999999999" x14ac:dyDescent="0.3">
      <c r="A8585" s="10"/>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spans="1:26" ht="17.399999999999999" x14ac:dyDescent="0.3">
      <c r="A8586" s="10"/>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spans="1:26" ht="17.399999999999999" x14ac:dyDescent="0.3">
      <c r="A8587" s="10"/>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spans="1:26" ht="17.399999999999999" x14ac:dyDescent="0.3">
      <c r="A8588" s="10"/>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spans="1:26" ht="17.399999999999999" x14ac:dyDescent="0.3">
      <c r="A8589" s="10"/>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spans="1:26" ht="17.399999999999999" x14ac:dyDescent="0.3">
      <c r="A8590" s="10"/>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spans="1:26" ht="17.399999999999999" x14ac:dyDescent="0.3">
      <c r="A8591" s="10"/>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spans="1:26" ht="17.399999999999999" x14ac:dyDescent="0.3">
      <c r="A8592" s="10"/>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spans="1:26" ht="17.399999999999999" x14ac:dyDescent="0.3">
      <c r="A8593" s="10"/>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spans="1:26" ht="17.399999999999999" x14ac:dyDescent="0.3">
      <c r="A8594" s="10"/>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spans="1:26" ht="17.399999999999999" x14ac:dyDescent="0.3">
      <c r="A8595" s="10"/>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spans="1:26" ht="17.399999999999999" x14ac:dyDescent="0.3">
      <c r="A8596" s="10"/>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spans="1:26" ht="17.399999999999999" x14ac:dyDescent="0.3">
      <c r="A8597" s="10"/>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spans="1:26" ht="17.399999999999999" x14ac:dyDescent="0.3">
      <c r="A8598" s="10"/>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spans="1:26" ht="17.399999999999999" x14ac:dyDescent="0.3">
      <c r="A8599" s="10"/>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spans="1:26" ht="17.399999999999999" x14ac:dyDescent="0.3">
      <c r="A8600" s="10"/>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spans="1:26" ht="17.399999999999999" x14ac:dyDescent="0.3">
      <c r="A8601" s="10"/>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spans="1:26" ht="17.399999999999999" x14ac:dyDescent="0.3">
      <c r="A8602" s="10"/>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spans="1:26" ht="17.399999999999999" x14ac:dyDescent="0.3">
      <c r="A8603" s="10"/>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spans="1:26" ht="17.399999999999999" x14ac:dyDescent="0.3">
      <c r="A8604" s="10"/>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spans="1:26" ht="17.399999999999999" x14ac:dyDescent="0.3">
      <c r="A8605" s="10"/>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spans="1:26" ht="17.399999999999999" x14ac:dyDescent="0.3">
      <c r="A8606" s="10"/>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spans="1:26" ht="17.399999999999999" x14ac:dyDescent="0.3">
      <c r="A8607" s="10"/>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spans="1:26" ht="17.399999999999999" x14ac:dyDescent="0.3">
      <c r="A8608" s="10"/>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spans="1:26" ht="17.399999999999999" x14ac:dyDescent="0.3">
      <c r="A8609" s="10"/>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spans="1:26" ht="17.399999999999999" x14ac:dyDescent="0.3">
      <c r="A8610" s="10"/>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spans="1:26" ht="17.399999999999999" x14ac:dyDescent="0.3">
      <c r="A8611" s="10"/>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spans="1:26" ht="17.399999999999999" x14ac:dyDescent="0.3">
      <c r="A8612" s="10"/>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spans="1:26" ht="17.399999999999999" x14ac:dyDescent="0.3">
      <c r="A8613" s="10"/>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spans="1:26" ht="17.399999999999999" x14ac:dyDescent="0.3">
      <c r="A8614" s="10"/>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spans="1:26" ht="17.399999999999999" x14ac:dyDescent="0.3">
      <c r="A8615" s="10"/>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spans="1:26" ht="17.399999999999999" x14ac:dyDescent="0.3">
      <c r="A8616" s="10"/>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spans="1:26" ht="17.399999999999999" x14ac:dyDescent="0.3">
      <c r="A8617" s="10"/>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spans="1:26" ht="17.399999999999999" x14ac:dyDescent="0.3">
      <c r="A8618" s="10"/>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spans="1:26" ht="17.399999999999999" x14ac:dyDescent="0.3">
      <c r="A8619" s="10"/>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spans="1:26" ht="17.399999999999999" x14ac:dyDescent="0.3">
      <c r="A8620" s="10"/>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spans="1:26" ht="17.399999999999999" x14ac:dyDescent="0.3">
      <c r="A8621" s="10"/>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spans="1:26" ht="17.399999999999999" x14ac:dyDescent="0.3">
      <c r="A8622" s="10"/>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spans="1:26" ht="17.399999999999999" x14ac:dyDescent="0.3">
      <c r="A8623" s="10"/>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spans="1:26" ht="17.399999999999999" x14ac:dyDescent="0.3">
      <c r="A8624" s="10"/>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spans="1:26" ht="17.399999999999999" x14ac:dyDescent="0.3">
      <c r="A8625" s="10"/>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spans="1:26" ht="17.399999999999999" x14ac:dyDescent="0.3">
      <c r="A8626" s="10"/>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spans="1:26" ht="17.399999999999999" x14ac:dyDescent="0.3">
      <c r="A8627" s="10"/>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spans="1:26" ht="17.399999999999999" x14ac:dyDescent="0.3">
      <c r="A8628" s="10"/>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spans="1:26" ht="17.399999999999999" x14ac:dyDescent="0.3">
      <c r="A8629" s="10"/>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spans="1:26" ht="17.399999999999999" x14ac:dyDescent="0.3">
      <c r="A8630" s="10"/>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spans="1:26" ht="17.399999999999999" x14ac:dyDescent="0.3">
      <c r="A8631" s="10"/>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spans="1:26" ht="17.399999999999999" x14ac:dyDescent="0.3">
      <c r="A8632" s="10"/>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spans="1:26" ht="17.399999999999999" x14ac:dyDescent="0.3">
      <c r="A8633" s="10"/>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spans="1:26" ht="17.399999999999999" x14ac:dyDescent="0.3">
      <c r="A8634" s="10"/>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spans="1:26" ht="17.399999999999999" x14ac:dyDescent="0.3">
      <c r="A8635" s="10"/>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spans="1:26" ht="17.399999999999999" x14ac:dyDescent="0.3">
      <c r="A8636" s="10"/>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spans="1:26" ht="17.399999999999999" x14ac:dyDescent="0.3">
      <c r="A8637" s="10"/>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spans="1:26" ht="17.399999999999999" x14ac:dyDescent="0.3">
      <c r="A8638" s="10"/>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spans="1:26" ht="17.399999999999999" x14ac:dyDescent="0.3">
      <c r="A8639" s="10"/>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spans="1:26" ht="17.399999999999999" x14ac:dyDescent="0.3">
      <c r="A8640" s="10"/>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spans="1:26" ht="17.399999999999999" x14ac:dyDescent="0.3">
      <c r="A8641" s="10"/>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spans="1:26" ht="17.399999999999999" x14ac:dyDescent="0.3">
      <c r="A8642" s="10"/>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spans="1:26" ht="17.399999999999999" x14ac:dyDescent="0.3">
      <c r="A8643" s="10"/>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spans="1:26" ht="17.399999999999999" x14ac:dyDescent="0.3">
      <c r="A8644" s="10"/>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spans="1:26" ht="17.399999999999999" x14ac:dyDescent="0.3">
      <c r="A8645" s="10"/>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spans="1:26" ht="17.399999999999999" x14ac:dyDescent="0.3">
      <c r="A8646" s="10"/>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spans="1:26" ht="17.399999999999999" x14ac:dyDescent="0.3">
      <c r="A8647" s="10"/>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spans="1:26" ht="17.399999999999999" x14ac:dyDescent="0.3">
      <c r="A8648" s="10"/>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spans="1:26" ht="17.399999999999999" x14ac:dyDescent="0.3">
      <c r="A8649" s="10"/>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spans="1:26" ht="17.399999999999999" x14ac:dyDescent="0.3">
      <c r="A8650" s="10"/>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spans="1:26" ht="17.399999999999999" x14ac:dyDescent="0.3">
      <c r="A8651" s="10"/>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spans="1:26" ht="17.399999999999999" x14ac:dyDescent="0.3">
      <c r="A8652" s="10"/>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spans="1:26" ht="17.399999999999999" x14ac:dyDescent="0.3">
      <c r="A8653" s="10"/>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spans="1:26" ht="17.399999999999999" x14ac:dyDescent="0.3">
      <c r="A8654" s="10"/>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spans="1:26" ht="17.399999999999999" x14ac:dyDescent="0.3">
      <c r="A8655" s="10"/>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spans="1:26" ht="17.399999999999999" x14ac:dyDescent="0.3">
      <c r="A8656" s="10"/>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spans="1:26" ht="17.399999999999999" x14ac:dyDescent="0.3">
      <c r="A8657" s="10"/>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spans="1:26" ht="17.399999999999999" x14ac:dyDescent="0.3">
      <c r="A8658" s="10"/>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spans="1:26" ht="17.399999999999999" x14ac:dyDescent="0.3">
      <c r="A8659" s="10"/>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spans="1:26" ht="17.399999999999999" x14ac:dyDescent="0.3">
      <c r="A8660" s="10"/>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spans="1:26" ht="17.399999999999999" x14ac:dyDescent="0.3">
      <c r="A8661" s="10"/>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spans="1:26" ht="17.399999999999999" x14ac:dyDescent="0.3">
      <c r="A8662" s="10"/>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spans="1:26" ht="17.399999999999999" x14ac:dyDescent="0.3">
      <c r="A8663" s="10"/>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spans="1:26" ht="17.399999999999999" x14ac:dyDescent="0.3">
      <c r="A8664" s="10"/>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spans="1:26" ht="17.399999999999999" x14ac:dyDescent="0.3">
      <c r="A8665" s="10"/>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spans="1:26" ht="17.399999999999999" x14ac:dyDescent="0.3">
      <c r="A8666" s="10"/>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spans="1:26" ht="17.399999999999999" x14ac:dyDescent="0.3">
      <c r="A8667" s="10"/>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spans="1:26" ht="17.399999999999999" x14ac:dyDescent="0.3">
      <c r="A8668" s="10"/>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spans="1:26" ht="17.399999999999999" x14ac:dyDescent="0.3">
      <c r="A8669" s="10"/>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spans="1:26" ht="17.399999999999999" x14ac:dyDescent="0.3">
      <c r="A8670" s="10"/>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spans="1:26" ht="17.399999999999999" x14ac:dyDescent="0.3">
      <c r="A8671" s="10"/>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spans="1:26" ht="17.399999999999999" x14ac:dyDescent="0.3">
      <c r="A8672" s="10"/>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spans="1:26" ht="17.399999999999999" x14ac:dyDescent="0.3">
      <c r="A8673" s="10"/>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spans="1:26" ht="17.399999999999999" x14ac:dyDescent="0.3">
      <c r="A8674" s="10"/>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spans="1:26" ht="17.399999999999999" x14ac:dyDescent="0.3">
      <c r="A8675" s="10"/>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spans="1:26" ht="17.399999999999999" x14ac:dyDescent="0.3">
      <c r="A8676" s="10"/>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spans="1:26" ht="17.399999999999999" x14ac:dyDescent="0.3">
      <c r="A8677" s="10"/>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spans="1:26" ht="17.399999999999999" x14ac:dyDescent="0.3">
      <c r="A8678" s="10"/>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spans="1:26" ht="17.399999999999999" x14ac:dyDescent="0.3">
      <c r="A8679" s="10"/>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spans="1:26" ht="17.399999999999999" x14ac:dyDescent="0.3">
      <c r="A8680" s="10"/>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spans="1:26" ht="17.399999999999999" x14ac:dyDescent="0.3">
      <c r="A8681" s="10"/>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spans="1:26" ht="17.399999999999999" x14ac:dyDescent="0.3">
      <c r="A8682" s="10"/>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spans="1:26" ht="17.399999999999999" x14ac:dyDescent="0.3">
      <c r="A8683" s="10"/>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spans="1:26" ht="17.399999999999999" x14ac:dyDescent="0.3">
      <c r="A8684" s="10"/>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spans="1:26" ht="17.399999999999999" x14ac:dyDescent="0.3">
      <c r="A8685" s="10"/>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spans="1:26" ht="17.399999999999999" x14ac:dyDescent="0.3">
      <c r="A8686" s="10"/>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spans="1:26" ht="17.399999999999999" x14ac:dyDescent="0.3">
      <c r="A8687" s="10"/>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spans="1:26" ht="17.399999999999999" x14ac:dyDescent="0.3">
      <c r="A8688" s="10"/>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spans="1:26" ht="17.399999999999999" x14ac:dyDescent="0.3">
      <c r="A8689" s="10"/>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spans="1:26" ht="17.399999999999999" x14ac:dyDescent="0.3">
      <c r="A8690" s="10"/>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spans="1:26" ht="17.399999999999999" x14ac:dyDescent="0.3">
      <c r="A8691" s="10"/>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spans="1:26" ht="17.399999999999999" x14ac:dyDescent="0.3">
      <c r="A8692" s="10"/>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spans="1:26" ht="17.399999999999999" x14ac:dyDescent="0.3">
      <c r="A8693" s="10"/>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spans="1:26" ht="17.399999999999999" x14ac:dyDescent="0.3">
      <c r="A8694" s="10"/>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spans="1:26" ht="17.399999999999999" x14ac:dyDescent="0.3">
      <c r="A8695" s="10"/>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spans="1:26" ht="17.399999999999999" x14ac:dyDescent="0.3">
      <c r="A8696" s="10"/>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spans="1:26" ht="17.399999999999999" x14ac:dyDescent="0.3">
      <c r="A8697" s="10"/>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spans="1:26" ht="17.399999999999999" x14ac:dyDescent="0.3">
      <c r="A8698" s="10"/>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spans="1:26" ht="17.399999999999999" x14ac:dyDescent="0.3">
      <c r="A8699" s="10"/>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spans="1:26" ht="17.399999999999999" x14ac:dyDescent="0.3">
      <c r="A8700" s="10"/>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spans="1:26" ht="17.399999999999999" x14ac:dyDescent="0.3">
      <c r="A8701" s="10"/>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spans="1:26" ht="17.399999999999999" x14ac:dyDescent="0.3">
      <c r="A8702" s="10"/>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spans="1:26" ht="17.399999999999999" x14ac:dyDescent="0.3">
      <c r="A8703" s="10"/>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spans="1:26" ht="17.399999999999999" x14ac:dyDescent="0.3">
      <c r="A8704" s="10"/>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spans="1:26" ht="17.399999999999999" x14ac:dyDescent="0.3">
      <c r="A8705" s="10"/>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spans="1:26" ht="17.399999999999999" x14ac:dyDescent="0.3">
      <c r="A8706" s="10"/>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spans="1:26" ht="17.399999999999999" x14ac:dyDescent="0.3">
      <c r="A8707" s="10"/>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spans="1:26" ht="17.399999999999999" x14ac:dyDescent="0.3">
      <c r="A8708" s="10"/>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spans="1:26" ht="17.399999999999999" x14ac:dyDescent="0.3">
      <c r="A8709" s="10"/>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spans="1:26" ht="17.399999999999999" x14ac:dyDescent="0.3">
      <c r="A8710" s="10"/>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spans="1:26" ht="17.399999999999999" x14ac:dyDescent="0.3">
      <c r="A8711" s="10"/>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spans="1:26" ht="17.399999999999999" x14ac:dyDescent="0.3">
      <c r="A8712" s="10"/>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spans="1:26" ht="17.399999999999999" x14ac:dyDescent="0.3">
      <c r="A8713" s="10"/>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spans="1:26" ht="17.399999999999999" x14ac:dyDescent="0.3">
      <c r="A8714" s="10"/>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spans="1:26" ht="17.399999999999999" x14ac:dyDescent="0.3">
      <c r="A8715" s="10"/>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spans="1:26" ht="17.399999999999999" x14ac:dyDescent="0.3">
      <c r="A8716" s="10"/>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spans="1:26" ht="17.399999999999999" x14ac:dyDescent="0.3">
      <c r="A8717" s="10"/>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spans="1:26" ht="17.399999999999999" x14ac:dyDescent="0.3">
      <c r="A8718" s="10"/>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spans="1:26" ht="17.399999999999999" x14ac:dyDescent="0.3">
      <c r="A8719" s="10"/>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spans="1:26" ht="17.399999999999999" x14ac:dyDescent="0.3">
      <c r="A8720" s="10"/>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spans="1:26" ht="17.399999999999999" x14ac:dyDescent="0.3">
      <c r="A8721" s="10"/>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spans="1:26" ht="17.399999999999999" x14ac:dyDescent="0.3">
      <c r="A8722" s="10"/>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spans="1:26" ht="17.399999999999999" x14ac:dyDescent="0.3">
      <c r="A8723" s="10"/>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spans="1:26" ht="17.399999999999999" x14ac:dyDescent="0.3">
      <c r="A8724" s="10"/>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spans="1:26" ht="17.399999999999999" x14ac:dyDescent="0.3">
      <c r="A8725" s="10"/>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spans="1:26" ht="17.399999999999999" x14ac:dyDescent="0.3">
      <c r="A8726" s="10"/>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spans="1:26" ht="17.399999999999999" x14ac:dyDescent="0.3">
      <c r="A8727" s="10"/>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spans="1:26" ht="17.399999999999999" x14ac:dyDescent="0.3">
      <c r="A8728" s="10"/>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spans="1:26" ht="17.399999999999999" x14ac:dyDescent="0.3">
      <c r="A8729" s="10"/>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spans="1:26" ht="17.399999999999999" x14ac:dyDescent="0.3">
      <c r="A8730" s="10"/>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spans="1:26" ht="17.399999999999999" x14ac:dyDescent="0.3">
      <c r="A8731" s="10"/>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spans="1:26" ht="17.399999999999999" x14ac:dyDescent="0.3">
      <c r="A8732" s="10"/>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spans="1:26" ht="17.399999999999999" x14ac:dyDescent="0.3">
      <c r="A8733" s="10"/>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spans="1:26" ht="17.399999999999999" x14ac:dyDescent="0.3">
      <c r="A8734" s="10"/>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spans="1:26" ht="17.399999999999999" x14ac:dyDescent="0.3">
      <c r="A8735" s="10"/>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spans="1:26" ht="17.399999999999999" x14ac:dyDescent="0.3">
      <c r="A8736" s="10"/>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spans="1:26" ht="17.399999999999999" x14ac:dyDescent="0.3">
      <c r="A8737" s="10"/>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spans="1:26" ht="17.399999999999999" x14ac:dyDescent="0.3">
      <c r="A8738" s="10"/>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spans="1:26" ht="17.399999999999999" x14ac:dyDescent="0.3">
      <c r="A8739" s="10"/>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spans="1:26" ht="17.399999999999999" x14ac:dyDescent="0.3">
      <c r="A8740" s="10"/>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spans="1:26" ht="17.399999999999999" x14ac:dyDescent="0.3">
      <c r="A8741" s="10"/>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spans="1:26" ht="17.399999999999999" x14ac:dyDescent="0.3">
      <c r="A8742" s="10"/>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spans="1:26" ht="17.399999999999999" x14ac:dyDescent="0.3">
      <c r="A8743" s="10"/>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spans="1:26" ht="17.399999999999999" x14ac:dyDescent="0.3">
      <c r="A8744" s="10"/>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spans="1:26" ht="17.399999999999999" x14ac:dyDescent="0.3">
      <c r="A8745" s="10"/>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spans="1:26" ht="17.399999999999999" x14ac:dyDescent="0.3">
      <c r="A8746" s="10"/>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spans="1:26" ht="17.399999999999999" x14ac:dyDescent="0.3">
      <c r="A8747" s="10"/>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spans="1:26" ht="17.399999999999999" x14ac:dyDescent="0.3">
      <c r="A8748" s="10"/>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spans="1:26" ht="17.399999999999999" x14ac:dyDescent="0.3">
      <c r="A8749" s="10"/>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spans="1:26" ht="17.399999999999999" x14ac:dyDescent="0.3">
      <c r="A8750" s="10"/>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spans="1:26" ht="17.399999999999999" x14ac:dyDescent="0.3">
      <c r="A8751" s="10"/>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spans="1:26" ht="17.399999999999999" x14ac:dyDescent="0.3">
      <c r="A8752" s="10"/>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spans="1:26" ht="17.399999999999999" x14ac:dyDescent="0.3">
      <c r="A8753" s="10"/>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spans="1:26" ht="17.399999999999999" x14ac:dyDescent="0.3">
      <c r="A8754" s="10"/>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spans="1:26" ht="17.399999999999999" x14ac:dyDescent="0.3">
      <c r="A8755" s="10"/>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spans="1:26" ht="17.399999999999999" x14ac:dyDescent="0.3">
      <c r="A8756" s="10"/>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spans="1:26" ht="17.399999999999999" x14ac:dyDescent="0.3">
      <c r="A8757" s="10"/>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spans="1:26" ht="17.399999999999999" x14ac:dyDescent="0.3">
      <c r="A8758" s="10"/>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spans="1:26" ht="17.399999999999999" x14ac:dyDescent="0.3">
      <c r="A8759" s="10"/>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spans="1:26" ht="17.399999999999999" x14ac:dyDescent="0.3">
      <c r="A8760" s="10"/>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spans="1:26" ht="17.399999999999999" x14ac:dyDescent="0.3">
      <c r="A8761" s="10"/>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spans="1:26" ht="17.399999999999999" x14ac:dyDescent="0.3">
      <c r="A8762" s="10"/>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spans="1:26" ht="17.399999999999999" x14ac:dyDescent="0.3">
      <c r="A8763" s="10"/>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spans="1:26" ht="17.399999999999999" x14ac:dyDescent="0.3">
      <c r="A8764" s="10"/>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spans="1:26" ht="17.399999999999999" x14ac:dyDescent="0.3">
      <c r="A8765" s="10"/>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spans="1:26" ht="17.399999999999999" x14ac:dyDescent="0.3">
      <c r="A8766" s="10"/>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spans="1:26" ht="17.399999999999999" x14ac:dyDescent="0.3">
      <c r="A8767" s="10"/>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spans="1:26" ht="17.399999999999999" x14ac:dyDescent="0.3">
      <c r="A8768" s="10"/>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spans="1:26" ht="17.399999999999999" x14ac:dyDescent="0.3">
      <c r="A8769" s="10"/>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spans="1:26" ht="17.399999999999999" x14ac:dyDescent="0.3">
      <c r="A8770" s="10"/>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spans="1:26" ht="17.399999999999999" x14ac:dyDescent="0.3">
      <c r="A8771" s="10"/>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spans="1:26" ht="17.399999999999999" x14ac:dyDescent="0.3">
      <c r="A8772" s="10"/>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spans="1:26" ht="17.399999999999999" x14ac:dyDescent="0.3">
      <c r="A8773" s="10"/>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spans="1:26" ht="17.399999999999999" x14ac:dyDescent="0.3">
      <c r="A8774" s="10"/>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spans="1:26" ht="17.399999999999999" x14ac:dyDescent="0.3">
      <c r="A8775" s="10"/>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spans="1:26" ht="17.399999999999999" x14ac:dyDescent="0.3">
      <c r="A8776" s="10"/>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spans="1:26" ht="17.399999999999999" x14ac:dyDescent="0.3">
      <c r="A8777" s="10"/>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spans="1:26" ht="17.399999999999999" x14ac:dyDescent="0.3">
      <c r="A8778" s="10"/>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spans="1:26" ht="17.399999999999999" x14ac:dyDescent="0.3">
      <c r="A8779" s="10"/>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spans="1:26" ht="17.399999999999999" x14ac:dyDescent="0.3">
      <c r="A8780" s="10"/>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spans="1:26" ht="17.399999999999999" x14ac:dyDescent="0.3">
      <c r="A8781" s="10"/>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spans="1:26" ht="17.399999999999999" x14ac:dyDescent="0.3">
      <c r="A8782" s="10"/>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spans="1:26" ht="17.399999999999999" x14ac:dyDescent="0.3">
      <c r="A8783" s="10"/>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spans="1:26" ht="17.399999999999999" x14ac:dyDescent="0.3">
      <c r="A8784" s="10"/>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spans="1:26" ht="17.399999999999999" x14ac:dyDescent="0.3">
      <c r="A8785" s="10"/>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spans="1:26" ht="17.399999999999999" x14ac:dyDescent="0.3">
      <c r="A8786" s="10"/>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spans="1:26" ht="17.399999999999999" x14ac:dyDescent="0.3">
      <c r="A8787" s="10"/>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spans="1:26" ht="17.399999999999999" x14ac:dyDescent="0.3">
      <c r="A8788" s="10"/>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spans="1:26" ht="17.399999999999999" x14ac:dyDescent="0.3">
      <c r="A8789" s="10"/>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spans="1:26" ht="17.399999999999999" x14ac:dyDescent="0.3">
      <c r="A8790" s="10"/>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spans="1:26" ht="17.399999999999999" x14ac:dyDescent="0.3">
      <c r="A8791" s="10"/>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spans="1:26" ht="17.399999999999999" x14ac:dyDescent="0.3">
      <c r="A8792" s="10"/>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spans="1:26" ht="17.399999999999999" x14ac:dyDescent="0.3">
      <c r="A8793" s="10"/>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spans="1:26" ht="17.399999999999999" x14ac:dyDescent="0.3">
      <c r="A8794" s="10"/>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spans="1:26" ht="17.399999999999999" x14ac:dyDescent="0.3">
      <c r="A8795" s="10"/>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spans="1:26" ht="17.399999999999999" x14ac:dyDescent="0.3">
      <c r="A8796" s="10"/>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spans="1:26" ht="17.399999999999999" x14ac:dyDescent="0.3">
      <c r="A8797" s="10"/>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spans="1:26" ht="17.399999999999999" x14ac:dyDescent="0.3">
      <c r="A8798" s="10"/>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spans="1:26" ht="17.399999999999999" x14ac:dyDescent="0.3">
      <c r="A8799" s="10"/>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spans="1:26" ht="17.399999999999999" x14ac:dyDescent="0.3">
      <c r="A8800" s="10"/>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spans="1:26" ht="17.399999999999999" x14ac:dyDescent="0.3">
      <c r="A8801" s="10"/>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spans="1:26" ht="17.399999999999999" x14ac:dyDescent="0.3">
      <c r="A8802" s="10"/>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spans="1:26" ht="17.399999999999999" x14ac:dyDescent="0.3">
      <c r="A8803" s="10"/>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spans="1:26" ht="17.399999999999999" x14ac:dyDescent="0.3">
      <c r="A8804" s="10"/>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spans="1:26" ht="17.399999999999999" x14ac:dyDescent="0.3">
      <c r="A8805" s="10"/>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spans="1:26" ht="17.399999999999999" x14ac:dyDescent="0.3">
      <c r="A8806" s="10"/>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spans="1:26" ht="17.399999999999999" x14ac:dyDescent="0.3">
      <c r="A8807" s="10"/>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spans="1:26" ht="17.399999999999999" x14ac:dyDescent="0.3">
      <c r="A8808" s="10"/>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spans="1:26" ht="17.399999999999999" x14ac:dyDescent="0.3">
      <c r="A8809" s="10"/>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spans="1:26" ht="17.399999999999999" x14ac:dyDescent="0.3">
      <c r="A8810" s="10"/>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spans="1:26" ht="17.399999999999999" x14ac:dyDescent="0.3">
      <c r="A8811" s="10"/>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spans="1:26" ht="17.399999999999999" x14ac:dyDescent="0.3">
      <c r="A8812" s="10"/>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spans="1:26" ht="17.399999999999999" x14ac:dyDescent="0.3">
      <c r="A8813" s="10"/>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spans="1:26" ht="17.399999999999999" x14ac:dyDescent="0.3">
      <c r="A8814" s="10"/>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spans="1:26" ht="17.399999999999999" x14ac:dyDescent="0.3">
      <c r="A8815" s="10"/>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spans="1:26" ht="17.399999999999999" x14ac:dyDescent="0.3">
      <c r="A8816" s="10"/>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spans="1:26" ht="17.399999999999999" x14ac:dyDescent="0.3">
      <c r="A8817" s="10"/>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spans="1:26" ht="17.399999999999999" x14ac:dyDescent="0.3">
      <c r="A8818" s="10"/>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spans="1:26" ht="17.399999999999999" x14ac:dyDescent="0.3">
      <c r="A8819" s="10"/>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spans="1:26" ht="17.399999999999999" x14ac:dyDescent="0.3">
      <c r="A8820" s="10"/>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spans="1:26" ht="17.399999999999999" x14ac:dyDescent="0.3">
      <c r="A8821" s="10"/>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spans="1:26" ht="17.399999999999999" x14ac:dyDescent="0.3">
      <c r="A8822" s="10"/>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spans="1:26" ht="17.399999999999999" x14ac:dyDescent="0.3">
      <c r="A8823" s="10"/>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spans="1:26" ht="17.399999999999999" x14ac:dyDescent="0.3">
      <c r="A8824" s="10"/>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spans="1:26" ht="17.399999999999999" x14ac:dyDescent="0.3">
      <c r="A8825" s="10"/>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spans="1:26" ht="17.399999999999999" x14ac:dyDescent="0.3">
      <c r="A8826" s="10"/>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spans="1:26" ht="17.399999999999999" x14ac:dyDescent="0.3">
      <c r="A8827" s="10"/>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spans="1:26" ht="17.399999999999999" x14ac:dyDescent="0.3">
      <c r="A8828" s="10"/>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spans="1:26" ht="17.399999999999999" x14ac:dyDescent="0.3">
      <c r="A8829" s="10"/>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spans="1:26" ht="17.399999999999999" x14ac:dyDescent="0.3">
      <c r="A8830" s="10"/>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spans="1:26" ht="17.399999999999999" x14ac:dyDescent="0.3">
      <c r="A8831" s="10"/>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spans="1:26" ht="17.399999999999999" x14ac:dyDescent="0.3">
      <c r="A8832" s="10"/>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spans="1:26" ht="17.399999999999999" x14ac:dyDescent="0.3">
      <c r="A8833" s="10"/>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spans="1:26" ht="17.399999999999999" x14ac:dyDescent="0.3">
      <c r="A8834" s="10"/>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spans="1:26" ht="17.399999999999999" x14ac:dyDescent="0.3">
      <c r="A8835" s="10"/>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spans="1:26" ht="17.399999999999999" x14ac:dyDescent="0.3">
      <c r="A8836" s="10"/>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spans="1:26" ht="17.399999999999999" x14ac:dyDescent="0.3">
      <c r="A8837" s="10"/>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spans="1:26" ht="17.399999999999999" x14ac:dyDescent="0.3">
      <c r="A8838" s="10"/>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spans="1:26" ht="17.399999999999999" x14ac:dyDescent="0.3">
      <c r="A8839" s="10"/>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spans="1:26" ht="17.399999999999999" x14ac:dyDescent="0.3">
      <c r="A8840" s="10"/>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spans="1:26" ht="17.399999999999999" x14ac:dyDescent="0.3">
      <c r="A8841" s="10"/>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spans="1:26" ht="17.399999999999999" x14ac:dyDescent="0.3">
      <c r="A8842" s="10"/>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spans="1:26" ht="17.399999999999999" x14ac:dyDescent="0.3">
      <c r="A8843" s="10"/>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spans="1:26" ht="17.399999999999999" x14ac:dyDescent="0.3">
      <c r="A8844" s="10"/>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spans="1:26" ht="17.399999999999999" x14ac:dyDescent="0.3">
      <c r="A8845" s="10"/>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spans="1:26" ht="17.399999999999999" x14ac:dyDescent="0.3">
      <c r="A8846" s="10"/>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spans="1:26" ht="17.399999999999999" x14ac:dyDescent="0.3">
      <c r="A8847" s="10"/>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spans="1:26" ht="17.399999999999999" x14ac:dyDescent="0.3">
      <c r="A8848" s="10"/>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spans="1:26" ht="17.399999999999999" x14ac:dyDescent="0.3">
      <c r="A8849" s="10"/>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spans="1:26" ht="17.399999999999999" x14ac:dyDescent="0.3">
      <c r="A8850" s="10"/>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spans="1:26" ht="17.399999999999999" x14ac:dyDescent="0.3">
      <c r="A8851" s="10"/>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spans="1:26" ht="17.399999999999999" x14ac:dyDescent="0.3">
      <c r="A8852" s="10"/>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spans="1:26" ht="17.399999999999999" x14ac:dyDescent="0.3">
      <c r="A8853" s="10"/>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spans="1:26" ht="17.399999999999999" x14ac:dyDescent="0.3">
      <c r="A8854" s="10"/>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spans="1:26" ht="17.399999999999999" x14ac:dyDescent="0.3">
      <c r="A8855" s="10"/>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spans="1:26" ht="17.399999999999999" x14ac:dyDescent="0.3">
      <c r="A8856" s="10"/>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spans="1:26" ht="17.399999999999999" x14ac:dyDescent="0.3">
      <c r="A8857" s="10"/>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spans="1:26" ht="17.399999999999999" x14ac:dyDescent="0.3">
      <c r="A8858" s="10"/>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spans="1:26" ht="17.399999999999999" x14ac:dyDescent="0.3">
      <c r="A8859" s="10"/>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spans="1:26" ht="17.399999999999999" x14ac:dyDescent="0.3">
      <c r="A8860" s="10"/>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spans="1:26" ht="17.399999999999999" x14ac:dyDescent="0.3">
      <c r="A8861" s="10"/>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spans="1:26" ht="17.399999999999999" x14ac:dyDescent="0.3">
      <c r="A8862" s="10"/>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spans="1:26" ht="17.399999999999999" x14ac:dyDescent="0.3">
      <c r="A8863" s="10"/>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spans="1:26" ht="17.399999999999999" x14ac:dyDescent="0.3">
      <c r="A8864" s="10"/>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spans="1:26" ht="17.399999999999999" x14ac:dyDescent="0.3">
      <c r="A8865" s="10"/>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spans="1:26" ht="17.399999999999999" x14ac:dyDescent="0.3">
      <c r="A8866" s="10"/>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spans="1:26" ht="17.399999999999999" x14ac:dyDescent="0.3">
      <c r="A8867" s="10"/>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spans="1:26" ht="17.399999999999999" x14ac:dyDescent="0.3">
      <c r="A8868" s="10"/>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spans="1:26" ht="17.399999999999999" x14ac:dyDescent="0.3">
      <c r="A8869" s="10"/>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spans="1:26" ht="17.399999999999999" x14ac:dyDescent="0.3">
      <c r="A8870" s="10"/>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spans="1:26" ht="17.399999999999999" x14ac:dyDescent="0.3">
      <c r="A8871" s="10"/>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spans="1:26" ht="17.399999999999999" x14ac:dyDescent="0.3">
      <c r="A8872" s="10"/>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spans="1:26" ht="17.399999999999999" x14ac:dyDescent="0.3">
      <c r="A8873" s="10"/>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spans="1:26" ht="17.399999999999999" x14ac:dyDescent="0.3">
      <c r="A8874" s="10"/>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spans="1:26" ht="17.399999999999999" x14ac:dyDescent="0.3">
      <c r="A8875" s="10"/>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spans="1:26" ht="17.399999999999999" x14ac:dyDescent="0.3">
      <c r="A8876" s="10"/>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spans="1:26" ht="17.399999999999999" x14ac:dyDescent="0.3">
      <c r="A8877" s="10"/>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spans="1:26" ht="17.399999999999999" x14ac:dyDescent="0.3">
      <c r="A8878" s="10"/>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spans="1:26" ht="17.399999999999999" x14ac:dyDescent="0.3">
      <c r="A8879" s="10"/>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spans="1:26" ht="17.399999999999999" x14ac:dyDescent="0.3">
      <c r="A8880" s="10"/>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spans="1:26" ht="17.399999999999999" x14ac:dyDescent="0.3">
      <c r="A8881" s="10"/>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spans="1:26" ht="17.399999999999999" x14ac:dyDescent="0.3">
      <c r="A8882" s="10"/>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spans="1:26" ht="17.399999999999999" x14ac:dyDescent="0.3">
      <c r="A8883" s="10"/>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spans="1:26" ht="17.399999999999999" x14ac:dyDescent="0.3">
      <c r="A8884" s="10"/>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spans="1:26" ht="17.399999999999999" x14ac:dyDescent="0.3">
      <c r="A8885" s="10"/>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spans="1:26" ht="17.399999999999999" x14ac:dyDescent="0.3">
      <c r="A8886" s="10"/>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spans="1:26" ht="17.399999999999999" x14ac:dyDescent="0.3">
      <c r="A8887" s="10"/>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spans="1:26" ht="17.399999999999999" x14ac:dyDescent="0.3">
      <c r="A8888" s="10"/>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spans="1:26" ht="17.399999999999999" x14ac:dyDescent="0.3">
      <c r="A8889" s="10"/>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spans="1:26" ht="17.399999999999999" x14ac:dyDescent="0.3">
      <c r="A8890" s="10"/>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spans="1:26" ht="17.399999999999999" x14ac:dyDescent="0.3">
      <c r="A8891" s="10"/>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spans="1:26" ht="17.399999999999999" x14ac:dyDescent="0.3">
      <c r="A8892" s="10"/>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spans="1:26" ht="17.399999999999999" x14ac:dyDescent="0.3">
      <c r="A8893" s="10"/>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spans="1:26" ht="17.399999999999999" x14ac:dyDescent="0.3">
      <c r="A8894" s="10"/>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spans="1:26" ht="17.399999999999999" x14ac:dyDescent="0.3">
      <c r="A8895" s="10"/>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spans="1:26" ht="17.399999999999999" x14ac:dyDescent="0.3">
      <c r="A8896" s="10"/>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spans="1:26" ht="17.399999999999999" x14ac:dyDescent="0.3">
      <c r="A8897" s="10"/>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spans="1:26" ht="17.399999999999999" x14ac:dyDescent="0.3">
      <c r="A8898" s="10"/>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spans="1:26" ht="17.399999999999999" x14ac:dyDescent="0.3">
      <c r="A8899" s="10"/>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spans="1:26" ht="17.399999999999999" x14ac:dyDescent="0.3">
      <c r="A8900" s="10"/>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spans="1:26" ht="17.399999999999999" x14ac:dyDescent="0.3">
      <c r="A8901" s="10"/>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spans="1:26" ht="17.399999999999999" x14ac:dyDescent="0.3">
      <c r="A8902" s="10"/>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spans="1:26" ht="17.399999999999999" x14ac:dyDescent="0.3">
      <c r="A8903" s="10"/>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spans="1:26" ht="17.399999999999999" x14ac:dyDescent="0.3">
      <c r="A8904" s="10"/>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spans="1:26" ht="17.399999999999999" x14ac:dyDescent="0.3">
      <c r="A8905" s="10"/>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spans="1:26" ht="17.399999999999999" x14ac:dyDescent="0.3">
      <c r="A8906" s="10"/>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spans="1:26" ht="17.399999999999999" x14ac:dyDescent="0.3">
      <c r="A8907" s="10"/>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spans="1:26" ht="17.399999999999999" x14ac:dyDescent="0.3">
      <c r="A8908" s="10"/>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spans="1:26" ht="17.399999999999999" x14ac:dyDescent="0.3">
      <c r="A8909" s="10"/>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spans="1:26" ht="17.399999999999999" x14ac:dyDescent="0.3">
      <c r="A8910" s="10"/>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spans="1:26" ht="17.399999999999999" x14ac:dyDescent="0.3">
      <c r="A8911" s="10"/>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spans="1:26" ht="17.399999999999999" x14ac:dyDescent="0.3">
      <c r="A8912" s="10"/>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spans="1:26" ht="17.399999999999999" x14ac:dyDescent="0.3">
      <c r="A8913" s="10"/>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spans="1:26" ht="17.399999999999999" x14ac:dyDescent="0.3">
      <c r="A8914" s="10"/>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spans="1:26" ht="17.399999999999999" x14ac:dyDescent="0.3">
      <c r="A8915" s="10"/>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spans="1:26" ht="17.399999999999999" x14ac:dyDescent="0.3">
      <c r="A8916" s="10"/>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spans="1:26" ht="17.399999999999999" x14ac:dyDescent="0.3">
      <c r="A8917" s="10"/>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spans="1:26" ht="17.399999999999999" x14ac:dyDescent="0.3">
      <c r="A8918" s="10"/>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spans="1:26" ht="17.399999999999999" x14ac:dyDescent="0.3">
      <c r="A8919" s="10"/>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spans="1:26" ht="17.399999999999999" x14ac:dyDescent="0.3">
      <c r="A8920" s="10"/>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spans="1:26" ht="17.399999999999999" x14ac:dyDescent="0.3">
      <c r="A8921" s="10"/>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spans="1:26" ht="17.399999999999999" x14ac:dyDescent="0.3">
      <c r="A8922" s="10"/>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spans="1:26" ht="17.399999999999999" x14ac:dyDescent="0.3">
      <c r="A8923" s="10"/>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spans="1:26" ht="17.399999999999999" x14ac:dyDescent="0.3">
      <c r="A8924" s="10"/>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spans="1:26" ht="17.399999999999999" x14ac:dyDescent="0.3">
      <c r="A8925" s="10"/>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spans="1:26" ht="17.399999999999999" x14ac:dyDescent="0.3">
      <c r="A8926" s="10"/>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spans="1:26" ht="17.399999999999999" x14ac:dyDescent="0.3">
      <c r="A8927" s="10"/>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spans="1:26" ht="17.399999999999999" x14ac:dyDescent="0.3">
      <c r="A8928" s="10"/>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spans="1:26" ht="17.399999999999999" x14ac:dyDescent="0.3">
      <c r="A8929" s="10"/>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spans="1:26" ht="17.399999999999999" x14ac:dyDescent="0.3">
      <c r="A8930" s="10"/>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spans="1:26" ht="17.399999999999999" x14ac:dyDescent="0.3">
      <c r="A8931" s="10"/>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spans="1:26" ht="17.399999999999999" x14ac:dyDescent="0.3">
      <c r="A8932" s="10"/>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spans="1:26" ht="17.399999999999999" x14ac:dyDescent="0.3">
      <c r="A8933" s="10"/>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spans="1:26" ht="17.399999999999999" x14ac:dyDescent="0.3">
      <c r="A8934" s="10"/>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spans="1:26" ht="17.399999999999999" x14ac:dyDescent="0.3">
      <c r="A8935" s="10"/>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spans="1:26" ht="17.399999999999999" x14ac:dyDescent="0.3">
      <c r="A8936" s="10"/>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spans="1:26" ht="17.399999999999999" x14ac:dyDescent="0.3">
      <c r="A8937" s="10"/>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spans="1:26" ht="17.399999999999999" x14ac:dyDescent="0.3">
      <c r="A8938" s="10"/>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spans="1:26" ht="17.399999999999999" x14ac:dyDescent="0.3">
      <c r="A8939" s="10"/>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spans="1:26" ht="17.399999999999999" x14ac:dyDescent="0.3">
      <c r="A8940" s="10"/>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spans="1:26" ht="17.399999999999999" x14ac:dyDescent="0.3">
      <c r="A8941" s="10"/>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spans="1:26" ht="17.399999999999999" x14ac:dyDescent="0.3">
      <c r="A8942" s="10"/>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spans="1:26" ht="17.399999999999999" x14ac:dyDescent="0.3">
      <c r="A8943" s="10"/>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spans="1:26" ht="17.399999999999999" x14ac:dyDescent="0.3">
      <c r="A8944" s="10"/>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spans="1:26" ht="17.399999999999999" x14ac:dyDescent="0.3">
      <c r="A8945" s="10"/>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spans="1:26" ht="17.399999999999999" x14ac:dyDescent="0.3">
      <c r="A8946" s="10"/>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spans="1:26" ht="17.399999999999999" x14ac:dyDescent="0.3">
      <c r="A8947" s="10"/>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spans="1:26" ht="17.399999999999999" x14ac:dyDescent="0.3">
      <c r="A8948" s="10"/>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spans="1:26" ht="17.399999999999999" x14ac:dyDescent="0.3">
      <c r="A8949" s="10"/>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spans="1:26" ht="17.399999999999999" x14ac:dyDescent="0.3">
      <c r="A8950" s="10"/>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spans="1:26" ht="17.399999999999999" x14ac:dyDescent="0.3">
      <c r="A8951" s="10"/>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spans="1:26" ht="17.399999999999999" x14ac:dyDescent="0.3">
      <c r="A8952" s="10"/>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spans="1:26" ht="17.399999999999999" x14ac:dyDescent="0.3">
      <c r="A8953" s="10"/>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spans="1:26" ht="17.399999999999999" x14ac:dyDescent="0.3">
      <c r="A8954" s="10"/>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spans="1:26" ht="17.399999999999999" x14ac:dyDescent="0.3">
      <c r="A8955" s="10"/>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spans="1:26" ht="17.399999999999999" x14ac:dyDescent="0.3">
      <c r="A8956" s="10"/>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spans="1:26" ht="17.399999999999999" x14ac:dyDescent="0.3">
      <c r="A8957" s="10"/>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spans="1:26" ht="17.399999999999999" x14ac:dyDescent="0.3">
      <c r="A8958" s="10"/>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spans="1:26" ht="17.399999999999999" x14ac:dyDescent="0.3">
      <c r="A8959" s="10"/>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spans="1:26" ht="17.399999999999999" x14ac:dyDescent="0.3">
      <c r="A8960" s="10"/>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spans="1:26" ht="17.399999999999999" x14ac:dyDescent="0.3">
      <c r="A8961" s="10"/>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spans="1:26" ht="17.399999999999999" x14ac:dyDescent="0.3">
      <c r="A8962" s="10"/>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spans="1:26" ht="17.399999999999999" x14ac:dyDescent="0.3">
      <c r="A8963" s="10"/>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spans="1:26" ht="17.399999999999999" x14ac:dyDescent="0.3">
      <c r="A8964" s="10"/>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spans="1:26" ht="17.399999999999999" x14ac:dyDescent="0.3">
      <c r="A8965" s="10"/>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spans="1:26" ht="17.399999999999999" x14ac:dyDescent="0.3">
      <c r="A8966" s="10"/>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spans="1:26" ht="17.399999999999999" x14ac:dyDescent="0.3">
      <c r="A8967" s="10"/>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spans="1:26" ht="17.399999999999999" x14ac:dyDescent="0.3">
      <c r="A8968" s="10"/>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spans="1:26" ht="17.399999999999999" x14ac:dyDescent="0.3">
      <c r="A8969" s="10"/>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spans="1:26" ht="17.399999999999999" x14ac:dyDescent="0.3">
      <c r="A8970" s="10"/>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spans="1:26" ht="17.399999999999999" x14ac:dyDescent="0.3">
      <c r="A8971" s="10"/>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spans="1:26" ht="17.399999999999999" x14ac:dyDescent="0.3">
      <c r="A8972" s="10"/>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spans="1:26" ht="17.399999999999999" x14ac:dyDescent="0.3">
      <c r="A8973" s="10"/>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spans="1:26" ht="17.399999999999999" x14ac:dyDescent="0.3">
      <c r="A8974" s="10"/>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spans="1:26" ht="17.399999999999999" x14ac:dyDescent="0.3">
      <c r="A8975" s="10"/>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spans="1:26" ht="17.399999999999999" x14ac:dyDescent="0.3">
      <c r="A8976" s="10"/>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spans="1:26" ht="17.399999999999999" x14ac:dyDescent="0.3">
      <c r="A8977" s="10"/>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spans="1:26" ht="17.399999999999999" x14ac:dyDescent="0.3">
      <c r="A8978" s="10"/>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spans="1:26" ht="17.399999999999999" x14ac:dyDescent="0.3">
      <c r="A8979" s="10"/>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spans="1:26" ht="17.399999999999999" x14ac:dyDescent="0.3">
      <c r="A8980" s="10"/>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spans="1:26" ht="17.399999999999999" x14ac:dyDescent="0.3">
      <c r="A8981" s="10"/>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spans="1:26" ht="17.399999999999999" x14ac:dyDescent="0.3">
      <c r="A8982" s="10"/>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spans="1:26" ht="17.399999999999999" x14ac:dyDescent="0.3">
      <c r="A8983" s="10"/>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spans="1:26" ht="17.399999999999999" x14ac:dyDescent="0.3">
      <c r="A8984" s="10"/>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spans="1:26" ht="17.399999999999999" x14ac:dyDescent="0.3">
      <c r="A8985" s="10"/>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spans="1:26" ht="17.399999999999999" x14ac:dyDescent="0.3">
      <c r="A8986" s="10"/>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spans="1:26" ht="17.399999999999999" x14ac:dyDescent="0.3">
      <c r="A8987" s="10"/>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spans="1:26" ht="17.399999999999999" x14ac:dyDescent="0.3">
      <c r="A8988" s="10"/>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spans="1:26" ht="17.399999999999999" x14ac:dyDescent="0.3">
      <c r="A8989" s="10"/>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spans="1:26" ht="17.399999999999999" x14ac:dyDescent="0.3">
      <c r="A8990" s="10"/>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spans="1:26" ht="17.399999999999999" x14ac:dyDescent="0.3">
      <c r="A8991" s="10"/>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spans="1:26" ht="17.399999999999999" x14ac:dyDescent="0.3">
      <c r="A8992" s="10"/>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spans="1:26" ht="17.399999999999999" x14ac:dyDescent="0.3">
      <c r="A8993" s="10"/>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spans="1:26" ht="17.399999999999999" x14ac:dyDescent="0.3">
      <c r="A8994" s="10"/>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spans="1:26" ht="17.399999999999999" x14ac:dyDescent="0.3">
      <c r="A8995" s="10"/>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spans="1:26" ht="17.399999999999999" x14ac:dyDescent="0.3">
      <c r="A8996" s="10"/>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spans="1:26" ht="17.399999999999999" x14ac:dyDescent="0.3">
      <c r="A8997" s="10"/>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spans="1:26" ht="17.399999999999999" x14ac:dyDescent="0.3">
      <c r="A8998" s="10"/>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spans="1:26" ht="17.399999999999999" x14ac:dyDescent="0.3">
      <c r="A8999" s="10"/>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spans="1:26" ht="17.399999999999999" x14ac:dyDescent="0.3">
      <c r="A9000" s="10"/>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spans="1:26" ht="17.399999999999999" x14ac:dyDescent="0.3">
      <c r="A9001" s="10"/>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spans="1:26" ht="17.399999999999999" x14ac:dyDescent="0.3">
      <c r="A9002" s="10"/>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spans="1:26" ht="17.399999999999999" x14ac:dyDescent="0.3">
      <c r="A9003" s="10"/>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spans="1:26" ht="17.399999999999999" x14ac:dyDescent="0.3">
      <c r="A9004" s="10"/>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spans="1:26" ht="17.399999999999999" x14ac:dyDescent="0.3">
      <c r="A9005" s="10"/>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spans="1:26" ht="17.399999999999999" x14ac:dyDescent="0.3">
      <c r="A9006" s="10"/>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spans="1:26" ht="17.399999999999999" x14ac:dyDescent="0.3">
      <c r="A9007" s="10"/>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spans="1:26" ht="17.399999999999999" x14ac:dyDescent="0.3">
      <c r="A9008" s="10"/>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spans="1:26" ht="17.399999999999999" x14ac:dyDescent="0.3">
      <c r="A9009" s="10"/>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spans="1:26" ht="17.399999999999999" x14ac:dyDescent="0.3">
      <c r="A9010" s="10"/>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spans="1:26" ht="17.399999999999999" x14ac:dyDescent="0.3">
      <c r="A9011" s="10"/>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spans="1:26" ht="17.399999999999999" x14ac:dyDescent="0.3">
      <c r="A9012" s="10"/>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spans="1:26" ht="17.399999999999999" x14ac:dyDescent="0.3">
      <c r="A9013" s="10"/>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spans="1:26" ht="17.399999999999999" x14ac:dyDescent="0.3">
      <c r="A9014" s="10"/>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spans="1:26" ht="17.399999999999999" x14ac:dyDescent="0.3">
      <c r="A9015" s="10"/>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spans="1:26" ht="17.399999999999999" x14ac:dyDescent="0.3">
      <c r="A9016" s="10"/>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spans="1:26" ht="17.399999999999999" x14ac:dyDescent="0.3">
      <c r="A9017" s="10"/>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spans="1:26" ht="17.399999999999999" x14ac:dyDescent="0.3">
      <c r="A9018" s="10"/>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spans="1:26" ht="17.399999999999999" x14ac:dyDescent="0.3">
      <c r="A9019" s="10"/>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spans="1:26" ht="17.399999999999999" x14ac:dyDescent="0.3">
      <c r="A9020" s="10"/>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spans="1:26" ht="17.399999999999999" x14ac:dyDescent="0.3">
      <c r="A9021" s="10"/>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spans="1:26" ht="17.399999999999999" x14ac:dyDescent="0.3">
      <c r="A9022" s="10"/>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spans="1:26" ht="17.399999999999999" x14ac:dyDescent="0.3">
      <c r="A9023" s="10"/>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spans="1:26" ht="17.399999999999999" x14ac:dyDescent="0.3">
      <c r="A9024" s="10"/>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spans="1:26" ht="17.399999999999999" x14ac:dyDescent="0.3">
      <c r="A9025" s="10"/>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spans="1:26" ht="17.399999999999999" x14ac:dyDescent="0.3">
      <c r="A9026" s="10"/>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spans="1:26" ht="17.399999999999999" x14ac:dyDescent="0.3">
      <c r="A9027" s="10"/>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spans="1:26" ht="17.399999999999999" x14ac:dyDescent="0.3">
      <c r="A9028" s="10"/>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spans="1:26" ht="17.399999999999999" x14ac:dyDescent="0.3">
      <c r="A9029" s="10"/>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spans="1:26" ht="17.399999999999999" x14ac:dyDescent="0.3">
      <c r="A9030" s="10"/>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spans="1:26" ht="17.399999999999999" x14ac:dyDescent="0.3">
      <c r="A9031" s="10"/>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spans="1:26" ht="17.399999999999999" x14ac:dyDescent="0.3">
      <c r="A9032" s="10"/>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spans="1:26" ht="17.399999999999999" x14ac:dyDescent="0.3">
      <c r="A9033" s="10"/>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spans="1:26" ht="17.399999999999999" x14ac:dyDescent="0.3">
      <c r="A9034" s="10"/>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spans="1:26" ht="17.399999999999999" x14ac:dyDescent="0.3">
      <c r="A9035" s="10"/>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spans="1:26" ht="17.399999999999999" x14ac:dyDescent="0.3">
      <c r="A9036" s="10"/>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spans="1:26" ht="17.399999999999999" x14ac:dyDescent="0.3">
      <c r="A9037" s="10"/>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spans="1:26" ht="17.399999999999999" x14ac:dyDescent="0.3">
      <c r="A9038" s="10"/>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spans="1:26" ht="17.399999999999999" x14ac:dyDescent="0.3">
      <c r="A9039" s="10"/>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spans="1:26" ht="17.399999999999999" x14ac:dyDescent="0.3">
      <c r="A9040" s="10"/>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spans="1:26" ht="17.399999999999999" x14ac:dyDescent="0.3">
      <c r="A9041" s="10"/>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spans="1:26" ht="17.399999999999999" x14ac:dyDescent="0.3">
      <c r="A9042" s="10"/>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spans="1:26" ht="17.399999999999999" x14ac:dyDescent="0.3">
      <c r="A9043" s="10"/>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spans="1:26" ht="17.399999999999999" x14ac:dyDescent="0.3">
      <c r="A9044" s="10"/>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spans="1:26" ht="17.399999999999999" x14ac:dyDescent="0.3">
      <c r="A9045" s="10"/>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spans="1:26" ht="17.399999999999999" x14ac:dyDescent="0.3">
      <c r="A9046" s="10"/>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spans="1:26" ht="17.399999999999999" x14ac:dyDescent="0.3">
      <c r="A9047" s="10"/>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spans="1:26" ht="17.399999999999999" x14ac:dyDescent="0.3">
      <c r="A9048" s="10"/>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spans="1:26" ht="17.399999999999999" x14ac:dyDescent="0.3">
      <c r="A9049" s="10"/>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spans="1:26" ht="17.399999999999999" x14ac:dyDescent="0.3">
      <c r="A9050" s="10"/>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spans="1:26" ht="17.399999999999999" x14ac:dyDescent="0.3">
      <c r="A9051" s="10"/>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spans="1:26" ht="17.399999999999999" x14ac:dyDescent="0.3">
      <c r="A9052" s="10"/>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spans="1:26" ht="17.399999999999999" x14ac:dyDescent="0.3">
      <c r="A9053" s="10"/>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spans="1:26" ht="17.399999999999999" x14ac:dyDescent="0.3">
      <c r="A9054" s="10"/>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spans="1:26" ht="17.399999999999999" x14ac:dyDescent="0.3">
      <c r="A9055" s="10"/>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spans="1:26" ht="17.399999999999999" x14ac:dyDescent="0.3">
      <c r="A9056" s="10"/>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spans="1:26" ht="17.399999999999999" x14ac:dyDescent="0.3">
      <c r="A9057" s="10"/>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spans="1:26" ht="17.399999999999999" x14ac:dyDescent="0.3">
      <c r="A9058" s="10"/>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spans="1:26" ht="17.399999999999999" x14ac:dyDescent="0.3">
      <c r="A9059" s="10"/>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spans="1:26" ht="17.399999999999999" x14ac:dyDescent="0.3">
      <c r="A9060" s="10"/>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spans="1:26" ht="17.399999999999999" x14ac:dyDescent="0.3">
      <c r="A9061" s="10"/>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spans="1:26" ht="17.399999999999999" x14ac:dyDescent="0.3">
      <c r="A9062" s="10"/>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spans="1:26" ht="17.399999999999999" x14ac:dyDescent="0.3">
      <c r="A9063" s="10"/>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spans="1:26" ht="17.399999999999999" x14ac:dyDescent="0.3">
      <c r="A9064" s="10"/>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spans="1:26" ht="17.399999999999999" x14ac:dyDescent="0.3">
      <c r="A9065" s="10"/>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spans="1:26" ht="17.399999999999999" x14ac:dyDescent="0.3">
      <c r="A9066" s="10"/>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spans="1:26" ht="17.399999999999999" x14ac:dyDescent="0.3">
      <c r="A9067" s="10"/>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spans="1:26" ht="17.399999999999999" x14ac:dyDescent="0.3">
      <c r="A9068" s="10"/>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spans="1:26" ht="17.399999999999999" x14ac:dyDescent="0.3">
      <c r="A9069" s="10"/>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spans="1:26" ht="17.399999999999999" x14ac:dyDescent="0.3">
      <c r="A9070" s="10"/>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spans="1:26" ht="17.399999999999999" x14ac:dyDescent="0.3">
      <c r="A9071" s="10"/>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spans="1:26" ht="17.399999999999999" x14ac:dyDescent="0.3">
      <c r="A9072" s="10"/>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spans="1:26" ht="17.399999999999999" x14ac:dyDescent="0.3">
      <c r="A9073" s="10"/>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spans="1:26" ht="17.399999999999999" x14ac:dyDescent="0.3">
      <c r="A9074" s="10"/>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spans="1:26" ht="17.399999999999999" x14ac:dyDescent="0.3">
      <c r="A9075" s="10"/>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spans="1:26" ht="17.399999999999999" x14ac:dyDescent="0.3">
      <c r="A9076" s="10"/>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spans="1:26" ht="17.399999999999999" x14ac:dyDescent="0.3">
      <c r="A9077" s="10"/>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spans="1:26" ht="17.399999999999999" x14ac:dyDescent="0.3">
      <c r="A9078" s="10"/>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spans="1:26" ht="17.399999999999999" x14ac:dyDescent="0.3">
      <c r="A9079" s="10"/>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spans="1:26" ht="17.399999999999999" x14ac:dyDescent="0.3">
      <c r="A9080" s="10"/>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spans="1:26" ht="17.399999999999999" x14ac:dyDescent="0.3">
      <c r="A9081" s="10"/>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spans="1:26" ht="17.399999999999999" x14ac:dyDescent="0.3">
      <c r="A9082" s="10"/>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spans="1:26" ht="17.399999999999999" x14ac:dyDescent="0.3">
      <c r="A9083" s="10"/>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spans="1:26" ht="17.399999999999999" x14ac:dyDescent="0.3">
      <c r="A9084" s="10"/>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spans="1:26" ht="17.399999999999999" x14ac:dyDescent="0.3">
      <c r="A9085" s="10"/>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spans="1:26" ht="17.399999999999999" x14ac:dyDescent="0.3">
      <c r="A9086" s="10"/>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spans="1:26" ht="17.399999999999999" x14ac:dyDescent="0.3">
      <c r="A9087" s="10"/>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spans="1:26" ht="17.399999999999999" x14ac:dyDescent="0.3">
      <c r="A9088" s="10"/>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spans="1:26" ht="17.399999999999999" x14ac:dyDescent="0.3">
      <c r="A9089" s="10"/>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spans="1:26" ht="17.399999999999999" x14ac:dyDescent="0.3">
      <c r="A9090" s="10"/>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spans="1:26" ht="17.399999999999999" x14ac:dyDescent="0.3">
      <c r="A9091" s="10"/>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spans="1:26" ht="17.399999999999999" x14ac:dyDescent="0.3">
      <c r="A9092" s="10"/>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spans="1:26" ht="17.399999999999999" x14ac:dyDescent="0.3">
      <c r="A9093" s="10"/>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spans="1:26" ht="17.399999999999999" x14ac:dyDescent="0.3">
      <c r="A9094" s="10"/>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spans="1:26" ht="17.399999999999999" x14ac:dyDescent="0.3">
      <c r="A9095" s="10"/>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spans="1:26" ht="17.399999999999999" x14ac:dyDescent="0.3">
      <c r="A9096" s="10"/>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spans="1:26" ht="17.399999999999999" x14ac:dyDescent="0.3">
      <c r="A9097" s="10"/>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spans="1:26" ht="17.399999999999999" x14ac:dyDescent="0.3">
      <c r="A9098" s="10"/>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spans="1:26" ht="17.399999999999999" x14ac:dyDescent="0.3">
      <c r="A9099" s="10"/>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spans="1:26" ht="17.399999999999999" x14ac:dyDescent="0.3">
      <c r="A9100" s="10"/>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spans="1:26" ht="17.399999999999999" x14ac:dyDescent="0.3">
      <c r="A9101" s="10"/>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spans="1:26" ht="17.399999999999999" x14ac:dyDescent="0.3">
      <c r="A9102" s="10"/>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spans="1:26" ht="17.399999999999999" x14ac:dyDescent="0.3">
      <c r="A9103" s="10"/>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spans="1:26" ht="17.399999999999999" x14ac:dyDescent="0.3">
      <c r="A9104" s="10"/>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spans="1:26" ht="17.399999999999999" x14ac:dyDescent="0.3">
      <c r="A9105" s="10"/>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spans="1:26" ht="17.399999999999999" x14ac:dyDescent="0.3">
      <c r="A9106" s="10"/>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spans="1:26" ht="17.399999999999999" x14ac:dyDescent="0.3">
      <c r="A9107" s="10"/>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spans="1:26" ht="17.399999999999999" x14ac:dyDescent="0.3">
      <c r="A9108" s="10"/>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spans="1:26" ht="17.399999999999999" x14ac:dyDescent="0.3">
      <c r="A9109" s="10"/>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spans="1:26" ht="17.399999999999999" x14ac:dyDescent="0.3">
      <c r="A9110" s="10"/>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spans="1:26" ht="17.399999999999999" x14ac:dyDescent="0.3">
      <c r="A9111" s="10"/>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spans="1:26" ht="17.399999999999999" x14ac:dyDescent="0.3">
      <c r="A9112" s="10"/>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spans="1:26" ht="17.399999999999999" x14ac:dyDescent="0.3">
      <c r="A9113" s="10"/>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spans="1:26" ht="17.399999999999999" x14ac:dyDescent="0.3">
      <c r="A9114" s="10"/>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spans="1:26" ht="17.399999999999999" x14ac:dyDescent="0.3">
      <c r="A9115" s="10"/>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spans="1:26" ht="17.399999999999999" x14ac:dyDescent="0.3">
      <c r="A9116" s="10"/>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spans="1:26" ht="17.399999999999999" x14ac:dyDescent="0.3">
      <c r="A9117" s="10"/>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spans="1:26" ht="17.399999999999999" x14ac:dyDescent="0.3">
      <c r="A9118" s="10"/>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spans="1:26" ht="17.399999999999999" x14ac:dyDescent="0.3">
      <c r="A9119" s="10"/>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spans="1:26" ht="17.399999999999999" x14ac:dyDescent="0.3">
      <c r="A9120" s="10"/>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spans="1:26" ht="17.399999999999999" x14ac:dyDescent="0.3">
      <c r="A9121" s="10"/>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spans="1:26" ht="17.399999999999999" x14ac:dyDescent="0.3">
      <c r="A9122" s="10"/>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spans="1:26" ht="17.399999999999999" x14ac:dyDescent="0.3">
      <c r="A9123" s="10"/>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spans="1:26" ht="17.399999999999999" x14ac:dyDescent="0.3">
      <c r="A9124" s="10"/>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spans="1:26" ht="17.399999999999999" x14ac:dyDescent="0.3">
      <c r="A9125" s="10"/>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spans="1:26" ht="17.399999999999999" x14ac:dyDescent="0.3">
      <c r="A9126" s="10"/>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spans="1:26" ht="17.399999999999999" x14ac:dyDescent="0.3">
      <c r="A9127" s="10"/>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spans="1:26" ht="17.399999999999999" x14ac:dyDescent="0.3">
      <c r="A9128" s="10"/>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spans="1:26" ht="17.399999999999999" x14ac:dyDescent="0.3">
      <c r="A9129" s="10"/>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spans="1:26" ht="17.399999999999999" x14ac:dyDescent="0.3">
      <c r="A9130" s="10"/>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spans="1:26" ht="17.399999999999999" x14ac:dyDescent="0.3">
      <c r="A9131" s="10"/>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spans="1:26" ht="17.399999999999999" x14ac:dyDescent="0.3">
      <c r="A9132" s="10"/>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spans="1:26" ht="17.399999999999999" x14ac:dyDescent="0.3">
      <c r="A9133" s="10"/>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spans="1:26" ht="17.399999999999999" x14ac:dyDescent="0.3">
      <c r="A9134" s="10"/>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spans="1:26" ht="17.399999999999999" x14ac:dyDescent="0.3">
      <c r="A9135" s="10"/>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spans="1:26" ht="17.399999999999999" x14ac:dyDescent="0.3">
      <c r="A9136" s="10"/>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spans="1:26" ht="17.399999999999999" x14ac:dyDescent="0.3">
      <c r="A9137" s="10"/>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spans="1:26" ht="17.399999999999999" x14ac:dyDescent="0.3">
      <c r="A9138" s="10"/>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spans="1:26" ht="17.399999999999999" x14ac:dyDescent="0.3">
      <c r="A9139" s="10"/>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spans="1:26" ht="17.399999999999999" x14ac:dyDescent="0.3">
      <c r="A9140" s="10"/>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spans="1:26" ht="17.399999999999999" x14ac:dyDescent="0.3">
      <c r="A9141" s="10"/>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spans="1:26" ht="17.399999999999999" x14ac:dyDescent="0.3">
      <c r="A9142" s="10"/>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spans="1:26" ht="17.399999999999999" x14ac:dyDescent="0.3">
      <c r="A9143" s="10"/>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spans="1:26" ht="17.399999999999999" x14ac:dyDescent="0.3">
      <c r="A9144" s="10"/>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spans="1:26" ht="17.399999999999999" x14ac:dyDescent="0.3">
      <c r="A9145" s="10"/>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spans="1:26" ht="17.399999999999999" x14ac:dyDescent="0.3">
      <c r="A9146" s="10"/>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spans="1:26" ht="17.399999999999999" x14ac:dyDescent="0.3">
      <c r="A9147" s="10"/>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spans="1:26" ht="17.399999999999999" x14ac:dyDescent="0.3">
      <c r="A9148" s="10"/>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spans="1:26" ht="17.399999999999999" x14ac:dyDescent="0.3">
      <c r="A9149" s="10"/>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spans="1:26" ht="17.399999999999999" x14ac:dyDescent="0.3">
      <c r="A9150" s="10"/>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spans="1:26" ht="17.399999999999999" x14ac:dyDescent="0.3">
      <c r="A9151" s="10"/>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spans="1:26" ht="17.399999999999999" x14ac:dyDescent="0.3">
      <c r="A9152" s="10"/>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spans="1:26" ht="17.399999999999999" x14ac:dyDescent="0.3">
      <c r="A9153" s="10"/>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spans="1:26" ht="17.399999999999999" x14ac:dyDescent="0.3">
      <c r="A9154" s="10"/>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spans="1:26" ht="17.399999999999999" x14ac:dyDescent="0.3">
      <c r="A9155" s="10"/>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spans="1:26" ht="17.399999999999999" x14ac:dyDescent="0.3">
      <c r="A9156" s="10"/>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spans="1:26" ht="17.399999999999999" x14ac:dyDescent="0.3">
      <c r="A9157" s="10"/>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spans="1:26" ht="17.399999999999999" x14ac:dyDescent="0.3">
      <c r="A9158" s="10"/>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spans="1:26" ht="17.399999999999999" x14ac:dyDescent="0.3">
      <c r="A9159" s="10"/>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spans="1:26" ht="17.399999999999999" x14ac:dyDescent="0.3">
      <c r="A9160" s="10"/>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spans="1:26" ht="17.399999999999999" x14ac:dyDescent="0.3">
      <c r="A9161" s="10"/>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spans="1:26" ht="17.399999999999999" x14ac:dyDescent="0.3">
      <c r="A9162" s="10"/>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spans="1:26" ht="17.399999999999999" x14ac:dyDescent="0.3">
      <c r="A9163" s="10"/>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spans="1:26" ht="17.399999999999999" x14ac:dyDescent="0.3">
      <c r="A9164" s="10"/>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spans="1:26" ht="17.399999999999999" x14ac:dyDescent="0.3">
      <c r="A9165" s="10"/>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spans="1:26" ht="17.399999999999999" x14ac:dyDescent="0.3">
      <c r="A9166" s="10"/>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spans="1:26" ht="17.399999999999999" x14ac:dyDescent="0.3">
      <c r="A9167" s="10"/>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spans="1:26" ht="17.399999999999999" x14ac:dyDescent="0.3">
      <c r="A9168" s="10"/>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spans="1:26" ht="17.399999999999999" x14ac:dyDescent="0.3">
      <c r="A9169" s="10"/>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spans="1:26" ht="17.399999999999999" x14ac:dyDescent="0.3">
      <c r="A9170" s="10"/>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spans="1:26" ht="17.399999999999999" x14ac:dyDescent="0.3">
      <c r="A9171" s="10"/>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spans="1:26" ht="17.399999999999999" x14ac:dyDescent="0.3">
      <c r="A9172" s="10"/>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spans="1:26" ht="17.399999999999999" x14ac:dyDescent="0.3">
      <c r="A9173" s="10"/>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spans="1:26" ht="17.399999999999999" x14ac:dyDescent="0.3">
      <c r="A9174" s="10"/>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spans="1:26" ht="17.399999999999999" x14ac:dyDescent="0.3">
      <c r="A9175" s="10"/>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spans="1:26" ht="17.399999999999999" x14ac:dyDescent="0.3">
      <c r="A9176" s="10"/>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spans="1:26" ht="17.399999999999999" x14ac:dyDescent="0.3">
      <c r="A9177" s="10"/>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spans="1:26" ht="17.399999999999999" x14ac:dyDescent="0.3">
      <c r="A9178" s="10"/>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spans="1:26" ht="17.399999999999999" x14ac:dyDescent="0.3">
      <c r="A9179" s="10"/>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spans="1:26" ht="17.399999999999999" x14ac:dyDescent="0.3">
      <c r="A9180" s="10"/>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spans="1:26" ht="17.399999999999999" x14ac:dyDescent="0.3">
      <c r="A9181" s="10"/>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spans="1:26" ht="17.399999999999999" x14ac:dyDescent="0.3">
      <c r="A9182" s="10"/>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spans="1:26" ht="17.399999999999999" x14ac:dyDescent="0.3">
      <c r="A9183" s="10"/>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spans="1:26" ht="17.399999999999999" x14ac:dyDescent="0.3">
      <c r="A9184" s="10"/>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spans="1:26" ht="17.399999999999999" x14ac:dyDescent="0.3">
      <c r="A9185" s="10"/>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spans="1:26" ht="17.399999999999999" x14ac:dyDescent="0.3">
      <c r="A9186" s="10"/>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spans="1:26" ht="17.399999999999999" x14ac:dyDescent="0.3">
      <c r="A9187" s="10"/>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spans="1:26" ht="17.399999999999999" x14ac:dyDescent="0.3">
      <c r="A9188" s="10"/>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spans="1:26" ht="17.399999999999999" x14ac:dyDescent="0.3">
      <c r="A9189" s="10"/>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spans="1:26" ht="17.399999999999999" x14ac:dyDescent="0.3">
      <c r="A9190" s="10"/>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spans="1:26" ht="17.399999999999999" x14ac:dyDescent="0.3">
      <c r="A9191" s="10"/>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spans="1:26" ht="17.399999999999999" x14ac:dyDescent="0.3">
      <c r="A9192" s="10"/>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spans="1:26" ht="17.399999999999999" x14ac:dyDescent="0.3">
      <c r="A9193" s="10"/>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spans="1:26" ht="17.399999999999999" x14ac:dyDescent="0.3">
      <c r="A9194" s="10"/>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spans="1:26" ht="17.399999999999999" x14ac:dyDescent="0.3">
      <c r="A9195" s="10"/>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spans="1:26" ht="17.399999999999999" x14ac:dyDescent="0.3">
      <c r="A9196" s="10"/>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spans="1:26" ht="17.399999999999999" x14ac:dyDescent="0.3">
      <c r="A9197" s="10"/>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spans="1:26" ht="17.399999999999999" x14ac:dyDescent="0.3">
      <c r="A9198" s="10"/>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spans="1:26" ht="17.399999999999999" x14ac:dyDescent="0.3">
      <c r="A9199" s="10"/>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spans="1:26" ht="17.399999999999999" x14ac:dyDescent="0.3">
      <c r="A9200" s="10"/>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spans="1:26" ht="17.399999999999999" x14ac:dyDescent="0.3">
      <c r="A9201" s="10"/>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spans="1:26" ht="17.399999999999999" x14ac:dyDescent="0.3">
      <c r="A9202" s="10"/>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spans="1:26" ht="17.399999999999999" x14ac:dyDescent="0.3">
      <c r="A9203" s="10"/>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spans="1:26" ht="17.399999999999999" x14ac:dyDescent="0.3">
      <c r="A9204" s="10"/>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spans="1:26" ht="17.399999999999999" x14ac:dyDescent="0.3">
      <c r="A9205" s="10"/>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spans="1:26" ht="17.399999999999999" x14ac:dyDescent="0.3">
      <c r="A9206" s="10"/>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spans="1:26" ht="17.399999999999999" x14ac:dyDescent="0.3">
      <c r="A9207" s="10"/>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spans="1:26" ht="17.399999999999999" x14ac:dyDescent="0.3">
      <c r="A9208" s="10"/>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spans="1:26" ht="17.399999999999999" x14ac:dyDescent="0.3">
      <c r="A9209" s="10"/>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spans="1:26" ht="17.399999999999999" x14ac:dyDescent="0.3">
      <c r="A9210" s="10"/>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spans="1:26" ht="17.399999999999999" x14ac:dyDescent="0.3">
      <c r="A9211" s="10"/>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spans="1:26" ht="17.399999999999999" x14ac:dyDescent="0.3">
      <c r="A9212" s="10"/>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spans="1:26" ht="17.399999999999999" x14ac:dyDescent="0.3">
      <c r="A9213" s="10"/>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spans="1:26" ht="17.399999999999999" x14ac:dyDescent="0.3">
      <c r="A9214" s="10"/>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spans="1:26" ht="17.399999999999999" x14ac:dyDescent="0.3">
      <c r="A9215" s="10"/>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spans="1:26" ht="17.399999999999999" x14ac:dyDescent="0.3">
      <c r="A9216" s="10"/>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spans="1:26" ht="17.399999999999999" x14ac:dyDescent="0.3">
      <c r="A9217" s="10"/>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spans="1:26" ht="17.399999999999999" x14ac:dyDescent="0.3">
      <c r="A9218" s="10"/>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spans="1:26" ht="17.399999999999999" x14ac:dyDescent="0.3">
      <c r="A9219" s="10"/>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spans="1:26" ht="17.399999999999999" x14ac:dyDescent="0.3">
      <c r="A9220" s="10"/>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spans="1:26" ht="17.399999999999999" x14ac:dyDescent="0.3">
      <c r="A9221" s="10"/>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spans="1:26" ht="17.399999999999999" x14ac:dyDescent="0.3">
      <c r="A9222" s="10"/>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spans="1:26" ht="17.399999999999999" x14ac:dyDescent="0.3">
      <c r="A9223" s="10"/>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spans="1:26" ht="17.399999999999999" x14ac:dyDescent="0.3">
      <c r="A9224" s="10"/>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spans="1:26" ht="17.399999999999999" x14ac:dyDescent="0.3">
      <c r="A9225" s="10"/>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spans="1:26" ht="17.399999999999999" x14ac:dyDescent="0.3">
      <c r="A9226" s="10"/>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spans="1:26" ht="17.399999999999999" x14ac:dyDescent="0.3">
      <c r="A9227" s="10"/>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spans="1:26" ht="17.399999999999999" x14ac:dyDescent="0.3">
      <c r="A9228" s="10"/>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spans="1:26" ht="17.399999999999999" x14ac:dyDescent="0.3">
      <c r="A9229" s="10"/>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spans="1:26" ht="17.399999999999999" x14ac:dyDescent="0.3">
      <c r="A9230" s="10"/>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spans="1:26" ht="17.399999999999999" x14ac:dyDescent="0.3">
      <c r="A9231" s="10"/>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spans="1:26" ht="17.399999999999999" x14ac:dyDescent="0.3">
      <c r="A9232" s="10"/>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spans="1:26" ht="17.399999999999999" x14ac:dyDescent="0.3">
      <c r="A9233" s="10"/>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spans="1:26" ht="17.399999999999999" x14ac:dyDescent="0.3">
      <c r="A9234" s="10"/>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spans="1:26" ht="17.399999999999999" x14ac:dyDescent="0.3">
      <c r="A9235" s="10"/>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spans="1:26" ht="17.399999999999999" x14ac:dyDescent="0.3">
      <c r="A9236" s="10"/>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spans="1:26" ht="17.399999999999999" x14ac:dyDescent="0.3">
      <c r="A9237" s="10"/>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spans="1:26" ht="17.399999999999999" x14ac:dyDescent="0.3">
      <c r="A9238" s="10"/>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spans="1:26" ht="17.399999999999999" x14ac:dyDescent="0.3">
      <c r="A9239" s="10"/>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spans="1:26" ht="17.399999999999999" x14ac:dyDescent="0.3">
      <c r="A9240" s="10"/>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spans="1:26" ht="17.399999999999999" x14ac:dyDescent="0.3">
      <c r="A9241" s="10"/>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spans="1:26" ht="17.399999999999999" x14ac:dyDescent="0.3">
      <c r="A9242" s="10"/>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spans="1:26" ht="17.399999999999999" x14ac:dyDescent="0.3">
      <c r="A9243" s="10"/>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spans="1:26" ht="17.399999999999999" x14ac:dyDescent="0.3">
      <c r="A9244" s="10"/>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spans="1:26" ht="17.399999999999999" x14ac:dyDescent="0.3">
      <c r="A9245" s="10"/>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spans="1:26" ht="17.399999999999999" x14ac:dyDescent="0.3">
      <c r="A9246" s="10"/>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spans="1:26" ht="17.399999999999999" x14ac:dyDescent="0.3">
      <c r="A9247" s="10"/>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spans="1:26" ht="17.399999999999999" x14ac:dyDescent="0.3">
      <c r="A9248" s="10"/>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spans="1:26" ht="17.399999999999999" x14ac:dyDescent="0.3">
      <c r="A9249" s="10"/>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spans="1:26" ht="17.399999999999999" x14ac:dyDescent="0.3">
      <c r="A9250" s="10"/>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spans="1:26" ht="17.399999999999999" x14ac:dyDescent="0.3">
      <c r="A9251" s="10"/>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spans="1:26" ht="17.399999999999999" x14ac:dyDescent="0.3">
      <c r="A9252" s="10"/>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spans="1:26" ht="17.399999999999999" x14ac:dyDescent="0.3">
      <c r="A9253" s="10"/>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spans="1:26" ht="17.399999999999999" x14ac:dyDescent="0.3">
      <c r="A9254" s="10"/>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spans="1:26" ht="17.399999999999999" x14ac:dyDescent="0.3">
      <c r="A9255" s="10"/>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spans="1:26" ht="17.399999999999999" x14ac:dyDescent="0.3">
      <c r="A9256" s="10"/>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spans="1:26" ht="17.399999999999999" x14ac:dyDescent="0.3">
      <c r="A9257" s="10"/>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spans="1:26" ht="17.399999999999999" x14ac:dyDescent="0.3">
      <c r="A9258" s="10"/>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spans="1:26" ht="17.399999999999999" x14ac:dyDescent="0.3">
      <c r="A9259" s="10"/>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spans="1:26" ht="17.399999999999999" x14ac:dyDescent="0.3">
      <c r="A9260" s="10"/>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spans="1:26" ht="17.399999999999999" x14ac:dyDescent="0.3">
      <c r="A9261" s="10"/>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spans="1:26" ht="17.399999999999999" x14ac:dyDescent="0.3">
      <c r="A9262" s="10"/>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spans="1:26" ht="17.399999999999999" x14ac:dyDescent="0.3">
      <c r="A9263" s="10"/>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spans="1:26" ht="17.399999999999999" x14ac:dyDescent="0.3">
      <c r="A9264" s="10"/>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spans="1:26" ht="17.399999999999999" x14ac:dyDescent="0.3">
      <c r="A9265" s="10"/>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spans="1:26" ht="17.399999999999999" x14ac:dyDescent="0.3">
      <c r="A9266" s="10"/>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spans="1:26" ht="17.399999999999999" x14ac:dyDescent="0.3">
      <c r="A9267" s="10"/>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spans="1:26" ht="17.399999999999999" x14ac:dyDescent="0.3">
      <c r="A9268" s="10"/>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spans="1:26" ht="17.399999999999999" x14ac:dyDescent="0.3">
      <c r="A9269" s="10"/>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spans="1:26" ht="17.399999999999999" x14ac:dyDescent="0.3">
      <c r="A9270" s="10"/>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spans="1:26" ht="17.399999999999999" x14ac:dyDescent="0.3">
      <c r="A9271" s="10"/>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spans="1:26" ht="17.399999999999999" x14ac:dyDescent="0.3">
      <c r="A9272" s="10"/>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spans="1:26" ht="17.399999999999999" x14ac:dyDescent="0.3">
      <c r="A9273" s="10"/>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spans="1:26" ht="17.399999999999999" x14ac:dyDescent="0.3">
      <c r="A9274" s="10"/>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spans="1:26" ht="17.399999999999999" x14ac:dyDescent="0.3">
      <c r="A9275" s="10"/>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spans="1:26" ht="17.399999999999999" x14ac:dyDescent="0.3">
      <c r="A9276" s="10"/>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spans="1:26" ht="17.399999999999999" x14ac:dyDescent="0.3">
      <c r="A9277" s="10"/>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spans="1:26" ht="17.399999999999999" x14ac:dyDescent="0.3">
      <c r="A9278" s="10"/>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spans="1:26" ht="17.399999999999999" x14ac:dyDescent="0.3">
      <c r="A9279" s="10"/>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spans="1:26" ht="17.399999999999999" x14ac:dyDescent="0.3">
      <c r="A9280" s="10"/>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spans="1:26" ht="17.399999999999999" x14ac:dyDescent="0.3">
      <c r="A9281" s="10"/>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spans="1:26" ht="17.399999999999999" x14ac:dyDescent="0.3">
      <c r="A9282" s="10"/>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spans="1:26" ht="17.399999999999999" x14ac:dyDescent="0.3">
      <c r="A9283" s="10"/>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spans="1:26" ht="17.399999999999999" x14ac:dyDescent="0.3">
      <c r="A9284" s="10"/>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spans="1:26" ht="17.399999999999999" x14ac:dyDescent="0.3">
      <c r="A9285" s="10"/>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spans="1:26" ht="17.399999999999999" x14ac:dyDescent="0.3">
      <c r="A9286" s="10"/>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spans="1:26" ht="17.399999999999999" x14ac:dyDescent="0.3">
      <c r="A9287" s="10"/>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spans="1:26" ht="17.399999999999999" x14ac:dyDescent="0.3">
      <c r="A9288" s="10"/>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spans="1:26" ht="17.399999999999999" x14ac:dyDescent="0.3">
      <c r="A9289" s="10"/>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spans="1:26" ht="17.399999999999999" x14ac:dyDescent="0.3">
      <c r="A9290" s="10"/>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spans="1:26" ht="17.399999999999999" x14ac:dyDescent="0.3">
      <c r="A9291" s="10"/>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spans="1:26" ht="17.399999999999999" x14ac:dyDescent="0.3">
      <c r="A9292" s="10"/>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spans="1:26" ht="17.399999999999999" x14ac:dyDescent="0.3">
      <c r="A9293" s="10"/>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spans="1:26" ht="17.399999999999999" x14ac:dyDescent="0.3">
      <c r="A9294" s="10"/>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spans="1:26" ht="17.399999999999999" x14ac:dyDescent="0.3">
      <c r="A9295" s="10"/>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spans="1:26" ht="17.399999999999999" x14ac:dyDescent="0.3">
      <c r="A9296" s="10"/>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spans="1:26" ht="17.399999999999999" x14ac:dyDescent="0.3">
      <c r="A9297" s="10"/>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spans="1:26" ht="17.399999999999999" x14ac:dyDescent="0.3">
      <c r="A9298" s="10"/>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spans="1:26" ht="17.399999999999999" x14ac:dyDescent="0.3">
      <c r="A9299" s="10"/>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spans="1:26" ht="17.399999999999999" x14ac:dyDescent="0.3">
      <c r="A9300" s="10"/>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spans="1:26" ht="17.399999999999999" x14ac:dyDescent="0.3">
      <c r="A9301" s="10"/>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spans="1:26" ht="17.399999999999999" x14ac:dyDescent="0.3">
      <c r="A9302" s="10"/>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spans="1:26" ht="17.399999999999999" x14ac:dyDescent="0.3">
      <c r="A9303" s="10"/>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spans="1:26" ht="17.399999999999999" x14ac:dyDescent="0.3">
      <c r="A9304" s="10"/>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spans="1:26" ht="17.399999999999999" x14ac:dyDescent="0.3">
      <c r="A9305" s="10"/>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spans="1:26" ht="17.399999999999999" x14ac:dyDescent="0.3">
      <c r="A9306" s="10"/>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spans="1:26" ht="17.399999999999999" x14ac:dyDescent="0.3">
      <c r="A9307" s="10"/>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spans="1:26" ht="17.399999999999999" x14ac:dyDescent="0.3">
      <c r="A9308" s="10"/>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spans="1:26" ht="17.399999999999999" x14ac:dyDescent="0.3">
      <c r="A9309" s="10"/>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spans="1:26" ht="17.399999999999999" x14ac:dyDescent="0.3">
      <c r="A9310" s="10"/>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spans="1:26" ht="17.399999999999999" x14ac:dyDescent="0.3">
      <c r="A9311" s="10"/>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spans="1:26" ht="17.399999999999999" x14ac:dyDescent="0.3">
      <c r="A9312" s="10"/>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spans="1:26" ht="17.399999999999999" x14ac:dyDescent="0.3">
      <c r="A9313" s="10"/>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spans="1:26" ht="17.399999999999999" x14ac:dyDescent="0.3">
      <c r="A9314" s="10"/>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spans="1:26" ht="17.399999999999999" x14ac:dyDescent="0.3">
      <c r="A9315" s="10"/>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spans="1:26" ht="17.399999999999999" x14ac:dyDescent="0.3">
      <c r="A9316" s="10"/>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spans="1:26" ht="17.399999999999999" x14ac:dyDescent="0.3">
      <c r="A9317" s="10"/>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spans="1:26" ht="17.399999999999999" x14ac:dyDescent="0.3">
      <c r="A9318" s="10"/>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spans="1:26" ht="17.399999999999999" x14ac:dyDescent="0.3">
      <c r="A9319" s="10"/>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spans="1:26" ht="17.399999999999999" x14ac:dyDescent="0.3">
      <c r="A9320" s="10"/>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spans="1:26" ht="17.399999999999999" x14ac:dyDescent="0.3">
      <c r="A9321" s="10"/>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spans="1:26" ht="17.399999999999999" x14ac:dyDescent="0.3">
      <c r="A9322" s="10"/>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spans="1:26" ht="17.399999999999999" x14ac:dyDescent="0.3">
      <c r="A9323" s="10"/>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spans="1:26" ht="17.399999999999999" x14ac:dyDescent="0.3">
      <c r="A9324" s="10"/>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spans="1:26" ht="17.399999999999999" x14ac:dyDescent="0.3">
      <c r="A9325" s="10"/>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spans="1:26" ht="17.399999999999999" x14ac:dyDescent="0.3">
      <c r="A9326" s="10"/>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spans="1:26" ht="17.399999999999999" x14ac:dyDescent="0.3">
      <c r="A9327" s="10"/>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spans="1:26" ht="17.399999999999999" x14ac:dyDescent="0.3">
      <c r="A9328" s="10"/>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spans="1:26" ht="17.399999999999999" x14ac:dyDescent="0.3">
      <c r="A9329" s="10"/>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spans="1:26" ht="17.399999999999999" x14ac:dyDescent="0.3">
      <c r="A9330" s="10"/>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spans="1:26" ht="17.399999999999999" x14ac:dyDescent="0.3">
      <c r="A9331" s="10"/>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spans="1:26" ht="17.399999999999999" x14ac:dyDescent="0.3">
      <c r="A9332" s="10"/>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spans="1:26" ht="17.399999999999999" x14ac:dyDescent="0.3">
      <c r="A9333" s="10"/>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spans="1:26" ht="17.399999999999999" x14ac:dyDescent="0.3">
      <c r="A9334" s="10"/>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spans="1:26" ht="17.399999999999999" x14ac:dyDescent="0.3">
      <c r="A9335" s="10"/>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spans="1:26" ht="17.399999999999999" x14ac:dyDescent="0.3">
      <c r="A9336" s="10"/>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spans="1:26" ht="17.399999999999999" x14ac:dyDescent="0.3">
      <c r="A9337" s="10"/>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spans="1:26" ht="17.399999999999999" x14ac:dyDescent="0.3">
      <c r="A9338" s="10"/>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spans="1:26" ht="17.399999999999999" x14ac:dyDescent="0.3">
      <c r="A9339" s="10"/>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spans="1:26" ht="17.399999999999999" x14ac:dyDescent="0.3">
      <c r="A9340" s="10"/>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spans="1:26" ht="17.399999999999999" x14ac:dyDescent="0.3">
      <c r="A9341" s="10"/>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spans="1:26" ht="17.399999999999999" x14ac:dyDescent="0.3">
      <c r="A9342" s="10"/>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spans="1:26" ht="17.399999999999999" x14ac:dyDescent="0.3">
      <c r="A9343" s="10"/>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spans="1:26" ht="17.399999999999999" x14ac:dyDescent="0.3">
      <c r="A9344" s="10"/>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spans="1:26" ht="17.399999999999999" x14ac:dyDescent="0.3">
      <c r="A9345" s="10"/>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spans="1:26" ht="17.399999999999999" x14ac:dyDescent="0.3">
      <c r="A9346" s="10"/>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spans="1:26" ht="17.399999999999999" x14ac:dyDescent="0.3">
      <c r="A9347" s="10"/>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spans="1:26" ht="17.399999999999999" x14ac:dyDescent="0.3">
      <c r="A9348" s="10"/>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spans="1:26" ht="17.399999999999999" x14ac:dyDescent="0.3">
      <c r="A9349" s="10"/>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spans="1:26" ht="17.399999999999999" x14ac:dyDescent="0.3">
      <c r="A9350" s="10"/>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spans="1:26" ht="17.399999999999999" x14ac:dyDescent="0.3">
      <c r="A9351" s="10"/>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spans="1:26" ht="17.399999999999999" x14ac:dyDescent="0.3">
      <c r="A9352" s="10"/>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spans="1:26" ht="17.399999999999999" x14ac:dyDescent="0.3">
      <c r="A9353" s="10"/>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spans="1:26" ht="17.399999999999999" x14ac:dyDescent="0.3">
      <c r="A9354" s="10"/>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spans="1:26" ht="17.399999999999999" x14ac:dyDescent="0.3">
      <c r="A9355" s="10"/>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spans="1:26" ht="17.399999999999999" x14ac:dyDescent="0.3">
      <c r="A9356" s="10"/>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spans="1:26" ht="17.399999999999999" x14ac:dyDescent="0.3">
      <c r="A9357" s="10"/>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spans="1:26" ht="17.399999999999999" x14ac:dyDescent="0.3">
      <c r="A9358" s="10"/>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spans="1:26" ht="17.399999999999999" x14ac:dyDescent="0.3">
      <c r="A9359" s="10"/>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spans="1:26" ht="17.399999999999999" x14ac:dyDescent="0.3">
      <c r="A9360" s="10"/>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spans="1:26" ht="17.399999999999999" x14ac:dyDescent="0.3">
      <c r="A9361" s="10"/>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spans="1:26" ht="17.399999999999999" x14ac:dyDescent="0.3">
      <c r="A9362" s="10"/>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spans="1:26" ht="17.399999999999999" x14ac:dyDescent="0.3">
      <c r="A9363" s="10"/>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spans="1:26" ht="17.399999999999999" x14ac:dyDescent="0.3">
      <c r="A9364" s="10"/>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spans="1:26" ht="17.399999999999999" x14ac:dyDescent="0.3">
      <c r="A9365" s="10"/>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spans="1:26" ht="17.399999999999999" x14ac:dyDescent="0.3">
      <c r="A9366" s="10"/>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spans="1:26" ht="17.399999999999999" x14ac:dyDescent="0.3">
      <c r="A9367" s="10"/>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spans="1:26" ht="17.399999999999999" x14ac:dyDescent="0.3">
      <c r="A9368" s="10"/>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spans="1:26" ht="17.399999999999999" x14ac:dyDescent="0.3">
      <c r="A9369" s="10"/>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spans="1:26" ht="17.399999999999999" x14ac:dyDescent="0.3">
      <c r="A9370" s="10"/>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spans="1:26" ht="17.399999999999999" x14ac:dyDescent="0.3">
      <c r="A9371" s="10"/>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spans="1:26" ht="17.399999999999999" x14ac:dyDescent="0.3">
      <c r="A9372" s="10"/>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spans="1:26" ht="17.399999999999999" x14ac:dyDescent="0.3">
      <c r="A9373" s="10"/>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spans="1:26" ht="17.399999999999999" x14ac:dyDescent="0.3">
      <c r="A9374" s="10"/>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spans="1:26" ht="17.399999999999999" x14ac:dyDescent="0.3">
      <c r="A9375" s="10"/>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spans="1:26" ht="17.399999999999999" x14ac:dyDescent="0.3">
      <c r="A9376" s="10"/>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spans="1:26" ht="17.399999999999999" x14ac:dyDescent="0.3">
      <c r="A9377" s="10"/>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spans="1:26" ht="17.399999999999999" x14ac:dyDescent="0.3">
      <c r="A9378" s="10"/>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spans="1:26" ht="17.399999999999999" x14ac:dyDescent="0.3">
      <c r="A9379" s="10"/>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spans="1:26" ht="17.399999999999999" x14ac:dyDescent="0.3">
      <c r="A9380" s="10"/>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spans="1:26" ht="17.399999999999999" x14ac:dyDescent="0.3">
      <c r="A9381" s="10"/>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spans="1:26" ht="17.399999999999999" x14ac:dyDescent="0.3">
      <c r="A9382" s="10"/>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spans="1:26" ht="17.399999999999999" x14ac:dyDescent="0.3">
      <c r="A9383" s="10"/>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spans="1:26" ht="17.399999999999999" x14ac:dyDescent="0.3">
      <c r="A9384" s="10"/>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spans="1:26" ht="17.399999999999999" x14ac:dyDescent="0.3">
      <c r="A9385" s="10"/>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spans="1:26" ht="17.399999999999999" x14ac:dyDescent="0.3">
      <c r="A9386" s="10"/>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spans="1:26" ht="17.399999999999999" x14ac:dyDescent="0.3">
      <c r="A9387" s="10"/>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spans="1:26" ht="17.399999999999999" x14ac:dyDescent="0.3">
      <c r="A9388" s="10"/>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spans="1:26" ht="17.399999999999999" x14ac:dyDescent="0.3">
      <c r="A9389" s="10"/>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spans="1:26" ht="17.399999999999999" x14ac:dyDescent="0.3">
      <c r="A9390" s="10"/>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spans="1:26" ht="17.399999999999999" x14ac:dyDescent="0.3">
      <c r="A9391" s="10"/>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spans="1:26" ht="17.399999999999999" x14ac:dyDescent="0.3">
      <c r="A9392" s="10"/>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spans="1:26" ht="17.399999999999999" x14ac:dyDescent="0.3">
      <c r="A9393" s="10"/>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spans="1:26" ht="17.399999999999999" x14ac:dyDescent="0.3">
      <c r="A9394" s="10"/>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spans="1:26" ht="17.399999999999999" x14ac:dyDescent="0.3">
      <c r="A9395" s="10"/>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spans="1:26" ht="17.399999999999999" x14ac:dyDescent="0.3">
      <c r="A9396" s="10"/>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spans="1:26" ht="17.399999999999999" x14ac:dyDescent="0.3">
      <c r="A9397" s="10"/>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spans="1:26" ht="17.399999999999999" x14ac:dyDescent="0.3">
      <c r="A9398" s="10"/>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spans="1:26" ht="17.399999999999999" x14ac:dyDescent="0.3">
      <c r="A9399" s="10"/>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spans="1:26" ht="17.399999999999999" x14ac:dyDescent="0.3">
      <c r="A9400" s="10"/>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spans="1:26" ht="17.399999999999999" x14ac:dyDescent="0.3">
      <c r="A9401" s="10"/>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spans="1:26" ht="17.399999999999999" x14ac:dyDescent="0.3">
      <c r="A9402" s="10"/>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spans="1:26" ht="17.399999999999999" x14ac:dyDescent="0.3">
      <c r="A9403" s="10"/>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spans="1:26" ht="17.399999999999999" x14ac:dyDescent="0.3">
      <c r="A9404" s="10"/>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spans="1:26" ht="17.399999999999999" x14ac:dyDescent="0.3">
      <c r="A9405" s="10"/>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spans="1:26" ht="17.399999999999999" x14ac:dyDescent="0.3">
      <c r="A9406" s="10"/>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spans="1:26" ht="17.399999999999999" x14ac:dyDescent="0.3">
      <c r="A9407" s="10"/>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spans="1:26" ht="17.399999999999999" x14ac:dyDescent="0.3">
      <c r="A9408" s="10"/>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spans="1:26" ht="17.399999999999999" x14ac:dyDescent="0.3">
      <c r="A9409" s="10"/>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spans="1:26" ht="17.399999999999999" x14ac:dyDescent="0.3">
      <c r="A9410" s="10"/>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spans="1:26" ht="17.399999999999999" x14ac:dyDescent="0.3">
      <c r="A9411" s="10"/>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spans="1:26" ht="17.399999999999999" x14ac:dyDescent="0.3">
      <c r="A9412" s="10"/>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spans="1:26" ht="17.399999999999999" x14ac:dyDescent="0.3">
      <c r="A9413" s="10"/>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spans="1:26" ht="17.399999999999999" x14ac:dyDescent="0.3">
      <c r="A9414" s="10"/>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spans="1:26" ht="17.399999999999999" x14ac:dyDescent="0.3">
      <c r="A9415" s="10"/>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spans="1:26" ht="17.399999999999999" x14ac:dyDescent="0.3">
      <c r="A9416" s="10"/>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spans="1:26" ht="17.399999999999999" x14ac:dyDescent="0.3">
      <c r="A9417" s="10"/>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spans="1:26" ht="17.399999999999999" x14ac:dyDescent="0.3">
      <c r="A9418" s="10"/>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spans="1:26" ht="17.399999999999999" x14ac:dyDescent="0.3">
      <c r="A9419" s="10"/>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spans="1:26" ht="17.399999999999999" x14ac:dyDescent="0.3">
      <c r="A9420" s="10"/>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spans="1:26" ht="17.399999999999999" x14ac:dyDescent="0.3">
      <c r="A9421" s="10"/>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spans="1:26" ht="17.399999999999999" x14ac:dyDescent="0.3">
      <c r="A9422" s="10"/>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spans="1:26" ht="17.399999999999999" x14ac:dyDescent="0.3">
      <c r="A9423" s="10"/>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spans="1:26" ht="17.399999999999999" x14ac:dyDescent="0.3">
      <c r="A9424" s="10"/>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spans="1:26" ht="17.399999999999999" x14ac:dyDescent="0.3">
      <c r="A9425" s="10"/>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spans="1:26" ht="17.399999999999999" x14ac:dyDescent="0.3">
      <c r="A9426" s="10"/>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spans="1:26" ht="17.399999999999999" x14ac:dyDescent="0.3">
      <c r="A9427" s="10"/>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spans="1:26" ht="17.399999999999999" x14ac:dyDescent="0.3">
      <c r="A9428" s="10"/>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spans="1:26" ht="17.399999999999999" x14ac:dyDescent="0.3">
      <c r="A9429" s="10"/>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spans="1:26" ht="17.399999999999999" x14ac:dyDescent="0.3">
      <c r="A9430" s="10"/>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spans="1:26" ht="17.399999999999999" x14ac:dyDescent="0.3">
      <c r="A9431" s="10"/>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spans="1:26" ht="17.399999999999999" x14ac:dyDescent="0.3">
      <c r="A9432" s="10"/>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spans="1:26" ht="17.399999999999999" x14ac:dyDescent="0.3">
      <c r="A9433" s="10"/>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spans="1:26" ht="17.399999999999999" x14ac:dyDescent="0.3">
      <c r="A9434" s="10"/>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spans="1:26" ht="17.399999999999999" x14ac:dyDescent="0.3">
      <c r="A9435" s="10"/>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spans="1:26" ht="17.399999999999999" x14ac:dyDescent="0.3">
      <c r="A9436" s="10"/>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spans="1:26" ht="17.399999999999999" x14ac:dyDescent="0.3">
      <c r="A9437" s="10"/>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spans="1:26" ht="17.399999999999999" x14ac:dyDescent="0.3">
      <c r="A9438" s="10"/>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spans="1:26" ht="17.399999999999999" x14ac:dyDescent="0.3">
      <c r="A9439" s="10"/>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spans="1:26" ht="17.399999999999999" x14ac:dyDescent="0.3">
      <c r="A9440" s="10"/>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spans="1:26" ht="17.399999999999999" x14ac:dyDescent="0.3">
      <c r="A9441" s="10"/>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spans="1:26" ht="17.399999999999999" x14ac:dyDescent="0.3">
      <c r="A9442" s="10"/>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spans="1:26" ht="17.399999999999999" x14ac:dyDescent="0.3">
      <c r="A9443" s="10"/>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spans="1:26" ht="17.399999999999999" x14ac:dyDescent="0.3">
      <c r="A9444" s="10"/>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spans="1:26" ht="17.399999999999999" x14ac:dyDescent="0.3">
      <c r="A9445" s="10"/>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spans="1:26" ht="17.399999999999999" x14ac:dyDescent="0.3">
      <c r="A9446" s="10"/>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spans="1:26" ht="17.399999999999999" x14ac:dyDescent="0.3">
      <c r="A9447" s="10"/>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spans="1:26" ht="17.399999999999999" x14ac:dyDescent="0.3">
      <c r="A9448" s="10"/>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spans="1:26" ht="17.399999999999999" x14ac:dyDescent="0.3">
      <c r="A9449" s="10"/>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spans="1:26" ht="17.399999999999999" x14ac:dyDescent="0.3">
      <c r="A9450" s="10"/>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spans="1:26" ht="17.399999999999999" x14ac:dyDescent="0.3">
      <c r="A9451" s="10"/>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spans="1:26" ht="17.399999999999999" x14ac:dyDescent="0.3">
      <c r="A9452" s="10"/>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spans="1:26" ht="17.399999999999999" x14ac:dyDescent="0.3">
      <c r="A9453" s="10"/>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spans="1:26" ht="17.399999999999999" x14ac:dyDescent="0.3">
      <c r="A9454" s="10"/>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spans="1:26" ht="17.399999999999999" x14ac:dyDescent="0.3">
      <c r="A9455" s="10"/>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spans="1:26" ht="17.399999999999999" x14ac:dyDescent="0.3">
      <c r="A9456" s="10"/>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spans="1:26" ht="17.399999999999999" x14ac:dyDescent="0.3">
      <c r="A9457" s="10"/>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spans="1:26" ht="17.399999999999999" x14ac:dyDescent="0.3">
      <c r="A9458" s="10"/>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spans="1:26" ht="17.399999999999999" x14ac:dyDescent="0.3">
      <c r="A9459" s="10"/>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spans="1:26" ht="17.399999999999999" x14ac:dyDescent="0.3">
      <c r="A9460" s="10"/>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spans="1:26" ht="17.399999999999999" x14ac:dyDescent="0.3">
      <c r="A9461" s="10"/>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spans="1:26" ht="17.399999999999999" x14ac:dyDescent="0.3">
      <c r="A9462" s="10"/>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spans="1:26" ht="17.399999999999999" x14ac:dyDescent="0.3">
      <c r="A9463" s="10"/>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spans="1:26" ht="17.399999999999999" x14ac:dyDescent="0.3">
      <c r="A9464" s="10"/>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spans="1:26" ht="17.399999999999999" x14ac:dyDescent="0.3">
      <c r="A9465" s="10"/>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spans="1:26" ht="17.399999999999999" x14ac:dyDescent="0.3">
      <c r="A9466" s="10"/>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spans="1:26" ht="17.399999999999999" x14ac:dyDescent="0.3">
      <c r="A9467" s="10"/>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spans="1:26" ht="17.399999999999999" x14ac:dyDescent="0.3">
      <c r="A9468" s="10"/>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spans="1:26" ht="17.399999999999999" x14ac:dyDescent="0.3">
      <c r="A9469" s="10"/>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spans="1:26" ht="17.399999999999999" x14ac:dyDescent="0.3">
      <c r="A9470" s="10"/>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spans="1:26" ht="17.399999999999999" x14ac:dyDescent="0.3">
      <c r="A9471" s="10"/>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spans="1:26" ht="17.399999999999999" x14ac:dyDescent="0.3">
      <c r="A9472" s="10"/>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spans="1:26" ht="17.399999999999999" x14ac:dyDescent="0.3">
      <c r="A9473" s="10"/>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spans="1:26" ht="17.399999999999999" x14ac:dyDescent="0.3">
      <c r="A9474" s="10"/>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spans="1:26" ht="17.399999999999999" x14ac:dyDescent="0.3">
      <c r="A9475" s="10"/>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spans="1:26" ht="17.399999999999999" x14ac:dyDescent="0.3">
      <c r="A9476" s="10"/>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spans="1:26" ht="17.399999999999999" x14ac:dyDescent="0.3">
      <c r="A9477" s="10"/>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spans="1:26" ht="17.399999999999999" x14ac:dyDescent="0.3">
      <c r="A9478" s="10"/>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spans="1:26" ht="17.399999999999999" x14ac:dyDescent="0.3">
      <c r="A9479" s="10"/>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spans="1:26" ht="17.399999999999999" x14ac:dyDescent="0.3">
      <c r="A9480" s="10"/>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spans="1:26" ht="17.399999999999999" x14ac:dyDescent="0.3">
      <c r="A9481" s="10"/>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spans="1:26" ht="17.399999999999999" x14ac:dyDescent="0.3">
      <c r="A9482" s="10"/>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spans="1:26" ht="17.399999999999999" x14ac:dyDescent="0.3">
      <c r="A9483" s="10"/>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spans="1:26" ht="17.399999999999999" x14ac:dyDescent="0.3">
      <c r="A9484" s="10"/>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spans="1:26" ht="17.399999999999999" x14ac:dyDescent="0.3">
      <c r="A9485" s="10"/>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spans="1:26" ht="17.399999999999999" x14ac:dyDescent="0.3">
      <c r="A9486" s="10"/>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spans="1:26" ht="17.399999999999999" x14ac:dyDescent="0.3">
      <c r="A9487" s="10"/>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spans="1:26" ht="17.399999999999999" x14ac:dyDescent="0.3">
      <c r="A9488" s="10"/>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spans="1:26" ht="17.399999999999999" x14ac:dyDescent="0.3">
      <c r="A9489" s="10"/>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spans="1:26" ht="17.399999999999999" x14ac:dyDescent="0.3">
      <c r="A9490" s="10"/>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spans="1:26" ht="17.399999999999999" x14ac:dyDescent="0.3">
      <c r="A9491" s="10"/>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spans="1:26" ht="17.399999999999999" x14ac:dyDescent="0.3">
      <c r="A9492" s="10"/>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spans="1:26" ht="17.399999999999999" x14ac:dyDescent="0.3">
      <c r="A9493" s="10"/>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spans="1:26" ht="17.399999999999999" x14ac:dyDescent="0.3">
      <c r="A9494" s="10"/>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spans="1:26" ht="17.399999999999999" x14ac:dyDescent="0.3">
      <c r="A9495" s="10"/>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spans="1:26" ht="17.399999999999999" x14ac:dyDescent="0.3">
      <c r="A9496" s="10"/>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spans="1:26" ht="17.399999999999999" x14ac:dyDescent="0.3">
      <c r="A9497" s="10"/>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spans="1:26" ht="17.399999999999999" x14ac:dyDescent="0.3">
      <c r="A9498" s="10"/>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spans="1:26" ht="17.399999999999999" x14ac:dyDescent="0.3">
      <c r="A9499" s="10"/>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spans="1:26" ht="17.399999999999999" x14ac:dyDescent="0.3">
      <c r="A9500" s="10"/>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spans="1:26" ht="17.399999999999999" x14ac:dyDescent="0.3">
      <c r="A9501" s="10"/>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spans="1:26" ht="17.399999999999999" x14ac:dyDescent="0.3">
      <c r="A9502" s="10"/>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spans="1:26" ht="17.399999999999999" x14ac:dyDescent="0.3">
      <c r="A9503" s="10"/>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spans="1:26" ht="17.399999999999999" x14ac:dyDescent="0.3">
      <c r="A9504" s="10"/>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spans="1:26" ht="17.399999999999999" x14ac:dyDescent="0.3">
      <c r="A9505" s="10"/>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spans="1:26" ht="17.399999999999999" x14ac:dyDescent="0.3">
      <c r="A9506" s="10"/>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spans="1:26" ht="17.399999999999999" x14ac:dyDescent="0.3">
      <c r="A9507" s="10"/>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spans="1:26" ht="17.399999999999999" x14ac:dyDescent="0.3">
      <c r="A9508" s="10"/>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spans="1:26" ht="17.399999999999999" x14ac:dyDescent="0.3">
      <c r="A9509" s="10"/>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spans="1:26" ht="17.399999999999999" x14ac:dyDescent="0.3">
      <c r="A9510" s="10"/>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spans="1:26" ht="17.399999999999999" x14ac:dyDescent="0.3">
      <c r="A9511" s="10"/>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spans="1:26" ht="17.399999999999999" x14ac:dyDescent="0.3">
      <c r="A9512" s="10"/>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spans="1:26" ht="17.399999999999999" x14ac:dyDescent="0.3">
      <c r="A9513" s="10"/>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spans="1:26" ht="17.399999999999999" x14ac:dyDescent="0.3">
      <c r="A9514" s="10"/>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spans="1:26" ht="17.399999999999999" x14ac:dyDescent="0.3">
      <c r="A9515" s="10"/>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spans="1:26" ht="17.399999999999999" x14ac:dyDescent="0.3">
      <c r="A9516" s="10"/>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spans="1:26" ht="17.399999999999999" x14ac:dyDescent="0.3">
      <c r="A9517" s="10"/>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spans="1:26" ht="17.399999999999999" x14ac:dyDescent="0.3">
      <c r="A9518" s="10"/>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spans="1:26" ht="17.399999999999999" x14ac:dyDescent="0.3">
      <c r="A9519" s="10"/>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spans="1:26" ht="17.399999999999999" x14ac:dyDescent="0.3">
      <c r="A9520" s="10"/>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spans="1:26" ht="17.399999999999999" x14ac:dyDescent="0.3">
      <c r="A9521" s="10"/>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spans="1:26" ht="17.399999999999999" x14ac:dyDescent="0.3">
      <c r="A9522" s="10"/>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spans="1:26" ht="17.399999999999999" x14ac:dyDescent="0.3">
      <c r="A9523" s="10"/>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spans="1:26" ht="17.399999999999999" x14ac:dyDescent="0.3">
      <c r="A9524" s="10"/>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spans="1:26" ht="17.399999999999999" x14ac:dyDescent="0.3">
      <c r="A9525" s="10"/>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spans="1:26" ht="17.399999999999999" x14ac:dyDescent="0.3">
      <c r="A9526" s="10"/>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spans="1:26" ht="17.399999999999999" x14ac:dyDescent="0.3">
      <c r="A9527" s="10"/>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spans="1:26" ht="17.399999999999999" x14ac:dyDescent="0.3">
      <c r="A9528" s="10"/>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spans="1:26" ht="17.399999999999999" x14ac:dyDescent="0.3">
      <c r="A9529" s="10"/>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spans="1:26" ht="17.399999999999999" x14ac:dyDescent="0.3">
      <c r="A9530" s="10"/>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spans="1:26" ht="17.399999999999999" x14ac:dyDescent="0.3">
      <c r="A9531" s="10"/>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spans="1:26" ht="17.399999999999999" x14ac:dyDescent="0.3">
      <c r="A9532" s="10"/>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spans="1:26" ht="17.399999999999999" x14ac:dyDescent="0.3">
      <c r="A9533" s="10"/>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spans="1:26" ht="17.399999999999999" x14ac:dyDescent="0.3">
      <c r="A9534" s="10"/>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spans="1:26" ht="17.399999999999999" x14ac:dyDescent="0.3">
      <c r="A9535" s="10"/>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spans="1:26" ht="17.399999999999999" x14ac:dyDescent="0.3">
      <c r="A9536" s="10"/>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spans="1:26" ht="17.399999999999999" x14ac:dyDescent="0.3">
      <c r="A9537" s="10"/>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spans="1:26" ht="17.399999999999999" x14ac:dyDescent="0.3">
      <c r="A9538" s="10"/>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spans="1:26" ht="17.399999999999999" x14ac:dyDescent="0.3">
      <c r="A9539" s="10"/>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spans="1:26" ht="17.399999999999999" x14ac:dyDescent="0.3">
      <c r="A9540" s="10"/>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spans="1:26" ht="17.399999999999999" x14ac:dyDescent="0.3">
      <c r="A9541" s="10"/>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spans="1:26" ht="17.399999999999999" x14ac:dyDescent="0.3">
      <c r="A9542" s="10"/>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spans="1:26" ht="17.399999999999999" x14ac:dyDescent="0.3">
      <c r="A9543" s="10"/>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spans="1:26" ht="17.399999999999999" x14ac:dyDescent="0.3">
      <c r="A9544" s="10"/>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spans="1:26" ht="17.399999999999999" x14ac:dyDescent="0.3">
      <c r="A9545" s="10"/>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spans="1:26" ht="17.399999999999999" x14ac:dyDescent="0.3">
      <c r="A9546" s="10"/>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spans="1:26" ht="17.399999999999999" x14ac:dyDescent="0.3">
      <c r="A9547" s="10"/>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spans="1:26" ht="17.399999999999999" x14ac:dyDescent="0.3">
      <c r="A9548" s="10"/>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spans="1:26" ht="17.399999999999999" x14ac:dyDescent="0.3">
      <c r="A9549" s="10"/>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spans="1:26" ht="17.399999999999999" x14ac:dyDescent="0.3">
      <c r="A9550" s="10"/>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spans="1:26" ht="17.399999999999999" x14ac:dyDescent="0.3">
      <c r="A9551" s="10"/>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spans="1:26" ht="17.399999999999999" x14ac:dyDescent="0.3">
      <c r="A9552" s="10"/>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spans="1:26" ht="17.399999999999999" x14ac:dyDescent="0.3">
      <c r="A9553" s="10"/>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spans="1:26" ht="17.399999999999999" x14ac:dyDescent="0.3">
      <c r="A9554" s="10"/>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spans="1:26" ht="17.399999999999999" x14ac:dyDescent="0.3">
      <c r="A9555" s="10"/>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spans="1:26" ht="17.399999999999999" x14ac:dyDescent="0.3">
      <c r="A9556" s="10"/>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spans="1:26" ht="17.399999999999999" x14ac:dyDescent="0.3">
      <c r="A9557" s="10"/>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spans="1:26" ht="17.399999999999999" x14ac:dyDescent="0.3">
      <c r="A9558" s="10"/>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spans="1:26" ht="17.399999999999999" x14ac:dyDescent="0.3">
      <c r="A9559" s="10"/>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spans="1:26" ht="17.399999999999999" x14ac:dyDescent="0.3">
      <c r="A9560" s="10"/>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spans="1:26" ht="17.399999999999999" x14ac:dyDescent="0.3">
      <c r="A9561" s="10"/>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spans="1:26" ht="17.399999999999999" x14ac:dyDescent="0.3">
      <c r="A9562" s="10"/>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spans="1:26" ht="17.399999999999999" x14ac:dyDescent="0.3">
      <c r="A9563" s="10"/>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spans="1:26" ht="17.399999999999999" x14ac:dyDescent="0.3">
      <c r="A9564" s="10"/>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spans="1:26" ht="17.399999999999999" x14ac:dyDescent="0.3">
      <c r="A9565" s="10"/>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spans="1:26" ht="17.399999999999999" x14ac:dyDescent="0.3">
      <c r="A9566" s="10"/>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spans="1:26" ht="17.399999999999999" x14ac:dyDescent="0.3">
      <c r="A9567" s="10"/>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spans="1:26" ht="17.399999999999999" x14ac:dyDescent="0.3">
      <c r="A9568" s="10"/>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spans="1:26" ht="17.399999999999999" x14ac:dyDescent="0.3">
      <c r="A9569" s="10"/>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spans="1:26" ht="17.399999999999999" x14ac:dyDescent="0.3">
      <c r="A9570" s="10"/>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spans="1:26" ht="17.399999999999999" x14ac:dyDescent="0.3">
      <c r="A9571" s="10"/>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spans="1:26" ht="17.399999999999999" x14ac:dyDescent="0.3">
      <c r="A9572" s="10"/>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spans="1:26" ht="17.399999999999999" x14ac:dyDescent="0.3">
      <c r="A9573" s="10"/>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spans="1:26" ht="17.399999999999999" x14ac:dyDescent="0.3">
      <c r="A9574" s="10"/>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spans="1:26" ht="17.399999999999999" x14ac:dyDescent="0.3">
      <c r="A9575" s="10"/>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spans="1:26" ht="17.399999999999999" x14ac:dyDescent="0.3">
      <c r="A9576" s="10"/>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spans="1:26" ht="17.399999999999999" x14ac:dyDescent="0.3">
      <c r="A9577" s="10"/>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spans="1:26" ht="17.399999999999999" x14ac:dyDescent="0.3">
      <c r="A9578" s="10"/>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spans="1:26" ht="17.399999999999999" x14ac:dyDescent="0.3">
      <c r="A9579" s="10"/>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spans="1:26" ht="17.399999999999999" x14ac:dyDescent="0.3">
      <c r="A9580" s="10"/>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spans="1:26" ht="17.399999999999999" x14ac:dyDescent="0.3">
      <c r="A9581" s="10"/>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spans="1:26" ht="17.399999999999999" x14ac:dyDescent="0.3">
      <c r="A9582" s="10"/>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spans="1:26" ht="17.399999999999999" x14ac:dyDescent="0.3">
      <c r="A9583" s="10"/>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spans="1:26" ht="17.399999999999999" x14ac:dyDescent="0.3">
      <c r="A9584" s="10"/>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spans="1:26" ht="17.399999999999999" x14ac:dyDescent="0.3">
      <c r="A9585" s="10"/>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spans="1:26" ht="17.399999999999999" x14ac:dyDescent="0.3">
      <c r="A9586" s="10"/>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spans="1:26" ht="17.399999999999999" x14ac:dyDescent="0.3">
      <c r="A9587" s="10"/>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spans="1:26" ht="17.399999999999999" x14ac:dyDescent="0.3">
      <c r="A9588" s="10"/>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spans="1:26" ht="17.399999999999999" x14ac:dyDescent="0.3">
      <c r="A9589" s="10"/>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spans="1:26" ht="17.399999999999999" x14ac:dyDescent="0.3">
      <c r="A9590" s="10"/>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spans="1:26" ht="17.399999999999999" x14ac:dyDescent="0.3">
      <c r="A9591" s="10"/>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spans="1:26" ht="17.399999999999999" x14ac:dyDescent="0.3">
      <c r="A9592" s="10"/>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spans="1:26" ht="17.399999999999999" x14ac:dyDescent="0.3">
      <c r="A9593" s="10"/>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spans="1:26" ht="17.399999999999999" x14ac:dyDescent="0.3">
      <c r="A9594" s="10"/>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spans="1:26" ht="17.399999999999999" x14ac:dyDescent="0.3">
      <c r="A9595" s="10"/>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spans="1:26" ht="17.399999999999999" x14ac:dyDescent="0.3">
      <c r="A9596" s="10"/>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spans="1:26" ht="17.399999999999999" x14ac:dyDescent="0.3">
      <c r="A9597" s="10"/>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spans="1:26" ht="17.399999999999999" x14ac:dyDescent="0.3">
      <c r="A9598" s="10"/>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spans="1:26" ht="17.399999999999999" x14ac:dyDescent="0.3">
      <c r="A9599" s="10"/>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spans="1:26" ht="17.399999999999999" x14ac:dyDescent="0.3">
      <c r="A9600" s="10"/>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spans="1:26" ht="17.399999999999999" x14ac:dyDescent="0.3">
      <c r="A9601" s="10"/>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spans="1:26" ht="17.399999999999999" x14ac:dyDescent="0.3">
      <c r="A9602" s="10"/>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spans="1:26" ht="17.399999999999999" x14ac:dyDescent="0.3">
      <c r="A9603" s="10"/>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spans="1:26" ht="17.399999999999999" x14ac:dyDescent="0.3">
      <c r="A9604" s="10"/>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spans="1:26" ht="17.399999999999999" x14ac:dyDescent="0.3">
      <c r="A9605" s="10"/>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spans="1:26" ht="17.399999999999999" x14ac:dyDescent="0.3">
      <c r="A9606" s="10"/>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spans="1:26" ht="17.399999999999999" x14ac:dyDescent="0.3">
      <c r="A9607" s="10"/>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spans="1:26" ht="17.399999999999999" x14ac:dyDescent="0.3">
      <c r="A9608" s="10"/>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spans="1:26" ht="17.399999999999999" x14ac:dyDescent="0.3">
      <c r="A9609" s="10"/>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spans="1:26" ht="17.399999999999999" x14ac:dyDescent="0.3">
      <c r="A9610" s="10"/>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spans="1:26" ht="17.399999999999999" x14ac:dyDescent="0.3">
      <c r="A9611" s="10"/>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spans="1:26" ht="17.399999999999999" x14ac:dyDescent="0.3">
      <c r="A9612" s="10"/>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spans="1:26" ht="17.399999999999999" x14ac:dyDescent="0.3">
      <c r="A9613" s="10"/>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spans="1:26" ht="17.399999999999999" x14ac:dyDescent="0.3">
      <c r="A9614" s="10"/>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spans="1:26" ht="17.399999999999999" x14ac:dyDescent="0.3">
      <c r="A9615" s="10"/>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spans="1:26" ht="17.399999999999999" x14ac:dyDescent="0.3">
      <c r="A9616" s="10"/>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spans="1:26" ht="17.399999999999999" x14ac:dyDescent="0.3">
      <c r="A9617" s="10"/>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spans="1:26" ht="17.399999999999999" x14ac:dyDescent="0.3">
      <c r="A9618" s="10"/>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spans="1:26" ht="17.399999999999999" x14ac:dyDescent="0.3">
      <c r="A9619" s="10"/>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spans="1:26" ht="17.399999999999999" x14ac:dyDescent="0.3">
      <c r="A9620" s="10"/>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spans="1:26" ht="17.399999999999999" x14ac:dyDescent="0.3">
      <c r="A9621" s="10"/>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spans="1:26" ht="17.399999999999999" x14ac:dyDescent="0.3">
      <c r="A9622" s="10"/>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spans="1:26" ht="17.399999999999999" x14ac:dyDescent="0.3">
      <c r="A9623" s="10"/>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spans="1:26" ht="17.399999999999999" x14ac:dyDescent="0.3">
      <c r="A9624" s="10"/>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spans="1:26" ht="17.399999999999999" x14ac:dyDescent="0.3">
      <c r="A9625" s="10"/>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spans="1:26" ht="17.399999999999999" x14ac:dyDescent="0.3">
      <c r="A9626" s="10"/>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spans="1:26" ht="17.399999999999999" x14ac:dyDescent="0.3">
      <c r="A9627" s="10"/>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spans="1:26" ht="17.399999999999999" x14ac:dyDescent="0.3">
      <c r="A9628" s="10"/>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spans="1:26" ht="17.399999999999999" x14ac:dyDescent="0.3">
      <c r="A9629" s="10"/>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spans="1:26" ht="17.399999999999999" x14ac:dyDescent="0.3">
      <c r="A9630" s="10"/>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spans="1:26" ht="17.399999999999999" x14ac:dyDescent="0.3">
      <c r="A9631" s="10"/>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spans="1:26" ht="17.399999999999999" x14ac:dyDescent="0.3">
      <c r="A9632" s="10"/>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spans="1:26" ht="17.399999999999999" x14ac:dyDescent="0.3">
      <c r="A9633" s="10"/>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spans="1:26" ht="17.399999999999999" x14ac:dyDescent="0.3">
      <c r="A9634" s="10"/>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spans="1:26" ht="17.399999999999999" x14ac:dyDescent="0.3">
      <c r="A9635" s="10"/>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spans="1:26" ht="17.399999999999999" x14ac:dyDescent="0.3">
      <c r="A9636" s="10"/>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spans="1:26" ht="17.399999999999999" x14ac:dyDescent="0.3">
      <c r="A9637" s="10"/>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spans="1:26" ht="17.399999999999999" x14ac:dyDescent="0.3">
      <c r="A9638" s="10"/>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spans="1:26" ht="17.399999999999999" x14ac:dyDescent="0.3">
      <c r="A9639" s="10"/>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spans="1:26" ht="17.399999999999999" x14ac:dyDescent="0.3">
      <c r="A9640" s="10"/>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spans="1:26" ht="17.399999999999999" x14ac:dyDescent="0.3">
      <c r="A9641" s="10"/>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spans="1:26" ht="17.399999999999999" x14ac:dyDescent="0.3">
      <c r="A9642" s="10"/>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spans="1:26" ht="17.399999999999999" x14ac:dyDescent="0.3">
      <c r="A9643" s="10"/>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spans="1:26" ht="17.399999999999999" x14ac:dyDescent="0.3">
      <c r="A9644" s="10"/>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spans="1:26" ht="17.399999999999999" x14ac:dyDescent="0.3">
      <c r="A9645" s="10"/>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spans="1:26" ht="17.399999999999999" x14ac:dyDescent="0.3">
      <c r="A9646" s="10"/>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spans="1:26" ht="17.399999999999999" x14ac:dyDescent="0.3">
      <c r="A9647" s="10"/>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spans="1:26" ht="17.399999999999999" x14ac:dyDescent="0.3">
      <c r="A9648" s="10"/>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spans="1:26" ht="17.399999999999999" x14ac:dyDescent="0.3">
      <c r="A9649" s="10"/>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spans="1:26" ht="17.399999999999999" x14ac:dyDescent="0.3">
      <c r="A9650" s="10"/>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spans="1:26" ht="17.399999999999999" x14ac:dyDescent="0.3">
      <c r="A9651" s="10"/>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spans="1:26" ht="17.399999999999999" x14ac:dyDescent="0.3">
      <c r="A9652" s="10"/>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spans="1:26" ht="17.399999999999999" x14ac:dyDescent="0.3">
      <c r="A9653" s="10"/>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spans="1:26" ht="17.399999999999999" x14ac:dyDescent="0.3">
      <c r="A9654" s="10"/>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spans="1:26" ht="17.399999999999999" x14ac:dyDescent="0.3">
      <c r="A9655" s="10"/>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spans="1:26" ht="17.399999999999999" x14ac:dyDescent="0.3">
      <c r="A9656" s="10"/>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spans="1:26" ht="17.399999999999999" x14ac:dyDescent="0.3">
      <c r="A9657" s="10"/>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spans="1:26" ht="17.399999999999999" x14ac:dyDescent="0.3">
      <c r="A9658" s="10"/>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spans="1:26" ht="17.399999999999999" x14ac:dyDescent="0.3">
      <c r="A9659" s="10"/>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spans="1:26" ht="17.399999999999999" x14ac:dyDescent="0.3">
      <c r="A9660" s="10"/>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spans="1:26" ht="17.399999999999999" x14ac:dyDescent="0.3">
      <c r="A9661" s="10"/>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spans="1:26" ht="17.399999999999999" x14ac:dyDescent="0.3">
      <c r="A9662" s="10"/>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spans="1:26" ht="17.399999999999999" x14ac:dyDescent="0.3">
      <c r="A9663" s="10"/>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spans="1:26" ht="17.399999999999999" x14ac:dyDescent="0.3">
      <c r="A9664" s="10"/>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spans="1:26" ht="17.399999999999999" x14ac:dyDescent="0.3">
      <c r="A9665" s="10"/>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spans="1:26" ht="17.399999999999999" x14ac:dyDescent="0.3">
      <c r="A9666" s="10"/>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spans="1:26" ht="17.399999999999999" x14ac:dyDescent="0.3">
      <c r="A9667" s="10"/>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spans="1:26" ht="17.399999999999999" x14ac:dyDescent="0.3">
      <c r="A9668" s="10"/>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spans="1:26" ht="17.399999999999999" x14ac:dyDescent="0.3">
      <c r="A9669" s="10"/>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spans="1:26" ht="17.399999999999999" x14ac:dyDescent="0.3">
      <c r="A9670" s="10"/>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spans="1:26" ht="17.399999999999999" x14ac:dyDescent="0.3">
      <c r="A9671" s="10"/>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spans="1:26" ht="17.399999999999999" x14ac:dyDescent="0.3">
      <c r="A9672" s="10"/>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spans="1:26" ht="17.399999999999999" x14ac:dyDescent="0.3">
      <c r="A9673" s="10"/>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spans="1:26" ht="17.399999999999999" x14ac:dyDescent="0.3">
      <c r="A9674" s="10"/>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spans="1:26" ht="17.399999999999999" x14ac:dyDescent="0.3">
      <c r="A9675" s="10"/>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spans="1:26" ht="17.399999999999999" x14ac:dyDescent="0.3">
      <c r="A9676" s="10"/>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spans="1:26" ht="17.399999999999999" x14ac:dyDescent="0.3">
      <c r="A9677" s="10"/>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spans="1:26" ht="17.399999999999999" x14ac:dyDescent="0.3">
      <c r="A9678" s="10"/>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spans="1:26" ht="17.399999999999999" x14ac:dyDescent="0.3">
      <c r="A9679" s="10"/>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spans="1:26" ht="17.399999999999999" x14ac:dyDescent="0.3">
      <c r="A9680" s="10"/>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spans="1:26" ht="17.399999999999999" x14ac:dyDescent="0.3">
      <c r="A9681" s="10"/>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spans="1:26" ht="17.399999999999999" x14ac:dyDescent="0.3">
      <c r="A9682" s="10"/>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spans="1:26" ht="17.399999999999999" x14ac:dyDescent="0.3">
      <c r="A9683" s="10"/>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spans="1:26" ht="17.399999999999999" x14ac:dyDescent="0.3">
      <c r="A9684" s="10"/>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spans="1:26" ht="17.399999999999999" x14ac:dyDescent="0.3">
      <c r="A9685" s="10"/>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spans="1:26" ht="17.399999999999999" x14ac:dyDescent="0.3">
      <c r="A9686" s="10"/>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spans="1:26" ht="17.399999999999999" x14ac:dyDescent="0.3">
      <c r="A9687" s="10"/>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spans="1:26" ht="17.399999999999999" x14ac:dyDescent="0.3">
      <c r="A9688" s="10"/>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spans="1:26" ht="17.399999999999999" x14ac:dyDescent="0.3">
      <c r="A9689" s="10"/>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spans="1:26" ht="17.399999999999999" x14ac:dyDescent="0.3">
      <c r="A9690" s="10"/>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spans="1:26" ht="17.399999999999999" x14ac:dyDescent="0.3">
      <c r="A9691" s="10"/>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spans="1:26" ht="17.399999999999999" x14ac:dyDescent="0.3">
      <c r="A9692" s="10"/>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spans="1:26" ht="17.399999999999999" x14ac:dyDescent="0.3">
      <c r="A9693" s="10"/>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spans="1:26" ht="17.399999999999999" x14ac:dyDescent="0.3">
      <c r="A9694" s="10"/>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spans="1:26" ht="17.399999999999999" x14ac:dyDescent="0.3">
      <c r="A9695" s="10"/>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spans="1:26" ht="17.399999999999999" x14ac:dyDescent="0.3">
      <c r="A9696" s="10"/>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spans="1:26" ht="17.399999999999999" x14ac:dyDescent="0.3">
      <c r="A9697" s="10"/>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spans="1:26" ht="17.399999999999999" x14ac:dyDescent="0.3">
      <c r="A9698" s="10"/>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spans="1:26" ht="17.399999999999999" x14ac:dyDescent="0.3">
      <c r="A9699" s="10"/>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spans="1:26" ht="17.399999999999999" x14ac:dyDescent="0.3">
      <c r="A9700" s="10"/>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spans="1:26" ht="17.399999999999999" x14ac:dyDescent="0.3">
      <c r="A9701" s="10"/>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spans="1:26" ht="17.399999999999999" x14ac:dyDescent="0.3">
      <c r="A9702" s="10"/>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spans="1:26" ht="17.399999999999999" x14ac:dyDescent="0.3">
      <c r="A9703" s="10"/>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spans="1:26" ht="17.399999999999999" x14ac:dyDescent="0.3">
      <c r="A9704" s="10"/>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spans="1:26" ht="17.399999999999999" x14ac:dyDescent="0.3">
      <c r="A9705" s="10"/>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spans="1:26" ht="17.399999999999999" x14ac:dyDescent="0.3">
      <c r="A9706" s="10"/>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spans="1:26" ht="17.399999999999999" x14ac:dyDescent="0.3">
      <c r="A9707" s="10"/>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spans="1:26" ht="17.399999999999999" x14ac:dyDescent="0.3">
      <c r="A9708" s="10"/>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spans="1:26" ht="17.399999999999999" x14ac:dyDescent="0.3">
      <c r="A9709" s="10"/>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spans="1:26" ht="17.399999999999999" x14ac:dyDescent="0.3">
      <c r="A9710" s="10"/>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spans="1:26" ht="17.399999999999999" x14ac:dyDescent="0.3">
      <c r="A9711" s="10"/>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spans="1:26" ht="17.399999999999999" x14ac:dyDescent="0.3">
      <c r="A9712" s="10"/>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spans="1:26" ht="17.399999999999999" x14ac:dyDescent="0.3">
      <c r="A9713" s="10"/>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spans="1:26" ht="17.399999999999999" x14ac:dyDescent="0.3">
      <c r="A9714" s="10"/>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spans="1:26" ht="17.399999999999999" x14ac:dyDescent="0.3">
      <c r="A9715" s="10"/>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spans="1:26" ht="17.399999999999999" x14ac:dyDescent="0.3">
      <c r="A9716" s="10"/>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spans="1:26" ht="17.399999999999999" x14ac:dyDescent="0.3">
      <c r="A9717" s="10"/>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spans="1:26" ht="17.399999999999999" x14ac:dyDescent="0.3">
      <c r="A9718" s="10"/>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spans="1:26" ht="17.399999999999999" x14ac:dyDescent="0.3">
      <c r="A9719" s="10"/>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spans="1:26" ht="17.399999999999999" x14ac:dyDescent="0.3">
      <c r="A9720" s="10"/>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spans="1:26" ht="17.399999999999999" x14ac:dyDescent="0.3">
      <c r="A9721" s="10"/>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spans="1:26" ht="17.399999999999999" x14ac:dyDescent="0.3">
      <c r="A9722" s="10"/>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spans="1:26" ht="17.399999999999999" x14ac:dyDescent="0.3">
      <c r="A9723" s="10"/>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spans="1:26" ht="17.399999999999999" x14ac:dyDescent="0.3">
      <c r="A9724" s="10"/>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spans="1:26" ht="17.399999999999999" x14ac:dyDescent="0.3">
      <c r="A9725" s="10"/>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spans="1:26" ht="17.399999999999999" x14ac:dyDescent="0.3">
      <c r="A9726" s="10"/>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spans="1:26" ht="17.399999999999999" x14ac:dyDescent="0.3">
      <c r="A9727" s="10"/>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spans="1:26" ht="17.399999999999999" x14ac:dyDescent="0.3">
      <c r="A9728" s="10"/>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spans="1:26" ht="17.399999999999999" x14ac:dyDescent="0.3">
      <c r="A9729" s="10"/>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spans="1:26" ht="17.399999999999999" x14ac:dyDescent="0.3">
      <c r="A9730" s="10"/>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spans="1:26" ht="17.399999999999999" x14ac:dyDescent="0.3">
      <c r="A9731" s="10"/>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spans="1:26" ht="17.399999999999999" x14ac:dyDescent="0.3">
      <c r="A9732" s="10"/>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spans="1:26" ht="17.399999999999999" x14ac:dyDescent="0.3">
      <c r="A9733" s="10"/>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spans="1:26" ht="17.399999999999999" x14ac:dyDescent="0.3">
      <c r="A9734" s="10"/>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spans="1:26" ht="17.399999999999999" x14ac:dyDescent="0.3">
      <c r="A9735" s="10"/>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spans="1:26" ht="17.399999999999999" x14ac:dyDescent="0.3">
      <c r="A9736" s="10"/>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spans="1:26" ht="17.399999999999999" x14ac:dyDescent="0.3">
      <c r="A9737" s="10"/>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spans="1:26" ht="17.399999999999999" x14ac:dyDescent="0.3">
      <c r="A9738" s="10"/>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spans="1:26" ht="17.399999999999999" x14ac:dyDescent="0.3">
      <c r="A9739" s="10"/>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spans="1:26" ht="17.399999999999999" x14ac:dyDescent="0.3">
      <c r="A9740" s="10"/>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spans="1:26" ht="17.399999999999999" x14ac:dyDescent="0.3">
      <c r="A9741" s="10"/>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spans="1:26" ht="17.399999999999999" x14ac:dyDescent="0.3">
      <c r="A9742" s="10"/>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spans="1:26" ht="17.399999999999999" x14ac:dyDescent="0.3">
      <c r="A9743" s="10"/>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spans="1:26" ht="17.399999999999999" x14ac:dyDescent="0.3">
      <c r="A9744" s="10"/>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spans="1:26" ht="17.399999999999999" x14ac:dyDescent="0.3">
      <c r="A9745" s="10"/>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spans="1:26" ht="17.399999999999999" x14ac:dyDescent="0.3">
      <c r="A9746" s="10"/>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spans="1:26" ht="17.399999999999999" x14ac:dyDescent="0.3">
      <c r="A9747" s="10"/>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spans="1:26" ht="17.399999999999999" x14ac:dyDescent="0.3">
      <c r="A9748" s="10"/>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spans="1:26" ht="17.399999999999999" x14ac:dyDescent="0.3">
      <c r="A9749" s="10"/>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spans="1:26" ht="17.399999999999999" x14ac:dyDescent="0.3">
      <c r="A9750" s="10"/>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spans="1:26" ht="17.399999999999999" x14ac:dyDescent="0.3">
      <c r="A9751" s="10"/>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spans="1:26" ht="17.399999999999999" x14ac:dyDescent="0.3">
      <c r="A9752" s="10"/>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spans="1:26" ht="17.399999999999999" x14ac:dyDescent="0.3">
      <c r="A9753" s="10"/>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spans="1:26" ht="17.399999999999999" x14ac:dyDescent="0.3">
      <c r="A9754" s="10"/>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spans="1:26" ht="17.399999999999999" x14ac:dyDescent="0.3">
      <c r="A9755" s="10"/>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spans="1:26" ht="17.399999999999999" x14ac:dyDescent="0.3">
      <c r="A9756" s="10"/>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spans="1:26" ht="17.399999999999999" x14ac:dyDescent="0.3">
      <c r="A9757" s="10"/>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spans="1:26" ht="17.399999999999999" x14ac:dyDescent="0.3">
      <c r="A9758" s="10"/>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spans="1:26" ht="17.399999999999999" x14ac:dyDescent="0.3">
      <c r="A9759" s="10"/>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spans="1:26" ht="17.399999999999999" x14ac:dyDescent="0.3">
      <c r="A9760" s="10"/>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spans="1:26" ht="17.399999999999999" x14ac:dyDescent="0.3">
      <c r="A9761" s="10"/>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spans="1:26" ht="17.399999999999999" x14ac:dyDescent="0.3">
      <c r="A9762" s="10"/>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spans="1:26" ht="17.399999999999999" x14ac:dyDescent="0.3">
      <c r="A9763" s="10"/>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spans="1:26" ht="17.399999999999999" x14ac:dyDescent="0.3">
      <c r="A9764" s="10"/>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spans="1:26" ht="17.399999999999999" x14ac:dyDescent="0.3">
      <c r="A9765" s="10"/>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spans="1:26" ht="17.399999999999999" x14ac:dyDescent="0.3">
      <c r="A9766" s="10"/>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spans="1:26" ht="17.399999999999999" x14ac:dyDescent="0.3">
      <c r="A9767" s="10"/>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spans="1:26" ht="17.399999999999999" x14ac:dyDescent="0.3">
      <c r="A9768" s="10"/>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spans="1:26" ht="17.399999999999999" x14ac:dyDescent="0.3">
      <c r="A9769" s="10"/>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spans="1:26" ht="17.399999999999999" x14ac:dyDescent="0.3">
      <c r="A9770" s="10"/>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spans="1:26" ht="17.399999999999999" x14ac:dyDescent="0.3">
      <c r="A9771" s="10"/>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spans="1:26" ht="17.399999999999999" x14ac:dyDescent="0.3">
      <c r="A9772" s="10"/>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spans="1:26" ht="17.399999999999999" x14ac:dyDescent="0.3">
      <c r="A9773" s="10"/>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spans="1:26" ht="17.399999999999999" x14ac:dyDescent="0.3">
      <c r="A9774" s="10"/>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spans="1:26" ht="17.399999999999999" x14ac:dyDescent="0.3">
      <c r="A9775" s="10"/>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spans="1:26" ht="17.399999999999999" x14ac:dyDescent="0.3">
      <c r="A9776" s="10"/>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spans="1:26" ht="17.399999999999999" x14ac:dyDescent="0.3">
      <c r="A9777" s="10"/>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spans="1:26" ht="17.399999999999999" x14ac:dyDescent="0.3">
      <c r="A9778" s="10"/>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spans="1:26" ht="17.399999999999999" x14ac:dyDescent="0.3">
      <c r="A9779" s="10"/>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spans="1:26" ht="17.399999999999999" x14ac:dyDescent="0.3">
      <c r="A9780" s="10"/>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spans="1:26" ht="17.399999999999999" x14ac:dyDescent="0.3">
      <c r="A9781" s="10"/>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spans="1:26" ht="17.399999999999999" x14ac:dyDescent="0.3">
      <c r="A9782" s="10"/>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spans="1:26" ht="17.399999999999999" x14ac:dyDescent="0.3">
      <c r="A9783" s="10"/>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spans="1:26" ht="17.399999999999999" x14ac:dyDescent="0.3">
      <c r="A9784" s="10"/>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spans="1:26" ht="17.399999999999999" x14ac:dyDescent="0.3">
      <c r="A9785" s="10"/>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spans="1:26" ht="17.399999999999999" x14ac:dyDescent="0.3">
      <c r="A9786" s="10"/>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spans="1:26" ht="17.399999999999999" x14ac:dyDescent="0.3">
      <c r="A9787" s="10"/>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spans="1:26" ht="17.399999999999999" x14ac:dyDescent="0.3">
      <c r="A9788" s="10"/>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spans="1:26" ht="17.399999999999999" x14ac:dyDescent="0.3">
      <c r="A9789" s="10"/>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spans="1:26" ht="17.399999999999999" x14ac:dyDescent="0.3">
      <c r="A9790" s="10"/>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spans="1:26" ht="17.399999999999999" x14ac:dyDescent="0.3">
      <c r="A9791" s="10"/>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spans="1:26" ht="17.399999999999999" x14ac:dyDescent="0.3">
      <c r="A9792" s="10"/>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spans="1:26" ht="17.399999999999999" x14ac:dyDescent="0.3">
      <c r="A9793" s="10"/>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spans="1:26" ht="17.399999999999999" x14ac:dyDescent="0.3">
      <c r="A9794" s="10"/>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spans="1:26" ht="17.399999999999999" x14ac:dyDescent="0.3">
      <c r="A9795" s="10"/>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spans="1:26" ht="17.399999999999999" x14ac:dyDescent="0.3">
      <c r="A9796" s="10"/>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spans="1:26" ht="17.399999999999999" x14ac:dyDescent="0.3">
      <c r="A9797" s="10"/>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spans="1:26" ht="17.399999999999999" x14ac:dyDescent="0.3">
      <c r="A9798" s="10"/>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spans="1:26" ht="17.399999999999999" x14ac:dyDescent="0.3">
      <c r="A9799" s="10"/>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spans="1:26" ht="17.399999999999999" x14ac:dyDescent="0.3">
      <c r="A9800" s="10"/>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spans="1:26" ht="17.399999999999999" x14ac:dyDescent="0.3">
      <c r="A9801" s="10"/>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spans="1:26" ht="17.399999999999999" x14ac:dyDescent="0.3">
      <c r="A9802" s="10"/>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spans="1:26" ht="17.399999999999999" x14ac:dyDescent="0.3">
      <c r="A9803" s="10"/>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spans="1:26" ht="17.399999999999999" x14ac:dyDescent="0.3">
      <c r="A9804" s="10"/>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spans="1:26" ht="17.399999999999999" x14ac:dyDescent="0.3">
      <c r="A9805" s="10"/>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spans="1:26" ht="17.399999999999999" x14ac:dyDescent="0.3">
      <c r="A9806" s="10"/>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spans="1:26" ht="17.399999999999999" x14ac:dyDescent="0.3">
      <c r="A9807" s="10"/>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spans="1:26" ht="17.399999999999999" x14ac:dyDescent="0.3">
      <c r="A9808" s="10"/>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spans="1:26" ht="17.399999999999999" x14ac:dyDescent="0.3">
      <c r="A9809" s="10"/>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spans="1:26" ht="17.399999999999999" x14ac:dyDescent="0.3">
      <c r="A9810" s="10"/>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spans="1:26" ht="17.399999999999999" x14ac:dyDescent="0.3">
      <c r="A9811" s="10"/>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spans="1:26" ht="17.399999999999999" x14ac:dyDescent="0.3">
      <c r="A9812" s="10"/>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spans="1:26" ht="17.399999999999999" x14ac:dyDescent="0.3">
      <c r="A9813" s="10"/>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spans="1:26" ht="17.399999999999999" x14ac:dyDescent="0.3">
      <c r="A9814" s="10"/>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spans="1:26" ht="17.399999999999999" x14ac:dyDescent="0.3">
      <c r="A9815" s="10"/>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spans="1:26" ht="17.399999999999999" x14ac:dyDescent="0.3">
      <c r="A9816" s="10"/>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spans="1:26" ht="17.399999999999999" x14ac:dyDescent="0.3">
      <c r="A9817" s="10"/>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spans="1:26" ht="17.399999999999999" x14ac:dyDescent="0.3">
      <c r="A9818" s="10"/>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spans="1:26" ht="17.399999999999999" x14ac:dyDescent="0.3">
      <c r="A9819" s="10"/>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spans="1:26" ht="17.399999999999999" x14ac:dyDescent="0.3">
      <c r="A9820" s="10"/>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spans="1:26" ht="17.399999999999999" x14ac:dyDescent="0.3">
      <c r="A9821" s="10"/>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spans="1:26" ht="17.399999999999999" x14ac:dyDescent="0.3">
      <c r="A9822" s="10"/>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spans="1:26" ht="17.399999999999999" x14ac:dyDescent="0.3">
      <c r="A9823" s="10"/>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spans="1:26" ht="17.399999999999999" x14ac:dyDescent="0.3">
      <c r="A9824" s="10"/>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spans="1:26" ht="17.399999999999999" x14ac:dyDescent="0.3">
      <c r="A9825" s="10"/>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spans="1:26" ht="17.399999999999999" x14ac:dyDescent="0.3">
      <c r="A9826" s="10"/>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spans="1:26" ht="17.399999999999999" x14ac:dyDescent="0.3">
      <c r="A9827" s="10"/>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spans="1:26" ht="17.399999999999999" x14ac:dyDescent="0.3">
      <c r="A9828" s="10"/>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spans="1:26" ht="17.399999999999999" x14ac:dyDescent="0.3">
      <c r="A9829" s="10"/>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spans="1:26" ht="17.399999999999999" x14ac:dyDescent="0.3">
      <c r="A9830" s="10"/>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spans="1:26" ht="17.399999999999999" x14ac:dyDescent="0.3">
      <c r="A9831" s="10"/>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spans="1:26" ht="17.399999999999999" x14ac:dyDescent="0.3">
      <c r="A9832" s="10"/>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spans="1:26" ht="17.399999999999999" x14ac:dyDescent="0.3">
      <c r="A9833" s="10"/>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spans="1:26" ht="17.399999999999999" x14ac:dyDescent="0.3">
      <c r="A9834" s="10"/>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spans="1:26" ht="17.399999999999999" x14ac:dyDescent="0.3">
      <c r="A9835" s="10"/>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spans="1:26" ht="17.399999999999999" x14ac:dyDescent="0.3">
      <c r="A9836" s="10"/>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spans="1:26" ht="17.399999999999999" x14ac:dyDescent="0.3">
      <c r="A9837" s="10"/>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spans="1:26" ht="17.399999999999999" x14ac:dyDescent="0.3">
      <c r="A9838" s="10"/>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spans="1:26" ht="17.399999999999999" x14ac:dyDescent="0.3">
      <c r="A9839" s="10"/>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spans="1:26" ht="17.399999999999999" x14ac:dyDescent="0.3">
      <c r="A9840" s="10"/>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spans="1:26" ht="17.399999999999999" x14ac:dyDescent="0.3">
      <c r="A9841" s="10"/>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spans="1:26" ht="17.399999999999999" x14ac:dyDescent="0.3">
      <c r="A9842" s="10"/>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spans="1:26" ht="17.399999999999999" x14ac:dyDescent="0.3">
      <c r="A9843" s="10"/>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spans="1:26" ht="17.399999999999999" x14ac:dyDescent="0.3">
      <c r="A9844" s="10"/>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spans="1:26" ht="17.399999999999999" x14ac:dyDescent="0.3">
      <c r="A9845" s="10"/>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spans="1:26" ht="17.399999999999999" x14ac:dyDescent="0.3">
      <c r="A9846" s="10"/>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spans="1:26" ht="17.399999999999999" x14ac:dyDescent="0.3">
      <c r="A9847" s="10"/>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spans="1:26" ht="17.399999999999999" x14ac:dyDescent="0.3">
      <c r="A9848" s="10"/>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spans="1:26" ht="17.399999999999999" x14ac:dyDescent="0.3">
      <c r="A9849" s="10"/>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spans="1:26" ht="17.399999999999999" x14ac:dyDescent="0.3">
      <c r="A9850" s="10"/>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spans="1:26" ht="17.399999999999999" x14ac:dyDescent="0.3">
      <c r="A9851" s="10"/>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spans="1:26" ht="17.399999999999999" x14ac:dyDescent="0.3">
      <c r="A9852" s="10"/>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spans="1:26" ht="17.399999999999999" x14ac:dyDescent="0.3">
      <c r="A9853" s="10"/>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spans="1:26" ht="17.399999999999999" x14ac:dyDescent="0.3">
      <c r="A9854" s="10"/>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spans="1:26" ht="17.399999999999999" x14ac:dyDescent="0.3">
      <c r="A9855" s="10"/>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spans="1:26" ht="17.399999999999999" x14ac:dyDescent="0.3">
      <c r="A9856" s="10"/>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spans="1:26" ht="17.399999999999999" x14ac:dyDescent="0.3">
      <c r="A9857" s="10"/>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spans="1:26" ht="17.399999999999999" x14ac:dyDescent="0.3">
      <c r="A9858" s="10"/>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spans="1:26" ht="17.399999999999999" x14ac:dyDescent="0.3">
      <c r="A9859" s="10"/>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spans="1:26" ht="17.399999999999999" x14ac:dyDescent="0.3">
      <c r="A9860" s="10"/>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spans="1:26" ht="17.399999999999999" x14ac:dyDescent="0.3">
      <c r="A9861" s="10"/>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spans="1:26" ht="17.399999999999999" x14ac:dyDescent="0.3">
      <c r="A9862" s="10"/>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spans="1:26" ht="17.399999999999999" x14ac:dyDescent="0.3">
      <c r="A9863" s="10"/>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spans="1:26" ht="17.399999999999999" x14ac:dyDescent="0.3">
      <c r="A9864" s="10"/>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spans="1:26" ht="17.399999999999999" x14ac:dyDescent="0.3">
      <c r="A9865" s="10"/>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spans="1:26" ht="17.399999999999999" x14ac:dyDescent="0.3">
      <c r="A9866" s="10"/>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spans="1:26" ht="17.399999999999999" x14ac:dyDescent="0.3">
      <c r="A9867" s="10"/>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spans="1:26" ht="17.399999999999999" x14ac:dyDescent="0.3">
      <c r="A9868" s="10"/>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spans="1:26" ht="17.399999999999999" x14ac:dyDescent="0.3">
      <c r="A9869" s="10"/>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spans="1:26" ht="17.399999999999999" x14ac:dyDescent="0.3">
      <c r="A9870" s="10"/>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spans="1:26" ht="17.399999999999999" x14ac:dyDescent="0.3">
      <c r="A9871" s="10"/>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spans="1:26" ht="17.399999999999999" x14ac:dyDescent="0.3">
      <c r="A9872" s="10"/>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spans="1:26" ht="17.399999999999999" x14ac:dyDescent="0.3">
      <c r="A9873" s="10"/>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spans="1:26" ht="17.399999999999999" x14ac:dyDescent="0.3">
      <c r="A9874" s="10"/>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spans="1:26" ht="17.399999999999999" x14ac:dyDescent="0.3">
      <c r="A9875" s="10"/>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spans="1:26" ht="17.399999999999999" x14ac:dyDescent="0.3">
      <c r="A9876" s="10"/>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spans="1:26" ht="17.399999999999999" x14ac:dyDescent="0.3">
      <c r="A9877" s="10"/>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spans="1:26" ht="17.399999999999999" x14ac:dyDescent="0.3">
      <c r="A9878" s="10"/>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spans="1:26" ht="17.399999999999999" x14ac:dyDescent="0.3">
      <c r="A9879" s="10"/>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spans="1:26" ht="17.399999999999999" x14ac:dyDescent="0.3">
      <c r="A9880" s="10"/>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spans="1:26" ht="17.399999999999999" x14ac:dyDescent="0.3">
      <c r="A9881" s="10"/>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spans="1:26" ht="17.399999999999999" x14ac:dyDescent="0.3">
      <c r="A9882" s="10"/>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spans="1:26" ht="17.399999999999999" x14ac:dyDescent="0.3">
      <c r="A9883" s="10"/>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spans="1:26" ht="17.399999999999999" x14ac:dyDescent="0.3">
      <c r="A9884" s="10"/>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spans="1:26" ht="17.399999999999999" x14ac:dyDescent="0.3">
      <c r="A9885" s="10"/>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spans="1:26" ht="17.399999999999999" x14ac:dyDescent="0.3">
      <c r="A9886" s="10"/>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spans="1:26" ht="17.399999999999999" x14ac:dyDescent="0.3">
      <c r="A9887" s="10"/>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spans="1:26" ht="17.399999999999999" x14ac:dyDescent="0.3">
      <c r="A9888" s="10"/>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spans="1:26" ht="17.399999999999999" x14ac:dyDescent="0.3">
      <c r="A9889" s="10"/>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spans="1:26" ht="17.399999999999999" x14ac:dyDescent="0.3">
      <c r="A9890" s="10"/>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spans="1:26" ht="17.399999999999999" x14ac:dyDescent="0.3">
      <c r="A9891" s="10"/>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spans="1:26" ht="17.399999999999999" x14ac:dyDescent="0.3">
      <c r="A9892" s="10"/>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spans="1:26" ht="17.399999999999999" x14ac:dyDescent="0.3">
      <c r="A9893" s="10"/>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spans="1:26" ht="17.399999999999999" x14ac:dyDescent="0.3">
      <c r="A9894" s="10"/>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spans="1:26" ht="17.399999999999999" x14ac:dyDescent="0.3">
      <c r="A9895" s="10"/>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spans="1:26" ht="17.399999999999999" x14ac:dyDescent="0.3">
      <c r="A9896" s="10"/>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spans="1:26" ht="17.399999999999999" x14ac:dyDescent="0.3">
      <c r="A9897" s="10"/>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spans="1:26" ht="17.399999999999999" x14ac:dyDescent="0.3">
      <c r="A9898" s="10"/>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spans="1:26" ht="17.399999999999999" x14ac:dyDescent="0.3">
      <c r="A9899" s="10"/>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spans="1:26" ht="17.399999999999999" x14ac:dyDescent="0.3">
      <c r="A9900" s="10"/>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spans="1:26" ht="17.399999999999999" x14ac:dyDescent="0.3">
      <c r="A9901" s="10"/>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spans="1:26" ht="17.399999999999999" x14ac:dyDescent="0.3">
      <c r="A9902" s="10"/>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spans="1:26" ht="17.399999999999999" x14ac:dyDescent="0.3">
      <c r="A9903" s="10"/>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spans="1:26" ht="17.399999999999999" x14ac:dyDescent="0.3">
      <c r="A9904" s="10"/>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spans="1:26" ht="17.399999999999999" x14ac:dyDescent="0.3">
      <c r="A9905" s="10"/>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spans="1:26" ht="17.399999999999999" x14ac:dyDescent="0.3">
      <c r="A9906" s="10"/>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spans="1:26" ht="17.399999999999999" x14ac:dyDescent="0.3">
      <c r="A9907" s="10"/>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spans="1:26" ht="17.399999999999999" x14ac:dyDescent="0.3">
      <c r="A9908" s="10"/>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spans="1:26" ht="17.399999999999999" x14ac:dyDescent="0.3">
      <c r="A9909" s="10"/>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spans="1:26" ht="17.399999999999999" x14ac:dyDescent="0.3">
      <c r="A9910" s="10"/>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spans="1:26" ht="17.399999999999999" x14ac:dyDescent="0.3">
      <c r="A9911" s="10"/>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spans="1:26" ht="17.399999999999999" x14ac:dyDescent="0.3">
      <c r="A9912" s="10"/>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spans="1:26" ht="17.399999999999999" x14ac:dyDescent="0.3">
      <c r="A9913" s="10"/>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spans="1:26" ht="17.399999999999999" x14ac:dyDescent="0.3">
      <c r="A9914" s="10"/>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spans="1:26" ht="17.399999999999999" x14ac:dyDescent="0.3">
      <c r="A9915" s="10"/>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spans="1:26" ht="17.399999999999999" x14ac:dyDescent="0.3">
      <c r="A9916" s="10"/>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spans="1:26" ht="17.399999999999999" x14ac:dyDescent="0.3">
      <c r="A9917" s="10"/>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spans="1:26" ht="17.399999999999999" x14ac:dyDescent="0.3">
      <c r="A9918" s="10"/>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spans="1:26" ht="17.399999999999999" x14ac:dyDescent="0.3">
      <c r="A9919" s="10"/>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spans="1:26" ht="17.399999999999999" x14ac:dyDescent="0.3">
      <c r="A9920" s="10"/>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spans="1:26" ht="17.399999999999999" x14ac:dyDescent="0.3">
      <c r="A9921" s="10"/>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spans="1:26" ht="17.399999999999999" x14ac:dyDescent="0.3">
      <c r="A9922" s="10"/>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spans="1:26" ht="17.399999999999999" x14ac:dyDescent="0.3">
      <c r="A9923" s="10"/>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spans="1:26" ht="17.399999999999999" x14ac:dyDescent="0.3">
      <c r="A9924" s="10"/>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spans="1:26" ht="17.399999999999999" x14ac:dyDescent="0.3">
      <c r="A9925" s="10"/>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spans="1:26" ht="17.399999999999999" x14ac:dyDescent="0.3">
      <c r="A9926" s="10"/>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spans="1:26" ht="17.399999999999999" x14ac:dyDescent="0.3">
      <c r="A9927" s="10"/>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spans="1:26" ht="17.399999999999999" x14ac:dyDescent="0.3">
      <c r="A9928" s="10"/>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spans="1:26" ht="17.399999999999999" x14ac:dyDescent="0.3">
      <c r="A9929" s="10"/>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spans="1:26" ht="17.399999999999999" x14ac:dyDescent="0.3">
      <c r="A9930" s="10"/>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spans="1:26" ht="17.399999999999999" x14ac:dyDescent="0.3">
      <c r="A9931" s="10"/>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spans="1:26" ht="17.399999999999999" x14ac:dyDescent="0.3">
      <c r="A9932" s="10"/>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spans="1:26" ht="17.399999999999999" x14ac:dyDescent="0.3">
      <c r="A9933" s="10"/>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spans="1:26" ht="17.399999999999999" x14ac:dyDescent="0.3">
      <c r="A9934" s="10"/>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spans="1:26" ht="17.399999999999999" x14ac:dyDescent="0.3">
      <c r="A9935" s="10"/>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spans="1:26" ht="17.399999999999999" x14ac:dyDescent="0.3">
      <c r="A9936" s="10"/>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spans="1:26" ht="17.399999999999999" x14ac:dyDescent="0.3">
      <c r="A9937" s="10"/>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spans="1:26" ht="17.399999999999999" x14ac:dyDescent="0.3">
      <c r="A9938" s="10"/>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spans="1:26" ht="17.399999999999999" x14ac:dyDescent="0.3">
      <c r="A9939" s="10"/>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spans="1:26" ht="17.399999999999999" x14ac:dyDescent="0.3">
      <c r="A9940" s="10"/>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spans="1:26" ht="17.399999999999999" x14ac:dyDescent="0.3">
      <c r="A9941" s="10"/>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spans="1:26" ht="17.399999999999999" x14ac:dyDescent="0.3">
      <c r="A9942" s="10"/>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spans="1:26" ht="17.399999999999999" x14ac:dyDescent="0.3">
      <c r="A9943" s="10"/>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spans="1:26" ht="17.399999999999999" x14ac:dyDescent="0.3">
      <c r="A9944" s="10"/>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spans="1:26" ht="17.399999999999999" x14ac:dyDescent="0.3">
      <c r="A9945" s="10"/>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spans="1:26" ht="17.399999999999999" x14ac:dyDescent="0.3">
      <c r="A9946" s="10"/>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spans="1:26" ht="17.399999999999999" x14ac:dyDescent="0.3">
      <c r="A9947" s="10"/>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spans="1:26" ht="17.399999999999999" x14ac:dyDescent="0.3">
      <c r="A9948" s="10"/>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spans="1:26" ht="17.399999999999999" x14ac:dyDescent="0.3">
      <c r="A9949" s="10"/>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spans="1:26" ht="17.399999999999999" x14ac:dyDescent="0.3">
      <c r="A9950" s="10"/>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spans="1:26" ht="17.399999999999999" x14ac:dyDescent="0.3">
      <c r="A9951" s="10"/>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spans="1:26" ht="17.399999999999999" x14ac:dyDescent="0.3">
      <c r="A9952" s="10"/>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spans="1:26" ht="17.399999999999999" x14ac:dyDescent="0.3">
      <c r="A9953" s="10"/>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spans="1:26" ht="17.399999999999999" x14ac:dyDescent="0.3">
      <c r="A9954" s="10"/>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spans="1:26" ht="17.399999999999999" x14ac:dyDescent="0.3">
      <c r="A9955" s="10"/>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spans="1:26" ht="17.399999999999999" x14ac:dyDescent="0.3">
      <c r="A9956" s="10"/>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spans="1:26" ht="17.399999999999999" x14ac:dyDescent="0.3">
      <c r="A9957" s="10"/>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spans="1:26" ht="17.399999999999999" x14ac:dyDescent="0.3">
      <c r="A9958" s="10"/>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spans="1:26" ht="17.399999999999999" x14ac:dyDescent="0.3">
      <c r="A9959" s="10"/>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spans="1:26" ht="17.399999999999999" x14ac:dyDescent="0.3">
      <c r="A9960" s="10"/>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spans="1:26" ht="17.399999999999999" x14ac:dyDescent="0.3">
      <c r="A9961" s="10"/>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spans="1:26" ht="17.399999999999999" x14ac:dyDescent="0.3">
      <c r="A9962" s="10"/>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spans="1:26" ht="17.399999999999999" x14ac:dyDescent="0.3">
      <c r="A9963" s="10"/>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spans="1:26" ht="17.399999999999999" x14ac:dyDescent="0.3">
      <c r="A9964" s="10"/>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spans="1:26" ht="17.399999999999999" x14ac:dyDescent="0.3">
      <c r="A9965" s="10"/>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spans="1:26" ht="17.399999999999999" x14ac:dyDescent="0.3">
      <c r="A9966" s="10"/>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spans="1:26" ht="17.399999999999999" x14ac:dyDescent="0.3">
      <c r="A9967" s="10"/>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spans="1:26" ht="17.399999999999999" x14ac:dyDescent="0.3">
      <c r="A9968" s="10"/>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spans="1:26" ht="17.399999999999999" x14ac:dyDescent="0.3">
      <c r="A9969" s="10"/>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spans="1:26" ht="17.399999999999999" x14ac:dyDescent="0.3">
      <c r="A9970" s="10"/>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spans="1:26" ht="17.399999999999999" x14ac:dyDescent="0.3">
      <c r="A9971" s="10"/>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spans="1:26" ht="17.399999999999999" x14ac:dyDescent="0.3">
      <c r="A9972" s="10"/>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spans="1:26" ht="17.399999999999999" x14ac:dyDescent="0.3">
      <c r="A9973" s="10"/>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spans="1:26" ht="17.399999999999999" x14ac:dyDescent="0.3">
      <c r="A9974" s="10"/>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spans="1:26" ht="17.399999999999999" x14ac:dyDescent="0.3">
      <c r="A9975" s="10"/>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spans="1:26" ht="17.399999999999999" x14ac:dyDescent="0.3">
      <c r="A9976" s="10"/>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spans="1:26" ht="17.399999999999999" x14ac:dyDescent="0.3">
      <c r="A9977" s="10"/>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spans="1:26" ht="17.399999999999999" x14ac:dyDescent="0.3">
      <c r="A9978" s="10"/>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spans="1:26" ht="17.399999999999999" x14ac:dyDescent="0.3">
      <c r="A9979" s="10"/>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spans="1:26" ht="17.399999999999999" x14ac:dyDescent="0.3">
      <c r="A9980" s="10"/>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spans="1:26" ht="17.399999999999999" x14ac:dyDescent="0.3">
      <c r="A9981" s="10"/>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spans="1:26" ht="17.399999999999999" x14ac:dyDescent="0.3">
      <c r="A9982" s="10"/>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spans="1:26" ht="17.399999999999999" x14ac:dyDescent="0.3">
      <c r="A9983" s="10"/>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spans="1:26" ht="17.399999999999999" x14ac:dyDescent="0.3">
      <c r="A9984" s="10"/>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spans="1:26" ht="17.399999999999999" x14ac:dyDescent="0.3">
      <c r="A9985" s="10"/>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spans="1:26" ht="17.399999999999999" x14ac:dyDescent="0.3">
      <c r="A9986" s="10"/>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spans="1:26" ht="17.399999999999999" x14ac:dyDescent="0.3">
      <c r="A9987" s="10"/>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spans="1:26" ht="17.399999999999999" x14ac:dyDescent="0.3">
      <c r="A9988" s="10"/>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spans="1:26" ht="17.399999999999999" x14ac:dyDescent="0.3">
      <c r="A9989" s="10"/>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spans="1:26" ht="17.399999999999999" x14ac:dyDescent="0.3">
      <c r="A9990" s="10"/>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spans="1:26" ht="17.399999999999999" x14ac:dyDescent="0.3">
      <c r="A9991" s="10"/>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spans="1:26" ht="17.399999999999999" x14ac:dyDescent="0.3">
      <c r="A9992" s="10"/>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spans="1:26" ht="17.399999999999999" x14ac:dyDescent="0.3">
      <c r="A9993" s="10"/>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spans="1:26" ht="17.399999999999999" x14ac:dyDescent="0.3">
      <c r="A9994" s="10"/>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spans="1:26" ht="17.399999999999999" x14ac:dyDescent="0.3">
      <c r="A9995" s="10"/>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spans="1:26" ht="17.399999999999999" x14ac:dyDescent="0.3">
      <c r="A9996" s="10"/>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spans="1:26" ht="17.399999999999999" x14ac:dyDescent="0.3">
      <c r="A9997" s="10"/>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spans="1:26" ht="17.399999999999999" x14ac:dyDescent="0.3">
      <c r="A9998" s="10"/>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spans="1:26" ht="17.399999999999999" x14ac:dyDescent="0.3">
      <c r="A9999" s="10"/>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row r="10000" spans="1:26" ht="17.399999999999999" x14ac:dyDescent="0.3">
      <c r="A10000" s="10"/>
      <c r="B10000" s="2"/>
      <c r="C10000" s="2"/>
      <c r="D10000" s="2"/>
      <c r="E10000" s="2"/>
      <c r="F10000" s="2"/>
      <c r="G10000" s="2"/>
      <c r="H10000" s="2"/>
      <c r="I10000" s="2"/>
      <c r="J10000" s="2"/>
      <c r="K10000" s="2"/>
      <c r="L10000" s="2"/>
      <c r="M10000" s="2"/>
      <c r="N10000" s="2"/>
      <c r="O10000" s="2"/>
      <c r="P10000" s="2"/>
      <c r="Q10000" s="2"/>
      <c r="R10000" s="2"/>
      <c r="S10000" s="2"/>
      <c r="T10000" s="2"/>
      <c r="U10000" s="2"/>
      <c r="V10000" s="2"/>
      <c r="W10000" s="2"/>
      <c r="X10000" s="2"/>
      <c r="Y10000" s="2"/>
      <c r="Z10000" s="2"/>
    </row>
    <row r="10001" spans="1:26" ht="17.399999999999999" x14ac:dyDescent="0.3">
      <c r="A10001" s="10"/>
      <c r="B10001" s="2"/>
      <c r="C10001" s="2"/>
      <c r="D10001" s="2"/>
      <c r="E10001" s="2"/>
      <c r="F10001" s="2"/>
      <c r="G10001" s="2"/>
      <c r="H10001" s="2"/>
      <c r="I10001" s="2"/>
      <c r="J10001" s="2"/>
      <c r="K10001" s="2"/>
      <c r="L10001" s="2"/>
      <c r="M10001" s="2"/>
      <c r="N10001" s="2"/>
      <c r="O10001" s="2"/>
      <c r="P10001" s="2"/>
      <c r="Q10001" s="2"/>
      <c r="R10001" s="2"/>
      <c r="S10001" s="2"/>
      <c r="T10001" s="2"/>
      <c r="U10001" s="2"/>
      <c r="V10001" s="2"/>
      <c r="W10001" s="2"/>
      <c r="X10001" s="2"/>
      <c r="Y10001" s="2"/>
      <c r="Z10001" s="2"/>
    </row>
    <row r="10002" spans="1:26" ht="17.399999999999999" x14ac:dyDescent="0.3">
      <c r="A10002" s="10"/>
      <c r="B10002" s="2"/>
      <c r="C10002" s="2"/>
      <c r="D10002" s="2"/>
      <c r="E10002" s="2"/>
      <c r="F10002" s="2"/>
      <c r="G10002" s="2"/>
      <c r="H10002" s="2"/>
      <c r="I10002" s="2"/>
      <c r="J10002" s="2"/>
      <c r="K10002" s="2"/>
      <c r="L10002" s="2"/>
      <c r="M10002" s="2"/>
      <c r="N10002" s="2"/>
      <c r="O10002" s="2"/>
      <c r="P10002" s="2"/>
      <c r="Q10002" s="2"/>
      <c r="R10002" s="2"/>
      <c r="S10002" s="2"/>
      <c r="T10002" s="2"/>
      <c r="U10002" s="2"/>
      <c r="V10002" s="2"/>
      <c r="W10002" s="2"/>
      <c r="X10002" s="2"/>
      <c r="Y10002" s="2"/>
      <c r="Z10002" s="2"/>
    </row>
    <row r="10003" spans="1:26" ht="17.399999999999999" x14ac:dyDescent="0.3">
      <c r="A10003" s="10"/>
      <c r="B10003" s="2"/>
      <c r="C10003" s="2"/>
      <c r="D10003" s="2"/>
      <c r="E10003" s="2"/>
      <c r="F10003" s="2"/>
      <c r="G10003" s="2"/>
      <c r="H10003" s="2"/>
      <c r="I10003" s="2"/>
      <c r="J10003" s="2"/>
      <c r="K10003" s="2"/>
      <c r="L10003" s="2"/>
      <c r="M10003" s="2"/>
      <c r="N10003" s="2"/>
      <c r="O10003" s="2"/>
      <c r="P10003" s="2"/>
      <c r="Q10003" s="2"/>
      <c r="R10003" s="2"/>
      <c r="S10003" s="2"/>
      <c r="T10003" s="2"/>
      <c r="U10003" s="2"/>
      <c r="V10003" s="2"/>
      <c r="W10003" s="2"/>
      <c r="X10003" s="2"/>
      <c r="Y10003" s="2"/>
      <c r="Z10003" s="2"/>
    </row>
    <row r="10004" spans="1:26" ht="17.399999999999999" x14ac:dyDescent="0.3">
      <c r="A10004" s="10"/>
      <c r="B10004" s="2"/>
      <c r="C10004" s="2"/>
      <c r="D10004" s="2"/>
      <c r="E10004" s="2"/>
      <c r="F10004" s="2"/>
      <c r="G10004" s="2"/>
      <c r="H10004" s="2"/>
      <c r="I10004" s="2"/>
      <c r="J10004" s="2"/>
      <c r="K10004" s="2"/>
      <c r="L10004" s="2"/>
      <c r="M10004" s="2"/>
      <c r="N10004" s="2"/>
      <c r="O10004" s="2"/>
      <c r="P10004" s="2"/>
      <c r="Q10004" s="2"/>
      <c r="R10004" s="2"/>
      <c r="S10004" s="2"/>
      <c r="T10004" s="2"/>
      <c r="U10004" s="2"/>
      <c r="V10004" s="2"/>
      <c r="W10004" s="2"/>
      <c r="X10004" s="2"/>
      <c r="Y10004" s="2"/>
      <c r="Z10004" s="2"/>
    </row>
    <row r="10005" spans="1:26" ht="17.399999999999999" x14ac:dyDescent="0.3">
      <c r="A10005" s="10"/>
      <c r="B10005" s="2"/>
      <c r="C10005" s="2"/>
      <c r="D10005" s="2"/>
      <c r="E10005" s="2"/>
      <c r="F10005" s="2"/>
      <c r="G10005" s="2"/>
      <c r="H10005" s="2"/>
      <c r="I10005" s="2"/>
      <c r="J10005" s="2"/>
      <c r="K10005" s="2"/>
      <c r="L10005" s="2"/>
      <c r="M10005" s="2"/>
      <c r="N10005" s="2"/>
      <c r="O10005" s="2"/>
      <c r="P10005" s="2"/>
      <c r="Q10005" s="2"/>
      <c r="R10005" s="2"/>
      <c r="S10005" s="2"/>
      <c r="T10005" s="2"/>
      <c r="U10005" s="2"/>
      <c r="V10005" s="2"/>
      <c r="W10005" s="2"/>
      <c r="X10005" s="2"/>
      <c r="Y10005" s="2"/>
      <c r="Z10005" s="2"/>
    </row>
    <row r="10006" spans="1:26" ht="17.399999999999999" x14ac:dyDescent="0.3">
      <c r="A10006" s="10"/>
      <c r="B10006" s="2"/>
      <c r="C10006" s="2"/>
      <c r="D10006" s="2"/>
      <c r="E10006" s="2"/>
      <c r="F10006" s="2"/>
      <c r="G10006" s="2"/>
      <c r="H10006" s="2"/>
      <c r="I10006" s="2"/>
      <c r="J10006" s="2"/>
      <c r="K10006" s="2"/>
      <c r="L10006" s="2"/>
      <c r="M10006" s="2"/>
      <c r="N10006" s="2"/>
      <c r="O10006" s="2"/>
      <c r="P10006" s="2"/>
      <c r="Q10006" s="2"/>
      <c r="R10006" s="2"/>
      <c r="S10006" s="2"/>
      <c r="T10006" s="2"/>
      <c r="U10006" s="2"/>
      <c r="V10006" s="2"/>
      <c r="W10006" s="2"/>
      <c r="X10006" s="2"/>
      <c r="Y10006" s="2"/>
      <c r="Z10006" s="2"/>
    </row>
    <row r="10007" spans="1:26" ht="17.399999999999999" x14ac:dyDescent="0.3">
      <c r="A10007" s="10"/>
      <c r="B10007" s="2"/>
      <c r="C10007" s="2"/>
      <c r="D10007" s="2"/>
      <c r="E10007" s="2"/>
      <c r="F10007" s="2"/>
      <c r="G10007" s="2"/>
      <c r="H10007" s="2"/>
      <c r="I10007" s="2"/>
      <c r="J10007" s="2"/>
      <c r="K10007" s="2"/>
      <c r="L10007" s="2"/>
      <c r="M10007" s="2"/>
      <c r="N10007" s="2"/>
      <c r="O10007" s="2"/>
      <c r="P10007" s="2"/>
      <c r="Q10007" s="2"/>
      <c r="R10007" s="2"/>
      <c r="S10007" s="2"/>
      <c r="T10007" s="2"/>
      <c r="U10007" s="2"/>
      <c r="V10007" s="2"/>
      <c r="W10007" s="2"/>
      <c r="X10007" s="2"/>
      <c r="Y10007" s="2"/>
      <c r="Z10007" s="2"/>
    </row>
    <row r="10008" spans="1:26" ht="17.399999999999999" x14ac:dyDescent="0.3">
      <c r="A10008" s="10"/>
      <c r="B10008" s="2"/>
      <c r="C10008" s="2"/>
      <c r="D10008" s="2"/>
      <c r="E10008" s="2"/>
      <c r="F10008" s="2"/>
      <c r="G10008" s="2"/>
      <c r="H10008" s="2"/>
      <c r="I10008" s="2"/>
      <c r="J10008" s="2"/>
      <c r="K10008" s="2"/>
      <c r="L10008" s="2"/>
      <c r="M10008" s="2"/>
      <c r="N10008" s="2"/>
      <c r="O10008" s="2"/>
      <c r="P10008" s="2"/>
      <c r="Q10008" s="2"/>
      <c r="R10008" s="2"/>
      <c r="S10008" s="2"/>
      <c r="T10008" s="2"/>
      <c r="U10008" s="2"/>
      <c r="V10008" s="2"/>
      <c r="W10008" s="2"/>
      <c r="X10008" s="2"/>
      <c r="Y10008" s="2"/>
      <c r="Z10008" s="2"/>
    </row>
    <row r="10009" spans="1:26" ht="17.399999999999999" x14ac:dyDescent="0.3">
      <c r="A10009" s="10"/>
      <c r="B10009" s="2"/>
      <c r="C10009" s="2"/>
      <c r="D10009" s="2"/>
      <c r="E10009" s="2"/>
      <c r="F10009" s="2"/>
      <c r="G10009" s="2"/>
      <c r="H10009" s="2"/>
      <c r="I10009" s="2"/>
      <c r="J10009" s="2"/>
      <c r="K10009" s="2"/>
      <c r="L10009" s="2"/>
      <c r="M10009" s="2"/>
      <c r="N10009" s="2"/>
      <c r="O10009" s="2"/>
      <c r="P10009" s="2"/>
      <c r="Q10009" s="2"/>
      <c r="R10009" s="2"/>
      <c r="S10009" s="2"/>
      <c r="T10009" s="2"/>
      <c r="U10009" s="2"/>
      <c r="V10009" s="2"/>
      <c r="W10009" s="2"/>
      <c r="X10009" s="2"/>
      <c r="Y10009" s="2"/>
      <c r="Z10009" s="2"/>
    </row>
    <row r="10010" spans="1:26" ht="17.399999999999999" x14ac:dyDescent="0.3">
      <c r="A10010" s="10"/>
      <c r="B10010" s="2"/>
      <c r="C10010" s="2"/>
      <c r="D10010" s="2"/>
      <c r="E10010" s="2"/>
      <c r="F10010" s="2"/>
      <c r="G10010" s="2"/>
      <c r="H10010" s="2"/>
      <c r="I10010" s="2"/>
      <c r="J10010" s="2"/>
      <c r="K10010" s="2"/>
      <c r="L10010" s="2"/>
      <c r="M10010" s="2"/>
      <c r="N10010" s="2"/>
      <c r="O10010" s="2"/>
      <c r="P10010" s="2"/>
      <c r="Q10010" s="2"/>
      <c r="R10010" s="2"/>
      <c r="S10010" s="2"/>
      <c r="T10010" s="2"/>
      <c r="U10010" s="2"/>
      <c r="V10010" s="2"/>
      <c r="W10010" s="2"/>
      <c r="X10010" s="2"/>
      <c r="Y10010" s="2"/>
      <c r="Z10010" s="2"/>
    </row>
    <row r="10011" spans="1:26" ht="17.399999999999999" x14ac:dyDescent="0.3">
      <c r="A10011" s="10"/>
      <c r="B10011" s="2"/>
      <c r="C10011" s="2"/>
      <c r="D10011" s="2"/>
      <c r="E10011" s="2"/>
      <c r="F10011" s="2"/>
      <c r="G10011" s="2"/>
      <c r="H10011" s="2"/>
      <c r="I10011" s="2"/>
      <c r="J10011" s="2"/>
      <c r="K10011" s="2"/>
      <c r="L10011" s="2"/>
      <c r="M10011" s="2"/>
      <c r="N10011" s="2"/>
      <c r="O10011" s="2"/>
      <c r="P10011" s="2"/>
      <c r="Q10011" s="2"/>
      <c r="R10011" s="2"/>
      <c r="S10011" s="2"/>
      <c r="T10011" s="2"/>
      <c r="U10011" s="2"/>
      <c r="V10011" s="2"/>
      <c r="W10011" s="2"/>
      <c r="X10011" s="2"/>
      <c r="Y10011" s="2"/>
      <c r="Z10011" s="2"/>
    </row>
    <row r="10012" spans="1:26" ht="17.399999999999999" x14ac:dyDescent="0.3">
      <c r="A10012" s="10"/>
      <c r="B10012" s="2"/>
      <c r="C10012" s="2"/>
      <c r="D10012" s="2"/>
      <c r="E10012" s="2"/>
      <c r="F10012" s="2"/>
      <c r="G10012" s="2"/>
      <c r="H10012" s="2"/>
      <c r="I10012" s="2"/>
      <c r="J10012" s="2"/>
      <c r="K10012" s="2"/>
      <c r="L10012" s="2"/>
      <c r="M10012" s="2"/>
      <c r="N10012" s="2"/>
      <c r="O10012" s="2"/>
      <c r="P10012" s="2"/>
      <c r="Q10012" s="2"/>
      <c r="R10012" s="2"/>
      <c r="S10012" s="2"/>
      <c r="T10012" s="2"/>
      <c r="U10012" s="2"/>
      <c r="V10012" s="2"/>
      <c r="W10012" s="2"/>
      <c r="X10012" s="2"/>
      <c r="Y10012" s="2"/>
      <c r="Z10012" s="2"/>
    </row>
    <row r="10013" spans="1:26" ht="17.399999999999999" x14ac:dyDescent="0.3">
      <c r="A10013" s="10"/>
      <c r="B10013" s="2"/>
      <c r="C10013" s="2"/>
      <c r="D10013" s="2"/>
      <c r="E10013" s="2"/>
      <c r="F10013" s="2"/>
      <c r="G10013" s="2"/>
      <c r="H10013" s="2"/>
      <c r="I10013" s="2"/>
      <c r="J10013" s="2"/>
      <c r="K10013" s="2"/>
      <c r="L10013" s="2"/>
      <c r="M10013" s="2"/>
      <c r="N10013" s="2"/>
      <c r="O10013" s="2"/>
      <c r="P10013" s="2"/>
      <c r="Q10013" s="2"/>
      <c r="R10013" s="2"/>
      <c r="S10013" s="2"/>
      <c r="T10013" s="2"/>
      <c r="U10013" s="2"/>
      <c r="V10013" s="2"/>
      <c r="W10013" s="2"/>
      <c r="X10013" s="2"/>
      <c r="Y10013" s="2"/>
      <c r="Z10013" s="2"/>
    </row>
    <row r="10014" spans="1:26" ht="17.399999999999999" x14ac:dyDescent="0.3">
      <c r="A10014" s="10"/>
      <c r="B10014" s="2"/>
      <c r="C10014" s="2"/>
      <c r="D10014" s="2"/>
      <c r="E10014" s="2"/>
      <c r="F10014" s="2"/>
      <c r="G10014" s="2"/>
      <c r="H10014" s="2"/>
      <c r="I10014" s="2"/>
      <c r="J10014" s="2"/>
      <c r="K10014" s="2"/>
      <c r="L10014" s="2"/>
      <c r="M10014" s="2"/>
      <c r="N10014" s="2"/>
      <c r="O10014" s="2"/>
      <c r="P10014" s="2"/>
      <c r="Q10014" s="2"/>
      <c r="R10014" s="2"/>
      <c r="S10014" s="2"/>
      <c r="T10014" s="2"/>
      <c r="U10014" s="2"/>
      <c r="V10014" s="2"/>
      <c r="W10014" s="2"/>
      <c r="X10014" s="2"/>
      <c r="Y10014" s="2"/>
      <c r="Z10014" s="2"/>
    </row>
    <row r="10015" spans="1:26" ht="17.399999999999999" x14ac:dyDescent="0.3">
      <c r="A10015" s="10"/>
      <c r="B10015" s="2"/>
      <c r="C10015" s="2"/>
      <c r="D10015" s="2"/>
      <c r="E10015" s="2"/>
      <c r="F10015" s="2"/>
      <c r="G10015" s="2"/>
      <c r="H10015" s="2"/>
      <c r="I10015" s="2"/>
      <c r="J10015" s="2"/>
      <c r="K10015" s="2"/>
      <c r="L10015" s="2"/>
      <c r="M10015" s="2"/>
      <c r="N10015" s="2"/>
      <c r="O10015" s="2"/>
      <c r="P10015" s="2"/>
      <c r="Q10015" s="2"/>
      <c r="R10015" s="2"/>
      <c r="S10015" s="2"/>
      <c r="T10015" s="2"/>
      <c r="U10015" s="2"/>
      <c r="V10015" s="2"/>
      <c r="W10015" s="2"/>
      <c r="X10015" s="2"/>
      <c r="Y10015" s="2"/>
      <c r="Z10015" s="2"/>
    </row>
    <row r="10016" spans="1:26" ht="17.399999999999999" x14ac:dyDescent="0.3">
      <c r="A10016" s="10"/>
      <c r="B10016" s="2"/>
      <c r="C10016" s="2"/>
      <c r="D10016" s="2"/>
      <c r="E10016" s="2"/>
      <c r="F10016" s="2"/>
      <c r="G10016" s="2"/>
      <c r="H10016" s="2"/>
      <c r="I10016" s="2"/>
      <c r="J10016" s="2"/>
      <c r="K10016" s="2"/>
      <c r="L10016" s="2"/>
      <c r="M10016" s="2"/>
      <c r="N10016" s="2"/>
      <c r="O10016" s="2"/>
      <c r="P10016" s="2"/>
      <c r="Q10016" s="2"/>
      <c r="R10016" s="2"/>
      <c r="S10016" s="2"/>
      <c r="T10016" s="2"/>
      <c r="U10016" s="2"/>
      <c r="V10016" s="2"/>
      <c r="W10016" s="2"/>
      <c r="X10016" s="2"/>
      <c r="Y10016" s="2"/>
      <c r="Z10016" s="2"/>
    </row>
    <row r="10017" spans="1:26" ht="17.399999999999999" x14ac:dyDescent="0.3">
      <c r="A10017" s="10"/>
      <c r="B10017" s="2"/>
      <c r="C10017" s="2"/>
      <c r="D10017" s="2"/>
      <c r="E10017" s="2"/>
      <c r="F10017" s="2"/>
      <c r="G10017" s="2"/>
      <c r="H10017" s="2"/>
      <c r="I10017" s="2"/>
      <c r="J10017" s="2"/>
      <c r="K10017" s="2"/>
      <c r="L10017" s="2"/>
      <c r="M10017" s="2"/>
      <c r="N10017" s="2"/>
      <c r="O10017" s="2"/>
      <c r="P10017" s="2"/>
      <c r="Q10017" s="2"/>
      <c r="R10017" s="2"/>
      <c r="S10017" s="2"/>
      <c r="T10017" s="2"/>
      <c r="U10017" s="2"/>
      <c r="V10017" s="2"/>
      <c r="W10017" s="2"/>
      <c r="X10017" s="2"/>
      <c r="Y10017" s="2"/>
      <c r="Z10017" s="2"/>
    </row>
    <row r="10018" spans="1:26" ht="17.399999999999999" x14ac:dyDescent="0.3">
      <c r="A10018" s="10"/>
      <c r="B10018" s="2"/>
      <c r="C10018" s="2"/>
      <c r="D10018" s="2"/>
      <c r="E10018" s="2"/>
      <c r="F10018" s="2"/>
      <c r="G10018" s="2"/>
      <c r="H10018" s="2"/>
      <c r="I10018" s="2"/>
      <c r="J10018" s="2"/>
      <c r="K10018" s="2"/>
      <c r="L10018" s="2"/>
      <c r="M10018" s="2"/>
      <c r="N10018" s="2"/>
      <c r="O10018" s="2"/>
      <c r="P10018" s="2"/>
      <c r="Q10018" s="2"/>
      <c r="R10018" s="2"/>
      <c r="S10018" s="2"/>
      <c r="T10018" s="2"/>
      <c r="U10018" s="2"/>
      <c r="V10018" s="2"/>
      <c r="W10018" s="2"/>
      <c r="X10018" s="2"/>
      <c r="Y10018" s="2"/>
      <c r="Z10018" s="2"/>
    </row>
    <row r="10019" spans="1:26" ht="17.399999999999999" x14ac:dyDescent="0.3">
      <c r="A10019" s="10"/>
      <c r="B10019" s="2"/>
      <c r="C10019" s="2"/>
      <c r="D10019" s="2"/>
      <c r="E10019" s="2"/>
      <c r="F10019" s="2"/>
      <c r="G10019" s="2"/>
      <c r="H10019" s="2"/>
      <c r="I10019" s="2"/>
      <c r="J10019" s="2"/>
      <c r="K10019" s="2"/>
      <c r="L10019" s="2"/>
      <c r="M10019" s="2"/>
      <c r="N10019" s="2"/>
      <c r="O10019" s="2"/>
      <c r="P10019" s="2"/>
      <c r="Q10019" s="2"/>
      <c r="R10019" s="2"/>
      <c r="S10019" s="2"/>
      <c r="T10019" s="2"/>
      <c r="U10019" s="2"/>
      <c r="V10019" s="2"/>
      <c r="W10019" s="2"/>
      <c r="X10019" s="2"/>
      <c r="Y10019" s="2"/>
      <c r="Z10019" s="2"/>
    </row>
    <row r="10020" spans="1:26" ht="17.399999999999999" x14ac:dyDescent="0.3">
      <c r="A10020" s="10"/>
      <c r="B10020" s="2"/>
      <c r="C10020" s="2"/>
      <c r="D10020" s="2"/>
      <c r="E10020" s="2"/>
      <c r="F10020" s="2"/>
      <c r="G10020" s="2"/>
      <c r="H10020" s="2"/>
      <c r="I10020" s="2"/>
      <c r="J10020" s="2"/>
      <c r="K10020" s="2"/>
      <c r="L10020" s="2"/>
      <c r="M10020" s="2"/>
      <c r="N10020" s="2"/>
      <c r="O10020" s="2"/>
      <c r="P10020" s="2"/>
      <c r="Q10020" s="2"/>
      <c r="R10020" s="2"/>
      <c r="S10020" s="2"/>
      <c r="T10020" s="2"/>
      <c r="U10020" s="2"/>
      <c r="V10020" s="2"/>
      <c r="W10020" s="2"/>
      <c r="X10020" s="2"/>
      <c r="Y10020" s="2"/>
      <c r="Z10020" s="2"/>
    </row>
    <row r="10021" spans="1:26" ht="17.399999999999999" x14ac:dyDescent="0.3">
      <c r="A10021" s="10"/>
      <c r="B10021" s="2"/>
      <c r="C10021" s="2"/>
      <c r="D10021" s="2"/>
      <c r="E10021" s="2"/>
      <c r="F10021" s="2"/>
      <c r="G10021" s="2"/>
      <c r="H10021" s="2"/>
      <c r="I10021" s="2"/>
      <c r="J10021" s="2"/>
      <c r="K10021" s="2"/>
      <c r="L10021" s="2"/>
      <c r="M10021" s="2"/>
      <c r="N10021" s="2"/>
      <c r="O10021" s="2"/>
      <c r="P10021" s="2"/>
      <c r="Q10021" s="2"/>
      <c r="R10021" s="2"/>
      <c r="S10021" s="2"/>
      <c r="T10021" s="2"/>
      <c r="U10021" s="2"/>
      <c r="V10021" s="2"/>
      <c r="W10021" s="2"/>
      <c r="X10021" s="2"/>
      <c r="Y10021" s="2"/>
      <c r="Z10021" s="2"/>
    </row>
    <row r="10022" spans="1:26" ht="17.399999999999999" x14ac:dyDescent="0.3">
      <c r="A10022" s="10"/>
      <c r="B10022" s="2"/>
      <c r="C10022" s="2"/>
      <c r="D10022" s="2"/>
      <c r="E10022" s="2"/>
      <c r="F10022" s="2"/>
      <c r="G10022" s="2"/>
      <c r="H10022" s="2"/>
      <c r="I10022" s="2"/>
      <c r="J10022" s="2"/>
      <c r="K10022" s="2"/>
      <c r="L10022" s="2"/>
      <c r="M10022" s="2"/>
      <c r="N10022" s="2"/>
      <c r="O10022" s="2"/>
      <c r="P10022" s="2"/>
      <c r="Q10022" s="2"/>
      <c r="R10022" s="2"/>
      <c r="S10022" s="2"/>
      <c r="T10022" s="2"/>
      <c r="U10022" s="2"/>
      <c r="V10022" s="2"/>
      <c r="W10022" s="2"/>
      <c r="X10022" s="2"/>
      <c r="Y10022" s="2"/>
      <c r="Z10022" s="2"/>
    </row>
    <row r="10023" spans="1:26" ht="17.399999999999999" x14ac:dyDescent="0.3">
      <c r="A10023" s="10"/>
      <c r="B10023" s="2"/>
      <c r="C10023" s="2"/>
      <c r="D10023" s="2"/>
      <c r="E10023" s="2"/>
      <c r="F10023" s="2"/>
      <c r="G10023" s="2"/>
      <c r="H10023" s="2"/>
      <c r="I10023" s="2"/>
      <c r="J10023" s="2"/>
      <c r="K10023" s="2"/>
      <c r="L10023" s="2"/>
      <c r="M10023" s="2"/>
      <c r="N10023" s="2"/>
      <c r="O10023" s="2"/>
      <c r="P10023" s="2"/>
      <c r="Q10023" s="2"/>
      <c r="R10023" s="2"/>
      <c r="S10023" s="2"/>
      <c r="T10023" s="2"/>
      <c r="U10023" s="2"/>
      <c r="V10023" s="2"/>
      <c r="W10023" s="2"/>
      <c r="X10023" s="2"/>
      <c r="Y10023" s="2"/>
      <c r="Z10023" s="2"/>
    </row>
    <row r="10024" spans="1:26" ht="17.399999999999999" x14ac:dyDescent="0.3">
      <c r="A10024" s="10"/>
      <c r="B10024" s="2"/>
      <c r="C10024" s="2"/>
      <c r="D10024" s="2"/>
      <c r="E10024" s="2"/>
      <c r="F10024" s="2"/>
      <c r="G10024" s="2"/>
      <c r="H10024" s="2"/>
      <c r="I10024" s="2"/>
      <c r="J10024" s="2"/>
      <c r="K10024" s="2"/>
      <c r="L10024" s="2"/>
      <c r="M10024" s="2"/>
      <c r="N10024" s="2"/>
      <c r="O10024" s="2"/>
      <c r="P10024" s="2"/>
      <c r="Q10024" s="2"/>
      <c r="R10024" s="2"/>
      <c r="S10024" s="2"/>
      <c r="T10024" s="2"/>
      <c r="U10024" s="2"/>
      <c r="V10024" s="2"/>
      <c r="W10024" s="2"/>
      <c r="X10024" s="2"/>
      <c r="Y10024" s="2"/>
      <c r="Z10024" s="2"/>
    </row>
    <row r="10025" spans="1:26" ht="17.399999999999999" x14ac:dyDescent="0.3">
      <c r="A10025" s="10"/>
      <c r="B10025" s="2"/>
      <c r="C10025" s="2"/>
      <c r="D10025" s="2"/>
      <c r="E10025" s="2"/>
      <c r="F10025" s="2"/>
      <c r="G10025" s="2"/>
      <c r="H10025" s="2"/>
      <c r="I10025" s="2"/>
      <c r="J10025" s="2"/>
      <c r="K10025" s="2"/>
      <c r="L10025" s="2"/>
      <c r="M10025" s="2"/>
      <c r="N10025" s="2"/>
      <c r="O10025" s="2"/>
      <c r="P10025" s="2"/>
      <c r="Q10025" s="2"/>
      <c r="R10025" s="2"/>
      <c r="S10025" s="2"/>
      <c r="T10025" s="2"/>
      <c r="U10025" s="2"/>
      <c r="V10025" s="2"/>
      <c r="W10025" s="2"/>
      <c r="X10025" s="2"/>
      <c r="Y10025" s="2"/>
      <c r="Z10025" s="2"/>
    </row>
    <row r="10026" spans="1:26" ht="17.399999999999999" x14ac:dyDescent="0.3">
      <c r="A10026" s="10"/>
      <c r="B10026" s="2"/>
      <c r="C10026" s="2"/>
      <c r="D10026" s="2"/>
      <c r="E10026" s="2"/>
      <c r="F10026" s="2"/>
      <c r="G10026" s="2"/>
      <c r="H10026" s="2"/>
      <c r="I10026" s="2"/>
      <c r="J10026" s="2"/>
      <c r="K10026" s="2"/>
      <c r="L10026" s="2"/>
      <c r="M10026" s="2"/>
      <c r="N10026" s="2"/>
      <c r="O10026" s="2"/>
      <c r="P10026" s="2"/>
      <c r="Q10026" s="2"/>
      <c r="R10026" s="2"/>
      <c r="S10026" s="2"/>
      <c r="T10026" s="2"/>
      <c r="U10026" s="2"/>
      <c r="V10026" s="2"/>
      <c r="W10026" s="2"/>
      <c r="X10026" s="2"/>
      <c r="Y10026" s="2"/>
      <c r="Z10026" s="2"/>
    </row>
    <row r="10027" spans="1:26" ht="17.399999999999999" x14ac:dyDescent="0.3">
      <c r="A10027" s="10"/>
      <c r="B10027" s="2"/>
      <c r="C10027" s="2"/>
      <c r="D10027" s="2"/>
      <c r="E10027" s="2"/>
      <c r="F10027" s="2"/>
      <c r="G10027" s="2"/>
      <c r="H10027" s="2"/>
      <c r="I10027" s="2"/>
      <c r="J10027" s="2"/>
      <c r="K10027" s="2"/>
      <c r="L10027" s="2"/>
      <c r="M10027" s="2"/>
      <c r="N10027" s="2"/>
      <c r="O10027" s="2"/>
      <c r="P10027" s="2"/>
      <c r="Q10027" s="2"/>
      <c r="R10027" s="2"/>
      <c r="S10027" s="2"/>
      <c r="T10027" s="2"/>
      <c r="U10027" s="2"/>
      <c r="V10027" s="2"/>
      <c r="W10027" s="2"/>
      <c r="X10027" s="2"/>
      <c r="Y10027" s="2"/>
      <c r="Z10027" s="2"/>
    </row>
    <row r="10028" spans="1:26" ht="17.399999999999999" x14ac:dyDescent="0.3">
      <c r="A10028" s="10"/>
      <c r="B10028" s="2"/>
      <c r="C10028" s="2"/>
      <c r="D10028" s="2"/>
      <c r="E10028" s="2"/>
      <c r="F10028" s="2"/>
      <c r="G10028" s="2"/>
      <c r="H10028" s="2"/>
      <c r="I10028" s="2"/>
      <c r="J10028" s="2"/>
      <c r="K10028" s="2"/>
      <c r="L10028" s="2"/>
      <c r="M10028" s="2"/>
      <c r="N10028" s="2"/>
      <c r="O10028" s="2"/>
      <c r="P10028" s="2"/>
      <c r="Q10028" s="2"/>
      <c r="R10028" s="2"/>
      <c r="S10028" s="2"/>
      <c r="T10028" s="2"/>
      <c r="U10028" s="2"/>
      <c r="V10028" s="2"/>
      <c r="W10028" s="2"/>
      <c r="X10028" s="2"/>
      <c r="Y10028" s="2"/>
      <c r="Z10028" s="2"/>
    </row>
    <row r="10029" spans="1:26" ht="17.399999999999999" x14ac:dyDescent="0.3">
      <c r="A10029" s="10"/>
      <c r="B10029" s="2"/>
      <c r="C10029" s="2"/>
      <c r="D10029" s="2"/>
      <c r="E10029" s="2"/>
      <c r="F10029" s="2"/>
      <c r="G10029" s="2"/>
      <c r="H10029" s="2"/>
      <c r="I10029" s="2"/>
      <c r="J10029" s="2"/>
      <c r="K10029" s="2"/>
      <c r="L10029" s="2"/>
      <c r="M10029" s="2"/>
      <c r="N10029" s="2"/>
      <c r="O10029" s="2"/>
      <c r="P10029" s="2"/>
      <c r="Q10029" s="2"/>
      <c r="R10029" s="2"/>
      <c r="S10029" s="2"/>
      <c r="T10029" s="2"/>
      <c r="U10029" s="2"/>
      <c r="V10029" s="2"/>
      <c r="W10029" s="2"/>
      <c r="X10029" s="2"/>
      <c r="Y10029" s="2"/>
      <c r="Z10029" s="2"/>
    </row>
    <row r="10030" spans="1:26" ht="17.399999999999999" x14ac:dyDescent="0.3">
      <c r="A10030" s="10"/>
      <c r="B10030" s="2"/>
      <c r="C10030" s="2"/>
      <c r="D10030" s="2"/>
      <c r="E10030" s="2"/>
      <c r="F10030" s="2"/>
      <c r="G10030" s="2"/>
      <c r="H10030" s="2"/>
      <c r="I10030" s="2"/>
      <c r="J10030" s="2"/>
      <c r="K10030" s="2"/>
      <c r="L10030" s="2"/>
      <c r="M10030" s="2"/>
      <c r="N10030" s="2"/>
      <c r="O10030" s="2"/>
      <c r="P10030" s="2"/>
      <c r="Q10030" s="2"/>
      <c r="R10030" s="2"/>
      <c r="S10030" s="2"/>
      <c r="T10030" s="2"/>
      <c r="U10030" s="2"/>
      <c r="V10030" s="2"/>
      <c r="W10030" s="2"/>
      <c r="X10030" s="2"/>
      <c r="Y10030" s="2"/>
      <c r="Z10030" s="2"/>
    </row>
    <row r="10031" spans="1:26" ht="17.399999999999999" x14ac:dyDescent="0.3">
      <c r="A10031" s="10"/>
      <c r="B10031" s="2"/>
      <c r="C10031" s="2"/>
      <c r="D10031" s="2"/>
      <c r="E10031" s="2"/>
      <c r="F10031" s="2"/>
      <c r="G10031" s="2"/>
      <c r="H10031" s="2"/>
      <c r="I10031" s="2"/>
      <c r="J10031" s="2"/>
      <c r="K10031" s="2"/>
      <c r="L10031" s="2"/>
      <c r="M10031" s="2"/>
      <c r="N10031" s="2"/>
      <c r="O10031" s="2"/>
      <c r="P10031" s="2"/>
      <c r="Q10031" s="2"/>
      <c r="R10031" s="2"/>
      <c r="S10031" s="2"/>
      <c r="T10031" s="2"/>
      <c r="U10031" s="2"/>
      <c r="V10031" s="2"/>
      <c r="W10031" s="2"/>
      <c r="X10031" s="2"/>
      <c r="Y10031" s="2"/>
      <c r="Z10031" s="2"/>
    </row>
    <row r="10032" spans="1:26" ht="17.399999999999999" x14ac:dyDescent="0.3">
      <c r="A10032" s="10"/>
      <c r="B10032" s="2"/>
      <c r="C10032" s="2"/>
      <c r="D10032" s="2"/>
      <c r="E10032" s="2"/>
      <c r="F10032" s="2"/>
      <c r="G10032" s="2"/>
      <c r="H10032" s="2"/>
      <c r="I10032" s="2"/>
      <c r="J10032" s="2"/>
      <c r="K10032" s="2"/>
      <c r="L10032" s="2"/>
      <c r="M10032" s="2"/>
      <c r="N10032" s="2"/>
      <c r="O10032" s="2"/>
      <c r="P10032" s="2"/>
      <c r="Q10032" s="2"/>
      <c r="R10032" s="2"/>
      <c r="S10032" s="2"/>
      <c r="T10032" s="2"/>
      <c r="U10032" s="2"/>
      <c r="V10032" s="2"/>
      <c r="W10032" s="2"/>
      <c r="X10032" s="2"/>
      <c r="Y10032" s="2"/>
      <c r="Z10032" s="2"/>
    </row>
    <row r="10033" spans="1:26" ht="17.399999999999999" x14ac:dyDescent="0.3">
      <c r="A10033" s="10"/>
      <c r="B10033" s="2"/>
      <c r="C10033" s="2"/>
      <c r="D10033" s="2"/>
      <c r="E10033" s="2"/>
      <c r="F10033" s="2"/>
      <c r="G10033" s="2"/>
      <c r="H10033" s="2"/>
      <c r="I10033" s="2"/>
      <c r="J10033" s="2"/>
      <c r="K10033" s="2"/>
      <c r="L10033" s="2"/>
      <c r="M10033" s="2"/>
      <c r="N10033" s="2"/>
      <c r="O10033" s="2"/>
      <c r="P10033" s="2"/>
      <c r="Q10033" s="2"/>
      <c r="R10033" s="2"/>
      <c r="S10033" s="2"/>
      <c r="T10033" s="2"/>
      <c r="U10033" s="2"/>
      <c r="V10033" s="2"/>
      <c r="W10033" s="2"/>
      <c r="X10033" s="2"/>
      <c r="Y10033" s="2"/>
      <c r="Z10033" s="2"/>
    </row>
    <row r="10034" spans="1:26" ht="17.399999999999999" x14ac:dyDescent="0.3">
      <c r="A10034" s="10"/>
      <c r="B10034" s="2"/>
      <c r="C10034" s="2"/>
      <c r="D10034" s="2"/>
      <c r="E10034" s="2"/>
      <c r="F10034" s="2"/>
      <c r="G10034" s="2"/>
      <c r="H10034" s="2"/>
      <c r="I10034" s="2"/>
      <c r="J10034" s="2"/>
      <c r="K10034" s="2"/>
      <c r="L10034" s="2"/>
      <c r="M10034" s="2"/>
      <c r="N10034" s="2"/>
      <c r="O10034" s="2"/>
      <c r="P10034" s="2"/>
      <c r="Q10034" s="2"/>
      <c r="R10034" s="2"/>
      <c r="S10034" s="2"/>
      <c r="T10034" s="2"/>
      <c r="U10034" s="2"/>
      <c r="V10034" s="2"/>
      <c r="W10034" s="2"/>
      <c r="X10034" s="2"/>
      <c r="Y10034" s="2"/>
      <c r="Z10034" s="2"/>
    </row>
    <row r="10035" spans="1:26" ht="17.399999999999999" x14ac:dyDescent="0.3">
      <c r="A10035" s="10"/>
      <c r="B10035" s="2"/>
      <c r="C10035" s="2"/>
      <c r="D10035" s="2"/>
      <c r="E10035" s="2"/>
      <c r="F10035" s="2"/>
      <c r="G10035" s="2"/>
      <c r="H10035" s="2"/>
      <c r="I10035" s="2"/>
      <c r="J10035" s="2"/>
      <c r="K10035" s="2"/>
      <c r="L10035" s="2"/>
      <c r="M10035" s="2"/>
      <c r="N10035" s="2"/>
      <c r="O10035" s="2"/>
      <c r="P10035" s="2"/>
      <c r="Q10035" s="2"/>
      <c r="R10035" s="2"/>
      <c r="S10035" s="2"/>
      <c r="T10035" s="2"/>
      <c r="U10035" s="2"/>
      <c r="V10035" s="2"/>
      <c r="W10035" s="2"/>
      <c r="X10035" s="2"/>
      <c r="Y10035" s="2"/>
      <c r="Z10035" s="2"/>
    </row>
    <row r="10036" spans="1:26" ht="17.399999999999999" x14ac:dyDescent="0.3">
      <c r="A10036" s="10"/>
      <c r="B10036" s="2"/>
      <c r="C10036" s="2"/>
      <c r="D10036" s="2"/>
      <c r="E10036" s="2"/>
      <c r="F10036" s="2"/>
      <c r="G10036" s="2"/>
      <c r="H10036" s="2"/>
      <c r="I10036" s="2"/>
      <c r="J10036" s="2"/>
      <c r="K10036" s="2"/>
      <c r="L10036" s="2"/>
      <c r="M10036" s="2"/>
      <c r="N10036" s="2"/>
      <c r="O10036" s="2"/>
      <c r="P10036" s="2"/>
      <c r="Q10036" s="2"/>
      <c r="R10036" s="2"/>
      <c r="S10036" s="2"/>
      <c r="T10036" s="2"/>
      <c r="U10036" s="2"/>
      <c r="V10036" s="2"/>
      <c r="W10036" s="2"/>
      <c r="X10036" s="2"/>
      <c r="Y10036" s="2"/>
      <c r="Z10036" s="2"/>
    </row>
    <row r="10037" spans="1:26" ht="17.399999999999999" x14ac:dyDescent="0.3">
      <c r="A10037" s="10"/>
      <c r="B10037" s="2"/>
      <c r="C10037" s="2"/>
      <c r="D10037" s="2"/>
      <c r="E10037" s="2"/>
      <c r="F10037" s="2"/>
      <c r="G10037" s="2"/>
      <c r="H10037" s="2"/>
      <c r="I10037" s="2"/>
      <c r="J10037" s="2"/>
      <c r="K10037" s="2"/>
      <c r="L10037" s="2"/>
      <c r="M10037" s="2"/>
      <c r="N10037" s="2"/>
      <c r="O10037" s="2"/>
      <c r="P10037" s="2"/>
      <c r="Q10037" s="2"/>
      <c r="R10037" s="2"/>
      <c r="S10037" s="2"/>
      <c r="T10037" s="2"/>
      <c r="U10037" s="2"/>
      <c r="V10037" s="2"/>
      <c r="W10037" s="2"/>
      <c r="X10037" s="2"/>
      <c r="Y10037" s="2"/>
      <c r="Z10037" s="2"/>
    </row>
    <row r="10038" spans="1:26" ht="17.399999999999999" x14ac:dyDescent="0.3">
      <c r="A10038" s="10"/>
      <c r="B10038" s="2"/>
      <c r="C10038" s="2"/>
      <c r="D10038" s="2"/>
      <c r="E10038" s="2"/>
      <c r="F10038" s="2"/>
      <c r="G10038" s="2"/>
      <c r="H10038" s="2"/>
      <c r="I10038" s="2"/>
      <c r="J10038" s="2"/>
      <c r="K10038" s="2"/>
      <c r="L10038" s="2"/>
      <c r="M10038" s="2"/>
      <c r="N10038" s="2"/>
      <c r="O10038" s="2"/>
      <c r="P10038" s="2"/>
      <c r="Q10038" s="2"/>
      <c r="R10038" s="2"/>
      <c r="S10038" s="2"/>
      <c r="T10038" s="2"/>
      <c r="U10038" s="2"/>
      <c r="V10038" s="2"/>
      <c r="W10038" s="2"/>
      <c r="X10038" s="2"/>
      <c r="Y10038" s="2"/>
      <c r="Z10038" s="2"/>
    </row>
    <row r="10039" spans="1:26" ht="17.399999999999999" x14ac:dyDescent="0.3">
      <c r="A10039" s="10"/>
      <c r="B10039" s="2"/>
      <c r="C10039" s="2"/>
      <c r="D10039" s="2"/>
      <c r="E10039" s="2"/>
      <c r="F10039" s="2"/>
      <c r="G10039" s="2"/>
      <c r="H10039" s="2"/>
      <c r="I10039" s="2"/>
      <c r="J10039" s="2"/>
      <c r="K10039" s="2"/>
      <c r="L10039" s="2"/>
      <c r="M10039" s="2"/>
      <c r="N10039" s="2"/>
      <c r="O10039" s="2"/>
      <c r="P10039" s="2"/>
      <c r="Q10039" s="2"/>
      <c r="R10039" s="2"/>
      <c r="S10039" s="2"/>
      <c r="T10039" s="2"/>
      <c r="U10039" s="2"/>
      <c r="V10039" s="2"/>
      <c r="W10039" s="2"/>
      <c r="X10039" s="2"/>
      <c r="Y10039" s="2"/>
      <c r="Z10039" s="2"/>
    </row>
    <row r="10040" spans="1:26" ht="17.399999999999999" x14ac:dyDescent="0.3">
      <c r="A10040" s="10"/>
      <c r="B10040" s="2"/>
      <c r="C10040" s="2"/>
      <c r="D10040" s="2"/>
      <c r="E10040" s="2"/>
      <c r="F10040" s="2"/>
      <c r="G10040" s="2"/>
      <c r="H10040" s="2"/>
      <c r="I10040" s="2"/>
      <c r="J10040" s="2"/>
      <c r="K10040" s="2"/>
      <c r="L10040" s="2"/>
      <c r="M10040" s="2"/>
      <c r="N10040" s="2"/>
      <c r="O10040" s="2"/>
      <c r="P10040" s="2"/>
      <c r="Q10040" s="2"/>
      <c r="R10040" s="2"/>
      <c r="S10040" s="2"/>
      <c r="T10040" s="2"/>
      <c r="U10040" s="2"/>
      <c r="V10040" s="2"/>
      <c r="W10040" s="2"/>
      <c r="X10040" s="2"/>
      <c r="Y10040" s="2"/>
      <c r="Z10040" s="2"/>
    </row>
    <row r="10041" spans="1:26" ht="17.399999999999999" x14ac:dyDescent="0.3">
      <c r="A10041" s="10"/>
      <c r="B10041" s="2"/>
      <c r="C10041" s="2"/>
      <c r="D10041" s="2"/>
      <c r="E10041" s="2"/>
      <c r="F10041" s="2"/>
      <c r="G10041" s="2"/>
      <c r="H10041" s="2"/>
      <c r="I10041" s="2"/>
      <c r="J10041" s="2"/>
      <c r="K10041" s="2"/>
      <c r="L10041" s="2"/>
      <c r="M10041" s="2"/>
      <c r="N10041" s="2"/>
      <c r="O10041" s="2"/>
      <c r="P10041" s="2"/>
      <c r="Q10041" s="2"/>
      <c r="R10041" s="2"/>
      <c r="S10041" s="2"/>
      <c r="T10041" s="2"/>
      <c r="U10041" s="2"/>
      <c r="V10041" s="2"/>
      <c r="W10041" s="2"/>
      <c r="X10041" s="2"/>
      <c r="Y10041" s="2"/>
      <c r="Z10041" s="2"/>
    </row>
    <row r="10042" spans="1:26" ht="17.399999999999999" x14ac:dyDescent="0.3">
      <c r="A10042" s="10"/>
      <c r="B10042" s="2"/>
      <c r="C10042" s="2"/>
      <c r="D10042" s="2"/>
      <c r="E10042" s="2"/>
      <c r="F10042" s="2"/>
      <c r="G10042" s="2"/>
      <c r="H10042" s="2"/>
      <c r="I10042" s="2"/>
      <c r="J10042" s="2"/>
      <c r="K10042" s="2"/>
      <c r="L10042" s="2"/>
      <c r="M10042" s="2"/>
      <c r="N10042" s="2"/>
      <c r="O10042" s="2"/>
      <c r="P10042" s="2"/>
      <c r="Q10042" s="2"/>
      <c r="R10042" s="2"/>
      <c r="S10042" s="2"/>
      <c r="T10042" s="2"/>
      <c r="U10042" s="2"/>
      <c r="V10042" s="2"/>
      <c r="W10042" s="2"/>
      <c r="X10042" s="2"/>
      <c r="Y10042" s="2"/>
      <c r="Z10042" s="2"/>
    </row>
    <row r="10043" spans="1:26" ht="17.399999999999999" x14ac:dyDescent="0.3">
      <c r="A10043" s="10"/>
      <c r="B10043" s="2"/>
      <c r="C10043" s="2"/>
      <c r="D10043" s="2"/>
      <c r="E10043" s="2"/>
      <c r="F10043" s="2"/>
      <c r="G10043" s="2"/>
      <c r="H10043" s="2"/>
      <c r="I10043" s="2"/>
      <c r="J10043" s="2"/>
      <c r="K10043" s="2"/>
      <c r="L10043" s="2"/>
      <c r="M10043" s="2"/>
      <c r="N10043" s="2"/>
      <c r="O10043" s="2"/>
      <c r="P10043" s="2"/>
      <c r="Q10043" s="2"/>
      <c r="R10043" s="2"/>
      <c r="S10043" s="2"/>
      <c r="T10043" s="2"/>
      <c r="U10043" s="2"/>
      <c r="V10043" s="2"/>
      <c r="W10043" s="2"/>
      <c r="X10043" s="2"/>
      <c r="Y10043" s="2"/>
      <c r="Z10043" s="2"/>
    </row>
    <row r="10044" spans="1:26" ht="17.399999999999999" x14ac:dyDescent="0.3">
      <c r="A10044" s="10"/>
      <c r="B10044" s="2"/>
      <c r="C10044" s="2"/>
      <c r="D10044" s="2"/>
      <c r="E10044" s="2"/>
      <c r="F10044" s="2"/>
      <c r="G10044" s="2"/>
      <c r="H10044" s="2"/>
      <c r="I10044" s="2"/>
      <c r="J10044" s="2"/>
      <c r="K10044" s="2"/>
      <c r="L10044" s="2"/>
      <c r="M10044" s="2"/>
      <c r="N10044" s="2"/>
      <c r="O10044" s="2"/>
      <c r="P10044" s="2"/>
      <c r="Q10044" s="2"/>
      <c r="R10044" s="2"/>
      <c r="S10044" s="2"/>
      <c r="T10044" s="2"/>
      <c r="U10044" s="2"/>
      <c r="V10044" s="2"/>
      <c r="W10044" s="2"/>
      <c r="X10044" s="2"/>
      <c r="Y10044" s="2"/>
      <c r="Z10044" s="2"/>
    </row>
    <row r="10045" spans="1:26" ht="17.399999999999999" x14ac:dyDescent="0.3">
      <c r="A10045" s="10"/>
      <c r="B10045" s="2"/>
      <c r="C10045" s="2"/>
      <c r="D10045" s="2"/>
      <c r="E10045" s="2"/>
      <c r="F10045" s="2"/>
      <c r="G10045" s="2"/>
      <c r="H10045" s="2"/>
      <c r="I10045" s="2"/>
      <c r="J10045" s="2"/>
      <c r="K10045" s="2"/>
      <c r="L10045" s="2"/>
      <c r="M10045" s="2"/>
      <c r="N10045" s="2"/>
      <c r="O10045" s="2"/>
      <c r="P10045" s="2"/>
      <c r="Q10045" s="2"/>
      <c r="R10045" s="2"/>
      <c r="S10045" s="2"/>
      <c r="T10045" s="2"/>
      <c r="U10045" s="2"/>
      <c r="V10045" s="2"/>
      <c r="W10045" s="2"/>
      <c r="X10045" s="2"/>
      <c r="Y10045" s="2"/>
      <c r="Z10045" s="2"/>
    </row>
    <row r="10046" spans="1:26" ht="17.399999999999999" x14ac:dyDescent="0.3">
      <c r="A10046" s="10"/>
      <c r="B10046" s="2"/>
      <c r="C10046" s="2"/>
      <c r="D10046" s="2"/>
      <c r="E10046" s="2"/>
      <c r="F10046" s="2"/>
      <c r="G10046" s="2"/>
      <c r="H10046" s="2"/>
      <c r="I10046" s="2"/>
      <c r="J10046" s="2"/>
      <c r="K10046" s="2"/>
      <c r="L10046" s="2"/>
      <c r="M10046" s="2"/>
      <c r="N10046" s="2"/>
      <c r="O10046" s="2"/>
      <c r="P10046" s="2"/>
      <c r="Q10046" s="2"/>
      <c r="R10046" s="2"/>
      <c r="S10046" s="2"/>
      <c r="T10046" s="2"/>
      <c r="U10046" s="2"/>
      <c r="V10046" s="2"/>
      <c r="W10046" s="2"/>
      <c r="X10046" s="2"/>
      <c r="Y10046" s="2"/>
      <c r="Z10046" s="2"/>
    </row>
    <row r="10047" spans="1:26" ht="17.399999999999999" x14ac:dyDescent="0.3">
      <c r="A10047" s="10"/>
      <c r="B10047" s="2"/>
      <c r="C10047" s="2"/>
      <c r="D10047" s="2"/>
      <c r="E10047" s="2"/>
      <c r="F10047" s="2"/>
      <c r="G10047" s="2"/>
      <c r="H10047" s="2"/>
      <c r="I10047" s="2"/>
      <c r="J10047" s="2"/>
      <c r="K10047" s="2"/>
      <c r="L10047" s="2"/>
      <c r="M10047" s="2"/>
      <c r="N10047" s="2"/>
      <c r="O10047" s="2"/>
      <c r="P10047" s="2"/>
      <c r="Q10047" s="2"/>
      <c r="R10047" s="2"/>
      <c r="S10047" s="2"/>
      <c r="T10047" s="2"/>
      <c r="U10047" s="2"/>
      <c r="V10047" s="2"/>
      <c r="W10047" s="2"/>
      <c r="X10047" s="2"/>
      <c r="Y10047" s="2"/>
      <c r="Z10047" s="2"/>
    </row>
    <row r="10048" spans="1:26" ht="17.399999999999999" x14ac:dyDescent="0.3">
      <c r="A10048" s="10"/>
      <c r="B10048" s="2"/>
      <c r="C10048" s="2"/>
      <c r="D10048" s="2"/>
      <c r="E10048" s="2"/>
      <c r="F10048" s="2"/>
      <c r="G10048" s="2"/>
      <c r="H10048" s="2"/>
      <c r="I10048" s="2"/>
      <c r="J10048" s="2"/>
      <c r="K10048" s="2"/>
      <c r="L10048" s="2"/>
      <c r="M10048" s="2"/>
      <c r="N10048" s="2"/>
      <c r="O10048" s="2"/>
      <c r="P10048" s="2"/>
      <c r="Q10048" s="2"/>
      <c r="R10048" s="2"/>
      <c r="S10048" s="2"/>
      <c r="T10048" s="2"/>
      <c r="U10048" s="2"/>
      <c r="V10048" s="2"/>
      <c r="W10048" s="2"/>
      <c r="X10048" s="2"/>
      <c r="Y10048" s="2"/>
      <c r="Z10048" s="2"/>
    </row>
    <row r="10049" spans="1:26" ht="17.399999999999999" x14ac:dyDescent="0.3">
      <c r="A10049" s="10"/>
      <c r="B10049" s="2"/>
      <c r="C10049" s="2"/>
      <c r="D10049" s="2"/>
      <c r="E10049" s="2"/>
      <c r="F10049" s="2"/>
      <c r="G10049" s="2"/>
      <c r="H10049" s="2"/>
      <c r="I10049" s="2"/>
      <c r="J10049" s="2"/>
      <c r="K10049" s="2"/>
      <c r="L10049" s="2"/>
      <c r="M10049" s="2"/>
      <c r="N10049" s="2"/>
      <c r="O10049" s="2"/>
      <c r="P10049" s="2"/>
      <c r="Q10049" s="2"/>
      <c r="R10049" s="2"/>
      <c r="S10049" s="2"/>
      <c r="T10049" s="2"/>
      <c r="U10049" s="2"/>
      <c r="V10049" s="2"/>
      <c r="W10049" s="2"/>
      <c r="X10049" s="2"/>
      <c r="Y10049" s="2"/>
      <c r="Z10049" s="2"/>
    </row>
    <row r="10050" spans="1:26" ht="17.399999999999999" x14ac:dyDescent="0.3">
      <c r="A10050" s="10"/>
      <c r="B10050" s="2"/>
      <c r="C10050" s="2"/>
      <c r="D10050" s="2"/>
      <c r="E10050" s="2"/>
      <c r="F10050" s="2"/>
      <c r="G10050" s="2"/>
      <c r="H10050" s="2"/>
      <c r="I10050" s="2"/>
      <c r="J10050" s="2"/>
      <c r="K10050" s="2"/>
      <c r="L10050" s="2"/>
      <c r="M10050" s="2"/>
      <c r="N10050" s="2"/>
      <c r="O10050" s="2"/>
      <c r="P10050" s="2"/>
      <c r="Q10050" s="2"/>
      <c r="R10050" s="2"/>
      <c r="S10050" s="2"/>
      <c r="T10050" s="2"/>
      <c r="U10050" s="2"/>
      <c r="V10050" s="2"/>
      <c r="W10050" s="2"/>
      <c r="X10050" s="2"/>
      <c r="Y10050" s="2"/>
      <c r="Z10050" s="2"/>
    </row>
    <row r="10051" spans="1:26" ht="17.399999999999999" x14ac:dyDescent="0.3">
      <c r="A10051" s="10"/>
      <c r="B10051" s="2"/>
      <c r="C10051" s="2"/>
      <c r="D10051" s="2"/>
      <c r="E10051" s="2"/>
      <c r="F10051" s="2"/>
      <c r="G10051" s="2"/>
      <c r="H10051" s="2"/>
      <c r="I10051" s="2"/>
      <c r="J10051" s="2"/>
      <c r="K10051" s="2"/>
      <c r="L10051" s="2"/>
      <c r="M10051" s="2"/>
      <c r="N10051" s="2"/>
      <c r="O10051" s="2"/>
      <c r="P10051" s="2"/>
      <c r="Q10051" s="2"/>
      <c r="R10051" s="2"/>
      <c r="S10051" s="2"/>
      <c r="T10051" s="2"/>
      <c r="U10051" s="2"/>
      <c r="V10051" s="2"/>
      <c r="W10051" s="2"/>
      <c r="X10051" s="2"/>
      <c r="Y10051" s="2"/>
      <c r="Z10051" s="2"/>
    </row>
    <row r="10052" spans="1:26" ht="17.399999999999999" x14ac:dyDescent="0.3">
      <c r="A10052" s="10"/>
      <c r="B10052" s="2"/>
      <c r="C10052" s="2"/>
      <c r="D10052" s="2"/>
      <c r="E10052" s="2"/>
      <c r="F10052" s="2"/>
      <c r="G10052" s="2"/>
      <c r="H10052" s="2"/>
      <c r="I10052" s="2"/>
      <c r="J10052" s="2"/>
      <c r="K10052" s="2"/>
      <c r="L10052" s="2"/>
      <c r="M10052" s="2"/>
      <c r="N10052" s="2"/>
      <c r="O10052" s="2"/>
      <c r="P10052" s="2"/>
      <c r="Q10052" s="2"/>
      <c r="R10052" s="2"/>
      <c r="S10052" s="2"/>
      <c r="T10052" s="2"/>
      <c r="U10052" s="2"/>
      <c r="V10052" s="2"/>
      <c r="W10052" s="2"/>
      <c r="X10052" s="2"/>
      <c r="Y10052" s="2"/>
      <c r="Z10052" s="2"/>
    </row>
    <row r="10053" spans="1:26" ht="17.399999999999999" x14ac:dyDescent="0.3">
      <c r="A10053" s="10"/>
      <c r="B10053" s="2"/>
      <c r="C10053" s="2"/>
      <c r="D10053" s="2"/>
      <c r="E10053" s="2"/>
      <c r="F10053" s="2"/>
      <c r="G10053" s="2"/>
      <c r="H10053" s="2"/>
      <c r="I10053" s="2"/>
      <c r="J10053" s="2"/>
      <c r="K10053" s="2"/>
      <c r="L10053" s="2"/>
      <c r="M10053" s="2"/>
      <c r="N10053" s="2"/>
      <c r="O10053" s="2"/>
      <c r="P10053" s="2"/>
      <c r="Q10053" s="2"/>
      <c r="R10053" s="2"/>
      <c r="S10053" s="2"/>
      <c r="T10053" s="2"/>
      <c r="U10053" s="2"/>
      <c r="V10053" s="2"/>
      <c r="W10053" s="2"/>
      <c r="X10053" s="2"/>
      <c r="Y10053" s="2"/>
      <c r="Z10053" s="2"/>
    </row>
    <row r="10054" spans="1:26" ht="17.399999999999999" x14ac:dyDescent="0.3">
      <c r="A10054" s="10"/>
      <c r="B10054" s="2"/>
      <c r="C10054" s="2"/>
      <c r="D10054" s="2"/>
      <c r="E10054" s="2"/>
      <c r="F10054" s="2"/>
      <c r="G10054" s="2"/>
      <c r="H10054" s="2"/>
      <c r="I10054" s="2"/>
      <c r="J10054" s="2"/>
      <c r="K10054" s="2"/>
      <c r="L10054" s="2"/>
      <c r="M10054" s="2"/>
      <c r="N10054" s="2"/>
      <c r="O10054" s="2"/>
      <c r="P10054" s="2"/>
      <c r="Q10054" s="2"/>
      <c r="R10054" s="2"/>
      <c r="S10054" s="2"/>
      <c r="T10054" s="2"/>
      <c r="U10054" s="2"/>
      <c r="V10054" s="2"/>
      <c r="W10054" s="2"/>
      <c r="X10054" s="2"/>
      <c r="Y10054" s="2"/>
      <c r="Z10054" s="2"/>
    </row>
    <row r="10055" spans="1:26" ht="17.399999999999999" x14ac:dyDescent="0.3">
      <c r="A10055" s="10"/>
      <c r="B10055" s="2"/>
      <c r="C10055" s="2"/>
      <c r="D10055" s="2"/>
      <c r="E10055" s="2"/>
      <c r="F10055" s="2"/>
      <c r="G10055" s="2"/>
      <c r="H10055" s="2"/>
      <c r="I10055" s="2"/>
      <c r="J10055" s="2"/>
      <c r="K10055" s="2"/>
      <c r="L10055" s="2"/>
      <c r="M10055" s="2"/>
      <c r="N10055" s="2"/>
      <c r="O10055" s="2"/>
      <c r="P10055" s="2"/>
      <c r="Q10055" s="2"/>
      <c r="R10055" s="2"/>
      <c r="S10055" s="2"/>
      <c r="T10055" s="2"/>
      <c r="U10055" s="2"/>
      <c r="V10055" s="2"/>
      <c r="W10055" s="2"/>
      <c r="X10055" s="2"/>
      <c r="Y10055" s="2"/>
      <c r="Z10055" s="2"/>
    </row>
    <row r="10056" spans="1:26" ht="17.399999999999999" x14ac:dyDescent="0.3">
      <c r="A10056" s="10"/>
      <c r="B10056" s="2"/>
      <c r="C10056" s="2"/>
      <c r="D10056" s="2"/>
      <c r="E10056" s="2"/>
      <c r="F10056" s="2"/>
      <c r="G10056" s="2"/>
      <c r="H10056" s="2"/>
      <c r="I10056" s="2"/>
      <c r="J10056" s="2"/>
      <c r="K10056" s="2"/>
      <c r="L10056" s="2"/>
      <c r="M10056" s="2"/>
      <c r="N10056" s="2"/>
      <c r="O10056" s="2"/>
      <c r="P10056" s="2"/>
      <c r="Q10056" s="2"/>
      <c r="R10056" s="2"/>
      <c r="S10056" s="2"/>
      <c r="T10056" s="2"/>
      <c r="U10056" s="2"/>
      <c r="V10056" s="2"/>
      <c r="W10056" s="2"/>
      <c r="X10056" s="2"/>
      <c r="Y10056" s="2"/>
      <c r="Z10056" s="2"/>
    </row>
    <row r="10057" spans="1:26" ht="17.399999999999999" x14ac:dyDescent="0.3">
      <c r="A10057" s="10"/>
      <c r="B10057" s="2"/>
      <c r="C10057" s="2"/>
      <c r="D10057" s="2"/>
      <c r="E10057" s="2"/>
      <c r="F10057" s="2"/>
      <c r="G10057" s="2"/>
      <c r="H10057" s="2"/>
      <c r="I10057" s="2"/>
      <c r="J10057" s="2"/>
      <c r="K10057" s="2"/>
      <c r="L10057" s="2"/>
      <c r="M10057" s="2"/>
      <c r="N10057" s="2"/>
      <c r="O10057" s="2"/>
      <c r="P10057" s="2"/>
      <c r="Q10057" s="2"/>
      <c r="R10057" s="2"/>
      <c r="S10057" s="2"/>
      <c r="T10057" s="2"/>
      <c r="U10057" s="2"/>
      <c r="V10057" s="2"/>
      <c r="W10057" s="2"/>
      <c r="X10057" s="2"/>
      <c r="Y10057" s="2"/>
      <c r="Z10057" s="2"/>
    </row>
    <row r="10058" spans="1:26" ht="17.399999999999999" x14ac:dyDescent="0.3">
      <c r="A10058" s="10"/>
      <c r="B10058" s="2"/>
      <c r="C10058" s="2"/>
      <c r="D10058" s="2"/>
      <c r="E10058" s="2"/>
      <c r="F10058" s="2"/>
      <c r="G10058" s="2"/>
      <c r="H10058" s="2"/>
      <c r="I10058" s="2"/>
      <c r="J10058" s="2"/>
      <c r="K10058" s="2"/>
      <c r="L10058" s="2"/>
      <c r="M10058" s="2"/>
      <c r="N10058" s="2"/>
      <c r="O10058" s="2"/>
      <c r="P10058" s="2"/>
      <c r="Q10058" s="2"/>
      <c r="R10058" s="2"/>
      <c r="S10058" s="2"/>
      <c r="T10058" s="2"/>
      <c r="U10058" s="2"/>
      <c r="V10058" s="2"/>
      <c r="W10058" s="2"/>
      <c r="X10058" s="2"/>
      <c r="Y10058" s="2"/>
      <c r="Z10058" s="2"/>
    </row>
    <row r="10059" spans="1:26" ht="17.399999999999999" x14ac:dyDescent="0.3">
      <c r="A10059" s="10"/>
      <c r="B10059" s="2"/>
      <c r="C10059" s="2"/>
      <c r="D10059" s="2"/>
      <c r="E10059" s="2"/>
      <c r="F10059" s="2"/>
      <c r="G10059" s="2"/>
      <c r="H10059" s="2"/>
      <c r="I10059" s="2"/>
      <c r="J10059" s="2"/>
      <c r="K10059" s="2"/>
      <c r="L10059" s="2"/>
      <c r="M10059" s="2"/>
      <c r="N10059" s="2"/>
      <c r="O10059" s="2"/>
      <c r="P10059" s="2"/>
      <c r="Q10059" s="2"/>
      <c r="R10059" s="2"/>
      <c r="S10059" s="2"/>
      <c r="T10059" s="2"/>
      <c r="U10059" s="2"/>
      <c r="V10059" s="2"/>
      <c r="W10059" s="2"/>
      <c r="X10059" s="2"/>
      <c r="Y10059" s="2"/>
      <c r="Z10059" s="2"/>
    </row>
    <row r="10060" spans="1:26" ht="17.399999999999999" x14ac:dyDescent="0.3">
      <c r="A10060" s="10"/>
      <c r="B10060" s="2"/>
      <c r="C10060" s="2"/>
      <c r="D10060" s="2"/>
      <c r="E10060" s="2"/>
      <c r="F10060" s="2"/>
      <c r="G10060" s="2"/>
      <c r="H10060" s="2"/>
      <c r="I10060" s="2"/>
      <c r="J10060" s="2"/>
      <c r="K10060" s="2"/>
      <c r="L10060" s="2"/>
      <c r="M10060" s="2"/>
      <c r="N10060" s="2"/>
      <c r="O10060" s="2"/>
      <c r="P10060" s="2"/>
      <c r="Q10060" s="2"/>
      <c r="R10060" s="2"/>
      <c r="S10060" s="2"/>
      <c r="T10060" s="2"/>
      <c r="U10060" s="2"/>
      <c r="V10060" s="2"/>
      <c r="W10060" s="2"/>
      <c r="X10060" s="2"/>
      <c r="Y10060" s="2"/>
      <c r="Z10060" s="2"/>
    </row>
    <row r="10061" spans="1:26" ht="17.399999999999999" x14ac:dyDescent="0.3">
      <c r="A10061" s="10"/>
      <c r="B10061" s="2"/>
      <c r="C10061" s="2"/>
      <c r="D10061" s="2"/>
      <c r="E10061" s="2"/>
      <c r="F10061" s="2"/>
      <c r="G10061" s="2"/>
      <c r="H10061" s="2"/>
      <c r="I10061" s="2"/>
      <c r="J10061" s="2"/>
      <c r="K10061" s="2"/>
      <c r="L10061" s="2"/>
      <c r="M10061" s="2"/>
      <c r="N10061" s="2"/>
      <c r="O10061" s="2"/>
      <c r="P10061" s="2"/>
      <c r="Q10061" s="2"/>
      <c r="R10061" s="2"/>
      <c r="S10061" s="2"/>
      <c r="T10061" s="2"/>
      <c r="U10061" s="2"/>
      <c r="V10061" s="2"/>
      <c r="W10061" s="2"/>
      <c r="X10061" s="2"/>
      <c r="Y10061" s="2"/>
      <c r="Z10061" s="2"/>
    </row>
    <row r="10062" spans="1:26" ht="17.399999999999999" x14ac:dyDescent="0.3">
      <c r="A10062" s="10"/>
      <c r="B10062" s="2"/>
      <c r="C10062" s="2"/>
      <c r="D10062" s="2"/>
      <c r="E10062" s="2"/>
      <c r="F10062" s="2"/>
      <c r="G10062" s="2"/>
      <c r="H10062" s="2"/>
      <c r="I10062" s="2"/>
      <c r="J10062" s="2"/>
      <c r="K10062" s="2"/>
      <c r="L10062" s="2"/>
      <c r="M10062" s="2"/>
      <c r="N10062" s="2"/>
      <c r="O10062" s="2"/>
      <c r="P10062" s="2"/>
      <c r="Q10062" s="2"/>
      <c r="R10062" s="2"/>
      <c r="S10062" s="2"/>
      <c r="T10062" s="2"/>
      <c r="U10062" s="2"/>
      <c r="V10062" s="2"/>
      <c r="W10062" s="2"/>
      <c r="X10062" s="2"/>
      <c r="Y10062" s="2"/>
      <c r="Z10062" s="2"/>
    </row>
    <row r="10063" spans="1:26" ht="17.399999999999999" x14ac:dyDescent="0.3">
      <c r="A10063" s="10"/>
      <c r="B10063" s="2"/>
      <c r="C10063" s="2"/>
      <c r="D10063" s="2"/>
      <c r="E10063" s="2"/>
      <c r="F10063" s="2"/>
      <c r="G10063" s="2"/>
      <c r="H10063" s="2"/>
      <c r="I10063" s="2"/>
      <c r="J10063" s="2"/>
      <c r="K10063" s="2"/>
      <c r="L10063" s="2"/>
      <c r="M10063" s="2"/>
      <c r="N10063" s="2"/>
      <c r="O10063" s="2"/>
      <c r="P10063" s="2"/>
      <c r="Q10063" s="2"/>
      <c r="R10063" s="2"/>
      <c r="S10063" s="2"/>
      <c r="T10063" s="2"/>
      <c r="U10063" s="2"/>
      <c r="V10063" s="2"/>
      <c r="W10063" s="2"/>
      <c r="X10063" s="2"/>
      <c r="Y10063" s="2"/>
      <c r="Z10063" s="2"/>
    </row>
    <row r="10064" spans="1:26" ht="17.399999999999999" x14ac:dyDescent="0.3">
      <c r="A10064" s="10"/>
      <c r="B10064" s="2"/>
      <c r="C10064" s="2"/>
      <c r="D10064" s="2"/>
      <c r="E10064" s="2"/>
      <c r="F10064" s="2"/>
      <c r="G10064" s="2"/>
      <c r="H10064" s="2"/>
      <c r="I10064" s="2"/>
      <c r="J10064" s="2"/>
      <c r="K10064" s="2"/>
      <c r="L10064" s="2"/>
      <c r="M10064" s="2"/>
      <c r="N10064" s="2"/>
      <c r="O10064" s="2"/>
      <c r="P10064" s="2"/>
      <c r="Q10064" s="2"/>
      <c r="R10064" s="2"/>
      <c r="S10064" s="2"/>
      <c r="T10064" s="2"/>
      <c r="U10064" s="2"/>
      <c r="V10064" s="2"/>
      <c r="W10064" s="2"/>
      <c r="X10064" s="2"/>
      <c r="Y10064" s="2"/>
      <c r="Z10064" s="2"/>
    </row>
    <row r="10065" spans="1:26" ht="17.399999999999999" x14ac:dyDescent="0.3">
      <c r="A10065" s="10"/>
      <c r="B10065" s="2"/>
      <c r="C10065" s="2"/>
      <c r="D10065" s="2"/>
      <c r="E10065" s="2"/>
      <c r="F10065" s="2"/>
      <c r="G10065" s="2"/>
      <c r="H10065" s="2"/>
      <c r="I10065" s="2"/>
      <c r="J10065" s="2"/>
      <c r="K10065" s="2"/>
      <c r="L10065" s="2"/>
      <c r="M10065" s="2"/>
      <c r="N10065" s="2"/>
      <c r="O10065" s="2"/>
      <c r="P10065" s="2"/>
      <c r="Q10065" s="2"/>
      <c r="R10065" s="2"/>
      <c r="S10065" s="2"/>
      <c r="T10065" s="2"/>
      <c r="U10065" s="2"/>
      <c r="V10065" s="2"/>
      <c r="W10065" s="2"/>
      <c r="X10065" s="2"/>
      <c r="Y10065" s="2"/>
      <c r="Z10065" s="2"/>
    </row>
    <row r="10066" spans="1:26" ht="17.399999999999999" x14ac:dyDescent="0.3">
      <c r="A10066" s="10"/>
      <c r="B10066" s="2"/>
      <c r="C10066" s="2"/>
      <c r="D10066" s="2"/>
      <c r="E10066" s="2"/>
      <c r="F10066" s="2"/>
      <c r="G10066" s="2"/>
      <c r="H10066" s="2"/>
      <c r="I10066" s="2"/>
      <c r="J10066" s="2"/>
      <c r="K10066" s="2"/>
      <c r="L10066" s="2"/>
      <c r="M10066" s="2"/>
      <c r="N10066" s="2"/>
      <c r="O10066" s="2"/>
      <c r="P10066" s="2"/>
      <c r="Q10066" s="2"/>
      <c r="R10066" s="2"/>
      <c r="S10066" s="2"/>
      <c r="T10066" s="2"/>
      <c r="U10066" s="2"/>
      <c r="V10066" s="2"/>
      <c r="W10066" s="2"/>
      <c r="X10066" s="2"/>
      <c r="Y10066" s="2"/>
      <c r="Z10066" s="2"/>
    </row>
    <row r="10067" spans="1:26" ht="17.399999999999999" x14ac:dyDescent="0.3">
      <c r="A10067" s="10"/>
      <c r="B10067" s="2"/>
      <c r="C10067" s="2"/>
      <c r="D10067" s="2"/>
      <c r="E10067" s="2"/>
      <c r="F10067" s="2"/>
      <c r="G10067" s="2"/>
      <c r="H10067" s="2"/>
      <c r="I10067" s="2"/>
      <c r="J10067" s="2"/>
      <c r="K10067" s="2"/>
      <c r="L10067" s="2"/>
      <c r="M10067" s="2"/>
      <c r="N10067" s="2"/>
      <c r="O10067" s="2"/>
      <c r="P10067" s="2"/>
      <c r="Q10067" s="2"/>
      <c r="R10067" s="2"/>
      <c r="S10067" s="2"/>
      <c r="T10067" s="2"/>
      <c r="U10067" s="2"/>
      <c r="V10067" s="2"/>
      <c r="W10067" s="2"/>
      <c r="X10067" s="2"/>
      <c r="Y10067" s="2"/>
      <c r="Z10067" s="2"/>
    </row>
    <row r="10068" spans="1:26" ht="17.399999999999999" x14ac:dyDescent="0.3">
      <c r="A10068" s="10"/>
      <c r="B10068" s="2"/>
      <c r="C10068" s="2"/>
      <c r="D10068" s="2"/>
      <c r="E10068" s="2"/>
      <c r="F10068" s="2"/>
      <c r="G10068" s="2"/>
      <c r="H10068" s="2"/>
      <c r="I10068" s="2"/>
      <c r="J10068" s="2"/>
      <c r="K10068" s="2"/>
      <c r="L10068" s="2"/>
      <c r="M10068" s="2"/>
      <c r="N10068" s="2"/>
      <c r="O10068" s="2"/>
      <c r="P10068" s="2"/>
      <c r="Q10068" s="2"/>
      <c r="R10068" s="2"/>
      <c r="S10068" s="2"/>
      <c r="T10068" s="2"/>
      <c r="U10068" s="2"/>
      <c r="V10068" s="2"/>
      <c r="W10068" s="2"/>
      <c r="X10068" s="2"/>
      <c r="Y10068" s="2"/>
      <c r="Z10068" s="2"/>
    </row>
    <row r="10069" spans="1:26" ht="17.399999999999999" x14ac:dyDescent="0.3">
      <c r="A10069" s="10"/>
      <c r="B10069" s="2"/>
      <c r="C10069" s="2"/>
      <c r="D10069" s="2"/>
      <c r="E10069" s="2"/>
      <c r="F10069" s="2"/>
      <c r="G10069" s="2"/>
      <c r="H10069" s="2"/>
      <c r="I10069" s="2"/>
      <c r="J10069" s="2"/>
      <c r="K10069" s="2"/>
      <c r="L10069" s="2"/>
      <c r="M10069" s="2"/>
      <c r="N10069" s="2"/>
      <c r="O10069" s="2"/>
      <c r="P10069" s="2"/>
      <c r="Q10069" s="2"/>
      <c r="R10069" s="2"/>
      <c r="S10069" s="2"/>
      <c r="T10069" s="2"/>
      <c r="U10069" s="2"/>
      <c r="V10069" s="2"/>
      <c r="W10069" s="2"/>
      <c r="X10069" s="2"/>
      <c r="Y10069" s="2"/>
      <c r="Z10069" s="2"/>
    </row>
    <row r="10070" spans="1:26" ht="17.399999999999999" x14ac:dyDescent="0.3">
      <c r="A10070" s="10"/>
      <c r="B10070" s="2"/>
      <c r="C10070" s="2"/>
      <c r="D10070" s="2"/>
      <c r="E10070" s="2"/>
      <c r="F10070" s="2"/>
      <c r="G10070" s="2"/>
      <c r="H10070" s="2"/>
      <c r="I10070" s="2"/>
      <c r="J10070" s="2"/>
      <c r="K10070" s="2"/>
      <c r="L10070" s="2"/>
      <c r="M10070" s="2"/>
      <c r="N10070" s="2"/>
      <c r="O10070" s="2"/>
      <c r="P10070" s="2"/>
      <c r="Q10070" s="2"/>
      <c r="R10070" s="2"/>
      <c r="S10070" s="2"/>
      <c r="T10070" s="2"/>
      <c r="U10070" s="2"/>
      <c r="V10070" s="2"/>
      <c r="W10070" s="2"/>
      <c r="X10070" s="2"/>
      <c r="Y10070" s="2"/>
      <c r="Z10070" s="2"/>
    </row>
    <row r="10071" spans="1:26" ht="17.399999999999999" x14ac:dyDescent="0.3">
      <c r="A10071" s="10"/>
      <c r="B10071" s="2"/>
      <c r="C10071" s="2"/>
      <c r="D10071" s="2"/>
      <c r="E10071" s="2"/>
      <c r="F10071" s="2"/>
      <c r="G10071" s="2"/>
      <c r="H10071" s="2"/>
      <c r="I10071" s="2"/>
      <c r="J10071" s="2"/>
      <c r="K10071" s="2"/>
      <c r="L10071" s="2"/>
      <c r="M10071" s="2"/>
      <c r="N10071" s="2"/>
      <c r="O10071" s="2"/>
      <c r="P10071" s="2"/>
      <c r="Q10071" s="2"/>
      <c r="R10071" s="2"/>
      <c r="S10071" s="2"/>
      <c r="T10071" s="2"/>
      <c r="U10071" s="2"/>
      <c r="V10071" s="2"/>
      <c r="W10071" s="2"/>
      <c r="X10071" s="2"/>
      <c r="Y10071" s="2"/>
      <c r="Z10071" s="2"/>
    </row>
    <row r="10072" spans="1:26" ht="17.399999999999999" x14ac:dyDescent="0.3">
      <c r="A10072" s="10"/>
      <c r="B10072" s="2"/>
      <c r="C10072" s="2"/>
      <c r="D10072" s="2"/>
      <c r="E10072" s="2"/>
      <c r="F10072" s="2"/>
      <c r="G10072" s="2"/>
      <c r="H10072" s="2"/>
      <c r="I10072" s="2"/>
      <c r="J10072" s="2"/>
      <c r="K10072" s="2"/>
      <c r="L10072" s="2"/>
      <c r="M10072" s="2"/>
      <c r="N10072" s="2"/>
      <c r="O10072" s="2"/>
      <c r="P10072" s="2"/>
      <c r="Q10072" s="2"/>
      <c r="R10072" s="2"/>
      <c r="S10072" s="2"/>
      <c r="T10072" s="2"/>
      <c r="U10072" s="2"/>
      <c r="V10072" s="2"/>
      <c r="W10072" s="2"/>
      <c r="X10072" s="2"/>
      <c r="Y10072" s="2"/>
      <c r="Z10072" s="2"/>
    </row>
    <row r="10073" spans="1:26" ht="17.399999999999999" x14ac:dyDescent="0.3">
      <c r="A10073" s="10"/>
      <c r="B10073" s="2"/>
      <c r="C10073" s="2"/>
      <c r="D10073" s="2"/>
      <c r="E10073" s="2"/>
      <c r="F10073" s="2"/>
      <c r="G10073" s="2"/>
      <c r="H10073" s="2"/>
      <c r="I10073" s="2"/>
      <c r="J10073" s="2"/>
      <c r="K10073" s="2"/>
      <c r="L10073" s="2"/>
      <c r="M10073" s="2"/>
      <c r="N10073" s="2"/>
      <c r="O10073" s="2"/>
      <c r="P10073" s="2"/>
      <c r="Q10073" s="2"/>
      <c r="R10073" s="2"/>
      <c r="S10073" s="2"/>
      <c r="T10073" s="2"/>
      <c r="U10073" s="2"/>
      <c r="V10073" s="2"/>
      <c r="W10073" s="2"/>
      <c r="X10073" s="2"/>
      <c r="Y10073" s="2"/>
      <c r="Z10073" s="2"/>
    </row>
    <row r="10074" spans="1:26" ht="17.399999999999999" x14ac:dyDescent="0.3">
      <c r="A10074" s="10"/>
      <c r="B10074" s="2"/>
      <c r="C10074" s="2"/>
      <c r="D10074" s="2"/>
      <c r="E10074" s="2"/>
      <c r="F10074" s="2"/>
      <c r="G10074" s="2"/>
      <c r="H10074" s="2"/>
      <c r="I10074" s="2"/>
      <c r="J10074" s="2"/>
      <c r="K10074" s="2"/>
      <c r="L10074" s="2"/>
      <c r="M10074" s="2"/>
      <c r="N10074" s="2"/>
      <c r="O10074" s="2"/>
      <c r="P10074" s="2"/>
      <c r="Q10074" s="2"/>
      <c r="R10074" s="2"/>
      <c r="S10074" s="2"/>
      <c r="T10074" s="2"/>
      <c r="U10074" s="2"/>
      <c r="V10074" s="2"/>
      <c r="W10074" s="2"/>
      <c r="X10074" s="2"/>
      <c r="Y10074" s="2"/>
      <c r="Z10074" s="2"/>
    </row>
    <row r="10075" spans="1:26" ht="17.399999999999999" x14ac:dyDescent="0.3">
      <c r="A10075" s="10"/>
      <c r="B10075" s="2"/>
      <c r="C10075" s="2"/>
      <c r="D10075" s="2"/>
      <c r="E10075" s="2"/>
      <c r="F10075" s="2"/>
      <c r="G10075" s="2"/>
      <c r="H10075" s="2"/>
      <c r="I10075" s="2"/>
      <c r="J10075" s="2"/>
      <c r="K10075" s="2"/>
      <c r="L10075" s="2"/>
      <c r="M10075" s="2"/>
      <c r="N10075" s="2"/>
      <c r="O10075" s="2"/>
      <c r="P10075" s="2"/>
      <c r="Q10075" s="2"/>
      <c r="R10075" s="2"/>
      <c r="S10075" s="2"/>
      <c r="T10075" s="2"/>
      <c r="U10075" s="2"/>
      <c r="V10075" s="2"/>
      <c r="W10075" s="2"/>
      <c r="X10075" s="2"/>
      <c r="Y10075" s="2"/>
      <c r="Z10075" s="2"/>
    </row>
    <row r="10076" spans="1:26" ht="17.399999999999999" x14ac:dyDescent="0.3">
      <c r="A10076" s="10"/>
      <c r="B10076" s="2"/>
      <c r="C10076" s="2"/>
      <c r="D10076" s="2"/>
      <c r="E10076" s="2"/>
      <c r="F10076" s="2"/>
      <c r="G10076" s="2"/>
      <c r="H10076" s="2"/>
      <c r="I10076" s="2"/>
      <c r="J10076" s="2"/>
      <c r="K10076" s="2"/>
      <c r="L10076" s="2"/>
      <c r="M10076" s="2"/>
      <c r="N10076" s="2"/>
      <c r="O10076" s="2"/>
      <c r="P10076" s="2"/>
      <c r="Q10076" s="2"/>
      <c r="R10076" s="2"/>
      <c r="S10076" s="2"/>
      <c r="T10076" s="2"/>
      <c r="U10076" s="2"/>
      <c r="V10076" s="2"/>
      <c r="W10076" s="2"/>
      <c r="X10076" s="2"/>
      <c r="Y10076" s="2"/>
      <c r="Z10076" s="2"/>
    </row>
    <row r="10077" spans="1:26" ht="17.399999999999999" x14ac:dyDescent="0.3">
      <c r="A10077" s="10"/>
      <c r="B10077" s="2"/>
      <c r="C10077" s="2"/>
      <c r="D10077" s="2"/>
      <c r="E10077" s="2"/>
      <c r="F10077" s="2"/>
      <c r="G10077" s="2"/>
      <c r="H10077" s="2"/>
      <c r="I10077" s="2"/>
      <c r="J10077" s="2"/>
      <c r="K10077" s="2"/>
      <c r="L10077" s="2"/>
      <c r="M10077" s="2"/>
      <c r="N10077" s="2"/>
      <c r="O10077" s="2"/>
      <c r="P10077" s="2"/>
      <c r="Q10077" s="2"/>
      <c r="R10077" s="2"/>
      <c r="S10077" s="2"/>
      <c r="T10077" s="2"/>
      <c r="U10077" s="2"/>
      <c r="V10077" s="2"/>
      <c r="W10077" s="2"/>
      <c r="X10077" s="2"/>
      <c r="Y10077" s="2"/>
      <c r="Z10077" s="2"/>
    </row>
    <row r="10078" spans="1:26" ht="17.399999999999999" x14ac:dyDescent="0.3">
      <c r="A10078" s="10"/>
      <c r="B10078" s="2"/>
      <c r="C10078" s="2"/>
      <c r="D10078" s="2"/>
      <c r="E10078" s="2"/>
      <c r="F10078" s="2"/>
      <c r="G10078" s="2"/>
      <c r="H10078" s="2"/>
      <c r="I10078" s="2"/>
      <c r="J10078" s="2"/>
      <c r="K10078" s="2"/>
      <c r="L10078" s="2"/>
      <c r="M10078" s="2"/>
      <c r="N10078" s="2"/>
      <c r="O10078" s="2"/>
      <c r="P10078" s="2"/>
      <c r="Q10078" s="2"/>
      <c r="R10078" s="2"/>
      <c r="S10078" s="2"/>
      <c r="T10078" s="2"/>
      <c r="U10078" s="2"/>
      <c r="V10078" s="2"/>
      <c r="W10078" s="2"/>
      <c r="X10078" s="2"/>
      <c r="Y10078" s="2"/>
      <c r="Z10078" s="2"/>
    </row>
    <row r="10079" spans="1:26" ht="17.399999999999999" x14ac:dyDescent="0.3">
      <c r="A10079" s="10"/>
      <c r="B10079" s="2"/>
      <c r="C10079" s="2"/>
      <c r="D10079" s="2"/>
      <c r="E10079" s="2"/>
      <c r="F10079" s="2"/>
      <c r="G10079" s="2"/>
      <c r="H10079" s="2"/>
      <c r="I10079" s="2"/>
      <c r="J10079" s="2"/>
      <c r="K10079" s="2"/>
      <c r="L10079" s="2"/>
      <c r="M10079" s="2"/>
      <c r="N10079" s="2"/>
      <c r="O10079" s="2"/>
      <c r="P10079" s="2"/>
      <c r="Q10079" s="2"/>
      <c r="R10079" s="2"/>
      <c r="S10079" s="2"/>
      <c r="T10079" s="2"/>
      <c r="U10079" s="2"/>
      <c r="V10079" s="2"/>
      <c r="W10079" s="2"/>
      <c r="X10079" s="2"/>
      <c r="Y10079" s="2"/>
      <c r="Z10079" s="2"/>
    </row>
    <row r="10080" spans="1:26" ht="17.399999999999999" x14ac:dyDescent="0.3">
      <c r="A10080" s="10"/>
      <c r="B10080" s="2"/>
      <c r="C10080" s="2"/>
      <c r="D10080" s="2"/>
      <c r="E10080" s="2"/>
      <c r="F10080" s="2"/>
      <c r="G10080" s="2"/>
      <c r="H10080" s="2"/>
      <c r="I10080" s="2"/>
      <c r="J10080" s="2"/>
      <c r="K10080" s="2"/>
      <c r="L10080" s="2"/>
      <c r="M10080" s="2"/>
      <c r="N10080" s="2"/>
      <c r="O10080" s="2"/>
      <c r="P10080" s="2"/>
      <c r="Q10080" s="2"/>
      <c r="R10080" s="2"/>
      <c r="S10080" s="2"/>
      <c r="T10080" s="2"/>
      <c r="U10080" s="2"/>
      <c r="V10080" s="2"/>
      <c r="W10080" s="2"/>
      <c r="X10080" s="2"/>
      <c r="Y10080" s="2"/>
      <c r="Z10080" s="2"/>
    </row>
    <row r="10081" spans="1:26" ht="17.399999999999999" x14ac:dyDescent="0.3">
      <c r="A10081" s="10"/>
      <c r="B10081" s="2"/>
      <c r="C10081" s="2"/>
      <c r="D10081" s="2"/>
      <c r="E10081" s="2"/>
      <c r="F10081" s="2"/>
      <c r="G10081" s="2"/>
      <c r="H10081" s="2"/>
      <c r="I10081" s="2"/>
      <c r="J10081" s="2"/>
      <c r="K10081" s="2"/>
      <c r="L10081" s="2"/>
      <c r="M10081" s="2"/>
      <c r="N10081" s="2"/>
      <c r="O10081" s="2"/>
      <c r="P10081" s="2"/>
      <c r="Q10081" s="2"/>
      <c r="R10081" s="2"/>
      <c r="S10081" s="2"/>
      <c r="T10081" s="2"/>
      <c r="U10081" s="2"/>
      <c r="V10081" s="2"/>
      <c r="W10081" s="2"/>
      <c r="X10081" s="2"/>
      <c r="Y10081" s="2"/>
      <c r="Z10081" s="2"/>
    </row>
    <row r="10082" spans="1:26" ht="17.399999999999999" x14ac:dyDescent="0.3">
      <c r="A10082" s="10"/>
      <c r="B10082" s="2"/>
      <c r="C10082" s="2"/>
      <c r="D10082" s="2"/>
      <c r="E10082" s="2"/>
      <c r="F10082" s="2"/>
      <c r="G10082" s="2"/>
      <c r="H10082" s="2"/>
      <c r="I10082" s="2"/>
      <c r="J10082" s="2"/>
      <c r="K10082" s="2"/>
      <c r="L10082" s="2"/>
      <c r="M10082" s="2"/>
      <c r="N10082" s="2"/>
      <c r="O10082" s="2"/>
      <c r="P10082" s="2"/>
      <c r="Q10082" s="2"/>
      <c r="R10082" s="2"/>
      <c r="S10082" s="2"/>
      <c r="T10082" s="2"/>
      <c r="U10082" s="2"/>
      <c r="V10082" s="2"/>
      <c r="W10082" s="2"/>
      <c r="X10082" s="2"/>
      <c r="Y10082" s="2"/>
      <c r="Z10082" s="2"/>
    </row>
    <row r="10083" spans="1:26" ht="17.399999999999999" x14ac:dyDescent="0.3">
      <c r="A10083" s="10"/>
      <c r="B10083" s="2"/>
      <c r="C10083" s="2"/>
      <c r="D10083" s="2"/>
      <c r="E10083" s="2"/>
      <c r="F10083" s="2"/>
      <c r="G10083" s="2"/>
      <c r="H10083" s="2"/>
      <c r="I10083" s="2"/>
      <c r="J10083" s="2"/>
      <c r="K10083" s="2"/>
      <c r="L10083" s="2"/>
      <c r="M10083" s="2"/>
      <c r="N10083" s="2"/>
      <c r="O10083" s="2"/>
      <c r="P10083" s="2"/>
      <c r="Q10083" s="2"/>
      <c r="R10083" s="2"/>
      <c r="S10083" s="2"/>
      <c r="T10083" s="2"/>
      <c r="U10083" s="2"/>
      <c r="V10083" s="2"/>
      <c r="W10083" s="2"/>
      <c r="X10083" s="2"/>
      <c r="Y10083" s="2"/>
      <c r="Z10083" s="2"/>
    </row>
    <row r="10084" spans="1:26" ht="17.399999999999999" x14ac:dyDescent="0.3">
      <c r="A10084" s="10"/>
      <c r="B10084" s="2"/>
      <c r="C10084" s="2"/>
      <c r="D10084" s="2"/>
      <c r="E10084" s="2"/>
      <c r="F10084" s="2"/>
      <c r="G10084" s="2"/>
      <c r="H10084" s="2"/>
      <c r="I10084" s="2"/>
      <c r="J10084" s="2"/>
      <c r="K10084" s="2"/>
      <c r="L10084" s="2"/>
      <c r="M10084" s="2"/>
      <c r="N10084" s="2"/>
      <c r="O10084" s="2"/>
      <c r="P10084" s="2"/>
      <c r="Q10084" s="2"/>
      <c r="R10084" s="2"/>
      <c r="S10084" s="2"/>
      <c r="T10084" s="2"/>
      <c r="U10084" s="2"/>
      <c r="V10084" s="2"/>
      <c r="W10084" s="2"/>
      <c r="X10084" s="2"/>
      <c r="Y10084" s="2"/>
      <c r="Z10084" s="2"/>
    </row>
    <row r="10085" spans="1:26" ht="17.399999999999999" x14ac:dyDescent="0.3">
      <c r="A10085" s="10"/>
      <c r="B10085" s="2"/>
      <c r="C10085" s="2"/>
      <c r="D10085" s="2"/>
      <c r="E10085" s="2"/>
      <c r="F10085" s="2"/>
      <c r="G10085" s="2"/>
      <c r="H10085" s="2"/>
      <c r="I10085" s="2"/>
      <c r="J10085" s="2"/>
      <c r="K10085" s="2"/>
      <c r="L10085" s="2"/>
      <c r="M10085" s="2"/>
      <c r="N10085" s="2"/>
      <c r="O10085" s="2"/>
      <c r="P10085" s="2"/>
      <c r="Q10085" s="2"/>
      <c r="R10085" s="2"/>
      <c r="S10085" s="2"/>
      <c r="T10085" s="2"/>
      <c r="U10085" s="2"/>
      <c r="V10085" s="2"/>
      <c r="W10085" s="2"/>
      <c r="X10085" s="2"/>
      <c r="Y10085" s="2"/>
      <c r="Z10085" s="2"/>
    </row>
    <row r="10086" spans="1:26" ht="17.399999999999999" x14ac:dyDescent="0.3">
      <c r="A10086" s="10"/>
      <c r="B10086" s="2"/>
      <c r="C10086" s="2"/>
      <c r="D10086" s="2"/>
      <c r="E10086" s="2"/>
      <c r="F10086" s="2"/>
      <c r="G10086" s="2"/>
      <c r="H10086" s="2"/>
      <c r="I10086" s="2"/>
      <c r="J10086" s="2"/>
      <c r="K10086" s="2"/>
      <c r="L10086" s="2"/>
      <c r="M10086" s="2"/>
      <c r="N10086" s="2"/>
      <c r="O10086" s="2"/>
      <c r="P10086" s="2"/>
      <c r="Q10086" s="2"/>
      <c r="R10086" s="2"/>
      <c r="S10086" s="2"/>
      <c r="T10086" s="2"/>
      <c r="U10086" s="2"/>
      <c r="V10086" s="2"/>
      <c r="W10086" s="2"/>
      <c r="X10086" s="2"/>
      <c r="Y10086" s="2"/>
      <c r="Z10086" s="2"/>
    </row>
    <row r="10087" spans="1:26" ht="17.399999999999999" x14ac:dyDescent="0.3">
      <c r="A10087" s="10"/>
      <c r="B10087" s="2"/>
      <c r="C10087" s="2"/>
      <c r="D10087" s="2"/>
      <c r="E10087" s="2"/>
      <c r="F10087" s="2"/>
      <c r="G10087" s="2"/>
      <c r="H10087" s="2"/>
      <c r="I10087" s="2"/>
      <c r="J10087" s="2"/>
      <c r="K10087" s="2"/>
      <c r="L10087" s="2"/>
      <c r="M10087" s="2"/>
      <c r="N10087" s="2"/>
      <c r="O10087" s="2"/>
      <c r="P10087" s="2"/>
      <c r="Q10087" s="2"/>
      <c r="R10087" s="2"/>
      <c r="S10087" s="2"/>
      <c r="T10087" s="2"/>
      <c r="U10087" s="2"/>
      <c r="V10087" s="2"/>
      <c r="W10087" s="2"/>
      <c r="X10087" s="2"/>
      <c r="Y10087" s="2"/>
      <c r="Z10087" s="2"/>
    </row>
    <row r="10088" spans="1:26" ht="17.399999999999999" x14ac:dyDescent="0.3">
      <c r="A10088" s="10"/>
      <c r="B10088" s="2"/>
      <c r="C10088" s="2"/>
      <c r="D10088" s="2"/>
      <c r="E10088" s="2"/>
      <c r="F10088" s="2"/>
      <c r="G10088" s="2"/>
      <c r="H10088" s="2"/>
      <c r="I10088" s="2"/>
      <c r="J10088" s="2"/>
      <c r="K10088" s="2"/>
      <c r="L10088" s="2"/>
      <c r="M10088" s="2"/>
      <c r="N10088" s="2"/>
      <c r="O10088" s="2"/>
      <c r="P10088" s="2"/>
      <c r="Q10088" s="2"/>
      <c r="R10088" s="2"/>
      <c r="S10088" s="2"/>
      <c r="T10088" s="2"/>
      <c r="U10088" s="2"/>
      <c r="V10088" s="2"/>
      <c r="W10088" s="2"/>
      <c r="X10088" s="2"/>
      <c r="Y10088" s="2"/>
      <c r="Z10088" s="2"/>
    </row>
    <row r="10089" spans="1:26" ht="17.399999999999999" x14ac:dyDescent="0.3">
      <c r="A10089" s="10"/>
      <c r="B10089" s="2"/>
      <c r="C10089" s="2"/>
      <c r="D10089" s="2"/>
      <c r="E10089" s="2"/>
      <c r="F10089" s="2"/>
      <c r="G10089" s="2"/>
      <c r="H10089" s="2"/>
      <c r="I10089" s="2"/>
      <c r="J10089" s="2"/>
      <c r="K10089" s="2"/>
      <c r="L10089" s="2"/>
      <c r="M10089" s="2"/>
      <c r="N10089" s="2"/>
      <c r="O10089" s="2"/>
      <c r="P10089" s="2"/>
      <c r="Q10089" s="2"/>
      <c r="R10089" s="2"/>
      <c r="S10089" s="2"/>
      <c r="T10089" s="2"/>
      <c r="U10089" s="2"/>
      <c r="V10089" s="2"/>
      <c r="W10089" s="2"/>
      <c r="X10089" s="2"/>
      <c r="Y10089" s="2"/>
      <c r="Z10089" s="2"/>
    </row>
    <row r="10090" spans="1:26" ht="17.399999999999999" x14ac:dyDescent="0.3">
      <c r="A10090" s="10"/>
      <c r="B10090" s="2"/>
      <c r="C10090" s="2"/>
      <c r="D10090" s="2"/>
      <c r="E10090" s="2"/>
      <c r="F10090" s="2"/>
      <c r="G10090" s="2"/>
      <c r="H10090" s="2"/>
      <c r="I10090" s="2"/>
      <c r="J10090" s="2"/>
      <c r="K10090" s="2"/>
      <c r="L10090" s="2"/>
      <c r="M10090" s="2"/>
      <c r="N10090" s="2"/>
      <c r="O10090" s="2"/>
      <c r="P10090" s="2"/>
      <c r="Q10090" s="2"/>
      <c r="R10090" s="2"/>
      <c r="S10090" s="2"/>
      <c r="T10090" s="2"/>
      <c r="U10090" s="2"/>
      <c r="V10090" s="2"/>
      <c r="W10090" s="2"/>
      <c r="X10090" s="2"/>
      <c r="Y10090" s="2"/>
      <c r="Z10090" s="2"/>
    </row>
    <row r="10091" spans="1:26" ht="17.399999999999999" x14ac:dyDescent="0.3">
      <c r="A10091" s="10"/>
      <c r="B10091" s="2"/>
      <c r="C10091" s="2"/>
      <c r="D10091" s="2"/>
      <c r="E10091" s="2"/>
      <c r="F10091" s="2"/>
      <c r="G10091" s="2"/>
      <c r="H10091" s="2"/>
      <c r="I10091" s="2"/>
      <c r="J10091" s="2"/>
      <c r="K10091" s="2"/>
      <c r="L10091" s="2"/>
      <c r="M10091" s="2"/>
      <c r="N10091" s="2"/>
      <c r="O10091" s="2"/>
      <c r="P10091" s="2"/>
      <c r="Q10091" s="2"/>
      <c r="R10091" s="2"/>
      <c r="S10091" s="2"/>
      <c r="T10091" s="2"/>
      <c r="U10091" s="2"/>
      <c r="V10091" s="2"/>
      <c r="W10091" s="2"/>
      <c r="X10091" s="2"/>
      <c r="Y10091" s="2"/>
      <c r="Z10091" s="2"/>
    </row>
    <row r="10092" spans="1:26" ht="17.399999999999999" x14ac:dyDescent="0.3">
      <c r="A10092" s="10"/>
      <c r="B10092" s="2"/>
      <c r="C10092" s="2"/>
      <c r="D10092" s="2"/>
      <c r="E10092" s="2"/>
      <c r="F10092" s="2"/>
      <c r="G10092" s="2"/>
      <c r="H10092" s="2"/>
      <c r="I10092" s="2"/>
      <c r="J10092" s="2"/>
      <c r="K10092" s="2"/>
      <c r="L10092" s="2"/>
      <c r="M10092" s="2"/>
      <c r="N10092" s="2"/>
      <c r="O10092" s="2"/>
      <c r="P10092" s="2"/>
      <c r="Q10092" s="2"/>
      <c r="R10092" s="2"/>
      <c r="S10092" s="2"/>
      <c r="T10092" s="2"/>
      <c r="U10092" s="2"/>
      <c r="V10092" s="2"/>
      <c r="W10092" s="2"/>
      <c r="X10092" s="2"/>
      <c r="Y10092" s="2"/>
      <c r="Z10092" s="2"/>
    </row>
    <row r="10093" spans="1:26" ht="17.399999999999999" x14ac:dyDescent="0.3">
      <c r="A10093" s="10"/>
      <c r="B10093" s="2"/>
      <c r="C10093" s="2"/>
      <c r="D10093" s="2"/>
      <c r="E10093" s="2"/>
      <c r="F10093" s="2"/>
      <c r="G10093" s="2"/>
      <c r="H10093" s="2"/>
      <c r="I10093" s="2"/>
      <c r="J10093" s="2"/>
      <c r="K10093" s="2"/>
      <c r="L10093" s="2"/>
      <c r="M10093" s="2"/>
      <c r="N10093" s="2"/>
      <c r="O10093" s="2"/>
      <c r="P10093" s="2"/>
      <c r="Q10093" s="2"/>
      <c r="R10093" s="2"/>
      <c r="S10093" s="2"/>
      <c r="T10093" s="2"/>
      <c r="U10093" s="2"/>
      <c r="V10093" s="2"/>
      <c r="W10093" s="2"/>
      <c r="X10093" s="2"/>
      <c r="Y10093" s="2"/>
      <c r="Z10093" s="2"/>
    </row>
    <row r="10094" spans="1:26" ht="17.399999999999999" x14ac:dyDescent="0.3">
      <c r="A10094" s="10"/>
      <c r="B10094" s="2"/>
      <c r="C10094" s="2"/>
      <c r="D10094" s="2"/>
      <c r="E10094" s="2"/>
      <c r="F10094" s="2"/>
      <c r="G10094" s="2"/>
      <c r="H10094" s="2"/>
      <c r="I10094" s="2"/>
      <c r="J10094" s="2"/>
      <c r="K10094" s="2"/>
      <c r="L10094" s="2"/>
      <c r="M10094" s="2"/>
      <c r="N10094" s="2"/>
      <c r="O10094" s="2"/>
      <c r="P10094" s="2"/>
      <c r="Q10094" s="2"/>
      <c r="R10094" s="2"/>
      <c r="S10094" s="2"/>
      <c r="T10094" s="2"/>
      <c r="U10094" s="2"/>
      <c r="V10094" s="2"/>
      <c r="W10094" s="2"/>
      <c r="X10094" s="2"/>
      <c r="Y10094" s="2"/>
      <c r="Z10094" s="2"/>
    </row>
    <row r="10095" spans="1:26" ht="17.399999999999999" x14ac:dyDescent="0.3">
      <c r="A10095" s="10"/>
      <c r="B10095" s="2"/>
      <c r="C10095" s="2"/>
      <c r="D10095" s="2"/>
      <c r="E10095" s="2"/>
      <c r="F10095" s="2"/>
      <c r="G10095" s="2"/>
      <c r="H10095" s="2"/>
      <c r="I10095" s="2"/>
      <c r="J10095" s="2"/>
      <c r="K10095" s="2"/>
      <c r="L10095" s="2"/>
      <c r="M10095" s="2"/>
      <c r="N10095" s="2"/>
      <c r="O10095" s="2"/>
      <c r="P10095" s="2"/>
      <c r="Q10095" s="2"/>
      <c r="R10095" s="2"/>
      <c r="S10095" s="2"/>
      <c r="T10095" s="2"/>
      <c r="U10095" s="2"/>
      <c r="V10095" s="2"/>
      <c r="W10095" s="2"/>
      <c r="X10095" s="2"/>
      <c r="Y10095" s="2"/>
      <c r="Z10095" s="2"/>
    </row>
    <row r="10096" spans="1:26" ht="17.399999999999999" x14ac:dyDescent="0.3">
      <c r="A10096" s="10"/>
      <c r="B10096" s="2"/>
      <c r="C10096" s="2"/>
      <c r="D10096" s="2"/>
      <c r="E10096" s="2"/>
      <c r="F10096" s="2"/>
      <c r="G10096" s="2"/>
      <c r="H10096" s="2"/>
      <c r="I10096" s="2"/>
      <c r="J10096" s="2"/>
      <c r="K10096" s="2"/>
      <c r="L10096" s="2"/>
      <c r="M10096" s="2"/>
      <c r="N10096" s="2"/>
      <c r="O10096" s="2"/>
      <c r="P10096" s="2"/>
      <c r="Q10096" s="2"/>
      <c r="R10096" s="2"/>
      <c r="S10096" s="2"/>
      <c r="T10096" s="2"/>
      <c r="U10096" s="2"/>
      <c r="V10096" s="2"/>
      <c r="W10096" s="2"/>
      <c r="X10096" s="2"/>
      <c r="Y10096" s="2"/>
      <c r="Z10096" s="2"/>
    </row>
    <row r="10097" spans="1:26" ht="17.399999999999999" x14ac:dyDescent="0.3">
      <c r="A10097" s="10"/>
      <c r="B10097" s="2"/>
      <c r="C10097" s="2"/>
      <c r="D10097" s="2"/>
      <c r="E10097" s="2"/>
      <c r="F10097" s="2"/>
      <c r="G10097" s="2"/>
      <c r="H10097" s="2"/>
      <c r="I10097" s="2"/>
      <c r="J10097" s="2"/>
      <c r="K10097" s="2"/>
      <c r="L10097" s="2"/>
      <c r="M10097" s="2"/>
      <c r="N10097" s="2"/>
      <c r="O10097" s="2"/>
      <c r="P10097" s="2"/>
      <c r="Q10097" s="2"/>
      <c r="R10097" s="2"/>
      <c r="S10097" s="2"/>
      <c r="T10097" s="2"/>
      <c r="U10097" s="2"/>
      <c r="V10097" s="2"/>
      <c r="W10097" s="2"/>
      <c r="X10097" s="2"/>
      <c r="Y10097" s="2"/>
      <c r="Z10097" s="2"/>
    </row>
    <row r="10098" spans="1:26" ht="17.399999999999999" x14ac:dyDescent="0.3">
      <c r="A10098" s="10"/>
      <c r="B10098" s="2"/>
      <c r="C10098" s="2"/>
      <c r="D10098" s="2"/>
      <c r="E10098" s="2"/>
      <c r="F10098" s="2"/>
      <c r="G10098" s="2"/>
      <c r="H10098" s="2"/>
      <c r="I10098" s="2"/>
      <c r="J10098" s="2"/>
      <c r="K10098" s="2"/>
      <c r="L10098" s="2"/>
      <c r="M10098" s="2"/>
      <c r="N10098" s="2"/>
      <c r="O10098" s="2"/>
      <c r="P10098" s="2"/>
      <c r="Q10098" s="2"/>
      <c r="R10098" s="2"/>
      <c r="S10098" s="2"/>
      <c r="T10098" s="2"/>
      <c r="U10098" s="2"/>
      <c r="V10098" s="2"/>
      <c r="W10098" s="2"/>
      <c r="X10098" s="2"/>
      <c r="Y10098" s="2"/>
      <c r="Z10098" s="2"/>
    </row>
    <row r="10099" spans="1:26" ht="17.399999999999999" x14ac:dyDescent="0.3">
      <c r="A10099" s="10"/>
      <c r="B10099" s="2"/>
      <c r="C10099" s="2"/>
      <c r="D10099" s="2"/>
      <c r="E10099" s="2"/>
      <c r="F10099" s="2"/>
      <c r="G10099" s="2"/>
      <c r="H10099" s="2"/>
      <c r="I10099" s="2"/>
      <c r="J10099" s="2"/>
      <c r="K10099" s="2"/>
      <c r="L10099" s="2"/>
      <c r="M10099" s="2"/>
      <c r="N10099" s="2"/>
      <c r="O10099" s="2"/>
      <c r="P10099" s="2"/>
      <c r="Q10099" s="2"/>
      <c r="R10099" s="2"/>
      <c r="S10099" s="2"/>
      <c r="T10099" s="2"/>
      <c r="U10099" s="2"/>
      <c r="V10099" s="2"/>
      <c r="W10099" s="2"/>
      <c r="X10099" s="2"/>
      <c r="Y10099" s="2"/>
      <c r="Z10099" s="2"/>
    </row>
    <row r="10100" spans="1:26" ht="17.399999999999999" x14ac:dyDescent="0.3">
      <c r="A10100" s="10"/>
      <c r="B10100" s="2"/>
      <c r="C10100" s="2"/>
      <c r="D10100" s="2"/>
      <c r="E10100" s="2"/>
      <c r="F10100" s="2"/>
      <c r="G10100" s="2"/>
      <c r="H10100" s="2"/>
      <c r="I10100" s="2"/>
      <c r="J10100" s="2"/>
      <c r="K10100" s="2"/>
      <c r="L10100" s="2"/>
      <c r="M10100" s="2"/>
      <c r="N10100" s="2"/>
      <c r="O10100" s="2"/>
      <c r="P10100" s="2"/>
      <c r="Q10100" s="2"/>
      <c r="R10100" s="2"/>
      <c r="S10100" s="2"/>
      <c r="T10100" s="2"/>
      <c r="U10100" s="2"/>
      <c r="V10100" s="2"/>
      <c r="W10100" s="2"/>
      <c r="X10100" s="2"/>
      <c r="Y10100" s="2"/>
      <c r="Z10100" s="2"/>
    </row>
    <row r="10101" spans="1:26" ht="17.399999999999999" x14ac:dyDescent="0.3">
      <c r="A10101" s="10"/>
      <c r="B10101" s="2"/>
      <c r="C10101" s="2"/>
      <c r="D10101" s="2"/>
      <c r="E10101" s="2"/>
      <c r="F10101" s="2"/>
      <c r="G10101" s="2"/>
      <c r="H10101" s="2"/>
      <c r="I10101" s="2"/>
      <c r="J10101" s="2"/>
      <c r="K10101" s="2"/>
      <c r="L10101" s="2"/>
      <c r="M10101" s="2"/>
      <c r="N10101" s="2"/>
      <c r="O10101" s="2"/>
      <c r="P10101" s="2"/>
      <c r="Q10101" s="2"/>
      <c r="R10101" s="2"/>
      <c r="S10101" s="2"/>
      <c r="T10101" s="2"/>
      <c r="U10101" s="2"/>
      <c r="V10101" s="2"/>
      <c r="W10101" s="2"/>
      <c r="X10101" s="2"/>
      <c r="Y10101" s="2"/>
      <c r="Z10101" s="2"/>
    </row>
    <row r="10102" spans="1:26" ht="17.399999999999999" x14ac:dyDescent="0.3">
      <c r="A10102" s="10"/>
      <c r="B10102" s="2"/>
      <c r="C10102" s="2"/>
      <c r="D10102" s="2"/>
      <c r="E10102" s="2"/>
      <c r="F10102" s="2"/>
      <c r="G10102" s="2"/>
      <c r="H10102" s="2"/>
      <c r="I10102" s="2"/>
      <c r="J10102" s="2"/>
      <c r="K10102" s="2"/>
      <c r="L10102" s="2"/>
      <c r="M10102" s="2"/>
      <c r="N10102" s="2"/>
      <c r="O10102" s="2"/>
      <c r="P10102" s="2"/>
      <c r="Q10102" s="2"/>
      <c r="R10102" s="2"/>
      <c r="S10102" s="2"/>
      <c r="T10102" s="2"/>
      <c r="U10102" s="2"/>
      <c r="V10102" s="2"/>
      <c r="W10102" s="2"/>
      <c r="X10102" s="2"/>
      <c r="Y10102" s="2"/>
      <c r="Z10102" s="2"/>
    </row>
    <row r="10103" spans="1:26" ht="17.399999999999999" x14ac:dyDescent="0.3">
      <c r="A10103" s="10"/>
      <c r="B10103" s="2"/>
      <c r="C10103" s="2"/>
      <c r="D10103" s="2"/>
      <c r="E10103" s="2"/>
      <c r="F10103" s="2"/>
      <c r="G10103" s="2"/>
      <c r="H10103" s="2"/>
      <c r="I10103" s="2"/>
      <c r="J10103" s="2"/>
      <c r="K10103" s="2"/>
      <c r="L10103" s="2"/>
      <c r="M10103" s="2"/>
      <c r="N10103" s="2"/>
      <c r="O10103" s="2"/>
      <c r="P10103" s="2"/>
      <c r="Q10103" s="2"/>
      <c r="R10103" s="2"/>
      <c r="S10103" s="2"/>
      <c r="T10103" s="2"/>
      <c r="U10103" s="2"/>
      <c r="V10103" s="2"/>
      <c r="W10103" s="2"/>
      <c r="X10103" s="2"/>
      <c r="Y10103" s="2"/>
      <c r="Z10103" s="2"/>
    </row>
    <row r="10104" spans="1:26" ht="17.399999999999999" x14ac:dyDescent="0.3">
      <c r="A10104" s="10"/>
      <c r="B10104" s="2"/>
      <c r="C10104" s="2"/>
      <c r="D10104" s="2"/>
      <c r="E10104" s="2"/>
      <c r="F10104" s="2"/>
      <c r="G10104" s="2"/>
      <c r="H10104" s="2"/>
      <c r="I10104" s="2"/>
      <c r="J10104" s="2"/>
      <c r="K10104" s="2"/>
      <c r="L10104" s="2"/>
      <c r="M10104" s="2"/>
      <c r="N10104" s="2"/>
      <c r="O10104" s="2"/>
      <c r="P10104" s="2"/>
      <c r="Q10104" s="2"/>
      <c r="R10104" s="2"/>
      <c r="S10104" s="2"/>
      <c r="T10104" s="2"/>
      <c r="U10104" s="2"/>
      <c r="V10104" s="2"/>
      <c r="W10104" s="2"/>
      <c r="X10104" s="2"/>
      <c r="Y10104" s="2"/>
      <c r="Z10104" s="2"/>
    </row>
    <row r="10105" spans="1:26" ht="17.399999999999999" x14ac:dyDescent="0.3">
      <c r="A10105" s="10"/>
      <c r="B10105" s="2"/>
      <c r="C10105" s="2"/>
      <c r="D10105" s="2"/>
      <c r="E10105" s="2"/>
      <c r="F10105" s="2"/>
      <c r="G10105" s="2"/>
      <c r="H10105" s="2"/>
      <c r="I10105" s="2"/>
      <c r="J10105" s="2"/>
      <c r="K10105" s="2"/>
      <c r="L10105" s="2"/>
      <c r="M10105" s="2"/>
      <c r="N10105" s="2"/>
      <c r="O10105" s="2"/>
      <c r="P10105" s="2"/>
      <c r="Q10105" s="2"/>
      <c r="R10105" s="2"/>
      <c r="S10105" s="2"/>
      <c r="T10105" s="2"/>
      <c r="U10105" s="2"/>
      <c r="V10105" s="2"/>
      <c r="W10105" s="2"/>
      <c r="X10105" s="2"/>
      <c r="Y10105" s="2"/>
      <c r="Z10105" s="2"/>
    </row>
    <row r="10106" spans="1:26" ht="17.399999999999999" x14ac:dyDescent="0.3">
      <c r="A10106" s="10"/>
      <c r="B10106" s="2"/>
      <c r="C10106" s="2"/>
      <c r="D10106" s="2"/>
      <c r="E10106" s="2"/>
      <c r="F10106" s="2"/>
      <c r="G10106" s="2"/>
      <c r="H10106" s="2"/>
      <c r="I10106" s="2"/>
      <c r="J10106" s="2"/>
      <c r="K10106" s="2"/>
      <c r="L10106" s="2"/>
      <c r="M10106" s="2"/>
      <c r="N10106" s="2"/>
      <c r="O10106" s="2"/>
      <c r="P10106" s="2"/>
      <c r="Q10106" s="2"/>
      <c r="R10106" s="2"/>
      <c r="S10106" s="2"/>
      <c r="T10106" s="2"/>
      <c r="U10106" s="2"/>
      <c r="V10106" s="2"/>
      <c r="W10106" s="2"/>
      <c r="X10106" s="2"/>
      <c r="Y10106" s="2"/>
      <c r="Z10106" s="2"/>
    </row>
    <row r="10107" spans="1:26" ht="17.399999999999999" x14ac:dyDescent="0.3">
      <c r="A10107" s="10"/>
      <c r="B10107" s="2"/>
      <c r="C10107" s="2"/>
      <c r="D10107" s="2"/>
      <c r="E10107" s="2"/>
      <c r="F10107" s="2"/>
      <c r="G10107" s="2"/>
      <c r="H10107" s="2"/>
      <c r="I10107" s="2"/>
      <c r="J10107" s="2"/>
      <c r="K10107" s="2"/>
      <c r="L10107" s="2"/>
      <c r="M10107" s="2"/>
      <c r="N10107" s="2"/>
      <c r="O10107" s="2"/>
      <c r="P10107" s="2"/>
      <c r="Q10107" s="2"/>
      <c r="R10107" s="2"/>
      <c r="S10107" s="2"/>
      <c r="T10107" s="2"/>
      <c r="U10107" s="2"/>
      <c r="V10107" s="2"/>
      <c r="W10107" s="2"/>
      <c r="X10107" s="2"/>
      <c r="Y10107" s="2"/>
      <c r="Z10107" s="2"/>
    </row>
    <row r="10108" spans="1:26" ht="17.399999999999999" x14ac:dyDescent="0.3">
      <c r="A10108" s="10"/>
      <c r="B10108" s="2"/>
      <c r="C10108" s="2"/>
      <c r="D10108" s="2"/>
      <c r="E10108" s="2"/>
      <c r="F10108" s="2"/>
      <c r="G10108" s="2"/>
      <c r="H10108" s="2"/>
      <c r="I10108" s="2"/>
      <c r="J10108" s="2"/>
      <c r="K10108" s="2"/>
      <c r="L10108" s="2"/>
      <c r="M10108" s="2"/>
      <c r="N10108" s="2"/>
      <c r="O10108" s="2"/>
      <c r="P10108" s="2"/>
      <c r="Q10108" s="2"/>
      <c r="R10108" s="2"/>
      <c r="S10108" s="2"/>
      <c r="T10108" s="2"/>
      <c r="U10108" s="2"/>
      <c r="V10108" s="2"/>
      <c r="W10108" s="2"/>
      <c r="X10108" s="2"/>
      <c r="Y10108" s="2"/>
      <c r="Z10108" s="2"/>
    </row>
    <row r="10109" spans="1:26" ht="17.399999999999999" x14ac:dyDescent="0.3">
      <c r="A10109" s="10"/>
      <c r="B10109" s="2"/>
      <c r="C10109" s="2"/>
      <c r="D10109" s="2"/>
      <c r="E10109" s="2"/>
      <c r="F10109" s="2"/>
      <c r="G10109" s="2"/>
      <c r="H10109" s="2"/>
      <c r="I10109" s="2"/>
      <c r="J10109" s="2"/>
      <c r="K10109" s="2"/>
      <c r="L10109" s="2"/>
      <c r="M10109" s="2"/>
      <c r="N10109" s="2"/>
      <c r="O10109" s="2"/>
      <c r="P10109" s="2"/>
      <c r="Q10109" s="2"/>
      <c r="R10109" s="2"/>
      <c r="S10109" s="2"/>
      <c r="T10109" s="2"/>
      <c r="U10109" s="2"/>
      <c r="V10109" s="2"/>
      <c r="W10109" s="2"/>
      <c r="X10109" s="2"/>
      <c r="Y10109" s="2"/>
      <c r="Z10109" s="2"/>
    </row>
    <row r="10110" spans="1:26" ht="17.399999999999999" x14ac:dyDescent="0.3">
      <c r="A10110" s="10"/>
      <c r="B10110" s="2"/>
      <c r="C10110" s="2"/>
      <c r="D10110" s="2"/>
      <c r="E10110" s="2"/>
      <c r="F10110" s="2"/>
      <c r="G10110" s="2"/>
      <c r="H10110" s="2"/>
      <c r="I10110" s="2"/>
      <c r="J10110" s="2"/>
      <c r="K10110" s="2"/>
      <c r="L10110" s="2"/>
      <c r="M10110" s="2"/>
      <c r="N10110" s="2"/>
      <c r="O10110" s="2"/>
      <c r="P10110" s="2"/>
      <c r="Q10110" s="2"/>
      <c r="R10110" s="2"/>
      <c r="S10110" s="2"/>
      <c r="T10110" s="2"/>
      <c r="U10110" s="2"/>
      <c r="V10110" s="2"/>
      <c r="W10110" s="2"/>
      <c r="X10110" s="2"/>
      <c r="Y10110" s="2"/>
      <c r="Z10110" s="2"/>
    </row>
    <row r="10111" spans="1:26" ht="17.399999999999999" x14ac:dyDescent="0.3">
      <c r="A10111" s="10"/>
      <c r="B10111" s="2"/>
      <c r="C10111" s="2"/>
      <c r="D10111" s="2"/>
      <c r="E10111" s="2"/>
      <c r="F10111" s="2"/>
      <c r="G10111" s="2"/>
      <c r="H10111" s="2"/>
      <c r="I10111" s="2"/>
      <c r="J10111" s="2"/>
      <c r="K10111" s="2"/>
      <c r="L10111" s="2"/>
      <c r="M10111" s="2"/>
      <c r="N10111" s="2"/>
      <c r="O10111" s="2"/>
      <c r="P10111" s="2"/>
      <c r="Q10111" s="2"/>
      <c r="R10111" s="2"/>
      <c r="S10111" s="2"/>
      <c r="T10111" s="2"/>
      <c r="U10111" s="2"/>
      <c r="V10111" s="2"/>
      <c r="W10111" s="2"/>
      <c r="X10111" s="2"/>
      <c r="Y10111" s="2"/>
      <c r="Z10111" s="2"/>
    </row>
    <row r="10112" spans="1:26" ht="17.399999999999999" x14ac:dyDescent="0.3">
      <c r="A10112" s="10"/>
      <c r="B10112" s="2"/>
      <c r="C10112" s="2"/>
      <c r="D10112" s="2"/>
      <c r="E10112" s="2"/>
      <c r="F10112" s="2"/>
      <c r="G10112" s="2"/>
      <c r="H10112" s="2"/>
      <c r="I10112" s="2"/>
      <c r="J10112" s="2"/>
      <c r="K10112" s="2"/>
      <c r="L10112" s="2"/>
      <c r="M10112" s="2"/>
      <c r="N10112" s="2"/>
      <c r="O10112" s="2"/>
      <c r="P10112" s="2"/>
      <c r="Q10112" s="2"/>
      <c r="R10112" s="2"/>
      <c r="S10112" s="2"/>
      <c r="T10112" s="2"/>
      <c r="U10112" s="2"/>
      <c r="V10112" s="2"/>
      <c r="W10112" s="2"/>
      <c r="X10112" s="2"/>
      <c r="Y10112" s="2"/>
      <c r="Z10112" s="2"/>
    </row>
    <row r="10113" spans="1:26" ht="17.399999999999999" x14ac:dyDescent="0.3">
      <c r="A10113" s="10"/>
      <c r="B10113" s="2"/>
      <c r="C10113" s="2"/>
      <c r="D10113" s="2"/>
      <c r="E10113" s="2"/>
      <c r="F10113" s="2"/>
      <c r="G10113" s="2"/>
      <c r="H10113" s="2"/>
      <c r="I10113" s="2"/>
      <c r="J10113" s="2"/>
      <c r="K10113" s="2"/>
      <c r="L10113" s="2"/>
      <c r="M10113" s="2"/>
      <c r="N10113" s="2"/>
      <c r="O10113" s="2"/>
      <c r="P10113" s="2"/>
      <c r="Q10113" s="2"/>
      <c r="R10113" s="2"/>
      <c r="S10113" s="2"/>
      <c r="T10113" s="2"/>
      <c r="U10113" s="2"/>
      <c r="V10113" s="2"/>
      <c r="W10113" s="2"/>
      <c r="X10113" s="2"/>
      <c r="Y10113" s="2"/>
      <c r="Z10113" s="2"/>
    </row>
    <row r="10114" spans="1:26" ht="17.399999999999999" x14ac:dyDescent="0.3">
      <c r="A10114" s="10"/>
      <c r="B10114" s="2"/>
      <c r="C10114" s="2"/>
      <c r="D10114" s="2"/>
      <c r="E10114" s="2"/>
      <c r="F10114" s="2"/>
      <c r="G10114" s="2"/>
      <c r="H10114" s="2"/>
      <c r="I10114" s="2"/>
      <c r="J10114" s="2"/>
      <c r="K10114" s="2"/>
      <c r="L10114" s="2"/>
      <c r="M10114" s="2"/>
      <c r="N10114" s="2"/>
      <c r="O10114" s="2"/>
      <c r="P10114" s="2"/>
      <c r="Q10114" s="2"/>
      <c r="R10114" s="2"/>
      <c r="S10114" s="2"/>
      <c r="T10114" s="2"/>
      <c r="U10114" s="2"/>
      <c r="V10114" s="2"/>
      <c r="W10114" s="2"/>
      <c r="X10114" s="2"/>
      <c r="Y10114" s="2"/>
      <c r="Z10114" s="2"/>
    </row>
    <row r="10115" spans="1:26" ht="17.399999999999999" x14ac:dyDescent="0.3">
      <c r="A10115" s="10"/>
      <c r="B10115" s="2"/>
      <c r="C10115" s="2"/>
      <c r="D10115" s="2"/>
      <c r="E10115" s="2"/>
      <c r="F10115" s="2"/>
      <c r="G10115" s="2"/>
      <c r="H10115" s="2"/>
      <c r="I10115" s="2"/>
      <c r="J10115" s="2"/>
      <c r="K10115" s="2"/>
      <c r="L10115" s="2"/>
      <c r="M10115" s="2"/>
      <c r="N10115" s="2"/>
      <c r="O10115" s="2"/>
      <c r="P10115" s="2"/>
      <c r="Q10115" s="2"/>
      <c r="R10115" s="2"/>
      <c r="S10115" s="2"/>
      <c r="T10115" s="2"/>
      <c r="U10115" s="2"/>
      <c r="V10115" s="2"/>
      <c r="W10115" s="2"/>
      <c r="X10115" s="2"/>
      <c r="Y10115" s="2"/>
      <c r="Z10115" s="2"/>
    </row>
    <row r="10116" spans="1:26" ht="17.399999999999999" x14ac:dyDescent="0.3">
      <c r="A10116" s="10"/>
      <c r="B10116" s="2"/>
      <c r="C10116" s="2"/>
      <c r="D10116" s="2"/>
      <c r="E10116" s="2"/>
      <c r="F10116" s="2"/>
      <c r="G10116" s="2"/>
      <c r="H10116" s="2"/>
      <c r="I10116" s="2"/>
      <c r="J10116" s="2"/>
      <c r="K10116" s="2"/>
      <c r="L10116" s="2"/>
      <c r="M10116" s="2"/>
      <c r="N10116" s="2"/>
      <c r="O10116" s="2"/>
      <c r="P10116" s="2"/>
      <c r="Q10116" s="2"/>
      <c r="R10116" s="2"/>
      <c r="S10116" s="2"/>
      <c r="T10116" s="2"/>
      <c r="U10116" s="2"/>
      <c r="V10116" s="2"/>
      <c r="W10116" s="2"/>
      <c r="X10116" s="2"/>
      <c r="Y10116" s="2"/>
      <c r="Z10116" s="2"/>
    </row>
    <row r="10117" spans="1:26" ht="17.399999999999999" x14ac:dyDescent="0.3">
      <c r="A10117" s="10"/>
      <c r="B10117" s="2"/>
      <c r="C10117" s="2"/>
      <c r="D10117" s="2"/>
      <c r="E10117" s="2"/>
      <c r="F10117" s="2"/>
      <c r="G10117" s="2"/>
      <c r="H10117" s="2"/>
      <c r="I10117" s="2"/>
      <c r="J10117" s="2"/>
      <c r="K10117" s="2"/>
      <c r="L10117" s="2"/>
      <c r="M10117" s="2"/>
      <c r="N10117" s="2"/>
      <c r="O10117" s="2"/>
      <c r="P10117" s="2"/>
      <c r="Q10117" s="2"/>
      <c r="R10117" s="2"/>
      <c r="S10117" s="2"/>
      <c r="T10117" s="2"/>
      <c r="U10117" s="2"/>
      <c r="V10117" s="2"/>
      <c r="W10117" s="2"/>
      <c r="X10117" s="2"/>
      <c r="Y10117" s="2"/>
      <c r="Z10117" s="2"/>
    </row>
    <row r="10118" spans="1:26" ht="17.399999999999999" x14ac:dyDescent="0.3">
      <c r="A10118" s="10"/>
      <c r="B10118" s="2"/>
      <c r="C10118" s="2"/>
      <c r="D10118" s="2"/>
      <c r="E10118" s="2"/>
      <c r="F10118" s="2"/>
      <c r="G10118" s="2"/>
      <c r="H10118" s="2"/>
      <c r="I10118" s="2"/>
      <c r="J10118" s="2"/>
      <c r="K10118" s="2"/>
      <c r="L10118" s="2"/>
      <c r="M10118" s="2"/>
      <c r="N10118" s="2"/>
      <c r="O10118" s="2"/>
      <c r="P10118" s="2"/>
      <c r="Q10118" s="2"/>
      <c r="R10118" s="2"/>
      <c r="S10118" s="2"/>
      <c r="T10118" s="2"/>
      <c r="U10118" s="2"/>
      <c r="V10118" s="2"/>
      <c r="W10118" s="2"/>
      <c r="X10118" s="2"/>
      <c r="Y10118" s="2"/>
      <c r="Z10118" s="2"/>
    </row>
    <row r="10119" spans="1:26" ht="17.399999999999999" x14ac:dyDescent="0.3">
      <c r="A10119" s="10"/>
      <c r="B10119" s="2"/>
      <c r="C10119" s="2"/>
      <c r="D10119" s="2"/>
      <c r="E10119" s="2"/>
      <c r="F10119" s="2"/>
      <c r="G10119" s="2"/>
      <c r="H10119" s="2"/>
      <c r="I10119" s="2"/>
      <c r="J10119" s="2"/>
      <c r="K10119" s="2"/>
      <c r="L10119" s="2"/>
      <c r="M10119" s="2"/>
      <c r="N10119" s="2"/>
      <c r="O10119" s="2"/>
      <c r="P10119" s="2"/>
      <c r="Q10119" s="2"/>
      <c r="R10119" s="2"/>
      <c r="S10119" s="2"/>
      <c r="T10119" s="2"/>
      <c r="U10119" s="2"/>
      <c r="V10119" s="2"/>
      <c r="W10119" s="2"/>
      <c r="X10119" s="2"/>
      <c r="Y10119" s="2"/>
      <c r="Z10119" s="2"/>
    </row>
    <row r="10120" spans="1:26" ht="17.399999999999999" x14ac:dyDescent="0.3">
      <c r="A10120" s="10"/>
      <c r="B10120" s="2"/>
      <c r="C10120" s="2"/>
      <c r="D10120" s="2"/>
      <c r="E10120" s="2"/>
      <c r="F10120" s="2"/>
      <c r="G10120" s="2"/>
      <c r="H10120" s="2"/>
      <c r="I10120" s="2"/>
      <c r="J10120" s="2"/>
      <c r="K10120" s="2"/>
      <c r="L10120" s="2"/>
      <c r="M10120" s="2"/>
      <c r="N10120" s="2"/>
      <c r="O10120" s="2"/>
      <c r="P10120" s="2"/>
      <c r="Q10120" s="2"/>
      <c r="R10120" s="2"/>
      <c r="S10120" s="2"/>
      <c r="T10120" s="2"/>
      <c r="U10120" s="2"/>
      <c r="V10120" s="2"/>
      <c r="W10120" s="2"/>
      <c r="X10120" s="2"/>
      <c r="Y10120" s="2"/>
      <c r="Z10120" s="2"/>
    </row>
    <row r="10121" spans="1:26" ht="17.399999999999999" x14ac:dyDescent="0.3">
      <c r="A10121" s="10"/>
      <c r="B10121" s="2"/>
      <c r="C10121" s="2"/>
      <c r="D10121" s="2"/>
      <c r="E10121" s="2"/>
      <c r="F10121" s="2"/>
      <c r="G10121" s="2"/>
      <c r="H10121" s="2"/>
      <c r="I10121" s="2"/>
      <c r="J10121" s="2"/>
      <c r="K10121" s="2"/>
      <c r="L10121" s="2"/>
      <c r="M10121" s="2"/>
      <c r="N10121" s="2"/>
      <c r="O10121" s="2"/>
      <c r="P10121" s="2"/>
      <c r="Q10121" s="2"/>
      <c r="R10121" s="2"/>
      <c r="S10121" s="2"/>
      <c r="T10121" s="2"/>
      <c r="U10121" s="2"/>
      <c r="V10121" s="2"/>
      <c r="W10121" s="2"/>
      <c r="X10121" s="2"/>
      <c r="Y10121" s="2"/>
      <c r="Z10121" s="2"/>
    </row>
    <row r="10122" spans="1:26" ht="17.399999999999999" x14ac:dyDescent="0.3">
      <c r="A10122" s="10"/>
      <c r="B10122" s="2"/>
      <c r="C10122" s="2"/>
      <c r="D10122" s="2"/>
      <c r="E10122" s="2"/>
      <c r="F10122" s="2"/>
      <c r="G10122" s="2"/>
      <c r="H10122" s="2"/>
      <c r="I10122" s="2"/>
      <c r="J10122" s="2"/>
      <c r="K10122" s="2"/>
      <c r="L10122" s="2"/>
      <c r="M10122" s="2"/>
      <c r="N10122" s="2"/>
      <c r="O10122" s="2"/>
      <c r="P10122" s="2"/>
      <c r="Q10122" s="2"/>
      <c r="R10122" s="2"/>
      <c r="S10122" s="2"/>
      <c r="T10122" s="2"/>
      <c r="U10122" s="2"/>
      <c r="V10122" s="2"/>
      <c r="W10122" s="2"/>
      <c r="X10122" s="2"/>
      <c r="Y10122" s="2"/>
      <c r="Z10122" s="2"/>
    </row>
    <row r="10123" spans="1:26" ht="17.399999999999999" x14ac:dyDescent="0.3">
      <c r="A10123" s="10"/>
      <c r="B10123" s="2"/>
      <c r="C10123" s="2"/>
      <c r="D10123" s="2"/>
      <c r="E10123" s="2"/>
      <c r="F10123" s="2"/>
      <c r="G10123" s="2"/>
      <c r="H10123" s="2"/>
      <c r="I10123" s="2"/>
      <c r="J10123" s="2"/>
      <c r="K10123" s="2"/>
      <c r="L10123" s="2"/>
      <c r="M10123" s="2"/>
      <c r="N10123" s="2"/>
      <c r="O10123" s="2"/>
      <c r="P10123" s="2"/>
      <c r="Q10123" s="2"/>
      <c r="R10123" s="2"/>
      <c r="S10123" s="2"/>
      <c r="T10123" s="2"/>
      <c r="U10123" s="2"/>
      <c r="V10123" s="2"/>
      <c r="W10123" s="2"/>
      <c r="X10123" s="2"/>
      <c r="Y10123" s="2"/>
      <c r="Z10123" s="2"/>
    </row>
    <row r="10124" spans="1:26" ht="17.399999999999999" x14ac:dyDescent="0.3">
      <c r="A10124" s="10"/>
      <c r="B10124" s="2"/>
      <c r="C10124" s="2"/>
      <c r="D10124" s="2"/>
      <c r="E10124" s="2"/>
      <c r="F10124" s="2"/>
      <c r="G10124" s="2"/>
      <c r="H10124" s="2"/>
      <c r="I10124" s="2"/>
      <c r="J10124" s="2"/>
      <c r="K10124" s="2"/>
      <c r="L10124" s="2"/>
      <c r="M10124" s="2"/>
      <c r="N10124" s="2"/>
      <c r="O10124" s="2"/>
      <c r="P10124" s="2"/>
      <c r="Q10124" s="2"/>
      <c r="R10124" s="2"/>
      <c r="S10124" s="2"/>
      <c r="T10124" s="2"/>
      <c r="U10124" s="2"/>
      <c r="V10124" s="2"/>
      <c r="W10124" s="2"/>
      <c r="X10124" s="2"/>
      <c r="Y10124" s="2"/>
      <c r="Z10124" s="2"/>
    </row>
    <row r="10125" spans="1:26" ht="17.399999999999999" x14ac:dyDescent="0.3">
      <c r="A10125" s="10"/>
      <c r="B10125" s="2"/>
      <c r="C10125" s="2"/>
      <c r="D10125" s="2"/>
      <c r="E10125" s="2"/>
      <c r="F10125" s="2"/>
      <c r="G10125" s="2"/>
      <c r="H10125" s="2"/>
      <c r="I10125" s="2"/>
      <c r="J10125" s="2"/>
      <c r="K10125" s="2"/>
      <c r="L10125" s="2"/>
      <c r="M10125" s="2"/>
      <c r="N10125" s="2"/>
      <c r="O10125" s="2"/>
      <c r="P10125" s="2"/>
      <c r="Q10125" s="2"/>
      <c r="R10125" s="2"/>
      <c r="S10125" s="2"/>
      <c r="T10125" s="2"/>
      <c r="U10125" s="2"/>
      <c r="V10125" s="2"/>
      <c r="W10125" s="2"/>
      <c r="X10125" s="2"/>
      <c r="Y10125" s="2"/>
      <c r="Z10125" s="2"/>
    </row>
    <row r="10126" spans="1:26" ht="17.399999999999999" x14ac:dyDescent="0.3">
      <c r="A10126" s="10"/>
      <c r="B10126" s="2"/>
      <c r="C10126" s="2"/>
      <c r="D10126" s="2"/>
      <c r="E10126" s="2"/>
      <c r="F10126" s="2"/>
      <c r="G10126" s="2"/>
      <c r="H10126" s="2"/>
      <c r="I10126" s="2"/>
      <c r="J10126" s="2"/>
      <c r="K10126" s="2"/>
      <c r="L10126" s="2"/>
      <c r="M10126" s="2"/>
      <c r="N10126" s="2"/>
      <c r="O10126" s="2"/>
      <c r="P10126" s="2"/>
      <c r="Q10126" s="2"/>
      <c r="R10126" s="2"/>
      <c r="S10126" s="2"/>
      <c r="T10126" s="2"/>
      <c r="U10126" s="2"/>
      <c r="V10126" s="2"/>
      <c r="W10126" s="2"/>
      <c r="X10126" s="2"/>
      <c r="Y10126" s="2"/>
      <c r="Z10126" s="2"/>
    </row>
    <row r="10127" spans="1:26" ht="17.399999999999999" x14ac:dyDescent="0.3">
      <c r="A10127" s="10"/>
      <c r="B10127" s="2"/>
      <c r="C10127" s="2"/>
      <c r="D10127" s="2"/>
      <c r="E10127" s="2"/>
      <c r="F10127" s="2"/>
      <c r="G10127" s="2"/>
      <c r="H10127" s="2"/>
      <c r="I10127" s="2"/>
      <c r="J10127" s="2"/>
      <c r="K10127" s="2"/>
      <c r="L10127" s="2"/>
      <c r="M10127" s="2"/>
      <c r="N10127" s="2"/>
      <c r="O10127" s="2"/>
      <c r="P10127" s="2"/>
      <c r="Q10127" s="2"/>
      <c r="R10127" s="2"/>
      <c r="S10127" s="2"/>
      <c r="T10127" s="2"/>
      <c r="U10127" s="2"/>
      <c r="V10127" s="2"/>
      <c r="W10127" s="2"/>
      <c r="X10127" s="2"/>
      <c r="Y10127" s="2"/>
      <c r="Z10127" s="2"/>
    </row>
    <row r="10128" spans="1:26" ht="17.399999999999999" x14ac:dyDescent="0.3">
      <c r="A10128" s="10"/>
      <c r="B10128" s="2"/>
      <c r="C10128" s="2"/>
      <c r="D10128" s="2"/>
      <c r="E10128" s="2"/>
      <c r="F10128" s="2"/>
      <c r="G10128" s="2"/>
      <c r="H10128" s="2"/>
      <c r="I10128" s="2"/>
      <c r="J10128" s="2"/>
      <c r="K10128" s="2"/>
      <c r="L10128" s="2"/>
      <c r="M10128" s="2"/>
      <c r="N10128" s="2"/>
      <c r="O10128" s="2"/>
      <c r="P10128" s="2"/>
      <c r="Q10128" s="2"/>
      <c r="R10128" s="2"/>
      <c r="S10128" s="2"/>
      <c r="T10128" s="2"/>
      <c r="U10128" s="2"/>
      <c r="V10128" s="2"/>
      <c r="W10128" s="2"/>
      <c r="X10128" s="2"/>
      <c r="Y10128" s="2"/>
      <c r="Z10128" s="2"/>
    </row>
    <row r="10129" spans="1:26" ht="17.399999999999999" x14ac:dyDescent="0.3">
      <c r="A10129" s="10"/>
      <c r="B10129" s="2"/>
      <c r="C10129" s="2"/>
      <c r="D10129" s="2"/>
      <c r="E10129" s="2"/>
      <c r="F10129" s="2"/>
      <c r="G10129" s="2"/>
      <c r="H10129" s="2"/>
      <c r="I10129" s="2"/>
      <c r="J10129" s="2"/>
      <c r="K10129" s="2"/>
      <c r="L10129" s="2"/>
      <c r="M10129" s="2"/>
      <c r="N10129" s="2"/>
      <c r="O10129" s="2"/>
      <c r="P10129" s="2"/>
      <c r="Q10129" s="2"/>
      <c r="R10129" s="2"/>
      <c r="S10129" s="2"/>
      <c r="T10129" s="2"/>
      <c r="U10129" s="2"/>
      <c r="V10129" s="2"/>
      <c r="W10129" s="2"/>
      <c r="X10129" s="2"/>
      <c r="Y10129" s="2"/>
      <c r="Z10129" s="2"/>
    </row>
    <row r="10130" spans="1:26" ht="17.399999999999999" x14ac:dyDescent="0.3">
      <c r="A10130" s="10"/>
      <c r="B10130" s="2"/>
      <c r="C10130" s="2"/>
      <c r="D10130" s="2"/>
      <c r="E10130" s="2"/>
      <c r="F10130" s="2"/>
      <c r="G10130" s="2"/>
      <c r="H10130" s="2"/>
      <c r="I10130" s="2"/>
      <c r="J10130" s="2"/>
      <c r="K10130" s="2"/>
      <c r="L10130" s="2"/>
      <c r="M10130" s="2"/>
      <c r="N10130" s="2"/>
      <c r="O10130" s="2"/>
      <c r="P10130" s="2"/>
      <c r="Q10130" s="2"/>
      <c r="R10130" s="2"/>
      <c r="S10130" s="2"/>
      <c r="T10130" s="2"/>
      <c r="U10130" s="2"/>
      <c r="V10130" s="2"/>
      <c r="W10130" s="2"/>
      <c r="X10130" s="2"/>
      <c r="Y10130" s="2"/>
      <c r="Z10130" s="2"/>
    </row>
    <row r="10131" spans="1:26" ht="17.399999999999999" x14ac:dyDescent="0.3">
      <c r="A10131" s="10"/>
      <c r="B10131" s="2"/>
      <c r="C10131" s="2"/>
      <c r="D10131" s="2"/>
      <c r="E10131" s="2"/>
      <c r="F10131" s="2"/>
      <c r="G10131" s="2"/>
      <c r="H10131" s="2"/>
      <c r="I10131" s="2"/>
      <c r="J10131" s="2"/>
      <c r="K10131" s="2"/>
      <c r="L10131" s="2"/>
      <c r="M10131" s="2"/>
      <c r="N10131" s="2"/>
      <c r="O10131" s="2"/>
      <c r="P10131" s="2"/>
      <c r="Q10131" s="2"/>
      <c r="R10131" s="2"/>
      <c r="S10131" s="2"/>
      <c r="T10131" s="2"/>
      <c r="U10131" s="2"/>
      <c r="V10131" s="2"/>
      <c r="W10131" s="2"/>
      <c r="X10131" s="2"/>
      <c r="Y10131" s="2"/>
      <c r="Z10131" s="2"/>
    </row>
    <row r="10132" spans="1:26" ht="17.399999999999999" x14ac:dyDescent="0.3">
      <c r="A10132" s="10"/>
      <c r="B10132" s="2"/>
      <c r="C10132" s="2"/>
      <c r="D10132" s="2"/>
      <c r="E10132" s="2"/>
      <c r="F10132" s="2"/>
      <c r="G10132" s="2"/>
      <c r="H10132" s="2"/>
      <c r="I10132" s="2"/>
      <c r="J10132" s="2"/>
      <c r="K10132" s="2"/>
      <c r="L10132" s="2"/>
      <c r="M10132" s="2"/>
      <c r="N10132" s="2"/>
      <c r="O10132" s="2"/>
      <c r="P10132" s="2"/>
      <c r="Q10132" s="2"/>
      <c r="R10132" s="2"/>
      <c r="S10132" s="2"/>
      <c r="T10132" s="2"/>
      <c r="U10132" s="2"/>
      <c r="V10132" s="2"/>
      <c r="W10132" s="2"/>
      <c r="X10132" s="2"/>
      <c r="Y10132" s="2"/>
      <c r="Z10132" s="2"/>
    </row>
    <row r="10133" spans="1:26" ht="17.399999999999999" x14ac:dyDescent="0.3">
      <c r="A10133" s="10"/>
      <c r="B10133" s="2"/>
      <c r="C10133" s="2"/>
      <c r="D10133" s="2"/>
      <c r="E10133" s="2"/>
      <c r="F10133" s="2"/>
      <c r="G10133" s="2"/>
      <c r="H10133" s="2"/>
      <c r="I10133" s="2"/>
      <c r="J10133" s="2"/>
      <c r="K10133" s="2"/>
      <c r="L10133" s="2"/>
      <c r="M10133" s="2"/>
      <c r="N10133" s="2"/>
      <c r="O10133" s="2"/>
      <c r="P10133" s="2"/>
      <c r="Q10133" s="2"/>
      <c r="R10133" s="2"/>
      <c r="S10133" s="2"/>
      <c r="T10133" s="2"/>
      <c r="U10133" s="2"/>
      <c r="V10133" s="2"/>
      <c r="W10133" s="2"/>
      <c r="X10133" s="2"/>
      <c r="Y10133" s="2"/>
      <c r="Z10133" s="2"/>
    </row>
    <row r="10134" spans="1:26" ht="17.399999999999999" x14ac:dyDescent="0.3">
      <c r="A10134" s="10"/>
      <c r="B10134" s="2"/>
      <c r="C10134" s="2"/>
      <c r="D10134" s="2"/>
      <c r="E10134" s="2"/>
      <c r="F10134" s="2"/>
      <c r="G10134" s="2"/>
      <c r="H10134" s="2"/>
      <c r="I10134" s="2"/>
      <c r="J10134" s="2"/>
      <c r="K10134" s="2"/>
      <c r="L10134" s="2"/>
      <c r="M10134" s="2"/>
      <c r="N10134" s="2"/>
      <c r="O10134" s="2"/>
      <c r="P10134" s="2"/>
      <c r="Q10134" s="2"/>
      <c r="R10134" s="2"/>
      <c r="S10134" s="2"/>
      <c r="T10134" s="2"/>
      <c r="U10134" s="2"/>
      <c r="V10134" s="2"/>
      <c r="W10134" s="2"/>
      <c r="X10134" s="2"/>
      <c r="Y10134" s="2"/>
      <c r="Z10134" s="2"/>
    </row>
    <row r="10135" spans="1:26" ht="17.399999999999999" x14ac:dyDescent="0.3">
      <c r="A10135" s="10"/>
      <c r="B10135" s="2"/>
      <c r="C10135" s="2"/>
      <c r="D10135" s="2"/>
      <c r="E10135" s="2"/>
      <c r="F10135" s="2"/>
      <c r="G10135" s="2"/>
      <c r="H10135" s="2"/>
      <c r="I10135" s="2"/>
      <c r="J10135" s="2"/>
      <c r="K10135" s="2"/>
      <c r="L10135" s="2"/>
      <c r="M10135" s="2"/>
      <c r="N10135" s="2"/>
      <c r="O10135" s="2"/>
      <c r="P10135" s="2"/>
      <c r="Q10135" s="2"/>
      <c r="R10135" s="2"/>
      <c r="S10135" s="2"/>
      <c r="T10135" s="2"/>
      <c r="U10135" s="2"/>
      <c r="V10135" s="2"/>
      <c r="W10135" s="2"/>
      <c r="X10135" s="2"/>
      <c r="Y10135" s="2"/>
      <c r="Z10135" s="2"/>
    </row>
    <row r="10136" spans="1:26" ht="17.399999999999999" x14ac:dyDescent="0.3">
      <c r="A10136" s="10"/>
      <c r="B10136" s="2"/>
      <c r="C10136" s="2"/>
      <c r="D10136" s="2"/>
      <c r="E10136" s="2"/>
      <c r="F10136" s="2"/>
      <c r="G10136" s="2"/>
      <c r="H10136" s="2"/>
      <c r="I10136" s="2"/>
      <c r="J10136" s="2"/>
      <c r="K10136" s="2"/>
      <c r="L10136" s="2"/>
      <c r="M10136" s="2"/>
      <c r="N10136" s="2"/>
      <c r="O10136" s="2"/>
      <c r="P10136" s="2"/>
      <c r="Q10136" s="2"/>
      <c r="R10136" s="2"/>
      <c r="S10136" s="2"/>
      <c r="T10136" s="2"/>
      <c r="U10136" s="2"/>
      <c r="V10136" s="2"/>
      <c r="W10136" s="2"/>
      <c r="X10136" s="2"/>
      <c r="Y10136" s="2"/>
      <c r="Z10136" s="2"/>
    </row>
    <row r="10137" spans="1:26" ht="17.399999999999999" x14ac:dyDescent="0.3">
      <c r="A10137" s="10"/>
      <c r="B10137" s="2"/>
      <c r="C10137" s="2"/>
      <c r="D10137" s="2"/>
      <c r="E10137" s="2"/>
      <c r="F10137" s="2"/>
      <c r="G10137" s="2"/>
      <c r="H10137" s="2"/>
      <c r="I10137" s="2"/>
      <c r="J10137" s="2"/>
      <c r="K10137" s="2"/>
      <c r="L10137" s="2"/>
      <c r="M10137" s="2"/>
      <c r="N10137" s="2"/>
      <c r="O10137" s="2"/>
      <c r="P10137" s="2"/>
      <c r="Q10137" s="2"/>
      <c r="R10137" s="2"/>
      <c r="S10137" s="2"/>
      <c r="T10137" s="2"/>
      <c r="U10137" s="2"/>
      <c r="V10137" s="2"/>
      <c r="W10137" s="2"/>
      <c r="X10137" s="2"/>
      <c r="Y10137" s="2"/>
      <c r="Z10137" s="2"/>
    </row>
    <row r="10138" spans="1:26" ht="17.399999999999999" x14ac:dyDescent="0.3">
      <c r="A10138" s="10"/>
      <c r="B10138" s="2"/>
      <c r="C10138" s="2"/>
      <c r="D10138" s="2"/>
      <c r="E10138" s="2"/>
      <c r="F10138" s="2"/>
      <c r="G10138" s="2"/>
      <c r="H10138" s="2"/>
      <c r="I10138" s="2"/>
      <c r="J10138" s="2"/>
      <c r="K10138" s="2"/>
      <c r="L10138" s="2"/>
      <c r="M10138" s="2"/>
      <c r="N10138" s="2"/>
      <c r="O10138" s="2"/>
      <c r="P10138" s="2"/>
      <c r="Q10138" s="2"/>
      <c r="R10138" s="2"/>
      <c r="S10138" s="2"/>
      <c r="T10138" s="2"/>
      <c r="U10138" s="2"/>
      <c r="V10138" s="2"/>
      <c r="W10138" s="2"/>
      <c r="X10138" s="2"/>
      <c r="Y10138" s="2"/>
      <c r="Z10138" s="2"/>
    </row>
    <row r="10139" spans="1:26" ht="17.399999999999999" x14ac:dyDescent="0.3">
      <c r="A10139" s="10"/>
      <c r="B10139" s="2"/>
      <c r="C10139" s="2"/>
      <c r="D10139" s="2"/>
      <c r="E10139" s="2"/>
      <c r="F10139" s="2"/>
      <c r="G10139" s="2"/>
      <c r="H10139" s="2"/>
      <c r="I10139" s="2"/>
      <c r="J10139" s="2"/>
      <c r="K10139" s="2"/>
      <c r="L10139" s="2"/>
      <c r="M10139" s="2"/>
      <c r="N10139" s="2"/>
      <c r="O10139" s="2"/>
      <c r="P10139" s="2"/>
      <c r="Q10139" s="2"/>
      <c r="R10139" s="2"/>
      <c r="S10139" s="2"/>
      <c r="T10139" s="2"/>
      <c r="U10139" s="2"/>
      <c r="V10139" s="2"/>
      <c r="W10139" s="2"/>
      <c r="X10139" s="2"/>
      <c r="Y10139" s="2"/>
      <c r="Z10139" s="2"/>
    </row>
    <row r="10140" spans="1:26" ht="17.399999999999999" x14ac:dyDescent="0.3">
      <c r="A10140" s="10"/>
      <c r="B10140" s="2"/>
      <c r="C10140" s="2"/>
      <c r="D10140" s="2"/>
      <c r="E10140" s="2"/>
      <c r="F10140" s="2"/>
      <c r="G10140" s="2"/>
      <c r="H10140" s="2"/>
      <c r="I10140" s="2"/>
      <c r="J10140" s="2"/>
      <c r="K10140" s="2"/>
      <c r="L10140" s="2"/>
      <c r="M10140" s="2"/>
      <c r="N10140" s="2"/>
      <c r="O10140" s="2"/>
      <c r="P10140" s="2"/>
      <c r="Q10140" s="2"/>
      <c r="R10140" s="2"/>
      <c r="S10140" s="2"/>
      <c r="T10140" s="2"/>
      <c r="U10140" s="2"/>
      <c r="V10140" s="2"/>
      <c r="W10140" s="2"/>
      <c r="X10140" s="2"/>
      <c r="Y10140" s="2"/>
      <c r="Z10140" s="2"/>
    </row>
    <row r="10141" spans="1:26" ht="17.399999999999999" x14ac:dyDescent="0.3">
      <c r="A10141" s="10"/>
      <c r="B10141" s="2"/>
      <c r="C10141" s="2"/>
      <c r="D10141" s="2"/>
      <c r="E10141" s="2"/>
      <c r="F10141" s="2"/>
      <c r="G10141" s="2"/>
      <c r="H10141" s="2"/>
      <c r="I10141" s="2"/>
      <c r="J10141" s="2"/>
      <c r="K10141" s="2"/>
      <c r="L10141" s="2"/>
      <c r="M10141" s="2"/>
      <c r="N10141" s="2"/>
      <c r="O10141" s="2"/>
      <c r="P10141" s="2"/>
      <c r="Q10141" s="2"/>
      <c r="R10141" s="2"/>
      <c r="S10141" s="2"/>
      <c r="T10141" s="2"/>
      <c r="U10141" s="2"/>
      <c r="V10141" s="2"/>
      <c r="W10141" s="2"/>
      <c r="X10141" s="2"/>
      <c r="Y10141" s="2"/>
      <c r="Z10141" s="2"/>
    </row>
    <row r="10142" spans="1:26" ht="17.399999999999999" x14ac:dyDescent="0.3">
      <c r="A10142" s="10"/>
      <c r="B10142" s="2"/>
      <c r="C10142" s="2"/>
      <c r="D10142" s="2"/>
      <c r="E10142" s="2"/>
      <c r="F10142" s="2"/>
      <c r="G10142" s="2"/>
      <c r="H10142" s="2"/>
      <c r="I10142" s="2"/>
      <c r="J10142" s="2"/>
      <c r="K10142" s="2"/>
      <c r="L10142" s="2"/>
      <c r="M10142" s="2"/>
      <c r="N10142" s="2"/>
      <c r="O10142" s="2"/>
      <c r="P10142" s="2"/>
      <c r="Q10142" s="2"/>
      <c r="R10142" s="2"/>
      <c r="S10142" s="2"/>
      <c r="T10142" s="2"/>
      <c r="U10142" s="2"/>
      <c r="V10142" s="2"/>
      <c r="W10142" s="2"/>
      <c r="X10142" s="2"/>
      <c r="Y10142" s="2"/>
      <c r="Z10142" s="2"/>
    </row>
    <row r="10143" spans="1:26" ht="17.399999999999999" x14ac:dyDescent="0.3">
      <c r="A10143" s="10"/>
      <c r="B10143" s="2"/>
      <c r="C10143" s="2"/>
      <c r="D10143" s="2"/>
      <c r="E10143" s="2"/>
      <c r="F10143" s="2"/>
      <c r="G10143" s="2"/>
      <c r="H10143" s="2"/>
      <c r="I10143" s="2"/>
      <c r="J10143" s="2"/>
      <c r="K10143" s="2"/>
      <c r="L10143" s="2"/>
      <c r="M10143" s="2"/>
      <c r="N10143" s="2"/>
      <c r="O10143" s="2"/>
      <c r="P10143" s="2"/>
      <c r="Q10143" s="2"/>
      <c r="R10143" s="2"/>
      <c r="S10143" s="2"/>
      <c r="T10143" s="2"/>
      <c r="U10143" s="2"/>
      <c r="V10143" s="2"/>
      <c r="W10143" s="2"/>
      <c r="X10143" s="2"/>
      <c r="Y10143" s="2"/>
      <c r="Z10143" s="2"/>
    </row>
    <row r="10144" spans="1:26" ht="17.399999999999999" x14ac:dyDescent="0.3">
      <c r="A10144" s="10"/>
      <c r="B10144" s="2"/>
      <c r="C10144" s="2"/>
      <c r="D10144" s="2"/>
      <c r="E10144" s="2"/>
      <c r="F10144" s="2"/>
      <c r="G10144" s="2"/>
      <c r="H10144" s="2"/>
      <c r="I10144" s="2"/>
      <c r="J10144" s="2"/>
      <c r="K10144" s="2"/>
      <c r="L10144" s="2"/>
      <c r="M10144" s="2"/>
      <c r="N10144" s="2"/>
      <c r="O10144" s="2"/>
      <c r="P10144" s="2"/>
      <c r="Q10144" s="2"/>
      <c r="R10144" s="2"/>
      <c r="S10144" s="2"/>
      <c r="T10144" s="2"/>
      <c r="U10144" s="2"/>
      <c r="V10144" s="2"/>
      <c r="W10144" s="2"/>
      <c r="X10144" s="2"/>
      <c r="Y10144" s="2"/>
      <c r="Z10144" s="2"/>
    </row>
    <row r="10145" spans="1:26" ht="17.399999999999999" x14ac:dyDescent="0.3">
      <c r="A10145" s="10"/>
      <c r="B10145" s="2"/>
      <c r="C10145" s="2"/>
      <c r="D10145" s="2"/>
      <c r="E10145" s="2"/>
      <c r="F10145" s="2"/>
      <c r="G10145" s="2"/>
      <c r="H10145" s="2"/>
      <c r="I10145" s="2"/>
      <c r="J10145" s="2"/>
      <c r="K10145" s="2"/>
      <c r="L10145" s="2"/>
      <c r="M10145" s="2"/>
      <c r="N10145" s="2"/>
      <c r="O10145" s="2"/>
      <c r="P10145" s="2"/>
      <c r="Q10145" s="2"/>
      <c r="R10145" s="2"/>
      <c r="S10145" s="2"/>
      <c r="T10145" s="2"/>
      <c r="U10145" s="2"/>
      <c r="V10145" s="2"/>
      <c r="W10145" s="2"/>
      <c r="X10145" s="2"/>
      <c r="Y10145" s="2"/>
      <c r="Z10145" s="2"/>
    </row>
    <row r="10146" spans="1:26" ht="17.399999999999999" x14ac:dyDescent="0.3">
      <c r="A10146" s="10"/>
      <c r="B10146" s="2"/>
      <c r="C10146" s="2"/>
      <c r="D10146" s="2"/>
      <c r="E10146" s="2"/>
      <c r="F10146" s="2"/>
      <c r="G10146" s="2"/>
      <c r="H10146" s="2"/>
      <c r="I10146" s="2"/>
      <c r="J10146" s="2"/>
      <c r="K10146" s="2"/>
      <c r="L10146" s="2"/>
      <c r="M10146" s="2"/>
      <c r="N10146" s="2"/>
      <c r="O10146" s="2"/>
      <c r="P10146" s="2"/>
      <c r="Q10146" s="2"/>
      <c r="R10146" s="2"/>
      <c r="S10146" s="2"/>
      <c r="T10146" s="2"/>
      <c r="U10146" s="2"/>
      <c r="V10146" s="2"/>
      <c r="W10146" s="2"/>
      <c r="X10146" s="2"/>
      <c r="Y10146" s="2"/>
      <c r="Z10146" s="2"/>
    </row>
    <row r="10147" spans="1:26" ht="17.399999999999999" x14ac:dyDescent="0.3">
      <c r="A10147" s="10"/>
      <c r="B10147" s="2"/>
      <c r="C10147" s="2"/>
      <c r="D10147" s="2"/>
      <c r="E10147" s="2"/>
      <c r="F10147" s="2"/>
      <c r="G10147" s="2"/>
      <c r="H10147" s="2"/>
      <c r="I10147" s="2"/>
      <c r="J10147" s="2"/>
      <c r="K10147" s="2"/>
      <c r="L10147" s="2"/>
      <c r="M10147" s="2"/>
      <c r="N10147" s="2"/>
      <c r="O10147" s="2"/>
      <c r="P10147" s="2"/>
      <c r="Q10147" s="2"/>
      <c r="R10147" s="2"/>
      <c r="S10147" s="2"/>
      <c r="T10147" s="2"/>
      <c r="U10147" s="2"/>
      <c r="V10147" s="2"/>
      <c r="W10147" s="2"/>
      <c r="X10147" s="2"/>
      <c r="Y10147" s="2"/>
      <c r="Z10147" s="2"/>
    </row>
    <row r="10148" spans="1:26" ht="17.399999999999999" x14ac:dyDescent="0.3">
      <c r="A10148" s="10"/>
      <c r="B10148" s="2"/>
      <c r="C10148" s="2"/>
      <c r="D10148" s="2"/>
      <c r="E10148" s="2"/>
      <c r="F10148" s="2"/>
      <c r="G10148" s="2"/>
      <c r="H10148" s="2"/>
      <c r="I10148" s="2"/>
      <c r="J10148" s="2"/>
      <c r="K10148" s="2"/>
      <c r="L10148" s="2"/>
      <c r="M10148" s="2"/>
      <c r="N10148" s="2"/>
      <c r="O10148" s="2"/>
      <c r="P10148" s="2"/>
      <c r="Q10148" s="2"/>
      <c r="R10148" s="2"/>
      <c r="S10148" s="2"/>
      <c r="T10148" s="2"/>
      <c r="U10148" s="2"/>
      <c r="V10148" s="2"/>
      <c r="W10148" s="2"/>
      <c r="X10148" s="2"/>
      <c r="Y10148" s="2"/>
      <c r="Z10148" s="2"/>
    </row>
    <row r="10149" spans="1:26" ht="17.399999999999999" x14ac:dyDescent="0.3">
      <c r="A10149" s="10"/>
      <c r="B10149" s="2"/>
      <c r="C10149" s="2"/>
      <c r="D10149" s="2"/>
      <c r="E10149" s="2"/>
      <c r="F10149" s="2"/>
      <c r="G10149" s="2"/>
      <c r="H10149" s="2"/>
      <c r="I10149" s="2"/>
      <c r="J10149" s="2"/>
      <c r="K10149" s="2"/>
      <c r="L10149" s="2"/>
      <c r="M10149" s="2"/>
      <c r="N10149" s="2"/>
      <c r="O10149" s="2"/>
      <c r="P10149" s="2"/>
      <c r="Q10149" s="2"/>
      <c r="R10149" s="2"/>
      <c r="S10149" s="2"/>
      <c r="T10149" s="2"/>
      <c r="U10149" s="2"/>
      <c r="V10149" s="2"/>
      <c r="W10149" s="2"/>
      <c r="X10149" s="2"/>
      <c r="Y10149" s="2"/>
      <c r="Z10149" s="2"/>
    </row>
    <row r="10150" spans="1:26" ht="17.399999999999999" x14ac:dyDescent="0.3">
      <c r="A10150" s="10"/>
      <c r="B10150" s="2"/>
      <c r="C10150" s="2"/>
      <c r="D10150" s="2"/>
      <c r="E10150" s="2"/>
      <c r="F10150" s="2"/>
      <c r="G10150" s="2"/>
      <c r="H10150" s="2"/>
      <c r="I10150" s="2"/>
      <c r="J10150" s="2"/>
      <c r="K10150" s="2"/>
      <c r="L10150" s="2"/>
      <c r="M10150" s="2"/>
      <c r="N10150" s="2"/>
      <c r="O10150" s="2"/>
      <c r="P10150" s="2"/>
      <c r="Q10150" s="2"/>
      <c r="R10150" s="2"/>
      <c r="S10150" s="2"/>
      <c r="T10150" s="2"/>
      <c r="U10150" s="2"/>
      <c r="V10150" s="2"/>
      <c r="W10150" s="2"/>
      <c r="X10150" s="2"/>
      <c r="Y10150" s="2"/>
      <c r="Z10150" s="2"/>
    </row>
    <row r="10151" spans="1:26" ht="17.399999999999999" x14ac:dyDescent="0.3">
      <c r="A10151" s="10"/>
      <c r="B10151" s="2"/>
      <c r="C10151" s="2"/>
      <c r="D10151" s="2"/>
      <c r="E10151" s="2"/>
      <c r="F10151" s="2"/>
      <c r="G10151" s="2"/>
      <c r="H10151" s="2"/>
      <c r="I10151" s="2"/>
      <c r="J10151" s="2"/>
      <c r="K10151" s="2"/>
      <c r="L10151" s="2"/>
      <c r="M10151" s="2"/>
      <c r="N10151" s="2"/>
      <c r="O10151" s="2"/>
      <c r="P10151" s="2"/>
      <c r="Q10151" s="2"/>
      <c r="R10151" s="2"/>
      <c r="S10151" s="2"/>
      <c r="T10151" s="2"/>
      <c r="U10151" s="2"/>
      <c r="V10151" s="2"/>
      <c r="W10151" s="2"/>
      <c r="X10151" s="2"/>
      <c r="Y10151" s="2"/>
      <c r="Z10151" s="2"/>
    </row>
    <row r="10152" spans="1:26" ht="17.399999999999999" x14ac:dyDescent="0.3">
      <c r="A10152" s="10"/>
      <c r="B10152" s="2"/>
      <c r="C10152" s="2"/>
      <c r="D10152" s="2"/>
      <c r="E10152" s="2"/>
      <c r="F10152" s="2"/>
      <c r="G10152" s="2"/>
      <c r="H10152" s="2"/>
      <c r="I10152" s="2"/>
      <c r="J10152" s="2"/>
      <c r="K10152" s="2"/>
      <c r="L10152" s="2"/>
      <c r="M10152" s="2"/>
      <c r="N10152" s="2"/>
      <c r="O10152" s="2"/>
      <c r="P10152" s="2"/>
      <c r="Q10152" s="2"/>
      <c r="R10152" s="2"/>
      <c r="S10152" s="2"/>
      <c r="T10152" s="2"/>
      <c r="U10152" s="2"/>
      <c r="V10152" s="2"/>
      <c r="W10152" s="2"/>
      <c r="X10152" s="2"/>
      <c r="Y10152" s="2"/>
      <c r="Z10152" s="2"/>
    </row>
    <row r="10153" spans="1:26" ht="17.399999999999999" x14ac:dyDescent="0.3">
      <c r="A10153" s="10"/>
      <c r="B10153" s="2"/>
      <c r="C10153" s="2"/>
      <c r="D10153" s="2"/>
      <c r="E10153" s="2"/>
      <c r="F10153" s="2"/>
      <c r="G10153" s="2"/>
      <c r="H10153" s="2"/>
      <c r="I10153" s="2"/>
      <c r="J10153" s="2"/>
      <c r="K10153" s="2"/>
      <c r="L10153" s="2"/>
      <c r="M10153" s="2"/>
      <c r="N10153" s="2"/>
      <c r="O10153" s="2"/>
      <c r="P10153" s="2"/>
      <c r="Q10153" s="2"/>
      <c r="R10153" s="2"/>
      <c r="S10153" s="2"/>
      <c r="T10153" s="2"/>
      <c r="U10153" s="2"/>
      <c r="V10153" s="2"/>
      <c r="W10153" s="2"/>
      <c r="X10153" s="2"/>
      <c r="Y10153" s="2"/>
      <c r="Z10153" s="2"/>
    </row>
    <row r="10154" spans="1:26" ht="17.399999999999999" x14ac:dyDescent="0.3">
      <c r="A10154" s="10"/>
      <c r="B10154" s="2"/>
      <c r="C10154" s="2"/>
      <c r="D10154" s="2"/>
      <c r="E10154" s="2"/>
      <c r="F10154" s="2"/>
      <c r="G10154" s="2"/>
      <c r="H10154" s="2"/>
      <c r="I10154" s="2"/>
      <c r="J10154" s="2"/>
      <c r="K10154" s="2"/>
      <c r="L10154" s="2"/>
      <c r="M10154" s="2"/>
      <c r="N10154" s="2"/>
      <c r="O10154" s="2"/>
      <c r="P10154" s="2"/>
      <c r="Q10154" s="2"/>
      <c r="R10154" s="2"/>
      <c r="S10154" s="2"/>
      <c r="T10154" s="2"/>
      <c r="U10154" s="2"/>
      <c r="V10154" s="2"/>
      <c r="W10154" s="2"/>
      <c r="X10154" s="2"/>
      <c r="Y10154" s="2"/>
      <c r="Z10154" s="2"/>
    </row>
    <row r="10155" spans="1:26" ht="17.399999999999999" x14ac:dyDescent="0.3">
      <c r="A10155" s="10"/>
      <c r="B10155" s="2"/>
      <c r="C10155" s="2"/>
      <c r="D10155" s="2"/>
      <c r="E10155" s="2"/>
      <c r="F10155" s="2"/>
      <c r="G10155" s="2"/>
      <c r="H10155" s="2"/>
      <c r="I10155" s="2"/>
      <c r="J10155" s="2"/>
      <c r="K10155" s="2"/>
      <c r="L10155" s="2"/>
      <c r="M10155" s="2"/>
      <c r="N10155" s="2"/>
      <c r="O10155" s="2"/>
      <c r="P10155" s="2"/>
      <c r="Q10155" s="2"/>
      <c r="R10155" s="2"/>
      <c r="S10155" s="2"/>
      <c r="T10155" s="2"/>
      <c r="U10155" s="2"/>
      <c r="V10155" s="2"/>
      <c r="W10155" s="2"/>
      <c r="X10155" s="2"/>
      <c r="Y10155" s="2"/>
      <c r="Z10155" s="2"/>
    </row>
    <row r="10156" spans="1:26" ht="17.399999999999999" x14ac:dyDescent="0.3">
      <c r="A10156" s="10"/>
      <c r="B10156" s="2"/>
      <c r="C10156" s="2"/>
      <c r="D10156" s="2"/>
      <c r="E10156" s="2"/>
      <c r="F10156" s="2"/>
      <c r="G10156" s="2"/>
      <c r="H10156" s="2"/>
      <c r="I10156" s="2"/>
      <c r="J10156" s="2"/>
      <c r="K10156" s="2"/>
      <c r="L10156" s="2"/>
      <c r="M10156" s="2"/>
      <c r="N10156" s="2"/>
      <c r="O10156" s="2"/>
      <c r="P10156" s="2"/>
      <c r="Q10156" s="2"/>
      <c r="R10156" s="2"/>
      <c r="S10156" s="2"/>
      <c r="T10156" s="2"/>
      <c r="U10156" s="2"/>
      <c r="V10156" s="2"/>
      <c r="W10156" s="2"/>
      <c r="X10156" s="2"/>
      <c r="Y10156" s="2"/>
      <c r="Z10156" s="2"/>
    </row>
    <row r="10157" spans="1:26" ht="17.399999999999999" x14ac:dyDescent="0.3">
      <c r="A10157" s="10"/>
      <c r="B10157" s="2"/>
      <c r="C10157" s="2"/>
      <c r="D10157" s="2"/>
      <c r="E10157" s="2"/>
      <c r="F10157" s="2"/>
      <c r="G10157" s="2"/>
      <c r="H10157" s="2"/>
      <c r="I10157" s="2"/>
      <c r="J10157" s="2"/>
      <c r="K10157" s="2"/>
      <c r="L10157" s="2"/>
      <c r="M10157" s="2"/>
      <c r="N10157" s="2"/>
      <c r="O10157" s="2"/>
      <c r="P10157" s="2"/>
      <c r="Q10157" s="2"/>
      <c r="R10157" s="2"/>
      <c r="S10157" s="2"/>
      <c r="T10157" s="2"/>
      <c r="U10157" s="2"/>
      <c r="V10157" s="2"/>
      <c r="W10157" s="2"/>
      <c r="X10157" s="2"/>
      <c r="Y10157" s="2"/>
      <c r="Z10157" s="2"/>
    </row>
    <row r="10158" spans="1:26" ht="17.399999999999999" x14ac:dyDescent="0.3">
      <c r="A10158" s="10"/>
      <c r="B10158" s="2"/>
      <c r="C10158" s="2"/>
      <c r="D10158" s="2"/>
      <c r="E10158" s="2"/>
      <c r="F10158" s="2"/>
      <c r="G10158" s="2"/>
      <c r="H10158" s="2"/>
      <c r="I10158" s="2"/>
      <c r="J10158" s="2"/>
      <c r="K10158" s="2"/>
      <c r="L10158" s="2"/>
      <c r="M10158" s="2"/>
      <c r="N10158" s="2"/>
      <c r="O10158" s="2"/>
      <c r="P10158" s="2"/>
      <c r="Q10158" s="2"/>
      <c r="R10158" s="2"/>
      <c r="S10158" s="2"/>
      <c r="T10158" s="2"/>
      <c r="U10158" s="2"/>
      <c r="V10158" s="2"/>
      <c r="W10158" s="2"/>
      <c r="X10158" s="2"/>
      <c r="Y10158" s="2"/>
      <c r="Z10158" s="2"/>
    </row>
    <row r="10159" spans="1:26" ht="17.399999999999999" x14ac:dyDescent="0.3">
      <c r="A10159" s="10"/>
      <c r="B10159" s="2"/>
      <c r="C10159" s="2"/>
      <c r="D10159" s="2"/>
      <c r="E10159" s="2"/>
      <c r="F10159" s="2"/>
      <c r="G10159" s="2"/>
      <c r="H10159" s="2"/>
      <c r="I10159" s="2"/>
      <c r="J10159" s="2"/>
      <c r="K10159" s="2"/>
      <c r="L10159" s="2"/>
      <c r="M10159" s="2"/>
      <c r="N10159" s="2"/>
      <c r="O10159" s="2"/>
      <c r="P10159" s="2"/>
      <c r="Q10159" s="2"/>
      <c r="R10159" s="2"/>
      <c r="S10159" s="2"/>
      <c r="T10159" s="2"/>
      <c r="U10159" s="2"/>
      <c r="V10159" s="2"/>
      <c r="W10159" s="2"/>
      <c r="X10159" s="2"/>
      <c r="Y10159" s="2"/>
      <c r="Z10159" s="2"/>
    </row>
    <row r="10160" spans="1:26" ht="17.399999999999999" x14ac:dyDescent="0.3">
      <c r="A10160" s="10"/>
      <c r="B10160" s="2"/>
      <c r="C10160" s="2"/>
      <c r="D10160" s="2"/>
      <c r="E10160" s="2"/>
      <c r="F10160" s="2"/>
      <c r="G10160" s="2"/>
      <c r="H10160" s="2"/>
      <c r="I10160" s="2"/>
      <c r="J10160" s="2"/>
      <c r="K10160" s="2"/>
      <c r="L10160" s="2"/>
      <c r="M10160" s="2"/>
      <c r="N10160" s="2"/>
      <c r="O10160" s="2"/>
      <c r="P10160" s="2"/>
      <c r="Q10160" s="2"/>
      <c r="R10160" s="2"/>
      <c r="S10160" s="2"/>
      <c r="T10160" s="2"/>
      <c r="U10160" s="2"/>
      <c r="V10160" s="2"/>
      <c r="W10160" s="2"/>
      <c r="X10160" s="2"/>
      <c r="Y10160" s="2"/>
      <c r="Z10160" s="2"/>
    </row>
    <row r="10161" spans="1:26" ht="17.399999999999999" x14ac:dyDescent="0.3">
      <c r="A10161" s="10"/>
      <c r="B10161" s="2"/>
      <c r="C10161" s="2"/>
      <c r="D10161" s="2"/>
      <c r="E10161" s="2"/>
      <c r="F10161" s="2"/>
      <c r="G10161" s="2"/>
      <c r="H10161" s="2"/>
      <c r="I10161" s="2"/>
      <c r="J10161" s="2"/>
      <c r="K10161" s="2"/>
      <c r="L10161" s="2"/>
      <c r="M10161" s="2"/>
      <c r="N10161" s="2"/>
      <c r="O10161" s="2"/>
      <c r="P10161" s="2"/>
      <c r="Q10161" s="2"/>
      <c r="R10161" s="2"/>
      <c r="S10161" s="2"/>
      <c r="T10161" s="2"/>
      <c r="U10161" s="2"/>
      <c r="V10161" s="2"/>
      <c r="W10161" s="2"/>
      <c r="X10161" s="2"/>
      <c r="Y10161" s="2"/>
      <c r="Z10161" s="2"/>
    </row>
    <row r="10162" spans="1:26" ht="17.399999999999999" x14ac:dyDescent="0.3">
      <c r="A10162" s="10"/>
      <c r="B10162" s="2"/>
      <c r="C10162" s="2"/>
      <c r="D10162" s="2"/>
      <c r="E10162" s="2"/>
      <c r="F10162" s="2"/>
      <c r="G10162" s="2"/>
      <c r="H10162" s="2"/>
      <c r="I10162" s="2"/>
      <c r="J10162" s="2"/>
      <c r="K10162" s="2"/>
      <c r="L10162" s="2"/>
      <c r="M10162" s="2"/>
      <c r="N10162" s="2"/>
      <c r="O10162" s="2"/>
      <c r="P10162" s="2"/>
      <c r="Q10162" s="2"/>
      <c r="R10162" s="2"/>
      <c r="S10162" s="2"/>
      <c r="T10162" s="2"/>
      <c r="U10162" s="2"/>
      <c r="V10162" s="2"/>
      <c r="W10162" s="2"/>
      <c r="X10162" s="2"/>
      <c r="Y10162" s="2"/>
      <c r="Z10162" s="2"/>
    </row>
    <row r="10163" spans="1:26" ht="17.399999999999999" x14ac:dyDescent="0.3">
      <c r="A10163" s="10"/>
      <c r="B10163" s="2"/>
      <c r="C10163" s="2"/>
      <c r="D10163" s="2"/>
      <c r="E10163" s="2"/>
      <c r="F10163" s="2"/>
      <c r="G10163" s="2"/>
      <c r="H10163" s="2"/>
      <c r="I10163" s="2"/>
      <c r="J10163" s="2"/>
      <c r="K10163" s="2"/>
      <c r="L10163" s="2"/>
      <c r="M10163" s="2"/>
      <c r="N10163" s="2"/>
      <c r="O10163" s="2"/>
      <c r="P10163" s="2"/>
      <c r="Q10163" s="2"/>
      <c r="R10163" s="2"/>
      <c r="S10163" s="2"/>
      <c r="T10163" s="2"/>
      <c r="U10163" s="2"/>
      <c r="V10163" s="2"/>
      <c r="W10163" s="2"/>
      <c r="X10163" s="2"/>
      <c r="Y10163" s="2"/>
      <c r="Z10163" s="2"/>
    </row>
    <row r="10164" spans="1:26" ht="17.399999999999999" x14ac:dyDescent="0.3">
      <c r="A10164" s="10"/>
      <c r="B10164" s="2"/>
      <c r="C10164" s="2"/>
      <c r="D10164" s="2"/>
      <c r="E10164" s="2"/>
      <c r="F10164" s="2"/>
      <c r="G10164" s="2"/>
      <c r="H10164" s="2"/>
      <c r="I10164" s="2"/>
      <c r="J10164" s="2"/>
      <c r="K10164" s="2"/>
      <c r="L10164" s="2"/>
      <c r="M10164" s="2"/>
      <c r="N10164" s="2"/>
      <c r="O10164" s="2"/>
      <c r="P10164" s="2"/>
      <c r="Q10164" s="2"/>
      <c r="R10164" s="2"/>
      <c r="S10164" s="2"/>
      <c r="T10164" s="2"/>
      <c r="U10164" s="2"/>
      <c r="V10164" s="2"/>
      <c r="W10164" s="2"/>
      <c r="X10164" s="2"/>
      <c r="Y10164" s="2"/>
      <c r="Z10164" s="2"/>
    </row>
    <row r="10165" spans="1:26" ht="17.399999999999999" x14ac:dyDescent="0.3">
      <c r="A10165" s="10"/>
      <c r="B10165" s="2"/>
      <c r="C10165" s="2"/>
      <c r="D10165" s="2"/>
      <c r="E10165" s="2"/>
      <c r="F10165" s="2"/>
      <c r="G10165" s="2"/>
      <c r="H10165" s="2"/>
      <c r="I10165" s="2"/>
      <c r="J10165" s="2"/>
      <c r="K10165" s="2"/>
      <c r="L10165" s="2"/>
      <c r="M10165" s="2"/>
      <c r="N10165" s="2"/>
      <c r="O10165" s="2"/>
      <c r="P10165" s="2"/>
      <c r="Q10165" s="2"/>
      <c r="R10165" s="2"/>
      <c r="S10165" s="2"/>
      <c r="T10165" s="2"/>
      <c r="U10165" s="2"/>
      <c r="V10165" s="2"/>
      <c r="W10165" s="2"/>
      <c r="X10165" s="2"/>
      <c r="Y10165" s="2"/>
      <c r="Z10165" s="2"/>
    </row>
    <row r="10166" spans="1:26" ht="17.399999999999999" x14ac:dyDescent="0.3">
      <c r="A10166" s="10"/>
      <c r="B10166" s="2"/>
      <c r="C10166" s="2"/>
      <c r="D10166" s="2"/>
      <c r="E10166" s="2"/>
      <c r="F10166" s="2"/>
      <c r="G10166" s="2"/>
      <c r="H10166" s="2"/>
      <c r="I10166" s="2"/>
      <c r="J10166" s="2"/>
      <c r="K10166" s="2"/>
      <c r="L10166" s="2"/>
      <c r="M10166" s="2"/>
      <c r="N10166" s="2"/>
      <c r="O10166" s="2"/>
      <c r="P10166" s="2"/>
      <c r="Q10166" s="2"/>
      <c r="R10166" s="2"/>
      <c r="S10166" s="2"/>
      <c r="T10166" s="2"/>
      <c r="U10166" s="2"/>
      <c r="V10166" s="2"/>
      <c r="W10166" s="2"/>
      <c r="X10166" s="2"/>
      <c r="Y10166" s="2"/>
      <c r="Z10166" s="2"/>
    </row>
    <row r="10167" spans="1:26" ht="17.399999999999999" x14ac:dyDescent="0.3">
      <c r="A10167" s="10"/>
      <c r="B10167" s="2"/>
      <c r="C10167" s="2"/>
      <c r="D10167" s="2"/>
      <c r="E10167" s="2"/>
      <c r="F10167" s="2"/>
      <c r="G10167" s="2"/>
      <c r="H10167" s="2"/>
      <c r="I10167" s="2"/>
      <c r="J10167" s="2"/>
      <c r="K10167" s="2"/>
      <c r="L10167" s="2"/>
      <c r="M10167" s="2"/>
      <c r="N10167" s="2"/>
      <c r="O10167" s="2"/>
      <c r="P10167" s="2"/>
      <c r="Q10167" s="2"/>
      <c r="R10167" s="2"/>
      <c r="S10167" s="2"/>
      <c r="T10167" s="2"/>
      <c r="U10167" s="2"/>
      <c r="V10167" s="2"/>
      <c r="W10167" s="2"/>
      <c r="X10167" s="2"/>
      <c r="Y10167" s="2"/>
      <c r="Z10167" s="2"/>
    </row>
    <row r="10168" spans="1:26" ht="17.399999999999999" x14ac:dyDescent="0.3">
      <c r="A10168" s="10"/>
      <c r="B10168" s="2"/>
      <c r="C10168" s="2"/>
      <c r="D10168" s="2"/>
      <c r="E10168" s="2"/>
      <c r="F10168" s="2"/>
      <c r="G10168" s="2"/>
      <c r="H10168" s="2"/>
      <c r="I10168" s="2"/>
      <c r="J10168" s="2"/>
      <c r="K10168" s="2"/>
      <c r="L10168" s="2"/>
      <c r="M10168" s="2"/>
      <c r="N10168" s="2"/>
      <c r="O10168" s="2"/>
      <c r="P10168" s="2"/>
      <c r="Q10168" s="2"/>
      <c r="R10168" s="2"/>
      <c r="S10168" s="2"/>
      <c r="T10168" s="2"/>
      <c r="U10168" s="2"/>
      <c r="V10168" s="2"/>
      <c r="W10168" s="2"/>
      <c r="X10168" s="2"/>
      <c r="Y10168" s="2"/>
      <c r="Z10168" s="2"/>
    </row>
    <row r="10169" spans="1:26" ht="17.399999999999999" x14ac:dyDescent="0.3">
      <c r="A10169" s="10"/>
      <c r="B10169" s="2"/>
      <c r="C10169" s="2"/>
      <c r="D10169" s="2"/>
      <c r="E10169" s="2"/>
      <c r="F10169" s="2"/>
      <c r="G10169" s="2"/>
      <c r="H10169" s="2"/>
      <c r="I10169" s="2"/>
      <c r="J10169" s="2"/>
      <c r="K10169" s="2"/>
      <c r="L10169" s="2"/>
      <c r="M10169" s="2"/>
      <c r="N10169" s="2"/>
      <c r="O10169" s="2"/>
      <c r="P10169" s="2"/>
      <c r="Q10169" s="2"/>
      <c r="R10169" s="2"/>
      <c r="S10169" s="2"/>
      <c r="T10169" s="2"/>
      <c r="U10169" s="2"/>
      <c r="V10169" s="2"/>
      <c r="W10169" s="2"/>
      <c r="X10169" s="2"/>
      <c r="Y10169" s="2"/>
      <c r="Z10169" s="2"/>
    </row>
    <row r="10170" spans="1:26" ht="17.399999999999999" x14ac:dyDescent="0.3">
      <c r="A10170" s="10"/>
      <c r="B10170" s="2"/>
      <c r="C10170" s="2"/>
      <c r="D10170" s="2"/>
      <c r="E10170" s="2"/>
      <c r="F10170" s="2"/>
      <c r="G10170" s="2"/>
      <c r="H10170" s="2"/>
      <c r="I10170" s="2"/>
      <c r="J10170" s="2"/>
      <c r="K10170" s="2"/>
      <c r="L10170" s="2"/>
      <c r="M10170" s="2"/>
      <c r="N10170" s="2"/>
      <c r="O10170" s="2"/>
      <c r="P10170" s="2"/>
      <c r="Q10170" s="2"/>
      <c r="R10170" s="2"/>
      <c r="S10170" s="2"/>
      <c r="T10170" s="2"/>
      <c r="U10170" s="2"/>
      <c r="V10170" s="2"/>
      <c r="W10170" s="2"/>
      <c r="X10170" s="2"/>
      <c r="Y10170" s="2"/>
      <c r="Z10170" s="2"/>
    </row>
    <row r="10171" spans="1:26" ht="17.399999999999999" x14ac:dyDescent="0.3">
      <c r="A10171" s="10"/>
      <c r="B10171" s="2"/>
      <c r="C10171" s="2"/>
      <c r="D10171" s="2"/>
      <c r="E10171" s="2"/>
      <c r="F10171" s="2"/>
      <c r="G10171" s="2"/>
      <c r="H10171" s="2"/>
      <c r="I10171" s="2"/>
      <c r="J10171" s="2"/>
      <c r="K10171" s="2"/>
      <c r="L10171" s="2"/>
      <c r="M10171" s="2"/>
      <c r="N10171" s="2"/>
      <c r="O10171" s="2"/>
      <c r="P10171" s="2"/>
      <c r="Q10171" s="2"/>
      <c r="R10171" s="2"/>
      <c r="S10171" s="2"/>
      <c r="T10171" s="2"/>
      <c r="U10171" s="2"/>
      <c r="V10171" s="2"/>
      <c r="W10171" s="2"/>
      <c r="X10171" s="2"/>
      <c r="Y10171" s="2"/>
      <c r="Z10171" s="2"/>
    </row>
    <row r="10172" spans="1:26" ht="17.399999999999999" x14ac:dyDescent="0.3">
      <c r="A10172" s="10"/>
      <c r="B10172" s="2"/>
      <c r="C10172" s="2"/>
      <c r="D10172" s="2"/>
      <c r="E10172" s="2"/>
      <c r="F10172" s="2"/>
      <c r="G10172" s="2"/>
      <c r="H10172" s="2"/>
      <c r="I10172" s="2"/>
      <c r="J10172" s="2"/>
      <c r="K10172" s="2"/>
      <c r="L10172" s="2"/>
      <c r="M10172" s="2"/>
      <c r="N10172" s="2"/>
      <c r="O10172" s="2"/>
      <c r="P10172" s="2"/>
      <c r="Q10172" s="2"/>
      <c r="R10172" s="2"/>
      <c r="S10172" s="2"/>
      <c r="T10172" s="2"/>
      <c r="U10172" s="2"/>
      <c r="V10172" s="2"/>
      <c r="W10172" s="2"/>
      <c r="X10172" s="2"/>
      <c r="Y10172" s="2"/>
      <c r="Z10172" s="2"/>
    </row>
    <row r="10173" spans="1:26" ht="17.399999999999999" x14ac:dyDescent="0.3">
      <c r="A10173" s="10"/>
      <c r="B10173" s="2"/>
      <c r="C10173" s="2"/>
      <c r="D10173" s="2"/>
      <c r="E10173" s="2"/>
      <c r="F10173" s="2"/>
      <c r="G10173" s="2"/>
      <c r="H10173" s="2"/>
      <c r="I10173" s="2"/>
      <c r="J10173" s="2"/>
      <c r="K10173" s="2"/>
      <c r="L10173" s="2"/>
      <c r="M10173" s="2"/>
      <c r="N10173" s="2"/>
      <c r="O10173" s="2"/>
      <c r="P10173" s="2"/>
      <c r="Q10173" s="2"/>
      <c r="R10173" s="2"/>
      <c r="S10173" s="2"/>
      <c r="T10173" s="2"/>
      <c r="U10173" s="2"/>
      <c r="V10173" s="2"/>
      <c r="W10173" s="2"/>
      <c r="X10173" s="2"/>
      <c r="Y10173" s="2"/>
      <c r="Z10173" s="2"/>
    </row>
    <row r="10174" spans="1:26" ht="17.399999999999999" x14ac:dyDescent="0.3">
      <c r="A10174" s="10"/>
      <c r="B10174" s="2"/>
      <c r="C10174" s="2"/>
      <c r="D10174" s="2"/>
      <c r="E10174" s="2"/>
      <c r="F10174" s="2"/>
      <c r="G10174" s="2"/>
      <c r="H10174" s="2"/>
      <c r="I10174" s="2"/>
      <c r="J10174" s="2"/>
      <c r="K10174" s="2"/>
      <c r="L10174" s="2"/>
      <c r="M10174" s="2"/>
      <c r="N10174" s="2"/>
      <c r="O10174" s="2"/>
      <c r="P10174" s="2"/>
      <c r="Q10174" s="2"/>
      <c r="R10174" s="2"/>
      <c r="S10174" s="2"/>
      <c r="T10174" s="2"/>
      <c r="U10174" s="2"/>
      <c r="V10174" s="2"/>
      <c r="W10174" s="2"/>
      <c r="X10174" s="2"/>
      <c r="Y10174" s="2"/>
      <c r="Z10174" s="2"/>
    </row>
    <row r="10175" spans="1:26" ht="17.399999999999999" x14ac:dyDescent="0.3">
      <c r="A10175" s="10"/>
      <c r="B10175" s="2"/>
      <c r="C10175" s="2"/>
      <c r="D10175" s="2"/>
      <c r="E10175" s="2"/>
      <c r="F10175" s="2"/>
      <c r="G10175" s="2"/>
      <c r="H10175" s="2"/>
      <c r="I10175" s="2"/>
      <c r="J10175" s="2"/>
      <c r="K10175" s="2"/>
      <c r="L10175" s="2"/>
      <c r="M10175" s="2"/>
      <c r="N10175" s="2"/>
      <c r="O10175" s="2"/>
      <c r="P10175" s="2"/>
      <c r="Q10175" s="2"/>
      <c r="R10175" s="2"/>
      <c r="S10175" s="2"/>
      <c r="T10175" s="2"/>
      <c r="U10175" s="2"/>
      <c r="V10175" s="2"/>
      <c r="W10175" s="2"/>
      <c r="X10175" s="2"/>
      <c r="Y10175" s="2"/>
      <c r="Z10175" s="2"/>
    </row>
    <row r="10176" spans="1:26" ht="17.399999999999999" x14ac:dyDescent="0.3">
      <c r="A10176" s="10"/>
      <c r="B10176" s="2"/>
      <c r="C10176" s="2"/>
      <c r="D10176" s="2"/>
      <c r="E10176" s="2"/>
      <c r="F10176" s="2"/>
      <c r="G10176" s="2"/>
      <c r="H10176" s="2"/>
      <c r="I10176" s="2"/>
      <c r="J10176" s="2"/>
      <c r="K10176" s="2"/>
      <c r="L10176" s="2"/>
      <c r="M10176" s="2"/>
      <c r="N10176" s="2"/>
      <c r="O10176" s="2"/>
      <c r="P10176" s="2"/>
      <c r="Q10176" s="2"/>
      <c r="R10176" s="2"/>
      <c r="S10176" s="2"/>
      <c r="T10176" s="2"/>
      <c r="U10176" s="2"/>
      <c r="V10176" s="2"/>
      <c r="W10176" s="2"/>
      <c r="X10176" s="2"/>
      <c r="Y10176" s="2"/>
      <c r="Z10176" s="2"/>
    </row>
    <row r="10177" spans="1:26" ht="17.399999999999999" x14ac:dyDescent="0.3">
      <c r="A10177" s="10"/>
      <c r="B10177" s="2"/>
      <c r="C10177" s="2"/>
      <c r="D10177" s="2"/>
      <c r="E10177" s="2"/>
      <c r="F10177" s="2"/>
      <c r="G10177" s="2"/>
      <c r="H10177" s="2"/>
      <c r="I10177" s="2"/>
      <c r="J10177" s="2"/>
      <c r="K10177" s="2"/>
      <c r="L10177" s="2"/>
      <c r="M10177" s="2"/>
      <c r="N10177" s="2"/>
      <c r="O10177" s="2"/>
      <c r="P10177" s="2"/>
      <c r="Q10177" s="2"/>
      <c r="R10177" s="2"/>
      <c r="S10177" s="2"/>
      <c r="T10177" s="2"/>
      <c r="U10177" s="2"/>
      <c r="V10177" s="2"/>
      <c r="W10177" s="2"/>
      <c r="X10177" s="2"/>
      <c r="Y10177" s="2"/>
      <c r="Z10177" s="2"/>
    </row>
    <row r="10178" spans="1:26" ht="17.399999999999999" x14ac:dyDescent="0.3">
      <c r="A10178" s="10"/>
      <c r="B10178" s="2"/>
      <c r="C10178" s="2"/>
      <c r="D10178" s="2"/>
      <c r="E10178" s="2"/>
      <c r="F10178" s="2"/>
      <c r="G10178" s="2"/>
      <c r="H10178" s="2"/>
      <c r="I10178" s="2"/>
      <c r="J10178" s="2"/>
      <c r="K10178" s="2"/>
      <c r="L10178" s="2"/>
      <c r="M10178" s="2"/>
      <c r="N10178" s="2"/>
      <c r="O10178" s="2"/>
      <c r="P10178" s="2"/>
      <c r="Q10178" s="2"/>
      <c r="R10178" s="2"/>
      <c r="S10178" s="2"/>
      <c r="T10178" s="2"/>
      <c r="U10178" s="2"/>
      <c r="V10178" s="2"/>
      <c r="W10178" s="2"/>
      <c r="X10178" s="2"/>
      <c r="Y10178" s="2"/>
      <c r="Z10178" s="2"/>
    </row>
    <row r="10179" spans="1:26" ht="17.399999999999999" x14ac:dyDescent="0.3">
      <c r="A10179" s="10"/>
      <c r="B10179" s="2"/>
      <c r="C10179" s="2"/>
      <c r="D10179" s="2"/>
      <c r="E10179" s="2"/>
      <c r="F10179" s="2"/>
      <c r="G10179" s="2"/>
      <c r="H10179" s="2"/>
      <c r="I10179" s="2"/>
      <c r="J10179" s="2"/>
      <c r="K10179" s="2"/>
      <c r="L10179" s="2"/>
      <c r="M10179" s="2"/>
      <c r="N10179" s="2"/>
      <c r="O10179" s="2"/>
      <c r="P10179" s="2"/>
      <c r="Q10179" s="2"/>
      <c r="R10179" s="2"/>
      <c r="S10179" s="2"/>
      <c r="T10179" s="2"/>
      <c r="U10179" s="2"/>
      <c r="V10179" s="2"/>
      <c r="W10179" s="2"/>
      <c r="X10179" s="2"/>
      <c r="Y10179" s="2"/>
      <c r="Z10179" s="2"/>
    </row>
    <row r="10180" spans="1:26" ht="17.399999999999999" x14ac:dyDescent="0.3">
      <c r="A10180" s="10"/>
      <c r="B10180" s="2"/>
      <c r="C10180" s="2"/>
      <c r="D10180" s="2"/>
      <c r="E10180" s="2"/>
      <c r="F10180" s="2"/>
      <c r="G10180" s="2"/>
      <c r="H10180" s="2"/>
      <c r="I10180" s="2"/>
      <c r="J10180" s="2"/>
      <c r="K10180" s="2"/>
      <c r="L10180" s="2"/>
      <c r="M10180" s="2"/>
      <c r="N10180" s="2"/>
      <c r="O10180" s="2"/>
      <c r="P10180" s="2"/>
      <c r="Q10180" s="2"/>
      <c r="R10180" s="2"/>
      <c r="S10180" s="2"/>
      <c r="T10180" s="2"/>
      <c r="U10180" s="2"/>
      <c r="V10180" s="2"/>
      <c r="W10180" s="2"/>
      <c r="X10180" s="2"/>
      <c r="Y10180" s="2"/>
      <c r="Z10180" s="2"/>
    </row>
    <row r="10181" spans="1:26" ht="17.399999999999999" x14ac:dyDescent="0.3">
      <c r="A10181" s="10"/>
      <c r="B10181" s="2"/>
      <c r="C10181" s="2"/>
      <c r="D10181" s="2"/>
      <c r="E10181" s="2"/>
      <c r="F10181" s="2"/>
      <c r="G10181" s="2"/>
      <c r="H10181" s="2"/>
      <c r="I10181" s="2"/>
      <c r="J10181" s="2"/>
      <c r="K10181" s="2"/>
      <c r="L10181" s="2"/>
      <c r="M10181" s="2"/>
      <c r="N10181" s="2"/>
      <c r="O10181" s="2"/>
      <c r="P10181" s="2"/>
      <c r="Q10181" s="2"/>
      <c r="R10181" s="2"/>
      <c r="S10181" s="2"/>
      <c r="T10181" s="2"/>
      <c r="U10181" s="2"/>
      <c r="V10181" s="2"/>
      <c r="W10181" s="2"/>
      <c r="X10181" s="2"/>
      <c r="Y10181" s="2"/>
      <c r="Z10181" s="2"/>
    </row>
    <row r="10182" spans="1:26" ht="17.399999999999999" x14ac:dyDescent="0.3">
      <c r="A10182" s="10"/>
      <c r="B10182" s="2"/>
      <c r="C10182" s="2"/>
      <c r="D10182" s="2"/>
      <c r="E10182" s="2"/>
      <c r="F10182" s="2"/>
      <c r="G10182" s="2"/>
      <c r="H10182" s="2"/>
      <c r="I10182" s="2"/>
      <c r="J10182" s="2"/>
      <c r="K10182" s="2"/>
      <c r="L10182" s="2"/>
      <c r="M10182" s="2"/>
      <c r="N10182" s="2"/>
      <c r="O10182" s="2"/>
      <c r="P10182" s="2"/>
      <c r="Q10182" s="2"/>
      <c r="R10182" s="2"/>
      <c r="S10182" s="2"/>
      <c r="T10182" s="2"/>
      <c r="U10182" s="2"/>
      <c r="V10182" s="2"/>
      <c r="W10182" s="2"/>
      <c r="X10182" s="2"/>
      <c r="Y10182" s="2"/>
      <c r="Z10182" s="2"/>
    </row>
    <row r="10183" spans="1:26" ht="17.399999999999999" x14ac:dyDescent="0.3">
      <c r="A10183" s="10"/>
      <c r="B10183" s="2"/>
      <c r="C10183" s="2"/>
      <c r="D10183" s="2"/>
      <c r="E10183" s="2"/>
      <c r="F10183" s="2"/>
      <c r="G10183" s="2"/>
      <c r="H10183" s="2"/>
      <c r="I10183" s="2"/>
      <c r="J10183" s="2"/>
      <c r="K10183" s="2"/>
      <c r="L10183" s="2"/>
      <c r="M10183" s="2"/>
      <c r="N10183" s="2"/>
      <c r="O10183" s="2"/>
      <c r="P10183" s="2"/>
      <c r="Q10183" s="2"/>
      <c r="R10183" s="2"/>
      <c r="S10183" s="2"/>
      <c r="T10183" s="2"/>
      <c r="U10183" s="2"/>
      <c r="V10183" s="2"/>
      <c r="W10183" s="2"/>
      <c r="X10183" s="2"/>
      <c r="Y10183" s="2"/>
      <c r="Z10183" s="2"/>
    </row>
    <row r="10184" spans="1:26" ht="17.399999999999999" x14ac:dyDescent="0.3">
      <c r="A10184" s="10"/>
      <c r="B10184" s="2"/>
      <c r="C10184" s="2"/>
      <c r="D10184" s="2"/>
      <c r="E10184" s="2"/>
      <c r="F10184" s="2"/>
      <c r="G10184" s="2"/>
      <c r="H10184" s="2"/>
      <c r="I10184" s="2"/>
      <c r="J10184" s="2"/>
      <c r="K10184" s="2"/>
      <c r="L10184" s="2"/>
      <c r="M10184" s="2"/>
      <c r="N10184" s="2"/>
      <c r="O10184" s="2"/>
      <c r="P10184" s="2"/>
      <c r="Q10184" s="2"/>
      <c r="R10184" s="2"/>
      <c r="S10184" s="2"/>
      <c r="T10184" s="2"/>
      <c r="U10184" s="2"/>
      <c r="V10184" s="2"/>
      <c r="W10184" s="2"/>
      <c r="X10184" s="2"/>
      <c r="Y10184" s="2"/>
      <c r="Z10184" s="2"/>
    </row>
    <row r="10185" spans="1:26" ht="17.399999999999999" x14ac:dyDescent="0.3">
      <c r="A10185" s="10"/>
      <c r="B10185" s="2"/>
      <c r="C10185" s="2"/>
      <c r="D10185" s="2"/>
      <c r="E10185" s="2"/>
      <c r="F10185" s="2"/>
      <c r="G10185" s="2"/>
      <c r="H10185" s="2"/>
      <c r="I10185" s="2"/>
      <c r="J10185" s="2"/>
      <c r="K10185" s="2"/>
      <c r="L10185" s="2"/>
      <c r="M10185" s="2"/>
      <c r="N10185" s="2"/>
      <c r="O10185" s="2"/>
      <c r="P10185" s="2"/>
      <c r="Q10185" s="2"/>
      <c r="R10185" s="2"/>
      <c r="S10185" s="2"/>
      <c r="T10185" s="2"/>
      <c r="U10185" s="2"/>
      <c r="V10185" s="2"/>
      <c r="W10185" s="2"/>
      <c r="X10185" s="2"/>
      <c r="Y10185" s="2"/>
      <c r="Z10185" s="2"/>
    </row>
    <row r="10186" spans="1:26" ht="17.399999999999999" x14ac:dyDescent="0.3">
      <c r="A10186" s="10"/>
      <c r="B10186" s="2"/>
      <c r="C10186" s="2"/>
      <c r="D10186" s="2"/>
      <c r="E10186" s="2"/>
      <c r="F10186" s="2"/>
      <c r="G10186" s="2"/>
      <c r="H10186" s="2"/>
      <c r="I10186" s="2"/>
      <c r="J10186" s="2"/>
      <c r="K10186" s="2"/>
      <c r="L10186" s="2"/>
      <c r="M10186" s="2"/>
      <c r="N10186" s="2"/>
      <c r="O10186" s="2"/>
      <c r="P10186" s="2"/>
      <c r="Q10186" s="2"/>
      <c r="R10186" s="2"/>
      <c r="S10186" s="2"/>
      <c r="T10186" s="2"/>
      <c r="U10186" s="2"/>
      <c r="V10186" s="2"/>
      <c r="W10186" s="2"/>
      <c r="X10186" s="2"/>
      <c r="Y10186" s="2"/>
      <c r="Z10186" s="2"/>
    </row>
    <row r="10187" spans="1:26" ht="17.399999999999999" x14ac:dyDescent="0.3">
      <c r="A10187" s="10"/>
      <c r="B10187" s="2"/>
      <c r="C10187" s="2"/>
      <c r="D10187" s="2"/>
      <c r="E10187" s="2"/>
      <c r="F10187" s="2"/>
      <c r="G10187" s="2"/>
      <c r="H10187" s="2"/>
      <c r="I10187" s="2"/>
      <c r="J10187" s="2"/>
      <c r="K10187" s="2"/>
      <c r="L10187" s="2"/>
      <c r="M10187" s="2"/>
      <c r="N10187" s="2"/>
      <c r="O10187" s="2"/>
      <c r="P10187" s="2"/>
      <c r="Q10187" s="2"/>
      <c r="R10187" s="2"/>
      <c r="S10187" s="2"/>
      <c r="T10187" s="2"/>
      <c r="U10187" s="2"/>
      <c r="V10187" s="2"/>
      <c r="W10187" s="2"/>
      <c r="X10187" s="2"/>
      <c r="Y10187" s="2"/>
      <c r="Z10187" s="2"/>
    </row>
    <row r="10188" spans="1:26" ht="17.399999999999999" x14ac:dyDescent="0.3">
      <c r="A10188" s="10"/>
      <c r="B10188" s="2"/>
      <c r="C10188" s="2"/>
      <c r="D10188" s="2"/>
      <c r="E10188" s="2"/>
      <c r="F10188" s="2"/>
      <c r="G10188" s="2"/>
      <c r="H10188" s="2"/>
      <c r="I10188" s="2"/>
      <c r="J10188" s="2"/>
      <c r="K10188" s="2"/>
      <c r="L10188" s="2"/>
      <c r="M10188" s="2"/>
      <c r="N10188" s="2"/>
      <c r="O10188" s="2"/>
      <c r="P10188" s="2"/>
      <c r="Q10188" s="2"/>
      <c r="R10188" s="2"/>
      <c r="S10188" s="2"/>
      <c r="T10188" s="2"/>
      <c r="U10188" s="2"/>
      <c r="V10188" s="2"/>
      <c r="W10188" s="2"/>
      <c r="X10188" s="2"/>
      <c r="Y10188" s="2"/>
      <c r="Z10188" s="2"/>
    </row>
    <row r="10189" spans="1:26" ht="17.399999999999999" x14ac:dyDescent="0.3">
      <c r="A10189" s="10"/>
      <c r="B10189" s="2"/>
      <c r="C10189" s="2"/>
      <c r="D10189" s="2"/>
      <c r="E10189" s="2"/>
      <c r="F10189" s="2"/>
      <c r="G10189" s="2"/>
      <c r="H10189" s="2"/>
      <c r="I10189" s="2"/>
      <c r="J10189" s="2"/>
      <c r="K10189" s="2"/>
      <c r="L10189" s="2"/>
      <c r="M10189" s="2"/>
      <c r="N10189" s="2"/>
      <c r="O10189" s="2"/>
      <c r="P10189" s="2"/>
      <c r="Q10189" s="2"/>
      <c r="R10189" s="2"/>
      <c r="S10189" s="2"/>
      <c r="T10189" s="2"/>
      <c r="U10189" s="2"/>
      <c r="V10189" s="2"/>
      <c r="W10189" s="2"/>
      <c r="X10189" s="2"/>
      <c r="Y10189" s="2"/>
      <c r="Z10189" s="2"/>
    </row>
    <row r="10190" spans="1:26" ht="17.399999999999999" x14ac:dyDescent="0.3">
      <c r="A10190" s="10"/>
      <c r="B10190" s="2"/>
      <c r="C10190" s="2"/>
      <c r="D10190" s="2"/>
      <c r="E10190" s="2"/>
      <c r="F10190" s="2"/>
      <c r="G10190" s="2"/>
      <c r="H10190" s="2"/>
      <c r="I10190" s="2"/>
      <c r="J10190" s="2"/>
      <c r="K10190" s="2"/>
      <c r="L10190" s="2"/>
      <c r="M10190" s="2"/>
      <c r="N10190" s="2"/>
      <c r="O10190" s="2"/>
      <c r="P10190" s="2"/>
      <c r="Q10190" s="2"/>
      <c r="R10190" s="2"/>
      <c r="S10190" s="2"/>
      <c r="T10190" s="2"/>
      <c r="U10190" s="2"/>
      <c r="V10190" s="2"/>
      <c r="W10190" s="2"/>
      <c r="X10190" s="2"/>
      <c r="Y10190" s="2"/>
      <c r="Z10190" s="2"/>
    </row>
    <row r="10191" spans="1:26" ht="17.399999999999999" x14ac:dyDescent="0.3">
      <c r="A10191" s="10"/>
      <c r="B10191" s="2"/>
      <c r="C10191" s="2"/>
      <c r="D10191" s="2"/>
      <c r="E10191" s="2"/>
      <c r="F10191" s="2"/>
      <c r="G10191" s="2"/>
      <c r="H10191" s="2"/>
      <c r="I10191" s="2"/>
      <c r="J10191" s="2"/>
      <c r="K10191" s="2"/>
      <c r="L10191" s="2"/>
      <c r="M10191" s="2"/>
      <c r="N10191" s="2"/>
      <c r="O10191" s="2"/>
      <c r="P10191" s="2"/>
      <c r="Q10191" s="2"/>
      <c r="R10191" s="2"/>
      <c r="S10191" s="2"/>
      <c r="T10191" s="2"/>
      <c r="U10191" s="2"/>
      <c r="V10191" s="2"/>
      <c r="W10191" s="2"/>
      <c r="X10191" s="2"/>
      <c r="Y10191" s="2"/>
      <c r="Z10191" s="2"/>
    </row>
    <row r="10192" spans="1:26" ht="17.399999999999999" x14ac:dyDescent="0.3">
      <c r="A10192" s="10"/>
      <c r="B10192" s="2"/>
      <c r="C10192" s="2"/>
      <c r="D10192" s="2"/>
      <c r="E10192" s="2"/>
      <c r="F10192" s="2"/>
      <c r="G10192" s="2"/>
      <c r="H10192" s="2"/>
      <c r="I10192" s="2"/>
      <c r="J10192" s="2"/>
      <c r="K10192" s="2"/>
      <c r="L10192" s="2"/>
      <c r="M10192" s="2"/>
      <c r="N10192" s="2"/>
      <c r="O10192" s="2"/>
      <c r="P10192" s="2"/>
      <c r="Q10192" s="2"/>
      <c r="R10192" s="2"/>
      <c r="S10192" s="2"/>
      <c r="T10192" s="2"/>
      <c r="U10192" s="2"/>
      <c r="V10192" s="2"/>
      <c r="W10192" s="2"/>
      <c r="X10192" s="2"/>
      <c r="Y10192" s="2"/>
      <c r="Z10192" s="2"/>
    </row>
    <row r="10193" spans="1:26" ht="17.399999999999999" x14ac:dyDescent="0.3">
      <c r="A10193" s="10"/>
      <c r="B10193" s="2"/>
      <c r="C10193" s="2"/>
      <c r="D10193" s="2"/>
      <c r="E10193" s="2"/>
      <c r="F10193" s="2"/>
      <c r="G10193" s="2"/>
      <c r="H10193" s="2"/>
      <c r="I10193" s="2"/>
      <c r="J10193" s="2"/>
      <c r="K10193" s="2"/>
      <c r="L10193" s="2"/>
      <c r="M10193" s="2"/>
      <c r="N10193" s="2"/>
      <c r="O10193" s="2"/>
      <c r="P10193" s="2"/>
      <c r="Q10193" s="2"/>
      <c r="R10193" s="2"/>
      <c r="S10193" s="2"/>
      <c r="T10193" s="2"/>
      <c r="U10193" s="2"/>
      <c r="V10193" s="2"/>
      <c r="W10193" s="2"/>
      <c r="X10193" s="2"/>
      <c r="Y10193" s="2"/>
      <c r="Z10193" s="2"/>
    </row>
    <row r="10194" spans="1:26" ht="17.399999999999999" x14ac:dyDescent="0.3">
      <c r="A10194" s="10"/>
      <c r="B10194" s="2"/>
      <c r="C10194" s="2"/>
      <c r="D10194" s="2"/>
      <c r="E10194" s="2"/>
      <c r="F10194" s="2"/>
      <c r="G10194" s="2"/>
      <c r="H10194" s="2"/>
      <c r="I10194" s="2"/>
      <c r="J10194" s="2"/>
      <c r="K10194" s="2"/>
      <c r="L10194" s="2"/>
      <c r="M10194" s="2"/>
      <c r="N10194" s="2"/>
      <c r="O10194" s="2"/>
      <c r="P10194" s="2"/>
      <c r="Q10194" s="2"/>
      <c r="R10194" s="2"/>
      <c r="S10194" s="2"/>
      <c r="T10194" s="2"/>
      <c r="U10194" s="2"/>
      <c r="V10194" s="2"/>
      <c r="W10194" s="2"/>
      <c r="X10194" s="2"/>
      <c r="Y10194" s="2"/>
      <c r="Z10194" s="2"/>
    </row>
    <row r="10195" spans="1:26" ht="17.399999999999999" x14ac:dyDescent="0.3">
      <c r="A10195" s="10"/>
      <c r="B10195" s="2"/>
      <c r="C10195" s="2"/>
      <c r="D10195" s="2"/>
      <c r="E10195" s="2"/>
      <c r="F10195" s="2"/>
      <c r="G10195" s="2"/>
      <c r="H10195" s="2"/>
      <c r="I10195" s="2"/>
      <c r="J10195" s="2"/>
      <c r="K10195" s="2"/>
      <c r="L10195" s="2"/>
      <c r="M10195" s="2"/>
      <c r="N10195" s="2"/>
      <c r="O10195" s="2"/>
      <c r="P10195" s="2"/>
      <c r="Q10195" s="2"/>
      <c r="R10195" s="2"/>
      <c r="S10195" s="2"/>
      <c r="T10195" s="2"/>
      <c r="U10195" s="2"/>
      <c r="V10195" s="2"/>
      <c r="W10195" s="2"/>
      <c r="X10195" s="2"/>
      <c r="Y10195" s="2"/>
      <c r="Z10195" s="2"/>
    </row>
    <row r="10196" spans="1:26" ht="17.399999999999999" x14ac:dyDescent="0.3">
      <c r="A10196" s="10"/>
      <c r="B10196" s="2"/>
      <c r="C10196" s="2"/>
      <c r="D10196" s="2"/>
      <c r="E10196" s="2"/>
      <c r="F10196" s="2"/>
      <c r="G10196" s="2"/>
      <c r="H10196" s="2"/>
      <c r="I10196" s="2"/>
      <c r="J10196" s="2"/>
      <c r="K10196" s="2"/>
      <c r="L10196" s="2"/>
      <c r="M10196" s="2"/>
      <c r="N10196" s="2"/>
      <c r="O10196" s="2"/>
      <c r="P10196" s="2"/>
      <c r="Q10196" s="2"/>
      <c r="R10196" s="2"/>
      <c r="S10196" s="2"/>
      <c r="T10196" s="2"/>
      <c r="U10196" s="2"/>
      <c r="V10196" s="2"/>
      <c r="W10196" s="2"/>
      <c r="X10196" s="2"/>
      <c r="Y10196" s="2"/>
      <c r="Z10196" s="2"/>
    </row>
    <row r="10197" spans="1:26" ht="17.399999999999999" x14ac:dyDescent="0.3">
      <c r="A10197" s="10"/>
      <c r="B10197" s="2"/>
      <c r="C10197" s="2"/>
      <c r="D10197" s="2"/>
      <c r="E10197" s="2"/>
      <c r="F10197" s="2"/>
      <c r="G10197" s="2"/>
      <c r="H10197" s="2"/>
      <c r="I10197" s="2"/>
      <c r="J10197" s="2"/>
      <c r="K10197" s="2"/>
      <c r="L10197" s="2"/>
      <c r="M10197" s="2"/>
      <c r="N10197" s="2"/>
      <c r="O10197" s="2"/>
      <c r="P10197" s="2"/>
      <c r="Q10197" s="2"/>
      <c r="R10197" s="2"/>
      <c r="S10197" s="2"/>
      <c r="T10197" s="2"/>
      <c r="U10197" s="2"/>
      <c r="V10197" s="2"/>
      <c r="W10197" s="2"/>
      <c r="X10197" s="2"/>
      <c r="Y10197" s="2"/>
      <c r="Z10197" s="2"/>
    </row>
    <row r="10198" spans="1:26" ht="17.399999999999999" x14ac:dyDescent="0.3">
      <c r="A10198" s="10"/>
      <c r="B10198" s="2"/>
      <c r="C10198" s="2"/>
      <c r="D10198" s="2"/>
      <c r="E10198" s="2"/>
      <c r="F10198" s="2"/>
      <c r="G10198" s="2"/>
      <c r="H10198" s="2"/>
      <c r="I10198" s="2"/>
      <c r="J10198" s="2"/>
      <c r="K10198" s="2"/>
      <c r="L10198" s="2"/>
      <c r="M10198" s="2"/>
      <c r="N10198" s="2"/>
      <c r="O10198" s="2"/>
      <c r="P10198" s="2"/>
      <c r="Q10198" s="2"/>
      <c r="R10198" s="2"/>
      <c r="S10198" s="2"/>
      <c r="T10198" s="2"/>
      <c r="U10198" s="2"/>
      <c r="V10198" s="2"/>
      <c r="W10198" s="2"/>
      <c r="X10198" s="2"/>
      <c r="Y10198" s="2"/>
      <c r="Z10198" s="2"/>
    </row>
    <row r="10199" spans="1:26" ht="17.399999999999999" x14ac:dyDescent="0.3">
      <c r="A10199" s="10"/>
      <c r="B10199" s="2"/>
      <c r="C10199" s="2"/>
      <c r="D10199" s="2"/>
      <c r="E10199" s="2"/>
      <c r="F10199" s="2"/>
      <c r="G10199" s="2"/>
      <c r="H10199" s="2"/>
      <c r="I10199" s="2"/>
      <c r="J10199" s="2"/>
      <c r="K10199" s="2"/>
      <c r="L10199" s="2"/>
      <c r="M10199" s="2"/>
      <c r="N10199" s="2"/>
      <c r="O10199" s="2"/>
      <c r="P10199" s="2"/>
      <c r="Q10199" s="2"/>
      <c r="R10199" s="2"/>
      <c r="S10199" s="2"/>
      <c r="T10199" s="2"/>
      <c r="U10199" s="2"/>
      <c r="V10199" s="2"/>
      <c r="W10199" s="2"/>
      <c r="X10199" s="2"/>
      <c r="Y10199" s="2"/>
      <c r="Z10199" s="2"/>
    </row>
    <row r="10200" spans="1:26" ht="17.399999999999999" x14ac:dyDescent="0.3">
      <c r="A10200" s="10"/>
      <c r="B10200" s="2"/>
      <c r="C10200" s="2"/>
      <c r="D10200" s="2"/>
      <c r="E10200" s="2"/>
      <c r="F10200" s="2"/>
      <c r="G10200" s="2"/>
      <c r="H10200" s="2"/>
      <c r="I10200" s="2"/>
      <c r="J10200" s="2"/>
      <c r="K10200" s="2"/>
      <c r="L10200" s="2"/>
      <c r="M10200" s="2"/>
      <c r="N10200" s="2"/>
      <c r="O10200" s="2"/>
      <c r="P10200" s="2"/>
      <c r="Q10200" s="2"/>
      <c r="R10200" s="2"/>
      <c r="S10200" s="2"/>
      <c r="T10200" s="2"/>
      <c r="U10200" s="2"/>
      <c r="V10200" s="2"/>
      <c r="W10200" s="2"/>
      <c r="X10200" s="2"/>
      <c r="Y10200" s="2"/>
      <c r="Z10200" s="2"/>
    </row>
    <row r="10201" spans="1:26" ht="17.399999999999999" x14ac:dyDescent="0.3">
      <c r="A10201" s="10"/>
      <c r="B10201" s="2"/>
      <c r="C10201" s="2"/>
      <c r="D10201" s="2"/>
      <c r="E10201" s="2"/>
      <c r="F10201" s="2"/>
      <c r="G10201" s="2"/>
      <c r="H10201" s="2"/>
      <c r="I10201" s="2"/>
      <c r="J10201" s="2"/>
      <c r="K10201" s="2"/>
      <c r="L10201" s="2"/>
      <c r="M10201" s="2"/>
      <c r="N10201" s="2"/>
      <c r="O10201" s="2"/>
      <c r="P10201" s="2"/>
      <c r="Q10201" s="2"/>
      <c r="R10201" s="2"/>
      <c r="S10201" s="2"/>
      <c r="T10201" s="2"/>
      <c r="U10201" s="2"/>
      <c r="V10201" s="2"/>
      <c r="W10201" s="2"/>
      <c r="X10201" s="2"/>
      <c r="Y10201" s="2"/>
      <c r="Z10201" s="2"/>
    </row>
    <row r="10202" spans="1:26" ht="17.399999999999999" x14ac:dyDescent="0.3">
      <c r="A10202" s="10"/>
      <c r="B10202" s="2"/>
      <c r="C10202" s="2"/>
      <c r="D10202" s="2"/>
      <c r="E10202" s="2"/>
      <c r="F10202" s="2"/>
      <c r="G10202" s="2"/>
      <c r="H10202" s="2"/>
      <c r="I10202" s="2"/>
      <c r="J10202" s="2"/>
      <c r="K10202" s="2"/>
      <c r="L10202" s="2"/>
      <c r="M10202" s="2"/>
      <c r="N10202" s="2"/>
      <c r="O10202" s="2"/>
      <c r="P10202" s="2"/>
      <c r="Q10202" s="2"/>
      <c r="R10202" s="2"/>
      <c r="S10202" s="2"/>
      <c r="T10202" s="2"/>
      <c r="U10202" s="2"/>
      <c r="V10202" s="2"/>
      <c r="W10202" s="2"/>
      <c r="X10202" s="2"/>
      <c r="Y10202" s="2"/>
      <c r="Z10202" s="2"/>
    </row>
    <row r="10203" spans="1:26" ht="17.399999999999999" x14ac:dyDescent="0.3">
      <c r="A10203" s="10"/>
      <c r="B10203" s="2"/>
      <c r="C10203" s="2"/>
      <c r="D10203" s="2"/>
      <c r="E10203" s="2"/>
      <c r="F10203" s="2"/>
      <c r="G10203" s="2"/>
      <c r="H10203" s="2"/>
      <c r="I10203" s="2"/>
      <c r="J10203" s="2"/>
      <c r="K10203" s="2"/>
      <c r="L10203" s="2"/>
      <c r="M10203" s="2"/>
      <c r="N10203" s="2"/>
      <c r="O10203" s="2"/>
      <c r="P10203" s="2"/>
      <c r="Q10203" s="2"/>
      <c r="R10203" s="2"/>
      <c r="S10203" s="2"/>
      <c r="T10203" s="2"/>
      <c r="U10203" s="2"/>
      <c r="V10203" s="2"/>
      <c r="W10203" s="2"/>
      <c r="X10203" s="2"/>
      <c r="Y10203" s="2"/>
      <c r="Z10203" s="2"/>
    </row>
    <row r="10204" spans="1:26" ht="17.399999999999999" x14ac:dyDescent="0.3">
      <c r="A10204" s="10"/>
      <c r="B10204" s="2"/>
      <c r="C10204" s="2"/>
      <c r="D10204" s="2"/>
      <c r="E10204" s="2"/>
      <c r="F10204" s="2"/>
      <c r="G10204" s="2"/>
      <c r="H10204" s="2"/>
      <c r="I10204" s="2"/>
      <c r="J10204" s="2"/>
      <c r="K10204" s="2"/>
      <c r="L10204" s="2"/>
      <c r="M10204" s="2"/>
      <c r="N10204" s="2"/>
      <c r="O10204" s="2"/>
      <c r="P10204" s="2"/>
      <c r="Q10204" s="2"/>
      <c r="R10204" s="2"/>
      <c r="S10204" s="2"/>
      <c r="T10204" s="2"/>
      <c r="U10204" s="2"/>
      <c r="V10204" s="2"/>
      <c r="W10204" s="2"/>
      <c r="X10204" s="2"/>
      <c r="Y10204" s="2"/>
      <c r="Z10204" s="2"/>
    </row>
    <row r="10205" spans="1:26" ht="17.399999999999999" x14ac:dyDescent="0.3">
      <c r="A10205" s="10"/>
      <c r="B10205" s="2"/>
      <c r="C10205" s="2"/>
      <c r="D10205" s="2"/>
      <c r="E10205" s="2"/>
      <c r="F10205" s="2"/>
      <c r="G10205" s="2"/>
      <c r="H10205" s="2"/>
      <c r="I10205" s="2"/>
      <c r="J10205" s="2"/>
      <c r="K10205" s="2"/>
      <c r="L10205" s="2"/>
      <c r="M10205" s="2"/>
      <c r="N10205" s="2"/>
      <c r="O10205" s="2"/>
      <c r="P10205" s="2"/>
      <c r="Q10205" s="2"/>
      <c r="R10205" s="2"/>
      <c r="S10205" s="2"/>
      <c r="T10205" s="2"/>
      <c r="U10205" s="2"/>
      <c r="V10205" s="2"/>
      <c r="W10205" s="2"/>
      <c r="X10205" s="2"/>
      <c r="Y10205" s="2"/>
      <c r="Z10205" s="2"/>
    </row>
    <row r="10206" spans="1:26" ht="17.399999999999999" x14ac:dyDescent="0.3">
      <c r="A10206" s="10"/>
      <c r="B10206" s="2"/>
      <c r="C10206" s="2"/>
      <c r="D10206" s="2"/>
      <c r="E10206" s="2"/>
      <c r="F10206" s="2"/>
      <c r="G10206" s="2"/>
      <c r="H10206" s="2"/>
      <c r="I10206" s="2"/>
      <c r="J10206" s="2"/>
      <c r="K10206" s="2"/>
      <c r="L10206" s="2"/>
      <c r="M10206" s="2"/>
      <c r="N10206" s="2"/>
      <c r="O10206" s="2"/>
      <c r="P10206" s="2"/>
      <c r="Q10206" s="2"/>
      <c r="R10206" s="2"/>
      <c r="S10206" s="2"/>
      <c r="T10206" s="2"/>
      <c r="U10206" s="2"/>
      <c r="V10206" s="2"/>
      <c r="W10206" s="2"/>
      <c r="X10206" s="2"/>
      <c r="Y10206" s="2"/>
      <c r="Z10206" s="2"/>
    </row>
    <row r="10207" spans="1:26" ht="17.399999999999999" x14ac:dyDescent="0.3">
      <c r="A10207" s="10"/>
      <c r="B10207" s="2"/>
      <c r="C10207" s="2"/>
      <c r="D10207" s="2"/>
      <c r="E10207" s="2"/>
      <c r="F10207" s="2"/>
      <c r="G10207" s="2"/>
      <c r="H10207" s="2"/>
      <c r="I10207" s="2"/>
      <c r="J10207" s="2"/>
      <c r="K10207" s="2"/>
      <c r="L10207" s="2"/>
      <c r="M10207" s="2"/>
      <c r="N10207" s="2"/>
      <c r="O10207" s="2"/>
      <c r="P10207" s="2"/>
      <c r="Q10207" s="2"/>
      <c r="R10207" s="2"/>
      <c r="S10207" s="2"/>
      <c r="T10207" s="2"/>
      <c r="U10207" s="2"/>
      <c r="V10207" s="2"/>
      <c r="W10207" s="2"/>
      <c r="X10207" s="2"/>
      <c r="Y10207" s="2"/>
      <c r="Z10207" s="2"/>
    </row>
    <row r="10208" spans="1:26" ht="17.399999999999999" x14ac:dyDescent="0.3">
      <c r="A10208" s="10"/>
      <c r="B10208" s="2"/>
      <c r="C10208" s="2"/>
      <c r="D10208" s="2"/>
      <c r="E10208" s="2"/>
      <c r="F10208" s="2"/>
      <c r="G10208" s="2"/>
      <c r="H10208" s="2"/>
      <c r="I10208" s="2"/>
      <c r="J10208" s="2"/>
      <c r="K10208" s="2"/>
      <c r="L10208" s="2"/>
      <c r="M10208" s="2"/>
      <c r="N10208" s="2"/>
      <c r="O10208" s="2"/>
      <c r="P10208" s="2"/>
      <c r="Q10208" s="2"/>
      <c r="R10208" s="2"/>
      <c r="S10208" s="2"/>
      <c r="T10208" s="2"/>
      <c r="U10208" s="2"/>
      <c r="V10208" s="2"/>
      <c r="W10208" s="2"/>
      <c r="X10208" s="2"/>
      <c r="Y10208" s="2"/>
      <c r="Z10208" s="2"/>
    </row>
    <row r="10209" spans="1:26" ht="17.399999999999999" x14ac:dyDescent="0.3">
      <c r="A10209" s="10"/>
      <c r="B10209" s="2"/>
      <c r="C10209" s="2"/>
      <c r="D10209" s="2"/>
      <c r="E10209" s="2"/>
      <c r="F10209" s="2"/>
      <c r="G10209" s="2"/>
      <c r="H10209" s="2"/>
      <c r="I10209" s="2"/>
      <c r="J10209" s="2"/>
      <c r="K10209" s="2"/>
      <c r="L10209" s="2"/>
      <c r="M10209" s="2"/>
      <c r="N10209" s="2"/>
      <c r="O10209" s="2"/>
      <c r="P10209" s="2"/>
      <c r="Q10209" s="2"/>
      <c r="R10209" s="2"/>
      <c r="S10209" s="2"/>
      <c r="T10209" s="2"/>
      <c r="U10209" s="2"/>
      <c r="V10209" s="2"/>
      <c r="W10209" s="2"/>
      <c r="X10209" s="2"/>
      <c r="Y10209" s="2"/>
      <c r="Z10209" s="2"/>
    </row>
    <row r="10210" spans="1:26" ht="17.399999999999999" x14ac:dyDescent="0.3">
      <c r="A10210" s="10"/>
      <c r="B10210" s="2"/>
      <c r="C10210" s="2"/>
      <c r="D10210" s="2"/>
      <c r="E10210" s="2"/>
      <c r="F10210" s="2"/>
      <c r="G10210" s="2"/>
      <c r="H10210" s="2"/>
      <c r="I10210" s="2"/>
      <c r="J10210" s="2"/>
      <c r="K10210" s="2"/>
      <c r="L10210" s="2"/>
      <c r="M10210" s="2"/>
      <c r="N10210" s="2"/>
      <c r="O10210" s="2"/>
      <c r="P10210" s="2"/>
      <c r="Q10210" s="2"/>
      <c r="R10210" s="2"/>
      <c r="S10210" s="2"/>
      <c r="T10210" s="2"/>
      <c r="U10210" s="2"/>
      <c r="V10210" s="2"/>
      <c r="W10210" s="2"/>
      <c r="X10210" s="2"/>
      <c r="Y10210" s="2"/>
      <c r="Z10210" s="2"/>
    </row>
    <row r="10211" spans="1:26" ht="17.399999999999999" x14ac:dyDescent="0.3">
      <c r="A10211" s="10"/>
      <c r="B10211" s="2"/>
      <c r="C10211" s="2"/>
      <c r="D10211" s="2"/>
      <c r="E10211" s="2"/>
      <c r="F10211" s="2"/>
      <c r="G10211" s="2"/>
      <c r="H10211" s="2"/>
      <c r="I10211" s="2"/>
      <c r="J10211" s="2"/>
      <c r="K10211" s="2"/>
      <c r="L10211" s="2"/>
      <c r="M10211" s="2"/>
      <c r="N10211" s="2"/>
      <c r="O10211" s="2"/>
      <c r="P10211" s="2"/>
      <c r="Q10211" s="2"/>
      <c r="R10211" s="2"/>
      <c r="S10211" s="2"/>
      <c r="T10211" s="2"/>
      <c r="U10211" s="2"/>
      <c r="V10211" s="2"/>
      <c r="W10211" s="2"/>
      <c r="X10211" s="2"/>
      <c r="Y10211" s="2"/>
      <c r="Z10211" s="2"/>
    </row>
    <row r="10212" spans="1:26" ht="17.399999999999999" x14ac:dyDescent="0.3">
      <c r="A10212" s="10"/>
      <c r="B10212" s="2"/>
      <c r="C10212" s="2"/>
      <c r="D10212" s="2"/>
      <c r="E10212" s="2"/>
      <c r="F10212" s="2"/>
      <c r="G10212" s="2"/>
      <c r="H10212" s="2"/>
      <c r="I10212" s="2"/>
      <c r="J10212" s="2"/>
      <c r="K10212" s="2"/>
      <c r="L10212" s="2"/>
      <c r="M10212" s="2"/>
      <c r="N10212" s="2"/>
      <c r="O10212" s="2"/>
      <c r="P10212" s="2"/>
      <c r="Q10212" s="2"/>
      <c r="R10212" s="2"/>
      <c r="S10212" s="2"/>
      <c r="T10212" s="2"/>
      <c r="U10212" s="2"/>
      <c r="V10212" s="2"/>
      <c r="W10212" s="2"/>
      <c r="X10212" s="2"/>
      <c r="Y10212" s="2"/>
      <c r="Z10212" s="2"/>
    </row>
    <row r="10213" spans="1:26" ht="17.399999999999999" x14ac:dyDescent="0.3">
      <c r="A10213" s="10"/>
      <c r="B10213" s="2"/>
      <c r="C10213" s="2"/>
      <c r="D10213" s="2"/>
      <c r="E10213" s="2"/>
      <c r="F10213" s="2"/>
      <c r="G10213" s="2"/>
      <c r="H10213" s="2"/>
      <c r="I10213" s="2"/>
      <c r="J10213" s="2"/>
      <c r="K10213" s="2"/>
      <c r="L10213" s="2"/>
      <c r="M10213" s="2"/>
      <c r="N10213" s="2"/>
      <c r="O10213" s="2"/>
      <c r="P10213" s="2"/>
      <c r="Q10213" s="2"/>
      <c r="R10213" s="2"/>
      <c r="S10213" s="2"/>
      <c r="T10213" s="2"/>
      <c r="U10213" s="2"/>
      <c r="V10213" s="2"/>
      <c r="W10213" s="2"/>
      <c r="X10213" s="2"/>
      <c r="Y10213" s="2"/>
      <c r="Z10213" s="2"/>
    </row>
    <row r="10214" spans="1:26" ht="17.399999999999999" x14ac:dyDescent="0.3">
      <c r="A10214" s="10"/>
      <c r="B10214" s="2"/>
      <c r="C10214" s="2"/>
      <c r="D10214" s="2"/>
      <c r="E10214" s="2"/>
      <c r="F10214" s="2"/>
      <c r="G10214" s="2"/>
      <c r="H10214" s="2"/>
      <c r="I10214" s="2"/>
      <c r="J10214" s="2"/>
      <c r="K10214" s="2"/>
      <c r="L10214" s="2"/>
      <c r="M10214" s="2"/>
      <c r="N10214" s="2"/>
      <c r="O10214" s="2"/>
      <c r="P10214" s="2"/>
      <c r="Q10214" s="2"/>
      <c r="R10214" s="2"/>
      <c r="S10214" s="2"/>
      <c r="T10214" s="2"/>
      <c r="U10214" s="2"/>
      <c r="V10214" s="2"/>
      <c r="W10214" s="2"/>
      <c r="X10214" s="2"/>
      <c r="Y10214" s="2"/>
      <c r="Z10214" s="2"/>
    </row>
    <row r="10215" spans="1:26" ht="17.399999999999999" x14ac:dyDescent="0.3">
      <c r="A10215" s="10"/>
      <c r="B10215" s="2"/>
      <c r="C10215" s="2"/>
      <c r="D10215" s="2"/>
      <c r="E10215" s="2"/>
      <c r="F10215" s="2"/>
      <c r="G10215" s="2"/>
      <c r="H10215" s="2"/>
      <c r="I10215" s="2"/>
      <c r="J10215" s="2"/>
      <c r="K10215" s="2"/>
      <c r="L10215" s="2"/>
      <c r="M10215" s="2"/>
      <c r="N10215" s="2"/>
      <c r="O10215" s="2"/>
      <c r="P10215" s="2"/>
      <c r="Q10215" s="2"/>
      <c r="R10215" s="2"/>
      <c r="S10215" s="2"/>
      <c r="T10215" s="2"/>
      <c r="U10215" s="2"/>
      <c r="V10215" s="2"/>
      <c r="W10215" s="2"/>
      <c r="X10215" s="2"/>
      <c r="Y10215" s="2"/>
      <c r="Z10215" s="2"/>
    </row>
    <row r="10216" spans="1:26" ht="17.399999999999999" x14ac:dyDescent="0.3">
      <c r="A10216" s="10"/>
      <c r="B10216" s="2"/>
      <c r="C10216" s="2"/>
      <c r="D10216" s="2"/>
      <c r="E10216" s="2"/>
      <c r="F10216" s="2"/>
      <c r="G10216" s="2"/>
      <c r="H10216" s="2"/>
      <c r="I10216" s="2"/>
      <c r="J10216" s="2"/>
      <c r="K10216" s="2"/>
      <c r="L10216" s="2"/>
      <c r="M10216" s="2"/>
      <c r="N10216" s="2"/>
      <c r="O10216" s="2"/>
      <c r="P10216" s="2"/>
      <c r="Q10216" s="2"/>
      <c r="R10216" s="2"/>
      <c r="S10216" s="2"/>
      <c r="T10216" s="2"/>
      <c r="U10216" s="2"/>
      <c r="V10216" s="2"/>
      <c r="W10216" s="2"/>
      <c r="X10216" s="2"/>
      <c r="Y10216" s="2"/>
      <c r="Z10216" s="2"/>
    </row>
    <row r="10217" spans="1:26" ht="17.399999999999999" x14ac:dyDescent="0.3">
      <c r="A10217" s="10"/>
      <c r="B10217" s="2"/>
      <c r="C10217" s="2"/>
      <c r="D10217" s="2"/>
      <c r="E10217" s="2"/>
      <c r="F10217" s="2"/>
      <c r="G10217" s="2"/>
      <c r="H10217" s="2"/>
      <c r="I10217" s="2"/>
      <c r="J10217" s="2"/>
      <c r="K10217" s="2"/>
      <c r="L10217" s="2"/>
      <c r="M10217" s="2"/>
      <c r="N10217" s="2"/>
      <c r="O10217" s="2"/>
      <c r="P10217" s="2"/>
      <c r="Q10217" s="2"/>
      <c r="R10217" s="2"/>
      <c r="S10217" s="2"/>
      <c r="T10217" s="2"/>
      <c r="U10217" s="2"/>
      <c r="V10217" s="2"/>
      <c r="W10217" s="2"/>
      <c r="X10217" s="2"/>
      <c r="Y10217" s="2"/>
      <c r="Z10217" s="2"/>
    </row>
    <row r="10218" spans="1:26" ht="17.399999999999999" x14ac:dyDescent="0.3">
      <c r="A10218" s="10"/>
      <c r="B10218" s="2"/>
      <c r="C10218" s="2"/>
      <c r="D10218" s="2"/>
      <c r="E10218" s="2"/>
      <c r="F10218" s="2"/>
      <c r="G10218" s="2"/>
      <c r="H10218" s="2"/>
      <c r="I10218" s="2"/>
      <c r="J10218" s="2"/>
      <c r="K10218" s="2"/>
      <c r="L10218" s="2"/>
      <c r="M10218" s="2"/>
      <c r="N10218" s="2"/>
      <c r="O10218" s="2"/>
      <c r="P10218" s="2"/>
      <c r="Q10218" s="2"/>
      <c r="R10218" s="2"/>
      <c r="S10218" s="2"/>
      <c r="T10218" s="2"/>
      <c r="U10218" s="2"/>
      <c r="V10218" s="2"/>
      <c r="W10218" s="2"/>
      <c r="X10218" s="2"/>
      <c r="Y10218" s="2"/>
      <c r="Z10218" s="2"/>
    </row>
    <row r="10219" spans="1:26" ht="17.399999999999999" x14ac:dyDescent="0.3">
      <c r="A10219" s="10"/>
      <c r="B10219" s="2"/>
      <c r="C10219" s="2"/>
      <c r="D10219" s="2"/>
      <c r="E10219" s="2"/>
      <c r="F10219" s="2"/>
      <c r="G10219" s="2"/>
      <c r="H10219" s="2"/>
      <c r="I10219" s="2"/>
      <c r="J10219" s="2"/>
      <c r="K10219" s="2"/>
      <c r="L10219" s="2"/>
      <c r="M10219" s="2"/>
      <c r="N10219" s="2"/>
      <c r="O10219" s="2"/>
      <c r="P10219" s="2"/>
      <c r="Q10219" s="2"/>
      <c r="R10219" s="2"/>
      <c r="S10219" s="2"/>
      <c r="T10219" s="2"/>
      <c r="U10219" s="2"/>
      <c r="V10219" s="2"/>
      <c r="W10219" s="2"/>
      <c r="X10219" s="2"/>
      <c r="Y10219" s="2"/>
      <c r="Z10219" s="2"/>
    </row>
    <row r="10220" spans="1:26" ht="17.399999999999999" x14ac:dyDescent="0.3">
      <c r="A10220" s="10"/>
      <c r="B10220" s="2"/>
      <c r="C10220" s="2"/>
      <c r="D10220" s="2"/>
      <c r="E10220" s="2"/>
      <c r="F10220" s="2"/>
      <c r="G10220" s="2"/>
      <c r="H10220" s="2"/>
      <c r="I10220" s="2"/>
      <c r="J10220" s="2"/>
      <c r="K10220" s="2"/>
      <c r="L10220" s="2"/>
      <c r="M10220" s="2"/>
      <c r="N10220" s="2"/>
      <c r="O10220" s="2"/>
      <c r="P10220" s="2"/>
      <c r="Q10220" s="2"/>
      <c r="R10220" s="2"/>
      <c r="S10220" s="2"/>
      <c r="T10220" s="2"/>
      <c r="U10220" s="2"/>
      <c r="V10220" s="2"/>
      <c r="W10220" s="2"/>
      <c r="X10220" s="2"/>
      <c r="Y10220" s="2"/>
      <c r="Z10220" s="2"/>
    </row>
    <row r="10221" spans="1:26" ht="17.399999999999999" x14ac:dyDescent="0.3">
      <c r="A10221" s="10"/>
      <c r="B10221" s="2"/>
      <c r="C10221" s="2"/>
      <c r="D10221" s="2"/>
      <c r="E10221" s="2"/>
      <c r="F10221" s="2"/>
      <c r="G10221" s="2"/>
      <c r="H10221" s="2"/>
      <c r="I10221" s="2"/>
      <c r="J10221" s="2"/>
      <c r="K10221" s="2"/>
      <c r="L10221" s="2"/>
      <c r="M10221" s="2"/>
      <c r="N10221" s="2"/>
      <c r="O10221" s="2"/>
      <c r="P10221" s="2"/>
      <c r="Q10221" s="2"/>
      <c r="R10221" s="2"/>
      <c r="S10221" s="2"/>
      <c r="T10221" s="2"/>
      <c r="U10221" s="2"/>
      <c r="V10221" s="2"/>
      <c r="W10221" s="2"/>
      <c r="X10221" s="2"/>
      <c r="Y10221" s="2"/>
      <c r="Z10221" s="2"/>
    </row>
    <row r="10222" spans="1:26" ht="17.399999999999999" x14ac:dyDescent="0.3">
      <c r="A10222" s="10"/>
      <c r="B10222" s="2"/>
      <c r="C10222" s="2"/>
      <c r="D10222" s="2"/>
      <c r="E10222" s="2"/>
      <c r="F10222" s="2"/>
      <c r="G10222" s="2"/>
      <c r="H10222" s="2"/>
      <c r="I10222" s="2"/>
      <c r="J10222" s="2"/>
      <c r="K10222" s="2"/>
      <c r="L10222" s="2"/>
      <c r="M10222" s="2"/>
      <c r="N10222" s="2"/>
      <c r="O10222" s="2"/>
      <c r="P10222" s="2"/>
      <c r="Q10222" s="2"/>
      <c r="R10222" s="2"/>
      <c r="S10222" s="2"/>
      <c r="T10222" s="2"/>
      <c r="U10222" s="2"/>
      <c r="V10222" s="2"/>
      <c r="W10222" s="2"/>
      <c r="X10222" s="2"/>
      <c r="Y10222" s="2"/>
      <c r="Z10222" s="2"/>
    </row>
    <row r="10223" spans="1:26" ht="17.399999999999999" x14ac:dyDescent="0.3">
      <c r="A10223" s="10"/>
      <c r="B10223" s="2"/>
      <c r="C10223" s="2"/>
      <c r="D10223" s="2"/>
      <c r="E10223" s="2"/>
      <c r="F10223" s="2"/>
      <c r="G10223" s="2"/>
      <c r="H10223" s="2"/>
      <c r="I10223" s="2"/>
      <c r="J10223" s="2"/>
      <c r="K10223" s="2"/>
      <c r="L10223" s="2"/>
      <c r="M10223" s="2"/>
      <c r="N10223" s="2"/>
      <c r="O10223" s="2"/>
      <c r="P10223" s="2"/>
      <c r="Q10223" s="2"/>
      <c r="R10223" s="2"/>
      <c r="S10223" s="2"/>
      <c r="T10223" s="2"/>
      <c r="U10223" s="2"/>
      <c r="V10223" s="2"/>
      <c r="W10223" s="2"/>
      <c r="X10223" s="2"/>
      <c r="Y10223" s="2"/>
      <c r="Z10223" s="2"/>
    </row>
    <row r="10224" spans="1:26" ht="17.399999999999999" x14ac:dyDescent="0.3">
      <c r="A10224" s="10"/>
      <c r="B10224" s="2"/>
      <c r="C10224" s="2"/>
      <c r="D10224" s="2"/>
      <c r="E10224" s="2"/>
      <c r="F10224" s="2"/>
      <c r="G10224" s="2"/>
      <c r="H10224" s="2"/>
      <c r="I10224" s="2"/>
      <c r="J10224" s="2"/>
      <c r="K10224" s="2"/>
      <c r="L10224" s="2"/>
      <c r="M10224" s="2"/>
      <c r="N10224" s="2"/>
      <c r="O10224" s="2"/>
      <c r="P10224" s="2"/>
      <c r="Q10224" s="2"/>
      <c r="R10224" s="2"/>
      <c r="S10224" s="2"/>
      <c r="T10224" s="2"/>
      <c r="U10224" s="2"/>
      <c r="V10224" s="2"/>
      <c r="W10224" s="2"/>
      <c r="X10224" s="2"/>
      <c r="Y10224" s="2"/>
      <c r="Z10224" s="2"/>
    </row>
    <row r="10225" spans="1:26" ht="17.399999999999999" x14ac:dyDescent="0.3">
      <c r="A10225" s="10"/>
      <c r="B10225" s="2"/>
      <c r="C10225" s="2"/>
      <c r="D10225" s="2"/>
      <c r="E10225" s="2"/>
      <c r="F10225" s="2"/>
      <c r="G10225" s="2"/>
      <c r="H10225" s="2"/>
      <c r="I10225" s="2"/>
      <c r="J10225" s="2"/>
      <c r="K10225" s="2"/>
      <c r="L10225" s="2"/>
      <c r="M10225" s="2"/>
      <c r="N10225" s="2"/>
      <c r="O10225" s="2"/>
      <c r="P10225" s="2"/>
      <c r="Q10225" s="2"/>
      <c r="R10225" s="2"/>
      <c r="S10225" s="2"/>
      <c r="T10225" s="2"/>
      <c r="U10225" s="2"/>
      <c r="V10225" s="2"/>
      <c r="W10225" s="2"/>
      <c r="X10225" s="2"/>
      <c r="Y10225" s="2"/>
      <c r="Z10225" s="2"/>
    </row>
    <row r="10226" spans="1:26" ht="17.399999999999999" x14ac:dyDescent="0.3">
      <c r="A10226" s="10"/>
      <c r="B10226" s="2"/>
      <c r="C10226" s="2"/>
      <c r="D10226" s="2"/>
      <c r="E10226" s="2"/>
      <c r="F10226" s="2"/>
      <c r="G10226" s="2"/>
      <c r="H10226" s="2"/>
      <c r="I10226" s="2"/>
      <c r="J10226" s="2"/>
      <c r="K10226" s="2"/>
      <c r="L10226" s="2"/>
      <c r="M10226" s="2"/>
      <c r="N10226" s="2"/>
      <c r="O10226" s="2"/>
      <c r="P10226" s="2"/>
      <c r="Q10226" s="2"/>
      <c r="R10226" s="2"/>
      <c r="S10226" s="2"/>
      <c r="T10226" s="2"/>
      <c r="U10226" s="2"/>
      <c r="V10226" s="2"/>
      <c r="W10226" s="2"/>
      <c r="X10226" s="2"/>
      <c r="Y10226" s="2"/>
      <c r="Z10226" s="2"/>
    </row>
    <row r="10227" spans="1:26" ht="17.399999999999999" x14ac:dyDescent="0.3">
      <c r="A10227" s="10"/>
      <c r="B10227" s="2"/>
      <c r="C10227" s="2"/>
      <c r="D10227" s="2"/>
      <c r="E10227" s="2"/>
      <c r="F10227" s="2"/>
      <c r="G10227" s="2"/>
      <c r="H10227" s="2"/>
      <c r="I10227" s="2"/>
      <c r="J10227" s="2"/>
      <c r="K10227" s="2"/>
      <c r="L10227" s="2"/>
      <c r="M10227" s="2"/>
      <c r="N10227" s="2"/>
      <c r="O10227" s="2"/>
      <c r="P10227" s="2"/>
      <c r="Q10227" s="2"/>
      <c r="R10227" s="2"/>
      <c r="S10227" s="2"/>
      <c r="T10227" s="2"/>
      <c r="U10227" s="2"/>
      <c r="V10227" s="2"/>
      <c r="W10227" s="2"/>
      <c r="X10227" s="2"/>
      <c r="Y10227" s="2"/>
      <c r="Z10227" s="2"/>
    </row>
    <row r="10228" spans="1:26" ht="17.399999999999999" x14ac:dyDescent="0.3">
      <c r="A10228" s="10"/>
      <c r="B10228" s="2"/>
      <c r="C10228" s="2"/>
      <c r="D10228" s="2"/>
      <c r="E10228" s="2"/>
      <c r="F10228" s="2"/>
      <c r="G10228" s="2"/>
      <c r="H10228" s="2"/>
      <c r="I10228" s="2"/>
      <c r="J10228" s="2"/>
      <c r="K10228" s="2"/>
      <c r="L10228" s="2"/>
      <c r="M10228" s="2"/>
      <c r="N10228" s="2"/>
      <c r="O10228" s="2"/>
      <c r="P10228" s="2"/>
      <c r="Q10228" s="2"/>
      <c r="R10228" s="2"/>
      <c r="S10228" s="2"/>
      <c r="T10228" s="2"/>
      <c r="U10228" s="2"/>
      <c r="V10228" s="2"/>
      <c r="W10228" s="2"/>
      <c r="X10228" s="2"/>
      <c r="Y10228" s="2"/>
      <c r="Z10228" s="2"/>
    </row>
    <row r="10229" spans="1:26" ht="17.399999999999999" x14ac:dyDescent="0.3">
      <c r="A10229" s="10"/>
      <c r="B10229" s="2"/>
      <c r="C10229" s="2"/>
      <c r="D10229" s="2"/>
      <c r="E10229" s="2"/>
      <c r="F10229" s="2"/>
      <c r="G10229" s="2"/>
      <c r="H10229" s="2"/>
      <c r="I10229" s="2"/>
      <c r="J10229" s="2"/>
      <c r="K10229" s="2"/>
      <c r="L10229" s="2"/>
      <c r="M10229" s="2"/>
      <c r="N10229" s="2"/>
      <c r="O10229" s="2"/>
      <c r="P10229" s="2"/>
      <c r="Q10229" s="2"/>
      <c r="R10229" s="2"/>
      <c r="S10229" s="2"/>
      <c r="T10229" s="2"/>
      <c r="U10229" s="2"/>
      <c r="V10229" s="2"/>
      <c r="W10229" s="2"/>
      <c r="X10229" s="2"/>
      <c r="Y10229" s="2"/>
      <c r="Z10229" s="2"/>
    </row>
    <row r="10230" spans="1:26" ht="17.399999999999999" x14ac:dyDescent="0.3">
      <c r="A10230" s="10"/>
      <c r="B10230" s="2"/>
      <c r="C10230" s="2"/>
      <c r="D10230" s="2"/>
      <c r="E10230" s="2"/>
      <c r="F10230" s="2"/>
      <c r="G10230" s="2"/>
      <c r="H10230" s="2"/>
      <c r="I10230" s="2"/>
      <c r="J10230" s="2"/>
      <c r="K10230" s="2"/>
      <c r="L10230" s="2"/>
      <c r="M10230" s="2"/>
      <c r="N10230" s="2"/>
      <c r="O10230" s="2"/>
      <c r="P10230" s="2"/>
      <c r="Q10230" s="2"/>
      <c r="R10230" s="2"/>
      <c r="S10230" s="2"/>
      <c r="T10230" s="2"/>
      <c r="U10230" s="2"/>
      <c r="V10230" s="2"/>
      <c r="W10230" s="2"/>
      <c r="X10230" s="2"/>
      <c r="Y10230" s="2"/>
      <c r="Z10230" s="2"/>
    </row>
    <row r="10231" spans="1:26" ht="17.399999999999999" x14ac:dyDescent="0.3">
      <c r="A10231" s="10"/>
      <c r="B10231" s="2"/>
      <c r="C10231" s="2"/>
      <c r="D10231" s="2"/>
      <c r="E10231" s="2"/>
      <c r="F10231" s="2"/>
      <c r="G10231" s="2"/>
      <c r="H10231" s="2"/>
      <c r="I10231" s="2"/>
      <c r="J10231" s="2"/>
      <c r="K10231" s="2"/>
      <c r="L10231" s="2"/>
      <c r="M10231" s="2"/>
      <c r="N10231" s="2"/>
      <c r="O10231" s="2"/>
      <c r="P10231" s="2"/>
      <c r="Q10231" s="2"/>
      <c r="R10231" s="2"/>
      <c r="S10231" s="2"/>
      <c r="T10231" s="2"/>
      <c r="U10231" s="2"/>
      <c r="V10231" s="2"/>
      <c r="W10231" s="2"/>
      <c r="X10231" s="2"/>
      <c r="Y10231" s="2"/>
      <c r="Z10231" s="2"/>
    </row>
    <row r="10232" spans="1:26" ht="17.399999999999999" x14ac:dyDescent="0.3">
      <c r="A10232" s="10"/>
      <c r="B10232" s="2"/>
      <c r="C10232" s="2"/>
      <c r="D10232" s="2"/>
      <c r="E10232" s="2"/>
      <c r="F10232" s="2"/>
      <c r="G10232" s="2"/>
      <c r="H10232" s="2"/>
      <c r="I10232" s="2"/>
      <c r="J10232" s="2"/>
      <c r="K10232" s="2"/>
      <c r="L10232" s="2"/>
      <c r="M10232" s="2"/>
      <c r="N10232" s="2"/>
      <c r="O10232" s="2"/>
      <c r="P10232" s="2"/>
      <c r="Q10232" s="2"/>
      <c r="R10232" s="2"/>
      <c r="S10232" s="2"/>
      <c r="T10232" s="2"/>
      <c r="U10232" s="2"/>
      <c r="V10232" s="2"/>
      <c r="W10232" s="2"/>
      <c r="X10232" s="2"/>
      <c r="Y10232" s="2"/>
      <c r="Z10232" s="2"/>
    </row>
    <row r="10233" spans="1:26" ht="17.399999999999999" x14ac:dyDescent="0.3">
      <c r="A10233" s="10"/>
      <c r="B10233" s="2"/>
      <c r="C10233" s="2"/>
      <c r="D10233" s="2"/>
      <c r="E10233" s="2"/>
      <c r="F10233" s="2"/>
      <c r="G10233" s="2"/>
      <c r="H10233" s="2"/>
      <c r="I10233" s="2"/>
      <c r="J10233" s="2"/>
      <c r="K10233" s="2"/>
      <c r="L10233" s="2"/>
      <c r="M10233" s="2"/>
      <c r="N10233" s="2"/>
      <c r="O10233" s="2"/>
      <c r="P10233" s="2"/>
      <c r="Q10233" s="2"/>
      <c r="R10233" s="2"/>
      <c r="S10233" s="2"/>
      <c r="T10233" s="2"/>
      <c r="U10233" s="2"/>
      <c r="V10233" s="2"/>
      <c r="W10233" s="2"/>
      <c r="X10233" s="2"/>
      <c r="Y10233" s="2"/>
      <c r="Z10233" s="2"/>
    </row>
    <row r="10234" spans="1:26" ht="17.399999999999999" x14ac:dyDescent="0.3">
      <c r="A10234" s="10"/>
      <c r="B10234" s="2"/>
      <c r="C10234" s="2"/>
      <c r="D10234" s="2"/>
      <c r="E10234" s="2"/>
      <c r="F10234" s="2"/>
      <c r="G10234" s="2"/>
      <c r="H10234" s="2"/>
      <c r="I10234" s="2"/>
      <c r="J10234" s="2"/>
      <c r="K10234" s="2"/>
      <c r="L10234" s="2"/>
      <c r="M10234" s="2"/>
      <c r="N10234" s="2"/>
      <c r="O10234" s="2"/>
      <c r="P10234" s="2"/>
      <c r="Q10234" s="2"/>
      <c r="R10234" s="2"/>
      <c r="S10234" s="2"/>
      <c r="T10234" s="2"/>
      <c r="U10234" s="2"/>
      <c r="V10234" s="2"/>
      <c r="W10234" s="2"/>
      <c r="X10234" s="2"/>
      <c r="Y10234" s="2"/>
      <c r="Z10234" s="2"/>
    </row>
    <row r="10235" spans="1:26" ht="17.399999999999999" x14ac:dyDescent="0.3">
      <c r="A10235" s="10"/>
      <c r="B10235" s="2"/>
      <c r="C10235" s="2"/>
      <c r="D10235" s="2"/>
      <c r="E10235" s="2"/>
      <c r="F10235" s="2"/>
      <c r="G10235" s="2"/>
      <c r="H10235" s="2"/>
      <c r="I10235" s="2"/>
      <c r="J10235" s="2"/>
      <c r="K10235" s="2"/>
      <c r="L10235" s="2"/>
      <c r="M10235" s="2"/>
      <c r="N10235" s="2"/>
      <c r="O10235" s="2"/>
      <c r="P10235" s="2"/>
      <c r="Q10235" s="2"/>
      <c r="R10235" s="2"/>
      <c r="S10235" s="2"/>
      <c r="T10235" s="2"/>
      <c r="U10235" s="2"/>
      <c r="V10235" s="2"/>
      <c r="W10235" s="2"/>
      <c r="X10235" s="2"/>
      <c r="Y10235" s="2"/>
      <c r="Z10235" s="2"/>
    </row>
    <row r="10236" spans="1:26" ht="17.399999999999999" x14ac:dyDescent="0.3">
      <c r="A10236" s="10"/>
      <c r="B10236" s="2"/>
      <c r="C10236" s="2"/>
      <c r="D10236" s="2"/>
      <c r="E10236" s="2"/>
      <c r="F10236" s="2"/>
      <c r="G10236" s="2"/>
      <c r="H10236" s="2"/>
      <c r="I10236" s="2"/>
      <c r="J10236" s="2"/>
      <c r="K10236" s="2"/>
      <c r="L10236" s="2"/>
      <c r="M10236" s="2"/>
      <c r="N10236" s="2"/>
      <c r="O10236" s="2"/>
      <c r="P10236" s="2"/>
      <c r="Q10236" s="2"/>
      <c r="R10236" s="2"/>
      <c r="S10236" s="2"/>
      <c r="T10236" s="2"/>
      <c r="U10236" s="2"/>
      <c r="V10236" s="2"/>
      <c r="W10236" s="2"/>
      <c r="X10236" s="2"/>
      <c r="Y10236" s="2"/>
      <c r="Z10236" s="2"/>
    </row>
    <row r="10237" spans="1:26" ht="17.399999999999999" x14ac:dyDescent="0.3">
      <c r="A10237" s="10"/>
      <c r="B10237" s="2"/>
      <c r="C10237" s="2"/>
      <c r="D10237" s="2"/>
      <c r="E10237" s="2"/>
      <c r="F10237" s="2"/>
      <c r="G10237" s="2"/>
      <c r="H10237" s="2"/>
      <c r="I10237" s="2"/>
      <c r="J10237" s="2"/>
      <c r="K10237" s="2"/>
      <c r="L10237" s="2"/>
      <c r="M10237" s="2"/>
      <c r="N10237" s="2"/>
      <c r="O10237" s="2"/>
      <c r="P10237" s="2"/>
      <c r="Q10237" s="2"/>
      <c r="R10237" s="2"/>
      <c r="S10237" s="2"/>
      <c r="T10237" s="2"/>
      <c r="U10237" s="2"/>
      <c r="V10237" s="2"/>
      <c r="W10237" s="2"/>
      <c r="X10237" s="2"/>
      <c r="Y10237" s="2"/>
      <c r="Z10237" s="2"/>
    </row>
    <row r="10238" spans="1:26" ht="17.399999999999999" x14ac:dyDescent="0.3">
      <c r="A10238" s="10"/>
      <c r="B10238" s="2"/>
      <c r="C10238" s="2"/>
      <c r="D10238" s="2"/>
      <c r="E10238" s="2"/>
      <c r="F10238" s="2"/>
      <c r="G10238" s="2"/>
      <c r="H10238" s="2"/>
      <c r="I10238" s="2"/>
      <c r="J10238" s="2"/>
      <c r="K10238" s="2"/>
      <c r="L10238" s="2"/>
      <c r="M10238" s="2"/>
      <c r="N10238" s="2"/>
      <c r="O10238" s="2"/>
      <c r="P10238" s="2"/>
      <c r="Q10238" s="2"/>
      <c r="R10238" s="2"/>
      <c r="S10238" s="2"/>
      <c r="T10238" s="2"/>
      <c r="U10238" s="2"/>
      <c r="V10238" s="2"/>
      <c r="W10238" s="2"/>
      <c r="X10238" s="2"/>
      <c r="Y10238" s="2"/>
      <c r="Z10238" s="2"/>
    </row>
    <row r="10239" spans="1:26" ht="17.399999999999999" x14ac:dyDescent="0.3">
      <c r="A10239" s="10"/>
      <c r="B10239" s="2"/>
      <c r="C10239" s="2"/>
      <c r="D10239" s="2"/>
      <c r="E10239" s="2"/>
      <c r="F10239" s="2"/>
      <c r="G10239" s="2"/>
      <c r="H10239" s="2"/>
      <c r="I10239" s="2"/>
      <c r="J10239" s="2"/>
      <c r="K10239" s="2"/>
      <c r="L10239" s="2"/>
      <c r="M10239" s="2"/>
      <c r="N10239" s="2"/>
      <c r="O10239" s="2"/>
      <c r="P10239" s="2"/>
      <c r="Q10239" s="2"/>
      <c r="R10239" s="2"/>
      <c r="S10239" s="2"/>
      <c r="T10239" s="2"/>
      <c r="U10239" s="2"/>
      <c r="V10239" s="2"/>
      <c r="W10239" s="2"/>
      <c r="X10239" s="2"/>
      <c r="Y10239" s="2"/>
      <c r="Z10239" s="2"/>
    </row>
    <row r="10240" spans="1:26" ht="17.399999999999999" x14ac:dyDescent="0.3">
      <c r="A10240" s="10"/>
      <c r="B10240" s="2"/>
      <c r="C10240" s="2"/>
      <c r="D10240" s="2"/>
      <c r="E10240" s="2"/>
      <c r="F10240" s="2"/>
      <c r="G10240" s="2"/>
      <c r="H10240" s="2"/>
      <c r="I10240" s="2"/>
      <c r="J10240" s="2"/>
      <c r="K10240" s="2"/>
      <c r="L10240" s="2"/>
      <c r="M10240" s="2"/>
      <c r="N10240" s="2"/>
      <c r="O10240" s="2"/>
      <c r="P10240" s="2"/>
      <c r="Q10240" s="2"/>
      <c r="R10240" s="2"/>
      <c r="S10240" s="2"/>
      <c r="T10240" s="2"/>
      <c r="U10240" s="2"/>
      <c r="V10240" s="2"/>
      <c r="W10240" s="2"/>
      <c r="X10240" s="2"/>
      <c r="Y10240" s="2"/>
      <c r="Z10240" s="2"/>
    </row>
    <row r="10241" spans="1:26" ht="17.399999999999999" x14ac:dyDescent="0.3">
      <c r="A10241" s="10"/>
      <c r="B10241" s="2"/>
      <c r="C10241" s="2"/>
      <c r="D10241" s="2"/>
      <c r="E10241" s="2"/>
      <c r="F10241" s="2"/>
      <c r="G10241" s="2"/>
      <c r="H10241" s="2"/>
      <c r="I10241" s="2"/>
      <c r="J10241" s="2"/>
      <c r="K10241" s="2"/>
      <c r="L10241" s="2"/>
      <c r="M10241" s="2"/>
      <c r="N10241" s="2"/>
      <c r="O10241" s="2"/>
      <c r="P10241" s="2"/>
      <c r="Q10241" s="2"/>
      <c r="R10241" s="2"/>
      <c r="S10241" s="2"/>
      <c r="T10241" s="2"/>
      <c r="U10241" s="2"/>
      <c r="V10241" s="2"/>
      <c r="W10241" s="2"/>
      <c r="X10241" s="2"/>
      <c r="Y10241" s="2"/>
      <c r="Z10241" s="2"/>
    </row>
    <row r="10242" spans="1:26" ht="17.399999999999999" x14ac:dyDescent="0.3">
      <c r="A10242" s="10"/>
      <c r="B10242" s="2"/>
      <c r="C10242" s="2"/>
      <c r="D10242" s="2"/>
      <c r="E10242" s="2"/>
      <c r="F10242" s="2"/>
      <c r="G10242" s="2"/>
      <c r="H10242" s="2"/>
      <c r="I10242" s="2"/>
      <c r="J10242" s="2"/>
      <c r="K10242" s="2"/>
      <c r="L10242" s="2"/>
      <c r="M10242" s="2"/>
      <c r="N10242" s="2"/>
      <c r="O10242" s="2"/>
      <c r="P10242" s="2"/>
      <c r="Q10242" s="2"/>
      <c r="R10242" s="2"/>
      <c r="S10242" s="2"/>
      <c r="T10242" s="2"/>
      <c r="U10242" s="2"/>
      <c r="V10242" s="2"/>
      <c r="W10242" s="2"/>
      <c r="X10242" s="2"/>
      <c r="Y10242" s="2"/>
      <c r="Z10242" s="2"/>
    </row>
    <row r="10243" spans="1:26" ht="17.399999999999999" x14ac:dyDescent="0.3">
      <c r="A10243" s="10"/>
      <c r="B10243" s="2"/>
      <c r="C10243" s="2"/>
      <c r="D10243" s="2"/>
      <c r="E10243" s="2"/>
      <c r="F10243" s="2"/>
      <c r="G10243" s="2"/>
      <c r="H10243" s="2"/>
      <c r="I10243" s="2"/>
      <c r="J10243" s="2"/>
      <c r="K10243" s="2"/>
      <c r="L10243" s="2"/>
      <c r="M10243" s="2"/>
      <c r="N10243" s="2"/>
      <c r="O10243" s="2"/>
      <c r="P10243" s="2"/>
      <c r="Q10243" s="2"/>
      <c r="R10243" s="2"/>
      <c r="S10243" s="2"/>
      <c r="T10243" s="2"/>
      <c r="U10243" s="2"/>
      <c r="V10243" s="2"/>
      <c r="W10243" s="2"/>
      <c r="X10243" s="2"/>
      <c r="Y10243" s="2"/>
      <c r="Z10243" s="2"/>
    </row>
    <row r="10244" spans="1:26" ht="17.399999999999999" x14ac:dyDescent="0.3">
      <c r="A10244" s="10"/>
      <c r="B10244" s="2"/>
      <c r="C10244" s="2"/>
      <c r="D10244" s="2"/>
      <c r="E10244" s="2"/>
      <c r="F10244" s="2"/>
      <c r="G10244" s="2"/>
      <c r="H10244" s="2"/>
      <c r="I10244" s="2"/>
      <c r="J10244" s="2"/>
      <c r="K10244" s="2"/>
      <c r="L10244" s="2"/>
      <c r="M10244" s="2"/>
      <c r="N10244" s="2"/>
      <c r="O10244" s="2"/>
      <c r="P10244" s="2"/>
      <c r="Q10244" s="2"/>
      <c r="R10244" s="2"/>
      <c r="S10244" s="2"/>
      <c r="T10244" s="2"/>
      <c r="U10244" s="2"/>
      <c r="V10244" s="2"/>
      <c r="W10244" s="2"/>
      <c r="X10244" s="2"/>
      <c r="Y10244" s="2"/>
      <c r="Z10244" s="2"/>
    </row>
    <row r="10245" spans="1:26" ht="17.399999999999999" x14ac:dyDescent="0.3">
      <c r="A10245" s="10"/>
      <c r="B10245" s="2"/>
      <c r="C10245" s="2"/>
      <c r="D10245" s="2"/>
      <c r="E10245" s="2"/>
      <c r="F10245" s="2"/>
      <c r="G10245" s="2"/>
      <c r="H10245" s="2"/>
      <c r="I10245" s="2"/>
      <c r="J10245" s="2"/>
      <c r="K10245" s="2"/>
      <c r="L10245" s="2"/>
      <c r="M10245" s="2"/>
      <c r="N10245" s="2"/>
      <c r="O10245" s="2"/>
      <c r="P10245" s="2"/>
      <c r="Q10245" s="2"/>
      <c r="R10245" s="2"/>
      <c r="S10245" s="2"/>
      <c r="T10245" s="2"/>
      <c r="U10245" s="2"/>
      <c r="V10245" s="2"/>
      <c r="W10245" s="2"/>
      <c r="X10245" s="2"/>
      <c r="Y10245" s="2"/>
      <c r="Z10245" s="2"/>
    </row>
    <row r="10246" spans="1:26" ht="17.399999999999999" x14ac:dyDescent="0.3">
      <c r="A10246" s="10"/>
      <c r="B10246" s="2"/>
      <c r="C10246" s="2"/>
      <c r="D10246" s="2"/>
      <c r="E10246" s="2"/>
      <c r="F10246" s="2"/>
      <c r="G10246" s="2"/>
      <c r="H10246" s="2"/>
      <c r="I10246" s="2"/>
      <c r="J10246" s="2"/>
      <c r="K10246" s="2"/>
      <c r="L10246" s="2"/>
      <c r="M10246" s="2"/>
      <c r="N10246" s="2"/>
      <c r="O10246" s="2"/>
      <c r="P10246" s="2"/>
      <c r="Q10246" s="2"/>
      <c r="R10246" s="2"/>
      <c r="S10246" s="2"/>
      <c r="T10246" s="2"/>
      <c r="U10246" s="2"/>
      <c r="V10246" s="2"/>
      <c r="W10246" s="2"/>
      <c r="X10246" s="2"/>
      <c r="Y10246" s="2"/>
      <c r="Z10246" s="2"/>
    </row>
    <row r="10247" spans="1:26" ht="17.399999999999999" x14ac:dyDescent="0.3">
      <c r="A10247" s="10"/>
      <c r="B10247" s="2"/>
      <c r="C10247" s="2"/>
      <c r="D10247" s="2"/>
      <c r="E10247" s="2"/>
      <c r="F10247" s="2"/>
      <c r="G10247" s="2"/>
      <c r="H10247" s="2"/>
      <c r="I10247" s="2"/>
      <c r="J10247" s="2"/>
      <c r="K10247" s="2"/>
      <c r="L10247" s="2"/>
      <c r="M10247" s="2"/>
      <c r="N10247" s="2"/>
      <c r="O10247" s="2"/>
      <c r="P10247" s="2"/>
      <c r="Q10247" s="2"/>
      <c r="R10247" s="2"/>
      <c r="S10247" s="2"/>
      <c r="T10247" s="2"/>
      <c r="U10247" s="2"/>
      <c r="V10247" s="2"/>
      <c r="W10247" s="2"/>
      <c r="X10247" s="2"/>
      <c r="Y10247" s="2"/>
      <c r="Z10247" s="2"/>
    </row>
    <row r="10248" spans="1:26" ht="17.399999999999999" x14ac:dyDescent="0.3">
      <c r="A10248" s="10"/>
      <c r="B10248" s="2"/>
      <c r="C10248" s="2"/>
      <c r="D10248" s="2"/>
      <c r="E10248" s="2"/>
      <c r="F10248" s="2"/>
      <c r="G10248" s="2"/>
      <c r="H10248" s="2"/>
      <c r="I10248" s="2"/>
      <c r="J10248" s="2"/>
      <c r="K10248" s="2"/>
      <c r="L10248" s="2"/>
      <c r="M10248" s="2"/>
      <c r="N10248" s="2"/>
      <c r="O10248" s="2"/>
      <c r="P10248" s="2"/>
      <c r="Q10248" s="2"/>
      <c r="R10248" s="2"/>
      <c r="S10248" s="2"/>
      <c r="T10248" s="2"/>
      <c r="U10248" s="2"/>
      <c r="V10248" s="2"/>
      <c r="W10248" s="2"/>
      <c r="X10248" s="2"/>
      <c r="Y10248" s="2"/>
      <c r="Z10248" s="2"/>
    </row>
    <row r="10249" spans="1:26" ht="17.399999999999999" x14ac:dyDescent="0.3">
      <c r="A10249" s="10"/>
      <c r="B10249" s="2"/>
      <c r="C10249" s="2"/>
      <c r="D10249" s="2"/>
      <c r="E10249" s="2"/>
      <c r="F10249" s="2"/>
      <c r="G10249" s="2"/>
      <c r="H10249" s="2"/>
      <c r="I10249" s="2"/>
      <c r="J10249" s="2"/>
      <c r="K10249" s="2"/>
      <c r="L10249" s="2"/>
      <c r="M10249" s="2"/>
      <c r="N10249" s="2"/>
      <c r="O10249" s="2"/>
      <c r="P10249" s="2"/>
      <c r="Q10249" s="2"/>
      <c r="R10249" s="2"/>
      <c r="S10249" s="2"/>
      <c r="T10249" s="2"/>
      <c r="U10249" s="2"/>
      <c r="V10249" s="2"/>
      <c r="W10249" s="2"/>
      <c r="X10249" s="2"/>
      <c r="Y10249" s="2"/>
      <c r="Z10249" s="2"/>
    </row>
    <row r="10250" spans="1:26" ht="17.399999999999999" x14ac:dyDescent="0.3">
      <c r="A10250" s="10"/>
      <c r="B10250" s="2"/>
      <c r="C10250" s="2"/>
      <c r="D10250" s="2"/>
      <c r="E10250" s="2"/>
      <c r="F10250" s="2"/>
      <c r="G10250" s="2"/>
      <c r="H10250" s="2"/>
      <c r="I10250" s="2"/>
      <c r="J10250" s="2"/>
      <c r="K10250" s="2"/>
      <c r="L10250" s="2"/>
      <c r="M10250" s="2"/>
      <c r="N10250" s="2"/>
      <c r="O10250" s="2"/>
      <c r="P10250" s="2"/>
      <c r="Q10250" s="2"/>
      <c r="R10250" s="2"/>
      <c r="S10250" s="2"/>
      <c r="T10250" s="2"/>
      <c r="U10250" s="2"/>
      <c r="V10250" s="2"/>
      <c r="W10250" s="2"/>
      <c r="X10250" s="2"/>
      <c r="Y10250" s="2"/>
      <c r="Z10250" s="2"/>
    </row>
    <row r="10251" spans="1:26" ht="17.399999999999999" x14ac:dyDescent="0.3">
      <c r="A10251" s="10"/>
      <c r="B10251" s="2"/>
      <c r="C10251" s="2"/>
      <c r="D10251" s="2"/>
      <c r="E10251" s="2"/>
      <c r="F10251" s="2"/>
      <c r="G10251" s="2"/>
      <c r="H10251" s="2"/>
      <c r="I10251" s="2"/>
      <c r="J10251" s="2"/>
      <c r="K10251" s="2"/>
      <c r="L10251" s="2"/>
      <c r="M10251" s="2"/>
      <c r="N10251" s="2"/>
      <c r="O10251" s="2"/>
      <c r="P10251" s="2"/>
      <c r="Q10251" s="2"/>
      <c r="R10251" s="2"/>
      <c r="S10251" s="2"/>
      <c r="T10251" s="2"/>
      <c r="U10251" s="2"/>
      <c r="V10251" s="2"/>
      <c r="W10251" s="2"/>
      <c r="X10251" s="2"/>
      <c r="Y10251" s="2"/>
      <c r="Z10251" s="2"/>
    </row>
    <row r="10252" spans="1:26" ht="17.399999999999999" x14ac:dyDescent="0.3">
      <c r="A10252" s="10"/>
      <c r="B10252" s="2"/>
      <c r="C10252" s="2"/>
      <c r="D10252" s="2"/>
      <c r="E10252" s="2"/>
      <c r="F10252" s="2"/>
      <c r="G10252" s="2"/>
      <c r="H10252" s="2"/>
      <c r="I10252" s="2"/>
      <c r="J10252" s="2"/>
      <c r="K10252" s="2"/>
      <c r="L10252" s="2"/>
      <c r="M10252" s="2"/>
      <c r="N10252" s="2"/>
      <c r="O10252" s="2"/>
      <c r="P10252" s="2"/>
      <c r="Q10252" s="2"/>
      <c r="R10252" s="2"/>
      <c r="S10252" s="2"/>
      <c r="T10252" s="2"/>
      <c r="U10252" s="2"/>
      <c r="V10252" s="2"/>
      <c r="W10252" s="2"/>
      <c r="X10252" s="2"/>
      <c r="Y10252" s="2"/>
      <c r="Z10252" s="2"/>
    </row>
    <row r="10253" spans="1:26" ht="17.399999999999999" x14ac:dyDescent="0.3">
      <c r="A10253" s="10"/>
      <c r="B10253" s="2"/>
      <c r="C10253" s="2"/>
      <c r="D10253" s="2"/>
      <c r="E10253" s="2"/>
      <c r="F10253" s="2"/>
      <c r="G10253" s="2"/>
      <c r="H10253" s="2"/>
      <c r="I10253" s="2"/>
      <c r="J10253" s="2"/>
      <c r="K10253" s="2"/>
      <c r="L10253" s="2"/>
      <c r="M10253" s="2"/>
      <c r="N10253" s="2"/>
      <c r="O10253" s="2"/>
      <c r="P10253" s="2"/>
      <c r="Q10253" s="2"/>
      <c r="R10253" s="2"/>
      <c r="S10253" s="2"/>
      <c r="T10253" s="2"/>
      <c r="U10253" s="2"/>
      <c r="V10253" s="2"/>
      <c r="W10253" s="2"/>
      <c r="X10253" s="2"/>
      <c r="Y10253" s="2"/>
      <c r="Z10253" s="2"/>
    </row>
    <row r="10254" spans="1:26" ht="17.399999999999999" x14ac:dyDescent="0.3">
      <c r="A10254" s="10"/>
      <c r="B10254" s="2"/>
      <c r="C10254" s="2"/>
      <c r="D10254" s="2"/>
      <c r="E10254" s="2"/>
      <c r="F10254" s="2"/>
      <c r="G10254" s="2"/>
      <c r="H10254" s="2"/>
      <c r="I10254" s="2"/>
      <c r="J10254" s="2"/>
      <c r="K10254" s="2"/>
      <c r="L10254" s="2"/>
      <c r="M10254" s="2"/>
      <c r="N10254" s="2"/>
      <c r="O10254" s="2"/>
      <c r="P10254" s="2"/>
      <c r="Q10254" s="2"/>
      <c r="R10254" s="2"/>
      <c r="S10254" s="2"/>
      <c r="T10254" s="2"/>
      <c r="U10254" s="2"/>
      <c r="V10254" s="2"/>
      <c r="W10254" s="2"/>
      <c r="X10254" s="2"/>
      <c r="Y10254" s="2"/>
      <c r="Z10254" s="2"/>
    </row>
    <row r="10255" spans="1:26" ht="17.399999999999999" x14ac:dyDescent="0.3">
      <c r="A10255" s="10"/>
      <c r="B10255" s="2"/>
      <c r="C10255" s="2"/>
      <c r="D10255" s="2"/>
      <c r="E10255" s="2"/>
      <c r="F10255" s="2"/>
      <c r="G10255" s="2"/>
      <c r="H10255" s="2"/>
      <c r="I10255" s="2"/>
      <c r="J10255" s="2"/>
      <c r="K10255" s="2"/>
      <c r="L10255" s="2"/>
      <c r="M10255" s="2"/>
      <c r="N10255" s="2"/>
      <c r="O10255" s="2"/>
      <c r="P10255" s="2"/>
      <c r="Q10255" s="2"/>
      <c r="R10255" s="2"/>
      <c r="S10255" s="2"/>
      <c r="T10255" s="2"/>
      <c r="U10255" s="2"/>
      <c r="V10255" s="2"/>
      <c r="W10255" s="2"/>
      <c r="X10255" s="2"/>
      <c r="Y10255" s="2"/>
      <c r="Z10255" s="2"/>
    </row>
    <row r="10256" spans="1:26" ht="17.399999999999999" x14ac:dyDescent="0.3">
      <c r="A10256" s="10"/>
      <c r="B10256" s="2"/>
      <c r="C10256" s="2"/>
      <c r="D10256" s="2"/>
      <c r="E10256" s="2"/>
      <c r="F10256" s="2"/>
      <c r="G10256" s="2"/>
      <c r="H10256" s="2"/>
      <c r="I10256" s="2"/>
      <c r="J10256" s="2"/>
      <c r="K10256" s="2"/>
      <c r="L10256" s="2"/>
      <c r="M10256" s="2"/>
      <c r="N10256" s="2"/>
      <c r="O10256" s="2"/>
      <c r="P10256" s="2"/>
      <c r="Q10256" s="2"/>
      <c r="R10256" s="2"/>
      <c r="S10256" s="2"/>
      <c r="T10256" s="2"/>
      <c r="U10256" s="2"/>
      <c r="V10256" s="2"/>
      <c r="W10256" s="2"/>
      <c r="X10256" s="2"/>
      <c r="Y10256" s="2"/>
      <c r="Z10256" s="2"/>
    </row>
    <row r="10257" spans="1:26" ht="17.399999999999999" x14ac:dyDescent="0.3">
      <c r="A10257" s="10"/>
      <c r="B10257" s="2"/>
      <c r="C10257" s="2"/>
      <c r="D10257" s="2"/>
      <c r="E10257" s="2"/>
      <c r="F10257" s="2"/>
      <c r="G10257" s="2"/>
      <c r="H10257" s="2"/>
      <c r="I10257" s="2"/>
      <c r="J10257" s="2"/>
      <c r="K10257" s="2"/>
      <c r="L10257" s="2"/>
      <c r="M10257" s="2"/>
      <c r="N10257" s="2"/>
      <c r="O10257" s="2"/>
      <c r="P10257" s="2"/>
      <c r="Q10257" s="2"/>
      <c r="R10257" s="2"/>
      <c r="S10257" s="2"/>
      <c r="T10257" s="2"/>
      <c r="U10257" s="2"/>
      <c r="V10257" s="2"/>
      <c r="W10257" s="2"/>
      <c r="X10257" s="2"/>
      <c r="Y10257" s="2"/>
      <c r="Z10257" s="2"/>
    </row>
    <row r="10258" spans="1:26" ht="17.399999999999999" x14ac:dyDescent="0.3">
      <c r="A10258" s="10"/>
      <c r="B10258" s="2"/>
      <c r="C10258" s="2"/>
      <c r="D10258" s="2"/>
      <c r="E10258" s="2"/>
      <c r="F10258" s="2"/>
      <c r="G10258" s="2"/>
      <c r="H10258" s="2"/>
      <c r="I10258" s="2"/>
      <c r="J10258" s="2"/>
      <c r="K10258" s="2"/>
      <c r="L10258" s="2"/>
      <c r="M10258" s="2"/>
      <c r="N10258" s="2"/>
      <c r="O10258" s="2"/>
      <c r="P10258" s="2"/>
      <c r="Q10258" s="2"/>
      <c r="R10258" s="2"/>
      <c r="S10258" s="2"/>
      <c r="T10258" s="2"/>
      <c r="U10258" s="2"/>
      <c r="V10258" s="2"/>
      <c r="W10258" s="2"/>
      <c r="X10258" s="2"/>
      <c r="Y10258" s="2"/>
      <c r="Z10258" s="2"/>
    </row>
    <row r="10259" spans="1:26" ht="17.399999999999999" x14ac:dyDescent="0.3">
      <c r="A10259" s="10"/>
      <c r="B10259" s="2"/>
      <c r="C10259" s="2"/>
      <c r="D10259" s="2"/>
      <c r="E10259" s="2"/>
      <c r="F10259" s="2"/>
      <c r="G10259" s="2"/>
      <c r="H10259" s="2"/>
      <c r="I10259" s="2"/>
      <c r="J10259" s="2"/>
      <c r="K10259" s="2"/>
      <c r="L10259" s="2"/>
      <c r="M10259" s="2"/>
      <c r="N10259" s="2"/>
      <c r="O10259" s="2"/>
      <c r="P10259" s="2"/>
      <c r="Q10259" s="2"/>
      <c r="R10259" s="2"/>
      <c r="S10259" s="2"/>
      <c r="T10259" s="2"/>
      <c r="U10259" s="2"/>
      <c r="V10259" s="2"/>
      <c r="W10259" s="2"/>
      <c r="X10259" s="2"/>
      <c r="Y10259" s="2"/>
      <c r="Z10259" s="2"/>
    </row>
    <row r="10260" spans="1:26" ht="17.399999999999999" x14ac:dyDescent="0.3">
      <c r="A10260" s="10"/>
      <c r="B10260" s="2"/>
      <c r="C10260" s="2"/>
      <c r="D10260" s="2"/>
      <c r="E10260" s="2"/>
      <c r="F10260" s="2"/>
      <c r="G10260" s="2"/>
      <c r="H10260" s="2"/>
      <c r="I10260" s="2"/>
      <c r="J10260" s="2"/>
      <c r="K10260" s="2"/>
      <c r="L10260" s="2"/>
      <c r="M10260" s="2"/>
      <c r="N10260" s="2"/>
      <c r="O10260" s="2"/>
      <c r="P10260" s="2"/>
      <c r="Q10260" s="2"/>
      <c r="R10260" s="2"/>
      <c r="S10260" s="2"/>
      <c r="T10260" s="2"/>
      <c r="U10260" s="2"/>
      <c r="V10260" s="2"/>
      <c r="W10260" s="2"/>
      <c r="X10260" s="2"/>
      <c r="Y10260" s="2"/>
      <c r="Z10260" s="2"/>
    </row>
    <row r="10261" spans="1:26" ht="17.399999999999999" x14ac:dyDescent="0.3">
      <c r="A10261" s="10"/>
      <c r="B10261" s="2"/>
      <c r="C10261" s="2"/>
      <c r="D10261" s="2"/>
      <c r="E10261" s="2"/>
      <c r="F10261" s="2"/>
      <c r="G10261" s="2"/>
      <c r="H10261" s="2"/>
      <c r="I10261" s="2"/>
      <c r="J10261" s="2"/>
      <c r="K10261" s="2"/>
      <c r="L10261" s="2"/>
      <c r="M10261" s="2"/>
      <c r="N10261" s="2"/>
      <c r="O10261" s="2"/>
      <c r="P10261" s="2"/>
      <c r="Q10261" s="2"/>
      <c r="R10261" s="2"/>
      <c r="S10261" s="2"/>
      <c r="T10261" s="2"/>
      <c r="U10261" s="2"/>
      <c r="V10261" s="2"/>
      <c r="W10261" s="2"/>
      <c r="X10261" s="2"/>
      <c r="Y10261" s="2"/>
      <c r="Z10261" s="2"/>
    </row>
    <row r="10262" spans="1:26" ht="17.399999999999999" x14ac:dyDescent="0.3">
      <c r="A10262" s="10"/>
      <c r="B10262" s="2"/>
      <c r="C10262" s="2"/>
      <c r="D10262" s="2"/>
      <c r="E10262" s="2"/>
      <c r="F10262" s="2"/>
      <c r="G10262" s="2"/>
      <c r="H10262" s="2"/>
      <c r="I10262" s="2"/>
      <c r="J10262" s="2"/>
      <c r="K10262" s="2"/>
      <c r="L10262" s="2"/>
      <c r="M10262" s="2"/>
      <c r="N10262" s="2"/>
      <c r="O10262" s="2"/>
      <c r="P10262" s="2"/>
      <c r="Q10262" s="2"/>
      <c r="R10262" s="2"/>
      <c r="S10262" s="2"/>
      <c r="T10262" s="2"/>
      <c r="U10262" s="2"/>
      <c r="V10262" s="2"/>
      <c r="W10262" s="2"/>
      <c r="X10262" s="2"/>
      <c r="Y10262" s="2"/>
      <c r="Z10262" s="2"/>
    </row>
    <row r="10263" spans="1:26" ht="17.399999999999999" x14ac:dyDescent="0.3">
      <c r="A10263" s="10"/>
      <c r="B10263" s="2"/>
      <c r="C10263" s="2"/>
      <c r="D10263" s="2"/>
      <c r="E10263" s="2"/>
      <c r="F10263" s="2"/>
      <c r="G10263" s="2"/>
      <c r="H10263" s="2"/>
      <c r="I10263" s="2"/>
      <c r="J10263" s="2"/>
      <c r="K10263" s="2"/>
      <c r="L10263" s="2"/>
      <c r="M10263" s="2"/>
      <c r="N10263" s="2"/>
      <c r="O10263" s="2"/>
      <c r="P10263" s="2"/>
      <c r="Q10263" s="2"/>
      <c r="R10263" s="2"/>
      <c r="S10263" s="2"/>
      <c r="T10263" s="2"/>
      <c r="U10263" s="2"/>
      <c r="V10263" s="2"/>
      <c r="W10263" s="2"/>
      <c r="X10263" s="2"/>
      <c r="Y10263" s="2"/>
      <c r="Z10263" s="2"/>
    </row>
    <row r="10264" spans="1:26" ht="17.399999999999999" x14ac:dyDescent="0.3">
      <c r="A10264" s="10"/>
      <c r="B10264" s="2"/>
      <c r="C10264" s="2"/>
      <c r="D10264" s="2"/>
      <c r="E10264" s="2"/>
      <c r="F10264" s="2"/>
      <c r="G10264" s="2"/>
      <c r="H10264" s="2"/>
      <c r="I10264" s="2"/>
      <c r="J10264" s="2"/>
      <c r="K10264" s="2"/>
      <c r="L10264" s="2"/>
      <c r="M10264" s="2"/>
      <c r="N10264" s="2"/>
      <c r="O10264" s="2"/>
      <c r="P10264" s="2"/>
      <c r="Q10264" s="2"/>
      <c r="R10264" s="2"/>
      <c r="S10264" s="2"/>
      <c r="T10264" s="2"/>
      <c r="U10264" s="2"/>
      <c r="V10264" s="2"/>
      <c r="W10264" s="2"/>
      <c r="X10264" s="2"/>
      <c r="Y10264" s="2"/>
      <c r="Z10264" s="2"/>
    </row>
    <row r="10265" spans="1:26" ht="17.399999999999999" x14ac:dyDescent="0.3">
      <c r="A10265" s="10"/>
      <c r="B10265" s="2"/>
      <c r="C10265" s="2"/>
      <c r="D10265" s="2"/>
      <c r="E10265" s="2"/>
      <c r="F10265" s="2"/>
      <c r="G10265" s="2"/>
      <c r="H10265" s="2"/>
      <c r="I10265" s="2"/>
      <c r="J10265" s="2"/>
      <c r="K10265" s="2"/>
      <c r="L10265" s="2"/>
      <c r="M10265" s="2"/>
      <c r="N10265" s="2"/>
      <c r="O10265" s="2"/>
      <c r="P10265" s="2"/>
      <c r="Q10265" s="2"/>
      <c r="R10265" s="2"/>
      <c r="S10265" s="2"/>
      <c r="T10265" s="2"/>
      <c r="U10265" s="2"/>
      <c r="V10265" s="2"/>
      <c r="W10265" s="2"/>
      <c r="X10265" s="2"/>
      <c r="Y10265" s="2"/>
      <c r="Z10265" s="2"/>
    </row>
    <row r="10266" spans="1:26" ht="17.399999999999999" x14ac:dyDescent="0.3">
      <c r="A10266" s="10"/>
      <c r="B10266" s="2"/>
      <c r="C10266" s="2"/>
      <c r="D10266" s="2"/>
      <c r="E10266" s="2"/>
      <c r="F10266" s="2"/>
      <c r="G10266" s="2"/>
      <c r="H10266" s="2"/>
      <c r="I10266" s="2"/>
      <c r="J10266" s="2"/>
      <c r="K10266" s="2"/>
      <c r="L10266" s="2"/>
      <c r="M10266" s="2"/>
      <c r="N10266" s="2"/>
      <c r="O10266" s="2"/>
      <c r="P10266" s="2"/>
      <c r="Q10266" s="2"/>
      <c r="R10266" s="2"/>
      <c r="S10266" s="2"/>
      <c r="T10266" s="2"/>
      <c r="U10266" s="2"/>
      <c r="V10266" s="2"/>
      <c r="W10266" s="2"/>
      <c r="X10266" s="2"/>
      <c r="Y10266" s="2"/>
      <c r="Z10266" s="2"/>
    </row>
    <row r="10267" spans="1:26" ht="17.399999999999999" x14ac:dyDescent="0.3">
      <c r="A10267" s="10"/>
      <c r="B10267" s="2"/>
      <c r="C10267" s="2"/>
      <c r="D10267" s="2"/>
      <c r="E10267" s="2"/>
      <c r="F10267" s="2"/>
      <c r="G10267" s="2"/>
      <c r="H10267" s="2"/>
      <c r="I10267" s="2"/>
      <c r="J10267" s="2"/>
      <c r="K10267" s="2"/>
      <c r="L10267" s="2"/>
      <c r="M10267" s="2"/>
      <c r="N10267" s="2"/>
      <c r="O10267" s="2"/>
      <c r="P10267" s="2"/>
      <c r="Q10267" s="2"/>
      <c r="R10267" s="2"/>
      <c r="S10267" s="2"/>
      <c r="T10267" s="2"/>
      <c r="U10267" s="2"/>
      <c r="V10267" s="2"/>
      <c r="W10267" s="2"/>
      <c r="X10267" s="2"/>
      <c r="Y10267" s="2"/>
      <c r="Z10267" s="2"/>
    </row>
    <row r="10268" spans="1:26" ht="17.399999999999999" x14ac:dyDescent="0.3">
      <c r="A10268" s="10"/>
      <c r="B10268" s="2"/>
      <c r="C10268" s="2"/>
      <c r="D10268" s="2"/>
      <c r="E10268" s="2"/>
      <c r="F10268" s="2"/>
      <c r="G10268" s="2"/>
      <c r="H10268" s="2"/>
      <c r="I10268" s="2"/>
      <c r="J10268" s="2"/>
      <c r="K10268" s="2"/>
      <c r="L10268" s="2"/>
      <c r="M10268" s="2"/>
      <c r="N10268" s="2"/>
      <c r="O10268" s="2"/>
      <c r="P10268" s="2"/>
      <c r="Q10268" s="2"/>
      <c r="R10268" s="2"/>
      <c r="S10268" s="2"/>
      <c r="T10268" s="2"/>
      <c r="U10268" s="2"/>
      <c r="V10268" s="2"/>
      <c r="W10268" s="2"/>
      <c r="X10268" s="2"/>
      <c r="Y10268" s="2"/>
      <c r="Z10268" s="2"/>
    </row>
    <row r="10269" spans="1:26" ht="17.399999999999999" x14ac:dyDescent="0.3">
      <c r="A10269" s="10"/>
      <c r="B10269" s="2"/>
      <c r="C10269" s="2"/>
      <c r="D10269" s="2"/>
      <c r="E10269" s="2"/>
      <c r="F10269" s="2"/>
      <c r="G10269" s="2"/>
      <c r="H10269" s="2"/>
      <c r="I10269" s="2"/>
      <c r="J10269" s="2"/>
      <c r="K10269" s="2"/>
      <c r="L10269" s="2"/>
      <c r="M10269" s="2"/>
      <c r="N10269" s="2"/>
      <c r="O10269" s="2"/>
      <c r="P10269" s="2"/>
      <c r="Q10269" s="2"/>
      <c r="R10269" s="2"/>
      <c r="S10269" s="2"/>
      <c r="T10269" s="2"/>
      <c r="U10269" s="2"/>
      <c r="V10269" s="2"/>
      <c r="W10269" s="2"/>
      <c r="X10269" s="2"/>
      <c r="Y10269" s="2"/>
      <c r="Z10269" s="2"/>
    </row>
    <row r="10270" spans="1:26" ht="17.399999999999999" x14ac:dyDescent="0.3">
      <c r="A10270" s="10"/>
      <c r="B10270" s="2"/>
      <c r="C10270" s="2"/>
      <c r="D10270" s="2"/>
      <c r="E10270" s="2"/>
      <c r="F10270" s="2"/>
      <c r="G10270" s="2"/>
      <c r="H10270" s="2"/>
      <c r="I10270" s="2"/>
      <c r="J10270" s="2"/>
      <c r="K10270" s="2"/>
      <c r="L10270" s="2"/>
      <c r="M10270" s="2"/>
      <c r="N10270" s="2"/>
      <c r="O10270" s="2"/>
      <c r="P10270" s="2"/>
      <c r="Q10270" s="2"/>
      <c r="R10270" s="2"/>
      <c r="S10270" s="2"/>
      <c r="T10270" s="2"/>
      <c r="U10270" s="2"/>
      <c r="V10270" s="2"/>
      <c r="W10270" s="2"/>
      <c r="X10270" s="2"/>
      <c r="Y10270" s="2"/>
      <c r="Z10270" s="2"/>
    </row>
    <row r="10271" spans="1:26" ht="17.399999999999999" x14ac:dyDescent="0.3">
      <c r="A10271" s="10"/>
      <c r="B10271" s="2"/>
      <c r="C10271" s="2"/>
      <c r="D10271" s="2"/>
      <c r="E10271" s="2"/>
      <c r="F10271" s="2"/>
      <c r="G10271" s="2"/>
      <c r="H10271" s="2"/>
      <c r="I10271" s="2"/>
      <c r="J10271" s="2"/>
      <c r="K10271" s="2"/>
      <c r="L10271" s="2"/>
      <c r="M10271" s="2"/>
      <c r="N10271" s="2"/>
      <c r="O10271" s="2"/>
      <c r="P10271" s="2"/>
      <c r="Q10271" s="2"/>
      <c r="R10271" s="2"/>
      <c r="S10271" s="2"/>
      <c r="T10271" s="2"/>
      <c r="U10271" s="2"/>
      <c r="V10271" s="2"/>
      <c r="W10271" s="2"/>
      <c r="X10271" s="2"/>
      <c r="Y10271" s="2"/>
      <c r="Z10271" s="2"/>
    </row>
    <row r="10272" spans="1:26" ht="17.399999999999999" x14ac:dyDescent="0.3">
      <c r="A10272" s="10"/>
      <c r="B10272" s="2"/>
      <c r="C10272" s="2"/>
      <c r="D10272" s="2"/>
      <c r="E10272" s="2"/>
      <c r="F10272" s="2"/>
      <c r="G10272" s="2"/>
      <c r="H10272" s="2"/>
      <c r="I10272" s="2"/>
      <c r="J10272" s="2"/>
      <c r="K10272" s="2"/>
      <c r="L10272" s="2"/>
      <c r="M10272" s="2"/>
      <c r="N10272" s="2"/>
      <c r="O10272" s="2"/>
      <c r="P10272" s="2"/>
      <c r="Q10272" s="2"/>
      <c r="R10272" s="2"/>
      <c r="S10272" s="2"/>
      <c r="T10272" s="2"/>
      <c r="U10272" s="2"/>
      <c r="V10272" s="2"/>
      <c r="W10272" s="2"/>
      <c r="X10272" s="2"/>
      <c r="Y10272" s="2"/>
      <c r="Z10272" s="2"/>
    </row>
    <row r="10273" spans="1:26" ht="17.399999999999999" x14ac:dyDescent="0.3">
      <c r="A10273" s="10"/>
      <c r="B10273" s="2"/>
      <c r="C10273" s="2"/>
      <c r="D10273" s="2"/>
      <c r="E10273" s="2"/>
      <c r="F10273" s="2"/>
      <c r="G10273" s="2"/>
      <c r="H10273" s="2"/>
      <c r="I10273" s="2"/>
      <c r="J10273" s="2"/>
      <c r="K10273" s="2"/>
      <c r="L10273" s="2"/>
      <c r="M10273" s="2"/>
      <c r="N10273" s="2"/>
      <c r="O10273" s="2"/>
      <c r="P10273" s="2"/>
      <c r="Q10273" s="2"/>
      <c r="R10273" s="2"/>
      <c r="S10273" s="2"/>
      <c r="T10273" s="2"/>
      <c r="U10273" s="2"/>
      <c r="V10273" s="2"/>
      <c r="W10273" s="2"/>
      <c r="X10273" s="2"/>
      <c r="Y10273" s="2"/>
      <c r="Z10273" s="2"/>
    </row>
    <row r="10274" spans="1:26" ht="17.399999999999999" x14ac:dyDescent="0.3">
      <c r="A10274" s="10"/>
      <c r="B10274" s="2"/>
      <c r="C10274" s="2"/>
      <c r="D10274" s="2"/>
      <c r="E10274" s="2"/>
      <c r="F10274" s="2"/>
      <c r="G10274" s="2"/>
      <c r="H10274" s="2"/>
      <c r="I10274" s="2"/>
      <c r="J10274" s="2"/>
      <c r="K10274" s="2"/>
      <c r="L10274" s="2"/>
      <c r="M10274" s="2"/>
      <c r="N10274" s="2"/>
      <c r="O10274" s="2"/>
      <c r="P10274" s="2"/>
      <c r="Q10274" s="2"/>
      <c r="R10274" s="2"/>
      <c r="S10274" s="2"/>
      <c r="T10274" s="2"/>
      <c r="U10274" s="2"/>
      <c r="V10274" s="2"/>
      <c r="W10274" s="2"/>
      <c r="X10274" s="2"/>
      <c r="Y10274" s="2"/>
      <c r="Z10274" s="2"/>
    </row>
    <row r="10275" spans="1:26" ht="17.399999999999999" x14ac:dyDescent="0.3">
      <c r="A10275" s="10"/>
      <c r="B10275" s="2"/>
      <c r="C10275" s="2"/>
      <c r="D10275" s="2"/>
      <c r="E10275" s="2"/>
      <c r="F10275" s="2"/>
      <c r="G10275" s="2"/>
      <c r="H10275" s="2"/>
      <c r="I10275" s="2"/>
      <c r="J10275" s="2"/>
      <c r="K10275" s="2"/>
      <c r="L10275" s="2"/>
      <c r="M10275" s="2"/>
      <c r="N10275" s="2"/>
      <c r="O10275" s="2"/>
      <c r="P10275" s="2"/>
      <c r="Q10275" s="2"/>
      <c r="R10275" s="2"/>
      <c r="S10275" s="2"/>
      <c r="T10275" s="2"/>
      <c r="U10275" s="2"/>
      <c r="V10275" s="2"/>
      <c r="W10275" s="2"/>
      <c r="X10275" s="2"/>
      <c r="Y10275" s="2"/>
      <c r="Z10275" s="2"/>
    </row>
    <row r="10276" spans="1:26" ht="17.399999999999999" x14ac:dyDescent="0.3">
      <c r="A10276" s="10"/>
      <c r="B10276" s="2"/>
      <c r="C10276" s="2"/>
      <c r="D10276" s="2"/>
      <c r="E10276" s="2"/>
      <c r="F10276" s="2"/>
      <c r="G10276" s="2"/>
      <c r="H10276" s="2"/>
      <c r="I10276" s="2"/>
      <c r="J10276" s="2"/>
      <c r="K10276" s="2"/>
      <c r="L10276" s="2"/>
      <c r="M10276" s="2"/>
      <c r="N10276" s="2"/>
      <c r="O10276" s="2"/>
      <c r="P10276" s="2"/>
      <c r="Q10276" s="2"/>
      <c r="R10276" s="2"/>
      <c r="S10276" s="2"/>
      <c r="T10276" s="2"/>
      <c r="U10276" s="2"/>
      <c r="V10276" s="2"/>
      <c r="W10276" s="2"/>
      <c r="X10276" s="2"/>
      <c r="Y10276" s="2"/>
      <c r="Z10276" s="2"/>
    </row>
    <row r="10277" spans="1:26" ht="17.399999999999999" x14ac:dyDescent="0.3">
      <c r="A10277" s="10"/>
      <c r="B10277" s="2"/>
      <c r="C10277" s="2"/>
      <c r="D10277" s="2"/>
      <c r="E10277" s="2"/>
      <c r="F10277" s="2"/>
      <c r="G10277" s="2"/>
      <c r="H10277" s="2"/>
      <c r="I10277" s="2"/>
      <c r="J10277" s="2"/>
      <c r="K10277" s="2"/>
      <c r="L10277" s="2"/>
      <c r="M10277" s="2"/>
      <c r="N10277" s="2"/>
      <c r="O10277" s="2"/>
      <c r="P10277" s="2"/>
      <c r="Q10277" s="2"/>
      <c r="R10277" s="2"/>
      <c r="S10277" s="2"/>
      <c r="T10277" s="2"/>
      <c r="U10277" s="2"/>
      <c r="V10277" s="2"/>
      <c r="W10277" s="2"/>
      <c r="X10277" s="2"/>
      <c r="Y10277" s="2"/>
      <c r="Z10277" s="2"/>
    </row>
    <row r="10278" spans="1:26" ht="17.399999999999999" x14ac:dyDescent="0.3">
      <c r="A10278" s="10"/>
      <c r="B10278" s="2"/>
      <c r="C10278" s="2"/>
      <c r="D10278" s="2"/>
      <c r="E10278" s="2"/>
      <c r="F10278" s="2"/>
      <c r="G10278" s="2"/>
      <c r="H10278" s="2"/>
      <c r="I10278" s="2"/>
      <c r="J10278" s="2"/>
      <c r="K10278" s="2"/>
      <c r="L10278" s="2"/>
      <c r="M10278" s="2"/>
      <c r="N10278" s="2"/>
      <c r="O10278" s="2"/>
      <c r="P10278" s="2"/>
      <c r="Q10278" s="2"/>
      <c r="R10278" s="2"/>
      <c r="S10278" s="2"/>
      <c r="T10278" s="2"/>
      <c r="U10278" s="2"/>
      <c r="V10278" s="2"/>
      <c r="W10278" s="2"/>
      <c r="X10278" s="2"/>
      <c r="Y10278" s="2"/>
      <c r="Z10278" s="2"/>
    </row>
    <row r="10279" spans="1:26" ht="17.399999999999999" x14ac:dyDescent="0.3">
      <c r="A10279" s="10"/>
      <c r="B10279" s="2"/>
      <c r="C10279" s="2"/>
      <c r="D10279" s="2"/>
      <c r="E10279" s="2"/>
      <c r="F10279" s="2"/>
      <c r="G10279" s="2"/>
      <c r="H10279" s="2"/>
      <c r="I10279" s="2"/>
      <c r="J10279" s="2"/>
      <c r="K10279" s="2"/>
      <c r="L10279" s="2"/>
      <c r="M10279" s="2"/>
      <c r="N10279" s="2"/>
      <c r="O10279" s="2"/>
      <c r="P10279" s="2"/>
      <c r="Q10279" s="2"/>
      <c r="R10279" s="2"/>
      <c r="S10279" s="2"/>
      <c r="T10279" s="2"/>
      <c r="U10279" s="2"/>
      <c r="V10279" s="2"/>
      <c r="W10279" s="2"/>
      <c r="X10279" s="2"/>
      <c r="Y10279" s="2"/>
      <c r="Z10279" s="2"/>
    </row>
    <row r="10280" spans="1:26" ht="17.399999999999999" x14ac:dyDescent="0.3">
      <c r="A10280" s="10"/>
      <c r="B10280" s="2"/>
      <c r="C10280" s="2"/>
      <c r="D10280" s="2"/>
      <c r="E10280" s="2"/>
      <c r="F10280" s="2"/>
      <c r="G10280" s="2"/>
      <c r="H10280" s="2"/>
      <c r="I10280" s="2"/>
      <c r="J10280" s="2"/>
      <c r="K10280" s="2"/>
      <c r="L10280" s="2"/>
      <c r="M10280" s="2"/>
      <c r="N10280" s="2"/>
      <c r="O10280" s="2"/>
      <c r="P10280" s="2"/>
      <c r="Q10280" s="2"/>
      <c r="R10280" s="2"/>
      <c r="S10280" s="2"/>
      <c r="T10280" s="2"/>
      <c r="U10280" s="2"/>
      <c r="V10280" s="2"/>
      <c r="W10280" s="2"/>
      <c r="X10280" s="2"/>
      <c r="Y10280" s="2"/>
      <c r="Z10280" s="2"/>
    </row>
    <row r="10281" spans="1:26" ht="17.399999999999999" x14ac:dyDescent="0.3">
      <c r="A10281" s="10"/>
      <c r="B10281" s="2"/>
      <c r="C10281" s="2"/>
      <c r="D10281" s="2"/>
      <c r="E10281" s="2"/>
      <c r="F10281" s="2"/>
      <c r="G10281" s="2"/>
      <c r="H10281" s="2"/>
      <c r="I10281" s="2"/>
      <c r="J10281" s="2"/>
      <c r="K10281" s="2"/>
      <c r="L10281" s="2"/>
      <c r="M10281" s="2"/>
      <c r="N10281" s="2"/>
      <c r="O10281" s="2"/>
      <c r="P10281" s="2"/>
      <c r="Q10281" s="2"/>
      <c r="R10281" s="2"/>
      <c r="S10281" s="2"/>
      <c r="T10281" s="2"/>
      <c r="U10281" s="2"/>
      <c r="V10281" s="2"/>
      <c r="W10281" s="2"/>
      <c r="X10281" s="2"/>
      <c r="Y10281" s="2"/>
      <c r="Z10281" s="2"/>
    </row>
    <row r="10282" spans="1:26" ht="17.399999999999999" x14ac:dyDescent="0.3">
      <c r="A10282" s="10"/>
      <c r="B10282" s="2"/>
      <c r="C10282" s="2"/>
      <c r="D10282" s="2"/>
      <c r="E10282" s="2"/>
      <c r="F10282" s="2"/>
      <c r="G10282" s="2"/>
      <c r="H10282" s="2"/>
      <c r="I10282" s="2"/>
      <c r="J10282" s="2"/>
      <c r="K10282" s="2"/>
      <c r="L10282" s="2"/>
      <c r="M10282" s="2"/>
      <c r="N10282" s="2"/>
      <c r="O10282" s="2"/>
      <c r="P10282" s="2"/>
      <c r="Q10282" s="2"/>
      <c r="R10282" s="2"/>
      <c r="S10282" s="2"/>
      <c r="T10282" s="2"/>
      <c r="U10282" s="2"/>
      <c r="V10282" s="2"/>
      <c r="W10282" s="2"/>
      <c r="X10282" s="2"/>
      <c r="Y10282" s="2"/>
      <c r="Z10282" s="2"/>
    </row>
    <row r="10283" spans="1:26" ht="17.399999999999999" x14ac:dyDescent="0.3">
      <c r="A10283" s="10"/>
      <c r="B10283" s="2"/>
      <c r="C10283" s="2"/>
      <c r="D10283" s="2"/>
      <c r="E10283" s="2"/>
      <c r="F10283" s="2"/>
      <c r="G10283" s="2"/>
      <c r="H10283" s="2"/>
      <c r="I10283" s="2"/>
      <c r="J10283" s="2"/>
      <c r="K10283" s="2"/>
      <c r="L10283" s="2"/>
      <c r="M10283" s="2"/>
      <c r="N10283" s="2"/>
      <c r="O10283" s="2"/>
      <c r="P10283" s="2"/>
      <c r="Q10283" s="2"/>
      <c r="R10283" s="2"/>
      <c r="S10283" s="2"/>
      <c r="T10283" s="2"/>
      <c r="U10283" s="2"/>
      <c r="V10283" s="2"/>
      <c r="W10283" s="2"/>
      <c r="X10283" s="2"/>
      <c r="Y10283" s="2"/>
      <c r="Z10283" s="2"/>
    </row>
    <row r="10284" spans="1:26" ht="17.399999999999999" x14ac:dyDescent="0.3">
      <c r="A10284" s="10"/>
      <c r="B10284" s="2"/>
      <c r="C10284" s="2"/>
      <c r="D10284" s="2"/>
      <c r="E10284" s="2"/>
      <c r="F10284" s="2"/>
      <c r="G10284" s="2"/>
      <c r="H10284" s="2"/>
      <c r="I10284" s="2"/>
      <c r="J10284" s="2"/>
      <c r="K10284" s="2"/>
      <c r="L10284" s="2"/>
      <c r="M10284" s="2"/>
      <c r="N10284" s="2"/>
      <c r="O10284" s="2"/>
      <c r="P10284" s="2"/>
      <c r="Q10284" s="2"/>
      <c r="R10284" s="2"/>
      <c r="S10284" s="2"/>
      <c r="T10284" s="2"/>
      <c r="U10284" s="2"/>
      <c r="V10284" s="2"/>
      <c r="W10284" s="2"/>
      <c r="X10284" s="2"/>
      <c r="Y10284" s="2"/>
      <c r="Z10284" s="2"/>
    </row>
    <row r="10285" spans="1:26" ht="17.399999999999999" x14ac:dyDescent="0.3">
      <c r="A10285" s="10"/>
      <c r="B10285" s="2"/>
      <c r="C10285" s="2"/>
      <c r="D10285" s="2"/>
      <c r="E10285" s="2"/>
      <c r="F10285" s="2"/>
      <c r="G10285" s="2"/>
      <c r="H10285" s="2"/>
      <c r="I10285" s="2"/>
      <c r="J10285" s="2"/>
      <c r="K10285" s="2"/>
      <c r="L10285" s="2"/>
      <c r="M10285" s="2"/>
      <c r="N10285" s="2"/>
      <c r="O10285" s="2"/>
      <c r="P10285" s="2"/>
      <c r="Q10285" s="2"/>
      <c r="R10285" s="2"/>
      <c r="S10285" s="2"/>
      <c r="T10285" s="2"/>
      <c r="U10285" s="2"/>
      <c r="V10285" s="2"/>
      <c r="W10285" s="2"/>
      <c r="X10285" s="2"/>
      <c r="Y10285" s="2"/>
      <c r="Z10285" s="2"/>
    </row>
    <row r="10286" spans="1:26" ht="17.399999999999999" x14ac:dyDescent="0.3">
      <c r="A10286" s="10"/>
      <c r="B10286" s="2"/>
      <c r="C10286" s="2"/>
      <c r="D10286" s="2"/>
      <c r="E10286" s="2"/>
      <c r="F10286" s="2"/>
      <c r="G10286" s="2"/>
      <c r="H10286" s="2"/>
      <c r="I10286" s="2"/>
      <c r="J10286" s="2"/>
      <c r="K10286" s="2"/>
      <c r="L10286" s="2"/>
      <c r="M10286" s="2"/>
      <c r="N10286" s="2"/>
      <c r="O10286" s="2"/>
      <c r="P10286" s="2"/>
      <c r="Q10286" s="2"/>
      <c r="R10286" s="2"/>
      <c r="S10286" s="2"/>
      <c r="T10286" s="2"/>
      <c r="U10286" s="2"/>
      <c r="V10286" s="2"/>
      <c r="W10286" s="2"/>
      <c r="X10286" s="2"/>
      <c r="Y10286" s="2"/>
      <c r="Z10286" s="2"/>
    </row>
    <row r="10287" spans="1:26" ht="17.399999999999999" x14ac:dyDescent="0.3">
      <c r="A10287" s="10"/>
      <c r="B10287" s="2"/>
      <c r="C10287" s="2"/>
      <c r="D10287" s="2"/>
      <c r="E10287" s="2"/>
      <c r="F10287" s="2"/>
      <c r="G10287" s="2"/>
      <c r="H10287" s="2"/>
      <c r="I10287" s="2"/>
      <c r="J10287" s="2"/>
      <c r="K10287" s="2"/>
      <c r="L10287" s="2"/>
      <c r="M10287" s="2"/>
      <c r="N10287" s="2"/>
      <c r="O10287" s="2"/>
      <c r="P10287" s="2"/>
      <c r="Q10287" s="2"/>
      <c r="R10287" s="2"/>
      <c r="S10287" s="2"/>
      <c r="T10287" s="2"/>
      <c r="U10287" s="2"/>
      <c r="V10287" s="2"/>
      <c r="W10287" s="2"/>
      <c r="X10287" s="2"/>
      <c r="Y10287" s="2"/>
      <c r="Z10287" s="2"/>
    </row>
    <row r="10288" spans="1:26" ht="17.399999999999999" x14ac:dyDescent="0.3">
      <c r="A10288" s="10"/>
      <c r="B10288" s="2"/>
      <c r="C10288" s="2"/>
      <c r="D10288" s="2"/>
      <c r="E10288" s="2"/>
      <c r="F10288" s="2"/>
      <c r="G10288" s="2"/>
      <c r="H10288" s="2"/>
      <c r="I10288" s="2"/>
      <c r="J10288" s="2"/>
      <c r="K10288" s="2"/>
      <c r="L10288" s="2"/>
      <c r="M10288" s="2"/>
      <c r="N10288" s="2"/>
      <c r="O10288" s="2"/>
      <c r="P10288" s="2"/>
      <c r="Q10288" s="2"/>
      <c r="R10288" s="2"/>
      <c r="S10288" s="2"/>
      <c r="T10288" s="2"/>
      <c r="U10288" s="2"/>
      <c r="V10288" s="2"/>
      <c r="W10288" s="2"/>
      <c r="X10288" s="2"/>
      <c r="Y10288" s="2"/>
      <c r="Z10288" s="2"/>
    </row>
    <row r="10289" spans="1:26" ht="17.399999999999999" x14ac:dyDescent="0.3">
      <c r="A10289" s="10"/>
      <c r="B10289" s="2"/>
      <c r="C10289" s="2"/>
      <c r="D10289" s="2"/>
      <c r="E10289" s="2"/>
      <c r="F10289" s="2"/>
      <c r="G10289" s="2"/>
      <c r="H10289" s="2"/>
      <c r="I10289" s="2"/>
      <c r="J10289" s="2"/>
      <c r="K10289" s="2"/>
      <c r="L10289" s="2"/>
      <c r="M10289" s="2"/>
      <c r="N10289" s="2"/>
      <c r="O10289" s="2"/>
      <c r="P10289" s="2"/>
      <c r="Q10289" s="2"/>
      <c r="R10289" s="2"/>
      <c r="S10289" s="2"/>
      <c r="T10289" s="2"/>
      <c r="U10289" s="2"/>
      <c r="V10289" s="2"/>
      <c r="W10289" s="2"/>
      <c r="X10289" s="2"/>
      <c r="Y10289" s="2"/>
      <c r="Z10289" s="2"/>
    </row>
    <row r="10290" spans="1:26" ht="17.399999999999999" x14ac:dyDescent="0.3">
      <c r="A10290" s="10"/>
      <c r="B10290" s="2"/>
      <c r="C10290" s="2"/>
      <c r="D10290" s="2"/>
      <c r="E10290" s="2"/>
      <c r="F10290" s="2"/>
      <c r="G10290" s="2"/>
      <c r="H10290" s="2"/>
      <c r="I10290" s="2"/>
      <c r="J10290" s="2"/>
      <c r="K10290" s="2"/>
      <c r="L10290" s="2"/>
      <c r="M10290" s="2"/>
      <c r="N10290" s="2"/>
      <c r="O10290" s="2"/>
      <c r="P10290" s="2"/>
      <c r="Q10290" s="2"/>
      <c r="R10290" s="2"/>
      <c r="S10290" s="2"/>
      <c r="T10290" s="2"/>
      <c r="U10290" s="2"/>
      <c r="V10290" s="2"/>
      <c r="W10290" s="2"/>
      <c r="X10290" s="2"/>
      <c r="Y10290" s="2"/>
      <c r="Z10290" s="2"/>
    </row>
    <row r="10291" spans="1:26" ht="17.399999999999999" x14ac:dyDescent="0.3">
      <c r="A10291" s="10"/>
      <c r="B10291" s="2"/>
      <c r="C10291" s="2"/>
      <c r="D10291" s="2"/>
      <c r="E10291" s="2"/>
      <c r="F10291" s="2"/>
      <c r="G10291" s="2"/>
      <c r="H10291" s="2"/>
      <c r="I10291" s="2"/>
      <c r="J10291" s="2"/>
      <c r="K10291" s="2"/>
      <c r="L10291" s="2"/>
      <c r="M10291" s="2"/>
      <c r="N10291" s="2"/>
      <c r="O10291" s="2"/>
      <c r="P10291" s="2"/>
      <c r="Q10291" s="2"/>
      <c r="R10291" s="2"/>
      <c r="S10291" s="2"/>
      <c r="T10291" s="2"/>
      <c r="U10291" s="2"/>
      <c r="V10291" s="2"/>
      <c r="W10291" s="2"/>
      <c r="X10291" s="2"/>
      <c r="Y10291" s="2"/>
      <c r="Z10291" s="2"/>
    </row>
    <row r="10292" spans="1:26" ht="17.399999999999999" x14ac:dyDescent="0.3">
      <c r="A10292" s="10"/>
      <c r="B10292" s="2"/>
      <c r="C10292" s="2"/>
      <c r="D10292" s="2"/>
      <c r="E10292" s="2"/>
      <c r="F10292" s="2"/>
      <c r="G10292" s="2"/>
      <c r="H10292" s="2"/>
      <c r="I10292" s="2"/>
      <c r="J10292" s="2"/>
      <c r="K10292" s="2"/>
      <c r="L10292" s="2"/>
      <c r="M10292" s="2"/>
      <c r="N10292" s="2"/>
      <c r="O10292" s="2"/>
      <c r="P10292" s="2"/>
      <c r="Q10292" s="2"/>
      <c r="R10292" s="2"/>
      <c r="S10292" s="2"/>
      <c r="T10292" s="2"/>
      <c r="U10292" s="2"/>
      <c r="V10292" s="2"/>
      <c r="W10292" s="2"/>
      <c r="X10292" s="2"/>
      <c r="Y10292" s="2"/>
      <c r="Z10292" s="2"/>
    </row>
    <row r="10293" spans="1:26" ht="17.399999999999999" x14ac:dyDescent="0.3">
      <c r="A10293" s="10"/>
      <c r="B10293" s="2"/>
      <c r="C10293" s="2"/>
      <c r="D10293" s="2"/>
      <c r="E10293" s="2"/>
      <c r="F10293" s="2"/>
      <c r="G10293" s="2"/>
      <c r="H10293" s="2"/>
      <c r="I10293" s="2"/>
      <c r="J10293" s="2"/>
      <c r="K10293" s="2"/>
      <c r="L10293" s="2"/>
      <c r="M10293" s="2"/>
      <c r="N10293" s="2"/>
      <c r="O10293" s="2"/>
      <c r="P10293" s="2"/>
      <c r="Q10293" s="2"/>
      <c r="R10293" s="2"/>
      <c r="S10293" s="2"/>
      <c r="T10293" s="2"/>
      <c r="U10293" s="2"/>
      <c r="V10293" s="2"/>
      <c r="W10293" s="2"/>
      <c r="X10293" s="2"/>
      <c r="Y10293" s="2"/>
      <c r="Z10293" s="2"/>
    </row>
    <row r="10294" spans="1:26" ht="17.399999999999999" x14ac:dyDescent="0.3">
      <c r="A10294" s="10"/>
      <c r="B10294" s="2"/>
      <c r="C10294" s="2"/>
      <c r="D10294" s="2"/>
      <c r="E10294" s="2"/>
      <c r="F10294" s="2"/>
      <c r="G10294" s="2"/>
      <c r="H10294" s="2"/>
      <c r="I10294" s="2"/>
      <c r="J10294" s="2"/>
      <c r="K10294" s="2"/>
      <c r="L10294" s="2"/>
      <c r="M10294" s="2"/>
      <c r="N10294" s="2"/>
      <c r="O10294" s="2"/>
      <c r="P10294" s="2"/>
      <c r="Q10294" s="2"/>
      <c r="R10294" s="2"/>
      <c r="S10294" s="2"/>
      <c r="T10294" s="2"/>
      <c r="U10294" s="2"/>
      <c r="V10294" s="2"/>
      <c r="W10294" s="2"/>
      <c r="X10294" s="2"/>
      <c r="Y10294" s="2"/>
      <c r="Z10294" s="2"/>
    </row>
    <row r="10295" spans="1:26" ht="17.399999999999999" x14ac:dyDescent="0.3">
      <c r="A10295" s="10"/>
      <c r="B10295" s="2"/>
      <c r="C10295" s="2"/>
      <c r="D10295" s="2"/>
      <c r="E10295" s="2"/>
      <c r="F10295" s="2"/>
      <c r="G10295" s="2"/>
      <c r="H10295" s="2"/>
      <c r="I10295" s="2"/>
      <c r="J10295" s="2"/>
      <c r="K10295" s="2"/>
      <c r="L10295" s="2"/>
      <c r="M10295" s="2"/>
      <c r="N10295" s="2"/>
      <c r="O10295" s="2"/>
      <c r="P10295" s="2"/>
      <c r="Q10295" s="2"/>
      <c r="R10295" s="2"/>
      <c r="S10295" s="2"/>
      <c r="T10295" s="2"/>
      <c r="U10295" s="2"/>
      <c r="V10295" s="2"/>
      <c r="W10295" s="2"/>
      <c r="X10295" s="2"/>
      <c r="Y10295" s="2"/>
      <c r="Z10295" s="2"/>
    </row>
    <row r="10296" spans="1:26" ht="17.399999999999999" x14ac:dyDescent="0.3">
      <c r="A10296" s="10"/>
      <c r="B10296" s="2"/>
      <c r="C10296" s="2"/>
      <c r="D10296" s="2"/>
      <c r="E10296" s="2"/>
      <c r="F10296" s="2"/>
      <c r="G10296" s="2"/>
      <c r="H10296" s="2"/>
      <c r="I10296" s="2"/>
      <c r="J10296" s="2"/>
      <c r="K10296" s="2"/>
      <c r="L10296" s="2"/>
      <c r="M10296" s="2"/>
      <c r="N10296" s="2"/>
      <c r="O10296" s="2"/>
      <c r="P10296" s="2"/>
      <c r="Q10296" s="2"/>
      <c r="R10296" s="2"/>
      <c r="S10296" s="2"/>
      <c r="T10296" s="2"/>
      <c r="U10296" s="2"/>
      <c r="V10296" s="2"/>
      <c r="W10296" s="2"/>
      <c r="X10296" s="2"/>
      <c r="Y10296" s="2"/>
      <c r="Z10296" s="2"/>
    </row>
    <row r="10297" spans="1:26" ht="17.399999999999999" x14ac:dyDescent="0.3">
      <c r="A10297" s="10"/>
      <c r="B10297" s="2"/>
      <c r="C10297" s="2"/>
      <c r="D10297" s="2"/>
      <c r="E10297" s="2"/>
      <c r="F10297" s="2"/>
      <c r="G10297" s="2"/>
      <c r="H10297" s="2"/>
      <c r="I10297" s="2"/>
      <c r="J10297" s="2"/>
      <c r="K10297" s="2"/>
      <c r="L10297" s="2"/>
      <c r="M10297" s="2"/>
      <c r="N10297" s="2"/>
      <c r="O10297" s="2"/>
      <c r="P10297" s="2"/>
      <c r="Q10297" s="2"/>
      <c r="R10297" s="2"/>
      <c r="S10297" s="2"/>
      <c r="T10297" s="2"/>
      <c r="U10297" s="2"/>
      <c r="V10297" s="2"/>
      <c r="W10297" s="2"/>
      <c r="X10297" s="2"/>
      <c r="Y10297" s="2"/>
      <c r="Z10297" s="2"/>
    </row>
    <row r="10298" spans="1:26" ht="17.399999999999999" x14ac:dyDescent="0.3">
      <c r="A10298" s="10"/>
      <c r="B10298" s="2"/>
      <c r="C10298" s="2"/>
      <c r="D10298" s="2"/>
      <c r="E10298" s="2"/>
      <c r="F10298" s="2"/>
      <c r="G10298" s="2"/>
      <c r="H10298" s="2"/>
      <c r="I10298" s="2"/>
      <c r="J10298" s="2"/>
      <c r="K10298" s="2"/>
      <c r="L10298" s="2"/>
      <c r="M10298" s="2"/>
      <c r="N10298" s="2"/>
      <c r="O10298" s="2"/>
      <c r="P10298" s="2"/>
      <c r="Q10298" s="2"/>
      <c r="R10298" s="2"/>
      <c r="S10298" s="2"/>
      <c r="T10298" s="2"/>
      <c r="U10298" s="2"/>
      <c r="V10298" s="2"/>
      <c r="W10298" s="2"/>
      <c r="X10298" s="2"/>
      <c r="Y10298" s="2"/>
      <c r="Z10298" s="2"/>
    </row>
    <row r="10299" spans="1:26" ht="17.399999999999999" x14ac:dyDescent="0.3">
      <c r="A10299" s="10"/>
      <c r="B10299" s="2"/>
      <c r="C10299" s="2"/>
      <c r="D10299" s="2"/>
      <c r="E10299" s="2"/>
      <c r="F10299" s="2"/>
      <c r="G10299" s="2"/>
      <c r="H10299" s="2"/>
      <c r="I10299" s="2"/>
      <c r="J10299" s="2"/>
      <c r="K10299" s="2"/>
      <c r="L10299" s="2"/>
      <c r="M10299" s="2"/>
      <c r="N10299" s="2"/>
      <c r="O10299" s="2"/>
      <c r="P10299" s="2"/>
      <c r="Q10299" s="2"/>
      <c r="R10299" s="2"/>
      <c r="S10299" s="2"/>
      <c r="T10299" s="2"/>
      <c r="U10299" s="2"/>
      <c r="V10299" s="2"/>
      <c r="W10299" s="2"/>
      <c r="X10299" s="2"/>
      <c r="Y10299" s="2"/>
      <c r="Z10299" s="2"/>
    </row>
    <row r="10300" spans="1:26" ht="17.399999999999999" x14ac:dyDescent="0.3">
      <c r="A10300" s="10"/>
      <c r="B10300" s="2"/>
      <c r="C10300" s="2"/>
      <c r="D10300" s="2"/>
      <c r="E10300" s="2"/>
      <c r="F10300" s="2"/>
      <c r="G10300" s="2"/>
      <c r="H10300" s="2"/>
      <c r="I10300" s="2"/>
      <c r="J10300" s="2"/>
      <c r="K10300" s="2"/>
      <c r="L10300" s="2"/>
      <c r="M10300" s="2"/>
      <c r="N10300" s="2"/>
      <c r="O10300" s="2"/>
      <c r="P10300" s="2"/>
      <c r="Q10300" s="2"/>
      <c r="R10300" s="2"/>
      <c r="S10300" s="2"/>
      <c r="T10300" s="2"/>
      <c r="U10300" s="2"/>
      <c r="V10300" s="2"/>
      <c r="W10300" s="2"/>
      <c r="X10300" s="2"/>
      <c r="Y10300" s="2"/>
      <c r="Z10300" s="2"/>
    </row>
    <row r="10301" spans="1:26" ht="17.399999999999999" x14ac:dyDescent="0.3">
      <c r="A10301" s="10"/>
      <c r="B10301" s="2"/>
      <c r="C10301" s="2"/>
      <c r="D10301" s="2"/>
      <c r="E10301" s="2"/>
      <c r="F10301" s="2"/>
      <c r="G10301" s="2"/>
      <c r="H10301" s="2"/>
      <c r="I10301" s="2"/>
      <c r="J10301" s="2"/>
      <c r="K10301" s="2"/>
      <c r="L10301" s="2"/>
      <c r="M10301" s="2"/>
      <c r="N10301" s="2"/>
      <c r="O10301" s="2"/>
      <c r="P10301" s="2"/>
      <c r="Q10301" s="2"/>
      <c r="R10301" s="2"/>
      <c r="S10301" s="2"/>
      <c r="T10301" s="2"/>
      <c r="U10301" s="2"/>
      <c r="V10301" s="2"/>
      <c r="W10301" s="2"/>
      <c r="X10301" s="2"/>
      <c r="Y10301" s="2"/>
      <c r="Z10301" s="2"/>
    </row>
    <row r="10302" spans="1:26" ht="17.399999999999999" x14ac:dyDescent="0.3">
      <c r="A10302" s="10"/>
      <c r="B10302" s="2"/>
      <c r="C10302" s="2"/>
      <c r="D10302" s="2"/>
      <c r="E10302" s="2"/>
      <c r="F10302" s="2"/>
      <c r="G10302" s="2"/>
      <c r="H10302" s="2"/>
      <c r="I10302" s="2"/>
      <c r="J10302" s="2"/>
      <c r="K10302" s="2"/>
      <c r="L10302" s="2"/>
      <c r="M10302" s="2"/>
      <c r="N10302" s="2"/>
      <c r="O10302" s="2"/>
      <c r="P10302" s="2"/>
      <c r="Q10302" s="2"/>
      <c r="R10302" s="2"/>
      <c r="S10302" s="2"/>
      <c r="T10302" s="2"/>
      <c r="U10302" s="2"/>
      <c r="V10302" s="2"/>
      <c r="W10302" s="2"/>
      <c r="X10302" s="2"/>
      <c r="Y10302" s="2"/>
      <c r="Z10302" s="2"/>
    </row>
    <row r="10303" spans="1:26" ht="17.399999999999999" x14ac:dyDescent="0.3">
      <c r="A10303" s="10"/>
      <c r="B10303" s="2"/>
      <c r="C10303" s="2"/>
      <c r="D10303" s="2"/>
      <c r="E10303" s="2"/>
      <c r="F10303" s="2"/>
      <c r="G10303" s="2"/>
      <c r="H10303" s="2"/>
      <c r="I10303" s="2"/>
      <c r="J10303" s="2"/>
      <c r="K10303" s="2"/>
      <c r="L10303" s="2"/>
      <c r="M10303" s="2"/>
      <c r="N10303" s="2"/>
      <c r="O10303" s="2"/>
      <c r="P10303" s="2"/>
      <c r="Q10303" s="2"/>
      <c r="R10303" s="2"/>
      <c r="S10303" s="2"/>
      <c r="T10303" s="2"/>
      <c r="U10303" s="2"/>
      <c r="V10303" s="2"/>
      <c r="W10303" s="2"/>
      <c r="X10303" s="2"/>
      <c r="Y10303" s="2"/>
      <c r="Z10303" s="2"/>
    </row>
    <row r="10304" spans="1:26" ht="17.399999999999999" x14ac:dyDescent="0.3">
      <c r="A10304" s="10"/>
      <c r="B10304" s="2"/>
      <c r="C10304" s="2"/>
      <c r="D10304" s="2"/>
      <c r="E10304" s="2"/>
      <c r="F10304" s="2"/>
      <c r="G10304" s="2"/>
      <c r="H10304" s="2"/>
      <c r="I10304" s="2"/>
      <c r="J10304" s="2"/>
      <c r="K10304" s="2"/>
      <c r="L10304" s="2"/>
      <c r="M10304" s="2"/>
      <c r="N10304" s="2"/>
      <c r="O10304" s="2"/>
      <c r="P10304" s="2"/>
      <c r="Q10304" s="2"/>
      <c r="R10304" s="2"/>
      <c r="S10304" s="2"/>
      <c r="T10304" s="2"/>
      <c r="U10304" s="2"/>
      <c r="V10304" s="2"/>
      <c r="W10304" s="2"/>
      <c r="X10304" s="2"/>
      <c r="Y10304" s="2"/>
      <c r="Z10304" s="2"/>
    </row>
    <row r="10305" spans="1:26" ht="17.399999999999999" x14ac:dyDescent="0.3">
      <c r="A10305" s="10"/>
      <c r="B10305" s="2"/>
      <c r="C10305" s="2"/>
      <c r="D10305" s="2"/>
      <c r="E10305" s="2"/>
      <c r="F10305" s="2"/>
      <c r="G10305" s="2"/>
      <c r="H10305" s="2"/>
      <c r="I10305" s="2"/>
      <c r="J10305" s="2"/>
      <c r="K10305" s="2"/>
      <c r="L10305" s="2"/>
      <c r="M10305" s="2"/>
      <c r="N10305" s="2"/>
      <c r="O10305" s="2"/>
      <c r="P10305" s="2"/>
      <c r="Q10305" s="2"/>
      <c r="R10305" s="2"/>
      <c r="S10305" s="2"/>
      <c r="T10305" s="2"/>
      <c r="U10305" s="2"/>
      <c r="V10305" s="2"/>
      <c r="W10305" s="2"/>
      <c r="X10305" s="2"/>
      <c r="Y10305" s="2"/>
      <c r="Z10305" s="2"/>
    </row>
    <row r="10306" spans="1:26" ht="17.399999999999999" x14ac:dyDescent="0.3">
      <c r="A10306" s="10"/>
      <c r="B10306" s="2"/>
      <c r="C10306" s="2"/>
      <c r="D10306" s="2"/>
      <c r="E10306" s="2"/>
      <c r="F10306" s="2"/>
      <c r="G10306" s="2"/>
      <c r="H10306" s="2"/>
      <c r="I10306" s="2"/>
      <c r="J10306" s="2"/>
      <c r="K10306" s="2"/>
      <c r="L10306" s="2"/>
      <c r="M10306" s="2"/>
      <c r="N10306" s="2"/>
      <c r="O10306" s="2"/>
      <c r="P10306" s="2"/>
      <c r="Q10306" s="2"/>
      <c r="R10306" s="2"/>
      <c r="S10306" s="2"/>
      <c r="T10306" s="2"/>
      <c r="U10306" s="2"/>
      <c r="V10306" s="2"/>
      <c r="W10306" s="2"/>
      <c r="X10306" s="2"/>
      <c r="Y10306" s="2"/>
      <c r="Z10306" s="2"/>
    </row>
    <row r="10307" spans="1:26" ht="17.399999999999999" x14ac:dyDescent="0.3">
      <c r="A10307" s="10"/>
      <c r="B10307" s="2"/>
      <c r="C10307" s="2"/>
      <c r="D10307" s="2"/>
      <c r="E10307" s="2"/>
      <c r="F10307" s="2"/>
      <c r="G10307" s="2"/>
      <c r="H10307" s="2"/>
      <c r="I10307" s="2"/>
      <c r="J10307" s="2"/>
      <c r="K10307" s="2"/>
      <c r="L10307" s="2"/>
      <c r="M10307" s="2"/>
      <c r="N10307" s="2"/>
      <c r="O10307" s="2"/>
      <c r="P10307" s="2"/>
      <c r="Q10307" s="2"/>
      <c r="R10307" s="2"/>
      <c r="S10307" s="2"/>
      <c r="T10307" s="2"/>
      <c r="U10307" s="2"/>
      <c r="V10307" s="2"/>
      <c r="W10307" s="2"/>
      <c r="X10307" s="2"/>
      <c r="Y10307" s="2"/>
      <c r="Z10307" s="2"/>
    </row>
    <row r="10308" spans="1:26" ht="17.399999999999999" x14ac:dyDescent="0.3">
      <c r="A10308" s="10"/>
      <c r="B10308" s="2"/>
      <c r="C10308" s="2"/>
      <c r="D10308" s="2"/>
      <c r="E10308" s="2"/>
      <c r="F10308" s="2"/>
      <c r="G10308" s="2"/>
      <c r="H10308" s="2"/>
      <c r="I10308" s="2"/>
      <c r="J10308" s="2"/>
      <c r="K10308" s="2"/>
      <c r="L10308" s="2"/>
      <c r="M10308" s="2"/>
      <c r="N10308" s="2"/>
      <c r="O10308" s="2"/>
      <c r="P10308" s="2"/>
      <c r="Q10308" s="2"/>
      <c r="R10308" s="2"/>
      <c r="S10308" s="2"/>
      <c r="T10308" s="2"/>
      <c r="U10308" s="2"/>
      <c r="V10308" s="2"/>
      <c r="W10308" s="2"/>
      <c r="X10308" s="2"/>
      <c r="Y10308" s="2"/>
      <c r="Z10308" s="2"/>
    </row>
    <row r="10309" spans="1:26" ht="17.399999999999999" x14ac:dyDescent="0.3">
      <c r="A10309" s="10"/>
      <c r="B10309" s="2"/>
      <c r="C10309" s="2"/>
      <c r="D10309" s="2"/>
      <c r="E10309" s="2"/>
      <c r="F10309" s="2"/>
      <c r="G10309" s="2"/>
      <c r="H10309" s="2"/>
      <c r="I10309" s="2"/>
      <c r="J10309" s="2"/>
      <c r="K10309" s="2"/>
      <c r="L10309" s="2"/>
      <c r="M10309" s="2"/>
      <c r="N10309" s="2"/>
      <c r="O10309" s="2"/>
      <c r="P10309" s="2"/>
      <c r="Q10309" s="2"/>
      <c r="R10309" s="2"/>
      <c r="S10309" s="2"/>
      <c r="T10309" s="2"/>
      <c r="U10309" s="2"/>
      <c r="V10309" s="2"/>
      <c r="W10309" s="2"/>
      <c r="X10309" s="2"/>
      <c r="Y10309" s="2"/>
      <c r="Z10309" s="2"/>
    </row>
    <row r="10310" spans="1:26" ht="17.399999999999999" x14ac:dyDescent="0.3">
      <c r="A10310" s="10"/>
      <c r="B10310" s="2"/>
      <c r="C10310" s="2"/>
      <c r="D10310" s="2"/>
      <c r="E10310" s="2"/>
      <c r="F10310" s="2"/>
      <c r="G10310" s="2"/>
      <c r="H10310" s="2"/>
      <c r="I10310" s="2"/>
      <c r="J10310" s="2"/>
      <c r="K10310" s="2"/>
      <c r="L10310" s="2"/>
      <c r="M10310" s="2"/>
      <c r="N10310" s="2"/>
      <c r="O10310" s="2"/>
      <c r="P10310" s="2"/>
      <c r="Q10310" s="2"/>
      <c r="R10310" s="2"/>
      <c r="S10310" s="2"/>
      <c r="T10310" s="2"/>
      <c r="U10310" s="2"/>
      <c r="V10310" s="2"/>
      <c r="W10310" s="2"/>
      <c r="X10310" s="2"/>
      <c r="Y10310" s="2"/>
      <c r="Z10310" s="2"/>
    </row>
    <row r="10311" spans="1:26" ht="17.399999999999999" x14ac:dyDescent="0.3">
      <c r="A10311" s="10"/>
      <c r="B10311" s="2"/>
      <c r="C10311" s="2"/>
      <c r="D10311" s="2"/>
      <c r="E10311" s="2"/>
      <c r="F10311" s="2"/>
      <c r="G10311" s="2"/>
      <c r="H10311" s="2"/>
      <c r="I10311" s="2"/>
      <c r="J10311" s="2"/>
      <c r="K10311" s="2"/>
      <c r="L10311" s="2"/>
      <c r="M10311" s="2"/>
      <c r="N10311" s="2"/>
      <c r="O10311" s="2"/>
      <c r="P10311" s="2"/>
      <c r="Q10311" s="2"/>
      <c r="R10311" s="2"/>
      <c r="S10311" s="2"/>
      <c r="T10311" s="2"/>
      <c r="U10311" s="2"/>
      <c r="V10311" s="2"/>
      <c r="W10311" s="2"/>
      <c r="X10311" s="2"/>
      <c r="Y10311" s="2"/>
      <c r="Z10311" s="2"/>
    </row>
    <row r="10312" spans="1:26" ht="17.399999999999999" x14ac:dyDescent="0.3">
      <c r="A10312" s="10"/>
      <c r="B10312" s="2"/>
      <c r="C10312" s="2"/>
      <c r="D10312" s="2"/>
      <c r="E10312" s="2"/>
      <c r="F10312" s="2"/>
      <c r="G10312" s="2"/>
      <c r="H10312" s="2"/>
      <c r="I10312" s="2"/>
      <c r="J10312" s="2"/>
      <c r="K10312" s="2"/>
      <c r="L10312" s="2"/>
      <c r="M10312" s="2"/>
      <c r="N10312" s="2"/>
      <c r="O10312" s="2"/>
      <c r="P10312" s="2"/>
      <c r="Q10312" s="2"/>
      <c r="R10312" s="2"/>
      <c r="S10312" s="2"/>
      <c r="T10312" s="2"/>
      <c r="U10312" s="2"/>
      <c r="V10312" s="2"/>
      <c r="W10312" s="2"/>
      <c r="X10312" s="2"/>
      <c r="Y10312" s="2"/>
      <c r="Z10312" s="2"/>
    </row>
    <row r="10313" spans="1:26" ht="17.399999999999999" x14ac:dyDescent="0.3">
      <c r="A10313" s="10"/>
      <c r="B10313" s="2"/>
      <c r="C10313" s="2"/>
      <c r="D10313" s="2"/>
      <c r="E10313" s="2"/>
      <c r="F10313" s="2"/>
      <c r="G10313" s="2"/>
      <c r="H10313" s="2"/>
      <c r="I10313" s="2"/>
      <c r="J10313" s="2"/>
      <c r="K10313" s="2"/>
      <c r="L10313" s="2"/>
      <c r="M10313" s="2"/>
      <c r="N10313" s="2"/>
      <c r="O10313" s="2"/>
      <c r="P10313" s="2"/>
      <c r="Q10313" s="2"/>
      <c r="R10313" s="2"/>
      <c r="S10313" s="2"/>
      <c r="T10313" s="2"/>
      <c r="U10313" s="2"/>
      <c r="V10313" s="2"/>
      <c r="W10313" s="2"/>
      <c r="X10313" s="2"/>
      <c r="Y10313" s="2"/>
      <c r="Z10313" s="2"/>
    </row>
    <row r="10314" spans="1:26" ht="17.399999999999999" x14ac:dyDescent="0.3">
      <c r="A10314" s="10"/>
      <c r="B10314" s="2"/>
      <c r="C10314" s="2"/>
      <c r="D10314" s="2"/>
      <c r="E10314" s="2"/>
      <c r="F10314" s="2"/>
      <c r="G10314" s="2"/>
      <c r="H10314" s="2"/>
      <c r="I10314" s="2"/>
      <c r="J10314" s="2"/>
      <c r="K10314" s="2"/>
      <c r="L10314" s="2"/>
      <c r="M10314" s="2"/>
      <c r="N10314" s="2"/>
      <c r="O10314" s="2"/>
      <c r="P10314" s="2"/>
      <c r="Q10314" s="2"/>
      <c r="R10314" s="2"/>
      <c r="S10314" s="2"/>
      <c r="T10314" s="2"/>
      <c r="U10314" s="2"/>
      <c r="V10314" s="2"/>
      <c r="W10314" s="2"/>
      <c r="X10314" s="2"/>
      <c r="Y10314" s="2"/>
      <c r="Z10314" s="2"/>
    </row>
    <row r="10315" spans="1:26" ht="17.399999999999999" x14ac:dyDescent="0.3">
      <c r="A10315" s="10"/>
      <c r="B10315" s="2"/>
      <c r="C10315" s="2"/>
      <c r="D10315" s="2"/>
      <c r="E10315" s="2"/>
      <c r="F10315" s="2"/>
      <c r="G10315" s="2"/>
      <c r="H10315" s="2"/>
      <c r="I10315" s="2"/>
      <c r="J10315" s="2"/>
      <c r="K10315" s="2"/>
      <c r="L10315" s="2"/>
      <c r="M10315" s="2"/>
      <c r="N10315" s="2"/>
      <c r="O10315" s="2"/>
      <c r="P10315" s="2"/>
      <c r="Q10315" s="2"/>
      <c r="R10315" s="2"/>
      <c r="S10315" s="2"/>
      <c r="T10315" s="2"/>
      <c r="U10315" s="2"/>
      <c r="V10315" s="2"/>
      <c r="W10315" s="2"/>
      <c r="X10315" s="2"/>
      <c r="Y10315" s="2"/>
      <c r="Z10315" s="2"/>
    </row>
    <row r="10316" spans="1:26" ht="17.399999999999999" x14ac:dyDescent="0.3">
      <c r="A10316" s="10"/>
      <c r="B10316" s="2"/>
      <c r="C10316" s="2"/>
      <c r="D10316" s="2"/>
      <c r="E10316" s="2"/>
      <c r="F10316" s="2"/>
      <c r="G10316" s="2"/>
      <c r="H10316" s="2"/>
      <c r="I10316" s="2"/>
      <c r="J10316" s="2"/>
      <c r="K10316" s="2"/>
      <c r="L10316" s="2"/>
      <c r="M10316" s="2"/>
      <c r="N10316" s="2"/>
      <c r="O10316" s="2"/>
      <c r="P10316" s="2"/>
      <c r="Q10316" s="2"/>
      <c r="R10316" s="2"/>
      <c r="S10316" s="2"/>
      <c r="T10316" s="2"/>
      <c r="U10316" s="2"/>
      <c r="V10316" s="2"/>
      <c r="W10316" s="2"/>
      <c r="X10316" s="2"/>
      <c r="Y10316" s="2"/>
      <c r="Z10316" s="2"/>
    </row>
    <row r="10317" spans="1:26" ht="17.399999999999999" x14ac:dyDescent="0.3">
      <c r="A10317" s="10"/>
      <c r="B10317" s="2"/>
      <c r="C10317" s="2"/>
      <c r="D10317" s="2"/>
      <c r="E10317" s="2"/>
      <c r="F10317" s="2"/>
      <c r="G10317" s="2"/>
      <c r="H10317" s="2"/>
      <c r="I10317" s="2"/>
      <c r="J10317" s="2"/>
      <c r="K10317" s="2"/>
      <c r="L10317" s="2"/>
      <c r="M10317" s="2"/>
      <c r="N10317" s="2"/>
      <c r="O10317" s="2"/>
      <c r="P10317" s="2"/>
      <c r="Q10317" s="2"/>
      <c r="R10317" s="2"/>
      <c r="S10317" s="2"/>
      <c r="T10317" s="2"/>
      <c r="U10317" s="2"/>
      <c r="V10317" s="2"/>
      <c r="W10317" s="2"/>
      <c r="X10317" s="2"/>
      <c r="Y10317" s="2"/>
      <c r="Z10317" s="2"/>
    </row>
    <row r="10318" spans="1:26" ht="17.399999999999999" x14ac:dyDescent="0.3">
      <c r="A10318" s="10"/>
      <c r="B10318" s="2"/>
      <c r="C10318" s="2"/>
      <c r="D10318" s="2"/>
      <c r="E10318" s="2"/>
      <c r="F10318" s="2"/>
      <c r="G10318" s="2"/>
      <c r="H10318" s="2"/>
      <c r="I10318" s="2"/>
      <c r="J10318" s="2"/>
      <c r="K10318" s="2"/>
      <c r="L10318" s="2"/>
      <c r="M10318" s="2"/>
      <c r="N10318" s="2"/>
      <c r="O10318" s="2"/>
      <c r="P10318" s="2"/>
      <c r="Q10318" s="2"/>
      <c r="R10318" s="2"/>
      <c r="S10318" s="2"/>
      <c r="T10318" s="2"/>
      <c r="U10318" s="2"/>
      <c r="V10318" s="2"/>
      <c r="W10318" s="2"/>
      <c r="X10318" s="2"/>
      <c r="Y10318" s="2"/>
      <c r="Z10318" s="2"/>
    </row>
    <row r="10319" spans="1:26" ht="17.399999999999999" x14ac:dyDescent="0.3">
      <c r="A10319" s="10"/>
      <c r="B10319" s="2"/>
      <c r="C10319" s="2"/>
      <c r="D10319" s="2"/>
      <c r="E10319" s="2"/>
      <c r="F10319" s="2"/>
      <c r="G10319" s="2"/>
      <c r="H10319" s="2"/>
      <c r="I10319" s="2"/>
      <c r="J10319" s="2"/>
      <c r="K10319" s="2"/>
      <c r="L10319" s="2"/>
      <c r="M10319" s="2"/>
      <c r="N10319" s="2"/>
      <c r="O10319" s="2"/>
      <c r="P10319" s="2"/>
      <c r="Q10319" s="2"/>
      <c r="R10319" s="2"/>
      <c r="S10319" s="2"/>
      <c r="T10319" s="2"/>
      <c r="U10319" s="2"/>
      <c r="V10319" s="2"/>
      <c r="W10319" s="2"/>
      <c r="X10319" s="2"/>
      <c r="Y10319" s="2"/>
      <c r="Z10319" s="2"/>
    </row>
    <row r="10320" spans="1:26" ht="17.399999999999999" x14ac:dyDescent="0.3">
      <c r="A10320" s="10"/>
      <c r="B10320" s="2"/>
      <c r="C10320" s="2"/>
      <c r="D10320" s="2"/>
      <c r="E10320" s="2"/>
      <c r="F10320" s="2"/>
      <c r="G10320" s="2"/>
      <c r="H10320" s="2"/>
      <c r="I10320" s="2"/>
      <c r="J10320" s="2"/>
      <c r="K10320" s="2"/>
      <c r="L10320" s="2"/>
      <c r="M10320" s="2"/>
      <c r="N10320" s="2"/>
      <c r="O10320" s="2"/>
      <c r="P10320" s="2"/>
      <c r="Q10320" s="2"/>
      <c r="R10320" s="2"/>
      <c r="S10320" s="2"/>
      <c r="T10320" s="2"/>
      <c r="U10320" s="2"/>
      <c r="V10320" s="2"/>
      <c r="W10320" s="2"/>
      <c r="X10320" s="2"/>
      <c r="Y10320" s="2"/>
      <c r="Z10320" s="2"/>
    </row>
    <row r="10321" spans="1:26" ht="17.399999999999999" x14ac:dyDescent="0.3">
      <c r="A10321" s="10"/>
      <c r="B10321" s="2"/>
      <c r="C10321" s="2"/>
      <c r="D10321" s="2"/>
      <c r="E10321" s="2"/>
      <c r="F10321" s="2"/>
      <c r="G10321" s="2"/>
      <c r="H10321" s="2"/>
      <c r="I10321" s="2"/>
      <c r="J10321" s="2"/>
      <c r="K10321" s="2"/>
      <c r="L10321" s="2"/>
      <c r="M10321" s="2"/>
      <c r="N10321" s="2"/>
      <c r="O10321" s="2"/>
      <c r="P10321" s="2"/>
      <c r="Q10321" s="2"/>
      <c r="R10321" s="2"/>
      <c r="S10321" s="2"/>
      <c r="T10321" s="2"/>
      <c r="U10321" s="2"/>
      <c r="V10321" s="2"/>
      <c r="W10321" s="2"/>
      <c r="X10321" s="2"/>
      <c r="Y10321" s="2"/>
      <c r="Z10321" s="2"/>
    </row>
    <row r="10322" spans="1:26" ht="17.399999999999999" x14ac:dyDescent="0.3">
      <c r="A10322" s="10"/>
      <c r="B10322" s="2"/>
      <c r="C10322" s="2"/>
      <c r="D10322" s="2"/>
      <c r="E10322" s="2"/>
      <c r="F10322" s="2"/>
      <c r="G10322" s="2"/>
      <c r="H10322" s="2"/>
      <c r="I10322" s="2"/>
      <c r="J10322" s="2"/>
      <c r="K10322" s="2"/>
      <c r="L10322" s="2"/>
      <c r="M10322" s="2"/>
      <c r="N10322" s="2"/>
      <c r="O10322" s="2"/>
      <c r="P10322" s="2"/>
      <c r="Q10322" s="2"/>
      <c r="R10322" s="2"/>
      <c r="S10322" s="2"/>
      <c r="T10322" s="2"/>
      <c r="U10322" s="2"/>
      <c r="V10322" s="2"/>
      <c r="W10322" s="2"/>
      <c r="X10322" s="2"/>
      <c r="Y10322" s="2"/>
      <c r="Z10322" s="2"/>
    </row>
    <row r="10323" spans="1:26" ht="17.399999999999999" x14ac:dyDescent="0.3">
      <c r="A10323" s="10"/>
      <c r="B10323" s="2"/>
      <c r="C10323" s="2"/>
      <c r="D10323" s="2"/>
      <c r="E10323" s="2"/>
      <c r="F10323" s="2"/>
      <c r="G10323" s="2"/>
      <c r="H10323" s="2"/>
      <c r="I10323" s="2"/>
      <c r="J10323" s="2"/>
      <c r="K10323" s="2"/>
      <c r="L10323" s="2"/>
      <c r="M10323" s="2"/>
      <c r="N10323" s="2"/>
      <c r="O10323" s="2"/>
      <c r="P10323" s="2"/>
      <c r="Q10323" s="2"/>
      <c r="R10323" s="2"/>
      <c r="S10323" s="2"/>
      <c r="T10323" s="2"/>
      <c r="U10323" s="2"/>
      <c r="V10323" s="2"/>
      <c r="W10323" s="2"/>
      <c r="X10323" s="2"/>
      <c r="Y10323" s="2"/>
      <c r="Z10323" s="2"/>
    </row>
    <row r="10324" spans="1:26" ht="17.399999999999999" x14ac:dyDescent="0.3">
      <c r="A10324" s="10"/>
      <c r="B10324" s="2"/>
      <c r="C10324" s="2"/>
      <c r="D10324" s="2"/>
      <c r="E10324" s="2"/>
      <c r="F10324" s="2"/>
      <c r="G10324" s="2"/>
      <c r="H10324" s="2"/>
      <c r="I10324" s="2"/>
      <c r="J10324" s="2"/>
      <c r="K10324" s="2"/>
      <c r="L10324" s="2"/>
      <c r="M10324" s="2"/>
      <c r="N10324" s="2"/>
      <c r="O10324" s="2"/>
      <c r="P10324" s="2"/>
      <c r="Q10324" s="2"/>
      <c r="R10324" s="2"/>
      <c r="S10324" s="2"/>
      <c r="T10324" s="2"/>
      <c r="U10324" s="2"/>
      <c r="V10324" s="2"/>
      <c r="W10324" s="2"/>
      <c r="X10324" s="2"/>
      <c r="Y10324" s="2"/>
      <c r="Z10324" s="2"/>
    </row>
    <row r="10325" spans="1:26" ht="17.399999999999999" x14ac:dyDescent="0.3">
      <c r="A10325" s="10"/>
      <c r="B10325" s="2"/>
      <c r="C10325" s="2"/>
      <c r="D10325" s="2"/>
      <c r="E10325" s="2"/>
      <c r="F10325" s="2"/>
      <c r="G10325" s="2"/>
      <c r="H10325" s="2"/>
      <c r="I10325" s="2"/>
      <c r="J10325" s="2"/>
      <c r="K10325" s="2"/>
      <c r="L10325" s="2"/>
      <c r="M10325" s="2"/>
      <c r="N10325" s="2"/>
      <c r="O10325" s="2"/>
      <c r="P10325" s="2"/>
      <c r="Q10325" s="2"/>
      <c r="R10325" s="2"/>
      <c r="S10325" s="2"/>
      <c r="T10325" s="2"/>
      <c r="U10325" s="2"/>
      <c r="V10325" s="2"/>
      <c r="W10325" s="2"/>
      <c r="X10325" s="2"/>
      <c r="Y10325" s="2"/>
      <c r="Z10325" s="2"/>
    </row>
    <row r="10326" spans="1:26" ht="17.399999999999999" x14ac:dyDescent="0.3">
      <c r="A10326" s="10"/>
      <c r="B10326" s="2"/>
      <c r="C10326" s="2"/>
      <c r="D10326" s="2"/>
      <c r="E10326" s="2"/>
      <c r="F10326" s="2"/>
      <c r="G10326" s="2"/>
      <c r="H10326" s="2"/>
      <c r="I10326" s="2"/>
      <c r="J10326" s="2"/>
      <c r="K10326" s="2"/>
      <c r="L10326" s="2"/>
      <c r="M10326" s="2"/>
      <c r="N10326" s="2"/>
      <c r="O10326" s="2"/>
      <c r="P10326" s="2"/>
      <c r="Q10326" s="2"/>
      <c r="R10326" s="2"/>
      <c r="S10326" s="2"/>
      <c r="T10326" s="2"/>
      <c r="U10326" s="2"/>
      <c r="V10326" s="2"/>
      <c r="W10326" s="2"/>
      <c r="X10326" s="2"/>
      <c r="Y10326" s="2"/>
      <c r="Z10326" s="2"/>
    </row>
    <row r="10327" spans="1:26" ht="17.399999999999999" x14ac:dyDescent="0.3">
      <c r="A10327" s="10"/>
      <c r="B10327" s="2"/>
      <c r="C10327" s="2"/>
      <c r="D10327" s="2"/>
      <c r="E10327" s="2"/>
      <c r="F10327" s="2"/>
      <c r="G10327" s="2"/>
      <c r="H10327" s="2"/>
      <c r="I10327" s="2"/>
      <c r="J10327" s="2"/>
      <c r="K10327" s="2"/>
      <c r="L10327" s="2"/>
      <c r="M10327" s="2"/>
      <c r="N10327" s="2"/>
      <c r="O10327" s="2"/>
      <c r="P10327" s="2"/>
      <c r="Q10327" s="2"/>
      <c r="R10327" s="2"/>
      <c r="S10327" s="2"/>
      <c r="T10327" s="2"/>
      <c r="U10327" s="2"/>
      <c r="V10327" s="2"/>
      <c r="W10327" s="2"/>
      <c r="X10327" s="2"/>
      <c r="Y10327" s="2"/>
      <c r="Z10327" s="2"/>
    </row>
    <row r="10328" spans="1:26" ht="17.399999999999999" x14ac:dyDescent="0.3">
      <c r="A10328" s="10"/>
      <c r="B10328" s="2"/>
      <c r="C10328" s="2"/>
      <c r="D10328" s="2"/>
      <c r="E10328" s="2"/>
      <c r="F10328" s="2"/>
      <c r="G10328" s="2"/>
      <c r="H10328" s="2"/>
      <c r="I10328" s="2"/>
      <c r="J10328" s="2"/>
      <c r="K10328" s="2"/>
      <c r="L10328" s="2"/>
      <c r="M10328" s="2"/>
      <c r="N10328" s="2"/>
      <c r="O10328" s="2"/>
      <c r="P10328" s="2"/>
      <c r="Q10328" s="2"/>
      <c r="R10328" s="2"/>
      <c r="S10328" s="2"/>
      <c r="T10328" s="2"/>
      <c r="U10328" s="2"/>
      <c r="V10328" s="2"/>
      <c r="W10328" s="2"/>
      <c r="X10328" s="2"/>
      <c r="Y10328" s="2"/>
      <c r="Z10328" s="2"/>
    </row>
    <row r="10329" spans="1:26" ht="17.399999999999999" x14ac:dyDescent="0.3">
      <c r="A10329" s="10"/>
      <c r="B10329" s="2"/>
      <c r="C10329" s="2"/>
      <c r="D10329" s="2"/>
      <c r="E10329" s="2"/>
      <c r="F10329" s="2"/>
      <c r="G10329" s="2"/>
      <c r="H10329" s="2"/>
      <c r="I10329" s="2"/>
      <c r="J10329" s="2"/>
      <c r="K10329" s="2"/>
      <c r="L10329" s="2"/>
      <c r="M10329" s="2"/>
      <c r="N10329" s="2"/>
      <c r="O10329" s="2"/>
      <c r="P10329" s="2"/>
      <c r="Q10329" s="2"/>
      <c r="R10329" s="2"/>
      <c r="S10329" s="2"/>
      <c r="T10329" s="2"/>
      <c r="U10329" s="2"/>
      <c r="V10329" s="2"/>
      <c r="W10329" s="2"/>
      <c r="X10329" s="2"/>
      <c r="Y10329" s="2"/>
      <c r="Z10329" s="2"/>
    </row>
    <row r="10330" spans="1:26" ht="17.399999999999999" x14ac:dyDescent="0.3">
      <c r="A10330" s="10"/>
      <c r="B10330" s="2"/>
      <c r="C10330" s="2"/>
      <c r="D10330" s="2"/>
      <c r="E10330" s="2"/>
      <c r="F10330" s="2"/>
      <c r="G10330" s="2"/>
      <c r="H10330" s="2"/>
      <c r="I10330" s="2"/>
      <c r="J10330" s="2"/>
      <c r="K10330" s="2"/>
      <c r="L10330" s="2"/>
      <c r="M10330" s="2"/>
      <c r="N10330" s="2"/>
      <c r="O10330" s="2"/>
      <c r="P10330" s="2"/>
      <c r="Q10330" s="2"/>
      <c r="R10330" s="2"/>
      <c r="S10330" s="2"/>
      <c r="T10330" s="2"/>
      <c r="U10330" s="2"/>
      <c r="V10330" s="2"/>
      <c r="W10330" s="2"/>
      <c r="X10330" s="2"/>
      <c r="Y10330" s="2"/>
      <c r="Z10330" s="2"/>
    </row>
    <row r="10331" spans="1:26" ht="17.399999999999999" x14ac:dyDescent="0.3">
      <c r="A10331" s="10"/>
      <c r="B10331" s="2"/>
      <c r="C10331" s="2"/>
      <c r="D10331" s="2"/>
      <c r="E10331" s="2"/>
      <c r="F10331" s="2"/>
      <c r="G10331" s="2"/>
      <c r="H10331" s="2"/>
      <c r="I10331" s="2"/>
      <c r="J10331" s="2"/>
      <c r="K10331" s="2"/>
      <c r="L10331" s="2"/>
      <c r="M10331" s="2"/>
      <c r="N10331" s="2"/>
      <c r="O10331" s="2"/>
      <c r="P10331" s="2"/>
      <c r="Q10331" s="2"/>
      <c r="R10331" s="2"/>
      <c r="S10331" s="2"/>
      <c r="T10331" s="2"/>
      <c r="U10331" s="2"/>
      <c r="V10331" s="2"/>
      <c r="W10331" s="2"/>
      <c r="X10331" s="2"/>
      <c r="Y10331" s="2"/>
      <c r="Z10331" s="2"/>
    </row>
    <row r="10332" spans="1:26" ht="17.399999999999999" x14ac:dyDescent="0.3">
      <c r="A10332" s="10"/>
      <c r="B10332" s="2"/>
      <c r="C10332" s="2"/>
      <c r="D10332" s="2"/>
      <c r="E10332" s="2"/>
      <c r="F10332" s="2"/>
      <c r="G10332" s="2"/>
      <c r="H10332" s="2"/>
      <c r="I10332" s="2"/>
      <c r="J10332" s="2"/>
      <c r="K10332" s="2"/>
      <c r="L10332" s="2"/>
      <c r="M10332" s="2"/>
      <c r="N10332" s="2"/>
      <c r="O10332" s="2"/>
      <c r="P10332" s="2"/>
      <c r="Q10332" s="2"/>
      <c r="R10332" s="2"/>
      <c r="S10332" s="2"/>
      <c r="T10332" s="2"/>
      <c r="U10332" s="2"/>
      <c r="V10332" s="2"/>
      <c r="W10332" s="2"/>
      <c r="X10332" s="2"/>
      <c r="Y10332" s="2"/>
      <c r="Z10332" s="2"/>
    </row>
    <row r="10333" spans="1:26" ht="17.399999999999999" x14ac:dyDescent="0.3">
      <c r="A10333" s="10"/>
      <c r="B10333" s="2"/>
      <c r="C10333" s="2"/>
      <c r="D10333" s="2"/>
      <c r="E10333" s="2"/>
      <c r="F10333" s="2"/>
      <c r="G10333" s="2"/>
      <c r="H10333" s="2"/>
      <c r="I10333" s="2"/>
      <c r="J10333" s="2"/>
      <c r="K10333" s="2"/>
      <c r="L10333" s="2"/>
      <c r="M10333" s="2"/>
      <c r="N10333" s="2"/>
      <c r="O10333" s="2"/>
      <c r="P10333" s="2"/>
      <c r="Q10333" s="2"/>
      <c r="R10333" s="2"/>
      <c r="S10333" s="2"/>
      <c r="T10333" s="2"/>
      <c r="U10333" s="2"/>
      <c r="V10333" s="2"/>
      <c r="W10333" s="2"/>
      <c r="X10333" s="2"/>
      <c r="Y10333" s="2"/>
      <c r="Z10333" s="2"/>
    </row>
    <row r="10334" spans="1:26" ht="17.399999999999999" x14ac:dyDescent="0.3">
      <c r="A10334" s="10"/>
      <c r="B10334" s="2"/>
      <c r="C10334" s="2"/>
      <c r="D10334" s="2"/>
      <c r="E10334" s="2"/>
      <c r="F10334" s="2"/>
      <c r="G10334" s="2"/>
      <c r="H10334" s="2"/>
      <c r="I10334" s="2"/>
      <c r="J10334" s="2"/>
      <c r="K10334" s="2"/>
      <c r="L10334" s="2"/>
      <c r="M10334" s="2"/>
      <c r="N10334" s="2"/>
      <c r="O10334" s="2"/>
      <c r="P10334" s="2"/>
      <c r="Q10334" s="2"/>
      <c r="R10334" s="2"/>
      <c r="S10334" s="2"/>
      <c r="T10334" s="2"/>
      <c r="U10334" s="2"/>
      <c r="V10334" s="2"/>
      <c r="W10334" s="2"/>
      <c r="X10334" s="2"/>
      <c r="Y10334" s="2"/>
      <c r="Z10334" s="2"/>
    </row>
    <row r="10335" spans="1:26" ht="17.399999999999999" x14ac:dyDescent="0.3">
      <c r="A10335" s="10"/>
      <c r="B10335" s="2"/>
      <c r="C10335" s="2"/>
      <c r="D10335" s="2"/>
      <c r="E10335" s="2"/>
      <c r="F10335" s="2"/>
      <c r="G10335" s="2"/>
      <c r="H10335" s="2"/>
      <c r="I10335" s="2"/>
      <c r="J10335" s="2"/>
      <c r="K10335" s="2"/>
      <c r="L10335" s="2"/>
      <c r="M10335" s="2"/>
      <c r="N10335" s="2"/>
      <c r="O10335" s="2"/>
      <c r="P10335" s="2"/>
      <c r="Q10335" s="2"/>
      <c r="R10335" s="2"/>
      <c r="S10335" s="2"/>
      <c r="T10335" s="2"/>
      <c r="U10335" s="2"/>
      <c r="V10335" s="2"/>
      <c r="W10335" s="2"/>
      <c r="X10335" s="2"/>
      <c r="Y10335" s="2"/>
      <c r="Z10335" s="2"/>
    </row>
    <row r="10336" spans="1:26" ht="17.399999999999999" x14ac:dyDescent="0.3">
      <c r="A10336" s="10"/>
      <c r="B10336" s="2"/>
      <c r="C10336" s="2"/>
      <c r="D10336" s="2"/>
      <c r="E10336" s="2"/>
      <c r="F10336" s="2"/>
      <c r="G10336" s="2"/>
      <c r="H10336" s="2"/>
      <c r="I10336" s="2"/>
      <c r="J10336" s="2"/>
      <c r="K10336" s="2"/>
      <c r="L10336" s="2"/>
      <c r="M10336" s="2"/>
      <c r="N10336" s="2"/>
      <c r="O10336" s="2"/>
      <c r="P10336" s="2"/>
      <c r="Q10336" s="2"/>
      <c r="R10336" s="2"/>
      <c r="S10336" s="2"/>
      <c r="T10336" s="2"/>
      <c r="U10336" s="2"/>
      <c r="V10336" s="2"/>
      <c r="W10336" s="2"/>
      <c r="X10336" s="2"/>
      <c r="Y10336" s="2"/>
      <c r="Z10336" s="2"/>
    </row>
    <row r="10337" spans="1:26" ht="17.399999999999999" x14ac:dyDescent="0.3">
      <c r="A10337" s="10"/>
      <c r="B10337" s="2"/>
      <c r="C10337" s="2"/>
      <c r="D10337" s="2"/>
      <c r="E10337" s="2"/>
      <c r="F10337" s="2"/>
      <c r="G10337" s="2"/>
      <c r="H10337" s="2"/>
      <c r="I10337" s="2"/>
      <c r="J10337" s="2"/>
      <c r="K10337" s="2"/>
      <c r="L10337" s="2"/>
      <c r="M10337" s="2"/>
      <c r="N10337" s="2"/>
      <c r="O10337" s="2"/>
      <c r="P10337" s="2"/>
      <c r="Q10337" s="2"/>
      <c r="R10337" s="2"/>
      <c r="S10337" s="2"/>
      <c r="T10337" s="2"/>
      <c r="U10337" s="2"/>
      <c r="V10337" s="2"/>
      <c r="W10337" s="2"/>
      <c r="X10337" s="2"/>
      <c r="Y10337" s="2"/>
      <c r="Z10337" s="2"/>
    </row>
    <row r="10338" spans="1:26" ht="17.399999999999999" x14ac:dyDescent="0.3">
      <c r="A10338" s="10"/>
      <c r="B10338" s="2"/>
      <c r="C10338" s="2"/>
      <c r="D10338" s="2"/>
      <c r="E10338" s="2"/>
      <c r="F10338" s="2"/>
      <c r="G10338" s="2"/>
      <c r="H10338" s="2"/>
      <c r="I10338" s="2"/>
      <c r="J10338" s="2"/>
      <c r="K10338" s="2"/>
      <c r="L10338" s="2"/>
      <c r="M10338" s="2"/>
      <c r="N10338" s="2"/>
      <c r="O10338" s="2"/>
      <c r="P10338" s="2"/>
      <c r="Q10338" s="2"/>
      <c r="R10338" s="2"/>
      <c r="S10338" s="2"/>
      <c r="T10338" s="2"/>
      <c r="U10338" s="2"/>
      <c r="V10338" s="2"/>
      <c r="W10338" s="2"/>
      <c r="X10338" s="2"/>
      <c r="Y10338" s="2"/>
      <c r="Z10338" s="2"/>
    </row>
    <row r="10339" spans="1:26" ht="17.399999999999999" x14ac:dyDescent="0.3">
      <c r="A10339" s="10"/>
      <c r="B10339" s="2"/>
      <c r="C10339" s="2"/>
      <c r="D10339" s="2"/>
      <c r="E10339" s="2"/>
      <c r="F10339" s="2"/>
      <c r="G10339" s="2"/>
      <c r="H10339" s="2"/>
      <c r="I10339" s="2"/>
      <c r="J10339" s="2"/>
      <c r="K10339" s="2"/>
      <c r="L10339" s="2"/>
      <c r="M10339" s="2"/>
      <c r="N10339" s="2"/>
      <c r="O10339" s="2"/>
      <c r="P10339" s="2"/>
      <c r="Q10339" s="2"/>
      <c r="R10339" s="2"/>
      <c r="S10339" s="2"/>
      <c r="T10339" s="2"/>
      <c r="U10339" s="2"/>
      <c r="V10339" s="2"/>
      <c r="W10339" s="2"/>
      <c r="X10339" s="2"/>
      <c r="Y10339" s="2"/>
      <c r="Z10339" s="2"/>
    </row>
    <row r="10340" spans="1:26" ht="17.399999999999999" x14ac:dyDescent="0.3">
      <c r="A10340" s="10"/>
      <c r="B10340" s="2"/>
      <c r="C10340" s="2"/>
      <c r="D10340" s="2"/>
      <c r="E10340" s="2"/>
      <c r="F10340" s="2"/>
      <c r="G10340" s="2"/>
      <c r="H10340" s="2"/>
      <c r="I10340" s="2"/>
      <c r="J10340" s="2"/>
      <c r="K10340" s="2"/>
      <c r="L10340" s="2"/>
      <c r="M10340" s="2"/>
      <c r="N10340" s="2"/>
      <c r="O10340" s="2"/>
      <c r="P10340" s="2"/>
      <c r="Q10340" s="2"/>
      <c r="R10340" s="2"/>
      <c r="S10340" s="2"/>
      <c r="T10340" s="2"/>
      <c r="U10340" s="2"/>
      <c r="V10340" s="2"/>
      <c r="W10340" s="2"/>
      <c r="X10340" s="2"/>
      <c r="Y10340" s="2"/>
      <c r="Z10340" s="2"/>
    </row>
    <row r="10341" spans="1:26" ht="17.399999999999999" x14ac:dyDescent="0.3">
      <c r="A10341" s="10"/>
      <c r="B10341" s="2"/>
      <c r="C10341" s="2"/>
      <c r="D10341" s="2"/>
      <c r="E10341" s="2"/>
      <c r="F10341" s="2"/>
      <c r="G10341" s="2"/>
      <c r="H10341" s="2"/>
      <c r="I10341" s="2"/>
      <c r="J10341" s="2"/>
      <c r="K10341" s="2"/>
      <c r="L10341" s="2"/>
      <c r="M10341" s="2"/>
      <c r="N10341" s="2"/>
      <c r="O10341" s="2"/>
      <c r="P10341" s="2"/>
      <c r="Q10341" s="2"/>
      <c r="R10341" s="2"/>
      <c r="S10341" s="2"/>
      <c r="T10341" s="2"/>
      <c r="U10341" s="2"/>
      <c r="V10341" s="2"/>
      <c r="W10341" s="2"/>
      <c r="X10341" s="2"/>
      <c r="Y10341" s="2"/>
      <c r="Z10341" s="2"/>
    </row>
    <row r="10342" spans="1:26" ht="17.399999999999999" x14ac:dyDescent="0.3">
      <c r="A10342" s="10"/>
      <c r="B10342" s="2"/>
      <c r="C10342" s="2"/>
      <c r="D10342" s="2"/>
      <c r="E10342" s="2"/>
      <c r="F10342" s="2"/>
      <c r="G10342" s="2"/>
      <c r="H10342" s="2"/>
      <c r="I10342" s="2"/>
      <c r="J10342" s="2"/>
      <c r="K10342" s="2"/>
      <c r="L10342" s="2"/>
      <c r="M10342" s="2"/>
      <c r="N10342" s="2"/>
      <c r="O10342" s="2"/>
      <c r="P10342" s="2"/>
      <c r="Q10342" s="2"/>
      <c r="R10342" s="2"/>
      <c r="S10342" s="2"/>
      <c r="T10342" s="2"/>
      <c r="U10342" s="2"/>
      <c r="V10342" s="2"/>
      <c r="W10342" s="2"/>
      <c r="X10342" s="2"/>
      <c r="Y10342" s="2"/>
      <c r="Z10342" s="2"/>
    </row>
    <row r="10343" spans="1:26" ht="17.399999999999999" x14ac:dyDescent="0.3">
      <c r="A10343" s="10"/>
      <c r="B10343" s="2"/>
      <c r="C10343" s="2"/>
      <c r="D10343" s="2"/>
      <c r="E10343" s="2"/>
      <c r="F10343" s="2"/>
      <c r="G10343" s="2"/>
      <c r="H10343" s="2"/>
      <c r="I10343" s="2"/>
      <c r="J10343" s="2"/>
      <c r="K10343" s="2"/>
      <c r="L10343" s="2"/>
      <c r="M10343" s="2"/>
      <c r="N10343" s="2"/>
      <c r="O10343" s="2"/>
      <c r="P10343" s="2"/>
      <c r="Q10343" s="2"/>
      <c r="R10343" s="2"/>
      <c r="S10343" s="2"/>
      <c r="T10343" s="2"/>
      <c r="U10343" s="2"/>
      <c r="V10343" s="2"/>
      <c r="W10343" s="2"/>
      <c r="X10343" s="2"/>
      <c r="Y10343" s="2"/>
      <c r="Z10343" s="2"/>
    </row>
    <row r="10344" spans="1:26" ht="17.399999999999999" x14ac:dyDescent="0.3">
      <c r="A10344" s="10"/>
      <c r="B10344" s="2"/>
      <c r="C10344" s="2"/>
      <c r="D10344" s="2"/>
      <c r="E10344" s="2"/>
      <c r="F10344" s="2"/>
      <c r="G10344" s="2"/>
      <c r="H10344" s="2"/>
      <c r="I10344" s="2"/>
      <c r="J10344" s="2"/>
      <c r="K10344" s="2"/>
      <c r="L10344" s="2"/>
      <c r="M10344" s="2"/>
      <c r="N10344" s="2"/>
      <c r="O10344" s="2"/>
      <c r="P10344" s="2"/>
      <c r="Q10344" s="2"/>
      <c r="R10344" s="2"/>
      <c r="S10344" s="2"/>
      <c r="T10344" s="2"/>
      <c r="U10344" s="2"/>
      <c r="V10344" s="2"/>
      <c r="W10344" s="2"/>
      <c r="X10344" s="2"/>
      <c r="Y10344" s="2"/>
      <c r="Z10344" s="2"/>
    </row>
    <row r="10345" spans="1:26" ht="17.399999999999999" x14ac:dyDescent="0.3">
      <c r="A10345" s="10"/>
      <c r="B10345" s="2"/>
      <c r="C10345" s="2"/>
      <c r="D10345" s="2"/>
      <c r="E10345" s="2"/>
      <c r="F10345" s="2"/>
      <c r="G10345" s="2"/>
      <c r="H10345" s="2"/>
      <c r="I10345" s="2"/>
      <c r="J10345" s="2"/>
      <c r="K10345" s="2"/>
      <c r="L10345" s="2"/>
      <c r="M10345" s="2"/>
      <c r="N10345" s="2"/>
      <c r="O10345" s="2"/>
      <c r="P10345" s="2"/>
      <c r="Q10345" s="2"/>
      <c r="R10345" s="2"/>
      <c r="S10345" s="2"/>
      <c r="T10345" s="2"/>
      <c r="U10345" s="2"/>
      <c r="V10345" s="2"/>
      <c r="W10345" s="2"/>
      <c r="X10345" s="2"/>
      <c r="Y10345" s="2"/>
      <c r="Z10345" s="2"/>
    </row>
    <row r="10346" spans="1:26" ht="17.399999999999999" x14ac:dyDescent="0.3">
      <c r="A10346" s="10"/>
      <c r="B10346" s="2"/>
      <c r="C10346" s="2"/>
      <c r="D10346" s="2"/>
      <c r="E10346" s="2"/>
      <c r="F10346" s="2"/>
      <c r="G10346" s="2"/>
      <c r="H10346" s="2"/>
      <c r="I10346" s="2"/>
      <c r="J10346" s="2"/>
      <c r="K10346" s="2"/>
      <c r="L10346" s="2"/>
      <c r="M10346" s="2"/>
      <c r="N10346" s="2"/>
      <c r="O10346" s="2"/>
      <c r="P10346" s="2"/>
      <c r="Q10346" s="2"/>
      <c r="R10346" s="2"/>
      <c r="S10346" s="2"/>
      <c r="T10346" s="2"/>
      <c r="U10346" s="2"/>
      <c r="V10346" s="2"/>
      <c r="W10346" s="2"/>
      <c r="X10346" s="2"/>
      <c r="Y10346" s="2"/>
      <c r="Z10346" s="2"/>
    </row>
    <row r="10347" spans="1:26" ht="17.399999999999999" x14ac:dyDescent="0.3">
      <c r="A10347" s="10"/>
      <c r="B10347" s="2"/>
      <c r="C10347" s="2"/>
      <c r="D10347" s="2"/>
      <c r="E10347" s="2"/>
      <c r="F10347" s="2"/>
      <c r="G10347" s="2"/>
      <c r="H10347" s="2"/>
      <c r="I10347" s="2"/>
      <c r="J10347" s="2"/>
      <c r="K10347" s="2"/>
      <c r="L10347" s="2"/>
      <c r="M10347" s="2"/>
      <c r="N10347" s="2"/>
      <c r="O10347" s="2"/>
      <c r="P10347" s="2"/>
      <c r="Q10347" s="2"/>
      <c r="R10347" s="2"/>
      <c r="S10347" s="2"/>
      <c r="T10347" s="2"/>
      <c r="U10347" s="2"/>
      <c r="V10347" s="2"/>
      <c r="W10347" s="2"/>
      <c r="X10347" s="2"/>
      <c r="Y10347" s="2"/>
      <c r="Z10347" s="2"/>
    </row>
    <row r="10348" spans="1:26" ht="17.399999999999999" x14ac:dyDescent="0.3">
      <c r="A10348" s="10"/>
      <c r="B10348" s="2"/>
      <c r="C10348" s="2"/>
      <c r="D10348" s="2"/>
      <c r="E10348" s="2"/>
      <c r="F10348" s="2"/>
      <c r="G10348" s="2"/>
      <c r="H10348" s="2"/>
      <c r="I10348" s="2"/>
      <c r="J10348" s="2"/>
      <c r="K10348" s="2"/>
      <c r="L10348" s="2"/>
      <c r="M10348" s="2"/>
      <c r="N10348" s="2"/>
      <c r="O10348" s="2"/>
      <c r="P10348" s="2"/>
      <c r="Q10348" s="2"/>
      <c r="R10348" s="2"/>
      <c r="S10348" s="2"/>
      <c r="T10348" s="2"/>
      <c r="U10348" s="2"/>
      <c r="V10348" s="2"/>
      <c r="W10348" s="2"/>
      <c r="X10348" s="2"/>
      <c r="Y10348" s="2"/>
      <c r="Z10348" s="2"/>
    </row>
    <row r="10349" spans="1:26" ht="17.399999999999999" x14ac:dyDescent="0.3">
      <c r="A10349" s="10"/>
      <c r="B10349" s="2"/>
      <c r="C10349" s="2"/>
      <c r="D10349" s="2"/>
      <c r="E10349" s="2"/>
      <c r="F10349" s="2"/>
      <c r="G10349" s="2"/>
      <c r="H10349" s="2"/>
      <c r="I10349" s="2"/>
      <c r="J10349" s="2"/>
      <c r="K10349" s="2"/>
      <c r="L10349" s="2"/>
      <c r="M10349" s="2"/>
      <c r="N10349" s="2"/>
      <c r="O10349" s="2"/>
      <c r="P10349" s="2"/>
      <c r="Q10349" s="2"/>
      <c r="R10349" s="2"/>
      <c r="S10349" s="2"/>
      <c r="T10349" s="2"/>
      <c r="U10349" s="2"/>
      <c r="V10349" s="2"/>
      <c r="W10349" s="2"/>
      <c r="X10349" s="2"/>
      <c r="Y10349" s="2"/>
      <c r="Z10349" s="2"/>
    </row>
    <row r="10350" spans="1:26" ht="17.399999999999999" x14ac:dyDescent="0.3">
      <c r="A10350" s="10"/>
      <c r="B10350" s="2"/>
      <c r="C10350" s="2"/>
      <c r="D10350" s="2"/>
      <c r="E10350" s="2"/>
      <c r="F10350" s="2"/>
      <c r="G10350" s="2"/>
      <c r="H10350" s="2"/>
      <c r="I10350" s="2"/>
      <c r="J10350" s="2"/>
      <c r="K10350" s="2"/>
      <c r="L10350" s="2"/>
      <c r="M10350" s="2"/>
      <c r="N10350" s="2"/>
      <c r="O10350" s="2"/>
      <c r="P10350" s="2"/>
      <c r="Q10350" s="2"/>
      <c r="R10350" s="2"/>
      <c r="S10350" s="2"/>
      <c r="T10350" s="2"/>
      <c r="U10350" s="2"/>
      <c r="V10350" s="2"/>
      <c r="W10350" s="2"/>
      <c r="X10350" s="2"/>
      <c r="Y10350" s="2"/>
      <c r="Z10350" s="2"/>
    </row>
    <row r="10351" spans="1:26" ht="17.399999999999999" x14ac:dyDescent="0.3">
      <c r="A10351" s="10"/>
      <c r="B10351" s="2"/>
      <c r="C10351" s="2"/>
      <c r="D10351" s="2"/>
      <c r="E10351" s="2"/>
      <c r="F10351" s="2"/>
      <c r="G10351" s="2"/>
      <c r="H10351" s="2"/>
      <c r="I10351" s="2"/>
      <c r="J10351" s="2"/>
      <c r="K10351" s="2"/>
      <c r="L10351" s="2"/>
      <c r="M10351" s="2"/>
      <c r="N10351" s="2"/>
      <c r="O10351" s="2"/>
      <c r="P10351" s="2"/>
      <c r="Q10351" s="2"/>
      <c r="R10351" s="2"/>
      <c r="S10351" s="2"/>
      <c r="T10351" s="2"/>
      <c r="U10351" s="2"/>
      <c r="V10351" s="2"/>
      <c r="W10351" s="2"/>
      <c r="X10351" s="2"/>
      <c r="Y10351" s="2"/>
      <c r="Z10351" s="2"/>
    </row>
    <row r="10352" spans="1:26" ht="17.399999999999999" x14ac:dyDescent="0.3">
      <c r="A10352" s="10"/>
      <c r="B10352" s="2"/>
      <c r="C10352" s="2"/>
      <c r="D10352" s="2"/>
      <c r="E10352" s="2"/>
      <c r="F10352" s="2"/>
      <c r="G10352" s="2"/>
      <c r="H10352" s="2"/>
      <c r="I10352" s="2"/>
      <c r="J10352" s="2"/>
      <c r="K10352" s="2"/>
      <c r="L10352" s="2"/>
      <c r="M10352" s="2"/>
      <c r="N10352" s="2"/>
      <c r="O10352" s="2"/>
      <c r="P10352" s="2"/>
      <c r="Q10352" s="2"/>
      <c r="R10352" s="2"/>
      <c r="S10352" s="2"/>
      <c r="T10352" s="2"/>
      <c r="U10352" s="2"/>
      <c r="V10352" s="2"/>
      <c r="W10352" s="2"/>
      <c r="X10352" s="2"/>
      <c r="Y10352" s="2"/>
      <c r="Z10352" s="2"/>
    </row>
    <row r="10353" spans="1:26" ht="17.399999999999999" x14ac:dyDescent="0.3">
      <c r="A10353" s="10"/>
      <c r="B10353" s="2"/>
      <c r="C10353" s="2"/>
      <c r="D10353" s="2"/>
      <c r="E10353" s="2"/>
      <c r="F10353" s="2"/>
      <c r="G10353" s="2"/>
      <c r="H10353" s="2"/>
      <c r="I10353" s="2"/>
      <c r="J10353" s="2"/>
      <c r="K10353" s="2"/>
      <c r="L10353" s="2"/>
      <c r="M10353" s="2"/>
      <c r="N10353" s="2"/>
      <c r="O10353" s="2"/>
      <c r="P10353" s="2"/>
      <c r="Q10353" s="2"/>
      <c r="R10353" s="2"/>
      <c r="S10353" s="2"/>
      <c r="T10353" s="2"/>
      <c r="U10353" s="2"/>
      <c r="V10353" s="2"/>
      <c r="W10353" s="2"/>
      <c r="X10353" s="2"/>
      <c r="Y10353" s="2"/>
      <c r="Z10353" s="2"/>
    </row>
    <row r="10354" spans="1:26" ht="17.399999999999999" x14ac:dyDescent="0.3">
      <c r="A10354" s="10"/>
      <c r="B10354" s="2"/>
      <c r="C10354" s="2"/>
      <c r="D10354" s="2"/>
      <c r="E10354" s="2"/>
      <c r="F10354" s="2"/>
      <c r="G10354" s="2"/>
      <c r="H10354" s="2"/>
      <c r="I10354" s="2"/>
      <c r="J10354" s="2"/>
      <c r="K10354" s="2"/>
      <c r="L10354" s="2"/>
      <c r="M10354" s="2"/>
      <c r="N10354" s="2"/>
      <c r="O10354" s="2"/>
      <c r="P10354" s="2"/>
      <c r="Q10354" s="2"/>
      <c r="R10354" s="2"/>
      <c r="S10354" s="2"/>
      <c r="T10354" s="2"/>
      <c r="U10354" s="2"/>
      <c r="V10354" s="2"/>
      <c r="W10354" s="2"/>
      <c r="X10354" s="2"/>
      <c r="Y10354" s="2"/>
      <c r="Z10354" s="2"/>
    </row>
    <row r="10355" spans="1:26" ht="17.399999999999999" x14ac:dyDescent="0.3">
      <c r="A10355" s="10"/>
      <c r="B10355" s="2"/>
      <c r="C10355" s="2"/>
      <c r="D10355" s="2"/>
      <c r="E10355" s="2"/>
      <c r="F10355" s="2"/>
      <c r="G10355" s="2"/>
      <c r="H10355" s="2"/>
      <c r="I10355" s="2"/>
      <c r="J10355" s="2"/>
      <c r="K10355" s="2"/>
      <c r="L10355" s="2"/>
      <c r="M10355" s="2"/>
      <c r="N10355" s="2"/>
      <c r="O10355" s="2"/>
      <c r="P10355" s="2"/>
      <c r="Q10355" s="2"/>
      <c r="R10355" s="2"/>
      <c r="S10355" s="2"/>
      <c r="T10355" s="2"/>
      <c r="U10355" s="2"/>
      <c r="V10355" s="2"/>
      <c r="W10355" s="2"/>
      <c r="X10355" s="2"/>
      <c r="Y10355" s="2"/>
      <c r="Z10355" s="2"/>
    </row>
    <row r="10356" spans="1:26" ht="17.399999999999999" x14ac:dyDescent="0.3">
      <c r="A10356" s="10"/>
      <c r="B10356" s="2"/>
      <c r="C10356" s="2"/>
      <c r="D10356" s="2"/>
      <c r="E10356" s="2"/>
      <c r="F10356" s="2"/>
      <c r="G10356" s="2"/>
      <c r="H10356" s="2"/>
      <c r="I10356" s="2"/>
      <c r="J10356" s="2"/>
      <c r="K10356" s="2"/>
      <c r="L10356" s="2"/>
      <c r="M10356" s="2"/>
      <c r="N10356" s="2"/>
      <c r="O10356" s="2"/>
      <c r="P10356" s="2"/>
      <c r="Q10356" s="2"/>
      <c r="R10356" s="2"/>
      <c r="S10356" s="2"/>
      <c r="T10356" s="2"/>
      <c r="U10356" s="2"/>
      <c r="V10356" s="2"/>
      <c r="W10356" s="2"/>
      <c r="X10356" s="2"/>
      <c r="Y10356" s="2"/>
      <c r="Z10356" s="2"/>
    </row>
    <row r="10357" spans="1:26" ht="17.399999999999999" x14ac:dyDescent="0.3">
      <c r="A10357" s="10"/>
      <c r="B10357" s="2"/>
      <c r="C10357" s="2"/>
      <c r="D10357" s="2"/>
      <c r="E10357" s="2"/>
      <c r="F10357" s="2"/>
      <c r="G10357" s="2"/>
      <c r="H10357" s="2"/>
      <c r="I10357" s="2"/>
      <c r="J10357" s="2"/>
      <c r="K10357" s="2"/>
      <c r="L10357" s="2"/>
      <c r="M10357" s="2"/>
      <c r="N10357" s="2"/>
      <c r="O10357" s="2"/>
      <c r="P10357" s="2"/>
      <c r="Q10357" s="2"/>
      <c r="R10357" s="2"/>
      <c r="S10357" s="2"/>
      <c r="T10357" s="2"/>
      <c r="U10357" s="2"/>
      <c r="V10357" s="2"/>
      <c r="W10357" s="2"/>
      <c r="X10357" s="2"/>
      <c r="Y10357" s="2"/>
      <c r="Z10357" s="2"/>
    </row>
    <row r="10358" spans="1:26" ht="17.399999999999999" x14ac:dyDescent="0.3">
      <c r="A10358" s="10"/>
      <c r="B10358" s="2"/>
      <c r="C10358" s="2"/>
      <c r="D10358" s="2"/>
      <c r="E10358" s="2"/>
      <c r="F10358" s="2"/>
      <c r="G10358" s="2"/>
      <c r="H10358" s="2"/>
      <c r="I10358" s="2"/>
      <c r="J10358" s="2"/>
      <c r="K10358" s="2"/>
      <c r="L10358" s="2"/>
      <c r="M10358" s="2"/>
      <c r="N10358" s="2"/>
      <c r="O10358" s="2"/>
      <c r="P10358" s="2"/>
      <c r="Q10358" s="2"/>
      <c r="R10358" s="2"/>
      <c r="S10358" s="2"/>
      <c r="T10358" s="2"/>
      <c r="U10358" s="2"/>
      <c r="V10358" s="2"/>
      <c r="W10358" s="2"/>
      <c r="X10358" s="2"/>
      <c r="Y10358" s="2"/>
      <c r="Z10358" s="2"/>
    </row>
    <row r="10359" spans="1:26" ht="17.399999999999999" x14ac:dyDescent="0.3">
      <c r="A10359" s="10"/>
      <c r="B10359" s="2"/>
      <c r="C10359" s="2"/>
      <c r="D10359" s="2"/>
      <c r="E10359" s="2"/>
      <c r="F10359" s="2"/>
      <c r="G10359" s="2"/>
      <c r="H10359" s="2"/>
      <c r="I10359" s="2"/>
      <c r="J10359" s="2"/>
      <c r="K10359" s="2"/>
      <c r="L10359" s="2"/>
      <c r="M10359" s="2"/>
      <c r="N10359" s="2"/>
      <c r="O10359" s="2"/>
      <c r="P10359" s="2"/>
      <c r="Q10359" s="2"/>
      <c r="R10359" s="2"/>
      <c r="S10359" s="2"/>
      <c r="T10359" s="2"/>
      <c r="U10359" s="2"/>
      <c r="V10359" s="2"/>
      <c r="W10359" s="2"/>
      <c r="X10359" s="2"/>
      <c r="Y10359" s="2"/>
      <c r="Z10359" s="2"/>
    </row>
    <row r="10360" spans="1:26" ht="17.399999999999999" x14ac:dyDescent="0.3">
      <c r="A10360" s="10"/>
      <c r="B10360" s="2"/>
      <c r="C10360" s="2"/>
      <c r="D10360" s="2"/>
      <c r="E10360" s="2"/>
      <c r="F10360" s="2"/>
      <c r="G10360" s="2"/>
      <c r="H10360" s="2"/>
      <c r="I10360" s="2"/>
      <c r="J10360" s="2"/>
      <c r="K10360" s="2"/>
      <c r="L10360" s="2"/>
      <c r="M10360" s="2"/>
      <c r="N10360" s="2"/>
      <c r="O10360" s="2"/>
      <c r="P10360" s="2"/>
      <c r="Q10360" s="2"/>
      <c r="R10360" s="2"/>
      <c r="S10360" s="2"/>
      <c r="T10360" s="2"/>
      <c r="U10360" s="2"/>
      <c r="V10360" s="2"/>
      <c r="W10360" s="2"/>
      <c r="X10360" s="2"/>
      <c r="Y10360" s="2"/>
      <c r="Z10360" s="2"/>
    </row>
    <row r="10361" spans="1:26" ht="17.399999999999999" x14ac:dyDescent="0.3">
      <c r="A10361" s="10"/>
      <c r="B10361" s="2"/>
      <c r="C10361" s="2"/>
      <c r="D10361" s="2"/>
      <c r="E10361" s="2"/>
      <c r="F10361" s="2"/>
      <c r="G10361" s="2"/>
      <c r="H10361" s="2"/>
      <c r="I10361" s="2"/>
      <c r="J10361" s="2"/>
      <c r="K10361" s="2"/>
      <c r="L10361" s="2"/>
      <c r="M10361" s="2"/>
      <c r="N10361" s="2"/>
      <c r="O10361" s="2"/>
      <c r="P10361" s="2"/>
      <c r="Q10361" s="2"/>
      <c r="R10361" s="2"/>
      <c r="S10361" s="2"/>
      <c r="T10361" s="2"/>
      <c r="U10361" s="2"/>
      <c r="V10361" s="2"/>
      <c r="W10361" s="2"/>
      <c r="X10361" s="2"/>
      <c r="Y10361" s="2"/>
      <c r="Z10361" s="2"/>
    </row>
    <row r="10362" spans="1:26" ht="17.399999999999999" x14ac:dyDescent="0.3">
      <c r="A10362" s="10"/>
      <c r="B10362" s="2"/>
      <c r="C10362" s="2"/>
      <c r="D10362" s="2"/>
      <c r="E10362" s="2"/>
      <c r="F10362" s="2"/>
      <c r="G10362" s="2"/>
      <c r="H10362" s="2"/>
      <c r="I10362" s="2"/>
      <c r="J10362" s="2"/>
      <c r="K10362" s="2"/>
      <c r="L10362" s="2"/>
      <c r="M10362" s="2"/>
      <c r="N10362" s="2"/>
      <c r="O10362" s="2"/>
      <c r="P10362" s="2"/>
      <c r="Q10362" s="2"/>
      <c r="R10362" s="2"/>
      <c r="S10362" s="2"/>
      <c r="T10362" s="2"/>
      <c r="U10362" s="2"/>
      <c r="V10362" s="2"/>
      <c r="W10362" s="2"/>
      <c r="X10362" s="2"/>
      <c r="Y10362" s="2"/>
      <c r="Z10362" s="2"/>
    </row>
    <row r="10363" spans="1:26" ht="17.399999999999999" x14ac:dyDescent="0.3">
      <c r="A10363" s="10"/>
      <c r="B10363" s="2"/>
      <c r="C10363" s="2"/>
      <c r="D10363" s="2"/>
      <c r="E10363" s="2"/>
      <c r="F10363" s="2"/>
      <c r="G10363" s="2"/>
      <c r="H10363" s="2"/>
      <c r="I10363" s="2"/>
      <c r="J10363" s="2"/>
      <c r="K10363" s="2"/>
      <c r="L10363" s="2"/>
      <c r="M10363" s="2"/>
      <c r="N10363" s="2"/>
      <c r="O10363" s="2"/>
      <c r="P10363" s="2"/>
      <c r="Q10363" s="2"/>
      <c r="R10363" s="2"/>
      <c r="S10363" s="2"/>
      <c r="T10363" s="2"/>
      <c r="U10363" s="2"/>
      <c r="V10363" s="2"/>
      <c r="W10363" s="2"/>
      <c r="X10363" s="2"/>
      <c r="Y10363" s="2"/>
      <c r="Z10363" s="2"/>
    </row>
    <row r="10364" spans="1:26" ht="17.399999999999999" x14ac:dyDescent="0.3">
      <c r="A10364" s="10"/>
      <c r="B10364" s="2"/>
      <c r="C10364" s="2"/>
      <c r="D10364" s="2"/>
      <c r="E10364" s="2"/>
      <c r="F10364" s="2"/>
      <c r="G10364" s="2"/>
      <c r="H10364" s="2"/>
      <c r="I10364" s="2"/>
      <c r="J10364" s="2"/>
      <c r="K10364" s="2"/>
      <c r="L10364" s="2"/>
      <c r="M10364" s="2"/>
      <c r="N10364" s="2"/>
      <c r="O10364" s="2"/>
      <c r="P10364" s="2"/>
      <c r="Q10364" s="2"/>
      <c r="R10364" s="2"/>
      <c r="S10364" s="2"/>
      <c r="T10364" s="2"/>
      <c r="U10364" s="2"/>
      <c r="V10364" s="2"/>
      <c r="W10364" s="2"/>
      <c r="X10364" s="2"/>
      <c r="Y10364" s="2"/>
      <c r="Z10364" s="2"/>
    </row>
    <row r="10365" spans="1:26" ht="17.399999999999999" x14ac:dyDescent="0.3">
      <c r="A10365" s="10"/>
      <c r="B10365" s="2"/>
      <c r="C10365" s="2"/>
      <c r="D10365" s="2"/>
      <c r="E10365" s="2"/>
      <c r="F10365" s="2"/>
      <c r="G10365" s="2"/>
      <c r="H10365" s="2"/>
      <c r="I10365" s="2"/>
      <c r="J10365" s="2"/>
      <c r="K10365" s="2"/>
      <c r="L10365" s="2"/>
      <c r="M10365" s="2"/>
      <c r="N10365" s="2"/>
      <c r="O10365" s="2"/>
      <c r="P10365" s="2"/>
      <c r="Q10365" s="2"/>
      <c r="R10365" s="2"/>
      <c r="S10365" s="2"/>
      <c r="T10365" s="2"/>
      <c r="U10365" s="2"/>
      <c r="V10365" s="2"/>
      <c r="W10365" s="2"/>
      <c r="X10365" s="2"/>
      <c r="Y10365" s="2"/>
      <c r="Z10365" s="2"/>
    </row>
    <row r="10366" spans="1:26" ht="17.399999999999999" x14ac:dyDescent="0.3">
      <c r="A10366" s="10"/>
      <c r="B10366" s="2"/>
      <c r="C10366" s="2"/>
      <c r="D10366" s="2"/>
      <c r="E10366" s="2"/>
      <c r="F10366" s="2"/>
      <c r="G10366" s="2"/>
      <c r="H10366" s="2"/>
      <c r="I10366" s="2"/>
      <c r="J10366" s="2"/>
      <c r="K10366" s="2"/>
      <c r="L10366" s="2"/>
      <c r="M10366" s="2"/>
      <c r="N10366" s="2"/>
      <c r="O10366" s="2"/>
      <c r="P10366" s="2"/>
      <c r="Q10366" s="2"/>
      <c r="R10366" s="2"/>
      <c r="S10366" s="2"/>
      <c r="T10366" s="2"/>
      <c r="U10366" s="2"/>
      <c r="V10366" s="2"/>
      <c r="W10366" s="2"/>
      <c r="X10366" s="2"/>
      <c r="Y10366" s="2"/>
      <c r="Z10366" s="2"/>
    </row>
    <row r="10367" spans="1:26" ht="17.399999999999999" x14ac:dyDescent="0.3">
      <c r="A10367" s="10"/>
      <c r="B10367" s="2"/>
      <c r="C10367" s="2"/>
      <c r="D10367" s="2"/>
      <c r="E10367" s="2"/>
      <c r="F10367" s="2"/>
      <c r="G10367" s="2"/>
      <c r="H10367" s="2"/>
      <c r="I10367" s="2"/>
      <c r="J10367" s="2"/>
      <c r="K10367" s="2"/>
      <c r="L10367" s="2"/>
      <c r="M10367" s="2"/>
      <c r="N10367" s="2"/>
      <c r="O10367" s="2"/>
      <c r="P10367" s="2"/>
      <c r="Q10367" s="2"/>
      <c r="R10367" s="2"/>
      <c r="S10367" s="2"/>
      <c r="T10367" s="2"/>
      <c r="U10367" s="2"/>
      <c r="V10367" s="2"/>
      <c r="W10367" s="2"/>
      <c r="X10367" s="2"/>
      <c r="Y10367" s="2"/>
      <c r="Z10367" s="2"/>
    </row>
    <row r="10368" spans="1:26" ht="17.399999999999999" x14ac:dyDescent="0.3">
      <c r="A10368" s="10"/>
      <c r="B10368" s="2"/>
      <c r="C10368" s="2"/>
      <c r="D10368" s="2"/>
      <c r="E10368" s="2"/>
      <c r="F10368" s="2"/>
      <c r="G10368" s="2"/>
      <c r="H10368" s="2"/>
      <c r="I10368" s="2"/>
      <c r="J10368" s="2"/>
      <c r="K10368" s="2"/>
      <c r="L10368" s="2"/>
      <c r="M10368" s="2"/>
      <c r="N10368" s="2"/>
      <c r="O10368" s="2"/>
      <c r="P10368" s="2"/>
      <c r="Q10368" s="2"/>
      <c r="R10368" s="2"/>
      <c r="S10368" s="2"/>
      <c r="T10368" s="2"/>
      <c r="U10368" s="2"/>
      <c r="V10368" s="2"/>
      <c r="W10368" s="2"/>
      <c r="X10368" s="2"/>
      <c r="Y10368" s="2"/>
      <c r="Z10368" s="2"/>
    </row>
    <row r="10369" spans="1:26" ht="17.399999999999999" x14ac:dyDescent="0.3">
      <c r="A10369" s="10"/>
      <c r="B10369" s="2"/>
      <c r="C10369" s="2"/>
      <c r="D10369" s="2"/>
      <c r="E10369" s="2"/>
      <c r="F10369" s="2"/>
      <c r="G10369" s="2"/>
      <c r="H10369" s="2"/>
      <c r="I10369" s="2"/>
      <c r="J10369" s="2"/>
      <c r="K10369" s="2"/>
      <c r="L10369" s="2"/>
      <c r="M10369" s="2"/>
      <c r="N10369" s="2"/>
      <c r="O10369" s="2"/>
      <c r="P10369" s="2"/>
      <c r="Q10369" s="2"/>
      <c r="R10369" s="2"/>
      <c r="S10369" s="2"/>
      <c r="T10369" s="2"/>
      <c r="U10369" s="2"/>
      <c r="V10369" s="2"/>
      <c r="W10369" s="2"/>
      <c r="X10369" s="2"/>
      <c r="Y10369" s="2"/>
      <c r="Z10369" s="2"/>
    </row>
    <row r="10370" spans="1:26" ht="17.399999999999999" x14ac:dyDescent="0.3">
      <c r="A10370" s="10"/>
      <c r="B10370" s="2"/>
      <c r="C10370" s="2"/>
      <c r="D10370" s="2"/>
      <c r="E10370" s="2"/>
      <c r="F10370" s="2"/>
      <c r="G10370" s="2"/>
      <c r="H10370" s="2"/>
      <c r="I10370" s="2"/>
      <c r="J10370" s="2"/>
      <c r="K10370" s="2"/>
      <c r="L10370" s="2"/>
      <c r="M10370" s="2"/>
      <c r="N10370" s="2"/>
      <c r="O10370" s="2"/>
      <c r="P10370" s="2"/>
      <c r="Q10370" s="2"/>
      <c r="R10370" s="2"/>
      <c r="S10370" s="2"/>
      <c r="T10370" s="2"/>
      <c r="U10370" s="2"/>
      <c r="V10370" s="2"/>
      <c r="W10370" s="2"/>
      <c r="X10370" s="2"/>
      <c r="Y10370" s="2"/>
      <c r="Z10370" s="2"/>
    </row>
    <row r="10371" spans="1:26" ht="17.399999999999999" x14ac:dyDescent="0.3">
      <c r="A10371" s="10"/>
      <c r="B10371" s="2"/>
      <c r="C10371" s="2"/>
      <c r="D10371" s="2"/>
      <c r="E10371" s="2"/>
      <c r="F10371" s="2"/>
      <c r="G10371" s="2"/>
      <c r="H10371" s="2"/>
      <c r="I10371" s="2"/>
      <c r="J10371" s="2"/>
      <c r="K10371" s="2"/>
      <c r="L10371" s="2"/>
      <c r="M10371" s="2"/>
      <c r="N10371" s="2"/>
      <c r="O10371" s="2"/>
      <c r="P10371" s="2"/>
      <c r="Q10371" s="2"/>
      <c r="R10371" s="2"/>
      <c r="S10371" s="2"/>
      <c r="T10371" s="2"/>
      <c r="U10371" s="2"/>
      <c r="V10371" s="2"/>
      <c r="W10371" s="2"/>
      <c r="X10371" s="2"/>
      <c r="Y10371" s="2"/>
      <c r="Z10371" s="2"/>
    </row>
    <row r="10372" spans="1:26" ht="17.399999999999999" x14ac:dyDescent="0.3">
      <c r="A10372" s="10"/>
      <c r="B10372" s="2"/>
      <c r="C10372" s="2"/>
      <c r="D10372" s="2"/>
      <c r="E10372" s="2"/>
      <c r="F10372" s="2"/>
      <c r="G10372" s="2"/>
      <c r="H10372" s="2"/>
      <c r="I10372" s="2"/>
      <c r="J10372" s="2"/>
      <c r="K10372" s="2"/>
      <c r="L10372" s="2"/>
      <c r="M10372" s="2"/>
      <c r="N10372" s="2"/>
      <c r="O10372" s="2"/>
      <c r="P10372" s="2"/>
      <c r="Q10372" s="2"/>
      <c r="R10372" s="2"/>
      <c r="S10372" s="2"/>
      <c r="T10372" s="2"/>
      <c r="U10372" s="2"/>
      <c r="V10372" s="2"/>
      <c r="W10372" s="2"/>
      <c r="X10372" s="2"/>
      <c r="Y10372" s="2"/>
      <c r="Z10372" s="2"/>
    </row>
    <row r="10373" spans="1:26" ht="17.399999999999999" x14ac:dyDescent="0.3">
      <c r="A10373" s="10"/>
      <c r="B10373" s="2"/>
      <c r="C10373" s="2"/>
      <c r="D10373" s="2"/>
      <c r="E10373" s="2"/>
      <c r="F10373" s="2"/>
      <c r="G10373" s="2"/>
      <c r="H10373" s="2"/>
      <c r="I10373" s="2"/>
      <c r="J10373" s="2"/>
      <c r="K10373" s="2"/>
      <c r="L10373" s="2"/>
      <c r="M10373" s="2"/>
      <c r="N10373" s="2"/>
      <c r="O10373" s="2"/>
      <c r="P10373" s="2"/>
      <c r="Q10373" s="2"/>
      <c r="R10373" s="2"/>
      <c r="S10373" s="2"/>
      <c r="T10373" s="2"/>
      <c r="U10373" s="2"/>
      <c r="V10373" s="2"/>
      <c r="W10373" s="2"/>
      <c r="X10373" s="2"/>
      <c r="Y10373" s="2"/>
      <c r="Z10373" s="2"/>
    </row>
    <row r="10374" spans="1:26" ht="17.399999999999999" x14ac:dyDescent="0.3">
      <c r="A10374" s="10"/>
      <c r="B10374" s="2"/>
      <c r="C10374" s="2"/>
      <c r="D10374" s="2"/>
      <c r="E10374" s="2"/>
      <c r="F10374" s="2"/>
      <c r="G10374" s="2"/>
      <c r="H10374" s="2"/>
      <c r="I10374" s="2"/>
      <c r="J10374" s="2"/>
      <c r="K10374" s="2"/>
      <c r="L10374" s="2"/>
      <c r="M10374" s="2"/>
      <c r="N10374" s="2"/>
      <c r="O10374" s="2"/>
      <c r="P10374" s="2"/>
      <c r="Q10374" s="2"/>
      <c r="R10374" s="2"/>
      <c r="S10374" s="2"/>
      <c r="T10374" s="2"/>
      <c r="U10374" s="2"/>
      <c r="V10374" s="2"/>
      <c r="W10374" s="2"/>
      <c r="X10374" s="2"/>
      <c r="Y10374" s="2"/>
      <c r="Z10374" s="2"/>
    </row>
    <row r="10375" spans="1:26" ht="17.399999999999999" x14ac:dyDescent="0.3">
      <c r="A10375" s="10"/>
      <c r="B10375" s="2"/>
      <c r="C10375" s="2"/>
      <c r="D10375" s="2"/>
      <c r="E10375" s="2"/>
      <c r="F10375" s="2"/>
      <c r="G10375" s="2"/>
      <c r="H10375" s="2"/>
      <c r="I10375" s="2"/>
      <c r="J10375" s="2"/>
      <c r="K10375" s="2"/>
      <c r="L10375" s="2"/>
      <c r="M10375" s="2"/>
      <c r="N10375" s="2"/>
      <c r="O10375" s="2"/>
      <c r="P10375" s="2"/>
      <c r="Q10375" s="2"/>
      <c r="R10375" s="2"/>
      <c r="S10375" s="2"/>
      <c r="T10375" s="2"/>
      <c r="U10375" s="2"/>
      <c r="V10375" s="2"/>
      <c r="W10375" s="2"/>
      <c r="X10375" s="2"/>
      <c r="Y10375" s="2"/>
      <c r="Z10375" s="2"/>
    </row>
    <row r="10376" spans="1:26" ht="17.399999999999999" x14ac:dyDescent="0.3">
      <c r="A10376" s="10"/>
      <c r="B10376" s="2"/>
      <c r="C10376" s="2"/>
      <c r="D10376" s="2"/>
      <c r="E10376" s="2"/>
      <c r="F10376" s="2"/>
      <c r="G10376" s="2"/>
      <c r="H10376" s="2"/>
      <c r="I10376" s="2"/>
      <c r="J10376" s="2"/>
      <c r="K10376" s="2"/>
      <c r="L10376" s="2"/>
      <c r="M10376" s="2"/>
      <c r="N10376" s="2"/>
      <c r="O10376" s="2"/>
      <c r="P10376" s="2"/>
      <c r="Q10376" s="2"/>
      <c r="R10376" s="2"/>
      <c r="S10376" s="2"/>
      <c r="T10376" s="2"/>
      <c r="U10376" s="2"/>
      <c r="V10376" s="2"/>
      <c r="W10376" s="2"/>
      <c r="X10376" s="2"/>
      <c r="Y10376" s="2"/>
      <c r="Z10376" s="2"/>
    </row>
    <row r="10377" spans="1:26" ht="17.399999999999999" x14ac:dyDescent="0.3">
      <c r="A10377" s="10"/>
      <c r="B10377" s="2"/>
      <c r="C10377" s="2"/>
      <c r="D10377" s="2"/>
      <c r="E10377" s="2"/>
      <c r="F10377" s="2"/>
      <c r="G10377" s="2"/>
      <c r="H10377" s="2"/>
      <c r="I10377" s="2"/>
      <c r="J10377" s="2"/>
      <c r="K10377" s="2"/>
      <c r="L10377" s="2"/>
      <c r="M10377" s="2"/>
      <c r="N10377" s="2"/>
      <c r="O10377" s="2"/>
      <c r="P10377" s="2"/>
      <c r="Q10377" s="2"/>
      <c r="R10377" s="2"/>
      <c r="S10377" s="2"/>
      <c r="T10377" s="2"/>
      <c r="U10377" s="2"/>
      <c r="V10377" s="2"/>
      <c r="W10377" s="2"/>
      <c r="X10377" s="2"/>
      <c r="Y10377" s="2"/>
      <c r="Z10377" s="2"/>
    </row>
    <row r="10378" spans="1:26" ht="17.399999999999999" x14ac:dyDescent="0.3">
      <c r="A10378" s="10"/>
      <c r="B10378" s="2"/>
      <c r="C10378" s="2"/>
      <c r="D10378" s="2"/>
      <c r="E10378" s="2"/>
      <c r="F10378" s="2"/>
      <c r="G10378" s="2"/>
      <c r="H10378" s="2"/>
      <c r="I10378" s="2"/>
      <c r="J10378" s="2"/>
      <c r="K10378" s="2"/>
      <c r="L10378" s="2"/>
      <c r="M10378" s="2"/>
      <c r="N10378" s="2"/>
      <c r="O10378" s="2"/>
      <c r="P10378" s="2"/>
      <c r="Q10378" s="2"/>
      <c r="R10378" s="2"/>
      <c r="S10378" s="2"/>
      <c r="T10378" s="2"/>
      <c r="U10378" s="2"/>
      <c r="V10378" s="2"/>
      <c r="W10378" s="2"/>
      <c r="X10378" s="2"/>
      <c r="Y10378" s="2"/>
      <c r="Z10378" s="2"/>
    </row>
    <row r="10379" spans="1:26" ht="17.399999999999999" x14ac:dyDescent="0.3">
      <c r="A10379" s="10"/>
      <c r="B10379" s="2"/>
      <c r="C10379" s="2"/>
      <c r="D10379" s="2"/>
      <c r="E10379" s="2"/>
      <c r="F10379" s="2"/>
      <c r="G10379" s="2"/>
      <c r="H10379" s="2"/>
      <c r="I10379" s="2"/>
      <c r="J10379" s="2"/>
      <c r="K10379" s="2"/>
      <c r="L10379" s="2"/>
      <c r="M10379" s="2"/>
      <c r="N10379" s="2"/>
      <c r="O10379" s="2"/>
      <c r="P10379" s="2"/>
      <c r="Q10379" s="2"/>
      <c r="R10379" s="2"/>
      <c r="S10379" s="2"/>
      <c r="T10379" s="2"/>
      <c r="U10379" s="2"/>
      <c r="V10379" s="2"/>
      <c r="W10379" s="2"/>
      <c r="X10379" s="2"/>
      <c r="Y10379" s="2"/>
      <c r="Z10379" s="2"/>
    </row>
    <row r="10380" spans="1:26" ht="17.399999999999999" x14ac:dyDescent="0.3">
      <c r="A10380" s="10"/>
      <c r="B10380" s="2"/>
      <c r="C10380" s="2"/>
      <c r="D10380" s="2"/>
      <c r="E10380" s="2"/>
      <c r="F10380" s="2"/>
      <c r="G10380" s="2"/>
      <c r="H10380" s="2"/>
      <c r="I10380" s="2"/>
      <c r="J10380" s="2"/>
      <c r="K10380" s="2"/>
      <c r="L10380" s="2"/>
      <c r="M10380" s="2"/>
      <c r="N10380" s="2"/>
      <c r="O10380" s="2"/>
      <c r="P10380" s="2"/>
      <c r="Q10380" s="2"/>
      <c r="R10380" s="2"/>
      <c r="S10380" s="2"/>
      <c r="T10380" s="2"/>
      <c r="U10380" s="2"/>
      <c r="V10380" s="2"/>
      <c r="W10380" s="2"/>
      <c r="X10380" s="2"/>
      <c r="Y10380" s="2"/>
      <c r="Z10380" s="2"/>
    </row>
    <row r="10381" spans="1:26" ht="17.399999999999999" x14ac:dyDescent="0.3">
      <c r="A10381" s="10"/>
      <c r="B10381" s="2"/>
      <c r="C10381" s="2"/>
      <c r="D10381" s="2"/>
      <c r="E10381" s="2"/>
      <c r="F10381" s="2"/>
      <c r="G10381" s="2"/>
      <c r="H10381" s="2"/>
      <c r="I10381" s="2"/>
      <c r="J10381" s="2"/>
      <c r="K10381" s="2"/>
      <c r="L10381" s="2"/>
      <c r="M10381" s="2"/>
      <c r="N10381" s="2"/>
      <c r="O10381" s="2"/>
      <c r="P10381" s="2"/>
      <c r="Q10381" s="2"/>
      <c r="R10381" s="2"/>
      <c r="S10381" s="2"/>
      <c r="T10381" s="2"/>
      <c r="U10381" s="2"/>
      <c r="V10381" s="2"/>
      <c r="W10381" s="2"/>
      <c r="X10381" s="2"/>
      <c r="Y10381" s="2"/>
      <c r="Z10381" s="2"/>
    </row>
    <row r="10382" spans="1:26" ht="17.399999999999999" x14ac:dyDescent="0.3">
      <c r="A10382" s="10"/>
      <c r="B10382" s="2"/>
      <c r="C10382" s="2"/>
      <c r="D10382" s="2"/>
      <c r="E10382" s="2"/>
      <c r="F10382" s="2"/>
      <c r="G10382" s="2"/>
      <c r="H10382" s="2"/>
      <c r="I10382" s="2"/>
      <c r="J10382" s="2"/>
      <c r="K10382" s="2"/>
      <c r="L10382" s="2"/>
      <c r="M10382" s="2"/>
      <c r="N10382" s="2"/>
      <c r="O10382" s="2"/>
      <c r="P10382" s="2"/>
      <c r="Q10382" s="2"/>
      <c r="R10382" s="2"/>
      <c r="S10382" s="2"/>
      <c r="T10382" s="2"/>
      <c r="U10382" s="2"/>
      <c r="V10382" s="2"/>
      <c r="W10382" s="2"/>
      <c r="X10382" s="2"/>
      <c r="Y10382" s="2"/>
      <c r="Z10382" s="2"/>
    </row>
    <row r="10383" spans="1:26" ht="17.399999999999999" x14ac:dyDescent="0.3">
      <c r="A10383" s="10"/>
      <c r="B10383" s="2"/>
      <c r="C10383" s="2"/>
      <c r="D10383" s="2"/>
      <c r="E10383" s="2"/>
      <c r="F10383" s="2"/>
      <c r="G10383" s="2"/>
      <c r="H10383" s="2"/>
      <c r="I10383" s="2"/>
      <c r="J10383" s="2"/>
      <c r="K10383" s="2"/>
      <c r="L10383" s="2"/>
      <c r="M10383" s="2"/>
      <c r="N10383" s="2"/>
      <c r="O10383" s="2"/>
      <c r="P10383" s="2"/>
      <c r="Q10383" s="2"/>
      <c r="R10383" s="2"/>
      <c r="S10383" s="2"/>
      <c r="T10383" s="2"/>
      <c r="U10383" s="2"/>
      <c r="V10383" s="2"/>
      <c r="W10383" s="2"/>
      <c r="X10383" s="2"/>
      <c r="Y10383" s="2"/>
      <c r="Z10383" s="2"/>
    </row>
    <row r="10384" spans="1:26" ht="17.399999999999999" x14ac:dyDescent="0.3">
      <c r="A10384" s="10"/>
      <c r="B10384" s="2"/>
      <c r="C10384" s="2"/>
      <c r="D10384" s="2"/>
      <c r="E10384" s="2"/>
      <c r="F10384" s="2"/>
      <c r="G10384" s="2"/>
      <c r="H10384" s="2"/>
      <c r="I10384" s="2"/>
      <c r="J10384" s="2"/>
      <c r="K10384" s="2"/>
      <c r="L10384" s="2"/>
      <c r="M10384" s="2"/>
      <c r="N10384" s="2"/>
      <c r="O10384" s="2"/>
      <c r="P10384" s="2"/>
      <c r="Q10384" s="2"/>
      <c r="R10384" s="2"/>
      <c r="S10384" s="2"/>
      <c r="T10384" s="2"/>
      <c r="U10384" s="2"/>
      <c r="V10384" s="2"/>
      <c r="W10384" s="2"/>
      <c r="X10384" s="2"/>
      <c r="Y10384" s="2"/>
      <c r="Z10384" s="2"/>
    </row>
    <row r="10385" spans="1:26" ht="17.399999999999999" x14ac:dyDescent="0.3">
      <c r="A10385" s="10"/>
      <c r="B10385" s="2"/>
      <c r="C10385" s="2"/>
      <c r="D10385" s="2"/>
      <c r="E10385" s="2"/>
      <c r="F10385" s="2"/>
      <c r="G10385" s="2"/>
      <c r="H10385" s="2"/>
      <c r="I10385" s="2"/>
      <c r="J10385" s="2"/>
      <c r="K10385" s="2"/>
      <c r="L10385" s="2"/>
      <c r="M10385" s="2"/>
      <c r="N10385" s="2"/>
      <c r="O10385" s="2"/>
      <c r="P10385" s="2"/>
      <c r="Q10385" s="2"/>
      <c r="R10385" s="2"/>
      <c r="S10385" s="2"/>
      <c r="T10385" s="2"/>
      <c r="U10385" s="2"/>
      <c r="V10385" s="2"/>
      <c r="W10385" s="2"/>
      <c r="X10385" s="2"/>
      <c r="Y10385" s="2"/>
      <c r="Z10385" s="2"/>
    </row>
    <row r="10386" spans="1:26" ht="17.399999999999999" x14ac:dyDescent="0.3">
      <c r="A10386" s="10"/>
      <c r="B10386" s="2"/>
      <c r="C10386" s="2"/>
      <c r="D10386" s="2"/>
      <c r="E10386" s="2"/>
      <c r="F10386" s="2"/>
      <c r="G10386" s="2"/>
      <c r="H10386" s="2"/>
      <c r="I10386" s="2"/>
      <c r="J10386" s="2"/>
      <c r="K10386" s="2"/>
      <c r="L10386" s="2"/>
      <c r="M10386" s="2"/>
      <c r="N10386" s="2"/>
      <c r="O10386" s="2"/>
      <c r="P10386" s="2"/>
      <c r="Q10386" s="2"/>
      <c r="R10386" s="2"/>
      <c r="S10386" s="2"/>
      <c r="T10386" s="2"/>
      <c r="U10386" s="2"/>
      <c r="V10386" s="2"/>
      <c r="W10386" s="2"/>
      <c r="X10386" s="2"/>
      <c r="Y10386" s="2"/>
      <c r="Z10386" s="2"/>
    </row>
    <row r="10387" spans="1:26" ht="17.399999999999999" x14ac:dyDescent="0.3">
      <c r="A10387" s="10"/>
      <c r="B10387" s="2"/>
      <c r="C10387" s="2"/>
      <c r="D10387" s="2"/>
      <c r="E10387" s="2"/>
      <c r="F10387" s="2"/>
      <c r="G10387" s="2"/>
      <c r="H10387" s="2"/>
      <c r="I10387" s="2"/>
      <c r="J10387" s="2"/>
      <c r="K10387" s="2"/>
      <c r="L10387" s="2"/>
      <c r="M10387" s="2"/>
      <c r="N10387" s="2"/>
      <c r="O10387" s="2"/>
      <c r="P10387" s="2"/>
      <c r="Q10387" s="2"/>
      <c r="R10387" s="2"/>
      <c r="S10387" s="2"/>
      <c r="T10387" s="2"/>
      <c r="U10387" s="2"/>
      <c r="V10387" s="2"/>
      <c r="W10387" s="2"/>
      <c r="X10387" s="2"/>
      <c r="Y10387" s="2"/>
      <c r="Z10387" s="2"/>
    </row>
    <row r="10388" spans="1:26" ht="17.399999999999999" x14ac:dyDescent="0.3">
      <c r="A10388" s="10"/>
      <c r="B10388" s="2"/>
      <c r="C10388" s="2"/>
      <c r="D10388" s="2"/>
      <c r="E10388" s="2"/>
      <c r="F10388" s="2"/>
      <c r="G10388" s="2"/>
      <c r="H10388" s="2"/>
      <c r="I10388" s="2"/>
      <c r="J10388" s="2"/>
      <c r="K10388" s="2"/>
      <c r="L10388" s="2"/>
      <c r="M10388" s="2"/>
      <c r="N10388" s="2"/>
      <c r="O10388" s="2"/>
      <c r="P10388" s="2"/>
      <c r="Q10388" s="2"/>
      <c r="R10388" s="2"/>
      <c r="S10388" s="2"/>
      <c r="T10388" s="2"/>
      <c r="U10388" s="2"/>
      <c r="V10388" s="2"/>
      <c r="W10388" s="2"/>
      <c r="X10388" s="2"/>
      <c r="Y10388" s="2"/>
      <c r="Z10388" s="2"/>
    </row>
    <row r="10389" spans="1:26" ht="17.399999999999999" x14ac:dyDescent="0.3">
      <c r="A10389" s="10"/>
      <c r="B10389" s="2"/>
      <c r="C10389" s="2"/>
      <c r="D10389" s="2"/>
      <c r="E10389" s="2"/>
      <c r="F10389" s="2"/>
      <c r="G10389" s="2"/>
      <c r="H10389" s="2"/>
      <c r="I10389" s="2"/>
      <c r="J10389" s="2"/>
      <c r="K10389" s="2"/>
      <c r="L10389" s="2"/>
      <c r="M10389" s="2"/>
      <c r="N10389" s="2"/>
      <c r="O10389" s="2"/>
      <c r="P10389" s="2"/>
      <c r="Q10389" s="2"/>
      <c r="R10389" s="2"/>
      <c r="S10389" s="2"/>
      <c r="T10389" s="2"/>
      <c r="U10389" s="2"/>
      <c r="V10389" s="2"/>
      <c r="W10389" s="2"/>
      <c r="X10389" s="2"/>
      <c r="Y10389" s="2"/>
      <c r="Z10389" s="2"/>
    </row>
    <row r="10390" spans="1:26" ht="17.399999999999999" x14ac:dyDescent="0.3">
      <c r="A10390" s="10"/>
      <c r="B10390" s="2"/>
      <c r="C10390" s="2"/>
      <c r="D10390" s="2"/>
      <c r="E10390" s="2"/>
      <c r="F10390" s="2"/>
      <c r="G10390" s="2"/>
      <c r="H10390" s="2"/>
      <c r="I10390" s="2"/>
      <c r="J10390" s="2"/>
      <c r="K10390" s="2"/>
      <c r="L10390" s="2"/>
      <c r="M10390" s="2"/>
      <c r="N10390" s="2"/>
      <c r="O10390" s="2"/>
      <c r="P10390" s="2"/>
      <c r="Q10390" s="2"/>
      <c r="R10390" s="2"/>
      <c r="S10390" s="2"/>
      <c r="T10390" s="2"/>
      <c r="U10390" s="2"/>
      <c r="V10390" s="2"/>
      <c r="W10390" s="2"/>
      <c r="X10390" s="2"/>
      <c r="Y10390" s="2"/>
      <c r="Z10390" s="2"/>
    </row>
    <row r="10391" spans="1:26" ht="17.399999999999999" x14ac:dyDescent="0.3">
      <c r="A10391" s="10"/>
      <c r="B10391" s="2"/>
      <c r="C10391" s="2"/>
      <c r="D10391" s="2"/>
      <c r="E10391" s="2"/>
      <c r="F10391" s="2"/>
      <c r="G10391" s="2"/>
      <c r="H10391" s="2"/>
      <c r="I10391" s="2"/>
      <c r="J10391" s="2"/>
      <c r="K10391" s="2"/>
      <c r="L10391" s="2"/>
      <c r="M10391" s="2"/>
      <c r="N10391" s="2"/>
      <c r="O10391" s="2"/>
      <c r="P10391" s="2"/>
      <c r="Q10391" s="2"/>
      <c r="R10391" s="2"/>
      <c r="S10391" s="2"/>
      <c r="T10391" s="2"/>
      <c r="U10391" s="2"/>
      <c r="V10391" s="2"/>
      <c r="W10391" s="2"/>
      <c r="X10391" s="2"/>
      <c r="Y10391" s="2"/>
      <c r="Z10391" s="2"/>
    </row>
    <row r="10392" spans="1:26" ht="17.399999999999999" x14ac:dyDescent="0.3">
      <c r="A10392" s="10"/>
      <c r="B10392" s="2"/>
      <c r="C10392" s="2"/>
      <c r="D10392" s="2"/>
      <c r="E10392" s="2"/>
      <c r="F10392" s="2"/>
      <c r="G10392" s="2"/>
      <c r="H10392" s="2"/>
      <c r="I10392" s="2"/>
      <c r="J10392" s="2"/>
      <c r="K10392" s="2"/>
      <c r="L10392" s="2"/>
      <c r="M10392" s="2"/>
      <c r="N10392" s="2"/>
      <c r="O10392" s="2"/>
      <c r="P10392" s="2"/>
      <c r="Q10392" s="2"/>
      <c r="R10392" s="2"/>
      <c r="S10392" s="2"/>
      <c r="T10392" s="2"/>
      <c r="U10392" s="2"/>
      <c r="V10392" s="2"/>
      <c r="W10392" s="2"/>
      <c r="X10392" s="2"/>
      <c r="Y10392" s="2"/>
      <c r="Z10392" s="2"/>
    </row>
    <row r="10393" spans="1:26" ht="17.399999999999999" x14ac:dyDescent="0.3">
      <c r="A10393" s="10"/>
      <c r="B10393" s="2"/>
      <c r="C10393" s="2"/>
      <c r="D10393" s="2"/>
      <c r="E10393" s="2"/>
      <c r="F10393" s="2"/>
      <c r="G10393" s="2"/>
      <c r="H10393" s="2"/>
      <c r="I10393" s="2"/>
      <c r="J10393" s="2"/>
      <c r="K10393" s="2"/>
      <c r="L10393" s="2"/>
      <c r="M10393" s="2"/>
      <c r="N10393" s="2"/>
      <c r="O10393" s="2"/>
      <c r="P10393" s="2"/>
      <c r="Q10393" s="2"/>
      <c r="R10393" s="2"/>
      <c r="S10393" s="2"/>
      <c r="T10393" s="2"/>
      <c r="U10393" s="2"/>
      <c r="V10393" s="2"/>
      <c r="W10393" s="2"/>
      <c r="X10393" s="2"/>
      <c r="Y10393" s="2"/>
      <c r="Z10393" s="2"/>
    </row>
    <row r="10394" spans="1:26" ht="17.399999999999999" x14ac:dyDescent="0.3">
      <c r="A10394" s="10"/>
      <c r="B10394" s="2"/>
      <c r="C10394" s="2"/>
      <c r="D10394" s="2"/>
      <c r="E10394" s="2"/>
      <c r="F10394" s="2"/>
      <c r="G10394" s="2"/>
      <c r="H10394" s="2"/>
      <c r="I10394" s="2"/>
      <c r="J10394" s="2"/>
      <c r="K10394" s="2"/>
      <c r="L10394" s="2"/>
      <c r="M10394" s="2"/>
      <c r="N10394" s="2"/>
      <c r="O10394" s="2"/>
      <c r="P10394" s="2"/>
      <c r="Q10394" s="2"/>
      <c r="R10394" s="2"/>
      <c r="S10394" s="2"/>
      <c r="T10394" s="2"/>
      <c r="U10394" s="2"/>
      <c r="V10394" s="2"/>
      <c r="W10394" s="2"/>
      <c r="X10394" s="2"/>
      <c r="Y10394" s="2"/>
      <c r="Z10394" s="2"/>
    </row>
    <row r="10395" spans="1:26" ht="17.399999999999999" x14ac:dyDescent="0.3">
      <c r="A10395" s="10"/>
      <c r="B10395" s="2"/>
      <c r="C10395" s="2"/>
      <c r="D10395" s="2"/>
      <c r="E10395" s="2"/>
      <c r="F10395" s="2"/>
      <c r="G10395" s="2"/>
      <c r="H10395" s="2"/>
      <c r="I10395" s="2"/>
      <c r="J10395" s="2"/>
      <c r="K10395" s="2"/>
      <c r="L10395" s="2"/>
      <c r="M10395" s="2"/>
      <c r="N10395" s="2"/>
      <c r="O10395" s="2"/>
      <c r="P10395" s="2"/>
      <c r="Q10395" s="2"/>
      <c r="R10395" s="2"/>
      <c r="S10395" s="2"/>
      <c r="T10395" s="2"/>
      <c r="U10395" s="2"/>
      <c r="V10395" s="2"/>
      <c r="W10395" s="2"/>
      <c r="X10395" s="2"/>
      <c r="Y10395" s="2"/>
      <c r="Z10395" s="2"/>
    </row>
    <row r="10396" spans="1:26" ht="17.399999999999999" x14ac:dyDescent="0.3">
      <c r="A10396" s="10"/>
      <c r="B10396" s="2"/>
      <c r="C10396" s="2"/>
      <c r="D10396" s="2"/>
      <c r="E10396" s="2"/>
      <c r="F10396" s="2"/>
      <c r="G10396" s="2"/>
      <c r="H10396" s="2"/>
      <c r="I10396" s="2"/>
      <c r="J10396" s="2"/>
      <c r="K10396" s="2"/>
      <c r="L10396" s="2"/>
      <c r="M10396" s="2"/>
      <c r="N10396" s="2"/>
      <c r="O10396" s="2"/>
      <c r="P10396" s="2"/>
      <c r="Q10396" s="2"/>
      <c r="R10396" s="2"/>
      <c r="S10396" s="2"/>
      <c r="T10396" s="2"/>
      <c r="U10396" s="2"/>
      <c r="V10396" s="2"/>
      <c r="W10396" s="2"/>
      <c r="X10396" s="2"/>
      <c r="Y10396" s="2"/>
      <c r="Z10396" s="2"/>
    </row>
    <row r="10397" spans="1:26" ht="17.399999999999999" x14ac:dyDescent="0.3">
      <c r="A10397" s="10"/>
      <c r="B10397" s="2"/>
      <c r="C10397" s="2"/>
      <c r="D10397" s="2"/>
      <c r="E10397" s="2"/>
      <c r="F10397" s="2"/>
      <c r="G10397" s="2"/>
      <c r="H10397" s="2"/>
      <c r="I10397" s="2"/>
      <c r="J10397" s="2"/>
      <c r="K10397" s="2"/>
      <c r="L10397" s="2"/>
      <c r="M10397" s="2"/>
      <c r="N10397" s="2"/>
      <c r="O10397" s="2"/>
      <c r="P10397" s="2"/>
      <c r="Q10397" s="2"/>
      <c r="R10397" s="2"/>
      <c r="S10397" s="2"/>
      <c r="T10397" s="2"/>
      <c r="U10397" s="2"/>
      <c r="V10397" s="2"/>
      <c r="W10397" s="2"/>
      <c r="X10397" s="2"/>
      <c r="Y10397" s="2"/>
      <c r="Z10397" s="2"/>
    </row>
    <row r="10398" spans="1:26" ht="17.399999999999999" x14ac:dyDescent="0.3">
      <c r="A10398" s="10"/>
      <c r="B10398" s="2"/>
      <c r="C10398" s="2"/>
      <c r="D10398" s="2"/>
      <c r="E10398" s="2"/>
      <c r="F10398" s="2"/>
      <c r="G10398" s="2"/>
      <c r="H10398" s="2"/>
      <c r="I10398" s="2"/>
      <c r="J10398" s="2"/>
      <c r="K10398" s="2"/>
      <c r="L10398" s="2"/>
      <c r="M10398" s="2"/>
      <c r="N10398" s="2"/>
      <c r="O10398" s="2"/>
      <c r="P10398" s="2"/>
      <c r="Q10398" s="2"/>
      <c r="R10398" s="2"/>
      <c r="S10398" s="2"/>
      <c r="T10398" s="2"/>
      <c r="U10398" s="2"/>
      <c r="V10398" s="2"/>
      <c r="W10398" s="2"/>
      <c r="X10398" s="2"/>
      <c r="Y10398" s="2"/>
      <c r="Z10398" s="2"/>
    </row>
    <row r="10399" spans="1:26" ht="17.399999999999999" x14ac:dyDescent="0.3">
      <c r="A10399" s="10"/>
      <c r="B10399" s="2"/>
      <c r="C10399" s="2"/>
      <c r="D10399" s="2"/>
      <c r="E10399" s="2"/>
      <c r="F10399" s="2"/>
      <c r="G10399" s="2"/>
      <c r="H10399" s="2"/>
      <c r="I10399" s="2"/>
      <c r="J10399" s="2"/>
      <c r="K10399" s="2"/>
      <c r="L10399" s="2"/>
      <c r="M10399" s="2"/>
      <c r="N10399" s="2"/>
      <c r="O10399" s="2"/>
      <c r="P10399" s="2"/>
      <c r="Q10399" s="2"/>
      <c r="R10399" s="2"/>
      <c r="S10399" s="2"/>
      <c r="T10399" s="2"/>
      <c r="U10399" s="2"/>
      <c r="V10399" s="2"/>
      <c r="W10399" s="2"/>
      <c r="X10399" s="2"/>
      <c r="Y10399" s="2"/>
      <c r="Z10399" s="2"/>
    </row>
    <row r="10400" spans="1:26" ht="17.399999999999999" x14ac:dyDescent="0.3">
      <c r="A10400" s="10"/>
      <c r="B10400" s="2"/>
      <c r="C10400" s="2"/>
      <c r="D10400" s="2"/>
      <c r="E10400" s="2"/>
      <c r="F10400" s="2"/>
      <c r="G10400" s="2"/>
      <c r="H10400" s="2"/>
      <c r="I10400" s="2"/>
      <c r="J10400" s="2"/>
      <c r="K10400" s="2"/>
      <c r="L10400" s="2"/>
      <c r="M10400" s="2"/>
      <c r="N10400" s="2"/>
      <c r="O10400" s="2"/>
      <c r="P10400" s="2"/>
      <c r="Q10400" s="2"/>
      <c r="R10400" s="2"/>
      <c r="S10400" s="2"/>
      <c r="T10400" s="2"/>
      <c r="U10400" s="2"/>
      <c r="V10400" s="2"/>
      <c r="W10400" s="2"/>
      <c r="X10400" s="2"/>
      <c r="Y10400" s="2"/>
      <c r="Z10400" s="2"/>
    </row>
    <row r="10401" spans="1:26" ht="17.399999999999999" x14ac:dyDescent="0.3">
      <c r="A10401" s="10"/>
      <c r="B10401" s="2"/>
      <c r="C10401" s="2"/>
      <c r="D10401" s="2"/>
      <c r="E10401" s="2"/>
      <c r="F10401" s="2"/>
      <c r="G10401" s="2"/>
      <c r="H10401" s="2"/>
      <c r="I10401" s="2"/>
      <c r="J10401" s="2"/>
      <c r="K10401" s="2"/>
      <c r="L10401" s="2"/>
      <c r="M10401" s="2"/>
      <c r="N10401" s="2"/>
      <c r="O10401" s="2"/>
      <c r="P10401" s="2"/>
      <c r="Q10401" s="2"/>
      <c r="R10401" s="2"/>
      <c r="S10401" s="2"/>
      <c r="T10401" s="2"/>
      <c r="U10401" s="2"/>
      <c r="V10401" s="2"/>
      <c r="W10401" s="2"/>
      <c r="X10401" s="2"/>
      <c r="Y10401" s="2"/>
      <c r="Z10401" s="2"/>
    </row>
    <row r="10402" spans="1:26" ht="17.399999999999999" x14ac:dyDescent="0.3">
      <c r="A10402" s="10"/>
      <c r="B10402" s="2"/>
      <c r="C10402" s="2"/>
      <c r="D10402" s="2"/>
      <c r="E10402" s="2"/>
      <c r="F10402" s="2"/>
      <c r="G10402" s="2"/>
      <c r="H10402" s="2"/>
      <c r="I10402" s="2"/>
      <c r="J10402" s="2"/>
      <c r="K10402" s="2"/>
      <c r="L10402" s="2"/>
      <c r="M10402" s="2"/>
      <c r="N10402" s="2"/>
      <c r="O10402" s="2"/>
      <c r="P10402" s="2"/>
      <c r="Q10402" s="2"/>
      <c r="R10402" s="2"/>
      <c r="S10402" s="2"/>
      <c r="T10402" s="2"/>
      <c r="U10402" s="2"/>
      <c r="V10402" s="2"/>
      <c r="W10402" s="2"/>
      <c r="X10402" s="2"/>
      <c r="Y10402" s="2"/>
      <c r="Z10402" s="2"/>
    </row>
    <row r="10403" spans="1:26" ht="17.399999999999999" x14ac:dyDescent="0.3">
      <c r="A10403" s="10"/>
      <c r="B10403" s="2"/>
      <c r="C10403" s="2"/>
      <c r="D10403" s="2"/>
      <c r="E10403" s="2"/>
      <c r="F10403" s="2"/>
      <c r="G10403" s="2"/>
      <c r="H10403" s="2"/>
      <c r="I10403" s="2"/>
      <c r="J10403" s="2"/>
      <c r="K10403" s="2"/>
      <c r="L10403" s="2"/>
      <c r="M10403" s="2"/>
      <c r="N10403" s="2"/>
      <c r="O10403" s="2"/>
      <c r="P10403" s="2"/>
      <c r="Q10403" s="2"/>
      <c r="R10403" s="2"/>
      <c r="S10403" s="2"/>
      <c r="T10403" s="2"/>
      <c r="U10403" s="2"/>
      <c r="V10403" s="2"/>
      <c r="W10403" s="2"/>
      <c r="X10403" s="2"/>
      <c r="Y10403" s="2"/>
      <c r="Z10403" s="2"/>
    </row>
    <row r="10404" spans="1:26" ht="17.399999999999999" x14ac:dyDescent="0.3">
      <c r="A10404" s="10"/>
      <c r="B10404" s="2"/>
      <c r="C10404" s="2"/>
      <c r="D10404" s="2"/>
      <c r="E10404" s="2"/>
      <c r="F10404" s="2"/>
      <c r="G10404" s="2"/>
      <c r="H10404" s="2"/>
      <c r="I10404" s="2"/>
      <c r="J10404" s="2"/>
      <c r="K10404" s="2"/>
      <c r="L10404" s="2"/>
      <c r="M10404" s="2"/>
      <c r="N10404" s="2"/>
      <c r="O10404" s="2"/>
      <c r="P10404" s="2"/>
      <c r="Q10404" s="2"/>
      <c r="R10404" s="2"/>
      <c r="S10404" s="2"/>
      <c r="T10404" s="2"/>
      <c r="U10404" s="2"/>
      <c r="V10404" s="2"/>
      <c r="W10404" s="2"/>
      <c r="X10404" s="2"/>
      <c r="Y10404" s="2"/>
      <c r="Z10404" s="2"/>
    </row>
    <row r="10405" spans="1:26" ht="17.399999999999999" x14ac:dyDescent="0.3">
      <c r="A10405" s="10"/>
      <c r="B10405" s="2"/>
      <c r="C10405" s="2"/>
      <c r="D10405" s="2"/>
      <c r="E10405" s="2"/>
      <c r="F10405" s="2"/>
      <c r="G10405" s="2"/>
      <c r="H10405" s="2"/>
      <c r="I10405" s="2"/>
      <c r="J10405" s="2"/>
      <c r="K10405" s="2"/>
      <c r="L10405" s="2"/>
      <c r="M10405" s="2"/>
      <c r="N10405" s="2"/>
      <c r="O10405" s="2"/>
      <c r="P10405" s="2"/>
      <c r="Q10405" s="2"/>
      <c r="R10405" s="2"/>
      <c r="S10405" s="2"/>
      <c r="T10405" s="2"/>
      <c r="U10405" s="2"/>
      <c r="V10405" s="2"/>
      <c r="W10405" s="2"/>
      <c r="X10405" s="2"/>
      <c r="Y10405" s="2"/>
      <c r="Z10405" s="2"/>
    </row>
    <row r="10406" spans="1:26" ht="17.399999999999999" x14ac:dyDescent="0.3">
      <c r="A10406" s="10"/>
      <c r="B10406" s="2"/>
      <c r="C10406" s="2"/>
      <c r="D10406" s="2"/>
      <c r="E10406" s="2"/>
      <c r="F10406" s="2"/>
      <c r="G10406" s="2"/>
      <c r="H10406" s="2"/>
      <c r="I10406" s="2"/>
      <c r="J10406" s="2"/>
      <c r="K10406" s="2"/>
      <c r="L10406" s="2"/>
      <c r="M10406" s="2"/>
      <c r="N10406" s="2"/>
      <c r="O10406" s="2"/>
      <c r="P10406" s="2"/>
      <c r="Q10406" s="2"/>
      <c r="R10406" s="2"/>
      <c r="S10406" s="2"/>
      <c r="T10406" s="2"/>
      <c r="U10406" s="2"/>
      <c r="V10406" s="2"/>
      <c r="W10406" s="2"/>
      <c r="X10406" s="2"/>
      <c r="Y10406" s="2"/>
      <c r="Z10406" s="2"/>
    </row>
    <row r="10407" spans="1:26" ht="17.399999999999999" x14ac:dyDescent="0.3">
      <c r="A10407" s="10"/>
      <c r="B10407" s="2"/>
      <c r="C10407" s="2"/>
      <c r="D10407" s="2"/>
      <c r="E10407" s="2"/>
      <c r="F10407" s="2"/>
      <c r="G10407" s="2"/>
      <c r="H10407" s="2"/>
      <c r="I10407" s="2"/>
      <c r="J10407" s="2"/>
      <c r="K10407" s="2"/>
      <c r="L10407" s="2"/>
      <c r="M10407" s="2"/>
      <c r="N10407" s="2"/>
      <c r="O10407" s="2"/>
      <c r="P10407" s="2"/>
      <c r="Q10407" s="2"/>
      <c r="R10407" s="2"/>
      <c r="S10407" s="2"/>
      <c r="T10407" s="2"/>
      <c r="U10407" s="2"/>
      <c r="V10407" s="2"/>
      <c r="W10407" s="2"/>
      <c r="X10407" s="2"/>
      <c r="Y10407" s="2"/>
      <c r="Z10407" s="2"/>
    </row>
    <row r="10408" spans="1:26" ht="17.399999999999999" x14ac:dyDescent="0.3">
      <c r="A10408" s="10"/>
      <c r="B10408" s="2"/>
      <c r="C10408" s="2"/>
      <c r="D10408" s="2"/>
      <c r="E10408" s="2"/>
      <c r="F10408" s="2"/>
      <c r="G10408" s="2"/>
      <c r="H10408" s="2"/>
      <c r="I10408" s="2"/>
      <c r="J10408" s="2"/>
      <c r="K10408" s="2"/>
      <c r="L10408" s="2"/>
      <c r="M10408" s="2"/>
      <c r="N10408" s="2"/>
      <c r="O10408" s="2"/>
      <c r="P10408" s="2"/>
      <c r="Q10408" s="2"/>
      <c r="R10408" s="2"/>
      <c r="S10408" s="2"/>
      <c r="T10408" s="2"/>
      <c r="U10408" s="2"/>
      <c r="V10408" s="2"/>
      <c r="W10408" s="2"/>
      <c r="X10408" s="2"/>
      <c r="Y10408" s="2"/>
      <c r="Z10408" s="2"/>
    </row>
    <row r="10409" spans="1:26" ht="17.399999999999999" x14ac:dyDescent="0.3">
      <c r="A10409" s="10"/>
      <c r="B10409" s="2"/>
      <c r="C10409" s="2"/>
      <c r="D10409" s="2"/>
      <c r="E10409" s="2"/>
      <c r="F10409" s="2"/>
      <c r="G10409" s="2"/>
      <c r="H10409" s="2"/>
      <c r="I10409" s="2"/>
      <c r="J10409" s="2"/>
      <c r="K10409" s="2"/>
      <c r="L10409" s="2"/>
      <c r="M10409" s="2"/>
      <c r="N10409" s="2"/>
      <c r="O10409" s="2"/>
      <c r="P10409" s="2"/>
      <c r="Q10409" s="2"/>
      <c r="R10409" s="2"/>
      <c r="S10409" s="2"/>
      <c r="T10409" s="2"/>
      <c r="U10409" s="2"/>
      <c r="V10409" s="2"/>
      <c r="W10409" s="2"/>
      <c r="X10409" s="2"/>
      <c r="Y10409" s="2"/>
      <c r="Z10409" s="2"/>
    </row>
    <row r="10410" spans="1:26" ht="17.399999999999999" x14ac:dyDescent="0.3">
      <c r="A10410" s="10"/>
      <c r="B10410" s="2"/>
      <c r="C10410" s="2"/>
      <c r="D10410" s="2"/>
      <c r="E10410" s="2"/>
      <c r="F10410" s="2"/>
      <c r="G10410" s="2"/>
      <c r="H10410" s="2"/>
      <c r="I10410" s="2"/>
      <c r="J10410" s="2"/>
      <c r="K10410" s="2"/>
      <c r="L10410" s="2"/>
      <c r="M10410" s="2"/>
      <c r="N10410" s="2"/>
      <c r="O10410" s="2"/>
      <c r="P10410" s="2"/>
      <c r="Q10410" s="2"/>
      <c r="R10410" s="2"/>
      <c r="S10410" s="2"/>
      <c r="T10410" s="2"/>
      <c r="U10410" s="2"/>
      <c r="V10410" s="2"/>
      <c r="W10410" s="2"/>
      <c r="X10410" s="2"/>
      <c r="Y10410" s="2"/>
      <c r="Z10410" s="2"/>
    </row>
    <row r="10411" spans="1:26" ht="17.399999999999999" x14ac:dyDescent="0.3">
      <c r="A10411" s="10"/>
      <c r="B10411" s="2"/>
      <c r="C10411" s="2"/>
      <c r="D10411" s="2"/>
      <c r="E10411" s="2"/>
      <c r="F10411" s="2"/>
      <c r="G10411" s="2"/>
      <c r="H10411" s="2"/>
      <c r="I10411" s="2"/>
      <c r="J10411" s="2"/>
      <c r="K10411" s="2"/>
      <c r="L10411" s="2"/>
      <c r="M10411" s="2"/>
      <c r="N10411" s="2"/>
      <c r="O10411" s="2"/>
      <c r="P10411" s="2"/>
      <c r="Q10411" s="2"/>
      <c r="R10411" s="2"/>
      <c r="S10411" s="2"/>
      <c r="T10411" s="2"/>
      <c r="U10411" s="2"/>
      <c r="V10411" s="2"/>
      <c r="W10411" s="2"/>
      <c r="X10411" s="2"/>
      <c r="Y10411" s="2"/>
      <c r="Z10411" s="2"/>
    </row>
    <row r="10412" spans="1:26" ht="17.399999999999999" x14ac:dyDescent="0.3">
      <c r="A10412" s="10"/>
      <c r="B10412" s="2"/>
      <c r="C10412" s="2"/>
      <c r="D10412" s="2"/>
      <c r="E10412" s="2"/>
      <c r="F10412" s="2"/>
      <c r="G10412" s="2"/>
      <c r="H10412" s="2"/>
      <c r="I10412" s="2"/>
      <c r="J10412" s="2"/>
      <c r="K10412" s="2"/>
      <c r="L10412" s="2"/>
      <c r="M10412" s="2"/>
      <c r="N10412" s="2"/>
      <c r="O10412" s="2"/>
      <c r="P10412" s="2"/>
      <c r="Q10412" s="2"/>
      <c r="R10412" s="2"/>
      <c r="S10412" s="2"/>
      <c r="T10412" s="2"/>
      <c r="U10412" s="2"/>
      <c r="V10412" s="2"/>
      <c r="W10412" s="2"/>
      <c r="X10412" s="2"/>
      <c r="Y10412" s="2"/>
      <c r="Z10412" s="2"/>
    </row>
    <row r="10413" spans="1:26" ht="17.399999999999999" x14ac:dyDescent="0.3">
      <c r="A10413" s="10"/>
      <c r="B10413" s="2"/>
      <c r="C10413" s="2"/>
      <c r="D10413" s="2"/>
      <c r="E10413" s="2"/>
      <c r="F10413" s="2"/>
      <c r="G10413" s="2"/>
      <c r="H10413" s="2"/>
      <c r="I10413" s="2"/>
      <c r="J10413" s="2"/>
      <c r="K10413" s="2"/>
      <c r="L10413" s="2"/>
      <c r="M10413" s="2"/>
      <c r="N10413" s="2"/>
      <c r="O10413" s="2"/>
      <c r="P10413" s="2"/>
      <c r="Q10413" s="2"/>
      <c r="R10413" s="2"/>
      <c r="S10413" s="2"/>
      <c r="T10413" s="2"/>
      <c r="U10413" s="2"/>
      <c r="V10413" s="2"/>
      <c r="W10413" s="2"/>
      <c r="X10413" s="2"/>
      <c r="Y10413" s="2"/>
      <c r="Z10413" s="2"/>
    </row>
    <row r="10414" spans="1:26" ht="17.399999999999999" x14ac:dyDescent="0.3">
      <c r="A10414" s="10"/>
      <c r="B10414" s="2"/>
      <c r="C10414" s="2"/>
      <c r="D10414" s="2"/>
      <c r="E10414" s="2"/>
      <c r="F10414" s="2"/>
      <c r="G10414" s="2"/>
      <c r="H10414" s="2"/>
      <c r="I10414" s="2"/>
      <c r="J10414" s="2"/>
      <c r="K10414" s="2"/>
      <c r="L10414" s="2"/>
      <c r="M10414" s="2"/>
      <c r="N10414" s="2"/>
      <c r="O10414" s="2"/>
      <c r="P10414" s="2"/>
      <c r="Q10414" s="2"/>
      <c r="R10414" s="2"/>
      <c r="S10414" s="2"/>
      <c r="T10414" s="2"/>
      <c r="U10414" s="2"/>
      <c r="V10414" s="2"/>
      <c r="W10414" s="2"/>
      <c r="X10414" s="2"/>
      <c r="Y10414" s="2"/>
      <c r="Z10414" s="2"/>
    </row>
    <row r="10415" spans="1:26" ht="17.399999999999999" x14ac:dyDescent="0.3">
      <c r="A10415" s="10"/>
      <c r="B10415" s="2"/>
      <c r="C10415" s="2"/>
      <c r="D10415" s="2"/>
      <c r="E10415" s="2"/>
      <c r="F10415" s="2"/>
      <c r="G10415" s="2"/>
      <c r="H10415" s="2"/>
      <c r="I10415" s="2"/>
      <c r="J10415" s="2"/>
      <c r="K10415" s="2"/>
      <c r="L10415" s="2"/>
      <c r="M10415" s="2"/>
      <c r="N10415" s="2"/>
      <c r="O10415" s="2"/>
      <c r="P10415" s="2"/>
      <c r="Q10415" s="2"/>
      <c r="R10415" s="2"/>
      <c r="S10415" s="2"/>
      <c r="T10415" s="2"/>
      <c r="U10415" s="2"/>
      <c r="V10415" s="2"/>
      <c r="W10415" s="2"/>
      <c r="X10415" s="2"/>
      <c r="Y10415" s="2"/>
      <c r="Z10415" s="2"/>
    </row>
    <row r="10416" spans="1:26" ht="17.399999999999999" x14ac:dyDescent="0.3">
      <c r="A10416" s="10"/>
      <c r="B10416" s="2"/>
      <c r="C10416" s="2"/>
      <c r="D10416" s="2"/>
      <c r="E10416" s="2"/>
      <c r="F10416" s="2"/>
      <c r="G10416" s="2"/>
      <c r="H10416" s="2"/>
      <c r="I10416" s="2"/>
      <c r="J10416" s="2"/>
      <c r="K10416" s="2"/>
      <c r="L10416" s="2"/>
      <c r="M10416" s="2"/>
      <c r="N10416" s="2"/>
      <c r="O10416" s="2"/>
      <c r="P10416" s="2"/>
      <c r="Q10416" s="2"/>
      <c r="R10416" s="2"/>
      <c r="S10416" s="2"/>
      <c r="T10416" s="2"/>
      <c r="U10416" s="2"/>
      <c r="V10416" s="2"/>
      <c r="W10416" s="2"/>
      <c r="X10416" s="2"/>
      <c r="Y10416" s="2"/>
      <c r="Z10416" s="2"/>
    </row>
    <row r="10417" spans="1:26" ht="17.399999999999999" x14ac:dyDescent="0.3">
      <c r="A10417" s="10"/>
      <c r="B10417" s="2"/>
      <c r="C10417" s="2"/>
      <c r="D10417" s="2"/>
      <c r="E10417" s="2"/>
      <c r="F10417" s="2"/>
      <c r="G10417" s="2"/>
      <c r="H10417" s="2"/>
      <c r="I10417" s="2"/>
      <c r="J10417" s="2"/>
      <c r="K10417" s="2"/>
      <c r="L10417" s="2"/>
      <c r="M10417" s="2"/>
      <c r="N10417" s="2"/>
      <c r="O10417" s="2"/>
      <c r="P10417" s="2"/>
      <c r="Q10417" s="2"/>
      <c r="R10417" s="2"/>
      <c r="S10417" s="2"/>
      <c r="T10417" s="2"/>
      <c r="U10417" s="2"/>
      <c r="V10417" s="2"/>
      <c r="W10417" s="2"/>
      <c r="X10417" s="2"/>
      <c r="Y10417" s="2"/>
      <c r="Z10417" s="2"/>
    </row>
    <row r="10418" spans="1:26" ht="17.399999999999999" x14ac:dyDescent="0.3">
      <c r="A10418" s="10"/>
      <c r="B10418" s="2"/>
      <c r="C10418" s="2"/>
      <c r="D10418" s="2"/>
      <c r="E10418" s="2"/>
      <c r="F10418" s="2"/>
      <c r="G10418" s="2"/>
      <c r="H10418" s="2"/>
      <c r="I10418" s="2"/>
      <c r="J10418" s="2"/>
      <c r="K10418" s="2"/>
      <c r="L10418" s="2"/>
      <c r="M10418" s="2"/>
      <c r="N10418" s="2"/>
      <c r="O10418" s="2"/>
      <c r="P10418" s="2"/>
      <c r="Q10418" s="2"/>
      <c r="R10418" s="2"/>
      <c r="S10418" s="2"/>
      <c r="T10418" s="2"/>
      <c r="U10418" s="2"/>
      <c r="V10418" s="2"/>
      <c r="W10418" s="2"/>
      <c r="X10418" s="2"/>
      <c r="Y10418" s="2"/>
      <c r="Z10418" s="2"/>
    </row>
    <row r="10419" spans="1:26" ht="17.399999999999999" x14ac:dyDescent="0.3">
      <c r="A10419" s="10"/>
      <c r="B10419" s="2"/>
      <c r="C10419" s="2"/>
      <c r="D10419" s="2"/>
      <c r="E10419" s="2"/>
      <c r="F10419" s="2"/>
      <c r="G10419" s="2"/>
      <c r="H10419" s="2"/>
      <c r="I10419" s="2"/>
      <c r="J10419" s="2"/>
      <c r="K10419" s="2"/>
      <c r="L10419" s="2"/>
      <c r="M10419" s="2"/>
      <c r="N10419" s="2"/>
      <c r="O10419" s="2"/>
      <c r="P10419" s="2"/>
      <c r="Q10419" s="2"/>
      <c r="R10419" s="2"/>
      <c r="S10419" s="2"/>
      <c r="T10419" s="2"/>
      <c r="U10419" s="2"/>
      <c r="V10419" s="2"/>
      <c r="W10419" s="2"/>
      <c r="X10419" s="2"/>
      <c r="Y10419" s="2"/>
      <c r="Z10419" s="2"/>
    </row>
    <row r="10420" spans="1:26" ht="17.399999999999999" x14ac:dyDescent="0.3">
      <c r="A10420" s="10"/>
      <c r="B10420" s="2"/>
      <c r="C10420" s="2"/>
      <c r="D10420" s="2"/>
      <c r="E10420" s="2"/>
      <c r="F10420" s="2"/>
      <c r="G10420" s="2"/>
      <c r="H10420" s="2"/>
      <c r="I10420" s="2"/>
      <c r="J10420" s="2"/>
      <c r="K10420" s="2"/>
      <c r="L10420" s="2"/>
      <c r="M10420" s="2"/>
      <c r="N10420" s="2"/>
      <c r="O10420" s="2"/>
      <c r="P10420" s="2"/>
      <c r="Q10420" s="2"/>
      <c r="R10420" s="2"/>
      <c r="S10420" s="2"/>
      <c r="T10420" s="2"/>
      <c r="U10420" s="2"/>
      <c r="V10420" s="2"/>
      <c r="W10420" s="2"/>
      <c r="X10420" s="2"/>
      <c r="Y10420" s="2"/>
      <c r="Z10420" s="2"/>
    </row>
    <row r="10421" spans="1:26" ht="17.399999999999999" x14ac:dyDescent="0.3">
      <c r="A10421" s="10"/>
      <c r="B10421" s="2"/>
      <c r="C10421" s="2"/>
      <c r="D10421" s="2"/>
      <c r="E10421" s="2"/>
      <c r="F10421" s="2"/>
      <c r="G10421" s="2"/>
      <c r="H10421" s="2"/>
      <c r="I10421" s="2"/>
      <c r="J10421" s="2"/>
      <c r="K10421" s="2"/>
      <c r="L10421" s="2"/>
      <c r="M10421" s="2"/>
      <c r="N10421" s="2"/>
      <c r="O10421" s="2"/>
      <c r="P10421" s="2"/>
      <c r="Q10421" s="2"/>
      <c r="R10421" s="2"/>
      <c r="S10421" s="2"/>
      <c r="T10421" s="2"/>
      <c r="U10421" s="2"/>
      <c r="V10421" s="2"/>
      <c r="W10421" s="2"/>
      <c r="X10421" s="2"/>
      <c r="Y10421" s="2"/>
      <c r="Z10421" s="2"/>
    </row>
    <row r="10422" spans="1:26" ht="17.399999999999999" x14ac:dyDescent="0.3">
      <c r="A10422" s="10"/>
      <c r="B10422" s="2"/>
      <c r="C10422" s="2"/>
      <c r="D10422" s="2"/>
      <c r="E10422" s="2"/>
      <c r="F10422" s="2"/>
      <c r="G10422" s="2"/>
      <c r="H10422" s="2"/>
      <c r="I10422" s="2"/>
      <c r="J10422" s="2"/>
      <c r="K10422" s="2"/>
      <c r="L10422" s="2"/>
      <c r="M10422" s="2"/>
      <c r="N10422" s="2"/>
      <c r="O10422" s="2"/>
      <c r="P10422" s="2"/>
      <c r="Q10422" s="2"/>
      <c r="R10422" s="2"/>
      <c r="S10422" s="2"/>
      <c r="T10422" s="2"/>
      <c r="U10422" s="2"/>
      <c r="V10422" s="2"/>
      <c r="W10422" s="2"/>
      <c r="X10422" s="2"/>
      <c r="Y10422" s="2"/>
      <c r="Z10422" s="2"/>
    </row>
    <row r="10423" spans="1:26" ht="17.399999999999999" x14ac:dyDescent="0.3">
      <c r="A10423" s="10"/>
      <c r="B10423" s="2"/>
      <c r="C10423" s="2"/>
      <c r="D10423" s="2"/>
      <c r="E10423" s="2"/>
      <c r="F10423" s="2"/>
      <c r="G10423" s="2"/>
      <c r="H10423" s="2"/>
      <c r="I10423" s="2"/>
      <c r="J10423" s="2"/>
      <c r="K10423" s="2"/>
      <c r="L10423" s="2"/>
      <c r="M10423" s="2"/>
      <c r="N10423" s="2"/>
      <c r="O10423" s="2"/>
      <c r="P10423" s="2"/>
      <c r="Q10423" s="2"/>
      <c r="R10423" s="2"/>
      <c r="S10423" s="2"/>
      <c r="T10423" s="2"/>
      <c r="U10423" s="2"/>
      <c r="V10423" s="2"/>
      <c r="W10423" s="2"/>
      <c r="X10423" s="2"/>
      <c r="Y10423" s="2"/>
      <c r="Z10423" s="2"/>
    </row>
    <row r="10424" spans="1:26" ht="17.399999999999999" x14ac:dyDescent="0.3">
      <c r="A10424" s="10"/>
      <c r="B10424" s="2"/>
      <c r="C10424" s="2"/>
      <c r="D10424" s="2"/>
      <c r="E10424" s="2"/>
      <c r="F10424" s="2"/>
      <c r="G10424" s="2"/>
      <c r="H10424" s="2"/>
      <c r="I10424" s="2"/>
      <c r="J10424" s="2"/>
      <c r="K10424" s="2"/>
      <c r="L10424" s="2"/>
      <c r="M10424" s="2"/>
      <c r="N10424" s="2"/>
      <c r="O10424" s="2"/>
      <c r="P10424" s="2"/>
      <c r="Q10424" s="2"/>
      <c r="R10424" s="2"/>
      <c r="S10424" s="2"/>
      <c r="T10424" s="2"/>
      <c r="U10424" s="2"/>
      <c r="V10424" s="2"/>
      <c r="W10424" s="2"/>
      <c r="X10424" s="2"/>
      <c r="Y10424" s="2"/>
      <c r="Z10424" s="2"/>
    </row>
    <row r="10425" spans="1:26" ht="17.399999999999999" x14ac:dyDescent="0.3">
      <c r="A10425" s="10"/>
      <c r="B10425" s="2"/>
      <c r="C10425" s="2"/>
      <c r="D10425" s="2"/>
      <c r="E10425" s="2"/>
      <c r="F10425" s="2"/>
      <c r="G10425" s="2"/>
      <c r="H10425" s="2"/>
      <c r="I10425" s="2"/>
      <c r="J10425" s="2"/>
      <c r="K10425" s="2"/>
      <c r="L10425" s="2"/>
      <c r="M10425" s="2"/>
      <c r="N10425" s="2"/>
      <c r="O10425" s="2"/>
      <c r="P10425" s="2"/>
      <c r="Q10425" s="2"/>
      <c r="R10425" s="2"/>
      <c r="S10425" s="2"/>
      <c r="T10425" s="2"/>
      <c r="U10425" s="2"/>
      <c r="V10425" s="2"/>
      <c r="W10425" s="2"/>
      <c r="X10425" s="2"/>
      <c r="Y10425" s="2"/>
      <c r="Z10425" s="2"/>
    </row>
    <row r="10426" spans="1:26" ht="17.399999999999999" x14ac:dyDescent="0.3">
      <c r="A10426" s="10"/>
      <c r="B10426" s="2"/>
      <c r="C10426" s="2"/>
      <c r="D10426" s="2"/>
      <c r="E10426" s="2"/>
      <c r="F10426" s="2"/>
      <c r="G10426" s="2"/>
      <c r="H10426" s="2"/>
      <c r="I10426" s="2"/>
      <c r="J10426" s="2"/>
      <c r="K10426" s="2"/>
      <c r="L10426" s="2"/>
      <c r="M10426" s="2"/>
      <c r="N10426" s="2"/>
      <c r="O10426" s="2"/>
      <c r="P10426" s="2"/>
      <c r="Q10426" s="2"/>
      <c r="R10426" s="2"/>
      <c r="S10426" s="2"/>
      <c r="T10426" s="2"/>
      <c r="U10426" s="2"/>
      <c r="V10426" s="2"/>
      <c r="W10426" s="2"/>
      <c r="X10426" s="2"/>
      <c r="Y10426" s="2"/>
      <c r="Z10426" s="2"/>
    </row>
    <row r="10427" spans="1:26" ht="17.399999999999999" x14ac:dyDescent="0.3">
      <c r="A10427" s="10"/>
      <c r="B10427" s="2"/>
      <c r="C10427" s="2"/>
      <c r="D10427" s="2"/>
      <c r="E10427" s="2"/>
      <c r="F10427" s="2"/>
      <c r="G10427" s="2"/>
      <c r="H10427" s="2"/>
      <c r="I10427" s="2"/>
      <c r="J10427" s="2"/>
      <c r="K10427" s="2"/>
      <c r="L10427" s="2"/>
      <c r="M10427" s="2"/>
      <c r="N10427" s="2"/>
      <c r="O10427" s="2"/>
      <c r="P10427" s="2"/>
      <c r="Q10427" s="2"/>
      <c r="R10427" s="2"/>
      <c r="S10427" s="2"/>
      <c r="T10427" s="2"/>
      <c r="U10427" s="2"/>
      <c r="V10427" s="2"/>
      <c r="W10427" s="2"/>
      <c r="X10427" s="2"/>
      <c r="Y10427" s="2"/>
      <c r="Z10427" s="2"/>
    </row>
    <row r="10428" spans="1:26" ht="17.399999999999999" x14ac:dyDescent="0.3">
      <c r="A10428" s="10"/>
      <c r="B10428" s="2"/>
      <c r="C10428" s="2"/>
      <c r="D10428" s="2"/>
      <c r="E10428" s="2"/>
      <c r="F10428" s="2"/>
      <c r="G10428" s="2"/>
      <c r="H10428" s="2"/>
      <c r="I10428" s="2"/>
      <c r="J10428" s="2"/>
      <c r="K10428" s="2"/>
      <c r="L10428" s="2"/>
      <c r="M10428" s="2"/>
      <c r="N10428" s="2"/>
      <c r="O10428" s="2"/>
      <c r="P10428" s="2"/>
      <c r="Q10428" s="2"/>
      <c r="R10428" s="2"/>
      <c r="S10428" s="2"/>
      <c r="T10428" s="2"/>
      <c r="U10428" s="2"/>
      <c r="V10428" s="2"/>
      <c r="W10428" s="2"/>
      <c r="X10428" s="2"/>
      <c r="Y10428" s="2"/>
      <c r="Z10428" s="2"/>
    </row>
    <row r="10429" spans="1:26" ht="17.399999999999999" x14ac:dyDescent="0.3">
      <c r="A10429" s="10"/>
      <c r="B10429" s="2"/>
      <c r="C10429" s="2"/>
      <c r="D10429" s="2"/>
      <c r="E10429" s="2"/>
      <c r="F10429" s="2"/>
      <c r="G10429" s="2"/>
      <c r="H10429" s="2"/>
      <c r="I10429" s="2"/>
      <c r="J10429" s="2"/>
      <c r="K10429" s="2"/>
      <c r="L10429" s="2"/>
      <c r="M10429" s="2"/>
      <c r="N10429" s="2"/>
      <c r="O10429" s="2"/>
      <c r="P10429" s="2"/>
      <c r="Q10429" s="2"/>
      <c r="R10429" s="2"/>
      <c r="S10429" s="2"/>
      <c r="T10429" s="2"/>
      <c r="U10429" s="2"/>
      <c r="V10429" s="2"/>
      <c r="W10429" s="2"/>
      <c r="X10429" s="2"/>
      <c r="Y10429" s="2"/>
      <c r="Z10429" s="2"/>
    </row>
    <row r="10430" spans="1:26" ht="17.399999999999999" x14ac:dyDescent="0.3">
      <c r="A10430" s="10"/>
      <c r="B10430" s="2"/>
      <c r="C10430" s="2"/>
      <c r="D10430" s="2"/>
      <c r="E10430" s="2"/>
      <c r="F10430" s="2"/>
      <c r="G10430" s="2"/>
      <c r="H10430" s="2"/>
      <c r="I10430" s="2"/>
      <c r="J10430" s="2"/>
      <c r="K10430" s="2"/>
      <c r="L10430" s="2"/>
      <c r="M10430" s="2"/>
      <c r="N10430" s="2"/>
      <c r="O10430" s="2"/>
      <c r="P10430" s="2"/>
      <c r="Q10430" s="2"/>
      <c r="R10430" s="2"/>
      <c r="S10430" s="2"/>
      <c r="T10430" s="2"/>
      <c r="U10430" s="2"/>
      <c r="V10430" s="2"/>
      <c r="W10430" s="2"/>
      <c r="X10430" s="2"/>
      <c r="Y10430" s="2"/>
      <c r="Z10430" s="2"/>
    </row>
    <row r="10431" spans="1:26" ht="17.399999999999999" x14ac:dyDescent="0.3">
      <c r="A10431" s="10"/>
      <c r="B10431" s="2"/>
      <c r="C10431" s="2"/>
      <c r="D10431" s="2"/>
      <c r="E10431" s="2"/>
      <c r="F10431" s="2"/>
      <c r="G10431" s="2"/>
      <c r="H10431" s="2"/>
      <c r="I10431" s="2"/>
      <c r="J10431" s="2"/>
      <c r="K10431" s="2"/>
      <c r="L10431" s="2"/>
      <c r="M10431" s="2"/>
      <c r="N10431" s="2"/>
      <c r="O10431" s="2"/>
      <c r="P10431" s="2"/>
      <c r="Q10431" s="2"/>
      <c r="R10431" s="2"/>
      <c r="S10431" s="2"/>
      <c r="T10431" s="2"/>
      <c r="U10431" s="2"/>
      <c r="V10431" s="2"/>
      <c r="W10431" s="2"/>
      <c r="X10431" s="2"/>
      <c r="Y10431" s="2"/>
      <c r="Z10431" s="2"/>
    </row>
    <row r="10432" spans="1:26" ht="17.399999999999999" x14ac:dyDescent="0.3">
      <c r="A10432" s="10"/>
      <c r="B10432" s="2"/>
      <c r="C10432" s="2"/>
      <c r="D10432" s="2"/>
      <c r="E10432" s="2"/>
      <c r="F10432" s="2"/>
      <c r="G10432" s="2"/>
      <c r="H10432" s="2"/>
      <c r="I10432" s="2"/>
      <c r="J10432" s="2"/>
      <c r="K10432" s="2"/>
      <c r="L10432" s="2"/>
      <c r="M10432" s="2"/>
      <c r="N10432" s="2"/>
      <c r="O10432" s="2"/>
      <c r="P10432" s="2"/>
      <c r="Q10432" s="2"/>
      <c r="R10432" s="2"/>
      <c r="S10432" s="2"/>
      <c r="T10432" s="2"/>
      <c r="U10432" s="2"/>
      <c r="V10432" s="2"/>
      <c r="W10432" s="2"/>
      <c r="X10432" s="2"/>
      <c r="Y10432" s="2"/>
      <c r="Z10432" s="2"/>
    </row>
    <row r="10433" spans="1:26" ht="17.399999999999999" x14ac:dyDescent="0.3">
      <c r="A10433" s="10"/>
      <c r="B10433" s="2"/>
      <c r="C10433" s="2"/>
      <c r="D10433" s="2"/>
      <c r="E10433" s="2"/>
      <c r="F10433" s="2"/>
      <c r="G10433" s="2"/>
      <c r="H10433" s="2"/>
      <c r="I10433" s="2"/>
      <c r="J10433" s="2"/>
      <c r="K10433" s="2"/>
      <c r="L10433" s="2"/>
      <c r="M10433" s="2"/>
      <c r="N10433" s="2"/>
      <c r="O10433" s="2"/>
      <c r="P10433" s="2"/>
      <c r="Q10433" s="2"/>
      <c r="R10433" s="2"/>
      <c r="S10433" s="2"/>
      <c r="T10433" s="2"/>
      <c r="U10433" s="2"/>
      <c r="V10433" s="2"/>
      <c r="W10433" s="2"/>
      <c r="X10433" s="2"/>
      <c r="Y10433" s="2"/>
      <c r="Z10433" s="2"/>
    </row>
    <row r="10434" spans="1:26" ht="17.399999999999999" x14ac:dyDescent="0.3">
      <c r="A10434" s="10"/>
      <c r="B10434" s="2"/>
      <c r="C10434" s="2"/>
      <c r="D10434" s="2"/>
      <c r="E10434" s="2"/>
      <c r="F10434" s="2"/>
      <c r="G10434" s="2"/>
      <c r="H10434" s="2"/>
      <c r="I10434" s="2"/>
      <c r="J10434" s="2"/>
      <c r="K10434" s="2"/>
      <c r="L10434" s="2"/>
      <c r="M10434" s="2"/>
      <c r="N10434" s="2"/>
      <c r="O10434" s="2"/>
      <c r="P10434" s="2"/>
      <c r="Q10434" s="2"/>
      <c r="R10434" s="2"/>
      <c r="S10434" s="2"/>
      <c r="T10434" s="2"/>
      <c r="U10434" s="2"/>
      <c r="V10434" s="2"/>
      <c r="W10434" s="2"/>
      <c r="X10434" s="2"/>
      <c r="Y10434" s="2"/>
      <c r="Z10434" s="2"/>
    </row>
    <row r="10435" spans="1:26" ht="17.399999999999999" x14ac:dyDescent="0.3">
      <c r="A10435" s="10"/>
      <c r="B10435" s="2"/>
      <c r="C10435" s="2"/>
      <c r="D10435" s="2"/>
      <c r="E10435" s="2"/>
      <c r="F10435" s="2"/>
      <c r="G10435" s="2"/>
      <c r="H10435" s="2"/>
      <c r="I10435" s="2"/>
      <c r="J10435" s="2"/>
      <c r="K10435" s="2"/>
      <c r="L10435" s="2"/>
      <c r="M10435" s="2"/>
      <c r="N10435" s="2"/>
      <c r="O10435" s="2"/>
      <c r="P10435" s="2"/>
      <c r="Q10435" s="2"/>
      <c r="R10435" s="2"/>
      <c r="S10435" s="2"/>
      <c r="T10435" s="2"/>
      <c r="U10435" s="2"/>
      <c r="V10435" s="2"/>
      <c r="W10435" s="2"/>
      <c r="X10435" s="2"/>
      <c r="Y10435" s="2"/>
      <c r="Z10435" s="2"/>
    </row>
    <row r="10436" spans="1:26" ht="17.399999999999999" x14ac:dyDescent="0.3">
      <c r="A10436" s="10"/>
      <c r="B10436" s="2"/>
      <c r="C10436" s="2"/>
      <c r="D10436" s="2"/>
      <c r="E10436" s="2"/>
      <c r="F10436" s="2"/>
      <c r="G10436" s="2"/>
      <c r="H10436" s="2"/>
      <c r="I10436" s="2"/>
      <c r="J10436" s="2"/>
      <c r="K10436" s="2"/>
      <c r="L10436" s="2"/>
      <c r="M10436" s="2"/>
      <c r="N10436" s="2"/>
      <c r="O10436" s="2"/>
      <c r="P10436" s="2"/>
      <c r="Q10436" s="2"/>
      <c r="R10436" s="2"/>
      <c r="S10436" s="2"/>
      <c r="T10436" s="2"/>
      <c r="U10436" s="2"/>
      <c r="V10436" s="2"/>
      <c r="W10436" s="2"/>
      <c r="X10436" s="2"/>
      <c r="Y10436" s="2"/>
      <c r="Z10436" s="2"/>
    </row>
    <row r="10437" spans="1:26" ht="17.399999999999999" x14ac:dyDescent="0.3">
      <c r="A10437" s="10"/>
      <c r="B10437" s="2"/>
      <c r="C10437" s="2"/>
      <c r="D10437" s="2"/>
      <c r="E10437" s="2"/>
      <c r="F10437" s="2"/>
      <c r="G10437" s="2"/>
      <c r="H10437" s="2"/>
      <c r="I10437" s="2"/>
      <c r="J10437" s="2"/>
      <c r="K10437" s="2"/>
      <c r="L10437" s="2"/>
      <c r="M10437" s="2"/>
      <c r="N10437" s="2"/>
      <c r="O10437" s="2"/>
      <c r="P10437" s="2"/>
      <c r="Q10437" s="2"/>
      <c r="R10437" s="2"/>
      <c r="S10437" s="2"/>
      <c r="T10437" s="2"/>
      <c r="U10437" s="2"/>
      <c r="V10437" s="2"/>
      <c r="W10437" s="2"/>
      <c r="X10437" s="2"/>
      <c r="Y10437" s="2"/>
      <c r="Z10437" s="2"/>
    </row>
    <row r="10438" spans="1:26" ht="17.399999999999999" x14ac:dyDescent="0.3">
      <c r="A10438" s="10"/>
      <c r="B10438" s="2"/>
      <c r="C10438" s="2"/>
      <c r="D10438" s="2"/>
      <c r="E10438" s="2"/>
      <c r="F10438" s="2"/>
      <c r="G10438" s="2"/>
      <c r="H10438" s="2"/>
      <c r="I10438" s="2"/>
      <c r="J10438" s="2"/>
      <c r="K10438" s="2"/>
      <c r="L10438" s="2"/>
      <c r="M10438" s="2"/>
      <c r="N10438" s="2"/>
      <c r="O10438" s="2"/>
      <c r="P10438" s="2"/>
      <c r="Q10438" s="2"/>
      <c r="R10438" s="2"/>
      <c r="S10438" s="2"/>
      <c r="T10438" s="2"/>
      <c r="U10438" s="2"/>
      <c r="V10438" s="2"/>
      <c r="W10438" s="2"/>
      <c r="X10438" s="2"/>
      <c r="Y10438" s="2"/>
      <c r="Z10438" s="2"/>
    </row>
    <row r="10439" spans="1:26" ht="17.399999999999999" x14ac:dyDescent="0.3">
      <c r="A10439" s="10"/>
      <c r="B10439" s="2"/>
      <c r="C10439" s="2"/>
      <c r="D10439" s="2"/>
      <c r="E10439" s="2"/>
      <c r="F10439" s="2"/>
      <c r="G10439" s="2"/>
      <c r="H10439" s="2"/>
      <c r="I10439" s="2"/>
      <c r="J10439" s="2"/>
      <c r="K10439" s="2"/>
      <c r="L10439" s="2"/>
      <c r="M10439" s="2"/>
      <c r="N10439" s="2"/>
      <c r="O10439" s="2"/>
      <c r="P10439" s="2"/>
      <c r="Q10439" s="2"/>
      <c r="R10439" s="2"/>
      <c r="S10439" s="2"/>
      <c r="T10439" s="2"/>
      <c r="U10439" s="2"/>
      <c r="V10439" s="2"/>
      <c r="W10439" s="2"/>
      <c r="X10439" s="2"/>
      <c r="Y10439" s="2"/>
      <c r="Z10439" s="2"/>
    </row>
    <row r="10440" spans="1:26" ht="17.399999999999999" x14ac:dyDescent="0.3">
      <c r="A10440" s="10"/>
      <c r="B10440" s="2"/>
      <c r="C10440" s="2"/>
      <c r="D10440" s="2"/>
      <c r="E10440" s="2"/>
      <c r="F10440" s="2"/>
      <c r="G10440" s="2"/>
      <c r="H10440" s="2"/>
      <c r="I10440" s="2"/>
      <c r="J10440" s="2"/>
      <c r="K10440" s="2"/>
      <c r="L10440" s="2"/>
      <c r="M10440" s="2"/>
      <c r="N10440" s="2"/>
      <c r="O10440" s="2"/>
      <c r="P10440" s="2"/>
      <c r="Q10440" s="2"/>
      <c r="R10440" s="2"/>
      <c r="S10440" s="2"/>
      <c r="T10440" s="2"/>
      <c r="U10440" s="2"/>
      <c r="V10440" s="2"/>
      <c r="W10440" s="2"/>
      <c r="X10440" s="2"/>
      <c r="Y10440" s="2"/>
      <c r="Z10440" s="2"/>
    </row>
    <row r="10441" spans="1:26" ht="17.399999999999999" x14ac:dyDescent="0.3">
      <c r="A10441" s="10"/>
      <c r="B10441" s="2"/>
      <c r="C10441" s="2"/>
      <c r="D10441" s="2"/>
      <c r="E10441" s="2"/>
      <c r="F10441" s="2"/>
      <c r="G10441" s="2"/>
      <c r="H10441" s="2"/>
      <c r="I10441" s="2"/>
      <c r="J10441" s="2"/>
      <c r="K10441" s="2"/>
      <c r="L10441" s="2"/>
      <c r="M10441" s="2"/>
      <c r="N10441" s="2"/>
      <c r="O10441" s="2"/>
      <c r="P10441" s="2"/>
      <c r="Q10441" s="2"/>
      <c r="R10441" s="2"/>
      <c r="S10441" s="2"/>
      <c r="T10441" s="2"/>
      <c r="U10441" s="2"/>
      <c r="V10441" s="2"/>
      <c r="W10441" s="2"/>
      <c r="X10441" s="2"/>
      <c r="Y10441" s="2"/>
      <c r="Z10441" s="2"/>
    </row>
    <row r="10442" spans="1:26" ht="17.399999999999999" x14ac:dyDescent="0.3">
      <c r="A10442" s="10"/>
      <c r="B10442" s="2"/>
      <c r="C10442" s="2"/>
      <c r="D10442" s="2"/>
      <c r="E10442" s="2"/>
      <c r="F10442" s="2"/>
      <c r="G10442" s="2"/>
      <c r="H10442" s="2"/>
      <c r="I10442" s="2"/>
      <c r="J10442" s="2"/>
      <c r="K10442" s="2"/>
      <c r="L10442" s="2"/>
      <c r="M10442" s="2"/>
      <c r="N10442" s="2"/>
      <c r="O10442" s="2"/>
      <c r="P10442" s="2"/>
      <c r="Q10442" s="2"/>
      <c r="R10442" s="2"/>
      <c r="S10442" s="2"/>
      <c r="T10442" s="2"/>
      <c r="U10442" s="2"/>
      <c r="V10442" s="2"/>
      <c r="W10442" s="2"/>
      <c r="X10442" s="2"/>
      <c r="Y10442" s="2"/>
      <c r="Z10442" s="2"/>
    </row>
    <row r="10443" spans="1:26" ht="17.399999999999999" x14ac:dyDescent="0.3">
      <c r="A10443" s="10"/>
      <c r="B10443" s="2"/>
      <c r="C10443" s="2"/>
      <c r="D10443" s="2"/>
      <c r="E10443" s="2"/>
      <c r="F10443" s="2"/>
      <c r="G10443" s="2"/>
      <c r="H10443" s="2"/>
      <c r="I10443" s="2"/>
      <c r="J10443" s="2"/>
      <c r="K10443" s="2"/>
      <c r="L10443" s="2"/>
      <c r="M10443" s="2"/>
      <c r="N10443" s="2"/>
      <c r="O10443" s="2"/>
      <c r="P10443" s="2"/>
      <c r="Q10443" s="2"/>
      <c r="R10443" s="2"/>
      <c r="S10443" s="2"/>
      <c r="T10443" s="2"/>
      <c r="U10443" s="2"/>
      <c r="V10443" s="2"/>
      <c r="W10443" s="2"/>
      <c r="X10443" s="2"/>
      <c r="Y10443" s="2"/>
      <c r="Z10443" s="2"/>
    </row>
    <row r="10444" spans="1:26" ht="17.399999999999999" x14ac:dyDescent="0.3">
      <c r="A10444" s="10"/>
      <c r="B10444" s="2"/>
      <c r="C10444" s="2"/>
      <c r="D10444" s="2"/>
      <c r="E10444" s="2"/>
      <c r="F10444" s="2"/>
      <c r="G10444" s="2"/>
      <c r="H10444" s="2"/>
      <c r="I10444" s="2"/>
      <c r="J10444" s="2"/>
      <c r="K10444" s="2"/>
      <c r="L10444" s="2"/>
      <c r="M10444" s="2"/>
      <c r="N10444" s="2"/>
      <c r="O10444" s="2"/>
      <c r="P10444" s="2"/>
      <c r="Q10444" s="2"/>
      <c r="R10444" s="2"/>
      <c r="S10444" s="2"/>
      <c r="T10444" s="2"/>
      <c r="U10444" s="2"/>
      <c r="V10444" s="2"/>
      <c r="W10444" s="2"/>
      <c r="X10444" s="2"/>
      <c r="Y10444" s="2"/>
      <c r="Z10444" s="2"/>
    </row>
    <row r="10445" spans="1:26" ht="17.399999999999999" x14ac:dyDescent="0.3">
      <c r="A10445" s="10"/>
      <c r="B10445" s="2"/>
      <c r="C10445" s="2"/>
      <c r="D10445" s="2"/>
      <c r="E10445" s="2"/>
      <c r="F10445" s="2"/>
      <c r="G10445" s="2"/>
      <c r="H10445" s="2"/>
      <c r="I10445" s="2"/>
      <c r="J10445" s="2"/>
      <c r="K10445" s="2"/>
      <c r="L10445" s="2"/>
      <c r="M10445" s="2"/>
      <c r="N10445" s="2"/>
      <c r="O10445" s="2"/>
      <c r="P10445" s="2"/>
      <c r="Q10445" s="2"/>
      <c r="R10445" s="2"/>
      <c r="S10445" s="2"/>
      <c r="T10445" s="2"/>
      <c r="U10445" s="2"/>
      <c r="V10445" s="2"/>
      <c r="W10445" s="2"/>
      <c r="X10445" s="2"/>
      <c r="Y10445" s="2"/>
      <c r="Z10445" s="2"/>
    </row>
    <row r="10446" spans="1:26" ht="17.399999999999999" x14ac:dyDescent="0.3">
      <c r="A10446" s="10"/>
      <c r="B10446" s="2"/>
      <c r="C10446" s="2"/>
      <c r="D10446" s="2"/>
      <c r="E10446" s="2"/>
      <c r="F10446" s="2"/>
      <c r="G10446" s="2"/>
      <c r="H10446" s="2"/>
      <c r="I10446" s="2"/>
      <c r="J10446" s="2"/>
      <c r="K10446" s="2"/>
      <c r="L10446" s="2"/>
      <c r="M10446" s="2"/>
      <c r="N10446" s="2"/>
      <c r="O10446" s="2"/>
      <c r="P10446" s="2"/>
      <c r="Q10446" s="2"/>
      <c r="R10446" s="2"/>
      <c r="S10446" s="2"/>
      <c r="T10446" s="2"/>
      <c r="U10446" s="2"/>
      <c r="V10446" s="2"/>
      <c r="W10446" s="2"/>
      <c r="X10446" s="2"/>
      <c r="Y10446" s="2"/>
      <c r="Z10446" s="2"/>
    </row>
    <row r="10447" spans="1:26" ht="17.399999999999999" x14ac:dyDescent="0.3">
      <c r="A10447" s="10"/>
      <c r="B10447" s="2"/>
      <c r="C10447" s="2"/>
      <c r="D10447" s="2"/>
      <c r="E10447" s="2"/>
      <c r="F10447" s="2"/>
      <c r="G10447" s="2"/>
      <c r="H10447" s="2"/>
      <c r="I10447" s="2"/>
      <c r="J10447" s="2"/>
      <c r="K10447" s="2"/>
      <c r="L10447" s="2"/>
      <c r="M10447" s="2"/>
      <c r="N10447" s="2"/>
      <c r="O10447" s="2"/>
      <c r="P10447" s="2"/>
      <c r="Q10447" s="2"/>
      <c r="R10447" s="2"/>
      <c r="S10447" s="2"/>
      <c r="T10447" s="2"/>
      <c r="U10447" s="2"/>
      <c r="V10447" s="2"/>
      <c r="W10447" s="2"/>
      <c r="X10447" s="2"/>
      <c r="Y10447" s="2"/>
      <c r="Z10447" s="2"/>
    </row>
    <row r="10448" spans="1:26" ht="17.399999999999999" x14ac:dyDescent="0.3">
      <c r="A10448" s="10"/>
      <c r="B10448" s="2"/>
      <c r="C10448" s="2"/>
      <c r="D10448" s="2"/>
      <c r="E10448" s="2"/>
      <c r="F10448" s="2"/>
      <c r="G10448" s="2"/>
      <c r="H10448" s="2"/>
      <c r="I10448" s="2"/>
      <c r="J10448" s="2"/>
      <c r="K10448" s="2"/>
      <c r="L10448" s="2"/>
      <c r="M10448" s="2"/>
      <c r="N10448" s="2"/>
      <c r="O10448" s="2"/>
      <c r="P10448" s="2"/>
      <c r="Q10448" s="2"/>
      <c r="R10448" s="2"/>
      <c r="S10448" s="2"/>
      <c r="T10448" s="2"/>
      <c r="U10448" s="2"/>
      <c r="V10448" s="2"/>
      <c r="W10448" s="2"/>
      <c r="X10448" s="2"/>
      <c r="Y10448" s="2"/>
      <c r="Z10448" s="2"/>
    </row>
    <row r="10449" spans="1:26" ht="17.399999999999999" x14ac:dyDescent="0.3">
      <c r="A10449" s="10"/>
      <c r="B10449" s="2"/>
      <c r="C10449" s="2"/>
      <c r="D10449" s="2"/>
      <c r="E10449" s="2"/>
      <c r="F10449" s="2"/>
      <c r="G10449" s="2"/>
      <c r="H10449" s="2"/>
      <c r="I10449" s="2"/>
      <c r="J10449" s="2"/>
      <c r="K10449" s="2"/>
      <c r="L10449" s="2"/>
      <c r="M10449" s="2"/>
      <c r="N10449" s="2"/>
      <c r="O10449" s="2"/>
      <c r="P10449" s="2"/>
      <c r="Q10449" s="2"/>
      <c r="R10449" s="2"/>
      <c r="S10449" s="2"/>
      <c r="T10449" s="2"/>
      <c r="U10449" s="2"/>
      <c r="V10449" s="2"/>
      <c r="W10449" s="2"/>
      <c r="X10449" s="2"/>
      <c r="Y10449" s="2"/>
      <c r="Z10449" s="2"/>
    </row>
    <row r="10450" spans="1:26" ht="17.399999999999999" x14ac:dyDescent="0.3">
      <c r="A10450" s="10"/>
      <c r="B10450" s="2"/>
      <c r="C10450" s="2"/>
      <c r="D10450" s="2"/>
      <c r="E10450" s="2"/>
      <c r="F10450" s="2"/>
      <c r="G10450" s="2"/>
      <c r="H10450" s="2"/>
      <c r="I10450" s="2"/>
      <c r="J10450" s="2"/>
      <c r="K10450" s="2"/>
      <c r="L10450" s="2"/>
      <c r="M10450" s="2"/>
      <c r="N10450" s="2"/>
      <c r="O10450" s="2"/>
      <c r="P10450" s="2"/>
      <c r="Q10450" s="2"/>
      <c r="R10450" s="2"/>
      <c r="S10450" s="2"/>
      <c r="T10450" s="2"/>
      <c r="U10450" s="2"/>
      <c r="V10450" s="2"/>
      <c r="W10450" s="2"/>
      <c r="X10450" s="2"/>
      <c r="Y10450" s="2"/>
      <c r="Z10450" s="2"/>
    </row>
    <row r="10451" spans="1:26" ht="17.399999999999999" x14ac:dyDescent="0.3">
      <c r="A10451" s="10"/>
      <c r="B10451" s="2"/>
      <c r="C10451" s="2"/>
      <c r="D10451" s="2"/>
      <c r="E10451" s="2"/>
      <c r="F10451" s="2"/>
      <c r="G10451" s="2"/>
      <c r="H10451" s="2"/>
      <c r="I10451" s="2"/>
      <c r="J10451" s="2"/>
      <c r="K10451" s="2"/>
      <c r="L10451" s="2"/>
      <c r="M10451" s="2"/>
      <c r="N10451" s="2"/>
      <c r="O10451" s="2"/>
      <c r="P10451" s="2"/>
      <c r="Q10451" s="2"/>
      <c r="R10451" s="2"/>
      <c r="S10451" s="2"/>
      <c r="T10451" s="2"/>
      <c r="U10451" s="2"/>
      <c r="V10451" s="2"/>
      <c r="W10451" s="2"/>
      <c r="X10451" s="2"/>
      <c r="Y10451" s="2"/>
      <c r="Z10451" s="2"/>
    </row>
    <row r="10452" spans="1:26" ht="17.399999999999999" x14ac:dyDescent="0.3">
      <c r="A10452" s="10"/>
      <c r="B10452" s="2"/>
      <c r="C10452" s="2"/>
      <c r="D10452" s="2"/>
      <c r="E10452" s="2"/>
      <c r="F10452" s="2"/>
      <c r="G10452" s="2"/>
      <c r="H10452" s="2"/>
      <c r="I10452" s="2"/>
      <c r="J10452" s="2"/>
      <c r="K10452" s="2"/>
      <c r="L10452" s="2"/>
      <c r="M10452" s="2"/>
      <c r="N10452" s="2"/>
      <c r="O10452" s="2"/>
      <c r="P10452" s="2"/>
      <c r="Q10452" s="2"/>
      <c r="R10452" s="2"/>
      <c r="S10452" s="2"/>
      <c r="T10452" s="2"/>
      <c r="U10452" s="2"/>
      <c r="V10452" s="2"/>
      <c r="W10452" s="2"/>
      <c r="X10452" s="2"/>
      <c r="Y10452" s="2"/>
      <c r="Z10452" s="2"/>
    </row>
    <row r="10453" spans="1:26" ht="17.399999999999999" x14ac:dyDescent="0.3">
      <c r="A10453" s="10"/>
      <c r="B10453" s="2"/>
      <c r="C10453" s="2"/>
      <c r="D10453" s="2"/>
      <c r="E10453" s="2"/>
      <c r="F10453" s="2"/>
      <c r="G10453" s="2"/>
      <c r="H10453" s="2"/>
      <c r="I10453" s="2"/>
      <c r="J10453" s="2"/>
      <c r="K10453" s="2"/>
      <c r="L10453" s="2"/>
      <c r="M10453" s="2"/>
      <c r="N10453" s="2"/>
      <c r="O10453" s="2"/>
      <c r="P10453" s="2"/>
      <c r="Q10453" s="2"/>
      <c r="R10453" s="2"/>
      <c r="S10453" s="2"/>
      <c r="T10453" s="2"/>
      <c r="U10453" s="2"/>
      <c r="V10453" s="2"/>
      <c r="W10453" s="2"/>
      <c r="X10453" s="2"/>
      <c r="Y10453" s="2"/>
      <c r="Z10453" s="2"/>
    </row>
    <row r="10454" spans="1:26" ht="17.399999999999999" x14ac:dyDescent="0.3">
      <c r="A10454" s="10"/>
      <c r="B10454" s="2"/>
      <c r="C10454" s="2"/>
      <c r="D10454" s="2"/>
      <c r="E10454" s="2"/>
      <c r="F10454" s="2"/>
      <c r="G10454" s="2"/>
      <c r="H10454" s="2"/>
      <c r="I10454" s="2"/>
      <c r="J10454" s="2"/>
      <c r="K10454" s="2"/>
      <c r="L10454" s="2"/>
      <c r="M10454" s="2"/>
      <c r="N10454" s="2"/>
      <c r="O10454" s="2"/>
      <c r="P10454" s="2"/>
      <c r="Q10454" s="2"/>
      <c r="R10454" s="2"/>
      <c r="S10454" s="2"/>
      <c r="T10454" s="2"/>
      <c r="U10454" s="2"/>
      <c r="V10454" s="2"/>
      <c r="W10454" s="2"/>
      <c r="X10454" s="2"/>
      <c r="Y10454" s="2"/>
      <c r="Z10454" s="2"/>
    </row>
    <row r="10455" spans="1:26" ht="17.399999999999999" x14ac:dyDescent="0.3">
      <c r="A10455" s="10"/>
      <c r="B10455" s="2"/>
      <c r="C10455" s="2"/>
      <c r="D10455" s="2"/>
      <c r="E10455" s="2"/>
      <c r="F10455" s="2"/>
      <c r="G10455" s="2"/>
      <c r="H10455" s="2"/>
      <c r="I10455" s="2"/>
      <c r="J10455" s="2"/>
      <c r="K10455" s="2"/>
      <c r="L10455" s="2"/>
      <c r="M10455" s="2"/>
      <c r="N10455" s="2"/>
      <c r="O10455" s="2"/>
      <c r="P10455" s="2"/>
      <c r="Q10455" s="2"/>
      <c r="R10455" s="2"/>
      <c r="S10455" s="2"/>
      <c r="T10455" s="2"/>
      <c r="U10455" s="2"/>
      <c r="V10455" s="2"/>
      <c r="W10455" s="2"/>
      <c r="X10455" s="2"/>
      <c r="Y10455" s="2"/>
      <c r="Z10455" s="2"/>
    </row>
    <row r="10456" spans="1:26" ht="17.399999999999999" x14ac:dyDescent="0.3">
      <c r="A10456" s="10"/>
      <c r="B10456" s="2"/>
      <c r="C10456" s="2"/>
      <c r="D10456" s="2"/>
      <c r="E10456" s="2"/>
      <c r="F10456" s="2"/>
      <c r="G10456" s="2"/>
      <c r="H10456" s="2"/>
      <c r="I10456" s="2"/>
      <c r="J10456" s="2"/>
      <c r="K10456" s="2"/>
      <c r="L10456" s="2"/>
      <c r="M10456" s="2"/>
      <c r="N10456" s="2"/>
      <c r="O10456" s="2"/>
      <c r="P10456" s="2"/>
      <c r="Q10456" s="2"/>
      <c r="R10456" s="2"/>
      <c r="S10456" s="2"/>
      <c r="T10456" s="2"/>
      <c r="U10456" s="2"/>
      <c r="V10456" s="2"/>
      <c r="W10456" s="2"/>
      <c r="X10456" s="2"/>
      <c r="Y10456" s="2"/>
      <c r="Z10456" s="2"/>
    </row>
    <row r="10457" spans="1:26" ht="17.399999999999999" x14ac:dyDescent="0.3">
      <c r="A10457" s="10"/>
      <c r="B10457" s="2"/>
      <c r="C10457" s="2"/>
      <c r="D10457" s="2"/>
      <c r="E10457" s="2"/>
      <c r="F10457" s="2"/>
      <c r="G10457" s="2"/>
      <c r="H10457" s="2"/>
      <c r="I10457" s="2"/>
      <c r="J10457" s="2"/>
      <c r="K10457" s="2"/>
      <c r="L10457" s="2"/>
      <c r="M10457" s="2"/>
      <c r="N10457" s="2"/>
      <c r="O10457" s="2"/>
      <c r="P10457" s="2"/>
      <c r="Q10457" s="2"/>
      <c r="R10457" s="2"/>
      <c r="S10457" s="2"/>
      <c r="T10457" s="2"/>
      <c r="U10457" s="2"/>
      <c r="V10457" s="2"/>
      <c r="W10457" s="2"/>
      <c r="X10457" s="2"/>
      <c r="Y10457" s="2"/>
      <c r="Z10457" s="2"/>
    </row>
    <row r="10458" spans="1:26" ht="17.399999999999999" x14ac:dyDescent="0.3">
      <c r="A10458" s="10"/>
      <c r="B10458" s="2"/>
      <c r="C10458" s="2"/>
      <c r="D10458" s="2"/>
      <c r="E10458" s="2"/>
      <c r="F10458" s="2"/>
      <c r="G10458" s="2"/>
      <c r="H10458" s="2"/>
      <c r="I10458" s="2"/>
      <c r="J10458" s="2"/>
      <c r="K10458" s="2"/>
      <c r="L10458" s="2"/>
      <c r="M10458" s="2"/>
      <c r="N10458" s="2"/>
      <c r="O10458" s="2"/>
      <c r="P10458" s="2"/>
      <c r="Q10458" s="2"/>
      <c r="R10458" s="2"/>
      <c r="S10458" s="2"/>
      <c r="T10458" s="2"/>
      <c r="U10458" s="2"/>
      <c r="V10458" s="2"/>
      <c r="W10458" s="2"/>
      <c r="X10458" s="2"/>
      <c r="Y10458" s="2"/>
      <c r="Z10458" s="2"/>
    </row>
    <row r="10459" spans="1:26" ht="17.399999999999999" x14ac:dyDescent="0.3">
      <c r="A10459" s="10"/>
      <c r="B10459" s="2"/>
      <c r="C10459" s="2"/>
      <c r="D10459" s="2"/>
      <c r="E10459" s="2"/>
      <c r="F10459" s="2"/>
      <c r="G10459" s="2"/>
      <c r="H10459" s="2"/>
      <c r="I10459" s="2"/>
      <c r="J10459" s="2"/>
      <c r="K10459" s="2"/>
      <c r="L10459" s="2"/>
      <c r="M10459" s="2"/>
      <c r="N10459" s="2"/>
      <c r="O10459" s="2"/>
      <c r="P10459" s="2"/>
      <c r="Q10459" s="2"/>
      <c r="R10459" s="2"/>
      <c r="S10459" s="2"/>
      <c r="T10459" s="2"/>
      <c r="U10459" s="2"/>
      <c r="V10459" s="2"/>
      <c r="W10459" s="2"/>
      <c r="X10459" s="2"/>
      <c r="Y10459" s="2"/>
      <c r="Z10459" s="2"/>
    </row>
    <row r="10460" spans="1:26" ht="17.399999999999999" x14ac:dyDescent="0.3">
      <c r="A10460" s="10"/>
      <c r="B10460" s="2"/>
      <c r="C10460" s="2"/>
      <c r="D10460" s="2"/>
      <c r="E10460" s="2"/>
      <c r="F10460" s="2"/>
      <c r="G10460" s="2"/>
      <c r="H10460" s="2"/>
      <c r="I10460" s="2"/>
      <c r="J10460" s="2"/>
      <c r="K10460" s="2"/>
      <c r="L10460" s="2"/>
      <c r="M10460" s="2"/>
      <c r="N10460" s="2"/>
      <c r="O10460" s="2"/>
      <c r="P10460" s="2"/>
      <c r="Q10460" s="2"/>
      <c r="R10460" s="2"/>
      <c r="S10460" s="2"/>
      <c r="T10460" s="2"/>
      <c r="U10460" s="2"/>
      <c r="V10460" s="2"/>
      <c r="W10460" s="2"/>
      <c r="X10460" s="2"/>
      <c r="Y10460" s="2"/>
      <c r="Z10460" s="2"/>
    </row>
    <row r="10461" spans="1:26" ht="17.399999999999999" x14ac:dyDescent="0.3">
      <c r="A10461" s="10"/>
      <c r="B10461" s="2"/>
      <c r="C10461" s="2"/>
      <c r="D10461" s="2"/>
      <c r="E10461" s="2"/>
      <c r="F10461" s="2"/>
      <c r="G10461" s="2"/>
      <c r="H10461" s="2"/>
      <c r="I10461" s="2"/>
      <c r="J10461" s="2"/>
      <c r="K10461" s="2"/>
      <c r="L10461" s="2"/>
      <c r="M10461" s="2"/>
      <c r="N10461" s="2"/>
      <c r="O10461" s="2"/>
      <c r="P10461" s="2"/>
      <c r="Q10461" s="2"/>
      <c r="R10461" s="2"/>
      <c r="S10461" s="2"/>
      <c r="T10461" s="2"/>
      <c r="U10461" s="2"/>
      <c r="V10461" s="2"/>
      <c r="W10461" s="2"/>
      <c r="X10461" s="2"/>
      <c r="Y10461" s="2"/>
      <c r="Z10461" s="2"/>
    </row>
    <row r="10462" spans="1:26" ht="17.399999999999999" x14ac:dyDescent="0.3">
      <c r="A10462" s="10"/>
      <c r="B10462" s="2"/>
      <c r="C10462" s="2"/>
      <c r="D10462" s="2"/>
      <c r="E10462" s="2"/>
      <c r="F10462" s="2"/>
      <c r="G10462" s="2"/>
      <c r="H10462" s="2"/>
      <c r="I10462" s="2"/>
      <c r="J10462" s="2"/>
      <c r="K10462" s="2"/>
      <c r="L10462" s="2"/>
      <c r="M10462" s="2"/>
      <c r="N10462" s="2"/>
      <c r="O10462" s="2"/>
      <c r="P10462" s="2"/>
      <c r="Q10462" s="2"/>
      <c r="R10462" s="2"/>
      <c r="S10462" s="2"/>
      <c r="T10462" s="2"/>
      <c r="U10462" s="2"/>
      <c r="V10462" s="2"/>
      <c r="W10462" s="2"/>
      <c r="X10462" s="2"/>
      <c r="Y10462" s="2"/>
      <c r="Z10462" s="2"/>
    </row>
    <row r="10463" spans="1:26" ht="17.399999999999999" x14ac:dyDescent="0.3">
      <c r="A10463" s="10"/>
      <c r="B10463" s="2"/>
      <c r="C10463" s="2"/>
      <c r="D10463" s="2"/>
      <c r="E10463" s="2"/>
      <c r="F10463" s="2"/>
      <c r="G10463" s="2"/>
      <c r="H10463" s="2"/>
      <c r="I10463" s="2"/>
      <c r="J10463" s="2"/>
      <c r="K10463" s="2"/>
      <c r="L10463" s="2"/>
      <c r="M10463" s="2"/>
      <c r="N10463" s="2"/>
      <c r="O10463" s="2"/>
      <c r="P10463" s="2"/>
      <c r="Q10463" s="2"/>
      <c r="R10463" s="2"/>
      <c r="S10463" s="2"/>
      <c r="T10463" s="2"/>
      <c r="U10463" s="2"/>
      <c r="V10463" s="2"/>
      <c r="W10463" s="2"/>
      <c r="X10463" s="2"/>
      <c r="Y10463" s="2"/>
      <c r="Z10463" s="2"/>
    </row>
    <row r="10464" spans="1:26" ht="17.399999999999999" x14ac:dyDescent="0.3">
      <c r="A10464" s="10"/>
      <c r="B10464" s="2"/>
      <c r="C10464" s="2"/>
      <c r="D10464" s="2"/>
      <c r="E10464" s="2"/>
      <c r="F10464" s="2"/>
      <c r="G10464" s="2"/>
      <c r="H10464" s="2"/>
      <c r="I10464" s="2"/>
      <c r="J10464" s="2"/>
      <c r="K10464" s="2"/>
      <c r="L10464" s="2"/>
      <c r="M10464" s="2"/>
      <c r="N10464" s="2"/>
      <c r="O10464" s="2"/>
      <c r="P10464" s="2"/>
      <c r="Q10464" s="2"/>
      <c r="R10464" s="2"/>
      <c r="S10464" s="2"/>
      <c r="T10464" s="2"/>
      <c r="U10464" s="2"/>
      <c r="V10464" s="2"/>
      <c r="W10464" s="2"/>
      <c r="X10464" s="2"/>
      <c r="Y10464" s="2"/>
      <c r="Z10464" s="2"/>
    </row>
    <row r="10465" spans="1:26" ht="17.399999999999999" x14ac:dyDescent="0.3">
      <c r="A10465" s="10"/>
      <c r="B10465" s="2"/>
      <c r="C10465" s="2"/>
      <c r="D10465" s="2"/>
      <c r="E10465" s="2"/>
      <c r="F10465" s="2"/>
      <c r="G10465" s="2"/>
      <c r="H10465" s="2"/>
      <c r="I10465" s="2"/>
      <c r="J10465" s="2"/>
      <c r="K10465" s="2"/>
      <c r="L10465" s="2"/>
      <c r="M10465" s="2"/>
      <c r="N10465" s="2"/>
      <c r="O10465" s="2"/>
      <c r="P10465" s="2"/>
      <c r="Q10465" s="2"/>
      <c r="R10465" s="2"/>
      <c r="S10465" s="2"/>
      <c r="T10465" s="2"/>
      <c r="U10465" s="2"/>
      <c r="V10465" s="2"/>
      <c r="W10465" s="2"/>
      <c r="X10465" s="2"/>
      <c r="Y10465" s="2"/>
      <c r="Z10465" s="2"/>
    </row>
    <row r="10466" spans="1:26" ht="17.399999999999999" x14ac:dyDescent="0.3">
      <c r="A10466" s="10"/>
      <c r="B10466" s="2"/>
      <c r="C10466" s="2"/>
      <c r="D10466" s="2"/>
      <c r="E10466" s="2"/>
      <c r="F10466" s="2"/>
      <c r="G10466" s="2"/>
      <c r="H10466" s="2"/>
      <c r="I10466" s="2"/>
      <c r="J10466" s="2"/>
      <c r="K10466" s="2"/>
      <c r="L10466" s="2"/>
      <c r="M10466" s="2"/>
      <c r="N10466" s="2"/>
      <c r="O10466" s="2"/>
      <c r="P10466" s="2"/>
      <c r="Q10466" s="2"/>
      <c r="R10466" s="2"/>
      <c r="S10466" s="2"/>
      <c r="T10466" s="2"/>
      <c r="U10466" s="2"/>
      <c r="V10466" s="2"/>
      <c r="W10466" s="2"/>
      <c r="X10466" s="2"/>
      <c r="Y10466" s="2"/>
      <c r="Z10466" s="2"/>
    </row>
    <row r="10467" spans="1:26" ht="17.399999999999999" x14ac:dyDescent="0.3">
      <c r="A10467" s="10"/>
      <c r="B10467" s="2"/>
      <c r="C10467" s="2"/>
      <c r="D10467" s="2"/>
      <c r="E10467" s="2"/>
      <c r="F10467" s="2"/>
      <c r="G10467" s="2"/>
      <c r="H10467" s="2"/>
      <c r="I10467" s="2"/>
      <c r="J10467" s="2"/>
      <c r="K10467" s="2"/>
      <c r="L10467" s="2"/>
      <c r="M10467" s="2"/>
      <c r="N10467" s="2"/>
      <c r="O10467" s="2"/>
      <c r="P10467" s="2"/>
      <c r="Q10467" s="2"/>
      <c r="R10467" s="2"/>
      <c r="S10467" s="2"/>
      <c r="T10467" s="2"/>
      <c r="U10467" s="2"/>
      <c r="V10467" s="2"/>
      <c r="W10467" s="2"/>
      <c r="X10467" s="2"/>
      <c r="Y10467" s="2"/>
      <c r="Z10467" s="2"/>
    </row>
    <row r="10468" spans="1:26" ht="17.399999999999999" x14ac:dyDescent="0.3">
      <c r="A10468" s="10"/>
      <c r="B10468" s="2"/>
      <c r="C10468" s="2"/>
      <c r="D10468" s="2"/>
      <c r="E10468" s="2"/>
      <c r="F10468" s="2"/>
      <c r="G10468" s="2"/>
      <c r="H10468" s="2"/>
      <c r="I10468" s="2"/>
      <c r="J10468" s="2"/>
      <c r="K10468" s="2"/>
      <c r="L10468" s="2"/>
      <c r="M10468" s="2"/>
      <c r="N10468" s="2"/>
      <c r="O10468" s="2"/>
      <c r="P10468" s="2"/>
      <c r="Q10468" s="2"/>
      <c r="R10468" s="2"/>
      <c r="S10468" s="2"/>
      <c r="T10468" s="2"/>
      <c r="U10468" s="2"/>
      <c r="V10468" s="2"/>
      <c r="W10468" s="2"/>
      <c r="X10468" s="2"/>
      <c r="Y10468" s="2"/>
      <c r="Z10468" s="2"/>
    </row>
    <row r="10469" spans="1:26" ht="17.399999999999999" x14ac:dyDescent="0.3">
      <c r="A10469" s="10"/>
      <c r="B10469" s="2"/>
      <c r="C10469" s="2"/>
      <c r="D10469" s="2"/>
      <c r="E10469" s="2"/>
      <c r="F10469" s="2"/>
      <c r="G10469" s="2"/>
      <c r="H10469" s="2"/>
      <c r="I10469" s="2"/>
      <c r="J10469" s="2"/>
      <c r="K10469" s="2"/>
      <c r="L10469" s="2"/>
      <c r="M10469" s="2"/>
      <c r="N10469" s="2"/>
      <c r="O10469" s="2"/>
      <c r="P10469" s="2"/>
      <c r="Q10469" s="2"/>
      <c r="R10469" s="2"/>
      <c r="S10469" s="2"/>
      <c r="T10469" s="2"/>
      <c r="U10469" s="2"/>
      <c r="V10469" s="2"/>
      <c r="W10469" s="2"/>
      <c r="X10469" s="2"/>
      <c r="Y10469" s="2"/>
      <c r="Z10469" s="2"/>
    </row>
    <row r="10470" spans="1:26" ht="17.399999999999999" x14ac:dyDescent="0.3">
      <c r="A10470" s="10"/>
      <c r="B10470" s="2"/>
      <c r="C10470" s="2"/>
      <c r="D10470" s="2"/>
      <c r="E10470" s="2"/>
      <c r="F10470" s="2"/>
      <c r="G10470" s="2"/>
      <c r="H10470" s="2"/>
      <c r="I10470" s="2"/>
      <c r="J10470" s="2"/>
      <c r="K10470" s="2"/>
      <c r="L10470" s="2"/>
      <c r="M10470" s="2"/>
      <c r="N10470" s="2"/>
      <c r="O10470" s="2"/>
      <c r="P10470" s="2"/>
      <c r="Q10470" s="2"/>
      <c r="R10470" s="2"/>
      <c r="S10470" s="2"/>
      <c r="T10470" s="2"/>
      <c r="U10470" s="2"/>
      <c r="V10470" s="2"/>
      <c r="W10470" s="2"/>
      <c r="X10470" s="2"/>
      <c r="Y10470" s="2"/>
      <c r="Z10470" s="2"/>
    </row>
    <row r="10471" spans="1:26" ht="17.399999999999999" x14ac:dyDescent="0.3">
      <c r="A10471" s="10"/>
      <c r="B10471" s="2"/>
      <c r="C10471" s="2"/>
      <c r="D10471" s="2"/>
      <c r="E10471" s="2"/>
      <c r="F10471" s="2"/>
      <c r="G10471" s="2"/>
      <c r="H10471" s="2"/>
      <c r="I10471" s="2"/>
      <c r="J10471" s="2"/>
      <c r="K10471" s="2"/>
      <c r="L10471" s="2"/>
      <c r="M10471" s="2"/>
      <c r="N10471" s="2"/>
      <c r="O10471" s="2"/>
      <c r="P10471" s="2"/>
      <c r="Q10471" s="2"/>
      <c r="R10471" s="2"/>
      <c r="S10471" s="2"/>
      <c r="T10471" s="2"/>
      <c r="U10471" s="2"/>
      <c r="V10471" s="2"/>
      <c r="W10471" s="2"/>
      <c r="X10471" s="2"/>
      <c r="Y10471" s="2"/>
      <c r="Z10471" s="2"/>
    </row>
    <row r="10472" spans="1:26" ht="17.399999999999999" x14ac:dyDescent="0.3">
      <c r="A10472" s="10"/>
      <c r="B10472" s="2"/>
      <c r="C10472" s="2"/>
      <c r="D10472" s="2"/>
      <c r="E10472" s="2"/>
      <c r="F10472" s="2"/>
      <c r="G10472" s="2"/>
      <c r="H10472" s="2"/>
      <c r="I10472" s="2"/>
      <c r="J10472" s="2"/>
      <c r="K10472" s="2"/>
      <c r="L10472" s="2"/>
      <c r="M10472" s="2"/>
      <c r="N10472" s="2"/>
      <c r="O10472" s="2"/>
      <c r="P10472" s="2"/>
      <c r="Q10472" s="2"/>
      <c r="R10472" s="2"/>
      <c r="S10472" s="2"/>
      <c r="T10472" s="2"/>
      <c r="U10472" s="2"/>
      <c r="V10472" s="2"/>
      <c r="W10472" s="2"/>
      <c r="X10472" s="2"/>
      <c r="Y10472" s="2"/>
      <c r="Z10472" s="2"/>
    </row>
    <row r="10473" spans="1:26" ht="17.399999999999999" x14ac:dyDescent="0.3">
      <c r="A10473" s="10"/>
      <c r="B10473" s="2"/>
      <c r="C10473" s="2"/>
      <c r="D10473" s="2"/>
      <c r="E10473" s="2"/>
      <c r="F10473" s="2"/>
      <c r="G10473" s="2"/>
      <c r="H10473" s="2"/>
      <c r="I10473" s="2"/>
      <c r="J10473" s="2"/>
      <c r="K10473" s="2"/>
      <c r="L10473" s="2"/>
      <c r="M10473" s="2"/>
      <c r="N10473" s="2"/>
      <c r="O10473" s="2"/>
      <c r="P10473" s="2"/>
      <c r="Q10473" s="2"/>
      <c r="R10473" s="2"/>
      <c r="S10473" s="2"/>
      <c r="T10473" s="2"/>
      <c r="U10473" s="2"/>
      <c r="V10473" s="2"/>
      <c r="W10473" s="2"/>
      <c r="X10473" s="2"/>
      <c r="Y10473" s="2"/>
      <c r="Z10473" s="2"/>
    </row>
    <row r="10474" spans="1:26" ht="17.399999999999999" x14ac:dyDescent="0.3">
      <c r="A10474" s="10"/>
      <c r="B10474" s="2"/>
      <c r="C10474" s="2"/>
      <c r="D10474" s="2"/>
      <c r="E10474" s="2"/>
      <c r="F10474" s="2"/>
      <c r="G10474" s="2"/>
      <c r="H10474" s="2"/>
      <c r="I10474" s="2"/>
      <c r="J10474" s="2"/>
      <c r="K10474" s="2"/>
      <c r="L10474" s="2"/>
      <c r="M10474" s="2"/>
      <c r="N10474" s="2"/>
      <c r="O10474" s="2"/>
      <c r="P10474" s="2"/>
      <c r="Q10474" s="2"/>
      <c r="R10474" s="2"/>
      <c r="S10474" s="2"/>
      <c r="T10474" s="2"/>
      <c r="U10474" s="2"/>
      <c r="V10474" s="2"/>
      <c r="W10474" s="2"/>
      <c r="X10474" s="2"/>
      <c r="Y10474" s="2"/>
      <c r="Z10474" s="2"/>
    </row>
    <row r="10475" spans="1:26" ht="17.399999999999999" x14ac:dyDescent="0.3">
      <c r="A10475" s="10"/>
      <c r="B10475" s="2"/>
      <c r="C10475" s="2"/>
      <c r="D10475" s="2"/>
      <c r="E10475" s="2"/>
      <c r="F10475" s="2"/>
      <c r="G10475" s="2"/>
      <c r="H10475" s="2"/>
      <c r="I10475" s="2"/>
      <c r="J10475" s="2"/>
      <c r="K10475" s="2"/>
      <c r="L10475" s="2"/>
      <c r="M10475" s="2"/>
      <c r="N10475" s="2"/>
      <c r="O10475" s="2"/>
      <c r="P10475" s="2"/>
      <c r="Q10475" s="2"/>
      <c r="R10475" s="2"/>
      <c r="S10475" s="2"/>
      <c r="T10475" s="2"/>
      <c r="U10475" s="2"/>
      <c r="V10475" s="2"/>
      <c r="W10475" s="2"/>
      <c r="X10475" s="2"/>
      <c r="Y10475" s="2"/>
      <c r="Z10475" s="2"/>
    </row>
    <row r="10476" spans="1:26" ht="17.399999999999999" x14ac:dyDescent="0.3">
      <c r="A10476" s="10"/>
      <c r="B10476" s="2"/>
      <c r="C10476" s="2"/>
      <c r="D10476" s="2"/>
      <c r="E10476" s="2"/>
      <c r="F10476" s="2"/>
      <c r="G10476" s="2"/>
      <c r="H10476" s="2"/>
      <c r="I10476" s="2"/>
      <c r="J10476" s="2"/>
      <c r="K10476" s="2"/>
      <c r="L10476" s="2"/>
      <c r="M10476" s="2"/>
      <c r="N10476" s="2"/>
      <c r="O10476" s="2"/>
      <c r="P10476" s="2"/>
      <c r="Q10476" s="2"/>
      <c r="R10476" s="2"/>
      <c r="S10476" s="2"/>
      <c r="T10476" s="2"/>
      <c r="U10476" s="2"/>
      <c r="V10476" s="2"/>
      <c r="W10476" s="2"/>
      <c r="X10476" s="2"/>
      <c r="Y10476" s="2"/>
      <c r="Z10476" s="2"/>
    </row>
    <row r="10477" spans="1:26" ht="17.399999999999999" x14ac:dyDescent="0.3">
      <c r="A10477" s="10"/>
      <c r="B10477" s="2"/>
      <c r="C10477" s="2"/>
      <c r="D10477" s="2"/>
      <c r="E10477" s="2"/>
      <c r="F10477" s="2"/>
      <c r="G10477" s="2"/>
      <c r="H10477" s="2"/>
      <c r="I10477" s="2"/>
      <c r="J10477" s="2"/>
      <c r="K10477" s="2"/>
      <c r="L10477" s="2"/>
      <c r="M10477" s="2"/>
      <c r="N10477" s="2"/>
      <c r="O10477" s="2"/>
      <c r="P10477" s="2"/>
      <c r="Q10477" s="2"/>
      <c r="R10477" s="2"/>
      <c r="S10477" s="2"/>
      <c r="T10477" s="2"/>
      <c r="U10477" s="2"/>
      <c r="V10477" s="2"/>
      <c r="W10477" s="2"/>
      <c r="X10477" s="2"/>
      <c r="Y10477" s="2"/>
      <c r="Z10477" s="2"/>
    </row>
    <row r="10478" spans="1:26" ht="17.399999999999999" x14ac:dyDescent="0.3">
      <c r="A10478" s="10"/>
      <c r="B10478" s="2"/>
      <c r="C10478" s="2"/>
      <c r="D10478" s="2"/>
      <c r="E10478" s="2"/>
      <c r="F10478" s="2"/>
      <c r="G10478" s="2"/>
      <c r="H10478" s="2"/>
      <c r="I10478" s="2"/>
      <c r="J10478" s="2"/>
      <c r="K10478" s="2"/>
      <c r="L10478" s="2"/>
      <c r="M10478" s="2"/>
      <c r="N10478" s="2"/>
      <c r="O10478" s="2"/>
      <c r="P10478" s="2"/>
      <c r="Q10478" s="2"/>
      <c r="R10478" s="2"/>
      <c r="S10478" s="2"/>
      <c r="T10478" s="2"/>
      <c r="U10478" s="2"/>
      <c r="V10478" s="2"/>
      <c r="W10478" s="2"/>
      <c r="X10478" s="2"/>
      <c r="Y10478" s="2"/>
      <c r="Z10478" s="2"/>
    </row>
    <row r="10479" spans="1:26" ht="17.399999999999999" x14ac:dyDescent="0.3">
      <c r="A10479" s="10"/>
      <c r="B10479" s="2"/>
      <c r="C10479" s="2"/>
      <c r="D10479" s="2"/>
      <c r="E10479" s="2"/>
      <c r="F10479" s="2"/>
      <c r="G10479" s="2"/>
      <c r="H10479" s="2"/>
      <c r="I10479" s="2"/>
      <c r="J10479" s="2"/>
      <c r="K10479" s="2"/>
      <c r="L10479" s="2"/>
      <c r="M10479" s="2"/>
      <c r="N10479" s="2"/>
      <c r="O10479" s="2"/>
      <c r="P10479" s="2"/>
      <c r="Q10479" s="2"/>
      <c r="R10479" s="2"/>
      <c r="S10479" s="2"/>
      <c r="T10479" s="2"/>
      <c r="U10479" s="2"/>
      <c r="V10479" s="2"/>
      <c r="W10479" s="2"/>
      <c r="X10479" s="2"/>
      <c r="Y10479" s="2"/>
      <c r="Z10479" s="2"/>
    </row>
    <row r="10480" spans="1:26" ht="17.399999999999999" x14ac:dyDescent="0.3">
      <c r="A10480" s="10"/>
      <c r="B10480" s="2"/>
      <c r="C10480" s="2"/>
      <c r="D10480" s="2"/>
      <c r="E10480" s="2"/>
      <c r="F10480" s="2"/>
      <c r="G10480" s="2"/>
      <c r="H10480" s="2"/>
      <c r="I10480" s="2"/>
      <c r="J10480" s="2"/>
      <c r="K10480" s="2"/>
      <c r="L10480" s="2"/>
      <c r="M10480" s="2"/>
      <c r="N10480" s="2"/>
      <c r="O10480" s="2"/>
      <c r="P10480" s="2"/>
      <c r="Q10480" s="2"/>
      <c r="R10480" s="2"/>
      <c r="S10480" s="2"/>
      <c r="T10480" s="2"/>
      <c r="U10480" s="2"/>
      <c r="V10480" s="2"/>
      <c r="W10480" s="2"/>
      <c r="X10480" s="2"/>
      <c r="Y10480" s="2"/>
      <c r="Z10480" s="2"/>
    </row>
    <row r="10481" spans="1:26" ht="17.399999999999999" x14ac:dyDescent="0.3">
      <c r="A10481" s="10"/>
      <c r="B10481" s="2"/>
      <c r="C10481" s="2"/>
      <c r="D10481" s="2"/>
      <c r="E10481" s="2"/>
      <c r="F10481" s="2"/>
      <c r="G10481" s="2"/>
      <c r="H10481" s="2"/>
      <c r="I10481" s="2"/>
      <c r="J10481" s="2"/>
      <c r="K10481" s="2"/>
      <c r="L10481" s="2"/>
      <c r="M10481" s="2"/>
      <c r="N10481" s="2"/>
      <c r="O10481" s="2"/>
      <c r="P10481" s="2"/>
      <c r="Q10481" s="2"/>
      <c r="R10481" s="2"/>
      <c r="S10481" s="2"/>
      <c r="T10481" s="2"/>
      <c r="U10481" s="2"/>
      <c r="V10481" s="2"/>
      <c r="W10481" s="2"/>
      <c r="X10481" s="2"/>
      <c r="Y10481" s="2"/>
      <c r="Z10481" s="2"/>
    </row>
    <row r="10482" spans="1:26" ht="17.399999999999999" x14ac:dyDescent="0.3">
      <c r="A10482" s="10"/>
      <c r="B10482" s="2"/>
      <c r="C10482" s="2"/>
      <c r="D10482" s="2"/>
      <c r="E10482" s="2"/>
      <c r="F10482" s="2"/>
      <c r="G10482" s="2"/>
      <c r="H10482" s="2"/>
      <c r="I10482" s="2"/>
      <c r="J10482" s="2"/>
      <c r="K10482" s="2"/>
      <c r="L10482" s="2"/>
      <c r="M10482" s="2"/>
      <c r="N10482" s="2"/>
      <c r="O10482" s="2"/>
      <c r="P10482" s="2"/>
      <c r="Q10482" s="2"/>
      <c r="R10482" s="2"/>
      <c r="S10482" s="2"/>
      <c r="T10482" s="2"/>
      <c r="U10482" s="2"/>
      <c r="V10482" s="2"/>
      <c r="W10482" s="2"/>
      <c r="X10482" s="2"/>
      <c r="Y10482" s="2"/>
      <c r="Z10482" s="2"/>
    </row>
    <row r="10483" spans="1:26" ht="17.399999999999999" x14ac:dyDescent="0.3">
      <c r="A10483" s="10"/>
      <c r="B10483" s="2"/>
      <c r="C10483" s="2"/>
      <c r="D10483" s="2"/>
      <c r="E10483" s="2"/>
      <c r="F10483" s="2"/>
      <c r="G10483" s="2"/>
      <c r="H10483" s="2"/>
      <c r="I10483" s="2"/>
      <c r="J10483" s="2"/>
      <c r="K10483" s="2"/>
      <c r="L10483" s="2"/>
      <c r="M10483" s="2"/>
      <c r="N10483" s="2"/>
      <c r="O10483" s="2"/>
      <c r="P10483" s="2"/>
      <c r="Q10483" s="2"/>
      <c r="R10483" s="2"/>
      <c r="S10483" s="2"/>
      <c r="T10483" s="2"/>
      <c r="U10483" s="2"/>
      <c r="V10483" s="2"/>
      <c r="W10483" s="2"/>
      <c r="X10483" s="2"/>
      <c r="Y10483" s="2"/>
      <c r="Z10483" s="2"/>
    </row>
    <row r="10484" spans="1:26" ht="17.399999999999999" x14ac:dyDescent="0.3">
      <c r="A10484" s="10"/>
      <c r="B10484" s="2"/>
      <c r="C10484" s="2"/>
      <c r="D10484" s="2"/>
      <c r="E10484" s="2"/>
      <c r="F10484" s="2"/>
      <c r="G10484" s="2"/>
      <c r="H10484" s="2"/>
      <c r="I10484" s="2"/>
      <c r="J10484" s="2"/>
      <c r="K10484" s="2"/>
      <c r="L10484" s="2"/>
      <c r="M10484" s="2"/>
      <c r="N10484" s="2"/>
      <c r="O10484" s="2"/>
      <c r="P10484" s="2"/>
      <c r="Q10484" s="2"/>
      <c r="R10484" s="2"/>
      <c r="S10484" s="2"/>
      <c r="T10484" s="2"/>
      <c r="U10484" s="2"/>
      <c r="V10484" s="2"/>
      <c r="W10484" s="2"/>
      <c r="X10484" s="2"/>
      <c r="Y10484" s="2"/>
      <c r="Z10484" s="2"/>
    </row>
    <row r="10485" spans="1:26" ht="17.399999999999999" x14ac:dyDescent="0.3">
      <c r="A10485" s="10"/>
      <c r="B10485" s="2"/>
      <c r="C10485" s="2"/>
      <c r="D10485" s="2"/>
      <c r="E10485" s="2"/>
      <c r="F10485" s="2"/>
      <c r="G10485" s="2"/>
      <c r="H10485" s="2"/>
      <c r="I10485" s="2"/>
      <c r="J10485" s="2"/>
      <c r="K10485" s="2"/>
      <c r="L10485" s="2"/>
      <c r="M10485" s="2"/>
      <c r="N10485" s="2"/>
      <c r="O10485" s="2"/>
      <c r="P10485" s="2"/>
      <c r="Q10485" s="2"/>
      <c r="R10485" s="2"/>
      <c r="S10485" s="2"/>
      <c r="T10485" s="2"/>
      <c r="U10485" s="2"/>
      <c r="V10485" s="2"/>
      <c r="W10485" s="2"/>
      <c r="X10485" s="2"/>
      <c r="Y10485" s="2"/>
      <c r="Z10485" s="2"/>
    </row>
    <row r="10486" spans="1:26" ht="17.399999999999999" x14ac:dyDescent="0.3">
      <c r="A10486" s="10"/>
      <c r="B10486" s="2"/>
      <c r="C10486" s="2"/>
      <c r="D10486" s="2"/>
      <c r="E10486" s="2"/>
      <c r="F10486" s="2"/>
      <c r="G10486" s="2"/>
      <c r="H10486" s="2"/>
      <c r="I10486" s="2"/>
      <c r="J10486" s="2"/>
      <c r="K10486" s="2"/>
      <c r="L10486" s="2"/>
      <c r="M10486" s="2"/>
      <c r="N10486" s="2"/>
      <c r="O10486" s="2"/>
      <c r="P10486" s="2"/>
      <c r="Q10486" s="2"/>
      <c r="R10486" s="2"/>
      <c r="S10486" s="2"/>
      <c r="T10486" s="2"/>
      <c r="U10486" s="2"/>
      <c r="V10486" s="2"/>
      <c r="W10486" s="2"/>
      <c r="X10486" s="2"/>
      <c r="Y10486" s="2"/>
      <c r="Z10486" s="2"/>
    </row>
    <row r="10487" spans="1:26" ht="17.399999999999999" x14ac:dyDescent="0.3">
      <c r="A10487" s="10"/>
      <c r="B10487" s="2"/>
      <c r="C10487" s="2"/>
      <c r="D10487" s="2"/>
      <c r="E10487" s="2"/>
      <c r="F10487" s="2"/>
      <c r="G10487" s="2"/>
      <c r="H10487" s="2"/>
      <c r="I10487" s="2"/>
      <c r="J10487" s="2"/>
      <c r="K10487" s="2"/>
      <c r="L10487" s="2"/>
      <c r="M10487" s="2"/>
      <c r="N10487" s="2"/>
      <c r="O10487" s="2"/>
      <c r="P10487" s="2"/>
      <c r="Q10487" s="2"/>
      <c r="R10487" s="2"/>
      <c r="S10487" s="2"/>
      <c r="T10487" s="2"/>
      <c r="U10487" s="2"/>
      <c r="V10487" s="2"/>
      <c r="W10487" s="2"/>
      <c r="X10487" s="2"/>
      <c r="Y10487" s="2"/>
      <c r="Z10487" s="2"/>
    </row>
    <row r="10488" spans="1:26" ht="17.399999999999999" x14ac:dyDescent="0.3">
      <c r="A10488" s="10"/>
      <c r="B10488" s="2"/>
      <c r="C10488" s="2"/>
      <c r="D10488" s="2"/>
      <c r="E10488" s="2"/>
      <c r="F10488" s="2"/>
      <c r="G10488" s="2"/>
      <c r="H10488" s="2"/>
      <c r="I10488" s="2"/>
      <c r="J10488" s="2"/>
      <c r="K10488" s="2"/>
      <c r="L10488" s="2"/>
      <c r="M10488" s="2"/>
      <c r="N10488" s="2"/>
      <c r="O10488" s="2"/>
      <c r="P10488" s="2"/>
      <c r="Q10488" s="2"/>
      <c r="R10488" s="2"/>
      <c r="S10488" s="2"/>
      <c r="T10488" s="2"/>
      <c r="U10488" s="2"/>
      <c r="V10488" s="2"/>
      <c r="W10488" s="2"/>
      <c r="X10488" s="2"/>
      <c r="Y10488" s="2"/>
      <c r="Z10488" s="2"/>
    </row>
    <row r="10489" spans="1:26" ht="17.399999999999999" x14ac:dyDescent="0.3">
      <c r="A10489" s="10"/>
      <c r="B10489" s="2"/>
      <c r="C10489" s="2"/>
      <c r="D10489" s="2"/>
      <c r="E10489" s="2"/>
      <c r="F10489" s="2"/>
      <c r="G10489" s="2"/>
      <c r="H10489" s="2"/>
      <c r="I10489" s="2"/>
      <c r="J10489" s="2"/>
      <c r="K10489" s="2"/>
      <c r="L10489" s="2"/>
      <c r="M10489" s="2"/>
      <c r="N10489" s="2"/>
      <c r="O10489" s="2"/>
      <c r="P10489" s="2"/>
      <c r="Q10489" s="2"/>
      <c r="R10489" s="2"/>
      <c r="S10489" s="2"/>
      <c r="T10489" s="2"/>
      <c r="U10489" s="2"/>
      <c r="V10489" s="2"/>
      <c r="W10489" s="2"/>
      <c r="X10489" s="2"/>
      <c r="Y10489" s="2"/>
      <c r="Z10489" s="2"/>
    </row>
    <row r="10490" spans="1:26" ht="17.399999999999999" x14ac:dyDescent="0.3">
      <c r="A10490" s="10"/>
      <c r="B10490" s="2"/>
      <c r="C10490" s="2"/>
      <c r="D10490" s="2"/>
      <c r="E10490" s="2"/>
      <c r="F10490" s="2"/>
      <c r="G10490" s="2"/>
      <c r="H10490" s="2"/>
      <c r="I10490" s="2"/>
      <c r="J10490" s="2"/>
      <c r="K10490" s="2"/>
      <c r="L10490" s="2"/>
      <c r="M10490" s="2"/>
      <c r="N10490" s="2"/>
      <c r="O10490" s="2"/>
      <c r="P10490" s="2"/>
      <c r="Q10490" s="2"/>
      <c r="R10490" s="2"/>
      <c r="S10490" s="2"/>
      <c r="T10490" s="2"/>
      <c r="U10490" s="2"/>
      <c r="V10490" s="2"/>
      <c r="W10490" s="2"/>
      <c r="X10490" s="2"/>
      <c r="Y10490" s="2"/>
      <c r="Z10490" s="2"/>
    </row>
    <row r="10491" spans="1:26" ht="17.399999999999999" x14ac:dyDescent="0.3">
      <c r="A10491" s="10"/>
      <c r="B10491" s="2"/>
      <c r="C10491" s="2"/>
      <c r="D10491" s="2"/>
      <c r="E10491" s="2"/>
      <c r="F10491" s="2"/>
      <c r="G10491" s="2"/>
      <c r="H10491" s="2"/>
      <c r="I10491" s="2"/>
      <c r="J10491" s="2"/>
      <c r="K10491" s="2"/>
      <c r="L10491" s="2"/>
      <c r="M10491" s="2"/>
      <c r="N10491" s="2"/>
      <c r="O10491" s="2"/>
      <c r="P10491" s="2"/>
      <c r="Q10491" s="2"/>
      <c r="R10491" s="2"/>
      <c r="S10491" s="2"/>
      <c r="T10491" s="2"/>
      <c r="U10491" s="2"/>
      <c r="V10491" s="2"/>
      <c r="W10491" s="2"/>
      <c r="X10491" s="2"/>
      <c r="Y10491" s="2"/>
      <c r="Z10491" s="2"/>
    </row>
    <row r="10492" spans="1:26" ht="17.399999999999999" x14ac:dyDescent="0.3">
      <c r="A10492" s="10"/>
      <c r="B10492" s="2"/>
      <c r="C10492" s="2"/>
      <c r="D10492" s="2"/>
      <c r="E10492" s="2"/>
      <c r="F10492" s="2"/>
      <c r="G10492" s="2"/>
      <c r="H10492" s="2"/>
      <c r="I10492" s="2"/>
      <c r="J10492" s="2"/>
      <c r="K10492" s="2"/>
      <c r="L10492" s="2"/>
      <c r="M10492" s="2"/>
      <c r="N10492" s="2"/>
      <c r="O10492" s="2"/>
      <c r="P10492" s="2"/>
      <c r="Q10492" s="2"/>
      <c r="R10492" s="2"/>
      <c r="S10492" s="2"/>
      <c r="T10492" s="2"/>
      <c r="U10492" s="2"/>
      <c r="V10492" s="2"/>
      <c r="W10492" s="2"/>
      <c r="X10492" s="2"/>
      <c r="Y10492" s="2"/>
      <c r="Z10492" s="2"/>
    </row>
    <row r="10493" spans="1:26" ht="17.399999999999999" x14ac:dyDescent="0.3">
      <c r="A10493" s="10"/>
      <c r="B10493" s="2"/>
      <c r="C10493" s="2"/>
      <c r="D10493" s="2"/>
      <c r="E10493" s="2"/>
      <c r="F10493" s="2"/>
      <c r="G10493" s="2"/>
      <c r="H10493" s="2"/>
      <c r="I10493" s="2"/>
      <c r="J10493" s="2"/>
      <c r="K10493" s="2"/>
      <c r="L10493" s="2"/>
      <c r="M10493" s="2"/>
      <c r="N10493" s="2"/>
      <c r="O10493" s="2"/>
      <c r="P10493" s="2"/>
      <c r="Q10493" s="2"/>
      <c r="R10493" s="2"/>
      <c r="S10493" s="2"/>
      <c r="T10493" s="2"/>
      <c r="U10493" s="2"/>
      <c r="V10493" s="2"/>
      <c r="W10493" s="2"/>
      <c r="X10493" s="2"/>
      <c r="Y10493" s="2"/>
      <c r="Z10493" s="2"/>
    </row>
    <row r="10494" spans="1:26" ht="17.399999999999999" x14ac:dyDescent="0.3">
      <c r="A10494" s="10"/>
      <c r="B10494" s="2"/>
      <c r="C10494" s="2"/>
      <c r="D10494" s="2"/>
      <c r="E10494" s="2"/>
      <c r="F10494" s="2"/>
      <c r="G10494" s="2"/>
      <c r="H10494" s="2"/>
      <c r="I10494" s="2"/>
      <c r="J10494" s="2"/>
      <c r="K10494" s="2"/>
      <c r="L10494" s="2"/>
      <c r="M10494" s="2"/>
      <c r="N10494" s="2"/>
      <c r="O10494" s="2"/>
      <c r="P10494" s="2"/>
      <c r="Q10494" s="2"/>
      <c r="R10494" s="2"/>
      <c r="S10494" s="2"/>
      <c r="T10494" s="2"/>
      <c r="U10494" s="2"/>
      <c r="V10494" s="2"/>
      <c r="W10494" s="2"/>
      <c r="X10494" s="2"/>
      <c r="Y10494" s="2"/>
      <c r="Z10494" s="2"/>
    </row>
    <row r="10495" spans="1:26" ht="17.399999999999999" x14ac:dyDescent="0.3">
      <c r="A10495" s="10"/>
      <c r="B10495" s="2"/>
      <c r="C10495" s="2"/>
      <c r="D10495" s="2"/>
      <c r="E10495" s="2"/>
      <c r="F10495" s="2"/>
      <c r="G10495" s="2"/>
      <c r="H10495" s="2"/>
      <c r="I10495" s="2"/>
      <c r="J10495" s="2"/>
      <c r="K10495" s="2"/>
      <c r="L10495" s="2"/>
      <c r="M10495" s="2"/>
      <c r="N10495" s="2"/>
      <c r="O10495" s="2"/>
      <c r="P10495" s="2"/>
      <c r="Q10495" s="2"/>
      <c r="R10495" s="2"/>
      <c r="S10495" s="2"/>
      <c r="T10495" s="2"/>
      <c r="U10495" s="2"/>
      <c r="V10495" s="2"/>
      <c r="W10495" s="2"/>
      <c r="X10495" s="2"/>
      <c r="Y10495" s="2"/>
      <c r="Z10495" s="2"/>
    </row>
    <row r="10496" spans="1:26" ht="17.399999999999999" x14ac:dyDescent="0.3">
      <c r="A10496" s="10"/>
      <c r="B10496" s="2"/>
      <c r="C10496" s="2"/>
      <c r="D10496" s="2"/>
      <c r="E10496" s="2"/>
      <c r="F10496" s="2"/>
      <c r="G10496" s="2"/>
      <c r="H10496" s="2"/>
      <c r="I10496" s="2"/>
      <c r="J10496" s="2"/>
      <c r="K10496" s="2"/>
      <c r="L10496" s="2"/>
      <c r="M10496" s="2"/>
      <c r="N10496" s="2"/>
      <c r="O10496" s="2"/>
      <c r="P10496" s="2"/>
      <c r="Q10496" s="2"/>
      <c r="R10496" s="2"/>
      <c r="S10496" s="2"/>
      <c r="T10496" s="2"/>
      <c r="U10496" s="2"/>
      <c r="V10496" s="2"/>
      <c r="W10496" s="2"/>
      <c r="X10496" s="2"/>
      <c r="Y10496" s="2"/>
      <c r="Z10496" s="2"/>
    </row>
    <row r="10497" spans="1:26" ht="17.399999999999999" x14ac:dyDescent="0.3">
      <c r="A10497" s="10"/>
      <c r="B10497" s="2"/>
      <c r="C10497" s="2"/>
      <c r="D10497" s="2"/>
      <c r="E10497" s="2"/>
      <c r="F10497" s="2"/>
      <c r="G10497" s="2"/>
      <c r="H10497" s="2"/>
      <c r="I10497" s="2"/>
      <c r="J10497" s="2"/>
      <c r="K10497" s="2"/>
      <c r="L10497" s="2"/>
      <c r="M10497" s="2"/>
      <c r="N10497" s="2"/>
      <c r="O10497" s="2"/>
      <c r="P10497" s="2"/>
      <c r="Q10497" s="2"/>
      <c r="R10497" s="2"/>
      <c r="S10497" s="2"/>
      <c r="T10497" s="2"/>
      <c r="U10497" s="2"/>
      <c r="V10497" s="2"/>
      <c r="W10497" s="2"/>
      <c r="X10497" s="2"/>
      <c r="Y10497" s="2"/>
      <c r="Z10497" s="2"/>
    </row>
    <row r="10498" spans="1:26" ht="17.399999999999999" x14ac:dyDescent="0.3">
      <c r="A10498" s="10"/>
      <c r="B10498" s="2"/>
      <c r="C10498" s="2"/>
      <c r="D10498" s="2"/>
      <c r="E10498" s="2"/>
      <c r="F10498" s="2"/>
      <c r="G10498" s="2"/>
      <c r="H10498" s="2"/>
      <c r="I10498" s="2"/>
      <c r="J10498" s="2"/>
      <c r="K10498" s="2"/>
      <c r="L10498" s="2"/>
      <c r="M10498" s="2"/>
      <c r="N10498" s="2"/>
      <c r="O10498" s="2"/>
      <c r="P10498" s="2"/>
      <c r="Q10498" s="2"/>
      <c r="R10498" s="2"/>
      <c r="S10498" s="2"/>
      <c r="T10498" s="2"/>
      <c r="U10498" s="2"/>
      <c r="V10498" s="2"/>
      <c r="W10498" s="2"/>
      <c r="X10498" s="2"/>
      <c r="Y10498" s="2"/>
      <c r="Z10498" s="2"/>
    </row>
    <row r="10499" spans="1:26" ht="17.399999999999999" x14ac:dyDescent="0.3">
      <c r="A10499" s="10"/>
      <c r="B10499" s="2"/>
      <c r="C10499" s="2"/>
      <c r="D10499" s="2"/>
      <c r="E10499" s="2"/>
      <c r="F10499" s="2"/>
      <c r="G10499" s="2"/>
      <c r="H10499" s="2"/>
      <c r="I10499" s="2"/>
      <c r="J10499" s="2"/>
      <c r="K10499" s="2"/>
      <c r="L10499" s="2"/>
      <c r="M10499" s="2"/>
      <c r="N10499" s="2"/>
      <c r="O10499" s="2"/>
      <c r="P10499" s="2"/>
      <c r="Q10499" s="2"/>
      <c r="R10499" s="2"/>
      <c r="S10499" s="2"/>
      <c r="T10499" s="2"/>
      <c r="U10499" s="2"/>
      <c r="V10499" s="2"/>
      <c r="W10499" s="2"/>
      <c r="X10499" s="2"/>
      <c r="Y10499" s="2"/>
      <c r="Z10499" s="2"/>
    </row>
    <row r="10500" spans="1:26" ht="17.399999999999999" x14ac:dyDescent="0.3">
      <c r="A10500" s="10"/>
      <c r="B10500" s="2"/>
      <c r="C10500" s="2"/>
      <c r="D10500" s="2"/>
      <c r="E10500" s="2"/>
      <c r="F10500" s="2"/>
      <c r="G10500" s="2"/>
      <c r="H10500" s="2"/>
      <c r="I10500" s="2"/>
      <c r="J10500" s="2"/>
      <c r="K10500" s="2"/>
      <c r="L10500" s="2"/>
      <c r="M10500" s="2"/>
      <c r="N10500" s="2"/>
      <c r="O10500" s="2"/>
      <c r="P10500" s="2"/>
      <c r="Q10500" s="2"/>
      <c r="R10500" s="2"/>
      <c r="S10500" s="2"/>
      <c r="T10500" s="2"/>
      <c r="U10500" s="2"/>
      <c r="V10500" s="2"/>
      <c r="W10500" s="2"/>
      <c r="X10500" s="2"/>
      <c r="Y10500" s="2"/>
      <c r="Z105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78"/>
  <sheetViews>
    <sheetView workbookViewId="0">
      <pane ySplit="1" topLeftCell="A2" activePane="bottomLeft" state="frozen"/>
      <selection pane="bottomLeft" activeCell="E8" sqref="E8"/>
    </sheetView>
  </sheetViews>
  <sheetFormatPr defaultColWidth="14.44140625" defaultRowHeight="15.75" customHeight="1" x14ac:dyDescent="0.25"/>
  <cols>
    <col min="1" max="1" width="71.109375" customWidth="1"/>
  </cols>
  <sheetData>
    <row r="1" spans="1:3" ht="15.75" customHeight="1" thickBot="1" x14ac:dyDescent="0.35">
      <c r="A1" s="16" t="s">
        <v>90</v>
      </c>
      <c r="B1" s="16" t="s">
        <v>102</v>
      </c>
      <c r="C1" s="16" t="s">
        <v>103</v>
      </c>
    </row>
    <row r="2" spans="1:3" ht="14.4" x14ac:dyDescent="0.3">
      <c r="A2" s="4" t="s">
        <v>997</v>
      </c>
      <c r="B2" s="7">
        <v>84</v>
      </c>
      <c r="C2" s="2" t="str">
        <f>REPT("$",B2/100)</f>
        <v/>
      </c>
    </row>
    <row r="3" spans="1:3" ht="14.4" x14ac:dyDescent="0.3">
      <c r="A3" s="4" t="s">
        <v>998</v>
      </c>
      <c r="B3" s="7">
        <v>980</v>
      </c>
      <c r="C3" s="2" t="str">
        <f t="shared" ref="C3:C66" si="0">REPT("$",B3/100)</f>
        <v>$$$$$$$$$</v>
      </c>
    </row>
    <row r="4" spans="1:3" ht="14.4" x14ac:dyDescent="0.3">
      <c r="A4" s="4" t="s">
        <v>999</v>
      </c>
      <c r="B4" s="7">
        <v>940</v>
      </c>
      <c r="C4" s="2" t="str">
        <f t="shared" si="0"/>
        <v>$$$$$$$$$</v>
      </c>
    </row>
    <row r="5" spans="1:3" ht="14.4" x14ac:dyDescent="0.3">
      <c r="A5" s="4" t="s">
        <v>1000</v>
      </c>
      <c r="B5" s="7">
        <v>775</v>
      </c>
      <c r="C5" s="2" t="str">
        <f t="shared" si="0"/>
        <v>$$$$$$$</v>
      </c>
    </row>
    <row r="6" spans="1:3" ht="14.4" x14ac:dyDescent="0.3">
      <c r="A6" s="4" t="s">
        <v>1001</v>
      </c>
      <c r="B6" s="7">
        <v>98</v>
      </c>
      <c r="C6" s="2" t="str">
        <f t="shared" si="0"/>
        <v/>
      </c>
    </row>
    <row r="7" spans="1:3" ht="14.4" x14ac:dyDescent="0.3">
      <c r="A7" s="4" t="s">
        <v>1002</v>
      </c>
      <c r="B7" s="7">
        <v>122</v>
      </c>
      <c r="C7" s="2" t="str">
        <f t="shared" si="0"/>
        <v>$</v>
      </c>
    </row>
    <row r="8" spans="1:3" ht="14.4" x14ac:dyDescent="0.3">
      <c r="A8" s="4" t="s">
        <v>1003</v>
      </c>
      <c r="B8" s="7">
        <v>208</v>
      </c>
      <c r="C8" s="2" t="str">
        <f t="shared" si="0"/>
        <v>$$</v>
      </c>
    </row>
    <row r="9" spans="1:3" ht="14.4" x14ac:dyDescent="0.3">
      <c r="A9" s="4" t="s">
        <v>1004</v>
      </c>
      <c r="B9" s="7">
        <v>271</v>
      </c>
      <c r="C9" s="2" t="str">
        <f t="shared" si="0"/>
        <v>$$</v>
      </c>
    </row>
    <row r="10" spans="1:3" ht="14.4" x14ac:dyDescent="0.3">
      <c r="A10" s="4" t="s">
        <v>1005</v>
      </c>
      <c r="B10" s="7">
        <v>686</v>
      </c>
      <c r="C10" s="2" t="str">
        <f t="shared" si="0"/>
        <v>$$$$$$</v>
      </c>
    </row>
    <row r="11" spans="1:3" ht="14.4" x14ac:dyDescent="0.3">
      <c r="A11" s="4" t="s">
        <v>1006</v>
      </c>
      <c r="B11" s="7">
        <v>524</v>
      </c>
      <c r="C11" s="2" t="str">
        <f t="shared" si="0"/>
        <v>$$$$$</v>
      </c>
    </row>
    <row r="12" spans="1:3" ht="14.4" x14ac:dyDescent="0.3">
      <c r="A12" s="4" t="s">
        <v>1007</v>
      </c>
      <c r="B12" s="7">
        <v>672</v>
      </c>
      <c r="C12" s="2" t="str">
        <f t="shared" si="0"/>
        <v>$$$$$$</v>
      </c>
    </row>
    <row r="13" spans="1:3" ht="14.4" x14ac:dyDescent="0.3">
      <c r="A13" s="4" t="s">
        <v>1008</v>
      </c>
      <c r="B13" s="7">
        <v>900</v>
      </c>
      <c r="C13" s="2" t="str">
        <f t="shared" si="0"/>
        <v>$$$$$$$$$</v>
      </c>
    </row>
    <row r="14" spans="1:3" ht="14.4" x14ac:dyDescent="0.3">
      <c r="A14" s="4" t="s">
        <v>1009</v>
      </c>
      <c r="B14" s="7">
        <v>868</v>
      </c>
      <c r="C14" s="2" t="str">
        <f t="shared" si="0"/>
        <v>$$$$$$$$</v>
      </c>
    </row>
    <row r="15" spans="1:3" ht="14.4" x14ac:dyDescent="0.3">
      <c r="A15" s="4" t="s">
        <v>1010</v>
      </c>
      <c r="B15" s="7">
        <v>437</v>
      </c>
      <c r="C15" s="2" t="str">
        <f t="shared" si="0"/>
        <v>$$$$</v>
      </c>
    </row>
    <row r="16" spans="1:3" ht="14.4" x14ac:dyDescent="0.3">
      <c r="A16" s="4" t="s">
        <v>1011</v>
      </c>
      <c r="B16" s="7">
        <v>898</v>
      </c>
      <c r="C16" s="2" t="str">
        <f t="shared" si="0"/>
        <v>$$$$$$$$</v>
      </c>
    </row>
    <row r="17" spans="1:3" ht="14.4" x14ac:dyDescent="0.3">
      <c r="A17" s="4" t="s">
        <v>1012</v>
      </c>
      <c r="B17" s="7">
        <v>483</v>
      </c>
      <c r="C17" s="2" t="str">
        <f t="shared" si="0"/>
        <v>$$$$</v>
      </c>
    </row>
    <row r="18" spans="1:3" ht="14.4" x14ac:dyDescent="0.3">
      <c r="A18" s="4" t="s">
        <v>1013</v>
      </c>
      <c r="B18" s="7">
        <v>538</v>
      </c>
      <c r="C18" s="2" t="str">
        <f t="shared" si="0"/>
        <v>$$$$$</v>
      </c>
    </row>
    <row r="19" spans="1:3" ht="14.4" x14ac:dyDescent="0.3">
      <c r="A19" s="4" t="s">
        <v>1014</v>
      </c>
      <c r="B19" s="7">
        <v>109</v>
      </c>
      <c r="C19" s="2" t="str">
        <f t="shared" si="0"/>
        <v>$</v>
      </c>
    </row>
    <row r="20" spans="1:3" ht="14.4" x14ac:dyDescent="0.3">
      <c r="A20" s="4" t="s">
        <v>1015</v>
      </c>
      <c r="B20" s="7">
        <v>804</v>
      </c>
      <c r="C20" s="2" t="str">
        <f t="shared" si="0"/>
        <v>$$$$$$$$</v>
      </c>
    </row>
    <row r="21" spans="1:3" ht="14.4" x14ac:dyDescent="0.3">
      <c r="A21" s="4" t="s">
        <v>1016</v>
      </c>
      <c r="B21" s="7">
        <v>121</v>
      </c>
      <c r="C21" s="2" t="str">
        <f t="shared" si="0"/>
        <v>$</v>
      </c>
    </row>
    <row r="22" spans="1:3" ht="14.4" x14ac:dyDescent="0.3">
      <c r="A22" s="4" t="s">
        <v>1017</v>
      </c>
      <c r="B22" s="7">
        <v>691</v>
      </c>
      <c r="C22" s="2" t="str">
        <f t="shared" si="0"/>
        <v>$$$$$$</v>
      </c>
    </row>
    <row r="23" spans="1:3" ht="14.4" x14ac:dyDescent="0.3">
      <c r="A23" s="4" t="s">
        <v>1018</v>
      </c>
      <c r="B23" s="7">
        <v>815</v>
      </c>
      <c r="C23" s="2" t="str">
        <f t="shared" si="0"/>
        <v>$$$$$$$$</v>
      </c>
    </row>
    <row r="24" spans="1:3" ht="14.4" x14ac:dyDescent="0.3">
      <c r="A24" s="4" t="s">
        <v>1019</v>
      </c>
      <c r="B24" s="7">
        <v>137</v>
      </c>
      <c r="C24" s="2" t="str">
        <f t="shared" si="0"/>
        <v>$</v>
      </c>
    </row>
    <row r="25" spans="1:3" ht="14.4" x14ac:dyDescent="0.3">
      <c r="A25" s="4" t="s">
        <v>1020</v>
      </c>
      <c r="B25" s="7">
        <v>315</v>
      </c>
      <c r="C25" s="2" t="str">
        <f t="shared" si="0"/>
        <v>$$$</v>
      </c>
    </row>
    <row r="26" spans="1:3" ht="14.4" x14ac:dyDescent="0.3">
      <c r="A26" s="4" t="s">
        <v>1021</v>
      </c>
      <c r="B26" s="7">
        <v>331</v>
      </c>
      <c r="C26" s="2" t="str">
        <f t="shared" si="0"/>
        <v>$$$</v>
      </c>
    </row>
    <row r="27" spans="1:3" ht="14.4" x14ac:dyDescent="0.3">
      <c r="A27" s="4" t="s">
        <v>1022</v>
      </c>
      <c r="B27" s="7">
        <v>206</v>
      </c>
      <c r="C27" s="2" t="str">
        <f t="shared" si="0"/>
        <v>$$</v>
      </c>
    </row>
    <row r="28" spans="1:3" ht="14.4" x14ac:dyDescent="0.3">
      <c r="A28" s="4" t="s">
        <v>1023</v>
      </c>
      <c r="B28" s="7">
        <v>344</v>
      </c>
      <c r="C28" s="2" t="str">
        <f t="shared" si="0"/>
        <v>$$$</v>
      </c>
    </row>
    <row r="29" spans="1:3" ht="14.4" x14ac:dyDescent="0.3">
      <c r="A29" s="4" t="s">
        <v>1024</v>
      </c>
      <c r="B29" s="7">
        <v>998</v>
      </c>
      <c r="C29" s="2" t="str">
        <f t="shared" si="0"/>
        <v>$$$$$$$$$</v>
      </c>
    </row>
    <row r="30" spans="1:3" ht="14.4" x14ac:dyDescent="0.3">
      <c r="A30" s="4" t="s">
        <v>1025</v>
      </c>
      <c r="B30" s="7">
        <v>343</v>
      </c>
      <c r="C30" s="2" t="str">
        <f t="shared" si="0"/>
        <v>$$$</v>
      </c>
    </row>
    <row r="31" spans="1:3" ht="14.4" x14ac:dyDescent="0.3">
      <c r="A31" s="4" t="s">
        <v>1026</v>
      </c>
      <c r="B31" s="7">
        <v>501</v>
      </c>
      <c r="C31" s="2" t="str">
        <f t="shared" si="0"/>
        <v>$$$$$</v>
      </c>
    </row>
    <row r="32" spans="1:3" ht="14.4" x14ac:dyDescent="0.3">
      <c r="A32" s="4" t="s">
        <v>1027</v>
      </c>
      <c r="B32" s="7">
        <v>653</v>
      </c>
      <c r="C32" s="2" t="str">
        <f t="shared" si="0"/>
        <v>$$$$$$</v>
      </c>
    </row>
    <row r="33" spans="1:3" ht="14.4" x14ac:dyDescent="0.3">
      <c r="A33" s="4" t="s">
        <v>1028</v>
      </c>
      <c r="B33" s="7">
        <v>108</v>
      </c>
      <c r="C33" s="2" t="str">
        <f t="shared" si="0"/>
        <v>$</v>
      </c>
    </row>
    <row r="34" spans="1:3" ht="14.4" x14ac:dyDescent="0.3">
      <c r="A34" s="4" t="s">
        <v>1029</v>
      </c>
      <c r="B34" s="7">
        <v>102</v>
      </c>
      <c r="C34" s="2" t="str">
        <f t="shared" si="0"/>
        <v>$</v>
      </c>
    </row>
    <row r="35" spans="1:3" ht="14.4" x14ac:dyDescent="0.3">
      <c r="A35" s="4" t="s">
        <v>1030</v>
      </c>
      <c r="B35" s="7">
        <v>718</v>
      </c>
      <c r="C35" s="2" t="str">
        <f t="shared" si="0"/>
        <v>$$$$$$$</v>
      </c>
    </row>
    <row r="36" spans="1:3" ht="14.4" x14ac:dyDescent="0.3">
      <c r="A36" s="4" t="s">
        <v>1031</v>
      </c>
      <c r="B36" s="7">
        <v>395</v>
      </c>
      <c r="C36" s="2" t="str">
        <f t="shared" si="0"/>
        <v>$$$</v>
      </c>
    </row>
    <row r="37" spans="1:3" ht="14.4" x14ac:dyDescent="0.3">
      <c r="A37" s="4" t="s">
        <v>1032</v>
      </c>
      <c r="B37" s="7">
        <v>144</v>
      </c>
      <c r="C37" s="2" t="str">
        <f t="shared" si="0"/>
        <v>$</v>
      </c>
    </row>
    <row r="38" spans="1:3" ht="14.4" x14ac:dyDescent="0.3">
      <c r="A38" s="4" t="s">
        <v>1033</v>
      </c>
      <c r="B38" s="7">
        <v>585</v>
      </c>
      <c r="C38" s="2" t="str">
        <f t="shared" si="0"/>
        <v>$$$$$</v>
      </c>
    </row>
    <row r="39" spans="1:3" ht="14.4" x14ac:dyDescent="0.3">
      <c r="A39" s="4" t="s">
        <v>1034</v>
      </c>
      <c r="B39" s="7">
        <v>430</v>
      </c>
      <c r="C39" s="2" t="str">
        <f t="shared" si="0"/>
        <v>$$$$</v>
      </c>
    </row>
    <row r="40" spans="1:3" ht="14.4" x14ac:dyDescent="0.3">
      <c r="A40" s="4" t="s">
        <v>1035</v>
      </c>
      <c r="B40" s="7">
        <v>660</v>
      </c>
      <c r="C40" s="2" t="str">
        <f t="shared" si="0"/>
        <v>$$$$$$</v>
      </c>
    </row>
    <row r="41" spans="1:3" ht="14.4" x14ac:dyDescent="0.3">
      <c r="A41" s="4" t="s">
        <v>1036</v>
      </c>
      <c r="B41" s="7">
        <v>65</v>
      </c>
      <c r="C41" s="2" t="str">
        <f t="shared" si="0"/>
        <v/>
      </c>
    </row>
    <row r="42" spans="1:3" ht="14.4" x14ac:dyDescent="0.3">
      <c r="A42" s="4" t="s">
        <v>1037</v>
      </c>
      <c r="B42" s="7">
        <v>80</v>
      </c>
      <c r="C42" s="2" t="str">
        <f t="shared" si="0"/>
        <v/>
      </c>
    </row>
    <row r="43" spans="1:3" ht="14.4" x14ac:dyDescent="0.3">
      <c r="A43" s="4" t="s">
        <v>1038</v>
      </c>
      <c r="B43" s="7">
        <v>257</v>
      </c>
      <c r="C43" s="2" t="str">
        <f t="shared" si="0"/>
        <v>$$</v>
      </c>
    </row>
    <row r="44" spans="1:3" ht="14.4" x14ac:dyDescent="0.3">
      <c r="A44" s="4" t="s">
        <v>1039</v>
      </c>
      <c r="B44" s="7">
        <v>183</v>
      </c>
      <c r="C44" s="2" t="str">
        <f t="shared" si="0"/>
        <v>$</v>
      </c>
    </row>
    <row r="45" spans="1:3" ht="14.4" x14ac:dyDescent="0.3">
      <c r="A45" s="4" t="s">
        <v>1040</v>
      </c>
      <c r="B45" s="7">
        <v>784</v>
      </c>
      <c r="C45" s="2" t="str">
        <f t="shared" si="0"/>
        <v>$$$$$$$</v>
      </c>
    </row>
    <row r="46" spans="1:3" ht="14.4" x14ac:dyDescent="0.3">
      <c r="A46" s="4" t="s">
        <v>1041</v>
      </c>
      <c r="B46" s="7">
        <v>140</v>
      </c>
      <c r="C46" s="2" t="str">
        <f t="shared" si="0"/>
        <v>$</v>
      </c>
    </row>
    <row r="47" spans="1:3" ht="14.4" x14ac:dyDescent="0.3">
      <c r="A47" s="4" t="s">
        <v>1042</v>
      </c>
      <c r="B47" s="7">
        <v>663</v>
      </c>
      <c r="C47" s="2" t="str">
        <f t="shared" si="0"/>
        <v>$$$$$$</v>
      </c>
    </row>
    <row r="48" spans="1:3" ht="14.4" x14ac:dyDescent="0.3">
      <c r="A48" s="4" t="s">
        <v>1043</v>
      </c>
      <c r="B48" s="7">
        <v>947</v>
      </c>
      <c r="C48" s="2" t="str">
        <f t="shared" si="0"/>
        <v>$$$$$$$$$</v>
      </c>
    </row>
    <row r="49" spans="1:3" ht="14.4" x14ac:dyDescent="0.3">
      <c r="A49" s="4" t="s">
        <v>1044</v>
      </c>
      <c r="B49" s="7">
        <v>466</v>
      </c>
      <c r="C49" s="2" t="str">
        <f t="shared" si="0"/>
        <v>$$$$</v>
      </c>
    </row>
    <row r="50" spans="1:3" ht="14.4" x14ac:dyDescent="0.3">
      <c r="A50" s="4" t="s">
        <v>1045</v>
      </c>
      <c r="B50" s="7">
        <v>300</v>
      </c>
      <c r="C50" s="2" t="str">
        <f t="shared" si="0"/>
        <v>$$$</v>
      </c>
    </row>
    <row r="51" spans="1:3" ht="14.4" x14ac:dyDescent="0.3">
      <c r="A51" s="4" t="s">
        <v>1046</v>
      </c>
      <c r="B51" s="7">
        <v>413</v>
      </c>
      <c r="C51" s="2" t="str">
        <f t="shared" si="0"/>
        <v>$$$$</v>
      </c>
    </row>
    <row r="52" spans="1:3" ht="14.4" x14ac:dyDescent="0.3">
      <c r="A52" s="4" t="s">
        <v>1047</v>
      </c>
      <c r="B52" s="7">
        <v>367</v>
      </c>
      <c r="C52" s="2" t="str">
        <f t="shared" si="0"/>
        <v>$$$</v>
      </c>
    </row>
    <row r="53" spans="1:3" ht="14.4" x14ac:dyDescent="0.3">
      <c r="A53" s="4" t="s">
        <v>1048</v>
      </c>
      <c r="B53" s="7">
        <v>816</v>
      </c>
      <c r="C53" s="2" t="str">
        <f t="shared" si="0"/>
        <v>$$$$$$$$</v>
      </c>
    </row>
    <row r="54" spans="1:3" ht="14.4" x14ac:dyDescent="0.3">
      <c r="A54" s="4" t="s">
        <v>1049</v>
      </c>
      <c r="B54" s="7">
        <v>229</v>
      </c>
      <c r="C54" s="2" t="str">
        <f t="shared" si="0"/>
        <v>$$</v>
      </c>
    </row>
    <row r="55" spans="1:3" ht="14.4" x14ac:dyDescent="0.3">
      <c r="A55" s="4" t="s">
        <v>1050</v>
      </c>
      <c r="B55" s="7">
        <v>457</v>
      </c>
      <c r="C55" s="2" t="str">
        <f t="shared" si="0"/>
        <v>$$$$</v>
      </c>
    </row>
    <row r="56" spans="1:3" ht="14.4" x14ac:dyDescent="0.3">
      <c r="A56" s="4" t="s">
        <v>1051</v>
      </c>
      <c r="B56" s="7">
        <v>90</v>
      </c>
      <c r="C56" s="2" t="str">
        <f t="shared" si="0"/>
        <v/>
      </c>
    </row>
    <row r="57" spans="1:3" ht="14.4" x14ac:dyDescent="0.3">
      <c r="A57" s="4" t="s">
        <v>1052</v>
      </c>
      <c r="B57" s="7">
        <v>545</v>
      </c>
      <c r="C57" s="2" t="str">
        <f t="shared" si="0"/>
        <v>$$$$$</v>
      </c>
    </row>
    <row r="58" spans="1:3" ht="14.4" x14ac:dyDescent="0.3">
      <c r="A58" s="4" t="s">
        <v>1053</v>
      </c>
      <c r="B58" s="7">
        <v>384</v>
      </c>
      <c r="C58" s="2" t="str">
        <f t="shared" si="0"/>
        <v>$$$</v>
      </c>
    </row>
    <row r="59" spans="1:3" ht="14.4" x14ac:dyDescent="0.3">
      <c r="A59" s="4" t="s">
        <v>1054</v>
      </c>
      <c r="B59" s="7">
        <v>865</v>
      </c>
      <c r="C59" s="2" t="str">
        <f t="shared" si="0"/>
        <v>$$$$$$$$</v>
      </c>
    </row>
    <row r="60" spans="1:3" ht="14.4" x14ac:dyDescent="0.3">
      <c r="A60" s="4" t="s">
        <v>1055</v>
      </c>
      <c r="B60" s="7">
        <v>356</v>
      </c>
      <c r="C60" s="2" t="str">
        <f t="shared" si="0"/>
        <v>$$$</v>
      </c>
    </row>
    <row r="61" spans="1:3" ht="14.4" x14ac:dyDescent="0.3">
      <c r="A61" s="4" t="s">
        <v>1056</v>
      </c>
      <c r="B61" s="7">
        <v>253</v>
      </c>
      <c r="C61" s="2" t="str">
        <f t="shared" si="0"/>
        <v>$$</v>
      </c>
    </row>
    <row r="62" spans="1:3" ht="14.4" x14ac:dyDescent="0.3">
      <c r="A62" s="4" t="s">
        <v>1057</v>
      </c>
      <c r="B62" s="7">
        <v>964</v>
      </c>
      <c r="C62" s="2" t="str">
        <f t="shared" si="0"/>
        <v>$$$$$$$$$</v>
      </c>
    </row>
    <row r="63" spans="1:3" ht="14.4" x14ac:dyDescent="0.3">
      <c r="A63" s="4" t="s">
        <v>1058</v>
      </c>
      <c r="B63" s="7">
        <v>916</v>
      </c>
      <c r="C63" s="2" t="str">
        <f t="shared" si="0"/>
        <v>$$$$$$$$$</v>
      </c>
    </row>
    <row r="64" spans="1:3" ht="14.4" x14ac:dyDescent="0.3">
      <c r="A64" s="4" t="s">
        <v>1059</v>
      </c>
      <c r="B64" s="7">
        <v>620</v>
      </c>
      <c r="C64" s="2" t="str">
        <f t="shared" si="0"/>
        <v>$$$$$$</v>
      </c>
    </row>
    <row r="65" spans="1:3" ht="14.4" x14ac:dyDescent="0.3">
      <c r="A65" s="4" t="s">
        <v>1060</v>
      </c>
      <c r="B65" s="7">
        <v>28</v>
      </c>
      <c r="C65" s="2" t="str">
        <f t="shared" si="0"/>
        <v/>
      </c>
    </row>
    <row r="66" spans="1:3" ht="14.4" x14ac:dyDescent="0.3">
      <c r="A66" s="4" t="s">
        <v>1061</v>
      </c>
      <c r="B66" s="7">
        <v>927</v>
      </c>
      <c r="C66" s="2" t="str">
        <f t="shared" si="0"/>
        <v>$$$$$$$$$</v>
      </c>
    </row>
    <row r="67" spans="1:3" ht="14.4" x14ac:dyDescent="0.3">
      <c r="A67" s="4" t="s">
        <v>1062</v>
      </c>
      <c r="B67" s="7">
        <v>363</v>
      </c>
      <c r="C67" s="2" t="str">
        <f t="shared" ref="C67:C130" si="1">REPT("$",B67/100)</f>
        <v>$$$</v>
      </c>
    </row>
    <row r="68" spans="1:3" ht="14.4" x14ac:dyDescent="0.3">
      <c r="A68" s="4" t="s">
        <v>1063</v>
      </c>
      <c r="B68" s="7">
        <v>605</v>
      </c>
      <c r="C68" s="2" t="str">
        <f t="shared" si="1"/>
        <v>$$$$$$</v>
      </c>
    </row>
    <row r="69" spans="1:3" ht="14.4" x14ac:dyDescent="0.3">
      <c r="A69" s="4" t="s">
        <v>1064</v>
      </c>
      <c r="B69" s="7">
        <v>172</v>
      </c>
      <c r="C69" s="2" t="str">
        <f t="shared" si="1"/>
        <v>$</v>
      </c>
    </row>
    <row r="70" spans="1:3" ht="14.4" x14ac:dyDescent="0.3">
      <c r="A70" s="4" t="s">
        <v>1065</v>
      </c>
      <c r="B70" s="7">
        <v>124</v>
      </c>
      <c r="C70" s="2" t="str">
        <f t="shared" si="1"/>
        <v>$</v>
      </c>
    </row>
    <row r="71" spans="1:3" ht="14.4" x14ac:dyDescent="0.3">
      <c r="A71" s="4" t="s">
        <v>1066</v>
      </c>
      <c r="B71" s="7">
        <v>406</v>
      </c>
      <c r="C71" s="2" t="str">
        <f t="shared" si="1"/>
        <v>$$$$</v>
      </c>
    </row>
    <row r="72" spans="1:3" ht="14.4" x14ac:dyDescent="0.3">
      <c r="A72" s="4" t="s">
        <v>1067</v>
      </c>
      <c r="B72" s="7">
        <v>255</v>
      </c>
      <c r="C72" s="2" t="str">
        <f t="shared" si="1"/>
        <v>$$</v>
      </c>
    </row>
    <row r="73" spans="1:3" ht="14.4" x14ac:dyDescent="0.3">
      <c r="A73" s="4" t="s">
        <v>1068</v>
      </c>
      <c r="B73" s="7">
        <v>591</v>
      </c>
      <c r="C73" s="2" t="str">
        <f t="shared" si="1"/>
        <v>$$$$$</v>
      </c>
    </row>
    <row r="74" spans="1:3" ht="14.4" x14ac:dyDescent="0.3">
      <c r="A74" s="4" t="s">
        <v>1069</v>
      </c>
      <c r="B74" s="7">
        <v>115</v>
      </c>
      <c r="C74" s="2" t="str">
        <f t="shared" si="1"/>
        <v>$</v>
      </c>
    </row>
    <row r="75" spans="1:3" ht="14.4" x14ac:dyDescent="0.3">
      <c r="A75" s="4" t="s">
        <v>1070</v>
      </c>
      <c r="B75" s="7">
        <v>939</v>
      </c>
      <c r="C75" s="2" t="str">
        <f t="shared" si="1"/>
        <v>$$$$$$$$$</v>
      </c>
    </row>
    <row r="76" spans="1:3" ht="14.4" x14ac:dyDescent="0.3">
      <c r="A76" s="4" t="s">
        <v>1071</v>
      </c>
      <c r="B76" s="7">
        <v>117</v>
      </c>
      <c r="C76" s="2" t="str">
        <f t="shared" si="1"/>
        <v>$</v>
      </c>
    </row>
    <row r="77" spans="1:3" ht="14.4" x14ac:dyDescent="0.3">
      <c r="A77" s="4" t="s">
        <v>1072</v>
      </c>
      <c r="B77" s="7">
        <v>555</v>
      </c>
      <c r="C77" s="2" t="str">
        <f t="shared" si="1"/>
        <v>$$$$$</v>
      </c>
    </row>
    <row r="78" spans="1:3" ht="14.4" x14ac:dyDescent="0.3">
      <c r="A78" s="4" t="s">
        <v>1073</v>
      </c>
      <c r="B78" s="7">
        <v>106</v>
      </c>
      <c r="C78" s="2" t="str">
        <f t="shared" si="1"/>
        <v>$</v>
      </c>
    </row>
    <row r="79" spans="1:3" ht="14.4" x14ac:dyDescent="0.3">
      <c r="A79" s="4" t="s">
        <v>1074</v>
      </c>
      <c r="B79" s="7">
        <v>180</v>
      </c>
      <c r="C79" s="2" t="str">
        <f t="shared" si="1"/>
        <v>$</v>
      </c>
    </row>
    <row r="80" spans="1:3" ht="14.4" x14ac:dyDescent="0.3">
      <c r="A80" s="4" t="s">
        <v>1075</v>
      </c>
      <c r="B80" s="7">
        <v>531</v>
      </c>
      <c r="C80" s="2" t="str">
        <f t="shared" si="1"/>
        <v>$$$$$</v>
      </c>
    </row>
    <row r="81" spans="1:3" ht="14.4" x14ac:dyDescent="0.3">
      <c r="A81" s="4" t="s">
        <v>1076</v>
      </c>
      <c r="B81" s="7">
        <v>737</v>
      </c>
      <c r="C81" s="2" t="str">
        <f t="shared" si="1"/>
        <v>$$$$$$$</v>
      </c>
    </row>
    <row r="82" spans="1:3" ht="14.4" x14ac:dyDescent="0.3">
      <c r="A82" s="4" t="s">
        <v>1077</v>
      </c>
      <c r="B82" s="7">
        <v>512</v>
      </c>
      <c r="C82" s="2" t="str">
        <f t="shared" si="1"/>
        <v>$$$$$</v>
      </c>
    </row>
    <row r="83" spans="1:3" ht="14.4" x14ac:dyDescent="0.3">
      <c r="A83" s="4" t="s">
        <v>1078</v>
      </c>
      <c r="B83" s="7">
        <v>875</v>
      </c>
      <c r="C83" s="2" t="str">
        <f t="shared" si="1"/>
        <v>$$$$$$$$</v>
      </c>
    </row>
    <row r="84" spans="1:3" ht="14.4" x14ac:dyDescent="0.3">
      <c r="A84" s="4" t="s">
        <v>1079</v>
      </c>
      <c r="B84" s="7">
        <v>613</v>
      </c>
      <c r="C84" s="2" t="str">
        <f t="shared" si="1"/>
        <v>$$$$$$</v>
      </c>
    </row>
    <row r="85" spans="1:3" ht="14.4" x14ac:dyDescent="0.3">
      <c r="A85" s="4" t="s">
        <v>1080</v>
      </c>
      <c r="B85" s="7">
        <v>645</v>
      </c>
      <c r="C85" s="2" t="str">
        <f t="shared" si="1"/>
        <v>$$$$$$</v>
      </c>
    </row>
    <row r="86" spans="1:3" ht="14.4" x14ac:dyDescent="0.3">
      <c r="A86" s="4" t="s">
        <v>1081</v>
      </c>
      <c r="B86" s="7">
        <v>81</v>
      </c>
      <c r="C86" s="2" t="str">
        <f t="shared" si="1"/>
        <v/>
      </c>
    </row>
    <row r="87" spans="1:3" ht="14.4" x14ac:dyDescent="0.3">
      <c r="A87" s="4" t="s">
        <v>1082</v>
      </c>
      <c r="B87" s="7">
        <v>907</v>
      </c>
      <c r="C87" s="2" t="str">
        <f t="shared" si="1"/>
        <v>$$$$$$$$$</v>
      </c>
    </row>
    <row r="88" spans="1:3" ht="14.4" x14ac:dyDescent="0.3">
      <c r="A88" s="4" t="s">
        <v>1083</v>
      </c>
      <c r="B88" s="7">
        <v>451</v>
      </c>
      <c r="C88" s="2" t="str">
        <f t="shared" si="1"/>
        <v>$$$$</v>
      </c>
    </row>
    <row r="89" spans="1:3" ht="14.4" x14ac:dyDescent="0.3">
      <c r="A89" s="4" t="s">
        <v>1084</v>
      </c>
      <c r="B89" s="7">
        <v>853</v>
      </c>
      <c r="C89" s="2" t="str">
        <f t="shared" si="1"/>
        <v>$$$$$$$$</v>
      </c>
    </row>
    <row r="90" spans="1:3" ht="14.4" x14ac:dyDescent="0.3">
      <c r="A90" s="4" t="s">
        <v>1085</v>
      </c>
      <c r="B90" s="7">
        <v>159</v>
      </c>
      <c r="C90" s="2" t="str">
        <f t="shared" si="1"/>
        <v>$</v>
      </c>
    </row>
    <row r="91" spans="1:3" ht="14.4" x14ac:dyDescent="0.3">
      <c r="A91" s="4" t="s">
        <v>1086</v>
      </c>
      <c r="B91" s="7">
        <v>269</v>
      </c>
      <c r="C91" s="2" t="str">
        <f t="shared" si="1"/>
        <v>$$</v>
      </c>
    </row>
    <row r="92" spans="1:3" ht="14.4" x14ac:dyDescent="0.3">
      <c r="A92" s="4" t="s">
        <v>1087</v>
      </c>
      <c r="B92" s="7">
        <v>106</v>
      </c>
      <c r="C92" s="2" t="str">
        <f t="shared" si="1"/>
        <v>$</v>
      </c>
    </row>
    <row r="93" spans="1:3" ht="14.4" x14ac:dyDescent="0.3">
      <c r="A93" s="4" t="s">
        <v>1088</v>
      </c>
      <c r="B93" s="7">
        <v>696</v>
      </c>
      <c r="C93" s="2" t="str">
        <f t="shared" si="1"/>
        <v>$$$$$$</v>
      </c>
    </row>
    <row r="94" spans="1:3" ht="14.4" x14ac:dyDescent="0.3">
      <c r="A94" s="4" t="s">
        <v>1089</v>
      </c>
      <c r="B94" s="7">
        <v>643</v>
      </c>
      <c r="C94" s="2" t="str">
        <f t="shared" si="1"/>
        <v>$$$$$$</v>
      </c>
    </row>
    <row r="95" spans="1:3" ht="14.4" x14ac:dyDescent="0.3">
      <c r="A95" s="4" t="s">
        <v>1090</v>
      </c>
      <c r="B95" s="7">
        <v>42</v>
      </c>
      <c r="C95" s="2" t="str">
        <f t="shared" si="1"/>
        <v/>
      </c>
    </row>
    <row r="96" spans="1:3" ht="14.4" x14ac:dyDescent="0.3">
      <c r="A96" s="4" t="s">
        <v>1091</v>
      </c>
      <c r="B96" s="7">
        <v>974</v>
      </c>
      <c r="C96" s="2" t="str">
        <f t="shared" si="1"/>
        <v>$$$$$$$$$</v>
      </c>
    </row>
    <row r="97" spans="1:3" ht="14.4" x14ac:dyDescent="0.3">
      <c r="A97" s="4" t="s">
        <v>1092</v>
      </c>
      <c r="B97" s="7">
        <v>438</v>
      </c>
      <c r="C97" s="2" t="str">
        <f t="shared" si="1"/>
        <v>$$$$</v>
      </c>
    </row>
    <row r="98" spans="1:3" ht="14.4" x14ac:dyDescent="0.3">
      <c r="A98" s="4" t="s">
        <v>1093</v>
      </c>
      <c r="B98" s="7">
        <v>406</v>
      </c>
      <c r="C98" s="2" t="str">
        <f t="shared" si="1"/>
        <v>$$$$</v>
      </c>
    </row>
    <row r="99" spans="1:3" ht="14.4" x14ac:dyDescent="0.3">
      <c r="A99" s="4" t="s">
        <v>1094</v>
      </c>
      <c r="B99" s="7">
        <v>259</v>
      </c>
      <c r="C99" s="2" t="str">
        <f t="shared" si="1"/>
        <v>$$</v>
      </c>
    </row>
    <row r="100" spans="1:3" ht="14.4" x14ac:dyDescent="0.3">
      <c r="A100" s="4" t="s">
        <v>1095</v>
      </c>
      <c r="B100" s="7">
        <v>840</v>
      </c>
      <c r="C100" s="2" t="str">
        <f t="shared" si="1"/>
        <v>$$$$$$$$</v>
      </c>
    </row>
    <row r="101" spans="1:3" ht="14.4" x14ac:dyDescent="0.3">
      <c r="A101" s="4" t="s">
        <v>1096</v>
      </c>
      <c r="B101" s="7">
        <v>254</v>
      </c>
      <c r="C101" s="2" t="str">
        <f t="shared" si="1"/>
        <v>$$</v>
      </c>
    </row>
    <row r="102" spans="1:3" ht="14.4" x14ac:dyDescent="0.3">
      <c r="A102" s="4" t="s">
        <v>1097</v>
      </c>
      <c r="B102" s="7">
        <v>485</v>
      </c>
      <c r="C102" s="2" t="str">
        <f t="shared" si="1"/>
        <v>$$$$</v>
      </c>
    </row>
    <row r="103" spans="1:3" ht="14.4" x14ac:dyDescent="0.3">
      <c r="A103" s="4" t="s">
        <v>1098</v>
      </c>
      <c r="B103" s="7">
        <v>228</v>
      </c>
      <c r="C103" s="2" t="str">
        <f t="shared" si="1"/>
        <v>$$</v>
      </c>
    </row>
    <row r="104" spans="1:3" ht="14.4" x14ac:dyDescent="0.3">
      <c r="A104" s="4" t="s">
        <v>1099</v>
      </c>
      <c r="B104" s="7">
        <v>460</v>
      </c>
      <c r="C104" s="2" t="str">
        <f t="shared" si="1"/>
        <v>$$$$</v>
      </c>
    </row>
    <row r="105" spans="1:3" ht="14.4" x14ac:dyDescent="0.3">
      <c r="A105" s="4" t="s">
        <v>1100</v>
      </c>
      <c r="B105" s="7">
        <v>774</v>
      </c>
      <c r="C105" s="2" t="str">
        <f t="shared" si="1"/>
        <v>$$$$$$$</v>
      </c>
    </row>
    <row r="106" spans="1:3" ht="14.4" x14ac:dyDescent="0.3">
      <c r="A106" s="4" t="s">
        <v>1101</v>
      </c>
      <c r="B106" s="7">
        <v>130</v>
      </c>
      <c r="C106" s="2" t="str">
        <f t="shared" si="1"/>
        <v>$</v>
      </c>
    </row>
    <row r="107" spans="1:3" ht="14.4" x14ac:dyDescent="0.3">
      <c r="A107" s="4" t="s">
        <v>1102</v>
      </c>
      <c r="B107" s="7">
        <v>217</v>
      </c>
      <c r="C107" s="2" t="str">
        <f t="shared" si="1"/>
        <v>$$</v>
      </c>
    </row>
    <row r="108" spans="1:3" ht="14.4" x14ac:dyDescent="0.3">
      <c r="A108" s="4" t="s">
        <v>1103</v>
      </c>
      <c r="B108" s="7">
        <v>830</v>
      </c>
      <c r="C108" s="2" t="str">
        <f t="shared" si="1"/>
        <v>$$$$$$$$</v>
      </c>
    </row>
    <row r="109" spans="1:3" ht="14.4" x14ac:dyDescent="0.3">
      <c r="A109" s="4" t="s">
        <v>1104</v>
      </c>
      <c r="B109" s="7">
        <v>333</v>
      </c>
      <c r="C109" s="2" t="str">
        <f t="shared" si="1"/>
        <v>$$$</v>
      </c>
    </row>
    <row r="110" spans="1:3" ht="14.4" x14ac:dyDescent="0.3">
      <c r="A110" s="4" t="s">
        <v>1105</v>
      </c>
      <c r="B110" s="7">
        <v>888</v>
      </c>
      <c r="C110" s="2" t="str">
        <f t="shared" si="1"/>
        <v>$$$$$$$$</v>
      </c>
    </row>
    <row r="111" spans="1:3" ht="14.4" x14ac:dyDescent="0.3">
      <c r="A111" s="4" t="s">
        <v>1106</v>
      </c>
      <c r="B111" s="7">
        <v>171</v>
      </c>
      <c r="C111" s="2" t="str">
        <f t="shared" si="1"/>
        <v>$</v>
      </c>
    </row>
    <row r="112" spans="1:3" ht="14.4" x14ac:dyDescent="0.3">
      <c r="A112" s="4" t="s">
        <v>1107</v>
      </c>
      <c r="B112" s="7">
        <v>415</v>
      </c>
      <c r="C112" s="2" t="str">
        <f t="shared" si="1"/>
        <v>$$$$</v>
      </c>
    </row>
    <row r="113" spans="1:3" ht="14.4" x14ac:dyDescent="0.3">
      <c r="A113" s="4" t="s">
        <v>1108</v>
      </c>
      <c r="B113" s="7">
        <v>525</v>
      </c>
      <c r="C113" s="2" t="str">
        <f t="shared" si="1"/>
        <v>$$$$$</v>
      </c>
    </row>
    <row r="114" spans="1:3" ht="14.4" x14ac:dyDescent="0.3">
      <c r="A114" s="4" t="s">
        <v>1109</v>
      </c>
      <c r="B114" s="7">
        <v>252</v>
      </c>
      <c r="C114" s="2" t="str">
        <f t="shared" si="1"/>
        <v>$$</v>
      </c>
    </row>
    <row r="115" spans="1:3" ht="14.4" x14ac:dyDescent="0.3">
      <c r="A115" s="4" t="s">
        <v>1110</v>
      </c>
      <c r="B115" s="7">
        <v>481</v>
      </c>
      <c r="C115" s="2" t="str">
        <f t="shared" si="1"/>
        <v>$$$$</v>
      </c>
    </row>
    <row r="116" spans="1:3" ht="14.4" x14ac:dyDescent="0.3">
      <c r="A116" s="4" t="s">
        <v>1111</v>
      </c>
      <c r="B116" s="7">
        <v>453</v>
      </c>
      <c r="C116" s="2" t="str">
        <f t="shared" si="1"/>
        <v>$$$$</v>
      </c>
    </row>
    <row r="117" spans="1:3" ht="14.4" x14ac:dyDescent="0.3">
      <c r="A117" s="4" t="s">
        <v>1112</v>
      </c>
      <c r="B117" s="7">
        <v>134</v>
      </c>
      <c r="C117" s="2" t="str">
        <f t="shared" si="1"/>
        <v>$</v>
      </c>
    </row>
    <row r="118" spans="1:3" ht="14.4" x14ac:dyDescent="0.3">
      <c r="A118" s="4" t="s">
        <v>1113</v>
      </c>
      <c r="B118" s="7">
        <v>58</v>
      </c>
      <c r="C118" s="2" t="str">
        <f t="shared" si="1"/>
        <v/>
      </c>
    </row>
    <row r="119" spans="1:3" ht="14.4" x14ac:dyDescent="0.3">
      <c r="A119" s="4" t="s">
        <v>1114</v>
      </c>
      <c r="B119" s="7">
        <v>693</v>
      </c>
      <c r="C119" s="2" t="str">
        <f t="shared" si="1"/>
        <v>$$$$$$</v>
      </c>
    </row>
    <row r="120" spans="1:3" ht="14.4" x14ac:dyDescent="0.3">
      <c r="A120" s="4" t="s">
        <v>1115</v>
      </c>
      <c r="B120" s="7">
        <v>128</v>
      </c>
      <c r="C120" s="2" t="str">
        <f t="shared" si="1"/>
        <v>$</v>
      </c>
    </row>
    <row r="121" spans="1:3" ht="14.4" x14ac:dyDescent="0.3">
      <c r="A121" s="4" t="s">
        <v>1116</v>
      </c>
      <c r="B121" s="7">
        <v>34</v>
      </c>
      <c r="C121" s="2" t="str">
        <f t="shared" si="1"/>
        <v/>
      </c>
    </row>
    <row r="122" spans="1:3" ht="14.4" x14ac:dyDescent="0.3">
      <c r="A122" s="4" t="s">
        <v>1117</v>
      </c>
      <c r="B122" s="7">
        <v>716</v>
      </c>
      <c r="C122" s="2" t="str">
        <f t="shared" si="1"/>
        <v>$$$$$$$</v>
      </c>
    </row>
    <row r="123" spans="1:3" ht="14.4" x14ac:dyDescent="0.3">
      <c r="A123" s="4" t="s">
        <v>1118</v>
      </c>
      <c r="B123" s="7">
        <v>450</v>
      </c>
      <c r="C123" s="2" t="str">
        <f t="shared" si="1"/>
        <v>$$$$</v>
      </c>
    </row>
    <row r="124" spans="1:3" ht="14.4" x14ac:dyDescent="0.3">
      <c r="A124" s="4" t="s">
        <v>1119</v>
      </c>
      <c r="B124" s="7">
        <v>845</v>
      </c>
      <c r="C124" s="2" t="str">
        <f t="shared" si="1"/>
        <v>$$$$$$$$</v>
      </c>
    </row>
    <row r="125" spans="1:3" ht="14.4" x14ac:dyDescent="0.3">
      <c r="A125" s="4" t="s">
        <v>1120</v>
      </c>
      <c r="B125" s="7">
        <v>168</v>
      </c>
      <c r="C125" s="2" t="str">
        <f t="shared" si="1"/>
        <v>$</v>
      </c>
    </row>
    <row r="126" spans="1:3" ht="14.4" x14ac:dyDescent="0.3">
      <c r="A126" s="4" t="s">
        <v>1121</v>
      </c>
      <c r="B126" s="7">
        <v>595</v>
      </c>
      <c r="C126" s="2" t="str">
        <f t="shared" si="1"/>
        <v>$$$$$</v>
      </c>
    </row>
    <row r="127" spans="1:3" ht="14.4" x14ac:dyDescent="0.3">
      <c r="A127" s="4" t="s">
        <v>1122</v>
      </c>
      <c r="B127" s="7">
        <v>877</v>
      </c>
      <c r="C127" s="2" t="str">
        <f t="shared" si="1"/>
        <v>$$$$$$$$</v>
      </c>
    </row>
    <row r="128" spans="1:3" ht="14.4" x14ac:dyDescent="0.3">
      <c r="A128" s="4" t="s">
        <v>1123</v>
      </c>
      <c r="B128" s="7">
        <v>50</v>
      </c>
      <c r="C128" s="2" t="str">
        <f t="shared" si="1"/>
        <v/>
      </c>
    </row>
    <row r="129" spans="1:3" ht="14.4" x14ac:dyDescent="0.3">
      <c r="A129" s="4" t="s">
        <v>1124</v>
      </c>
      <c r="B129" s="7">
        <v>312</v>
      </c>
      <c r="C129" s="2" t="str">
        <f t="shared" si="1"/>
        <v>$$$</v>
      </c>
    </row>
    <row r="130" spans="1:3" ht="14.4" x14ac:dyDescent="0.3">
      <c r="A130" s="4" t="s">
        <v>1125</v>
      </c>
      <c r="B130" s="7">
        <v>332</v>
      </c>
      <c r="C130" s="2" t="str">
        <f t="shared" si="1"/>
        <v>$$$</v>
      </c>
    </row>
    <row r="131" spans="1:3" ht="14.4" x14ac:dyDescent="0.3">
      <c r="A131" s="4" t="s">
        <v>1126</v>
      </c>
      <c r="B131" s="7">
        <v>94</v>
      </c>
      <c r="C131" s="2" t="str">
        <f t="shared" ref="C131:C194" si="2">REPT("$",B131/100)</f>
        <v/>
      </c>
    </row>
    <row r="132" spans="1:3" ht="14.4" x14ac:dyDescent="0.3">
      <c r="A132" s="4" t="s">
        <v>1127</v>
      </c>
      <c r="B132" s="7">
        <v>44</v>
      </c>
      <c r="C132" s="2" t="str">
        <f t="shared" si="2"/>
        <v/>
      </c>
    </row>
    <row r="133" spans="1:3" ht="14.4" x14ac:dyDescent="0.3">
      <c r="A133" s="4" t="s">
        <v>1128</v>
      </c>
      <c r="B133" s="7">
        <v>920</v>
      </c>
      <c r="C133" s="2" t="str">
        <f t="shared" si="2"/>
        <v>$$$$$$$$$</v>
      </c>
    </row>
    <row r="134" spans="1:3" ht="14.4" x14ac:dyDescent="0.3">
      <c r="A134" s="4" t="s">
        <v>1129</v>
      </c>
      <c r="B134" s="7">
        <v>632</v>
      </c>
      <c r="C134" s="2" t="str">
        <f t="shared" si="2"/>
        <v>$$$$$$</v>
      </c>
    </row>
    <row r="135" spans="1:3" ht="14.4" x14ac:dyDescent="0.3">
      <c r="A135" s="4" t="s">
        <v>1130</v>
      </c>
      <c r="B135" s="7">
        <v>524</v>
      </c>
      <c r="C135" s="2" t="str">
        <f t="shared" si="2"/>
        <v>$$$$$</v>
      </c>
    </row>
    <row r="136" spans="1:3" ht="14.4" x14ac:dyDescent="0.3">
      <c r="A136" s="4" t="s">
        <v>1131</v>
      </c>
      <c r="B136" s="7">
        <v>20</v>
      </c>
      <c r="C136" s="2" t="str">
        <f t="shared" si="2"/>
        <v/>
      </c>
    </row>
    <row r="137" spans="1:3" ht="14.4" x14ac:dyDescent="0.3">
      <c r="A137" s="4" t="s">
        <v>1132</v>
      </c>
      <c r="B137" s="7">
        <v>974</v>
      </c>
      <c r="C137" s="2" t="str">
        <f t="shared" si="2"/>
        <v>$$$$$$$$$</v>
      </c>
    </row>
    <row r="138" spans="1:3" ht="14.4" x14ac:dyDescent="0.3">
      <c r="A138" s="4" t="s">
        <v>1133</v>
      </c>
      <c r="B138" s="7">
        <v>154</v>
      </c>
      <c r="C138" s="2" t="str">
        <f t="shared" si="2"/>
        <v>$</v>
      </c>
    </row>
    <row r="139" spans="1:3" ht="14.4" x14ac:dyDescent="0.3">
      <c r="A139" s="4" t="s">
        <v>1134</v>
      </c>
      <c r="B139" s="7">
        <v>205</v>
      </c>
      <c r="C139" s="2" t="str">
        <f t="shared" si="2"/>
        <v>$$</v>
      </c>
    </row>
    <row r="140" spans="1:3" ht="14.4" x14ac:dyDescent="0.3">
      <c r="A140" s="4" t="s">
        <v>1135</v>
      </c>
      <c r="B140" s="7">
        <v>125</v>
      </c>
      <c r="C140" s="2" t="str">
        <f t="shared" si="2"/>
        <v>$</v>
      </c>
    </row>
    <row r="141" spans="1:3" ht="14.4" x14ac:dyDescent="0.3">
      <c r="A141" s="4" t="s">
        <v>1136</v>
      </c>
      <c r="B141" s="7">
        <v>440</v>
      </c>
      <c r="C141" s="2" t="str">
        <f t="shared" si="2"/>
        <v>$$$$</v>
      </c>
    </row>
    <row r="142" spans="1:3" ht="14.4" x14ac:dyDescent="0.3">
      <c r="A142" s="4" t="s">
        <v>1137</v>
      </c>
      <c r="B142" s="7">
        <v>423</v>
      </c>
      <c r="C142" s="2" t="str">
        <f t="shared" si="2"/>
        <v>$$$$</v>
      </c>
    </row>
    <row r="143" spans="1:3" ht="14.4" x14ac:dyDescent="0.3">
      <c r="A143" s="4" t="s">
        <v>1138</v>
      </c>
      <c r="B143" s="7">
        <v>342</v>
      </c>
      <c r="C143" s="2" t="str">
        <f t="shared" si="2"/>
        <v>$$$</v>
      </c>
    </row>
    <row r="144" spans="1:3" ht="14.4" x14ac:dyDescent="0.3">
      <c r="A144" s="4" t="s">
        <v>1139</v>
      </c>
      <c r="B144" s="7">
        <v>673</v>
      </c>
      <c r="C144" s="2" t="str">
        <f t="shared" si="2"/>
        <v>$$$$$$</v>
      </c>
    </row>
    <row r="145" spans="1:3" ht="14.4" x14ac:dyDescent="0.3">
      <c r="A145" s="4" t="s">
        <v>1140</v>
      </c>
      <c r="B145" s="7">
        <v>630</v>
      </c>
      <c r="C145" s="2" t="str">
        <f t="shared" si="2"/>
        <v>$$$$$$</v>
      </c>
    </row>
    <row r="146" spans="1:3" ht="14.4" x14ac:dyDescent="0.3">
      <c r="A146" s="4" t="s">
        <v>1141</v>
      </c>
      <c r="B146" s="7">
        <v>294</v>
      </c>
      <c r="C146" s="2" t="str">
        <f t="shared" si="2"/>
        <v>$$</v>
      </c>
    </row>
    <row r="147" spans="1:3" ht="14.4" x14ac:dyDescent="0.3">
      <c r="A147" s="4" t="s">
        <v>1142</v>
      </c>
      <c r="B147" s="7">
        <v>957</v>
      </c>
      <c r="C147" s="2" t="str">
        <f t="shared" si="2"/>
        <v>$$$$$$$$$</v>
      </c>
    </row>
    <row r="148" spans="1:3" ht="14.4" x14ac:dyDescent="0.3">
      <c r="A148" s="4" t="s">
        <v>1143</v>
      </c>
      <c r="B148" s="7">
        <v>787</v>
      </c>
      <c r="C148" s="2" t="str">
        <f t="shared" si="2"/>
        <v>$$$$$$$</v>
      </c>
    </row>
    <row r="149" spans="1:3" ht="14.4" x14ac:dyDescent="0.3">
      <c r="A149" s="4" t="s">
        <v>1144</v>
      </c>
      <c r="B149" s="7">
        <v>471</v>
      </c>
      <c r="C149" s="2" t="str">
        <f t="shared" si="2"/>
        <v>$$$$</v>
      </c>
    </row>
    <row r="150" spans="1:3" ht="14.4" x14ac:dyDescent="0.3">
      <c r="A150" s="4" t="s">
        <v>1145</v>
      </c>
      <c r="B150" s="7">
        <v>423</v>
      </c>
      <c r="C150" s="2" t="str">
        <f t="shared" si="2"/>
        <v>$$$$</v>
      </c>
    </row>
    <row r="151" spans="1:3" ht="14.4" x14ac:dyDescent="0.3">
      <c r="A151" s="4" t="s">
        <v>1146</v>
      </c>
      <c r="B151" s="7">
        <v>577</v>
      </c>
      <c r="C151" s="2" t="str">
        <f t="shared" si="2"/>
        <v>$$$$$</v>
      </c>
    </row>
    <row r="152" spans="1:3" ht="14.4" x14ac:dyDescent="0.3">
      <c r="A152" s="4" t="s">
        <v>1147</v>
      </c>
      <c r="B152" s="7">
        <v>635</v>
      </c>
      <c r="C152" s="2" t="str">
        <f t="shared" si="2"/>
        <v>$$$$$$</v>
      </c>
    </row>
    <row r="153" spans="1:3" ht="14.4" x14ac:dyDescent="0.3">
      <c r="A153" s="4" t="s">
        <v>1148</v>
      </c>
      <c r="B153" s="7">
        <v>484</v>
      </c>
      <c r="C153" s="2" t="str">
        <f t="shared" si="2"/>
        <v>$$$$</v>
      </c>
    </row>
    <row r="154" spans="1:3" ht="14.4" x14ac:dyDescent="0.3">
      <c r="A154" s="4" t="s">
        <v>1149</v>
      </c>
      <c r="B154" s="7">
        <v>334</v>
      </c>
      <c r="C154" s="2" t="str">
        <f t="shared" si="2"/>
        <v>$$$</v>
      </c>
    </row>
    <row r="155" spans="1:3" ht="14.4" x14ac:dyDescent="0.3">
      <c r="A155" s="4" t="s">
        <v>1150</v>
      </c>
      <c r="B155" s="7">
        <v>584</v>
      </c>
      <c r="C155" s="2" t="str">
        <f t="shared" si="2"/>
        <v>$$$$$</v>
      </c>
    </row>
    <row r="156" spans="1:3" ht="14.4" x14ac:dyDescent="0.3">
      <c r="A156" s="4" t="s">
        <v>1151</v>
      </c>
      <c r="B156" s="7">
        <v>121</v>
      </c>
      <c r="C156" s="2" t="str">
        <f t="shared" si="2"/>
        <v>$</v>
      </c>
    </row>
    <row r="157" spans="1:3" ht="14.4" x14ac:dyDescent="0.3">
      <c r="A157" s="4" t="s">
        <v>1152</v>
      </c>
      <c r="B157" s="7">
        <v>15</v>
      </c>
      <c r="C157" s="2" t="str">
        <f t="shared" si="2"/>
        <v/>
      </c>
    </row>
    <row r="158" spans="1:3" ht="14.4" x14ac:dyDescent="0.3">
      <c r="A158" s="4" t="s">
        <v>1153</v>
      </c>
      <c r="B158" s="7">
        <v>144</v>
      </c>
      <c r="C158" s="2" t="str">
        <f t="shared" si="2"/>
        <v>$</v>
      </c>
    </row>
    <row r="159" spans="1:3" ht="14.4" x14ac:dyDescent="0.3">
      <c r="A159" s="4" t="s">
        <v>1154</v>
      </c>
      <c r="B159" s="7">
        <v>5</v>
      </c>
      <c r="C159" s="2" t="str">
        <f t="shared" si="2"/>
        <v/>
      </c>
    </row>
    <row r="160" spans="1:3" ht="14.4" x14ac:dyDescent="0.3">
      <c r="A160" s="4" t="s">
        <v>1155</v>
      </c>
      <c r="B160" s="7">
        <v>361</v>
      </c>
      <c r="C160" s="2" t="str">
        <f t="shared" si="2"/>
        <v>$$$</v>
      </c>
    </row>
    <row r="161" spans="1:3" ht="14.4" x14ac:dyDescent="0.3">
      <c r="A161" s="4" t="s">
        <v>1156</v>
      </c>
      <c r="B161" s="7">
        <v>140</v>
      </c>
      <c r="C161" s="2" t="str">
        <f t="shared" si="2"/>
        <v>$</v>
      </c>
    </row>
    <row r="162" spans="1:3" ht="14.4" x14ac:dyDescent="0.3">
      <c r="A162" s="4" t="s">
        <v>1157</v>
      </c>
      <c r="B162" s="7">
        <v>755</v>
      </c>
      <c r="C162" s="2" t="str">
        <f t="shared" si="2"/>
        <v>$$$$$$$</v>
      </c>
    </row>
    <row r="163" spans="1:3" ht="14.4" x14ac:dyDescent="0.3">
      <c r="A163" s="4" t="s">
        <v>1158</v>
      </c>
      <c r="B163" s="7">
        <v>244</v>
      </c>
      <c r="C163" s="2" t="str">
        <f t="shared" si="2"/>
        <v>$$</v>
      </c>
    </row>
    <row r="164" spans="1:3" ht="14.4" x14ac:dyDescent="0.3">
      <c r="A164" s="4" t="s">
        <v>1159</v>
      </c>
      <c r="B164" s="7">
        <v>529</v>
      </c>
      <c r="C164" s="2" t="str">
        <f t="shared" si="2"/>
        <v>$$$$$</v>
      </c>
    </row>
    <row r="165" spans="1:3" ht="14.4" x14ac:dyDescent="0.3">
      <c r="A165" s="4" t="s">
        <v>1160</v>
      </c>
      <c r="B165" s="7">
        <v>448</v>
      </c>
      <c r="C165" s="2" t="str">
        <f t="shared" si="2"/>
        <v>$$$$</v>
      </c>
    </row>
    <row r="166" spans="1:3" ht="14.4" x14ac:dyDescent="0.3">
      <c r="A166" s="4" t="s">
        <v>1161</v>
      </c>
      <c r="B166" s="7">
        <v>310</v>
      </c>
      <c r="C166" s="2" t="str">
        <f t="shared" si="2"/>
        <v>$$$</v>
      </c>
    </row>
    <row r="167" spans="1:3" ht="14.4" x14ac:dyDescent="0.3">
      <c r="A167" s="4" t="s">
        <v>1162</v>
      </c>
      <c r="B167" s="7">
        <v>501</v>
      </c>
      <c r="C167" s="2" t="str">
        <f t="shared" si="2"/>
        <v>$$$$$</v>
      </c>
    </row>
    <row r="168" spans="1:3" ht="14.4" x14ac:dyDescent="0.3">
      <c r="A168" s="4" t="s">
        <v>1163</v>
      </c>
      <c r="B168" s="7">
        <v>687</v>
      </c>
      <c r="C168" s="2" t="str">
        <f t="shared" si="2"/>
        <v>$$$$$$</v>
      </c>
    </row>
    <row r="169" spans="1:3" ht="14.4" x14ac:dyDescent="0.3">
      <c r="A169" s="4" t="s">
        <v>1164</v>
      </c>
      <c r="B169" s="7">
        <v>874</v>
      </c>
      <c r="C169" s="2" t="str">
        <f t="shared" si="2"/>
        <v>$$$$$$$$</v>
      </c>
    </row>
    <row r="170" spans="1:3" ht="14.4" x14ac:dyDescent="0.3">
      <c r="A170" s="4" t="s">
        <v>1165</v>
      </c>
      <c r="B170" s="7">
        <v>28</v>
      </c>
      <c r="C170" s="2" t="str">
        <f t="shared" si="2"/>
        <v/>
      </c>
    </row>
    <row r="171" spans="1:3" ht="14.4" x14ac:dyDescent="0.3">
      <c r="A171" s="4" t="s">
        <v>1166</v>
      </c>
      <c r="B171" s="7">
        <v>394</v>
      </c>
      <c r="C171" s="2" t="str">
        <f t="shared" si="2"/>
        <v>$$$</v>
      </c>
    </row>
    <row r="172" spans="1:3" ht="14.4" x14ac:dyDescent="0.3">
      <c r="A172" s="4" t="s">
        <v>1167</v>
      </c>
      <c r="B172" s="7">
        <v>15</v>
      </c>
      <c r="C172" s="2" t="str">
        <f t="shared" si="2"/>
        <v/>
      </c>
    </row>
    <row r="173" spans="1:3" ht="14.4" x14ac:dyDescent="0.3">
      <c r="A173" s="4" t="s">
        <v>1168</v>
      </c>
      <c r="B173" s="7">
        <v>573</v>
      </c>
      <c r="C173" s="2" t="str">
        <f t="shared" si="2"/>
        <v>$$$$$</v>
      </c>
    </row>
    <row r="174" spans="1:3" ht="14.4" x14ac:dyDescent="0.3">
      <c r="A174" s="4" t="s">
        <v>1169</v>
      </c>
      <c r="B174" s="7">
        <v>116</v>
      </c>
      <c r="C174" s="2" t="str">
        <f t="shared" si="2"/>
        <v>$</v>
      </c>
    </row>
    <row r="175" spans="1:3" ht="14.4" x14ac:dyDescent="0.3">
      <c r="A175" s="4" t="s">
        <v>1170</v>
      </c>
      <c r="B175" s="7">
        <v>608</v>
      </c>
      <c r="C175" s="2" t="str">
        <f t="shared" si="2"/>
        <v>$$$$$$</v>
      </c>
    </row>
    <row r="176" spans="1:3" ht="14.4" x14ac:dyDescent="0.3">
      <c r="A176" s="4" t="s">
        <v>1171</v>
      </c>
      <c r="B176" s="7">
        <v>481</v>
      </c>
      <c r="C176" s="2" t="str">
        <f t="shared" si="2"/>
        <v>$$$$</v>
      </c>
    </row>
    <row r="177" spans="1:3" ht="14.4" x14ac:dyDescent="0.3">
      <c r="A177" s="4" t="s">
        <v>1172</v>
      </c>
      <c r="B177" s="7">
        <v>875</v>
      </c>
      <c r="C177" s="2" t="str">
        <f t="shared" si="2"/>
        <v>$$$$$$$$</v>
      </c>
    </row>
    <row r="178" spans="1:3" ht="14.4" x14ac:dyDescent="0.3">
      <c r="A178" s="4" t="s">
        <v>1173</v>
      </c>
      <c r="B178" s="7">
        <v>289</v>
      </c>
      <c r="C178" s="2" t="str">
        <f t="shared" si="2"/>
        <v>$$</v>
      </c>
    </row>
    <row r="179" spans="1:3" ht="14.4" x14ac:dyDescent="0.3">
      <c r="A179" s="4" t="s">
        <v>1174</v>
      </c>
      <c r="B179" s="7">
        <v>230</v>
      </c>
      <c r="C179" s="2" t="str">
        <f t="shared" si="2"/>
        <v>$$</v>
      </c>
    </row>
    <row r="180" spans="1:3" ht="14.4" x14ac:dyDescent="0.3">
      <c r="A180" s="4" t="s">
        <v>1175</v>
      </c>
      <c r="B180" s="7">
        <v>327</v>
      </c>
      <c r="C180" s="2" t="str">
        <f t="shared" si="2"/>
        <v>$$$</v>
      </c>
    </row>
    <row r="181" spans="1:3" ht="14.4" x14ac:dyDescent="0.3">
      <c r="A181" s="4" t="s">
        <v>1176</v>
      </c>
      <c r="B181" s="7">
        <v>238</v>
      </c>
      <c r="C181" s="2" t="str">
        <f t="shared" si="2"/>
        <v>$$</v>
      </c>
    </row>
    <row r="182" spans="1:3" ht="14.4" x14ac:dyDescent="0.3">
      <c r="A182" s="4" t="s">
        <v>1177</v>
      </c>
      <c r="B182" s="7">
        <v>612</v>
      </c>
      <c r="C182" s="2" t="str">
        <f t="shared" si="2"/>
        <v>$$$$$$</v>
      </c>
    </row>
    <row r="183" spans="1:3" ht="14.4" x14ac:dyDescent="0.3">
      <c r="A183" s="4" t="s">
        <v>1178</v>
      </c>
      <c r="B183" s="7">
        <v>803</v>
      </c>
      <c r="C183" s="2" t="str">
        <f t="shared" si="2"/>
        <v>$$$$$$$$</v>
      </c>
    </row>
    <row r="184" spans="1:3" ht="14.4" x14ac:dyDescent="0.3">
      <c r="A184" s="4" t="s">
        <v>1179</v>
      </c>
      <c r="B184" s="7">
        <v>954</v>
      </c>
      <c r="C184" s="2" t="str">
        <f t="shared" si="2"/>
        <v>$$$$$$$$$</v>
      </c>
    </row>
    <row r="185" spans="1:3" ht="14.4" x14ac:dyDescent="0.3">
      <c r="A185" s="4" t="s">
        <v>1180</v>
      </c>
      <c r="B185" s="7">
        <v>209</v>
      </c>
      <c r="C185" s="2" t="str">
        <f t="shared" si="2"/>
        <v>$$</v>
      </c>
    </row>
    <row r="186" spans="1:3" ht="14.4" x14ac:dyDescent="0.3">
      <c r="A186" s="4" t="s">
        <v>1181</v>
      </c>
      <c r="B186" s="7">
        <v>755</v>
      </c>
      <c r="C186" s="2" t="str">
        <f t="shared" si="2"/>
        <v>$$$$$$$</v>
      </c>
    </row>
    <row r="187" spans="1:3" ht="14.4" x14ac:dyDescent="0.3">
      <c r="A187" s="4" t="s">
        <v>1182</v>
      </c>
      <c r="B187" s="7">
        <v>16</v>
      </c>
      <c r="C187" s="2" t="str">
        <f t="shared" si="2"/>
        <v/>
      </c>
    </row>
    <row r="188" spans="1:3" ht="14.4" x14ac:dyDescent="0.3">
      <c r="A188" s="4" t="s">
        <v>1183</v>
      </c>
      <c r="B188" s="7">
        <v>663</v>
      </c>
      <c r="C188" s="2" t="str">
        <f t="shared" si="2"/>
        <v>$$$$$$</v>
      </c>
    </row>
    <row r="189" spans="1:3" ht="14.4" x14ac:dyDescent="0.3">
      <c r="A189" s="4" t="s">
        <v>1184</v>
      </c>
      <c r="B189" s="7">
        <v>392</v>
      </c>
      <c r="C189" s="2" t="str">
        <f t="shared" si="2"/>
        <v>$$$</v>
      </c>
    </row>
    <row r="190" spans="1:3" ht="14.4" x14ac:dyDescent="0.3">
      <c r="A190" s="4" t="s">
        <v>1185</v>
      </c>
      <c r="B190" s="7">
        <v>499</v>
      </c>
      <c r="C190" s="2" t="str">
        <f t="shared" si="2"/>
        <v>$$$$</v>
      </c>
    </row>
    <row r="191" spans="1:3" ht="14.4" x14ac:dyDescent="0.3">
      <c r="A191" s="4" t="s">
        <v>1186</v>
      </c>
      <c r="B191" s="7">
        <v>406</v>
      </c>
      <c r="C191" s="2" t="str">
        <f t="shared" si="2"/>
        <v>$$$$</v>
      </c>
    </row>
    <row r="192" spans="1:3" ht="14.4" x14ac:dyDescent="0.3">
      <c r="A192" s="4" t="s">
        <v>1187</v>
      </c>
      <c r="B192" s="7">
        <v>507</v>
      </c>
      <c r="C192" s="2" t="str">
        <f t="shared" si="2"/>
        <v>$$$$$</v>
      </c>
    </row>
    <row r="193" spans="1:3" ht="14.4" x14ac:dyDescent="0.3">
      <c r="A193" s="4" t="s">
        <v>1188</v>
      </c>
      <c r="B193" s="7">
        <v>504</v>
      </c>
      <c r="C193" s="2" t="str">
        <f t="shared" si="2"/>
        <v>$$$$$</v>
      </c>
    </row>
    <row r="194" spans="1:3" ht="14.4" x14ac:dyDescent="0.3">
      <c r="A194" s="4" t="s">
        <v>1189</v>
      </c>
      <c r="B194" s="7">
        <v>286</v>
      </c>
      <c r="C194" s="2" t="str">
        <f t="shared" si="2"/>
        <v>$$</v>
      </c>
    </row>
    <row r="195" spans="1:3" ht="14.4" x14ac:dyDescent="0.3">
      <c r="A195" s="4" t="s">
        <v>1190</v>
      </c>
      <c r="B195" s="7">
        <v>369</v>
      </c>
      <c r="C195" s="2" t="str">
        <f t="shared" ref="C195:C258" si="3">REPT("$",B195/100)</f>
        <v>$$$</v>
      </c>
    </row>
    <row r="196" spans="1:3" ht="14.4" x14ac:dyDescent="0.3">
      <c r="A196" s="4" t="s">
        <v>1191</v>
      </c>
      <c r="B196" s="7">
        <v>925</v>
      </c>
      <c r="C196" s="2" t="str">
        <f t="shared" si="3"/>
        <v>$$$$$$$$$</v>
      </c>
    </row>
    <row r="197" spans="1:3" ht="14.4" x14ac:dyDescent="0.3">
      <c r="A197" s="4" t="s">
        <v>1192</v>
      </c>
      <c r="B197" s="7">
        <v>721</v>
      </c>
      <c r="C197" s="2" t="str">
        <f t="shared" si="3"/>
        <v>$$$$$$$</v>
      </c>
    </row>
    <row r="198" spans="1:3" ht="14.4" x14ac:dyDescent="0.3">
      <c r="A198" s="4" t="s">
        <v>1193</v>
      </c>
      <c r="B198" s="7">
        <v>880</v>
      </c>
      <c r="C198" s="2" t="str">
        <f t="shared" si="3"/>
        <v>$$$$$$$$</v>
      </c>
    </row>
    <row r="199" spans="1:3" ht="14.4" x14ac:dyDescent="0.3">
      <c r="A199" s="4" t="s">
        <v>1194</v>
      </c>
      <c r="B199" s="7">
        <v>319</v>
      </c>
      <c r="C199" s="2" t="str">
        <f t="shared" si="3"/>
        <v>$$$</v>
      </c>
    </row>
    <row r="200" spans="1:3" ht="14.4" x14ac:dyDescent="0.3">
      <c r="A200" s="4" t="s">
        <v>1195</v>
      </c>
      <c r="B200" s="7">
        <v>194</v>
      </c>
      <c r="C200" s="2" t="str">
        <f t="shared" si="3"/>
        <v>$</v>
      </c>
    </row>
    <row r="201" spans="1:3" ht="14.4" x14ac:dyDescent="0.3">
      <c r="A201" s="4" t="s">
        <v>1196</v>
      </c>
      <c r="B201" s="7">
        <v>622</v>
      </c>
      <c r="C201" s="2" t="str">
        <f t="shared" si="3"/>
        <v>$$$$$$</v>
      </c>
    </row>
    <row r="202" spans="1:3" ht="14.4" x14ac:dyDescent="0.3">
      <c r="A202" s="4" t="s">
        <v>997</v>
      </c>
      <c r="B202" s="7">
        <v>767</v>
      </c>
      <c r="C202" s="2" t="str">
        <f t="shared" si="3"/>
        <v>$$$$$$$</v>
      </c>
    </row>
    <row r="203" spans="1:3" ht="14.4" x14ac:dyDescent="0.3">
      <c r="A203" s="4" t="s">
        <v>998</v>
      </c>
      <c r="B203" s="7">
        <v>810</v>
      </c>
      <c r="C203" s="2" t="str">
        <f t="shared" si="3"/>
        <v>$$$$$$$$</v>
      </c>
    </row>
    <row r="204" spans="1:3" ht="14.4" x14ac:dyDescent="0.3">
      <c r="A204" s="4" t="s">
        <v>999</v>
      </c>
      <c r="B204" s="7">
        <v>730</v>
      </c>
      <c r="C204" s="2" t="str">
        <f t="shared" si="3"/>
        <v>$$$$$$$</v>
      </c>
    </row>
    <row r="205" spans="1:3" ht="14.4" x14ac:dyDescent="0.3">
      <c r="A205" s="4" t="s">
        <v>1000</v>
      </c>
      <c r="B205" s="7">
        <v>228</v>
      </c>
      <c r="C205" s="2" t="str">
        <f t="shared" si="3"/>
        <v>$$</v>
      </c>
    </row>
    <row r="206" spans="1:3" ht="14.4" x14ac:dyDescent="0.3">
      <c r="A206" s="4" t="s">
        <v>1001</v>
      </c>
      <c r="B206" s="7">
        <v>737</v>
      </c>
      <c r="C206" s="2" t="str">
        <f t="shared" si="3"/>
        <v>$$$$$$$</v>
      </c>
    </row>
    <row r="207" spans="1:3" ht="14.4" x14ac:dyDescent="0.3">
      <c r="A207" s="4" t="s">
        <v>1002</v>
      </c>
      <c r="B207" s="7">
        <v>33</v>
      </c>
      <c r="C207" s="2" t="str">
        <f t="shared" si="3"/>
        <v/>
      </c>
    </row>
    <row r="208" spans="1:3" ht="14.4" x14ac:dyDescent="0.3">
      <c r="A208" s="4" t="s">
        <v>1003</v>
      </c>
      <c r="B208" s="7">
        <v>156</v>
      </c>
      <c r="C208" s="2" t="str">
        <f t="shared" si="3"/>
        <v>$</v>
      </c>
    </row>
    <row r="209" spans="1:3" ht="14.4" x14ac:dyDescent="0.3">
      <c r="A209" s="4" t="s">
        <v>1004</v>
      </c>
      <c r="B209" s="7">
        <v>812</v>
      </c>
      <c r="C209" s="2" t="str">
        <f t="shared" si="3"/>
        <v>$$$$$$$$</v>
      </c>
    </row>
    <row r="210" spans="1:3" ht="14.4" x14ac:dyDescent="0.3">
      <c r="A210" s="4" t="s">
        <v>1005</v>
      </c>
      <c r="B210" s="7">
        <v>198</v>
      </c>
      <c r="C210" s="2" t="str">
        <f t="shared" si="3"/>
        <v>$</v>
      </c>
    </row>
    <row r="211" spans="1:3" ht="14.4" x14ac:dyDescent="0.3">
      <c r="A211" s="4" t="s">
        <v>1006</v>
      </c>
      <c r="B211" s="7">
        <v>154</v>
      </c>
      <c r="C211" s="2" t="str">
        <f t="shared" si="3"/>
        <v>$</v>
      </c>
    </row>
    <row r="212" spans="1:3" ht="14.4" x14ac:dyDescent="0.3">
      <c r="A212" s="4" t="s">
        <v>1007</v>
      </c>
      <c r="B212" s="7">
        <v>668</v>
      </c>
      <c r="C212" s="2" t="str">
        <f t="shared" si="3"/>
        <v>$$$$$$</v>
      </c>
    </row>
    <row r="213" spans="1:3" ht="14.4" x14ac:dyDescent="0.3">
      <c r="A213" s="4" t="s">
        <v>1008</v>
      </c>
      <c r="B213" s="7">
        <v>395</v>
      </c>
      <c r="C213" s="2" t="str">
        <f t="shared" si="3"/>
        <v>$$$</v>
      </c>
    </row>
    <row r="214" spans="1:3" ht="14.4" x14ac:dyDescent="0.3">
      <c r="A214" s="4" t="s">
        <v>1009</v>
      </c>
      <c r="B214" s="7">
        <v>185</v>
      </c>
      <c r="C214" s="2" t="str">
        <f t="shared" si="3"/>
        <v>$</v>
      </c>
    </row>
    <row r="215" spans="1:3" ht="14.4" x14ac:dyDescent="0.3">
      <c r="A215" s="4" t="s">
        <v>1010</v>
      </c>
      <c r="B215" s="7">
        <v>603</v>
      </c>
      <c r="C215" s="2" t="str">
        <f t="shared" si="3"/>
        <v>$$$$$$</v>
      </c>
    </row>
    <row r="216" spans="1:3" ht="14.4" x14ac:dyDescent="0.3">
      <c r="A216" s="4" t="s">
        <v>1011</v>
      </c>
      <c r="B216" s="7">
        <v>627</v>
      </c>
      <c r="C216" s="2" t="str">
        <f t="shared" si="3"/>
        <v>$$$$$$</v>
      </c>
    </row>
    <row r="217" spans="1:3" ht="14.4" x14ac:dyDescent="0.3">
      <c r="A217" s="4" t="s">
        <v>1012</v>
      </c>
      <c r="B217" s="7">
        <v>98</v>
      </c>
      <c r="C217" s="2" t="str">
        <f t="shared" si="3"/>
        <v/>
      </c>
    </row>
    <row r="218" spans="1:3" ht="14.4" x14ac:dyDescent="0.3">
      <c r="A218" s="4" t="s">
        <v>1013</v>
      </c>
      <c r="B218" s="7">
        <v>674</v>
      </c>
      <c r="C218" s="2" t="str">
        <f t="shared" si="3"/>
        <v>$$$$$$</v>
      </c>
    </row>
    <row r="219" spans="1:3" ht="14.4" x14ac:dyDescent="0.3">
      <c r="A219" s="4" t="s">
        <v>1014</v>
      </c>
      <c r="B219" s="7">
        <v>553</v>
      </c>
      <c r="C219" s="2" t="str">
        <f t="shared" si="3"/>
        <v>$$$$$</v>
      </c>
    </row>
    <row r="220" spans="1:3" ht="14.4" x14ac:dyDescent="0.3">
      <c r="A220" s="4" t="s">
        <v>1015</v>
      </c>
      <c r="B220" s="7">
        <v>514</v>
      </c>
      <c r="C220" s="2" t="str">
        <f t="shared" si="3"/>
        <v>$$$$$</v>
      </c>
    </row>
    <row r="221" spans="1:3" ht="14.4" x14ac:dyDescent="0.3">
      <c r="A221" s="4" t="s">
        <v>1016</v>
      </c>
      <c r="B221" s="7">
        <v>802</v>
      </c>
      <c r="C221" s="2" t="str">
        <f t="shared" si="3"/>
        <v>$$$$$$$$</v>
      </c>
    </row>
    <row r="222" spans="1:3" ht="14.4" x14ac:dyDescent="0.3">
      <c r="A222" s="4" t="s">
        <v>1017</v>
      </c>
      <c r="B222" s="7">
        <v>780</v>
      </c>
      <c r="C222" s="2" t="str">
        <f t="shared" si="3"/>
        <v>$$$$$$$</v>
      </c>
    </row>
    <row r="223" spans="1:3" ht="14.4" x14ac:dyDescent="0.3">
      <c r="A223" s="4" t="s">
        <v>1018</v>
      </c>
      <c r="B223" s="7">
        <v>526</v>
      </c>
      <c r="C223" s="2" t="str">
        <f t="shared" si="3"/>
        <v>$$$$$</v>
      </c>
    </row>
    <row r="224" spans="1:3" ht="14.4" x14ac:dyDescent="0.3">
      <c r="A224" s="4" t="s">
        <v>1019</v>
      </c>
      <c r="B224" s="7">
        <v>344</v>
      </c>
      <c r="C224" s="2" t="str">
        <f t="shared" si="3"/>
        <v>$$$</v>
      </c>
    </row>
    <row r="225" spans="1:3" ht="14.4" x14ac:dyDescent="0.3">
      <c r="A225" s="4" t="s">
        <v>1020</v>
      </c>
      <c r="B225" s="7">
        <v>912</v>
      </c>
      <c r="C225" s="2" t="str">
        <f t="shared" si="3"/>
        <v>$$$$$$$$$</v>
      </c>
    </row>
    <row r="226" spans="1:3" ht="14.4" x14ac:dyDescent="0.3">
      <c r="A226" s="4" t="s">
        <v>1021</v>
      </c>
      <c r="B226" s="7">
        <v>655</v>
      </c>
      <c r="C226" s="2" t="str">
        <f t="shared" si="3"/>
        <v>$$$$$$</v>
      </c>
    </row>
    <row r="227" spans="1:3" ht="14.4" x14ac:dyDescent="0.3">
      <c r="A227" s="4" t="s">
        <v>1022</v>
      </c>
      <c r="B227" s="7">
        <v>259</v>
      </c>
      <c r="C227" s="2" t="str">
        <f t="shared" si="3"/>
        <v>$$</v>
      </c>
    </row>
    <row r="228" spans="1:3" ht="14.4" x14ac:dyDescent="0.3">
      <c r="A228" s="4" t="s">
        <v>1023</v>
      </c>
      <c r="B228" s="7">
        <v>371</v>
      </c>
      <c r="C228" s="2" t="str">
        <f t="shared" si="3"/>
        <v>$$$</v>
      </c>
    </row>
    <row r="229" spans="1:3" ht="14.4" x14ac:dyDescent="0.3">
      <c r="A229" s="4" t="s">
        <v>1024</v>
      </c>
      <c r="B229" s="7">
        <v>338</v>
      </c>
      <c r="C229" s="2" t="str">
        <f t="shared" si="3"/>
        <v>$$$</v>
      </c>
    </row>
    <row r="230" spans="1:3" ht="14.4" x14ac:dyDescent="0.3">
      <c r="A230" s="4" t="s">
        <v>1025</v>
      </c>
      <c r="B230" s="7">
        <v>410</v>
      </c>
      <c r="C230" s="2" t="str">
        <f t="shared" si="3"/>
        <v>$$$$</v>
      </c>
    </row>
    <row r="231" spans="1:3" ht="14.4" x14ac:dyDescent="0.3">
      <c r="A231" s="4" t="s">
        <v>1026</v>
      </c>
      <c r="B231" s="7">
        <v>717</v>
      </c>
      <c r="C231" s="2" t="str">
        <f t="shared" si="3"/>
        <v>$$$$$$$</v>
      </c>
    </row>
    <row r="232" spans="1:3" ht="14.4" x14ac:dyDescent="0.3">
      <c r="A232" s="4" t="s">
        <v>1027</v>
      </c>
      <c r="B232" s="7">
        <v>484</v>
      </c>
      <c r="C232" s="2" t="str">
        <f t="shared" si="3"/>
        <v>$$$$</v>
      </c>
    </row>
    <row r="233" spans="1:3" ht="14.4" x14ac:dyDescent="0.3">
      <c r="A233" s="4" t="s">
        <v>1028</v>
      </c>
      <c r="B233" s="7">
        <v>226</v>
      </c>
      <c r="C233" s="2" t="str">
        <f t="shared" si="3"/>
        <v>$$</v>
      </c>
    </row>
    <row r="234" spans="1:3" ht="14.4" x14ac:dyDescent="0.3">
      <c r="A234" s="4" t="s">
        <v>1029</v>
      </c>
      <c r="B234" s="7">
        <v>185</v>
      </c>
      <c r="C234" s="2" t="str">
        <f t="shared" si="3"/>
        <v>$</v>
      </c>
    </row>
    <row r="235" spans="1:3" ht="14.4" x14ac:dyDescent="0.3">
      <c r="A235" s="4" t="s">
        <v>1030</v>
      </c>
      <c r="B235" s="7">
        <v>418</v>
      </c>
      <c r="C235" s="2" t="str">
        <f t="shared" si="3"/>
        <v>$$$$</v>
      </c>
    </row>
    <row r="236" spans="1:3" ht="14.4" x14ac:dyDescent="0.3">
      <c r="A236" s="4" t="s">
        <v>1031</v>
      </c>
      <c r="B236" s="7">
        <v>971</v>
      </c>
      <c r="C236" s="2" t="str">
        <f t="shared" si="3"/>
        <v>$$$$$$$$$</v>
      </c>
    </row>
    <row r="237" spans="1:3" ht="14.4" x14ac:dyDescent="0.3">
      <c r="A237" s="4" t="s">
        <v>1032</v>
      </c>
      <c r="B237" s="7">
        <v>371</v>
      </c>
      <c r="C237" s="2" t="str">
        <f t="shared" si="3"/>
        <v>$$$</v>
      </c>
    </row>
    <row r="238" spans="1:3" ht="14.4" x14ac:dyDescent="0.3">
      <c r="A238" s="4" t="s">
        <v>1033</v>
      </c>
      <c r="B238" s="7">
        <v>573</v>
      </c>
      <c r="C238" s="2" t="str">
        <f t="shared" si="3"/>
        <v>$$$$$</v>
      </c>
    </row>
    <row r="239" spans="1:3" ht="14.4" x14ac:dyDescent="0.3">
      <c r="A239" s="4" t="s">
        <v>1034</v>
      </c>
      <c r="B239" s="7">
        <v>19</v>
      </c>
      <c r="C239" s="2" t="str">
        <f t="shared" si="3"/>
        <v/>
      </c>
    </row>
    <row r="240" spans="1:3" ht="14.4" x14ac:dyDescent="0.3">
      <c r="A240" s="4" t="s">
        <v>1035</v>
      </c>
      <c r="B240" s="7">
        <v>449</v>
      </c>
      <c r="C240" s="2" t="str">
        <f t="shared" si="3"/>
        <v>$$$$</v>
      </c>
    </row>
    <row r="241" spans="1:3" ht="14.4" x14ac:dyDescent="0.3">
      <c r="A241" s="4" t="s">
        <v>1036</v>
      </c>
      <c r="B241" s="7">
        <v>674</v>
      </c>
      <c r="C241" s="2" t="str">
        <f t="shared" si="3"/>
        <v>$$$$$$</v>
      </c>
    </row>
    <row r="242" spans="1:3" ht="14.4" x14ac:dyDescent="0.3">
      <c r="A242" s="4" t="s">
        <v>1037</v>
      </c>
      <c r="B242" s="7">
        <v>970</v>
      </c>
      <c r="C242" s="2" t="str">
        <f t="shared" si="3"/>
        <v>$$$$$$$$$</v>
      </c>
    </row>
    <row r="243" spans="1:3" ht="14.4" x14ac:dyDescent="0.3">
      <c r="A243" s="4" t="s">
        <v>1038</v>
      </c>
      <c r="B243" s="7">
        <v>475</v>
      </c>
      <c r="C243" s="2" t="str">
        <f t="shared" si="3"/>
        <v>$$$$</v>
      </c>
    </row>
    <row r="244" spans="1:3" ht="14.4" x14ac:dyDescent="0.3">
      <c r="A244" s="4" t="s">
        <v>1039</v>
      </c>
      <c r="B244" s="7">
        <v>609</v>
      </c>
      <c r="C244" s="2" t="str">
        <f t="shared" si="3"/>
        <v>$$$$$$</v>
      </c>
    </row>
    <row r="245" spans="1:3" ht="14.4" x14ac:dyDescent="0.3">
      <c r="A245" s="4" t="s">
        <v>1040</v>
      </c>
      <c r="B245" s="7">
        <v>521</v>
      </c>
      <c r="C245" s="2" t="str">
        <f t="shared" si="3"/>
        <v>$$$$$</v>
      </c>
    </row>
    <row r="246" spans="1:3" ht="14.4" x14ac:dyDescent="0.3">
      <c r="A246" s="4" t="s">
        <v>1041</v>
      </c>
      <c r="B246" s="7">
        <v>49</v>
      </c>
      <c r="C246" s="2" t="str">
        <f t="shared" si="3"/>
        <v/>
      </c>
    </row>
    <row r="247" spans="1:3" ht="14.4" x14ac:dyDescent="0.3">
      <c r="A247" s="4" t="s">
        <v>1042</v>
      </c>
      <c r="B247" s="7">
        <v>943</v>
      </c>
      <c r="C247" s="2" t="str">
        <f t="shared" si="3"/>
        <v>$$$$$$$$$</v>
      </c>
    </row>
    <row r="248" spans="1:3" ht="14.4" x14ac:dyDescent="0.3">
      <c r="A248" s="4" t="s">
        <v>1043</v>
      </c>
      <c r="B248" s="7">
        <v>118</v>
      </c>
      <c r="C248" s="2" t="str">
        <f t="shared" si="3"/>
        <v>$</v>
      </c>
    </row>
    <row r="249" spans="1:3" ht="14.4" x14ac:dyDescent="0.3">
      <c r="A249" s="4" t="s">
        <v>1044</v>
      </c>
      <c r="B249" s="7">
        <v>435</v>
      </c>
      <c r="C249" s="2" t="str">
        <f t="shared" si="3"/>
        <v>$$$$</v>
      </c>
    </row>
    <row r="250" spans="1:3" ht="14.4" x14ac:dyDescent="0.3">
      <c r="A250" s="4" t="s">
        <v>1045</v>
      </c>
      <c r="B250" s="7">
        <v>487</v>
      </c>
      <c r="C250" s="2" t="str">
        <f t="shared" si="3"/>
        <v>$$$$</v>
      </c>
    </row>
    <row r="251" spans="1:3" ht="14.4" x14ac:dyDescent="0.3">
      <c r="A251" s="4" t="s">
        <v>1046</v>
      </c>
      <c r="B251" s="7">
        <v>985</v>
      </c>
      <c r="C251" s="2" t="str">
        <f t="shared" si="3"/>
        <v>$$$$$$$$$</v>
      </c>
    </row>
    <row r="252" spans="1:3" ht="14.4" x14ac:dyDescent="0.3">
      <c r="A252" s="4" t="s">
        <v>1047</v>
      </c>
      <c r="B252" s="7">
        <v>416</v>
      </c>
      <c r="C252" s="2" t="str">
        <f t="shared" si="3"/>
        <v>$$$$</v>
      </c>
    </row>
    <row r="253" spans="1:3" ht="14.4" x14ac:dyDescent="0.3">
      <c r="A253" s="4" t="s">
        <v>1048</v>
      </c>
      <c r="B253" s="7">
        <v>904</v>
      </c>
      <c r="C253" s="2" t="str">
        <f t="shared" si="3"/>
        <v>$$$$$$$$$</v>
      </c>
    </row>
    <row r="254" spans="1:3" ht="14.4" x14ac:dyDescent="0.3">
      <c r="A254" s="4" t="s">
        <v>1049</v>
      </c>
      <c r="B254" s="7">
        <v>288</v>
      </c>
      <c r="C254" s="2" t="str">
        <f t="shared" si="3"/>
        <v>$$</v>
      </c>
    </row>
    <row r="255" spans="1:3" ht="14.4" x14ac:dyDescent="0.3">
      <c r="A255" s="4" t="s">
        <v>1050</v>
      </c>
      <c r="B255" s="7">
        <v>584</v>
      </c>
      <c r="C255" s="2" t="str">
        <f t="shared" si="3"/>
        <v>$$$$$</v>
      </c>
    </row>
    <row r="256" spans="1:3" ht="14.4" x14ac:dyDescent="0.3">
      <c r="A256" s="4" t="s">
        <v>1051</v>
      </c>
      <c r="B256" s="7">
        <v>400</v>
      </c>
      <c r="C256" s="2" t="str">
        <f t="shared" si="3"/>
        <v>$$$$</v>
      </c>
    </row>
    <row r="257" spans="1:3" ht="14.4" x14ac:dyDescent="0.3">
      <c r="A257" s="4" t="s">
        <v>1052</v>
      </c>
      <c r="B257" s="7">
        <v>875</v>
      </c>
      <c r="C257" s="2" t="str">
        <f t="shared" si="3"/>
        <v>$$$$$$$$</v>
      </c>
    </row>
    <row r="258" spans="1:3" ht="14.4" x14ac:dyDescent="0.3">
      <c r="A258" s="4" t="s">
        <v>1053</v>
      </c>
      <c r="B258" s="7">
        <v>514</v>
      </c>
      <c r="C258" s="2" t="str">
        <f t="shared" si="3"/>
        <v>$$$$$</v>
      </c>
    </row>
    <row r="259" spans="1:3" ht="14.4" x14ac:dyDescent="0.3">
      <c r="A259" s="4" t="s">
        <v>1054</v>
      </c>
      <c r="B259" s="7">
        <v>923</v>
      </c>
      <c r="C259" s="2" t="str">
        <f t="shared" ref="C259:C322" si="4">REPT("$",B259/100)</f>
        <v>$$$$$$$$$</v>
      </c>
    </row>
    <row r="260" spans="1:3" ht="14.4" x14ac:dyDescent="0.3">
      <c r="A260" s="4" t="s">
        <v>1055</v>
      </c>
      <c r="B260" s="7">
        <v>967</v>
      </c>
      <c r="C260" s="2" t="str">
        <f t="shared" si="4"/>
        <v>$$$$$$$$$</v>
      </c>
    </row>
    <row r="261" spans="1:3" ht="14.4" x14ac:dyDescent="0.3">
      <c r="A261" s="4" t="s">
        <v>1056</v>
      </c>
      <c r="B261" s="7">
        <v>975</v>
      </c>
      <c r="C261" s="2" t="str">
        <f t="shared" si="4"/>
        <v>$$$$$$$$$</v>
      </c>
    </row>
    <row r="262" spans="1:3" ht="14.4" x14ac:dyDescent="0.3">
      <c r="A262" s="4" t="s">
        <v>1057</v>
      </c>
      <c r="B262" s="7">
        <v>9</v>
      </c>
      <c r="C262" s="2" t="str">
        <f t="shared" si="4"/>
        <v/>
      </c>
    </row>
    <row r="263" spans="1:3" ht="14.4" x14ac:dyDescent="0.3">
      <c r="A263" s="4" t="s">
        <v>1058</v>
      </c>
      <c r="B263" s="7">
        <v>890</v>
      </c>
      <c r="C263" s="2" t="str">
        <f t="shared" si="4"/>
        <v>$$$$$$$$</v>
      </c>
    </row>
    <row r="264" spans="1:3" ht="14.4" x14ac:dyDescent="0.3">
      <c r="A264" s="4" t="s">
        <v>1059</v>
      </c>
      <c r="B264" s="7">
        <v>189</v>
      </c>
      <c r="C264" s="2" t="str">
        <f t="shared" si="4"/>
        <v>$</v>
      </c>
    </row>
    <row r="265" spans="1:3" ht="14.4" x14ac:dyDescent="0.3">
      <c r="A265" s="4" t="s">
        <v>1060</v>
      </c>
      <c r="B265" s="7">
        <v>190</v>
      </c>
      <c r="C265" s="2" t="str">
        <f t="shared" si="4"/>
        <v>$</v>
      </c>
    </row>
    <row r="266" spans="1:3" ht="14.4" x14ac:dyDescent="0.3">
      <c r="A266" s="4" t="s">
        <v>1061</v>
      </c>
      <c r="B266" s="7">
        <v>755</v>
      </c>
      <c r="C266" s="2" t="str">
        <f t="shared" si="4"/>
        <v>$$$$$$$</v>
      </c>
    </row>
    <row r="267" spans="1:3" ht="14.4" x14ac:dyDescent="0.3">
      <c r="A267" s="4" t="s">
        <v>1062</v>
      </c>
      <c r="B267" s="7">
        <v>783</v>
      </c>
      <c r="C267" s="2" t="str">
        <f t="shared" si="4"/>
        <v>$$$$$$$</v>
      </c>
    </row>
    <row r="268" spans="1:3" ht="14.4" x14ac:dyDescent="0.3">
      <c r="A268" s="4" t="s">
        <v>1063</v>
      </c>
      <c r="B268" s="7">
        <v>428</v>
      </c>
      <c r="C268" s="2" t="str">
        <f t="shared" si="4"/>
        <v>$$$$</v>
      </c>
    </row>
    <row r="269" spans="1:3" ht="14.4" x14ac:dyDescent="0.3">
      <c r="A269" s="4" t="s">
        <v>1064</v>
      </c>
      <c r="B269" s="7">
        <v>360</v>
      </c>
      <c r="C269" s="2" t="str">
        <f t="shared" si="4"/>
        <v>$$$</v>
      </c>
    </row>
    <row r="270" spans="1:3" ht="14.4" x14ac:dyDescent="0.3">
      <c r="A270" s="4" t="s">
        <v>1065</v>
      </c>
      <c r="B270" s="7">
        <v>823</v>
      </c>
      <c r="C270" s="2" t="str">
        <f t="shared" si="4"/>
        <v>$$$$$$$$</v>
      </c>
    </row>
    <row r="271" spans="1:3" ht="14.4" x14ac:dyDescent="0.3">
      <c r="A271" s="4" t="s">
        <v>1066</v>
      </c>
      <c r="B271" s="7">
        <v>744</v>
      </c>
      <c r="C271" s="2" t="str">
        <f t="shared" si="4"/>
        <v>$$$$$$$</v>
      </c>
    </row>
    <row r="272" spans="1:3" ht="14.4" x14ac:dyDescent="0.3">
      <c r="A272" s="4" t="s">
        <v>1067</v>
      </c>
      <c r="B272" s="7">
        <v>78</v>
      </c>
      <c r="C272" s="2" t="str">
        <f t="shared" si="4"/>
        <v/>
      </c>
    </row>
    <row r="273" spans="1:3" ht="14.4" x14ac:dyDescent="0.3">
      <c r="A273" s="4" t="s">
        <v>1068</v>
      </c>
      <c r="B273" s="7">
        <v>579</v>
      </c>
      <c r="C273" s="2" t="str">
        <f t="shared" si="4"/>
        <v>$$$$$</v>
      </c>
    </row>
    <row r="274" spans="1:3" ht="14.4" x14ac:dyDescent="0.3">
      <c r="A274" s="4" t="s">
        <v>1069</v>
      </c>
      <c r="B274" s="7">
        <v>474</v>
      </c>
      <c r="C274" s="2" t="str">
        <f t="shared" si="4"/>
        <v>$$$$</v>
      </c>
    </row>
    <row r="275" spans="1:3" ht="14.4" x14ac:dyDescent="0.3">
      <c r="A275" s="4" t="s">
        <v>1070</v>
      </c>
      <c r="B275" s="7">
        <v>55</v>
      </c>
      <c r="C275" s="2" t="str">
        <f t="shared" si="4"/>
        <v/>
      </c>
    </row>
    <row r="276" spans="1:3" ht="14.4" x14ac:dyDescent="0.3">
      <c r="A276" s="4" t="s">
        <v>1071</v>
      </c>
      <c r="B276" s="7">
        <v>723</v>
      </c>
      <c r="C276" s="2" t="str">
        <f t="shared" si="4"/>
        <v>$$$$$$$</v>
      </c>
    </row>
    <row r="277" spans="1:3" ht="14.4" x14ac:dyDescent="0.3">
      <c r="A277" s="4" t="s">
        <v>1072</v>
      </c>
      <c r="B277" s="7">
        <v>294</v>
      </c>
      <c r="C277" s="2" t="str">
        <f t="shared" si="4"/>
        <v>$$</v>
      </c>
    </row>
    <row r="278" spans="1:3" ht="14.4" x14ac:dyDescent="0.3">
      <c r="A278" s="4" t="s">
        <v>1073</v>
      </c>
      <c r="B278" s="7">
        <v>912</v>
      </c>
      <c r="C278" s="2" t="str">
        <f t="shared" si="4"/>
        <v>$$$$$$$$$</v>
      </c>
    </row>
    <row r="279" spans="1:3" ht="14.4" x14ac:dyDescent="0.3">
      <c r="A279" s="4" t="s">
        <v>1074</v>
      </c>
      <c r="B279" s="7">
        <v>528</v>
      </c>
      <c r="C279" s="2" t="str">
        <f t="shared" si="4"/>
        <v>$$$$$</v>
      </c>
    </row>
    <row r="280" spans="1:3" ht="14.4" x14ac:dyDescent="0.3">
      <c r="A280" s="4" t="s">
        <v>1075</v>
      </c>
      <c r="B280" s="7">
        <v>410</v>
      </c>
      <c r="C280" s="2" t="str">
        <f t="shared" si="4"/>
        <v>$$$$</v>
      </c>
    </row>
    <row r="281" spans="1:3" ht="14.4" x14ac:dyDescent="0.3">
      <c r="A281" s="4" t="s">
        <v>1076</v>
      </c>
      <c r="B281" s="7">
        <v>670</v>
      </c>
      <c r="C281" s="2" t="str">
        <f t="shared" si="4"/>
        <v>$$$$$$</v>
      </c>
    </row>
    <row r="282" spans="1:3" ht="14.4" x14ac:dyDescent="0.3">
      <c r="A282" s="4" t="s">
        <v>1077</v>
      </c>
      <c r="B282" s="7">
        <v>281</v>
      </c>
      <c r="C282" s="2" t="str">
        <f t="shared" si="4"/>
        <v>$$</v>
      </c>
    </row>
    <row r="283" spans="1:3" ht="14.4" x14ac:dyDescent="0.3">
      <c r="A283" s="4" t="s">
        <v>1078</v>
      </c>
      <c r="B283" s="7">
        <v>876</v>
      </c>
      <c r="C283" s="2" t="str">
        <f t="shared" si="4"/>
        <v>$$$$$$$$</v>
      </c>
    </row>
    <row r="284" spans="1:3" ht="14.4" x14ac:dyDescent="0.3">
      <c r="A284" s="4" t="s">
        <v>1079</v>
      </c>
      <c r="B284" s="7">
        <v>442</v>
      </c>
      <c r="C284" s="2" t="str">
        <f t="shared" si="4"/>
        <v>$$$$</v>
      </c>
    </row>
    <row r="285" spans="1:3" ht="14.4" x14ac:dyDescent="0.3">
      <c r="A285" s="4" t="s">
        <v>1080</v>
      </c>
      <c r="B285" s="7">
        <v>553</v>
      </c>
      <c r="C285" s="2" t="str">
        <f t="shared" si="4"/>
        <v>$$$$$</v>
      </c>
    </row>
    <row r="286" spans="1:3" ht="14.4" x14ac:dyDescent="0.3">
      <c r="A286" s="4" t="s">
        <v>1081</v>
      </c>
      <c r="B286" s="7">
        <v>36</v>
      </c>
      <c r="C286" s="2" t="str">
        <f t="shared" si="4"/>
        <v/>
      </c>
    </row>
    <row r="287" spans="1:3" ht="14.4" x14ac:dyDescent="0.3">
      <c r="A287" s="4" t="s">
        <v>1082</v>
      </c>
      <c r="B287" s="7">
        <v>138</v>
      </c>
      <c r="C287" s="2" t="str">
        <f t="shared" si="4"/>
        <v>$</v>
      </c>
    </row>
    <row r="288" spans="1:3" ht="14.4" x14ac:dyDescent="0.3">
      <c r="A288" s="4" t="s">
        <v>1083</v>
      </c>
      <c r="B288" s="7">
        <v>535</v>
      </c>
      <c r="C288" s="2" t="str">
        <f t="shared" si="4"/>
        <v>$$$$$</v>
      </c>
    </row>
    <row r="289" spans="1:3" ht="14.4" x14ac:dyDescent="0.3">
      <c r="A289" s="4" t="s">
        <v>1084</v>
      </c>
      <c r="B289" s="7">
        <v>232</v>
      </c>
      <c r="C289" s="2" t="str">
        <f t="shared" si="4"/>
        <v>$$</v>
      </c>
    </row>
    <row r="290" spans="1:3" ht="14.4" x14ac:dyDescent="0.3">
      <c r="A290" s="4" t="s">
        <v>1085</v>
      </c>
      <c r="B290" s="7">
        <v>493</v>
      </c>
      <c r="C290" s="2" t="str">
        <f t="shared" si="4"/>
        <v>$$$$</v>
      </c>
    </row>
    <row r="291" spans="1:3" ht="14.4" x14ac:dyDescent="0.3">
      <c r="A291" s="4" t="s">
        <v>1086</v>
      </c>
      <c r="B291" s="7">
        <v>940</v>
      </c>
      <c r="C291" s="2" t="str">
        <f t="shared" si="4"/>
        <v>$$$$$$$$$</v>
      </c>
    </row>
    <row r="292" spans="1:3" ht="14.4" x14ac:dyDescent="0.3">
      <c r="A292" s="4" t="s">
        <v>1087</v>
      </c>
      <c r="B292" s="7">
        <v>468</v>
      </c>
      <c r="C292" s="2" t="str">
        <f t="shared" si="4"/>
        <v>$$$$</v>
      </c>
    </row>
    <row r="293" spans="1:3" ht="14.4" x14ac:dyDescent="0.3">
      <c r="A293" s="4" t="s">
        <v>1088</v>
      </c>
      <c r="B293" s="7">
        <v>997</v>
      </c>
      <c r="C293" s="2" t="str">
        <f t="shared" si="4"/>
        <v>$$$$$$$$$</v>
      </c>
    </row>
    <row r="294" spans="1:3" ht="14.4" x14ac:dyDescent="0.3">
      <c r="A294" s="4" t="s">
        <v>1089</v>
      </c>
      <c r="B294" s="7">
        <v>411</v>
      </c>
      <c r="C294" s="2" t="str">
        <f t="shared" si="4"/>
        <v>$$$$</v>
      </c>
    </row>
    <row r="295" spans="1:3" ht="14.4" x14ac:dyDescent="0.3">
      <c r="A295" s="4" t="s">
        <v>1090</v>
      </c>
      <c r="B295" s="7">
        <v>615</v>
      </c>
      <c r="C295" s="2" t="str">
        <f t="shared" si="4"/>
        <v>$$$$$$</v>
      </c>
    </row>
    <row r="296" spans="1:3" ht="14.4" x14ac:dyDescent="0.3">
      <c r="A296" s="4" t="s">
        <v>1091</v>
      </c>
      <c r="B296" s="7">
        <v>358</v>
      </c>
      <c r="C296" s="2" t="str">
        <f t="shared" si="4"/>
        <v>$$$</v>
      </c>
    </row>
    <row r="297" spans="1:3" ht="14.4" x14ac:dyDescent="0.3">
      <c r="A297" s="4" t="s">
        <v>1092</v>
      </c>
      <c r="B297" s="7">
        <v>411</v>
      </c>
      <c r="C297" s="2" t="str">
        <f t="shared" si="4"/>
        <v>$$$$</v>
      </c>
    </row>
    <row r="298" spans="1:3" ht="14.4" x14ac:dyDescent="0.3">
      <c r="A298" s="4" t="s">
        <v>1093</v>
      </c>
      <c r="B298" s="7">
        <v>737</v>
      </c>
      <c r="C298" s="2" t="str">
        <f t="shared" si="4"/>
        <v>$$$$$$$</v>
      </c>
    </row>
    <row r="299" spans="1:3" ht="14.4" x14ac:dyDescent="0.3">
      <c r="A299" s="4" t="s">
        <v>1094</v>
      </c>
      <c r="B299" s="7">
        <v>974</v>
      </c>
      <c r="C299" s="2" t="str">
        <f t="shared" si="4"/>
        <v>$$$$$$$$$</v>
      </c>
    </row>
    <row r="300" spans="1:3" ht="14.4" x14ac:dyDescent="0.3">
      <c r="A300" s="4" t="s">
        <v>1095</v>
      </c>
      <c r="B300" s="7">
        <v>531</v>
      </c>
      <c r="C300" s="2" t="str">
        <f t="shared" si="4"/>
        <v>$$$$$</v>
      </c>
    </row>
    <row r="301" spans="1:3" ht="14.4" x14ac:dyDescent="0.3">
      <c r="A301" s="4" t="s">
        <v>1096</v>
      </c>
      <c r="B301" s="7">
        <v>122</v>
      </c>
      <c r="C301" s="2" t="str">
        <f t="shared" si="4"/>
        <v>$</v>
      </c>
    </row>
    <row r="302" spans="1:3" ht="14.4" x14ac:dyDescent="0.3">
      <c r="A302" s="4" t="s">
        <v>1097</v>
      </c>
      <c r="B302" s="7">
        <v>252</v>
      </c>
      <c r="C302" s="2" t="str">
        <f t="shared" si="4"/>
        <v>$$</v>
      </c>
    </row>
    <row r="303" spans="1:3" ht="14.4" x14ac:dyDescent="0.3">
      <c r="A303" s="4" t="s">
        <v>1098</v>
      </c>
      <c r="B303" s="7">
        <v>850</v>
      </c>
      <c r="C303" s="2" t="str">
        <f t="shared" si="4"/>
        <v>$$$$$$$$</v>
      </c>
    </row>
    <row r="304" spans="1:3" ht="14.4" x14ac:dyDescent="0.3">
      <c r="A304" s="4" t="s">
        <v>1099</v>
      </c>
      <c r="B304" s="7">
        <v>526</v>
      </c>
      <c r="C304" s="2" t="str">
        <f t="shared" si="4"/>
        <v>$$$$$</v>
      </c>
    </row>
    <row r="305" spans="1:3" ht="14.4" x14ac:dyDescent="0.3">
      <c r="A305" s="4" t="s">
        <v>1100</v>
      </c>
      <c r="B305" s="7">
        <v>986</v>
      </c>
      <c r="C305" s="2" t="str">
        <f t="shared" si="4"/>
        <v>$$$$$$$$$</v>
      </c>
    </row>
    <row r="306" spans="1:3" ht="14.4" x14ac:dyDescent="0.3">
      <c r="A306" s="4" t="s">
        <v>1101</v>
      </c>
      <c r="B306" s="7">
        <v>680</v>
      </c>
      <c r="C306" s="2" t="str">
        <f t="shared" si="4"/>
        <v>$$$$$$</v>
      </c>
    </row>
    <row r="307" spans="1:3" ht="14.4" x14ac:dyDescent="0.3">
      <c r="A307" s="4" t="s">
        <v>1102</v>
      </c>
      <c r="B307" s="7">
        <v>338</v>
      </c>
      <c r="C307" s="2" t="str">
        <f t="shared" si="4"/>
        <v>$$$</v>
      </c>
    </row>
    <row r="308" spans="1:3" ht="14.4" x14ac:dyDescent="0.3">
      <c r="A308" s="4" t="s">
        <v>1103</v>
      </c>
      <c r="B308" s="7">
        <v>180</v>
      </c>
      <c r="C308" s="2" t="str">
        <f t="shared" si="4"/>
        <v>$</v>
      </c>
    </row>
    <row r="309" spans="1:3" ht="14.4" x14ac:dyDescent="0.3">
      <c r="A309" s="4" t="s">
        <v>1104</v>
      </c>
      <c r="B309" s="7">
        <v>229</v>
      </c>
      <c r="C309" s="2" t="str">
        <f t="shared" si="4"/>
        <v>$$</v>
      </c>
    </row>
    <row r="310" spans="1:3" ht="14.4" x14ac:dyDescent="0.3">
      <c r="A310" s="4" t="s">
        <v>1105</v>
      </c>
      <c r="B310" s="7">
        <v>997</v>
      </c>
      <c r="C310" s="2" t="str">
        <f t="shared" si="4"/>
        <v>$$$$$$$$$</v>
      </c>
    </row>
    <row r="311" spans="1:3" ht="14.4" x14ac:dyDescent="0.3">
      <c r="A311" s="4" t="s">
        <v>1106</v>
      </c>
      <c r="B311" s="7">
        <v>49</v>
      </c>
      <c r="C311" s="2" t="str">
        <f t="shared" si="4"/>
        <v/>
      </c>
    </row>
    <row r="312" spans="1:3" ht="14.4" x14ac:dyDescent="0.3">
      <c r="A312" s="4" t="s">
        <v>1107</v>
      </c>
      <c r="B312" s="7">
        <v>859</v>
      </c>
      <c r="C312" s="2" t="str">
        <f t="shared" si="4"/>
        <v>$$$$$$$$</v>
      </c>
    </row>
    <row r="313" spans="1:3" ht="14.4" x14ac:dyDescent="0.3">
      <c r="A313" s="4" t="s">
        <v>1108</v>
      </c>
      <c r="B313" s="7">
        <v>430</v>
      </c>
      <c r="C313" s="2" t="str">
        <f t="shared" si="4"/>
        <v>$$$$</v>
      </c>
    </row>
    <row r="314" spans="1:3" ht="14.4" x14ac:dyDescent="0.3">
      <c r="A314" s="4" t="s">
        <v>1109</v>
      </c>
      <c r="B314" s="7">
        <v>74</v>
      </c>
      <c r="C314" s="2" t="str">
        <f t="shared" si="4"/>
        <v/>
      </c>
    </row>
    <row r="315" spans="1:3" ht="14.4" x14ac:dyDescent="0.3">
      <c r="A315" s="4" t="s">
        <v>1110</v>
      </c>
      <c r="B315" s="7">
        <v>590</v>
      </c>
      <c r="C315" s="2" t="str">
        <f t="shared" si="4"/>
        <v>$$$$$</v>
      </c>
    </row>
    <row r="316" spans="1:3" ht="14.4" x14ac:dyDescent="0.3">
      <c r="A316" s="4" t="s">
        <v>1111</v>
      </c>
      <c r="B316" s="7">
        <v>882</v>
      </c>
      <c r="C316" s="2" t="str">
        <f t="shared" si="4"/>
        <v>$$$$$$$$</v>
      </c>
    </row>
    <row r="317" spans="1:3" ht="14.4" x14ac:dyDescent="0.3">
      <c r="A317" s="4" t="s">
        <v>1112</v>
      </c>
      <c r="B317" s="7">
        <v>100</v>
      </c>
      <c r="C317" s="2" t="str">
        <f t="shared" si="4"/>
        <v>$</v>
      </c>
    </row>
    <row r="318" spans="1:3" ht="14.4" x14ac:dyDescent="0.3">
      <c r="A318" s="4" t="s">
        <v>1113</v>
      </c>
      <c r="B318" s="7">
        <v>515</v>
      </c>
      <c r="C318" s="2" t="str">
        <f t="shared" si="4"/>
        <v>$$$$$</v>
      </c>
    </row>
    <row r="319" spans="1:3" ht="14.4" x14ac:dyDescent="0.3">
      <c r="A319" s="4" t="s">
        <v>1114</v>
      </c>
      <c r="B319" s="7">
        <v>899</v>
      </c>
      <c r="C319" s="2" t="str">
        <f t="shared" si="4"/>
        <v>$$$$$$$$</v>
      </c>
    </row>
    <row r="320" spans="1:3" ht="14.4" x14ac:dyDescent="0.3">
      <c r="A320" s="4" t="s">
        <v>1115</v>
      </c>
      <c r="B320" s="7">
        <v>863</v>
      </c>
      <c r="C320" s="2" t="str">
        <f t="shared" si="4"/>
        <v>$$$$$$$$</v>
      </c>
    </row>
    <row r="321" spans="1:3" ht="14.4" x14ac:dyDescent="0.3">
      <c r="A321" s="4" t="s">
        <v>1116</v>
      </c>
      <c r="B321" s="7">
        <v>738</v>
      </c>
      <c r="C321" s="2" t="str">
        <f t="shared" si="4"/>
        <v>$$$$$$$</v>
      </c>
    </row>
    <row r="322" spans="1:3" ht="14.4" x14ac:dyDescent="0.3">
      <c r="A322" s="4" t="s">
        <v>1117</v>
      </c>
      <c r="B322" s="7">
        <v>509</v>
      </c>
      <c r="C322" s="2" t="str">
        <f t="shared" si="4"/>
        <v>$$$$$</v>
      </c>
    </row>
    <row r="323" spans="1:3" ht="14.4" x14ac:dyDescent="0.3">
      <c r="A323" s="4" t="s">
        <v>1118</v>
      </c>
      <c r="B323" s="7">
        <v>52</v>
      </c>
      <c r="C323" s="2" t="str">
        <f t="shared" ref="C323:C386" si="5">REPT("$",B323/100)</f>
        <v/>
      </c>
    </row>
    <row r="324" spans="1:3" ht="14.4" x14ac:dyDescent="0.3">
      <c r="A324" s="4" t="s">
        <v>1119</v>
      </c>
      <c r="B324" s="7">
        <v>227</v>
      </c>
      <c r="C324" s="2" t="str">
        <f t="shared" si="5"/>
        <v>$$</v>
      </c>
    </row>
    <row r="325" spans="1:3" ht="14.4" x14ac:dyDescent="0.3">
      <c r="A325" s="4" t="s">
        <v>1120</v>
      </c>
      <c r="B325" s="7">
        <v>315</v>
      </c>
      <c r="C325" s="2" t="str">
        <f t="shared" si="5"/>
        <v>$$$</v>
      </c>
    </row>
    <row r="326" spans="1:3" ht="14.4" x14ac:dyDescent="0.3">
      <c r="A326" s="4" t="s">
        <v>1121</v>
      </c>
      <c r="B326" s="7">
        <v>820</v>
      </c>
      <c r="C326" s="2" t="str">
        <f t="shared" si="5"/>
        <v>$$$$$$$$</v>
      </c>
    </row>
    <row r="327" spans="1:3" ht="14.4" x14ac:dyDescent="0.3">
      <c r="A327" s="4" t="s">
        <v>1122</v>
      </c>
      <c r="B327" s="7">
        <v>624</v>
      </c>
      <c r="C327" s="2" t="str">
        <f t="shared" si="5"/>
        <v>$$$$$$</v>
      </c>
    </row>
    <row r="328" spans="1:3" ht="14.4" x14ac:dyDescent="0.3">
      <c r="A328" s="4" t="s">
        <v>1123</v>
      </c>
      <c r="B328" s="7">
        <v>431</v>
      </c>
      <c r="C328" s="2" t="str">
        <f t="shared" si="5"/>
        <v>$$$$</v>
      </c>
    </row>
    <row r="329" spans="1:3" ht="14.4" x14ac:dyDescent="0.3">
      <c r="A329" s="4" t="s">
        <v>1124</v>
      </c>
      <c r="B329" s="7">
        <v>315</v>
      </c>
      <c r="C329" s="2" t="str">
        <f t="shared" si="5"/>
        <v>$$$</v>
      </c>
    </row>
    <row r="330" spans="1:3" ht="14.4" x14ac:dyDescent="0.3">
      <c r="A330" s="4" t="s">
        <v>1125</v>
      </c>
      <c r="B330" s="7">
        <v>537</v>
      </c>
      <c r="C330" s="2" t="str">
        <f t="shared" si="5"/>
        <v>$$$$$</v>
      </c>
    </row>
    <row r="331" spans="1:3" ht="14.4" x14ac:dyDescent="0.3">
      <c r="A331" s="4" t="s">
        <v>1126</v>
      </c>
      <c r="B331" s="7">
        <v>722</v>
      </c>
      <c r="C331" s="2" t="str">
        <f t="shared" si="5"/>
        <v>$$$$$$$</v>
      </c>
    </row>
    <row r="332" spans="1:3" ht="14.4" x14ac:dyDescent="0.3">
      <c r="A332" s="4" t="s">
        <v>1127</v>
      </c>
      <c r="B332" s="7">
        <v>462</v>
      </c>
      <c r="C332" s="2" t="str">
        <f t="shared" si="5"/>
        <v>$$$$</v>
      </c>
    </row>
    <row r="333" spans="1:3" ht="14.4" x14ac:dyDescent="0.3">
      <c r="A333" s="4" t="s">
        <v>1128</v>
      </c>
      <c r="B333" s="7">
        <v>573</v>
      </c>
      <c r="C333" s="2" t="str">
        <f t="shared" si="5"/>
        <v>$$$$$</v>
      </c>
    </row>
    <row r="334" spans="1:3" ht="14.4" x14ac:dyDescent="0.3">
      <c r="A334" s="4" t="s">
        <v>1129</v>
      </c>
      <c r="B334" s="7">
        <v>89</v>
      </c>
      <c r="C334" s="2" t="str">
        <f t="shared" si="5"/>
        <v/>
      </c>
    </row>
    <row r="335" spans="1:3" ht="14.4" x14ac:dyDescent="0.3">
      <c r="A335" s="4" t="s">
        <v>1130</v>
      </c>
      <c r="B335" s="7">
        <v>383</v>
      </c>
      <c r="C335" s="2" t="str">
        <f t="shared" si="5"/>
        <v>$$$</v>
      </c>
    </row>
    <row r="336" spans="1:3" ht="14.4" x14ac:dyDescent="0.3">
      <c r="A336" s="4" t="s">
        <v>1131</v>
      </c>
      <c r="B336" s="7">
        <v>77</v>
      </c>
      <c r="C336" s="2" t="str">
        <f t="shared" si="5"/>
        <v/>
      </c>
    </row>
    <row r="337" spans="1:3" ht="14.4" x14ac:dyDescent="0.3">
      <c r="A337" s="4" t="s">
        <v>1132</v>
      </c>
      <c r="B337" s="7">
        <v>399</v>
      </c>
      <c r="C337" s="2" t="str">
        <f t="shared" si="5"/>
        <v>$$$</v>
      </c>
    </row>
    <row r="338" spans="1:3" ht="14.4" x14ac:dyDescent="0.3">
      <c r="A338" s="4" t="s">
        <v>1133</v>
      </c>
      <c r="B338" s="7">
        <v>88</v>
      </c>
      <c r="C338" s="2" t="str">
        <f t="shared" si="5"/>
        <v/>
      </c>
    </row>
    <row r="339" spans="1:3" ht="14.4" x14ac:dyDescent="0.3">
      <c r="A339" s="4" t="s">
        <v>1134</v>
      </c>
      <c r="B339" s="7">
        <v>73</v>
      </c>
      <c r="C339" s="2" t="str">
        <f t="shared" si="5"/>
        <v/>
      </c>
    </row>
    <row r="340" spans="1:3" ht="14.4" x14ac:dyDescent="0.3">
      <c r="A340" s="4" t="s">
        <v>1135</v>
      </c>
      <c r="B340" s="7">
        <v>819</v>
      </c>
      <c r="C340" s="2" t="str">
        <f t="shared" si="5"/>
        <v>$$$$$$$$</v>
      </c>
    </row>
    <row r="341" spans="1:3" ht="14.4" x14ac:dyDescent="0.3">
      <c r="A341" s="4" t="s">
        <v>1136</v>
      </c>
      <c r="B341" s="7">
        <v>661</v>
      </c>
      <c r="C341" s="2" t="str">
        <f t="shared" si="5"/>
        <v>$$$$$$</v>
      </c>
    </row>
    <row r="342" spans="1:3" ht="14.4" x14ac:dyDescent="0.3">
      <c r="A342" s="4" t="s">
        <v>1137</v>
      </c>
      <c r="B342" s="7">
        <v>6</v>
      </c>
      <c r="C342" s="2" t="str">
        <f t="shared" si="5"/>
        <v/>
      </c>
    </row>
    <row r="343" spans="1:3" ht="14.4" x14ac:dyDescent="0.3">
      <c r="A343" s="4" t="s">
        <v>1138</v>
      </c>
      <c r="B343" s="7">
        <v>689</v>
      </c>
      <c r="C343" s="2" t="str">
        <f t="shared" si="5"/>
        <v>$$$$$$</v>
      </c>
    </row>
    <row r="344" spans="1:3" ht="14.4" x14ac:dyDescent="0.3">
      <c r="A344" s="4" t="s">
        <v>1139</v>
      </c>
      <c r="B344" s="7">
        <v>297</v>
      </c>
      <c r="C344" s="2" t="str">
        <f t="shared" si="5"/>
        <v>$$</v>
      </c>
    </row>
    <row r="345" spans="1:3" ht="14.4" x14ac:dyDescent="0.3">
      <c r="A345" s="4" t="s">
        <v>1140</v>
      </c>
      <c r="B345" s="7">
        <v>791</v>
      </c>
      <c r="C345" s="2" t="str">
        <f t="shared" si="5"/>
        <v>$$$$$$$</v>
      </c>
    </row>
    <row r="346" spans="1:3" ht="14.4" x14ac:dyDescent="0.3">
      <c r="A346" s="4" t="s">
        <v>1141</v>
      </c>
      <c r="B346" s="7">
        <v>318</v>
      </c>
      <c r="C346" s="2" t="str">
        <f t="shared" si="5"/>
        <v>$$$</v>
      </c>
    </row>
    <row r="347" spans="1:3" ht="14.4" x14ac:dyDescent="0.3">
      <c r="A347" s="4" t="s">
        <v>1142</v>
      </c>
      <c r="B347" s="7">
        <v>578</v>
      </c>
      <c r="C347" s="2" t="str">
        <f t="shared" si="5"/>
        <v>$$$$$</v>
      </c>
    </row>
    <row r="348" spans="1:3" ht="14.4" x14ac:dyDescent="0.3">
      <c r="A348" s="4" t="s">
        <v>1143</v>
      </c>
      <c r="B348" s="7">
        <v>375</v>
      </c>
      <c r="C348" s="2" t="str">
        <f t="shared" si="5"/>
        <v>$$$</v>
      </c>
    </row>
    <row r="349" spans="1:3" ht="14.4" x14ac:dyDescent="0.3">
      <c r="A349" s="4" t="s">
        <v>1144</v>
      </c>
      <c r="B349" s="7">
        <v>943</v>
      </c>
      <c r="C349" s="2" t="str">
        <f t="shared" si="5"/>
        <v>$$$$$$$$$</v>
      </c>
    </row>
    <row r="350" spans="1:3" ht="14.4" x14ac:dyDescent="0.3">
      <c r="A350" s="4" t="s">
        <v>1145</v>
      </c>
      <c r="B350" s="7">
        <v>726</v>
      </c>
      <c r="C350" s="2" t="str">
        <f t="shared" si="5"/>
        <v>$$$$$$$</v>
      </c>
    </row>
    <row r="351" spans="1:3" ht="14.4" x14ac:dyDescent="0.3">
      <c r="A351" s="4" t="s">
        <v>1146</v>
      </c>
      <c r="B351" s="7">
        <v>794</v>
      </c>
      <c r="C351" s="2" t="str">
        <f t="shared" si="5"/>
        <v>$$$$$$$</v>
      </c>
    </row>
    <row r="352" spans="1:3" ht="14.4" x14ac:dyDescent="0.3">
      <c r="A352" s="4" t="s">
        <v>1147</v>
      </c>
      <c r="B352" s="7">
        <v>909</v>
      </c>
      <c r="C352" s="2" t="str">
        <f t="shared" si="5"/>
        <v>$$$$$$$$$</v>
      </c>
    </row>
    <row r="353" spans="1:3" ht="14.4" x14ac:dyDescent="0.3">
      <c r="A353" s="4" t="s">
        <v>1148</v>
      </c>
      <c r="B353" s="7">
        <v>883</v>
      </c>
      <c r="C353" s="2" t="str">
        <f t="shared" si="5"/>
        <v>$$$$$$$$</v>
      </c>
    </row>
    <row r="354" spans="1:3" ht="14.4" x14ac:dyDescent="0.3">
      <c r="A354" s="4" t="s">
        <v>1149</v>
      </c>
      <c r="B354" s="7">
        <v>316</v>
      </c>
      <c r="C354" s="2" t="str">
        <f t="shared" si="5"/>
        <v>$$$</v>
      </c>
    </row>
    <row r="355" spans="1:3" ht="14.4" x14ac:dyDescent="0.3">
      <c r="A355" s="4" t="s">
        <v>1150</v>
      </c>
      <c r="B355" s="7">
        <v>7</v>
      </c>
      <c r="C355" s="2" t="str">
        <f t="shared" si="5"/>
        <v/>
      </c>
    </row>
    <row r="356" spans="1:3" ht="14.4" x14ac:dyDescent="0.3">
      <c r="A356" s="4" t="s">
        <v>1151</v>
      </c>
      <c r="B356" s="7">
        <v>398</v>
      </c>
      <c r="C356" s="2" t="str">
        <f t="shared" si="5"/>
        <v>$$$</v>
      </c>
    </row>
    <row r="357" spans="1:3" ht="14.4" x14ac:dyDescent="0.3">
      <c r="A357" s="4" t="s">
        <v>1152</v>
      </c>
      <c r="B357" s="7">
        <v>499</v>
      </c>
      <c r="C357" s="2" t="str">
        <f t="shared" si="5"/>
        <v>$$$$</v>
      </c>
    </row>
    <row r="358" spans="1:3" ht="14.4" x14ac:dyDescent="0.3">
      <c r="A358" s="4" t="s">
        <v>1153</v>
      </c>
      <c r="B358" s="7">
        <v>989</v>
      </c>
      <c r="C358" s="2" t="str">
        <f t="shared" si="5"/>
        <v>$$$$$$$$$</v>
      </c>
    </row>
    <row r="359" spans="1:3" ht="14.4" x14ac:dyDescent="0.3">
      <c r="A359" s="4" t="s">
        <v>1154</v>
      </c>
      <c r="B359" s="7">
        <v>234</v>
      </c>
      <c r="C359" s="2" t="str">
        <f t="shared" si="5"/>
        <v>$$</v>
      </c>
    </row>
    <row r="360" spans="1:3" ht="14.4" x14ac:dyDescent="0.3">
      <c r="A360" s="4" t="s">
        <v>1155</v>
      </c>
      <c r="B360" s="7">
        <v>468</v>
      </c>
      <c r="C360" s="2" t="str">
        <f t="shared" si="5"/>
        <v>$$$$</v>
      </c>
    </row>
    <row r="361" spans="1:3" ht="14.4" x14ac:dyDescent="0.3">
      <c r="A361" s="4" t="s">
        <v>1156</v>
      </c>
      <c r="B361" s="7">
        <v>255</v>
      </c>
      <c r="C361" s="2" t="str">
        <f t="shared" si="5"/>
        <v>$$</v>
      </c>
    </row>
    <row r="362" spans="1:3" ht="14.4" x14ac:dyDescent="0.3">
      <c r="A362" s="4" t="s">
        <v>1157</v>
      </c>
      <c r="B362" s="7">
        <v>332</v>
      </c>
      <c r="C362" s="2" t="str">
        <f t="shared" si="5"/>
        <v>$$$</v>
      </c>
    </row>
    <row r="363" spans="1:3" ht="14.4" x14ac:dyDescent="0.3">
      <c r="A363" s="4" t="s">
        <v>1158</v>
      </c>
      <c r="B363" s="7">
        <v>830</v>
      </c>
      <c r="C363" s="2" t="str">
        <f t="shared" si="5"/>
        <v>$$$$$$$$</v>
      </c>
    </row>
    <row r="364" spans="1:3" ht="14.4" x14ac:dyDescent="0.3">
      <c r="A364" s="4" t="s">
        <v>1159</v>
      </c>
      <c r="B364" s="7">
        <v>413</v>
      </c>
      <c r="C364" s="2" t="str">
        <f t="shared" si="5"/>
        <v>$$$$</v>
      </c>
    </row>
    <row r="365" spans="1:3" ht="14.4" x14ac:dyDescent="0.3">
      <c r="A365" s="4" t="s">
        <v>1160</v>
      </c>
      <c r="B365" s="7">
        <v>289</v>
      </c>
      <c r="C365" s="2" t="str">
        <f t="shared" si="5"/>
        <v>$$</v>
      </c>
    </row>
    <row r="366" spans="1:3" ht="14.4" x14ac:dyDescent="0.3">
      <c r="A366" s="4" t="s">
        <v>1161</v>
      </c>
      <c r="B366" s="7">
        <v>175</v>
      </c>
      <c r="C366" s="2" t="str">
        <f t="shared" si="5"/>
        <v>$</v>
      </c>
    </row>
    <row r="367" spans="1:3" ht="14.4" x14ac:dyDescent="0.3">
      <c r="A367" s="4" t="s">
        <v>1162</v>
      </c>
      <c r="B367" s="7">
        <v>980</v>
      </c>
      <c r="C367" s="2" t="str">
        <f t="shared" si="5"/>
        <v>$$$$$$$$$</v>
      </c>
    </row>
    <row r="368" spans="1:3" ht="14.4" x14ac:dyDescent="0.3">
      <c r="A368" s="4" t="s">
        <v>1163</v>
      </c>
      <c r="B368" s="7">
        <v>105</v>
      </c>
      <c r="C368" s="2" t="str">
        <f t="shared" si="5"/>
        <v>$</v>
      </c>
    </row>
    <row r="369" spans="1:3" ht="14.4" x14ac:dyDescent="0.3">
      <c r="A369" s="4" t="s">
        <v>1164</v>
      </c>
      <c r="B369" s="7">
        <v>318</v>
      </c>
      <c r="C369" s="2" t="str">
        <f t="shared" si="5"/>
        <v>$$$</v>
      </c>
    </row>
    <row r="370" spans="1:3" ht="14.4" x14ac:dyDescent="0.3">
      <c r="A370" s="4" t="s">
        <v>1165</v>
      </c>
      <c r="B370" s="7">
        <v>411</v>
      </c>
      <c r="C370" s="2" t="str">
        <f t="shared" si="5"/>
        <v>$$$$</v>
      </c>
    </row>
    <row r="371" spans="1:3" ht="14.4" x14ac:dyDescent="0.3">
      <c r="A371" s="4" t="s">
        <v>1166</v>
      </c>
      <c r="B371" s="7">
        <v>282</v>
      </c>
      <c r="C371" s="2" t="str">
        <f t="shared" si="5"/>
        <v>$$</v>
      </c>
    </row>
    <row r="372" spans="1:3" ht="14.4" x14ac:dyDescent="0.3">
      <c r="A372" s="4" t="s">
        <v>1167</v>
      </c>
      <c r="B372" s="7">
        <v>468</v>
      </c>
      <c r="C372" s="2" t="str">
        <f t="shared" si="5"/>
        <v>$$$$</v>
      </c>
    </row>
    <row r="373" spans="1:3" ht="14.4" x14ac:dyDescent="0.3">
      <c r="A373" s="4" t="s">
        <v>1168</v>
      </c>
      <c r="B373" s="7">
        <v>984</v>
      </c>
      <c r="C373" s="2" t="str">
        <f t="shared" si="5"/>
        <v>$$$$$$$$$</v>
      </c>
    </row>
    <row r="374" spans="1:3" ht="14.4" x14ac:dyDescent="0.3">
      <c r="A374" s="4" t="s">
        <v>1169</v>
      </c>
      <c r="B374" s="7">
        <v>330</v>
      </c>
      <c r="C374" s="2" t="str">
        <f t="shared" si="5"/>
        <v>$$$</v>
      </c>
    </row>
    <row r="375" spans="1:3" ht="14.4" x14ac:dyDescent="0.3">
      <c r="A375" s="4" t="s">
        <v>1170</v>
      </c>
      <c r="B375" s="7">
        <v>869</v>
      </c>
      <c r="C375" s="2" t="str">
        <f t="shared" si="5"/>
        <v>$$$$$$$$</v>
      </c>
    </row>
    <row r="376" spans="1:3" ht="14.4" x14ac:dyDescent="0.3">
      <c r="A376" s="4" t="s">
        <v>1171</v>
      </c>
      <c r="B376" s="7">
        <v>384</v>
      </c>
      <c r="C376" s="2" t="str">
        <f t="shared" si="5"/>
        <v>$$$</v>
      </c>
    </row>
    <row r="377" spans="1:3" ht="14.4" x14ac:dyDescent="0.3">
      <c r="A377" s="4" t="s">
        <v>1172</v>
      </c>
      <c r="B377" s="7">
        <v>790</v>
      </c>
      <c r="C377" s="2" t="str">
        <f t="shared" si="5"/>
        <v>$$$$$$$</v>
      </c>
    </row>
    <row r="378" spans="1:3" ht="14.4" x14ac:dyDescent="0.3">
      <c r="A378" s="4" t="s">
        <v>1173</v>
      </c>
      <c r="B378" s="7">
        <v>630</v>
      </c>
      <c r="C378" s="2" t="str">
        <f t="shared" si="5"/>
        <v>$$$$$$</v>
      </c>
    </row>
    <row r="379" spans="1:3" ht="14.4" x14ac:dyDescent="0.3">
      <c r="A379" s="4" t="s">
        <v>1174</v>
      </c>
      <c r="B379" s="7">
        <v>908</v>
      </c>
      <c r="C379" s="2" t="str">
        <f t="shared" si="5"/>
        <v>$$$$$$$$$</v>
      </c>
    </row>
    <row r="380" spans="1:3" ht="14.4" x14ac:dyDescent="0.3">
      <c r="A380" s="4" t="s">
        <v>1175</v>
      </c>
      <c r="B380" s="7">
        <v>295</v>
      </c>
      <c r="C380" s="2" t="str">
        <f t="shared" si="5"/>
        <v>$$</v>
      </c>
    </row>
    <row r="381" spans="1:3" ht="14.4" x14ac:dyDescent="0.3">
      <c r="A381" s="4" t="s">
        <v>1176</v>
      </c>
      <c r="B381" s="7">
        <v>321</v>
      </c>
      <c r="C381" s="2" t="str">
        <f t="shared" si="5"/>
        <v>$$$</v>
      </c>
    </row>
    <row r="382" spans="1:3" ht="14.4" x14ac:dyDescent="0.3">
      <c r="A382" s="4" t="s">
        <v>1177</v>
      </c>
      <c r="B382" s="7">
        <v>452</v>
      </c>
      <c r="C382" s="2" t="str">
        <f t="shared" si="5"/>
        <v>$$$$</v>
      </c>
    </row>
    <row r="383" spans="1:3" ht="14.4" x14ac:dyDescent="0.3">
      <c r="A383" s="4" t="s">
        <v>1178</v>
      </c>
      <c r="B383" s="7">
        <v>279</v>
      </c>
      <c r="C383" s="2" t="str">
        <f t="shared" si="5"/>
        <v>$$</v>
      </c>
    </row>
    <row r="384" spans="1:3" ht="14.4" x14ac:dyDescent="0.3">
      <c r="A384" s="4" t="s">
        <v>1179</v>
      </c>
      <c r="B384" s="7">
        <v>32</v>
      </c>
      <c r="C384" s="2" t="str">
        <f t="shared" si="5"/>
        <v/>
      </c>
    </row>
    <row r="385" spans="1:3" ht="14.4" x14ac:dyDescent="0.3">
      <c r="A385" s="4" t="s">
        <v>1180</v>
      </c>
      <c r="B385" s="7">
        <v>980</v>
      </c>
      <c r="C385" s="2" t="str">
        <f t="shared" si="5"/>
        <v>$$$$$$$$$</v>
      </c>
    </row>
    <row r="386" spans="1:3" ht="14.4" x14ac:dyDescent="0.3">
      <c r="A386" s="4" t="s">
        <v>1181</v>
      </c>
      <c r="B386" s="7">
        <v>318</v>
      </c>
      <c r="C386" s="2" t="str">
        <f t="shared" si="5"/>
        <v>$$$</v>
      </c>
    </row>
    <row r="387" spans="1:3" ht="14.4" x14ac:dyDescent="0.3">
      <c r="A387" s="4" t="s">
        <v>1182</v>
      </c>
      <c r="B387" s="7">
        <v>653</v>
      </c>
      <c r="C387" s="2" t="str">
        <f t="shared" ref="C387:C450" si="6">REPT("$",B387/100)</f>
        <v>$$$$$$</v>
      </c>
    </row>
    <row r="388" spans="1:3" ht="14.4" x14ac:dyDescent="0.3">
      <c r="A388" s="4" t="s">
        <v>1183</v>
      </c>
      <c r="B388" s="7">
        <v>374</v>
      </c>
      <c r="C388" s="2" t="str">
        <f t="shared" si="6"/>
        <v>$$$</v>
      </c>
    </row>
    <row r="389" spans="1:3" ht="14.4" x14ac:dyDescent="0.3">
      <c r="A389" s="4" t="s">
        <v>1184</v>
      </c>
      <c r="B389" s="7">
        <v>136</v>
      </c>
      <c r="C389" s="2" t="str">
        <f t="shared" si="6"/>
        <v>$</v>
      </c>
    </row>
    <row r="390" spans="1:3" ht="14.4" x14ac:dyDescent="0.3">
      <c r="A390" s="4" t="s">
        <v>1185</v>
      </c>
      <c r="B390" s="7">
        <v>561</v>
      </c>
      <c r="C390" s="2" t="str">
        <f t="shared" si="6"/>
        <v>$$$$$</v>
      </c>
    </row>
    <row r="391" spans="1:3" ht="14.4" x14ac:dyDescent="0.3">
      <c r="A391" s="4" t="s">
        <v>1186</v>
      </c>
      <c r="B391" s="7">
        <v>222</v>
      </c>
      <c r="C391" s="2" t="str">
        <f t="shared" si="6"/>
        <v>$$</v>
      </c>
    </row>
    <row r="392" spans="1:3" ht="14.4" x14ac:dyDescent="0.3">
      <c r="A392" s="4" t="s">
        <v>1187</v>
      </c>
      <c r="B392" s="7">
        <v>629</v>
      </c>
      <c r="C392" s="2" t="str">
        <f t="shared" si="6"/>
        <v>$$$$$$</v>
      </c>
    </row>
    <row r="393" spans="1:3" ht="14.4" x14ac:dyDescent="0.3">
      <c r="A393" s="4" t="s">
        <v>1188</v>
      </c>
      <c r="B393" s="7">
        <v>147</v>
      </c>
      <c r="C393" s="2" t="str">
        <f t="shared" si="6"/>
        <v>$</v>
      </c>
    </row>
    <row r="394" spans="1:3" ht="14.4" x14ac:dyDescent="0.3">
      <c r="A394" s="4" t="s">
        <v>1189</v>
      </c>
      <c r="B394" s="7">
        <v>932</v>
      </c>
      <c r="C394" s="2" t="str">
        <f t="shared" si="6"/>
        <v>$$$$$$$$$</v>
      </c>
    </row>
    <row r="395" spans="1:3" ht="14.4" x14ac:dyDescent="0.3">
      <c r="A395" s="4" t="s">
        <v>1190</v>
      </c>
      <c r="B395" s="7">
        <v>826</v>
      </c>
      <c r="C395" s="2" t="str">
        <f t="shared" si="6"/>
        <v>$$$$$$$$</v>
      </c>
    </row>
    <row r="396" spans="1:3" ht="14.4" x14ac:dyDescent="0.3">
      <c r="A396" s="4" t="s">
        <v>1191</v>
      </c>
      <c r="B396" s="7">
        <v>97</v>
      </c>
      <c r="C396" s="2" t="str">
        <f t="shared" si="6"/>
        <v/>
      </c>
    </row>
    <row r="397" spans="1:3" ht="14.4" x14ac:dyDescent="0.3">
      <c r="A397" s="4" t="s">
        <v>1192</v>
      </c>
      <c r="B397" s="7">
        <v>433</v>
      </c>
      <c r="C397" s="2" t="str">
        <f t="shared" si="6"/>
        <v>$$$$</v>
      </c>
    </row>
    <row r="398" spans="1:3" ht="14.4" x14ac:dyDescent="0.3">
      <c r="A398" s="4" t="s">
        <v>1193</v>
      </c>
      <c r="B398" s="7">
        <v>363</v>
      </c>
      <c r="C398" s="2" t="str">
        <f t="shared" si="6"/>
        <v>$$$</v>
      </c>
    </row>
    <row r="399" spans="1:3" ht="14.4" x14ac:dyDescent="0.3">
      <c r="A399" s="4" t="s">
        <v>1194</v>
      </c>
      <c r="B399" s="7">
        <v>306</v>
      </c>
      <c r="C399" s="2" t="str">
        <f t="shared" si="6"/>
        <v>$$$</v>
      </c>
    </row>
    <row r="400" spans="1:3" ht="14.4" x14ac:dyDescent="0.3">
      <c r="A400" s="4" t="s">
        <v>1195</v>
      </c>
      <c r="B400" s="7">
        <v>616</v>
      </c>
      <c r="C400" s="2" t="str">
        <f t="shared" si="6"/>
        <v>$$$$$$</v>
      </c>
    </row>
    <row r="401" spans="1:3" ht="14.4" x14ac:dyDescent="0.3">
      <c r="A401" s="4" t="s">
        <v>1196</v>
      </c>
      <c r="B401" s="7">
        <v>448</v>
      </c>
      <c r="C401" s="2" t="str">
        <f t="shared" si="6"/>
        <v>$$$$</v>
      </c>
    </row>
    <row r="402" spans="1:3" ht="14.4" x14ac:dyDescent="0.3">
      <c r="A402" s="4" t="s">
        <v>997</v>
      </c>
      <c r="B402" s="7">
        <v>502</v>
      </c>
      <c r="C402" s="2" t="str">
        <f t="shared" si="6"/>
        <v>$$$$$</v>
      </c>
    </row>
    <row r="403" spans="1:3" ht="14.4" x14ac:dyDescent="0.3">
      <c r="A403" s="4" t="s">
        <v>998</v>
      </c>
      <c r="B403" s="7">
        <v>479</v>
      </c>
      <c r="C403" s="2" t="str">
        <f t="shared" si="6"/>
        <v>$$$$</v>
      </c>
    </row>
    <row r="404" spans="1:3" ht="14.4" x14ac:dyDescent="0.3">
      <c r="A404" s="4" t="s">
        <v>999</v>
      </c>
      <c r="B404" s="7">
        <v>514</v>
      </c>
      <c r="C404" s="2" t="str">
        <f t="shared" si="6"/>
        <v>$$$$$</v>
      </c>
    </row>
    <row r="405" spans="1:3" ht="14.4" x14ac:dyDescent="0.3">
      <c r="A405" s="4" t="s">
        <v>1000</v>
      </c>
      <c r="B405" s="7">
        <v>132</v>
      </c>
      <c r="C405" s="2" t="str">
        <f t="shared" si="6"/>
        <v>$</v>
      </c>
    </row>
    <row r="406" spans="1:3" ht="14.4" x14ac:dyDescent="0.3">
      <c r="A406" s="4" t="s">
        <v>1001</v>
      </c>
      <c r="B406" s="7">
        <v>512</v>
      </c>
      <c r="C406" s="2" t="str">
        <f t="shared" si="6"/>
        <v>$$$$$</v>
      </c>
    </row>
    <row r="407" spans="1:3" ht="14.4" x14ac:dyDescent="0.3">
      <c r="A407" s="4" t="s">
        <v>1002</v>
      </c>
      <c r="B407" s="7">
        <v>250</v>
      </c>
      <c r="C407" s="2" t="str">
        <f t="shared" si="6"/>
        <v>$$</v>
      </c>
    </row>
    <row r="408" spans="1:3" ht="14.4" x14ac:dyDescent="0.3">
      <c r="A408" s="4" t="s">
        <v>1003</v>
      </c>
      <c r="B408" s="7">
        <v>210</v>
      </c>
      <c r="C408" s="2" t="str">
        <f t="shared" si="6"/>
        <v>$$</v>
      </c>
    </row>
    <row r="409" spans="1:3" ht="14.4" x14ac:dyDescent="0.3">
      <c r="A409" s="4" t="s">
        <v>1004</v>
      </c>
      <c r="B409" s="7">
        <v>198</v>
      </c>
      <c r="C409" s="2" t="str">
        <f t="shared" si="6"/>
        <v>$</v>
      </c>
    </row>
    <row r="410" spans="1:3" ht="14.4" x14ac:dyDescent="0.3">
      <c r="A410" s="4" t="s">
        <v>1005</v>
      </c>
      <c r="B410" s="7">
        <v>795</v>
      </c>
      <c r="C410" s="2" t="str">
        <f t="shared" si="6"/>
        <v>$$$$$$$</v>
      </c>
    </row>
    <row r="411" spans="1:3" ht="14.4" x14ac:dyDescent="0.3">
      <c r="A411" s="4" t="s">
        <v>1006</v>
      </c>
      <c r="B411" s="7">
        <v>46</v>
      </c>
      <c r="C411" s="2" t="str">
        <f t="shared" si="6"/>
        <v/>
      </c>
    </row>
    <row r="412" spans="1:3" ht="14.4" x14ac:dyDescent="0.3">
      <c r="A412" s="4" t="s">
        <v>1007</v>
      </c>
      <c r="B412" s="7">
        <v>381</v>
      </c>
      <c r="C412" s="2" t="str">
        <f t="shared" si="6"/>
        <v>$$$</v>
      </c>
    </row>
    <row r="413" spans="1:3" ht="14.4" x14ac:dyDescent="0.3">
      <c r="A413" s="4" t="s">
        <v>1008</v>
      </c>
      <c r="B413" s="7">
        <v>361</v>
      </c>
      <c r="C413" s="2" t="str">
        <f t="shared" si="6"/>
        <v>$$$</v>
      </c>
    </row>
    <row r="414" spans="1:3" ht="14.4" x14ac:dyDescent="0.3">
      <c r="A414" s="4" t="s">
        <v>1009</v>
      </c>
      <c r="B414" s="7">
        <v>779</v>
      </c>
      <c r="C414" s="2" t="str">
        <f t="shared" si="6"/>
        <v>$$$$$$$</v>
      </c>
    </row>
    <row r="415" spans="1:3" ht="14.4" x14ac:dyDescent="0.3">
      <c r="A415" s="4" t="s">
        <v>1010</v>
      </c>
      <c r="B415" s="7">
        <v>903</v>
      </c>
      <c r="C415" s="2" t="str">
        <f t="shared" si="6"/>
        <v>$$$$$$$$$</v>
      </c>
    </row>
    <row r="416" spans="1:3" ht="14.4" x14ac:dyDescent="0.3">
      <c r="A416" s="4" t="s">
        <v>1011</v>
      </c>
      <c r="B416" s="7">
        <v>85</v>
      </c>
      <c r="C416" s="2" t="str">
        <f t="shared" si="6"/>
        <v/>
      </c>
    </row>
    <row r="417" spans="1:3" ht="14.4" x14ac:dyDescent="0.3">
      <c r="A417" s="4" t="s">
        <v>1012</v>
      </c>
      <c r="B417" s="7">
        <v>486</v>
      </c>
      <c r="C417" s="2" t="str">
        <f t="shared" si="6"/>
        <v>$$$$</v>
      </c>
    </row>
    <row r="418" spans="1:3" ht="14.4" x14ac:dyDescent="0.3">
      <c r="A418" s="4" t="s">
        <v>1013</v>
      </c>
      <c r="B418" s="7">
        <v>615</v>
      </c>
      <c r="C418" s="2" t="str">
        <f t="shared" si="6"/>
        <v>$$$$$$</v>
      </c>
    </row>
    <row r="419" spans="1:3" ht="14.4" x14ac:dyDescent="0.3">
      <c r="A419" s="4" t="s">
        <v>1014</v>
      </c>
      <c r="B419" s="7">
        <v>289</v>
      </c>
      <c r="C419" s="2" t="str">
        <f t="shared" si="6"/>
        <v>$$</v>
      </c>
    </row>
    <row r="420" spans="1:3" ht="14.4" x14ac:dyDescent="0.3">
      <c r="A420" s="4" t="s">
        <v>1015</v>
      </c>
      <c r="B420" s="7">
        <v>493</v>
      </c>
      <c r="C420" s="2" t="str">
        <f t="shared" si="6"/>
        <v>$$$$</v>
      </c>
    </row>
    <row r="421" spans="1:3" ht="14.4" x14ac:dyDescent="0.3">
      <c r="A421" s="4" t="s">
        <v>1016</v>
      </c>
      <c r="B421" s="7">
        <v>443</v>
      </c>
      <c r="C421" s="2" t="str">
        <f t="shared" si="6"/>
        <v>$$$$</v>
      </c>
    </row>
    <row r="422" spans="1:3" ht="14.4" x14ac:dyDescent="0.3">
      <c r="A422" s="4" t="s">
        <v>1017</v>
      </c>
      <c r="B422" s="7">
        <v>656</v>
      </c>
      <c r="C422" s="2" t="str">
        <f t="shared" si="6"/>
        <v>$$$$$$</v>
      </c>
    </row>
    <row r="423" spans="1:3" ht="14.4" x14ac:dyDescent="0.3">
      <c r="A423" s="4" t="s">
        <v>1018</v>
      </c>
      <c r="B423" s="7">
        <v>950</v>
      </c>
      <c r="C423" s="2" t="str">
        <f t="shared" si="6"/>
        <v>$$$$$$$$$</v>
      </c>
    </row>
    <row r="424" spans="1:3" ht="14.4" x14ac:dyDescent="0.3">
      <c r="A424" s="4" t="s">
        <v>1019</v>
      </c>
      <c r="B424" s="7">
        <v>900</v>
      </c>
      <c r="C424" s="2" t="str">
        <f t="shared" si="6"/>
        <v>$$$$$$$$$</v>
      </c>
    </row>
    <row r="425" spans="1:3" ht="14.4" x14ac:dyDescent="0.3">
      <c r="A425" s="4" t="s">
        <v>1020</v>
      </c>
      <c r="B425" s="7">
        <v>366</v>
      </c>
      <c r="C425" s="2" t="str">
        <f t="shared" si="6"/>
        <v>$$$</v>
      </c>
    </row>
    <row r="426" spans="1:3" ht="14.4" x14ac:dyDescent="0.3">
      <c r="A426" s="4" t="s">
        <v>1021</v>
      </c>
      <c r="B426" s="7">
        <v>904</v>
      </c>
      <c r="C426" s="2" t="str">
        <f t="shared" si="6"/>
        <v>$$$$$$$$$</v>
      </c>
    </row>
    <row r="427" spans="1:3" ht="14.4" x14ac:dyDescent="0.3">
      <c r="A427" s="4" t="s">
        <v>1022</v>
      </c>
      <c r="B427" s="7">
        <v>873</v>
      </c>
      <c r="C427" s="2" t="str">
        <f t="shared" si="6"/>
        <v>$$$$$$$$</v>
      </c>
    </row>
    <row r="428" spans="1:3" ht="14.4" x14ac:dyDescent="0.3">
      <c r="A428" s="4" t="s">
        <v>1023</v>
      </c>
      <c r="B428" s="7">
        <v>504</v>
      </c>
      <c r="C428" s="2" t="str">
        <f t="shared" si="6"/>
        <v>$$$$$</v>
      </c>
    </row>
    <row r="429" spans="1:3" ht="14.4" x14ac:dyDescent="0.3">
      <c r="A429" s="4" t="s">
        <v>1024</v>
      </c>
      <c r="B429" s="7">
        <v>926</v>
      </c>
      <c r="C429" s="2" t="str">
        <f t="shared" si="6"/>
        <v>$$$$$$$$$</v>
      </c>
    </row>
    <row r="430" spans="1:3" ht="14.4" x14ac:dyDescent="0.3">
      <c r="A430" s="4" t="s">
        <v>1025</v>
      </c>
      <c r="B430" s="7">
        <v>168</v>
      </c>
      <c r="C430" s="2" t="str">
        <f t="shared" si="6"/>
        <v>$</v>
      </c>
    </row>
    <row r="431" spans="1:3" ht="14.4" x14ac:dyDescent="0.3">
      <c r="A431" s="4" t="s">
        <v>1026</v>
      </c>
      <c r="B431" s="7">
        <v>747</v>
      </c>
      <c r="C431" s="2" t="str">
        <f t="shared" si="6"/>
        <v>$$$$$$$</v>
      </c>
    </row>
    <row r="432" spans="1:3" ht="14.4" x14ac:dyDescent="0.3">
      <c r="A432" s="4" t="s">
        <v>1027</v>
      </c>
      <c r="B432" s="7">
        <v>39</v>
      </c>
      <c r="C432" s="2" t="str">
        <f t="shared" si="6"/>
        <v/>
      </c>
    </row>
    <row r="433" spans="1:3" ht="14.4" x14ac:dyDescent="0.3">
      <c r="A433" s="4" t="s">
        <v>1028</v>
      </c>
      <c r="B433" s="7">
        <v>147</v>
      </c>
      <c r="C433" s="2" t="str">
        <f t="shared" si="6"/>
        <v>$</v>
      </c>
    </row>
    <row r="434" spans="1:3" ht="14.4" x14ac:dyDescent="0.3">
      <c r="A434" s="4" t="s">
        <v>1029</v>
      </c>
      <c r="B434" s="7">
        <v>540</v>
      </c>
      <c r="C434" s="2" t="str">
        <f t="shared" si="6"/>
        <v>$$$$$</v>
      </c>
    </row>
    <row r="435" spans="1:3" ht="14.4" x14ac:dyDescent="0.3">
      <c r="A435" s="4" t="s">
        <v>1030</v>
      </c>
      <c r="B435" s="7">
        <v>140</v>
      </c>
      <c r="C435" s="2" t="str">
        <f t="shared" si="6"/>
        <v>$</v>
      </c>
    </row>
    <row r="436" spans="1:3" ht="14.4" x14ac:dyDescent="0.3">
      <c r="A436" s="4" t="s">
        <v>1031</v>
      </c>
      <c r="B436" s="7">
        <v>726</v>
      </c>
      <c r="C436" s="2" t="str">
        <f t="shared" si="6"/>
        <v>$$$$$$$</v>
      </c>
    </row>
    <row r="437" spans="1:3" ht="14.4" x14ac:dyDescent="0.3">
      <c r="A437" s="4" t="s">
        <v>1032</v>
      </c>
      <c r="B437" s="7">
        <v>319</v>
      </c>
      <c r="C437" s="2" t="str">
        <f t="shared" si="6"/>
        <v>$$$</v>
      </c>
    </row>
    <row r="438" spans="1:3" ht="14.4" x14ac:dyDescent="0.3">
      <c r="A438" s="4" t="s">
        <v>1033</v>
      </c>
      <c r="B438" s="7">
        <v>955</v>
      </c>
      <c r="C438" s="2" t="str">
        <f t="shared" si="6"/>
        <v>$$$$$$$$$</v>
      </c>
    </row>
    <row r="439" spans="1:3" ht="14.4" x14ac:dyDescent="0.3">
      <c r="A439" s="4" t="s">
        <v>1034</v>
      </c>
      <c r="B439" s="7">
        <v>988</v>
      </c>
      <c r="C439" s="2" t="str">
        <f t="shared" si="6"/>
        <v>$$$$$$$$$</v>
      </c>
    </row>
    <row r="440" spans="1:3" ht="14.4" x14ac:dyDescent="0.3">
      <c r="A440" s="4" t="s">
        <v>1035</v>
      </c>
      <c r="B440" s="7">
        <v>150</v>
      </c>
      <c r="C440" s="2" t="str">
        <f t="shared" si="6"/>
        <v>$</v>
      </c>
    </row>
    <row r="441" spans="1:3" ht="14.4" x14ac:dyDescent="0.3">
      <c r="A441" s="4" t="s">
        <v>1036</v>
      </c>
      <c r="B441" s="7">
        <v>528</v>
      </c>
      <c r="C441" s="2" t="str">
        <f t="shared" si="6"/>
        <v>$$$$$</v>
      </c>
    </row>
    <row r="442" spans="1:3" ht="14.4" x14ac:dyDescent="0.3">
      <c r="A442" s="4" t="s">
        <v>1037</v>
      </c>
      <c r="B442" s="7">
        <v>3</v>
      </c>
      <c r="C442" s="2" t="str">
        <f t="shared" si="6"/>
        <v/>
      </c>
    </row>
    <row r="443" spans="1:3" ht="14.4" x14ac:dyDescent="0.3">
      <c r="A443" s="4" t="s">
        <v>1038</v>
      </c>
      <c r="B443" s="7">
        <v>891</v>
      </c>
      <c r="C443" s="2" t="str">
        <f t="shared" si="6"/>
        <v>$$$$$$$$</v>
      </c>
    </row>
    <row r="444" spans="1:3" ht="14.4" x14ac:dyDescent="0.3">
      <c r="A444" s="4" t="s">
        <v>1039</v>
      </c>
      <c r="B444" s="7">
        <v>625</v>
      </c>
      <c r="C444" s="2" t="str">
        <f t="shared" si="6"/>
        <v>$$$$$$</v>
      </c>
    </row>
    <row r="445" spans="1:3" ht="14.4" x14ac:dyDescent="0.3">
      <c r="A445" s="4" t="s">
        <v>1040</v>
      </c>
      <c r="B445" s="7">
        <v>383</v>
      </c>
      <c r="C445" s="2" t="str">
        <f t="shared" si="6"/>
        <v>$$$</v>
      </c>
    </row>
    <row r="446" spans="1:3" ht="14.4" x14ac:dyDescent="0.3">
      <c r="A446" s="4" t="s">
        <v>1041</v>
      </c>
      <c r="B446" s="7">
        <v>877</v>
      </c>
      <c r="C446" s="2" t="str">
        <f t="shared" si="6"/>
        <v>$$$$$$$$</v>
      </c>
    </row>
    <row r="447" spans="1:3" ht="14.4" x14ac:dyDescent="0.3">
      <c r="A447" s="4" t="s">
        <v>1042</v>
      </c>
      <c r="B447" s="7">
        <v>122</v>
      </c>
      <c r="C447" s="2" t="str">
        <f t="shared" si="6"/>
        <v>$</v>
      </c>
    </row>
    <row r="448" spans="1:3" ht="14.4" x14ac:dyDescent="0.3">
      <c r="A448" s="4" t="s">
        <v>1043</v>
      </c>
      <c r="B448" s="7">
        <v>331</v>
      </c>
      <c r="C448" s="2" t="str">
        <f t="shared" si="6"/>
        <v>$$$</v>
      </c>
    </row>
    <row r="449" spans="1:3" ht="14.4" x14ac:dyDescent="0.3">
      <c r="A449" s="4" t="s">
        <v>1044</v>
      </c>
      <c r="B449" s="7">
        <v>590</v>
      </c>
      <c r="C449" s="2" t="str">
        <f t="shared" si="6"/>
        <v>$$$$$</v>
      </c>
    </row>
    <row r="450" spans="1:3" ht="14.4" x14ac:dyDescent="0.3">
      <c r="A450" s="4" t="s">
        <v>1045</v>
      </c>
      <c r="B450" s="7">
        <v>319</v>
      </c>
      <c r="C450" s="2" t="str">
        <f t="shared" si="6"/>
        <v>$$$</v>
      </c>
    </row>
    <row r="451" spans="1:3" ht="14.4" x14ac:dyDescent="0.3">
      <c r="A451" s="4" t="s">
        <v>1046</v>
      </c>
      <c r="B451" s="7">
        <v>251</v>
      </c>
      <c r="C451" s="2" t="str">
        <f t="shared" ref="C451:C514" si="7">REPT("$",B451/100)</f>
        <v>$$</v>
      </c>
    </row>
    <row r="452" spans="1:3" ht="14.4" x14ac:dyDescent="0.3">
      <c r="A452" s="4" t="s">
        <v>1047</v>
      </c>
      <c r="B452" s="7">
        <v>975</v>
      </c>
      <c r="C452" s="2" t="str">
        <f t="shared" si="7"/>
        <v>$$$$$$$$$</v>
      </c>
    </row>
    <row r="453" spans="1:3" ht="14.4" x14ac:dyDescent="0.3">
      <c r="A453" s="4" t="s">
        <v>1048</v>
      </c>
      <c r="B453" s="7">
        <v>125</v>
      </c>
      <c r="C453" s="2" t="str">
        <f t="shared" si="7"/>
        <v>$</v>
      </c>
    </row>
    <row r="454" spans="1:3" ht="14.4" x14ac:dyDescent="0.3">
      <c r="A454" s="4" t="s">
        <v>1049</v>
      </c>
      <c r="B454" s="7">
        <v>705</v>
      </c>
      <c r="C454" s="2" t="str">
        <f t="shared" si="7"/>
        <v>$$$$$$$</v>
      </c>
    </row>
    <row r="455" spans="1:3" ht="14.4" x14ac:dyDescent="0.3">
      <c r="A455" s="4" t="s">
        <v>1050</v>
      </c>
      <c r="B455" s="7">
        <v>739</v>
      </c>
      <c r="C455" s="2" t="str">
        <f t="shared" si="7"/>
        <v>$$$$$$$</v>
      </c>
    </row>
    <row r="456" spans="1:3" ht="14.4" x14ac:dyDescent="0.3">
      <c r="A456" s="4" t="s">
        <v>1051</v>
      </c>
      <c r="B456" s="7">
        <v>68</v>
      </c>
      <c r="C456" s="2" t="str">
        <f t="shared" si="7"/>
        <v/>
      </c>
    </row>
    <row r="457" spans="1:3" ht="14.4" x14ac:dyDescent="0.3">
      <c r="A457" s="4" t="s">
        <v>1052</v>
      </c>
      <c r="B457" s="7">
        <v>884</v>
      </c>
      <c r="C457" s="2" t="str">
        <f t="shared" si="7"/>
        <v>$$$$$$$$</v>
      </c>
    </row>
    <row r="458" spans="1:3" ht="14.4" x14ac:dyDescent="0.3">
      <c r="A458" s="4" t="s">
        <v>1053</v>
      </c>
      <c r="B458" s="7">
        <v>938</v>
      </c>
      <c r="C458" s="2" t="str">
        <f t="shared" si="7"/>
        <v>$$$$$$$$$</v>
      </c>
    </row>
    <row r="459" spans="1:3" ht="14.4" x14ac:dyDescent="0.3">
      <c r="A459" s="4" t="s">
        <v>1054</v>
      </c>
      <c r="B459" s="7">
        <v>926</v>
      </c>
      <c r="C459" s="2" t="str">
        <f t="shared" si="7"/>
        <v>$$$$$$$$$</v>
      </c>
    </row>
    <row r="460" spans="1:3" ht="14.4" x14ac:dyDescent="0.3">
      <c r="A460" s="4" t="s">
        <v>1055</v>
      </c>
      <c r="B460" s="7">
        <v>908</v>
      </c>
      <c r="C460" s="2" t="str">
        <f t="shared" si="7"/>
        <v>$$$$$$$$$</v>
      </c>
    </row>
    <row r="461" spans="1:3" ht="14.4" x14ac:dyDescent="0.3">
      <c r="A461" s="4" t="s">
        <v>1056</v>
      </c>
      <c r="B461" s="7">
        <v>867</v>
      </c>
      <c r="C461" s="2" t="str">
        <f t="shared" si="7"/>
        <v>$$$$$$$$</v>
      </c>
    </row>
    <row r="462" spans="1:3" ht="14.4" x14ac:dyDescent="0.3">
      <c r="A462" s="4" t="s">
        <v>1057</v>
      </c>
      <c r="B462" s="7">
        <v>668</v>
      </c>
      <c r="C462" s="2" t="str">
        <f t="shared" si="7"/>
        <v>$$$$$$</v>
      </c>
    </row>
    <row r="463" spans="1:3" ht="14.4" x14ac:dyDescent="0.3">
      <c r="A463" s="4" t="s">
        <v>1058</v>
      </c>
      <c r="B463" s="7">
        <v>345</v>
      </c>
      <c r="C463" s="2" t="str">
        <f t="shared" si="7"/>
        <v>$$$</v>
      </c>
    </row>
    <row r="464" spans="1:3" ht="14.4" x14ac:dyDescent="0.3">
      <c r="A464" s="4" t="s">
        <v>1059</v>
      </c>
      <c r="B464" s="7">
        <v>264</v>
      </c>
      <c r="C464" s="2" t="str">
        <f t="shared" si="7"/>
        <v>$$</v>
      </c>
    </row>
    <row r="465" spans="1:3" ht="14.4" x14ac:dyDescent="0.3">
      <c r="A465" s="4" t="s">
        <v>1060</v>
      </c>
      <c r="B465" s="7">
        <v>136</v>
      </c>
      <c r="C465" s="2" t="str">
        <f t="shared" si="7"/>
        <v>$</v>
      </c>
    </row>
    <row r="466" spans="1:3" ht="14.4" x14ac:dyDescent="0.3">
      <c r="A466" s="4" t="s">
        <v>1061</v>
      </c>
      <c r="B466" s="7">
        <v>457</v>
      </c>
      <c r="C466" s="2" t="str">
        <f t="shared" si="7"/>
        <v>$$$$</v>
      </c>
    </row>
    <row r="467" spans="1:3" ht="14.4" x14ac:dyDescent="0.3">
      <c r="A467" s="4" t="s">
        <v>1062</v>
      </c>
      <c r="B467" s="7">
        <v>425</v>
      </c>
      <c r="C467" s="2" t="str">
        <f t="shared" si="7"/>
        <v>$$$$</v>
      </c>
    </row>
    <row r="468" spans="1:3" ht="14.4" x14ac:dyDescent="0.3">
      <c r="A468" s="4" t="s">
        <v>1063</v>
      </c>
      <c r="B468" s="7">
        <v>328</v>
      </c>
      <c r="C468" s="2" t="str">
        <f t="shared" si="7"/>
        <v>$$$</v>
      </c>
    </row>
    <row r="469" spans="1:3" ht="14.4" x14ac:dyDescent="0.3">
      <c r="A469" s="4" t="s">
        <v>1064</v>
      </c>
      <c r="B469" s="7">
        <v>20</v>
      </c>
      <c r="C469" s="2" t="str">
        <f t="shared" si="7"/>
        <v/>
      </c>
    </row>
    <row r="470" spans="1:3" ht="14.4" x14ac:dyDescent="0.3">
      <c r="A470" s="4" t="s">
        <v>1065</v>
      </c>
      <c r="B470" s="7">
        <v>891</v>
      </c>
      <c r="C470" s="2" t="str">
        <f t="shared" si="7"/>
        <v>$$$$$$$$</v>
      </c>
    </row>
    <row r="471" spans="1:3" ht="14.4" x14ac:dyDescent="0.3">
      <c r="A471" s="4" t="s">
        <v>1066</v>
      </c>
      <c r="B471" s="7">
        <v>230</v>
      </c>
      <c r="C471" s="2" t="str">
        <f t="shared" si="7"/>
        <v>$$</v>
      </c>
    </row>
    <row r="472" spans="1:3" ht="14.4" x14ac:dyDescent="0.3">
      <c r="A472" s="4" t="s">
        <v>1067</v>
      </c>
      <c r="B472" s="7">
        <v>962</v>
      </c>
      <c r="C472" s="2" t="str">
        <f t="shared" si="7"/>
        <v>$$$$$$$$$</v>
      </c>
    </row>
    <row r="473" spans="1:3" ht="14.4" x14ac:dyDescent="0.3">
      <c r="A473" s="4" t="s">
        <v>1068</v>
      </c>
      <c r="B473" s="7">
        <v>308</v>
      </c>
      <c r="C473" s="2" t="str">
        <f t="shared" si="7"/>
        <v>$$$</v>
      </c>
    </row>
    <row r="474" spans="1:3" ht="14.4" x14ac:dyDescent="0.3">
      <c r="A474" s="4" t="s">
        <v>1069</v>
      </c>
      <c r="B474" s="7">
        <v>347</v>
      </c>
      <c r="C474" s="2" t="str">
        <f t="shared" si="7"/>
        <v>$$$</v>
      </c>
    </row>
    <row r="475" spans="1:3" ht="14.4" x14ac:dyDescent="0.3">
      <c r="A475" s="4" t="s">
        <v>1070</v>
      </c>
      <c r="B475" s="7">
        <v>55</v>
      </c>
      <c r="C475" s="2" t="str">
        <f t="shared" si="7"/>
        <v/>
      </c>
    </row>
    <row r="476" spans="1:3" ht="14.4" x14ac:dyDescent="0.3">
      <c r="A476" s="4" t="s">
        <v>1071</v>
      </c>
      <c r="B476" s="7">
        <v>404</v>
      </c>
      <c r="C476" s="2" t="str">
        <f t="shared" si="7"/>
        <v>$$$$</v>
      </c>
    </row>
    <row r="477" spans="1:3" ht="14.4" x14ac:dyDescent="0.3">
      <c r="A477" s="4" t="s">
        <v>1072</v>
      </c>
      <c r="B477" s="7">
        <v>438</v>
      </c>
      <c r="C477" s="2" t="str">
        <f t="shared" si="7"/>
        <v>$$$$</v>
      </c>
    </row>
    <row r="478" spans="1:3" ht="14.4" x14ac:dyDescent="0.3">
      <c r="A478" s="4" t="s">
        <v>1073</v>
      </c>
      <c r="B478" s="7">
        <v>17</v>
      </c>
      <c r="C478" s="2" t="str">
        <f t="shared" si="7"/>
        <v/>
      </c>
    </row>
    <row r="479" spans="1:3" ht="14.4" x14ac:dyDescent="0.3">
      <c r="A479" s="4" t="s">
        <v>1074</v>
      </c>
      <c r="B479" s="7">
        <v>361</v>
      </c>
      <c r="C479" s="2" t="str">
        <f t="shared" si="7"/>
        <v>$$$</v>
      </c>
    </row>
    <row r="480" spans="1:3" ht="14.4" x14ac:dyDescent="0.3">
      <c r="A480" s="4" t="s">
        <v>1075</v>
      </c>
      <c r="B480" s="7">
        <v>608</v>
      </c>
      <c r="C480" s="2" t="str">
        <f t="shared" si="7"/>
        <v>$$$$$$</v>
      </c>
    </row>
    <row r="481" spans="1:3" ht="14.4" x14ac:dyDescent="0.3">
      <c r="A481" s="4" t="s">
        <v>1076</v>
      </c>
      <c r="B481" s="7">
        <v>33</v>
      </c>
      <c r="C481" s="2" t="str">
        <f t="shared" si="7"/>
        <v/>
      </c>
    </row>
    <row r="482" spans="1:3" ht="14.4" x14ac:dyDescent="0.3">
      <c r="A482" s="4" t="s">
        <v>1077</v>
      </c>
      <c r="B482" s="7">
        <v>103</v>
      </c>
      <c r="C482" s="2" t="str">
        <f t="shared" si="7"/>
        <v>$</v>
      </c>
    </row>
    <row r="483" spans="1:3" ht="14.4" x14ac:dyDescent="0.3">
      <c r="A483" s="4" t="s">
        <v>1078</v>
      </c>
      <c r="B483" s="7">
        <v>762</v>
      </c>
      <c r="C483" s="2" t="str">
        <f t="shared" si="7"/>
        <v>$$$$$$$</v>
      </c>
    </row>
    <row r="484" spans="1:3" ht="14.4" x14ac:dyDescent="0.3">
      <c r="A484" s="4" t="s">
        <v>1079</v>
      </c>
      <c r="B484" s="7">
        <v>125</v>
      </c>
      <c r="C484" s="2" t="str">
        <f t="shared" si="7"/>
        <v>$</v>
      </c>
    </row>
    <row r="485" spans="1:3" ht="14.4" x14ac:dyDescent="0.3">
      <c r="A485" s="4" t="s">
        <v>1080</v>
      </c>
      <c r="B485" s="7">
        <v>488</v>
      </c>
      <c r="C485" s="2" t="str">
        <f t="shared" si="7"/>
        <v>$$$$</v>
      </c>
    </row>
    <row r="486" spans="1:3" ht="14.4" x14ac:dyDescent="0.3">
      <c r="A486" s="4" t="s">
        <v>1081</v>
      </c>
      <c r="B486" s="7">
        <v>541</v>
      </c>
      <c r="C486" s="2" t="str">
        <f t="shared" si="7"/>
        <v>$$$$$</v>
      </c>
    </row>
    <row r="487" spans="1:3" ht="14.4" x14ac:dyDescent="0.3">
      <c r="A487" s="4" t="s">
        <v>1082</v>
      </c>
      <c r="B487" s="7">
        <v>500</v>
      </c>
      <c r="C487" s="2" t="str">
        <f t="shared" si="7"/>
        <v>$$$$$</v>
      </c>
    </row>
    <row r="488" spans="1:3" ht="14.4" x14ac:dyDescent="0.3">
      <c r="A488" s="4" t="s">
        <v>1083</v>
      </c>
      <c r="B488" s="7">
        <v>952</v>
      </c>
      <c r="C488" s="2" t="str">
        <f t="shared" si="7"/>
        <v>$$$$$$$$$</v>
      </c>
    </row>
    <row r="489" spans="1:3" ht="14.4" x14ac:dyDescent="0.3">
      <c r="A489" s="4" t="s">
        <v>1084</v>
      </c>
      <c r="B489" s="7">
        <v>664</v>
      </c>
      <c r="C489" s="2" t="str">
        <f t="shared" si="7"/>
        <v>$$$$$$</v>
      </c>
    </row>
    <row r="490" spans="1:3" ht="14.4" x14ac:dyDescent="0.3">
      <c r="A490" s="4" t="s">
        <v>1085</v>
      </c>
      <c r="B490" s="7">
        <v>463</v>
      </c>
      <c r="C490" s="2" t="str">
        <f t="shared" si="7"/>
        <v>$$$$</v>
      </c>
    </row>
    <row r="491" spans="1:3" ht="14.4" x14ac:dyDescent="0.3">
      <c r="A491" s="4" t="s">
        <v>1086</v>
      </c>
      <c r="B491" s="7">
        <v>138</v>
      </c>
      <c r="C491" s="2" t="str">
        <f t="shared" si="7"/>
        <v>$</v>
      </c>
    </row>
    <row r="492" spans="1:3" ht="14.4" x14ac:dyDescent="0.3">
      <c r="A492" s="4" t="s">
        <v>1087</v>
      </c>
      <c r="B492" s="7">
        <v>134</v>
      </c>
      <c r="C492" s="2" t="str">
        <f t="shared" si="7"/>
        <v>$</v>
      </c>
    </row>
    <row r="493" spans="1:3" ht="14.4" x14ac:dyDescent="0.3">
      <c r="A493" s="4" t="s">
        <v>1088</v>
      </c>
      <c r="B493" s="7">
        <v>213</v>
      </c>
      <c r="C493" s="2" t="str">
        <f t="shared" si="7"/>
        <v>$$</v>
      </c>
    </row>
    <row r="494" spans="1:3" ht="14.4" x14ac:dyDescent="0.3">
      <c r="A494" s="4" t="s">
        <v>1089</v>
      </c>
      <c r="B494" s="7">
        <v>650</v>
      </c>
      <c r="C494" s="2" t="str">
        <f t="shared" si="7"/>
        <v>$$$$$$</v>
      </c>
    </row>
    <row r="495" spans="1:3" ht="14.4" x14ac:dyDescent="0.3">
      <c r="A495" s="4" t="s">
        <v>1090</v>
      </c>
      <c r="B495" s="7">
        <v>987</v>
      </c>
      <c r="C495" s="2" t="str">
        <f t="shared" si="7"/>
        <v>$$$$$$$$$</v>
      </c>
    </row>
    <row r="496" spans="1:3" ht="14.4" x14ac:dyDescent="0.3">
      <c r="A496" s="4" t="s">
        <v>1091</v>
      </c>
      <c r="B496" s="7">
        <v>932</v>
      </c>
      <c r="C496" s="2" t="str">
        <f t="shared" si="7"/>
        <v>$$$$$$$$$</v>
      </c>
    </row>
    <row r="497" spans="1:3" ht="14.4" x14ac:dyDescent="0.3">
      <c r="A497" s="4" t="s">
        <v>1092</v>
      </c>
      <c r="B497" s="7">
        <v>451</v>
      </c>
      <c r="C497" s="2" t="str">
        <f t="shared" si="7"/>
        <v>$$$$</v>
      </c>
    </row>
    <row r="498" spans="1:3" ht="14.4" x14ac:dyDescent="0.3">
      <c r="A498" s="4" t="s">
        <v>1093</v>
      </c>
      <c r="B498" s="7">
        <v>617</v>
      </c>
      <c r="C498" s="2" t="str">
        <f t="shared" si="7"/>
        <v>$$$$$$</v>
      </c>
    </row>
    <row r="499" spans="1:3" ht="14.4" x14ac:dyDescent="0.3">
      <c r="A499" s="4" t="s">
        <v>1094</v>
      </c>
      <c r="B499" s="7">
        <v>146</v>
      </c>
      <c r="C499" s="2" t="str">
        <f t="shared" si="7"/>
        <v>$</v>
      </c>
    </row>
    <row r="500" spans="1:3" ht="14.4" x14ac:dyDescent="0.3">
      <c r="A500" s="4" t="s">
        <v>1095</v>
      </c>
      <c r="B500" s="7">
        <v>316</v>
      </c>
      <c r="C500" s="2" t="str">
        <f t="shared" si="7"/>
        <v>$$$</v>
      </c>
    </row>
    <row r="501" spans="1:3" ht="14.4" x14ac:dyDescent="0.3">
      <c r="A501" s="4" t="s">
        <v>1096</v>
      </c>
      <c r="B501" s="7">
        <v>210</v>
      </c>
      <c r="C501" s="2" t="str">
        <f t="shared" si="7"/>
        <v>$$</v>
      </c>
    </row>
    <row r="502" spans="1:3" ht="14.4" x14ac:dyDescent="0.3">
      <c r="A502" s="4" t="s">
        <v>1097</v>
      </c>
      <c r="B502" s="7">
        <v>588</v>
      </c>
      <c r="C502" s="2" t="str">
        <f t="shared" si="7"/>
        <v>$$$$$</v>
      </c>
    </row>
    <row r="503" spans="1:3" ht="14.4" x14ac:dyDescent="0.3">
      <c r="A503" s="4" t="s">
        <v>1098</v>
      </c>
      <c r="B503" s="7">
        <v>868</v>
      </c>
      <c r="C503" s="2" t="str">
        <f t="shared" si="7"/>
        <v>$$$$$$$$</v>
      </c>
    </row>
    <row r="504" spans="1:3" ht="14.4" x14ac:dyDescent="0.3">
      <c r="A504" s="4" t="s">
        <v>1099</v>
      </c>
      <c r="B504" s="7">
        <v>145</v>
      </c>
      <c r="C504" s="2" t="str">
        <f t="shared" si="7"/>
        <v>$</v>
      </c>
    </row>
    <row r="505" spans="1:3" ht="14.4" x14ac:dyDescent="0.3">
      <c r="A505" s="4" t="s">
        <v>1100</v>
      </c>
      <c r="B505" s="7">
        <v>597</v>
      </c>
      <c r="C505" s="2" t="str">
        <f t="shared" si="7"/>
        <v>$$$$$</v>
      </c>
    </row>
    <row r="506" spans="1:3" ht="14.4" x14ac:dyDescent="0.3">
      <c r="A506" s="4" t="s">
        <v>1101</v>
      </c>
      <c r="B506" s="7">
        <v>560</v>
      </c>
      <c r="C506" s="2" t="str">
        <f t="shared" si="7"/>
        <v>$$$$$</v>
      </c>
    </row>
    <row r="507" spans="1:3" ht="14.4" x14ac:dyDescent="0.3">
      <c r="A507" s="4" t="s">
        <v>1102</v>
      </c>
      <c r="B507" s="7">
        <v>396</v>
      </c>
      <c r="C507" s="2" t="str">
        <f t="shared" si="7"/>
        <v>$$$</v>
      </c>
    </row>
    <row r="508" spans="1:3" ht="14.4" x14ac:dyDescent="0.3">
      <c r="A508" s="4" t="s">
        <v>1103</v>
      </c>
      <c r="B508" s="7">
        <v>861</v>
      </c>
      <c r="C508" s="2" t="str">
        <f t="shared" si="7"/>
        <v>$$$$$$$$</v>
      </c>
    </row>
    <row r="509" spans="1:3" ht="14.4" x14ac:dyDescent="0.3">
      <c r="A509" s="4" t="s">
        <v>1104</v>
      </c>
      <c r="B509" s="7">
        <v>113</v>
      </c>
      <c r="C509" s="2" t="str">
        <f t="shared" si="7"/>
        <v>$</v>
      </c>
    </row>
    <row r="510" spans="1:3" ht="14.4" x14ac:dyDescent="0.3">
      <c r="A510" s="4" t="s">
        <v>1105</v>
      </c>
      <c r="B510" s="7">
        <v>851</v>
      </c>
      <c r="C510" s="2" t="str">
        <f t="shared" si="7"/>
        <v>$$$$$$$$</v>
      </c>
    </row>
    <row r="511" spans="1:3" ht="14.4" x14ac:dyDescent="0.3">
      <c r="A511" s="4" t="s">
        <v>1106</v>
      </c>
      <c r="B511" s="7">
        <v>328</v>
      </c>
      <c r="C511" s="2" t="str">
        <f t="shared" si="7"/>
        <v>$$$</v>
      </c>
    </row>
    <row r="512" spans="1:3" ht="14.4" x14ac:dyDescent="0.3">
      <c r="A512" s="4" t="s">
        <v>1107</v>
      </c>
      <c r="B512" s="7">
        <v>747</v>
      </c>
      <c r="C512" s="2" t="str">
        <f t="shared" si="7"/>
        <v>$$$$$$$</v>
      </c>
    </row>
    <row r="513" spans="1:3" ht="14.4" x14ac:dyDescent="0.3">
      <c r="A513" s="4" t="s">
        <v>1108</v>
      </c>
      <c r="B513" s="7">
        <v>194</v>
      </c>
      <c r="C513" s="2" t="str">
        <f t="shared" si="7"/>
        <v>$</v>
      </c>
    </row>
    <row r="514" spans="1:3" ht="14.4" x14ac:dyDescent="0.3">
      <c r="A514" s="4" t="s">
        <v>1109</v>
      </c>
      <c r="B514" s="7">
        <v>7</v>
      </c>
      <c r="C514" s="2" t="str">
        <f t="shared" si="7"/>
        <v/>
      </c>
    </row>
    <row r="515" spans="1:3" ht="14.4" x14ac:dyDescent="0.3">
      <c r="A515" s="4" t="s">
        <v>1110</v>
      </c>
      <c r="B515" s="7">
        <v>27</v>
      </c>
      <c r="C515" s="2" t="str">
        <f t="shared" ref="C515:C578" si="8">REPT("$",B515/100)</f>
        <v/>
      </c>
    </row>
    <row r="516" spans="1:3" ht="14.4" x14ac:dyDescent="0.3">
      <c r="A516" s="4" t="s">
        <v>1111</v>
      </c>
      <c r="B516" s="7">
        <v>774</v>
      </c>
      <c r="C516" s="2" t="str">
        <f t="shared" si="8"/>
        <v>$$$$$$$</v>
      </c>
    </row>
    <row r="517" spans="1:3" ht="14.4" x14ac:dyDescent="0.3">
      <c r="A517" s="4" t="s">
        <v>1112</v>
      </c>
      <c r="B517" s="7">
        <v>795</v>
      </c>
      <c r="C517" s="2" t="str">
        <f t="shared" si="8"/>
        <v>$$$$$$$</v>
      </c>
    </row>
    <row r="518" spans="1:3" ht="14.4" x14ac:dyDescent="0.3">
      <c r="A518" s="4" t="s">
        <v>1113</v>
      </c>
      <c r="B518" s="7">
        <v>732</v>
      </c>
      <c r="C518" s="2" t="str">
        <f t="shared" si="8"/>
        <v>$$$$$$$</v>
      </c>
    </row>
    <row r="519" spans="1:3" ht="14.4" x14ac:dyDescent="0.3">
      <c r="A519" s="4" t="s">
        <v>1114</v>
      </c>
      <c r="B519" s="7">
        <v>607</v>
      </c>
      <c r="C519" s="2" t="str">
        <f t="shared" si="8"/>
        <v>$$$$$$</v>
      </c>
    </row>
    <row r="520" spans="1:3" ht="14.4" x14ac:dyDescent="0.3">
      <c r="A520" s="4" t="s">
        <v>1115</v>
      </c>
      <c r="B520" s="7">
        <v>880</v>
      </c>
      <c r="C520" s="2" t="str">
        <f t="shared" si="8"/>
        <v>$$$$$$$$</v>
      </c>
    </row>
    <row r="521" spans="1:3" ht="14.4" x14ac:dyDescent="0.3">
      <c r="A521" s="4" t="s">
        <v>1116</v>
      </c>
      <c r="B521" s="7">
        <v>299</v>
      </c>
      <c r="C521" s="2" t="str">
        <f t="shared" si="8"/>
        <v>$$</v>
      </c>
    </row>
    <row r="522" spans="1:3" ht="14.4" x14ac:dyDescent="0.3">
      <c r="A522" s="4" t="s">
        <v>1117</v>
      </c>
      <c r="B522" s="7">
        <v>518</v>
      </c>
      <c r="C522" s="2" t="str">
        <f t="shared" si="8"/>
        <v>$$$$$</v>
      </c>
    </row>
    <row r="523" spans="1:3" ht="14.4" x14ac:dyDescent="0.3">
      <c r="A523" s="4" t="s">
        <v>1118</v>
      </c>
      <c r="B523" s="7">
        <v>518</v>
      </c>
      <c r="C523" s="2" t="str">
        <f t="shared" si="8"/>
        <v>$$$$$</v>
      </c>
    </row>
    <row r="524" spans="1:3" ht="14.4" x14ac:dyDescent="0.3">
      <c r="A524" s="4" t="s">
        <v>1119</v>
      </c>
      <c r="B524" s="7">
        <v>56</v>
      </c>
      <c r="C524" s="2" t="str">
        <f t="shared" si="8"/>
        <v/>
      </c>
    </row>
    <row r="525" spans="1:3" ht="14.4" x14ac:dyDescent="0.3">
      <c r="A525" s="4" t="s">
        <v>1120</v>
      </c>
      <c r="B525" s="7">
        <v>692</v>
      </c>
      <c r="C525" s="2" t="str">
        <f t="shared" si="8"/>
        <v>$$$$$$</v>
      </c>
    </row>
    <row r="526" spans="1:3" ht="14.4" x14ac:dyDescent="0.3">
      <c r="A526" s="4" t="s">
        <v>1121</v>
      </c>
      <c r="B526" s="7">
        <v>11</v>
      </c>
      <c r="C526" s="2" t="str">
        <f t="shared" si="8"/>
        <v/>
      </c>
    </row>
    <row r="527" spans="1:3" ht="14.4" x14ac:dyDescent="0.3">
      <c r="A527" s="4" t="s">
        <v>1122</v>
      </c>
      <c r="B527" s="7">
        <v>843</v>
      </c>
      <c r="C527" s="2" t="str">
        <f t="shared" si="8"/>
        <v>$$$$$$$$</v>
      </c>
    </row>
    <row r="528" spans="1:3" ht="14.4" x14ac:dyDescent="0.3">
      <c r="A528" s="4" t="s">
        <v>1123</v>
      </c>
      <c r="B528" s="7">
        <v>976</v>
      </c>
      <c r="C528" s="2" t="str">
        <f t="shared" si="8"/>
        <v>$$$$$$$$$</v>
      </c>
    </row>
    <row r="529" spans="1:3" ht="14.4" x14ac:dyDescent="0.3">
      <c r="A529" s="4" t="s">
        <v>1124</v>
      </c>
      <c r="B529" s="7">
        <v>644</v>
      </c>
      <c r="C529" s="2" t="str">
        <f t="shared" si="8"/>
        <v>$$$$$$</v>
      </c>
    </row>
    <row r="530" spans="1:3" ht="14.4" x14ac:dyDescent="0.3">
      <c r="A530" s="4" t="s">
        <v>1125</v>
      </c>
      <c r="B530" s="7">
        <v>752</v>
      </c>
      <c r="C530" s="2" t="str">
        <f t="shared" si="8"/>
        <v>$$$$$$$</v>
      </c>
    </row>
    <row r="531" spans="1:3" ht="14.4" x14ac:dyDescent="0.3">
      <c r="A531" s="4" t="s">
        <v>1126</v>
      </c>
      <c r="B531" s="7">
        <v>985</v>
      </c>
      <c r="C531" s="2" t="str">
        <f t="shared" si="8"/>
        <v>$$$$$$$$$</v>
      </c>
    </row>
    <row r="532" spans="1:3" ht="14.4" x14ac:dyDescent="0.3">
      <c r="A532" s="4" t="s">
        <v>1127</v>
      </c>
      <c r="B532" s="7">
        <v>33</v>
      </c>
      <c r="C532" s="2" t="str">
        <f t="shared" si="8"/>
        <v/>
      </c>
    </row>
    <row r="533" spans="1:3" ht="14.4" x14ac:dyDescent="0.3">
      <c r="A533" s="4" t="s">
        <v>1128</v>
      </c>
      <c r="B533" s="7">
        <v>847</v>
      </c>
      <c r="C533" s="2" t="str">
        <f t="shared" si="8"/>
        <v>$$$$$$$$</v>
      </c>
    </row>
    <row r="534" spans="1:3" ht="14.4" x14ac:dyDescent="0.3">
      <c r="A534" s="4" t="s">
        <v>1129</v>
      </c>
      <c r="B534" s="7">
        <v>812</v>
      </c>
      <c r="C534" s="2" t="str">
        <f t="shared" si="8"/>
        <v>$$$$$$$$</v>
      </c>
    </row>
    <row r="535" spans="1:3" ht="14.4" x14ac:dyDescent="0.3">
      <c r="A535" s="4" t="s">
        <v>1130</v>
      </c>
      <c r="B535" s="7">
        <v>537</v>
      </c>
      <c r="C535" s="2" t="str">
        <f t="shared" si="8"/>
        <v>$$$$$</v>
      </c>
    </row>
    <row r="536" spans="1:3" ht="14.4" x14ac:dyDescent="0.3">
      <c r="A536" s="4" t="s">
        <v>1131</v>
      </c>
      <c r="B536" s="7">
        <v>537</v>
      </c>
      <c r="C536" s="2" t="str">
        <f t="shared" si="8"/>
        <v>$$$$$</v>
      </c>
    </row>
    <row r="537" spans="1:3" ht="14.4" x14ac:dyDescent="0.3">
      <c r="A537" s="4" t="s">
        <v>1132</v>
      </c>
      <c r="B537" s="7">
        <v>747</v>
      </c>
      <c r="C537" s="2" t="str">
        <f t="shared" si="8"/>
        <v>$$$$$$$</v>
      </c>
    </row>
    <row r="538" spans="1:3" ht="14.4" x14ac:dyDescent="0.3">
      <c r="A538" s="4" t="s">
        <v>1133</v>
      </c>
      <c r="B538" s="7">
        <v>16</v>
      </c>
      <c r="C538" s="2" t="str">
        <f t="shared" si="8"/>
        <v/>
      </c>
    </row>
    <row r="539" spans="1:3" ht="14.4" x14ac:dyDescent="0.3">
      <c r="A539" s="4" t="s">
        <v>1134</v>
      </c>
      <c r="B539" s="7">
        <v>802</v>
      </c>
      <c r="C539" s="2" t="str">
        <f t="shared" si="8"/>
        <v>$$$$$$$$</v>
      </c>
    </row>
    <row r="540" spans="1:3" ht="14.4" x14ac:dyDescent="0.3">
      <c r="A540" s="4" t="s">
        <v>1135</v>
      </c>
      <c r="B540" s="7">
        <v>546</v>
      </c>
      <c r="C540" s="2" t="str">
        <f t="shared" si="8"/>
        <v>$$$$$</v>
      </c>
    </row>
    <row r="541" spans="1:3" ht="14.4" x14ac:dyDescent="0.3">
      <c r="A541" s="4" t="s">
        <v>1136</v>
      </c>
      <c r="B541" s="7">
        <v>576</v>
      </c>
      <c r="C541" s="2" t="str">
        <f t="shared" si="8"/>
        <v>$$$$$</v>
      </c>
    </row>
    <row r="542" spans="1:3" ht="14.4" x14ac:dyDescent="0.3">
      <c r="A542" s="4" t="s">
        <v>1137</v>
      </c>
      <c r="B542" s="7">
        <v>935</v>
      </c>
      <c r="C542" s="2" t="str">
        <f t="shared" si="8"/>
        <v>$$$$$$$$$</v>
      </c>
    </row>
    <row r="543" spans="1:3" ht="14.4" x14ac:dyDescent="0.3">
      <c r="A543" s="4" t="s">
        <v>1138</v>
      </c>
      <c r="B543" s="7">
        <v>579</v>
      </c>
      <c r="C543" s="2" t="str">
        <f t="shared" si="8"/>
        <v>$$$$$</v>
      </c>
    </row>
    <row r="544" spans="1:3" ht="14.4" x14ac:dyDescent="0.3">
      <c r="A544" s="4" t="s">
        <v>1139</v>
      </c>
      <c r="B544" s="7">
        <v>232</v>
      </c>
      <c r="C544" s="2" t="str">
        <f t="shared" si="8"/>
        <v>$$</v>
      </c>
    </row>
    <row r="545" spans="1:3" ht="14.4" x14ac:dyDescent="0.3">
      <c r="A545" s="4" t="s">
        <v>1140</v>
      </c>
      <c r="B545" s="7">
        <v>416</v>
      </c>
      <c r="C545" s="2" t="str">
        <f t="shared" si="8"/>
        <v>$$$$</v>
      </c>
    </row>
    <row r="546" spans="1:3" ht="14.4" x14ac:dyDescent="0.3">
      <c r="A546" s="4" t="s">
        <v>1141</v>
      </c>
      <c r="B546" s="7">
        <v>498</v>
      </c>
      <c r="C546" s="2" t="str">
        <f t="shared" si="8"/>
        <v>$$$$</v>
      </c>
    </row>
    <row r="547" spans="1:3" ht="14.4" x14ac:dyDescent="0.3">
      <c r="A547" s="4" t="s">
        <v>1142</v>
      </c>
      <c r="B547" s="7">
        <v>576</v>
      </c>
      <c r="C547" s="2" t="str">
        <f t="shared" si="8"/>
        <v>$$$$$</v>
      </c>
    </row>
    <row r="548" spans="1:3" ht="14.4" x14ac:dyDescent="0.3">
      <c r="A548" s="4" t="s">
        <v>1143</v>
      </c>
      <c r="B548" s="7">
        <v>981</v>
      </c>
      <c r="C548" s="2" t="str">
        <f t="shared" si="8"/>
        <v>$$$$$$$$$</v>
      </c>
    </row>
    <row r="549" spans="1:3" ht="14.4" x14ac:dyDescent="0.3">
      <c r="A549" s="4" t="s">
        <v>1144</v>
      </c>
      <c r="B549" s="7">
        <v>883</v>
      </c>
      <c r="C549" s="2" t="str">
        <f t="shared" si="8"/>
        <v>$$$$$$$$</v>
      </c>
    </row>
    <row r="550" spans="1:3" ht="14.4" x14ac:dyDescent="0.3">
      <c r="A550" s="4" t="s">
        <v>1145</v>
      </c>
      <c r="B550" s="7">
        <v>171</v>
      </c>
      <c r="C550" s="2" t="str">
        <f t="shared" si="8"/>
        <v>$</v>
      </c>
    </row>
    <row r="551" spans="1:3" ht="14.4" x14ac:dyDescent="0.3">
      <c r="A551" s="4" t="s">
        <v>1146</v>
      </c>
      <c r="B551" s="7">
        <v>21</v>
      </c>
      <c r="C551" s="2" t="str">
        <f t="shared" si="8"/>
        <v/>
      </c>
    </row>
    <row r="552" spans="1:3" ht="14.4" x14ac:dyDescent="0.3">
      <c r="A552" s="4" t="s">
        <v>1147</v>
      </c>
      <c r="B552" s="7">
        <v>415</v>
      </c>
      <c r="C552" s="2" t="str">
        <f t="shared" si="8"/>
        <v>$$$$</v>
      </c>
    </row>
    <row r="553" spans="1:3" ht="14.4" x14ac:dyDescent="0.3">
      <c r="A553" s="4" t="s">
        <v>1148</v>
      </c>
      <c r="B553" s="7">
        <v>908</v>
      </c>
      <c r="C553" s="2" t="str">
        <f t="shared" si="8"/>
        <v>$$$$$$$$$</v>
      </c>
    </row>
    <row r="554" spans="1:3" ht="14.4" x14ac:dyDescent="0.3">
      <c r="A554" s="4" t="s">
        <v>1149</v>
      </c>
      <c r="B554" s="7">
        <v>868</v>
      </c>
      <c r="C554" s="2" t="str">
        <f t="shared" si="8"/>
        <v>$$$$$$$$</v>
      </c>
    </row>
    <row r="555" spans="1:3" ht="14.4" x14ac:dyDescent="0.3">
      <c r="A555" s="4" t="s">
        <v>1150</v>
      </c>
      <c r="B555" s="7">
        <v>838</v>
      </c>
      <c r="C555" s="2" t="str">
        <f t="shared" si="8"/>
        <v>$$$$$$$$</v>
      </c>
    </row>
    <row r="556" spans="1:3" ht="14.4" x14ac:dyDescent="0.3">
      <c r="A556" s="4" t="s">
        <v>1151</v>
      </c>
      <c r="B556" s="7">
        <v>364</v>
      </c>
      <c r="C556" s="2" t="str">
        <f t="shared" si="8"/>
        <v>$$$</v>
      </c>
    </row>
    <row r="557" spans="1:3" ht="14.4" x14ac:dyDescent="0.3">
      <c r="A557" s="4" t="s">
        <v>1152</v>
      </c>
      <c r="B557" s="7">
        <v>987</v>
      </c>
      <c r="C557" s="2" t="str">
        <f t="shared" si="8"/>
        <v>$$$$$$$$$</v>
      </c>
    </row>
    <row r="558" spans="1:3" ht="14.4" x14ac:dyDescent="0.3">
      <c r="A558" s="4" t="s">
        <v>1153</v>
      </c>
      <c r="B558" s="7">
        <v>407</v>
      </c>
      <c r="C558" s="2" t="str">
        <f t="shared" si="8"/>
        <v>$$$$</v>
      </c>
    </row>
    <row r="559" spans="1:3" ht="14.4" x14ac:dyDescent="0.3">
      <c r="A559" s="4" t="s">
        <v>1154</v>
      </c>
      <c r="B559" s="7">
        <v>57</v>
      </c>
      <c r="C559" s="2" t="str">
        <f t="shared" si="8"/>
        <v/>
      </c>
    </row>
    <row r="560" spans="1:3" ht="14.4" x14ac:dyDescent="0.3">
      <c r="A560" s="4" t="s">
        <v>1155</v>
      </c>
      <c r="B560" s="7">
        <v>412</v>
      </c>
      <c r="C560" s="2" t="str">
        <f t="shared" si="8"/>
        <v>$$$$</v>
      </c>
    </row>
    <row r="561" spans="1:3" ht="14.4" x14ac:dyDescent="0.3">
      <c r="A561" s="4" t="s">
        <v>1156</v>
      </c>
      <c r="B561" s="7">
        <v>243</v>
      </c>
      <c r="C561" s="2" t="str">
        <f t="shared" si="8"/>
        <v>$$</v>
      </c>
    </row>
    <row r="562" spans="1:3" ht="14.4" x14ac:dyDescent="0.3">
      <c r="A562" s="4" t="s">
        <v>1157</v>
      </c>
      <c r="B562" s="7">
        <v>139</v>
      </c>
      <c r="C562" s="2" t="str">
        <f t="shared" si="8"/>
        <v>$</v>
      </c>
    </row>
    <row r="563" spans="1:3" ht="14.4" x14ac:dyDescent="0.3">
      <c r="A563" s="4" t="s">
        <v>1158</v>
      </c>
      <c r="B563" s="7">
        <v>968</v>
      </c>
      <c r="C563" s="2" t="str">
        <f t="shared" si="8"/>
        <v>$$$$$$$$$</v>
      </c>
    </row>
    <row r="564" spans="1:3" ht="14.4" x14ac:dyDescent="0.3">
      <c r="A564" s="4" t="s">
        <v>1159</v>
      </c>
      <c r="B564" s="7">
        <v>987</v>
      </c>
      <c r="C564" s="2" t="str">
        <f t="shared" si="8"/>
        <v>$$$$$$$$$</v>
      </c>
    </row>
    <row r="565" spans="1:3" ht="14.4" x14ac:dyDescent="0.3">
      <c r="A565" s="4" t="s">
        <v>1160</v>
      </c>
      <c r="B565" s="7">
        <v>607</v>
      </c>
      <c r="C565" s="2" t="str">
        <f t="shared" si="8"/>
        <v>$$$$$$</v>
      </c>
    </row>
    <row r="566" spans="1:3" ht="14.4" x14ac:dyDescent="0.3">
      <c r="A566" s="4" t="s">
        <v>1161</v>
      </c>
      <c r="B566" s="7">
        <v>540</v>
      </c>
      <c r="C566" s="2" t="str">
        <f t="shared" si="8"/>
        <v>$$$$$</v>
      </c>
    </row>
    <row r="567" spans="1:3" ht="14.4" x14ac:dyDescent="0.3">
      <c r="A567" s="4" t="s">
        <v>1162</v>
      </c>
      <c r="B567" s="7">
        <v>872</v>
      </c>
      <c r="C567" s="2" t="str">
        <f t="shared" si="8"/>
        <v>$$$$$$$$</v>
      </c>
    </row>
    <row r="568" spans="1:3" ht="14.4" x14ac:dyDescent="0.3">
      <c r="A568" s="4" t="s">
        <v>1163</v>
      </c>
      <c r="B568" s="7">
        <v>171</v>
      </c>
      <c r="C568" s="2" t="str">
        <f t="shared" si="8"/>
        <v>$</v>
      </c>
    </row>
    <row r="569" spans="1:3" ht="14.4" x14ac:dyDescent="0.3">
      <c r="A569" s="4" t="s">
        <v>1164</v>
      </c>
      <c r="B569" s="7">
        <v>426</v>
      </c>
      <c r="C569" s="2" t="str">
        <f t="shared" si="8"/>
        <v>$$$$</v>
      </c>
    </row>
    <row r="570" spans="1:3" ht="14.4" x14ac:dyDescent="0.3">
      <c r="A570" s="4" t="s">
        <v>1165</v>
      </c>
      <c r="B570" s="7">
        <v>966</v>
      </c>
      <c r="C570" s="2" t="str">
        <f t="shared" si="8"/>
        <v>$$$$$$$$$</v>
      </c>
    </row>
    <row r="571" spans="1:3" ht="14.4" x14ac:dyDescent="0.3">
      <c r="A571" s="4" t="s">
        <v>1166</v>
      </c>
      <c r="B571" s="7">
        <v>218</v>
      </c>
      <c r="C571" s="2" t="str">
        <f t="shared" si="8"/>
        <v>$$</v>
      </c>
    </row>
    <row r="572" spans="1:3" ht="14.4" x14ac:dyDescent="0.3">
      <c r="A572" s="4" t="s">
        <v>1167</v>
      </c>
      <c r="B572" s="7">
        <v>290</v>
      </c>
      <c r="C572" s="2" t="str">
        <f t="shared" si="8"/>
        <v>$$</v>
      </c>
    </row>
    <row r="573" spans="1:3" ht="14.4" x14ac:dyDescent="0.3">
      <c r="A573" s="4" t="s">
        <v>1168</v>
      </c>
      <c r="B573" s="7">
        <v>876</v>
      </c>
      <c r="C573" s="2" t="str">
        <f t="shared" si="8"/>
        <v>$$$$$$$$</v>
      </c>
    </row>
    <row r="574" spans="1:3" ht="14.4" x14ac:dyDescent="0.3">
      <c r="A574" s="4" t="s">
        <v>1169</v>
      </c>
      <c r="B574" s="7">
        <v>501</v>
      </c>
      <c r="C574" s="2" t="str">
        <f t="shared" si="8"/>
        <v>$$$$$</v>
      </c>
    </row>
    <row r="575" spans="1:3" ht="14.4" x14ac:dyDescent="0.3">
      <c r="A575" s="4" t="s">
        <v>1170</v>
      </c>
      <c r="B575" s="7">
        <v>329</v>
      </c>
      <c r="C575" s="2" t="str">
        <f t="shared" si="8"/>
        <v>$$$</v>
      </c>
    </row>
    <row r="576" spans="1:3" ht="14.4" x14ac:dyDescent="0.3">
      <c r="A576" s="4" t="s">
        <v>1171</v>
      </c>
      <c r="B576" s="7">
        <v>117</v>
      </c>
      <c r="C576" s="2" t="str">
        <f t="shared" si="8"/>
        <v>$</v>
      </c>
    </row>
    <row r="577" spans="1:3" ht="14.4" x14ac:dyDescent="0.3">
      <c r="A577" s="4" t="s">
        <v>1172</v>
      </c>
      <c r="B577" s="7">
        <v>584</v>
      </c>
      <c r="C577" s="2" t="str">
        <f t="shared" si="8"/>
        <v>$$$$$</v>
      </c>
    </row>
    <row r="578" spans="1:3" ht="14.4" x14ac:dyDescent="0.3">
      <c r="A578" s="4" t="s">
        <v>1173</v>
      </c>
      <c r="B578" s="7">
        <v>771</v>
      </c>
      <c r="C578" s="2" t="str">
        <f t="shared" si="8"/>
        <v>$$$$$$$</v>
      </c>
    </row>
    <row r="579" spans="1:3" ht="14.4" x14ac:dyDescent="0.3">
      <c r="A579" s="4" t="s">
        <v>1174</v>
      </c>
      <c r="B579" s="7">
        <v>859</v>
      </c>
      <c r="C579" s="2" t="str">
        <f t="shared" ref="C579:C601" si="9">REPT("$",B579/100)</f>
        <v>$$$$$$$$</v>
      </c>
    </row>
    <row r="580" spans="1:3" ht="14.4" x14ac:dyDescent="0.3">
      <c r="A580" s="4" t="s">
        <v>1175</v>
      </c>
      <c r="B580" s="7">
        <v>974</v>
      </c>
      <c r="C580" s="2" t="str">
        <f t="shared" si="9"/>
        <v>$$$$$$$$$</v>
      </c>
    </row>
    <row r="581" spans="1:3" ht="14.4" x14ac:dyDescent="0.3">
      <c r="A581" s="4" t="s">
        <v>1176</v>
      </c>
      <c r="B581" s="7">
        <v>16</v>
      </c>
      <c r="C581" s="2" t="str">
        <f t="shared" si="9"/>
        <v/>
      </c>
    </row>
    <row r="582" spans="1:3" ht="14.4" x14ac:dyDescent="0.3">
      <c r="A582" s="4" t="s">
        <v>1177</v>
      </c>
      <c r="B582" s="7">
        <v>910</v>
      </c>
      <c r="C582" s="2" t="str">
        <f t="shared" si="9"/>
        <v>$$$$$$$$$</v>
      </c>
    </row>
    <row r="583" spans="1:3" ht="14.4" x14ac:dyDescent="0.3">
      <c r="A583" s="4" t="s">
        <v>1178</v>
      </c>
      <c r="B583" s="7">
        <v>671</v>
      </c>
      <c r="C583" s="2" t="str">
        <f t="shared" si="9"/>
        <v>$$$$$$</v>
      </c>
    </row>
    <row r="584" spans="1:3" ht="14.4" x14ac:dyDescent="0.3">
      <c r="A584" s="4" t="s">
        <v>1179</v>
      </c>
      <c r="B584" s="7">
        <v>333</v>
      </c>
      <c r="C584" s="2" t="str">
        <f t="shared" si="9"/>
        <v>$$$</v>
      </c>
    </row>
    <row r="585" spans="1:3" ht="14.4" x14ac:dyDescent="0.3">
      <c r="A585" s="4" t="s">
        <v>1180</v>
      </c>
      <c r="B585" s="7">
        <v>273</v>
      </c>
      <c r="C585" s="2" t="str">
        <f t="shared" si="9"/>
        <v>$$</v>
      </c>
    </row>
    <row r="586" spans="1:3" ht="14.4" x14ac:dyDescent="0.3">
      <c r="A586" s="4" t="s">
        <v>1181</v>
      </c>
      <c r="B586" s="7">
        <v>375</v>
      </c>
      <c r="C586" s="2" t="str">
        <f t="shared" si="9"/>
        <v>$$$</v>
      </c>
    </row>
    <row r="587" spans="1:3" ht="14.4" x14ac:dyDescent="0.3">
      <c r="A587" s="4" t="s">
        <v>1182</v>
      </c>
      <c r="B587" s="7">
        <v>790</v>
      </c>
      <c r="C587" s="2" t="str">
        <f t="shared" si="9"/>
        <v>$$$$$$$</v>
      </c>
    </row>
    <row r="588" spans="1:3" ht="14.4" x14ac:dyDescent="0.3">
      <c r="A588" s="4" t="s">
        <v>1183</v>
      </c>
      <c r="B588" s="7">
        <v>571</v>
      </c>
      <c r="C588" s="2" t="str">
        <f t="shared" si="9"/>
        <v>$$$$$</v>
      </c>
    </row>
    <row r="589" spans="1:3" ht="14.4" x14ac:dyDescent="0.3">
      <c r="A589" s="4" t="s">
        <v>1184</v>
      </c>
      <c r="B589" s="7">
        <v>148</v>
      </c>
      <c r="C589" s="2" t="str">
        <f t="shared" si="9"/>
        <v>$</v>
      </c>
    </row>
    <row r="590" spans="1:3" ht="14.4" x14ac:dyDescent="0.3">
      <c r="A590" s="4" t="s">
        <v>1185</v>
      </c>
      <c r="B590" s="7">
        <v>154</v>
      </c>
      <c r="C590" s="2" t="str">
        <f t="shared" si="9"/>
        <v>$</v>
      </c>
    </row>
    <row r="591" spans="1:3" ht="14.4" x14ac:dyDescent="0.3">
      <c r="A591" s="4" t="s">
        <v>1186</v>
      </c>
      <c r="B591" s="7">
        <v>683</v>
      </c>
      <c r="C591" s="2" t="str">
        <f t="shared" si="9"/>
        <v>$$$$$$</v>
      </c>
    </row>
    <row r="592" spans="1:3" ht="14.4" x14ac:dyDescent="0.3">
      <c r="A592" s="4" t="s">
        <v>1187</v>
      </c>
      <c r="B592" s="7">
        <v>377</v>
      </c>
      <c r="C592" s="2" t="str">
        <f t="shared" si="9"/>
        <v>$$$</v>
      </c>
    </row>
    <row r="593" spans="1:3" ht="14.4" x14ac:dyDescent="0.3">
      <c r="A593" s="4" t="s">
        <v>1188</v>
      </c>
      <c r="B593" s="7">
        <v>451</v>
      </c>
      <c r="C593" s="2" t="str">
        <f t="shared" si="9"/>
        <v>$$$$</v>
      </c>
    </row>
    <row r="594" spans="1:3" ht="14.4" x14ac:dyDescent="0.3">
      <c r="A594" s="4" t="s">
        <v>1189</v>
      </c>
      <c r="B594" s="7">
        <v>31</v>
      </c>
      <c r="C594" s="2" t="str">
        <f t="shared" si="9"/>
        <v/>
      </c>
    </row>
    <row r="595" spans="1:3" ht="14.4" x14ac:dyDescent="0.3">
      <c r="A595" s="4" t="s">
        <v>1190</v>
      </c>
      <c r="B595" s="7">
        <v>180</v>
      </c>
      <c r="C595" s="2" t="str">
        <f t="shared" si="9"/>
        <v>$</v>
      </c>
    </row>
    <row r="596" spans="1:3" ht="14.4" x14ac:dyDescent="0.3">
      <c r="A596" s="4" t="s">
        <v>1191</v>
      </c>
      <c r="B596" s="7">
        <v>927</v>
      </c>
      <c r="C596" s="2" t="str">
        <f t="shared" si="9"/>
        <v>$$$$$$$$$</v>
      </c>
    </row>
    <row r="597" spans="1:3" ht="14.4" x14ac:dyDescent="0.3">
      <c r="A597" s="4" t="s">
        <v>1192</v>
      </c>
      <c r="B597" s="7">
        <v>871</v>
      </c>
      <c r="C597" s="2" t="str">
        <f t="shared" si="9"/>
        <v>$$$$$$$$</v>
      </c>
    </row>
    <row r="598" spans="1:3" ht="14.4" x14ac:dyDescent="0.3">
      <c r="A598" s="4" t="s">
        <v>1193</v>
      </c>
      <c r="B598" s="7">
        <v>923</v>
      </c>
      <c r="C598" s="2" t="str">
        <f t="shared" si="9"/>
        <v>$$$$$$$$$</v>
      </c>
    </row>
    <row r="599" spans="1:3" ht="14.4" x14ac:dyDescent="0.3">
      <c r="A599" s="4" t="s">
        <v>1194</v>
      </c>
      <c r="B599" s="7">
        <v>1000</v>
      </c>
      <c r="C599" s="2" t="str">
        <f t="shared" si="9"/>
        <v>$$$$$$$$$$</v>
      </c>
    </row>
    <row r="600" spans="1:3" ht="14.4" x14ac:dyDescent="0.3">
      <c r="A600" s="4" t="s">
        <v>1195</v>
      </c>
      <c r="B600" s="7">
        <v>373</v>
      </c>
      <c r="C600" s="2" t="str">
        <f t="shared" si="9"/>
        <v>$$$</v>
      </c>
    </row>
    <row r="601" spans="1:3" ht="14.4" x14ac:dyDescent="0.3">
      <c r="A601" s="4" t="s">
        <v>1196</v>
      </c>
      <c r="B601" s="7">
        <v>880</v>
      </c>
      <c r="C601" s="2" t="str">
        <f t="shared" si="9"/>
        <v>$$$$$$$$</v>
      </c>
    </row>
    <row r="602" spans="1:3" ht="14.4" x14ac:dyDescent="0.3">
      <c r="A602" s="4"/>
      <c r="B602" s="7"/>
      <c r="C602" s="2"/>
    </row>
    <row r="603" spans="1:3" ht="14.4" x14ac:dyDescent="0.3">
      <c r="A603" s="4"/>
      <c r="B603" s="7"/>
      <c r="C603" s="2"/>
    </row>
    <row r="604" spans="1:3" ht="14.4" x14ac:dyDescent="0.3">
      <c r="A604" s="4"/>
      <c r="B604" s="7"/>
      <c r="C604" s="2"/>
    </row>
    <row r="605" spans="1:3" ht="14.4" x14ac:dyDescent="0.3">
      <c r="A605" s="4"/>
      <c r="B605" s="7"/>
      <c r="C605" s="2"/>
    </row>
    <row r="606" spans="1:3" ht="14.4" x14ac:dyDescent="0.3">
      <c r="A606" s="4"/>
      <c r="B606" s="7"/>
      <c r="C606" s="2"/>
    </row>
    <row r="607" spans="1:3" ht="14.4" x14ac:dyDescent="0.3">
      <c r="A607" s="4"/>
      <c r="B607" s="7"/>
      <c r="C607" s="2"/>
    </row>
    <row r="608" spans="1:3" ht="14.4" x14ac:dyDescent="0.3">
      <c r="A608" s="4"/>
      <c r="B608" s="7"/>
      <c r="C608" s="2"/>
    </row>
    <row r="609" spans="1:3" ht="14.4" x14ac:dyDescent="0.3">
      <c r="A609" s="4"/>
      <c r="B609" s="7"/>
      <c r="C609" s="2"/>
    </row>
    <row r="610" spans="1:3" ht="14.4" x14ac:dyDescent="0.3">
      <c r="A610" s="4"/>
      <c r="B610" s="7"/>
      <c r="C610" s="2"/>
    </row>
    <row r="611" spans="1:3" ht="14.4" x14ac:dyDescent="0.3">
      <c r="A611" s="4"/>
      <c r="B611" s="7"/>
      <c r="C611" s="2"/>
    </row>
    <row r="612" spans="1:3" ht="14.4" x14ac:dyDescent="0.3">
      <c r="A612" s="4"/>
      <c r="B612" s="7"/>
      <c r="C612" s="2"/>
    </row>
    <row r="613" spans="1:3" ht="14.4" x14ac:dyDescent="0.3">
      <c r="A613" s="4"/>
      <c r="B613" s="7"/>
      <c r="C613" s="2"/>
    </row>
    <row r="614" spans="1:3" ht="14.4" x14ac:dyDescent="0.3">
      <c r="A614" s="4"/>
      <c r="B614" s="7"/>
      <c r="C614" s="2"/>
    </row>
    <row r="615" spans="1:3" ht="14.4" x14ac:dyDescent="0.3">
      <c r="A615" s="4"/>
      <c r="B615" s="7"/>
      <c r="C615" s="2"/>
    </row>
    <row r="616" spans="1:3" ht="14.4" x14ac:dyDescent="0.3">
      <c r="A616" s="4"/>
      <c r="B616" s="7"/>
      <c r="C616" s="2"/>
    </row>
    <row r="617" spans="1:3" ht="14.4" x14ac:dyDescent="0.3">
      <c r="A617" s="4"/>
      <c r="B617" s="7"/>
      <c r="C617" s="2"/>
    </row>
    <row r="618" spans="1:3" ht="14.4" x14ac:dyDescent="0.3">
      <c r="A618" s="4"/>
      <c r="B618" s="7"/>
      <c r="C618" s="2"/>
    </row>
    <row r="619" spans="1:3" ht="14.4" x14ac:dyDescent="0.3">
      <c r="A619" s="4"/>
      <c r="B619" s="7"/>
      <c r="C619" s="2"/>
    </row>
    <row r="620" spans="1:3" ht="14.4" x14ac:dyDescent="0.3">
      <c r="A620" s="4"/>
      <c r="B620" s="7"/>
      <c r="C620" s="2"/>
    </row>
    <row r="621" spans="1:3" ht="14.4" x14ac:dyDescent="0.3">
      <c r="A621" s="4"/>
      <c r="B621" s="7"/>
      <c r="C621" s="2"/>
    </row>
    <row r="622" spans="1:3" ht="14.4" x14ac:dyDescent="0.3">
      <c r="A622" s="4"/>
      <c r="B622" s="7"/>
      <c r="C622" s="2"/>
    </row>
    <row r="623" spans="1:3" ht="14.4" x14ac:dyDescent="0.3">
      <c r="A623" s="4"/>
      <c r="B623" s="7"/>
      <c r="C623" s="2"/>
    </row>
    <row r="624" spans="1:3" ht="14.4" x14ac:dyDescent="0.3">
      <c r="A624" s="4"/>
      <c r="B624" s="7"/>
      <c r="C624" s="2"/>
    </row>
    <row r="625" spans="1:3" ht="14.4" x14ac:dyDescent="0.3">
      <c r="A625" s="4"/>
      <c r="B625" s="7"/>
      <c r="C625" s="2"/>
    </row>
    <row r="626" spans="1:3" ht="14.4" x14ac:dyDescent="0.3">
      <c r="A626" s="4"/>
      <c r="B626" s="7"/>
      <c r="C626" s="2"/>
    </row>
    <row r="627" spans="1:3" ht="14.4" x14ac:dyDescent="0.3">
      <c r="A627" s="4"/>
      <c r="B627" s="7"/>
      <c r="C627" s="2"/>
    </row>
    <row r="628" spans="1:3" ht="14.4" x14ac:dyDescent="0.3">
      <c r="A628" s="4"/>
      <c r="B628" s="7"/>
      <c r="C628" s="2"/>
    </row>
    <row r="629" spans="1:3" ht="14.4" x14ac:dyDescent="0.3">
      <c r="A629" s="4"/>
      <c r="B629" s="7"/>
      <c r="C629" s="2"/>
    </row>
    <row r="630" spans="1:3" ht="14.4" x14ac:dyDescent="0.3">
      <c r="A630" s="4"/>
      <c r="B630" s="7"/>
      <c r="C630" s="2"/>
    </row>
    <row r="631" spans="1:3" ht="14.4" x14ac:dyDescent="0.3">
      <c r="A631" s="4"/>
      <c r="B631" s="7"/>
      <c r="C631" s="2"/>
    </row>
    <row r="632" spans="1:3" ht="14.4" x14ac:dyDescent="0.3">
      <c r="A632" s="4"/>
      <c r="B632" s="7"/>
      <c r="C632" s="2"/>
    </row>
    <row r="633" spans="1:3" ht="14.4" x14ac:dyDescent="0.3">
      <c r="A633" s="4"/>
      <c r="B633" s="7"/>
      <c r="C633" s="2"/>
    </row>
    <row r="634" spans="1:3" ht="14.4" x14ac:dyDescent="0.3">
      <c r="A634" s="4"/>
      <c r="B634" s="7"/>
      <c r="C634" s="2"/>
    </row>
    <row r="635" spans="1:3" ht="14.4" x14ac:dyDescent="0.3">
      <c r="A635" s="4"/>
      <c r="B635" s="7"/>
      <c r="C635" s="2"/>
    </row>
    <row r="636" spans="1:3" ht="14.4" x14ac:dyDescent="0.3">
      <c r="A636" s="4"/>
      <c r="B636" s="7"/>
      <c r="C636" s="2"/>
    </row>
    <row r="637" spans="1:3" ht="14.4" x14ac:dyDescent="0.3">
      <c r="A637" s="4"/>
      <c r="B637" s="7"/>
      <c r="C637" s="2"/>
    </row>
    <row r="638" spans="1:3" ht="14.4" x14ac:dyDescent="0.3">
      <c r="A638" s="4"/>
      <c r="B638" s="7"/>
      <c r="C638" s="2"/>
    </row>
    <row r="639" spans="1:3" ht="14.4" x14ac:dyDescent="0.3">
      <c r="A639" s="4"/>
      <c r="B639" s="7"/>
      <c r="C639" s="2"/>
    </row>
    <row r="640" spans="1:3" ht="14.4" x14ac:dyDescent="0.3">
      <c r="A640" s="4"/>
      <c r="B640" s="7"/>
      <c r="C640" s="2"/>
    </row>
    <row r="641" spans="1:3" ht="14.4" x14ac:dyDescent="0.3">
      <c r="A641" s="4"/>
      <c r="B641" s="7"/>
      <c r="C641" s="2"/>
    </row>
    <row r="642" spans="1:3" ht="14.4" x14ac:dyDescent="0.3">
      <c r="A642" s="4"/>
      <c r="B642" s="7"/>
      <c r="C642" s="2"/>
    </row>
    <row r="643" spans="1:3" ht="14.4" x14ac:dyDescent="0.3">
      <c r="A643" s="4"/>
      <c r="B643" s="7"/>
      <c r="C643" s="2"/>
    </row>
    <row r="644" spans="1:3" ht="14.4" x14ac:dyDescent="0.3">
      <c r="A644" s="4"/>
      <c r="B644" s="7"/>
      <c r="C644" s="2"/>
    </row>
    <row r="645" spans="1:3" ht="14.4" x14ac:dyDescent="0.3">
      <c r="A645" s="4"/>
      <c r="B645" s="7"/>
      <c r="C645" s="2"/>
    </row>
    <row r="646" spans="1:3" ht="14.4" x14ac:dyDescent="0.3">
      <c r="A646" s="4"/>
      <c r="B646" s="7"/>
      <c r="C646" s="2"/>
    </row>
    <row r="647" spans="1:3" ht="14.4" x14ac:dyDescent="0.3">
      <c r="A647" s="4"/>
      <c r="B647" s="7"/>
      <c r="C647" s="2"/>
    </row>
    <row r="648" spans="1:3" ht="14.4" x14ac:dyDescent="0.3">
      <c r="A648" s="4"/>
      <c r="B648" s="7"/>
      <c r="C648" s="2"/>
    </row>
    <row r="649" spans="1:3" ht="14.4" x14ac:dyDescent="0.3">
      <c r="A649" s="4"/>
      <c r="B649" s="7"/>
      <c r="C649" s="2"/>
    </row>
    <row r="650" spans="1:3" ht="14.4" x14ac:dyDescent="0.3">
      <c r="A650" s="4"/>
      <c r="B650" s="7"/>
      <c r="C650" s="2"/>
    </row>
    <row r="651" spans="1:3" ht="14.4" x14ac:dyDescent="0.3">
      <c r="A651" s="4"/>
      <c r="B651" s="7"/>
      <c r="C651" s="2"/>
    </row>
    <row r="652" spans="1:3" ht="14.4" x14ac:dyDescent="0.3">
      <c r="A652" s="4"/>
      <c r="B652" s="7"/>
      <c r="C652" s="2"/>
    </row>
    <row r="653" spans="1:3" ht="14.4" x14ac:dyDescent="0.3">
      <c r="A653" s="4"/>
      <c r="B653" s="7"/>
      <c r="C653" s="2"/>
    </row>
    <row r="654" spans="1:3" ht="14.4" x14ac:dyDescent="0.3">
      <c r="A654" s="4"/>
      <c r="B654" s="7"/>
      <c r="C654" s="2"/>
    </row>
    <row r="655" spans="1:3" ht="14.4" x14ac:dyDescent="0.3">
      <c r="A655" s="4"/>
      <c r="B655" s="7"/>
      <c r="C655" s="2"/>
    </row>
    <row r="656" spans="1:3" ht="14.4" x14ac:dyDescent="0.3">
      <c r="A656" s="4"/>
      <c r="B656" s="7"/>
      <c r="C656" s="2"/>
    </row>
    <row r="657" spans="1:3" ht="14.4" x14ac:dyDescent="0.3">
      <c r="A657" s="4"/>
      <c r="B657" s="7"/>
      <c r="C657" s="2"/>
    </row>
    <row r="658" spans="1:3" ht="14.4" x14ac:dyDescent="0.3">
      <c r="A658" s="4"/>
      <c r="B658" s="7"/>
      <c r="C658" s="2"/>
    </row>
    <row r="659" spans="1:3" ht="14.4" x14ac:dyDescent="0.3">
      <c r="A659" s="4"/>
      <c r="B659" s="7"/>
      <c r="C659" s="2"/>
    </row>
    <row r="660" spans="1:3" ht="14.4" x14ac:dyDescent="0.3">
      <c r="A660" s="4"/>
      <c r="B660" s="7"/>
      <c r="C660" s="2"/>
    </row>
    <row r="661" spans="1:3" ht="14.4" x14ac:dyDescent="0.3">
      <c r="A661" s="4"/>
      <c r="B661" s="7"/>
      <c r="C661" s="2"/>
    </row>
    <row r="662" spans="1:3" ht="14.4" x14ac:dyDescent="0.3">
      <c r="A662" s="4"/>
      <c r="B662" s="7"/>
      <c r="C662" s="2"/>
    </row>
    <row r="663" spans="1:3" ht="14.4" x14ac:dyDescent="0.3">
      <c r="A663" s="4"/>
      <c r="B663" s="7"/>
      <c r="C663" s="2"/>
    </row>
    <row r="664" spans="1:3" ht="14.4" x14ac:dyDescent="0.3">
      <c r="A664" s="4"/>
      <c r="B664" s="7"/>
      <c r="C664" s="2"/>
    </row>
    <row r="665" spans="1:3" ht="14.4" x14ac:dyDescent="0.3">
      <c r="A665" s="4"/>
      <c r="B665" s="7"/>
      <c r="C665" s="2"/>
    </row>
    <row r="666" spans="1:3" ht="14.4" x14ac:dyDescent="0.3">
      <c r="A666" s="4"/>
      <c r="B666" s="7"/>
      <c r="C666" s="2"/>
    </row>
    <row r="667" spans="1:3" ht="14.4" x14ac:dyDescent="0.3">
      <c r="A667" s="4"/>
      <c r="B667" s="7"/>
      <c r="C667" s="2"/>
    </row>
    <row r="668" spans="1:3" ht="14.4" x14ac:dyDescent="0.3">
      <c r="A668" s="4"/>
      <c r="B668" s="7"/>
      <c r="C668" s="2"/>
    </row>
    <row r="669" spans="1:3" ht="14.4" x14ac:dyDescent="0.3">
      <c r="A669" s="4"/>
      <c r="B669" s="7"/>
      <c r="C669" s="2"/>
    </row>
    <row r="670" spans="1:3" ht="14.4" x14ac:dyDescent="0.3">
      <c r="A670" s="4"/>
      <c r="B670" s="7"/>
      <c r="C670" s="2"/>
    </row>
    <row r="671" spans="1:3" ht="14.4" x14ac:dyDescent="0.3">
      <c r="A671" s="4"/>
      <c r="B671" s="7"/>
      <c r="C671" s="2"/>
    </row>
    <row r="672" spans="1:3" ht="14.4" x14ac:dyDescent="0.3">
      <c r="A672" s="4"/>
      <c r="B672" s="7"/>
      <c r="C672" s="2"/>
    </row>
    <row r="673" spans="1:3" ht="14.4" x14ac:dyDescent="0.3">
      <c r="A673" s="4"/>
      <c r="B673" s="7"/>
      <c r="C673" s="2"/>
    </row>
    <row r="674" spans="1:3" ht="14.4" x14ac:dyDescent="0.3">
      <c r="A674" s="4"/>
      <c r="B674" s="7"/>
      <c r="C674" s="2"/>
    </row>
    <row r="675" spans="1:3" ht="14.4" x14ac:dyDescent="0.3">
      <c r="A675" s="4"/>
      <c r="B675" s="7"/>
      <c r="C675" s="2"/>
    </row>
    <row r="676" spans="1:3" ht="14.4" x14ac:dyDescent="0.3">
      <c r="A676" s="4"/>
      <c r="B676" s="7"/>
      <c r="C676" s="2"/>
    </row>
    <row r="677" spans="1:3" ht="14.4" x14ac:dyDescent="0.3">
      <c r="A677" s="4"/>
      <c r="B677" s="7"/>
      <c r="C677" s="2"/>
    </row>
    <row r="678" spans="1:3" ht="14.4" x14ac:dyDescent="0.3">
      <c r="A678" s="4"/>
      <c r="B678" s="7"/>
      <c r="C678" s="2"/>
    </row>
    <row r="679" spans="1:3" ht="14.4" x14ac:dyDescent="0.3">
      <c r="A679" s="4"/>
      <c r="B679" s="7"/>
      <c r="C679" s="2"/>
    </row>
    <row r="680" spans="1:3" ht="14.4" x14ac:dyDescent="0.3">
      <c r="A680" s="4"/>
      <c r="B680" s="7"/>
      <c r="C680" s="2"/>
    </row>
    <row r="681" spans="1:3" ht="14.4" x14ac:dyDescent="0.3">
      <c r="A681" s="4"/>
      <c r="B681" s="7"/>
      <c r="C681" s="2"/>
    </row>
    <row r="682" spans="1:3" ht="14.4" x14ac:dyDescent="0.3">
      <c r="A682" s="4"/>
      <c r="B682" s="7"/>
      <c r="C682" s="2"/>
    </row>
    <row r="683" spans="1:3" ht="14.4" x14ac:dyDescent="0.3">
      <c r="A683" s="4"/>
      <c r="B683" s="7"/>
      <c r="C683" s="2"/>
    </row>
    <row r="684" spans="1:3" ht="14.4" x14ac:dyDescent="0.3">
      <c r="A684" s="4"/>
      <c r="B684" s="7"/>
      <c r="C684" s="2"/>
    </row>
    <row r="685" spans="1:3" ht="14.4" x14ac:dyDescent="0.3">
      <c r="A685" s="4"/>
      <c r="B685" s="7"/>
      <c r="C685" s="2"/>
    </row>
    <row r="686" spans="1:3" ht="14.4" x14ac:dyDescent="0.3">
      <c r="A686" s="4"/>
      <c r="B686" s="7"/>
      <c r="C686" s="2"/>
    </row>
    <row r="687" spans="1:3" ht="14.4" x14ac:dyDescent="0.3">
      <c r="A687" s="4"/>
      <c r="B687" s="7"/>
      <c r="C687" s="2"/>
    </row>
    <row r="688" spans="1:3" ht="14.4" x14ac:dyDescent="0.3">
      <c r="A688" s="4"/>
      <c r="B688" s="7"/>
      <c r="C688" s="2"/>
    </row>
    <row r="689" spans="1:3" ht="14.4" x14ac:dyDescent="0.3">
      <c r="A689" s="4"/>
      <c r="B689" s="7"/>
      <c r="C689" s="2"/>
    </row>
    <row r="690" spans="1:3" ht="14.4" x14ac:dyDescent="0.3">
      <c r="A690" s="4"/>
      <c r="B690" s="7"/>
      <c r="C690" s="2"/>
    </row>
    <row r="691" spans="1:3" ht="14.4" x14ac:dyDescent="0.3">
      <c r="A691" s="4"/>
      <c r="B691" s="7"/>
      <c r="C691" s="2"/>
    </row>
    <row r="692" spans="1:3" ht="14.4" x14ac:dyDescent="0.3">
      <c r="A692" s="4"/>
      <c r="B692" s="7"/>
      <c r="C692" s="2"/>
    </row>
    <row r="693" spans="1:3" ht="14.4" x14ac:dyDescent="0.3">
      <c r="A693" s="4"/>
      <c r="B693" s="7"/>
      <c r="C693" s="2"/>
    </row>
    <row r="694" spans="1:3" ht="14.4" x14ac:dyDescent="0.3">
      <c r="A694" s="4"/>
      <c r="B694" s="7"/>
      <c r="C694" s="2"/>
    </row>
    <row r="695" spans="1:3" ht="14.4" x14ac:dyDescent="0.3">
      <c r="A695" s="4"/>
      <c r="B695" s="7"/>
      <c r="C695" s="2"/>
    </row>
    <row r="696" spans="1:3" ht="14.4" x14ac:dyDescent="0.3">
      <c r="A696" s="4"/>
      <c r="B696" s="7"/>
      <c r="C696" s="2"/>
    </row>
    <row r="697" spans="1:3" ht="14.4" x14ac:dyDescent="0.3">
      <c r="A697" s="4"/>
      <c r="B697" s="7"/>
      <c r="C697" s="2"/>
    </row>
    <row r="698" spans="1:3" ht="14.4" x14ac:dyDescent="0.3">
      <c r="A698" s="4"/>
      <c r="B698" s="7"/>
      <c r="C698" s="2"/>
    </row>
    <row r="699" spans="1:3" ht="14.4" x14ac:dyDescent="0.3">
      <c r="A699" s="4"/>
      <c r="B699" s="7"/>
      <c r="C699" s="2"/>
    </row>
    <row r="700" spans="1:3" ht="14.4" x14ac:dyDescent="0.3">
      <c r="A700" s="4"/>
      <c r="B700" s="7"/>
      <c r="C700" s="2"/>
    </row>
    <row r="701" spans="1:3" ht="14.4" x14ac:dyDescent="0.3">
      <c r="A701" s="4"/>
      <c r="B701" s="7"/>
      <c r="C701" s="2"/>
    </row>
    <row r="702" spans="1:3" ht="14.4" x14ac:dyDescent="0.3">
      <c r="A702" s="4"/>
      <c r="B702" s="7"/>
      <c r="C702" s="2"/>
    </row>
    <row r="703" spans="1:3" ht="14.4" x14ac:dyDescent="0.3">
      <c r="A703" s="4"/>
      <c r="B703" s="7"/>
      <c r="C703" s="2"/>
    </row>
    <row r="704" spans="1:3" ht="14.4" x14ac:dyDescent="0.3">
      <c r="A704" s="4"/>
      <c r="B704" s="7"/>
      <c r="C704" s="2"/>
    </row>
    <row r="705" spans="1:3" ht="14.4" x14ac:dyDescent="0.3">
      <c r="A705" s="4"/>
      <c r="B705" s="7"/>
      <c r="C705" s="2"/>
    </row>
    <row r="706" spans="1:3" ht="14.4" x14ac:dyDescent="0.3">
      <c r="A706" s="4"/>
      <c r="B706" s="7"/>
      <c r="C706" s="2"/>
    </row>
    <row r="707" spans="1:3" ht="14.4" x14ac:dyDescent="0.3">
      <c r="A707" s="4"/>
      <c r="B707" s="7"/>
      <c r="C707" s="2"/>
    </row>
    <row r="708" spans="1:3" ht="14.4" x14ac:dyDescent="0.3">
      <c r="A708" s="4"/>
      <c r="B708" s="7"/>
      <c r="C708" s="2"/>
    </row>
    <row r="709" spans="1:3" ht="14.4" x14ac:dyDescent="0.3">
      <c r="A709" s="4"/>
      <c r="B709" s="7"/>
      <c r="C709" s="2"/>
    </row>
    <row r="710" spans="1:3" ht="14.4" x14ac:dyDescent="0.3">
      <c r="A710" s="4"/>
      <c r="B710" s="7"/>
      <c r="C710" s="2"/>
    </row>
    <row r="711" spans="1:3" ht="14.4" x14ac:dyDescent="0.3">
      <c r="A711" s="4"/>
      <c r="B711" s="7"/>
      <c r="C711" s="2"/>
    </row>
    <row r="712" spans="1:3" ht="14.4" x14ac:dyDescent="0.3">
      <c r="A712" s="4"/>
      <c r="B712" s="7"/>
      <c r="C712" s="2"/>
    </row>
    <row r="713" spans="1:3" ht="14.4" x14ac:dyDescent="0.3">
      <c r="A713" s="4"/>
      <c r="B713" s="7"/>
      <c r="C713" s="2"/>
    </row>
    <row r="714" spans="1:3" ht="14.4" x14ac:dyDescent="0.3">
      <c r="A714" s="4"/>
      <c r="B714" s="7"/>
      <c r="C714" s="2"/>
    </row>
    <row r="715" spans="1:3" ht="14.4" x14ac:dyDescent="0.3">
      <c r="A715" s="4"/>
      <c r="B715" s="7"/>
      <c r="C715" s="2"/>
    </row>
    <row r="716" spans="1:3" ht="14.4" x14ac:dyDescent="0.3">
      <c r="A716" s="4"/>
      <c r="B716" s="7"/>
      <c r="C716" s="2"/>
    </row>
    <row r="717" spans="1:3" ht="14.4" x14ac:dyDescent="0.3">
      <c r="A717" s="4"/>
      <c r="B717" s="7"/>
      <c r="C717" s="2"/>
    </row>
    <row r="718" spans="1:3" ht="14.4" x14ac:dyDescent="0.3">
      <c r="A718" s="4"/>
      <c r="B718" s="7"/>
      <c r="C718" s="2"/>
    </row>
    <row r="719" spans="1:3" ht="14.4" x14ac:dyDescent="0.3">
      <c r="A719" s="4"/>
      <c r="B719" s="7"/>
      <c r="C719" s="2"/>
    </row>
    <row r="720" spans="1:3" ht="14.4" x14ac:dyDescent="0.3">
      <c r="A720" s="4"/>
      <c r="B720" s="7"/>
      <c r="C720" s="2"/>
    </row>
    <row r="721" spans="1:3" ht="14.4" x14ac:dyDescent="0.3">
      <c r="A721" s="4"/>
      <c r="B721" s="7"/>
      <c r="C721" s="2"/>
    </row>
    <row r="722" spans="1:3" ht="14.4" x14ac:dyDescent="0.3">
      <c r="A722" s="4"/>
      <c r="B722" s="7"/>
      <c r="C722" s="2"/>
    </row>
    <row r="723" spans="1:3" ht="14.4" x14ac:dyDescent="0.3">
      <c r="A723" s="4"/>
      <c r="B723" s="7"/>
      <c r="C723" s="2"/>
    </row>
    <row r="724" spans="1:3" ht="14.4" x14ac:dyDescent="0.3">
      <c r="A724" s="4"/>
      <c r="B724" s="7"/>
      <c r="C724" s="2"/>
    </row>
    <row r="725" spans="1:3" ht="14.4" x14ac:dyDescent="0.3">
      <c r="A725" s="4"/>
      <c r="B725" s="7"/>
      <c r="C725" s="2"/>
    </row>
    <row r="726" spans="1:3" ht="14.4" x14ac:dyDescent="0.3">
      <c r="A726" s="4"/>
      <c r="B726" s="7"/>
      <c r="C726" s="2"/>
    </row>
    <row r="727" spans="1:3" ht="14.4" x14ac:dyDescent="0.3">
      <c r="A727" s="4"/>
      <c r="B727" s="7"/>
      <c r="C727" s="2"/>
    </row>
    <row r="728" spans="1:3" ht="14.4" x14ac:dyDescent="0.3">
      <c r="A728" s="4"/>
      <c r="B728" s="7"/>
      <c r="C728" s="2"/>
    </row>
    <row r="729" spans="1:3" ht="14.4" x14ac:dyDescent="0.3">
      <c r="A729" s="4"/>
      <c r="B729" s="7"/>
      <c r="C729" s="2"/>
    </row>
    <row r="730" spans="1:3" ht="14.4" x14ac:dyDescent="0.3">
      <c r="A730" s="4"/>
      <c r="B730" s="7"/>
      <c r="C730" s="2"/>
    </row>
    <row r="731" spans="1:3" ht="14.4" x14ac:dyDescent="0.3">
      <c r="A731" s="4"/>
      <c r="B731" s="7"/>
      <c r="C731" s="2"/>
    </row>
    <row r="732" spans="1:3" ht="14.4" x14ac:dyDescent="0.3">
      <c r="A732" s="4"/>
      <c r="B732" s="7"/>
      <c r="C732" s="2"/>
    </row>
    <row r="733" spans="1:3" ht="14.4" x14ac:dyDescent="0.3">
      <c r="A733" s="4"/>
      <c r="B733" s="7"/>
      <c r="C733" s="2"/>
    </row>
    <row r="734" spans="1:3" ht="14.4" x14ac:dyDescent="0.3">
      <c r="A734" s="4"/>
      <c r="B734" s="7"/>
      <c r="C734" s="2"/>
    </row>
    <row r="735" spans="1:3" ht="14.4" x14ac:dyDescent="0.3">
      <c r="A735" s="4"/>
      <c r="B735" s="7"/>
      <c r="C735" s="2"/>
    </row>
    <row r="736" spans="1:3" ht="14.4" x14ac:dyDescent="0.3">
      <c r="A736" s="4"/>
      <c r="B736" s="7"/>
      <c r="C736" s="2"/>
    </row>
    <row r="737" spans="1:3" ht="14.4" x14ac:dyDescent="0.3">
      <c r="A737" s="4"/>
      <c r="B737" s="7"/>
      <c r="C737" s="2"/>
    </row>
    <row r="738" spans="1:3" ht="14.4" x14ac:dyDescent="0.3">
      <c r="A738" s="4"/>
      <c r="B738" s="7"/>
      <c r="C738" s="2"/>
    </row>
    <row r="739" spans="1:3" ht="14.4" x14ac:dyDescent="0.3">
      <c r="A739" s="4"/>
      <c r="B739" s="7"/>
      <c r="C739" s="2"/>
    </row>
    <row r="740" spans="1:3" ht="14.4" x14ac:dyDescent="0.3">
      <c r="A740" s="4"/>
      <c r="B740" s="7"/>
      <c r="C740" s="2"/>
    </row>
    <row r="741" spans="1:3" ht="14.4" x14ac:dyDescent="0.3">
      <c r="A741" s="4"/>
      <c r="B741" s="7"/>
      <c r="C741" s="2"/>
    </row>
    <row r="742" spans="1:3" ht="14.4" x14ac:dyDescent="0.3">
      <c r="A742" s="4"/>
      <c r="B742" s="7"/>
      <c r="C742" s="2"/>
    </row>
    <row r="743" spans="1:3" ht="14.4" x14ac:dyDescent="0.3">
      <c r="A743" s="4"/>
      <c r="B743" s="7"/>
      <c r="C743" s="2"/>
    </row>
    <row r="744" spans="1:3" ht="14.4" x14ac:dyDescent="0.3">
      <c r="A744" s="4"/>
      <c r="B744" s="7"/>
      <c r="C744" s="2"/>
    </row>
    <row r="745" spans="1:3" ht="14.4" x14ac:dyDescent="0.3">
      <c r="A745" s="4"/>
      <c r="B745" s="7"/>
      <c r="C745" s="2"/>
    </row>
    <row r="746" spans="1:3" ht="14.4" x14ac:dyDescent="0.3">
      <c r="A746" s="4"/>
      <c r="B746" s="7"/>
      <c r="C746" s="2"/>
    </row>
    <row r="747" spans="1:3" ht="14.4" x14ac:dyDescent="0.3">
      <c r="A747" s="4"/>
      <c r="B747" s="7"/>
      <c r="C747" s="2"/>
    </row>
    <row r="748" spans="1:3" ht="14.4" x14ac:dyDescent="0.3">
      <c r="A748" s="4"/>
      <c r="B748" s="7"/>
      <c r="C748" s="2"/>
    </row>
    <row r="749" spans="1:3" ht="14.4" x14ac:dyDescent="0.3">
      <c r="A749" s="4"/>
      <c r="B749" s="7"/>
      <c r="C749" s="2"/>
    </row>
    <row r="750" spans="1:3" ht="14.4" x14ac:dyDescent="0.3">
      <c r="A750" s="4"/>
      <c r="B750" s="7"/>
      <c r="C750" s="2"/>
    </row>
    <row r="751" spans="1:3" ht="14.4" x14ac:dyDescent="0.3">
      <c r="A751" s="4"/>
      <c r="B751" s="7"/>
      <c r="C751" s="2"/>
    </row>
    <row r="752" spans="1:3" ht="14.4" x14ac:dyDescent="0.3">
      <c r="A752" s="4"/>
      <c r="B752" s="7"/>
      <c r="C752" s="2"/>
    </row>
    <row r="753" spans="1:3" ht="14.4" x14ac:dyDescent="0.3">
      <c r="A753" s="4"/>
      <c r="B753" s="7"/>
      <c r="C753" s="2"/>
    </row>
    <row r="754" spans="1:3" ht="14.4" x14ac:dyDescent="0.3">
      <c r="A754" s="4"/>
      <c r="B754" s="7"/>
      <c r="C754" s="2"/>
    </row>
    <row r="755" spans="1:3" ht="14.4" x14ac:dyDescent="0.3">
      <c r="A755" s="4"/>
      <c r="B755" s="7"/>
      <c r="C755" s="2"/>
    </row>
    <row r="756" spans="1:3" ht="14.4" x14ac:dyDescent="0.3">
      <c r="A756" s="4"/>
      <c r="B756" s="7"/>
      <c r="C756" s="2"/>
    </row>
    <row r="757" spans="1:3" ht="14.4" x14ac:dyDescent="0.3">
      <c r="A757" s="4"/>
      <c r="B757" s="7"/>
      <c r="C757" s="2"/>
    </row>
    <row r="758" spans="1:3" ht="14.4" x14ac:dyDescent="0.3">
      <c r="A758" s="4"/>
      <c r="B758" s="7"/>
      <c r="C758" s="2"/>
    </row>
    <row r="759" spans="1:3" ht="14.4" x14ac:dyDescent="0.3">
      <c r="A759" s="4"/>
      <c r="B759" s="7"/>
      <c r="C759" s="2"/>
    </row>
    <row r="760" spans="1:3" ht="14.4" x14ac:dyDescent="0.3">
      <c r="A760" s="4"/>
      <c r="B760" s="7"/>
      <c r="C760" s="2"/>
    </row>
    <row r="761" spans="1:3" ht="14.4" x14ac:dyDescent="0.3">
      <c r="A761" s="4"/>
      <c r="B761" s="7"/>
      <c r="C761" s="2"/>
    </row>
    <row r="762" spans="1:3" ht="14.4" x14ac:dyDescent="0.3">
      <c r="A762" s="4"/>
      <c r="B762" s="7"/>
      <c r="C762" s="2"/>
    </row>
    <row r="763" spans="1:3" ht="14.4" x14ac:dyDescent="0.3">
      <c r="A763" s="4"/>
      <c r="B763" s="7"/>
      <c r="C763" s="2"/>
    </row>
    <row r="764" spans="1:3" ht="14.4" x14ac:dyDescent="0.3">
      <c r="A764" s="4"/>
      <c r="B764" s="7"/>
      <c r="C764" s="2"/>
    </row>
    <row r="765" spans="1:3" ht="14.4" x14ac:dyDescent="0.3">
      <c r="A765" s="4"/>
      <c r="B765" s="7"/>
      <c r="C765" s="2"/>
    </row>
    <row r="766" spans="1:3" ht="14.4" x14ac:dyDescent="0.3">
      <c r="A766" s="4"/>
      <c r="B766" s="7"/>
      <c r="C766" s="2"/>
    </row>
    <row r="767" spans="1:3" ht="14.4" x14ac:dyDescent="0.3">
      <c r="A767" s="4"/>
      <c r="B767" s="7"/>
      <c r="C767" s="2"/>
    </row>
    <row r="768" spans="1:3" ht="14.4" x14ac:dyDescent="0.3">
      <c r="A768" s="4"/>
      <c r="B768" s="7"/>
      <c r="C768" s="2"/>
    </row>
    <row r="769" spans="1:3" ht="14.4" x14ac:dyDescent="0.3">
      <c r="A769" s="4"/>
      <c r="B769" s="7"/>
      <c r="C769" s="2"/>
    </row>
    <row r="770" spans="1:3" ht="14.4" x14ac:dyDescent="0.3">
      <c r="A770" s="4"/>
      <c r="B770" s="7"/>
      <c r="C770" s="2"/>
    </row>
    <row r="771" spans="1:3" ht="14.4" x14ac:dyDescent="0.3">
      <c r="A771" s="4"/>
      <c r="B771" s="7"/>
      <c r="C771" s="2"/>
    </row>
    <row r="772" spans="1:3" ht="14.4" x14ac:dyDescent="0.3">
      <c r="A772" s="4"/>
      <c r="B772" s="7"/>
      <c r="C772" s="2"/>
    </row>
    <row r="773" spans="1:3" ht="14.4" x14ac:dyDescent="0.3">
      <c r="A773" s="4"/>
      <c r="B773" s="7"/>
      <c r="C773" s="2"/>
    </row>
    <row r="774" spans="1:3" ht="14.4" x14ac:dyDescent="0.3">
      <c r="A774" s="4"/>
      <c r="B774" s="7"/>
      <c r="C774" s="2"/>
    </row>
    <row r="775" spans="1:3" ht="14.4" x14ac:dyDescent="0.3">
      <c r="A775" s="4"/>
      <c r="B775" s="7"/>
      <c r="C775" s="2"/>
    </row>
    <row r="776" spans="1:3" ht="14.4" x14ac:dyDescent="0.3">
      <c r="A776" s="4"/>
      <c r="B776" s="7"/>
      <c r="C776" s="2"/>
    </row>
    <row r="777" spans="1:3" ht="14.4" x14ac:dyDescent="0.3">
      <c r="A777" s="4"/>
      <c r="B777" s="7"/>
      <c r="C777" s="2"/>
    </row>
    <row r="778" spans="1:3" ht="14.4" x14ac:dyDescent="0.3">
      <c r="A778" s="4"/>
      <c r="B778" s="7"/>
      <c r="C778" s="2"/>
    </row>
    <row r="779" spans="1:3" ht="14.4" x14ac:dyDescent="0.3">
      <c r="A779" s="4"/>
      <c r="B779" s="7"/>
      <c r="C779" s="2"/>
    </row>
    <row r="780" spans="1:3" ht="14.4" x14ac:dyDescent="0.3">
      <c r="A780" s="4"/>
      <c r="B780" s="7"/>
      <c r="C780" s="2"/>
    </row>
    <row r="781" spans="1:3" ht="14.4" x14ac:dyDescent="0.3">
      <c r="A781" s="4"/>
      <c r="B781" s="7"/>
      <c r="C781" s="2"/>
    </row>
    <row r="782" spans="1:3" ht="14.4" x14ac:dyDescent="0.3">
      <c r="A782" s="4"/>
      <c r="B782" s="7"/>
      <c r="C782" s="2"/>
    </row>
    <row r="783" spans="1:3" ht="14.4" x14ac:dyDescent="0.3">
      <c r="A783" s="4"/>
      <c r="B783" s="7"/>
      <c r="C783" s="2"/>
    </row>
    <row r="784" spans="1:3" ht="14.4" x14ac:dyDescent="0.3">
      <c r="A784" s="4"/>
      <c r="B784" s="7"/>
      <c r="C784" s="2"/>
    </row>
    <row r="785" spans="1:3" ht="14.4" x14ac:dyDescent="0.3">
      <c r="A785" s="4"/>
      <c r="B785" s="7"/>
      <c r="C785" s="2"/>
    </row>
    <row r="786" spans="1:3" ht="14.4" x14ac:dyDescent="0.3">
      <c r="A786" s="4"/>
      <c r="B786" s="7"/>
      <c r="C786" s="2"/>
    </row>
    <row r="787" spans="1:3" ht="14.4" x14ac:dyDescent="0.3">
      <c r="A787" s="4"/>
      <c r="B787" s="7"/>
      <c r="C787" s="2"/>
    </row>
    <row r="788" spans="1:3" ht="14.4" x14ac:dyDescent="0.3">
      <c r="A788" s="4"/>
      <c r="B788" s="7"/>
      <c r="C788" s="2"/>
    </row>
    <row r="789" spans="1:3" ht="14.4" x14ac:dyDescent="0.3">
      <c r="A789" s="4"/>
      <c r="B789" s="7"/>
      <c r="C789" s="2"/>
    </row>
    <row r="790" spans="1:3" ht="14.4" x14ac:dyDescent="0.3">
      <c r="A790" s="4"/>
      <c r="B790" s="7"/>
      <c r="C790" s="2"/>
    </row>
    <row r="791" spans="1:3" ht="14.4" x14ac:dyDescent="0.3">
      <c r="A791" s="4"/>
      <c r="B791" s="7"/>
      <c r="C791" s="2"/>
    </row>
    <row r="792" spans="1:3" ht="14.4" x14ac:dyDescent="0.3">
      <c r="A792" s="4"/>
      <c r="B792" s="7"/>
      <c r="C792" s="2"/>
    </row>
    <row r="793" spans="1:3" ht="14.4" x14ac:dyDescent="0.3">
      <c r="A793" s="4"/>
      <c r="B793" s="7"/>
      <c r="C793" s="2"/>
    </row>
    <row r="794" spans="1:3" ht="14.4" x14ac:dyDescent="0.3">
      <c r="A794" s="4"/>
      <c r="B794" s="7"/>
      <c r="C794" s="2"/>
    </row>
    <row r="795" spans="1:3" ht="14.4" x14ac:dyDescent="0.3">
      <c r="A795" s="4"/>
      <c r="B795" s="7"/>
      <c r="C795" s="2"/>
    </row>
    <row r="796" spans="1:3" ht="14.4" x14ac:dyDescent="0.3">
      <c r="A796" s="4"/>
      <c r="B796" s="7"/>
      <c r="C796" s="2"/>
    </row>
    <row r="797" spans="1:3" ht="14.4" x14ac:dyDescent="0.3">
      <c r="A797" s="4"/>
      <c r="B797" s="7"/>
      <c r="C797" s="2"/>
    </row>
    <row r="798" spans="1:3" ht="14.4" x14ac:dyDescent="0.3">
      <c r="A798" s="4"/>
      <c r="B798" s="7"/>
      <c r="C798" s="2"/>
    </row>
    <row r="799" spans="1:3" ht="14.4" x14ac:dyDescent="0.3">
      <c r="A799" s="4"/>
      <c r="B799" s="7"/>
      <c r="C799" s="2"/>
    </row>
    <row r="800" spans="1:3" ht="14.4" x14ac:dyDescent="0.3">
      <c r="A800" s="4"/>
      <c r="B800" s="7"/>
      <c r="C800" s="2"/>
    </row>
    <row r="801" spans="1:3" ht="14.4" x14ac:dyDescent="0.3">
      <c r="A801" s="4"/>
      <c r="B801" s="7"/>
      <c r="C801" s="2"/>
    </row>
    <row r="802" spans="1:3" ht="14.4" x14ac:dyDescent="0.3">
      <c r="A802" s="4"/>
      <c r="B802" s="7"/>
      <c r="C802" s="2"/>
    </row>
    <row r="803" spans="1:3" ht="14.4" x14ac:dyDescent="0.3">
      <c r="A803" s="4"/>
      <c r="B803" s="7"/>
      <c r="C803" s="2"/>
    </row>
    <row r="804" spans="1:3" ht="14.4" x14ac:dyDescent="0.3">
      <c r="A804" s="4"/>
      <c r="B804" s="7"/>
      <c r="C804" s="2"/>
    </row>
    <row r="805" spans="1:3" ht="14.4" x14ac:dyDescent="0.3">
      <c r="A805" s="4"/>
      <c r="B805" s="7"/>
      <c r="C805" s="2"/>
    </row>
    <row r="806" spans="1:3" ht="14.4" x14ac:dyDescent="0.3">
      <c r="A806" s="4"/>
      <c r="B806" s="7"/>
      <c r="C806" s="2"/>
    </row>
    <row r="807" spans="1:3" ht="14.4" x14ac:dyDescent="0.3">
      <c r="A807" s="4"/>
      <c r="B807" s="7"/>
      <c r="C807" s="2"/>
    </row>
    <row r="808" spans="1:3" ht="14.4" x14ac:dyDescent="0.3">
      <c r="A808" s="4"/>
      <c r="B808" s="7"/>
      <c r="C808" s="2"/>
    </row>
    <row r="809" spans="1:3" ht="14.4" x14ac:dyDescent="0.3">
      <c r="A809" s="4"/>
      <c r="B809" s="7"/>
      <c r="C809" s="2"/>
    </row>
    <row r="810" spans="1:3" ht="14.4" x14ac:dyDescent="0.3">
      <c r="A810" s="4"/>
      <c r="B810" s="7"/>
      <c r="C810" s="2"/>
    </row>
    <row r="811" spans="1:3" ht="14.4" x14ac:dyDescent="0.3">
      <c r="A811" s="4"/>
      <c r="B811" s="7"/>
      <c r="C811" s="2"/>
    </row>
    <row r="812" spans="1:3" ht="14.4" x14ac:dyDescent="0.3">
      <c r="A812" s="4"/>
      <c r="B812" s="7"/>
      <c r="C812" s="2"/>
    </row>
    <row r="813" spans="1:3" ht="14.4" x14ac:dyDescent="0.3">
      <c r="A813" s="4"/>
      <c r="B813" s="7"/>
      <c r="C813" s="2"/>
    </row>
    <row r="814" spans="1:3" ht="14.4" x14ac:dyDescent="0.3">
      <c r="A814" s="4"/>
      <c r="B814" s="7"/>
      <c r="C814" s="2"/>
    </row>
    <row r="815" spans="1:3" ht="14.4" x14ac:dyDescent="0.3">
      <c r="A815" s="4"/>
      <c r="B815" s="7"/>
      <c r="C815" s="2"/>
    </row>
    <row r="816" spans="1:3" ht="14.4" x14ac:dyDescent="0.3">
      <c r="A816" s="4"/>
      <c r="B816" s="7"/>
      <c r="C816" s="2"/>
    </row>
    <row r="817" spans="1:3" ht="14.4" x14ac:dyDescent="0.3">
      <c r="A817" s="4"/>
      <c r="B817" s="7"/>
      <c r="C817" s="2"/>
    </row>
    <row r="818" spans="1:3" ht="14.4" x14ac:dyDescent="0.3">
      <c r="A818" s="4"/>
      <c r="B818" s="7"/>
      <c r="C818" s="2"/>
    </row>
    <row r="819" spans="1:3" ht="14.4" x14ac:dyDescent="0.3">
      <c r="A819" s="4"/>
      <c r="B819" s="7"/>
      <c r="C819" s="2"/>
    </row>
    <row r="820" spans="1:3" ht="14.4" x14ac:dyDescent="0.3">
      <c r="A820" s="4"/>
      <c r="B820" s="7"/>
      <c r="C820" s="2"/>
    </row>
    <row r="821" spans="1:3" ht="14.4" x14ac:dyDescent="0.3">
      <c r="A821" s="4"/>
      <c r="B821" s="7"/>
      <c r="C821" s="2"/>
    </row>
    <row r="822" spans="1:3" ht="14.4" x14ac:dyDescent="0.3">
      <c r="A822" s="4"/>
      <c r="B822" s="7"/>
      <c r="C822" s="2"/>
    </row>
    <row r="823" spans="1:3" ht="14.4" x14ac:dyDescent="0.3">
      <c r="A823" s="4"/>
      <c r="B823" s="7"/>
      <c r="C823" s="2"/>
    </row>
    <row r="824" spans="1:3" ht="14.4" x14ac:dyDescent="0.3">
      <c r="A824" s="4"/>
      <c r="B824" s="7"/>
      <c r="C824" s="2"/>
    </row>
    <row r="825" spans="1:3" ht="14.4" x14ac:dyDescent="0.3">
      <c r="A825" s="4"/>
      <c r="B825" s="7"/>
      <c r="C825" s="2"/>
    </row>
    <row r="826" spans="1:3" ht="14.4" x14ac:dyDescent="0.3">
      <c r="A826" s="4"/>
      <c r="B826" s="7"/>
      <c r="C826" s="2"/>
    </row>
    <row r="827" spans="1:3" ht="14.4" x14ac:dyDescent="0.3">
      <c r="A827" s="4"/>
      <c r="B827" s="7"/>
      <c r="C827" s="2"/>
    </row>
    <row r="828" spans="1:3" ht="14.4" x14ac:dyDescent="0.3">
      <c r="A828" s="4"/>
      <c r="B828" s="7"/>
      <c r="C828" s="2"/>
    </row>
    <row r="829" spans="1:3" ht="14.4" x14ac:dyDescent="0.3">
      <c r="A829" s="4"/>
      <c r="B829" s="7"/>
      <c r="C829" s="2"/>
    </row>
    <row r="830" spans="1:3" ht="14.4" x14ac:dyDescent="0.3">
      <c r="A830" s="4"/>
      <c r="B830" s="7"/>
      <c r="C830" s="2"/>
    </row>
    <row r="831" spans="1:3" ht="14.4" x14ac:dyDescent="0.3">
      <c r="A831" s="4"/>
      <c r="B831" s="7"/>
      <c r="C831" s="2"/>
    </row>
    <row r="832" spans="1:3" ht="14.4" x14ac:dyDescent="0.3">
      <c r="A832" s="4"/>
      <c r="B832" s="7"/>
      <c r="C832" s="2"/>
    </row>
    <row r="833" spans="1:3" ht="14.4" x14ac:dyDescent="0.3">
      <c r="A833" s="4"/>
      <c r="B833" s="7"/>
      <c r="C833" s="2"/>
    </row>
    <row r="834" spans="1:3" ht="14.4" x14ac:dyDescent="0.3">
      <c r="A834" s="4"/>
      <c r="B834" s="7"/>
      <c r="C834" s="2"/>
    </row>
    <row r="835" spans="1:3" ht="14.4" x14ac:dyDescent="0.3">
      <c r="A835" s="4"/>
      <c r="B835" s="7"/>
      <c r="C835" s="2"/>
    </row>
    <row r="836" spans="1:3" ht="14.4" x14ac:dyDescent="0.3">
      <c r="A836" s="4"/>
      <c r="B836" s="7"/>
      <c r="C836" s="2"/>
    </row>
    <row r="837" spans="1:3" ht="14.4" x14ac:dyDescent="0.3">
      <c r="A837" s="4"/>
      <c r="B837" s="7"/>
      <c r="C837" s="2"/>
    </row>
    <row r="838" spans="1:3" ht="14.4" x14ac:dyDescent="0.3">
      <c r="A838" s="4"/>
      <c r="B838" s="7"/>
      <c r="C838" s="2"/>
    </row>
    <row r="839" spans="1:3" ht="14.4" x14ac:dyDescent="0.3">
      <c r="A839" s="4"/>
      <c r="B839" s="7"/>
      <c r="C839" s="2"/>
    </row>
    <row r="840" spans="1:3" ht="14.4" x14ac:dyDescent="0.3">
      <c r="A840" s="4"/>
      <c r="B840" s="7"/>
      <c r="C840" s="2"/>
    </row>
    <row r="841" spans="1:3" ht="14.4" x14ac:dyDescent="0.3">
      <c r="A841" s="4"/>
      <c r="B841" s="7"/>
      <c r="C841" s="2"/>
    </row>
    <row r="842" spans="1:3" ht="14.4" x14ac:dyDescent="0.3">
      <c r="A842" s="4"/>
      <c r="B842" s="7"/>
      <c r="C842" s="2"/>
    </row>
    <row r="843" spans="1:3" ht="14.4" x14ac:dyDescent="0.3">
      <c r="A843" s="4"/>
      <c r="B843" s="7"/>
      <c r="C843" s="2"/>
    </row>
    <row r="844" spans="1:3" ht="14.4" x14ac:dyDescent="0.3">
      <c r="A844" s="4"/>
      <c r="B844" s="7"/>
      <c r="C844" s="2"/>
    </row>
    <row r="845" spans="1:3" ht="14.4" x14ac:dyDescent="0.3">
      <c r="A845" s="4"/>
      <c r="B845" s="7"/>
      <c r="C845" s="2"/>
    </row>
    <row r="846" spans="1:3" ht="14.4" x14ac:dyDescent="0.3">
      <c r="A846" s="4"/>
      <c r="B846" s="7"/>
      <c r="C846" s="2"/>
    </row>
    <row r="847" spans="1:3" ht="14.4" x14ac:dyDescent="0.3">
      <c r="A847" s="4"/>
      <c r="B847" s="7"/>
      <c r="C847" s="2"/>
    </row>
    <row r="848" spans="1:3" ht="14.4" x14ac:dyDescent="0.3">
      <c r="A848" s="4"/>
      <c r="B848" s="7"/>
      <c r="C848" s="2"/>
    </row>
    <row r="849" spans="1:3" ht="14.4" x14ac:dyDescent="0.3">
      <c r="A849" s="4"/>
      <c r="B849" s="7"/>
      <c r="C849" s="2"/>
    </row>
    <row r="850" spans="1:3" ht="14.4" x14ac:dyDescent="0.3">
      <c r="A850" s="4"/>
      <c r="B850" s="7"/>
      <c r="C850" s="2"/>
    </row>
    <row r="851" spans="1:3" ht="14.4" x14ac:dyDescent="0.3">
      <c r="A851" s="4"/>
      <c r="B851" s="7"/>
      <c r="C851" s="2"/>
    </row>
    <row r="852" spans="1:3" ht="14.4" x14ac:dyDescent="0.3">
      <c r="A852" s="4"/>
      <c r="B852" s="7"/>
      <c r="C852" s="2"/>
    </row>
    <row r="853" spans="1:3" ht="14.4" x14ac:dyDescent="0.3">
      <c r="A853" s="4"/>
      <c r="B853" s="7"/>
      <c r="C853" s="2"/>
    </row>
    <row r="854" spans="1:3" ht="14.4" x14ac:dyDescent="0.3">
      <c r="A854" s="4"/>
      <c r="B854" s="7"/>
      <c r="C854" s="2"/>
    </row>
    <row r="855" spans="1:3" ht="14.4" x14ac:dyDescent="0.3">
      <c r="A855" s="4"/>
      <c r="B855" s="7"/>
      <c r="C855" s="2"/>
    </row>
    <row r="856" spans="1:3" ht="14.4" x14ac:dyDescent="0.3">
      <c r="A856" s="4"/>
      <c r="B856" s="7"/>
      <c r="C856" s="2"/>
    </row>
    <row r="857" spans="1:3" ht="14.4" x14ac:dyDescent="0.3">
      <c r="A857" s="4"/>
      <c r="B857" s="7"/>
      <c r="C857" s="2"/>
    </row>
    <row r="858" spans="1:3" ht="14.4" x14ac:dyDescent="0.3">
      <c r="A858" s="4"/>
      <c r="B858" s="7"/>
      <c r="C858" s="2"/>
    </row>
    <row r="859" spans="1:3" ht="14.4" x14ac:dyDescent="0.3">
      <c r="A859" s="4"/>
      <c r="B859" s="7"/>
      <c r="C859" s="2"/>
    </row>
    <row r="860" spans="1:3" ht="14.4" x14ac:dyDescent="0.3">
      <c r="A860" s="4"/>
      <c r="B860" s="7"/>
      <c r="C860" s="2"/>
    </row>
    <row r="861" spans="1:3" ht="14.4" x14ac:dyDescent="0.3">
      <c r="A861" s="4"/>
      <c r="B861" s="7"/>
      <c r="C861" s="2"/>
    </row>
    <row r="862" spans="1:3" ht="14.4" x14ac:dyDescent="0.3">
      <c r="A862" s="4"/>
      <c r="B862" s="7"/>
      <c r="C862" s="2"/>
    </row>
    <row r="863" spans="1:3" ht="14.4" x14ac:dyDescent="0.3">
      <c r="A863" s="4"/>
      <c r="B863" s="7"/>
      <c r="C863" s="2"/>
    </row>
    <row r="864" spans="1:3" ht="14.4" x14ac:dyDescent="0.3">
      <c r="A864" s="4"/>
      <c r="B864" s="7"/>
      <c r="C864" s="2"/>
    </row>
    <row r="865" spans="1:3" ht="14.4" x14ac:dyDescent="0.3">
      <c r="A865" s="4"/>
      <c r="B865" s="7"/>
      <c r="C865" s="2"/>
    </row>
    <row r="866" spans="1:3" ht="14.4" x14ac:dyDescent="0.3">
      <c r="A866" s="4"/>
      <c r="B866" s="7"/>
      <c r="C866" s="2"/>
    </row>
    <row r="867" spans="1:3" ht="14.4" x14ac:dyDescent="0.3">
      <c r="A867" s="4"/>
      <c r="B867" s="7"/>
      <c r="C867" s="2"/>
    </row>
    <row r="868" spans="1:3" ht="14.4" x14ac:dyDescent="0.3">
      <c r="A868" s="4"/>
      <c r="B868" s="7"/>
      <c r="C868" s="2"/>
    </row>
    <row r="869" spans="1:3" ht="14.4" x14ac:dyDescent="0.3">
      <c r="A869" s="4"/>
      <c r="B869" s="7"/>
      <c r="C869" s="2"/>
    </row>
    <row r="870" spans="1:3" ht="14.4" x14ac:dyDescent="0.3">
      <c r="A870" s="4"/>
      <c r="B870" s="7"/>
      <c r="C870" s="2"/>
    </row>
    <row r="871" spans="1:3" ht="14.4" x14ac:dyDescent="0.3">
      <c r="A871" s="4"/>
      <c r="B871" s="7"/>
      <c r="C871" s="2"/>
    </row>
    <row r="872" spans="1:3" ht="14.4" x14ac:dyDescent="0.3">
      <c r="A872" s="4"/>
      <c r="B872" s="7"/>
      <c r="C872" s="2"/>
    </row>
    <row r="873" spans="1:3" ht="14.4" x14ac:dyDescent="0.3">
      <c r="A873" s="4"/>
      <c r="B873" s="7"/>
      <c r="C873" s="2"/>
    </row>
    <row r="874" spans="1:3" ht="14.4" x14ac:dyDescent="0.3">
      <c r="A874" s="4"/>
      <c r="B874" s="7"/>
      <c r="C874" s="2"/>
    </row>
    <row r="875" spans="1:3" ht="14.4" x14ac:dyDescent="0.3">
      <c r="A875" s="4"/>
      <c r="B875" s="7"/>
      <c r="C875" s="2"/>
    </row>
    <row r="876" spans="1:3" ht="14.4" x14ac:dyDescent="0.3">
      <c r="A876" s="4"/>
      <c r="B876" s="7"/>
      <c r="C876" s="2"/>
    </row>
    <row r="877" spans="1:3" ht="14.4" x14ac:dyDescent="0.3">
      <c r="A877" s="4"/>
      <c r="B877" s="7"/>
      <c r="C877" s="2"/>
    </row>
    <row r="878" spans="1:3" ht="14.4" x14ac:dyDescent="0.3">
      <c r="A878" s="4"/>
      <c r="B878" s="7"/>
      <c r="C878" s="2"/>
    </row>
    <row r="879" spans="1:3" ht="14.4" x14ac:dyDescent="0.3">
      <c r="A879" s="4"/>
      <c r="B879" s="7"/>
      <c r="C879" s="2"/>
    </row>
    <row r="880" spans="1:3" ht="14.4" x14ac:dyDescent="0.3">
      <c r="A880" s="4"/>
      <c r="B880" s="7"/>
      <c r="C880" s="2"/>
    </row>
    <row r="881" spans="1:3" ht="14.4" x14ac:dyDescent="0.3">
      <c r="A881" s="4"/>
      <c r="B881" s="7"/>
      <c r="C881" s="2"/>
    </row>
    <row r="882" spans="1:3" ht="14.4" x14ac:dyDescent="0.3">
      <c r="A882" s="4"/>
      <c r="B882" s="7"/>
      <c r="C882" s="2"/>
    </row>
    <row r="883" spans="1:3" ht="14.4" x14ac:dyDescent="0.3">
      <c r="A883" s="4"/>
      <c r="B883" s="7"/>
      <c r="C883" s="2"/>
    </row>
    <row r="884" spans="1:3" ht="14.4" x14ac:dyDescent="0.3">
      <c r="A884" s="4"/>
      <c r="B884" s="7"/>
      <c r="C884" s="2"/>
    </row>
    <row r="885" spans="1:3" ht="14.4" x14ac:dyDescent="0.3">
      <c r="A885" s="4"/>
      <c r="B885" s="7"/>
      <c r="C885" s="2"/>
    </row>
    <row r="886" spans="1:3" ht="14.4" x14ac:dyDescent="0.3">
      <c r="A886" s="4"/>
      <c r="B886" s="7"/>
      <c r="C886" s="2"/>
    </row>
    <row r="887" spans="1:3" ht="14.4" x14ac:dyDescent="0.3">
      <c r="A887" s="4"/>
      <c r="B887" s="7"/>
      <c r="C887" s="2"/>
    </row>
    <row r="888" spans="1:3" ht="14.4" x14ac:dyDescent="0.3">
      <c r="A888" s="4"/>
      <c r="B888" s="7"/>
      <c r="C888" s="2"/>
    </row>
    <row r="889" spans="1:3" ht="14.4" x14ac:dyDescent="0.3">
      <c r="A889" s="4"/>
      <c r="B889" s="7"/>
      <c r="C889" s="2"/>
    </row>
    <row r="890" spans="1:3" ht="14.4" x14ac:dyDescent="0.3">
      <c r="A890" s="4"/>
      <c r="B890" s="7"/>
      <c r="C890" s="2"/>
    </row>
    <row r="891" spans="1:3" ht="14.4" x14ac:dyDescent="0.3">
      <c r="A891" s="4"/>
      <c r="B891" s="7"/>
      <c r="C891" s="2"/>
    </row>
    <row r="892" spans="1:3" ht="14.4" x14ac:dyDescent="0.3">
      <c r="A892" s="4"/>
      <c r="B892" s="7"/>
      <c r="C892" s="2"/>
    </row>
    <row r="893" spans="1:3" ht="14.4" x14ac:dyDescent="0.3">
      <c r="A893" s="4"/>
      <c r="B893" s="7"/>
      <c r="C893" s="2"/>
    </row>
    <row r="894" spans="1:3" ht="14.4" x14ac:dyDescent="0.3">
      <c r="A894" s="4"/>
      <c r="B894" s="7"/>
      <c r="C894" s="2"/>
    </row>
    <row r="895" spans="1:3" ht="14.4" x14ac:dyDescent="0.3">
      <c r="A895" s="4"/>
      <c r="B895" s="7"/>
      <c r="C895" s="2"/>
    </row>
    <row r="896" spans="1:3" ht="14.4" x14ac:dyDescent="0.3">
      <c r="A896" s="4"/>
      <c r="B896" s="7"/>
      <c r="C896" s="2"/>
    </row>
    <row r="897" spans="1:3" ht="14.4" x14ac:dyDescent="0.3">
      <c r="A897" s="4"/>
      <c r="B897" s="7"/>
      <c r="C897" s="2"/>
    </row>
    <row r="898" spans="1:3" ht="14.4" x14ac:dyDescent="0.3">
      <c r="A898" s="4"/>
      <c r="B898" s="7"/>
      <c r="C898" s="2"/>
    </row>
    <row r="899" spans="1:3" ht="14.4" x14ac:dyDescent="0.3">
      <c r="A899" s="4"/>
      <c r="B899" s="7"/>
      <c r="C899" s="2"/>
    </row>
    <row r="900" spans="1:3" ht="14.4" x14ac:dyDescent="0.3">
      <c r="A900" s="4"/>
      <c r="B900" s="7"/>
      <c r="C900" s="2"/>
    </row>
    <row r="901" spans="1:3" ht="14.4" x14ac:dyDescent="0.3">
      <c r="A901" s="4"/>
      <c r="B901" s="7"/>
      <c r="C901" s="2"/>
    </row>
    <row r="902" spans="1:3" ht="14.4" x14ac:dyDescent="0.3">
      <c r="A902" s="4"/>
      <c r="B902" s="7"/>
      <c r="C902" s="2"/>
    </row>
    <row r="903" spans="1:3" ht="14.4" x14ac:dyDescent="0.3">
      <c r="A903" s="4"/>
      <c r="B903" s="7"/>
      <c r="C903" s="2"/>
    </row>
    <row r="904" spans="1:3" ht="14.4" x14ac:dyDescent="0.3">
      <c r="A904" s="4"/>
      <c r="B904" s="7"/>
      <c r="C904" s="2"/>
    </row>
    <row r="905" spans="1:3" ht="14.4" x14ac:dyDescent="0.3">
      <c r="A905" s="4"/>
      <c r="B905" s="7"/>
      <c r="C905" s="2"/>
    </row>
    <row r="906" spans="1:3" ht="14.4" x14ac:dyDescent="0.3">
      <c r="A906" s="4"/>
      <c r="B906" s="7"/>
      <c r="C906" s="2"/>
    </row>
    <row r="907" spans="1:3" ht="14.4" x14ac:dyDescent="0.3">
      <c r="A907" s="4"/>
      <c r="B907" s="7"/>
      <c r="C907" s="2"/>
    </row>
    <row r="908" spans="1:3" ht="14.4" x14ac:dyDescent="0.3">
      <c r="A908" s="4"/>
      <c r="B908" s="7"/>
      <c r="C908" s="2"/>
    </row>
    <row r="909" spans="1:3" ht="14.4" x14ac:dyDescent="0.3">
      <c r="A909" s="4"/>
      <c r="B909" s="7"/>
      <c r="C909" s="2"/>
    </row>
    <row r="910" spans="1:3" ht="14.4" x14ac:dyDescent="0.3">
      <c r="A910" s="4"/>
      <c r="B910" s="7"/>
      <c r="C910" s="2"/>
    </row>
    <row r="911" spans="1:3" ht="14.4" x14ac:dyDescent="0.3">
      <c r="A911" s="4"/>
      <c r="B911" s="7"/>
      <c r="C911" s="2"/>
    </row>
    <row r="912" spans="1:3" ht="14.4" x14ac:dyDescent="0.3">
      <c r="A912" s="4"/>
      <c r="B912" s="7"/>
      <c r="C912" s="2"/>
    </row>
    <row r="913" spans="1:3" ht="14.4" x14ac:dyDescent="0.3">
      <c r="A913" s="4"/>
      <c r="B913" s="7"/>
      <c r="C913" s="2"/>
    </row>
    <row r="914" spans="1:3" ht="14.4" x14ac:dyDescent="0.3">
      <c r="A914" s="4"/>
      <c r="B914" s="7"/>
      <c r="C914" s="2"/>
    </row>
    <row r="915" spans="1:3" ht="14.4" x14ac:dyDescent="0.3">
      <c r="A915" s="4"/>
      <c r="B915" s="7"/>
      <c r="C915" s="2"/>
    </row>
    <row r="916" spans="1:3" ht="14.4" x14ac:dyDescent="0.3">
      <c r="A916" s="4"/>
      <c r="B916" s="7"/>
      <c r="C916" s="2"/>
    </row>
    <row r="917" spans="1:3" ht="14.4" x14ac:dyDescent="0.3">
      <c r="A917" s="4"/>
      <c r="B917" s="7"/>
      <c r="C917" s="2"/>
    </row>
    <row r="918" spans="1:3" ht="14.4" x14ac:dyDescent="0.3">
      <c r="A918" s="4"/>
      <c r="B918" s="7"/>
      <c r="C918" s="2"/>
    </row>
    <row r="919" spans="1:3" ht="14.4" x14ac:dyDescent="0.3">
      <c r="A919" s="4"/>
      <c r="B919" s="7"/>
      <c r="C919" s="2"/>
    </row>
    <row r="920" spans="1:3" ht="14.4" x14ac:dyDescent="0.3">
      <c r="A920" s="4"/>
      <c r="B920" s="7"/>
      <c r="C920" s="2"/>
    </row>
    <row r="921" spans="1:3" ht="14.4" x14ac:dyDescent="0.3">
      <c r="A921" s="4"/>
      <c r="B921" s="7"/>
      <c r="C921" s="2"/>
    </row>
    <row r="922" spans="1:3" ht="14.4" x14ac:dyDescent="0.3">
      <c r="A922" s="4"/>
      <c r="B922" s="7"/>
      <c r="C922" s="2"/>
    </row>
    <row r="923" spans="1:3" ht="14.4" x14ac:dyDescent="0.3">
      <c r="A923" s="4"/>
      <c r="B923" s="7"/>
      <c r="C923" s="2"/>
    </row>
    <row r="924" spans="1:3" ht="14.4" x14ac:dyDescent="0.3">
      <c r="A924" s="4"/>
      <c r="B924" s="7"/>
      <c r="C924" s="2"/>
    </row>
    <row r="925" spans="1:3" ht="14.4" x14ac:dyDescent="0.3">
      <c r="A925" s="4"/>
      <c r="B925" s="7"/>
      <c r="C925" s="2"/>
    </row>
    <row r="926" spans="1:3" ht="14.4" x14ac:dyDescent="0.3">
      <c r="A926" s="4"/>
      <c r="B926" s="7"/>
      <c r="C926" s="2"/>
    </row>
    <row r="927" spans="1:3" ht="14.4" x14ac:dyDescent="0.3">
      <c r="A927" s="4"/>
      <c r="B927" s="7"/>
      <c r="C927" s="2"/>
    </row>
    <row r="928" spans="1:3" ht="14.4" x14ac:dyDescent="0.3">
      <c r="A928" s="4"/>
      <c r="B928" s="7"/>
      <c r="C928" s="2"/>
    </row>
    <row r="929" spans="1:3" ht="14.4" x14ac:dyDescent="0.3">
      <c r="A929" s="4"/>
      <c r="B929" s="7"/>
      <c r="C929" s="2"/>
    </row>
    <row r="930" spans="1:3" ht="14.4" x14ac:dyDescent="0.3">
      <c r="A930" s="4"/>
      <c r="B930" s="7"/>
      <c r="C930" s="2"/>
    </row>
    <row r="931" spans="1:3" ht="14.4" x14ac:dyDescent="0.3">
      <c r="A931" s="4"/>
      <c r="B931" s="7"/>
      <c r="C931" s="2"/>
    </row>
    <row r="932" spans="1:3" ht="14.4" x14ac:dyDescent="0.3">
      <c r="A932" s="4"/>
      <c r="B932" s="7"/>
      <c r="C932" s="2"/>
    </row>
    <row r="933" spans="1:3" ht="14.4" x14ac:dyDescent="0.3">
      <c r="A933" s="4"/>
      <c r="B933" s="7"/>
      <c r="C933" s="2"/>
    </row>
    <row r="934" spans="1:3" ht="14.4" x14ac:dyDescent="0.3">
      <c r="A934" s="4"/>
      <c r="B934" s="7"/>
      <c r="C934" s="2"/>
    </row>
    <row r="935" spans="1:3" ht="14.4" x14ac:dyDescent="0.3">
      <c r="A935" s="4"/>
      <c r="B935" s="7"/>
      <c r="C935" s="2"/>
    </row>
    <row r="936" spans="1:3" ht="14.4" x14ac:dyDescent="0.3">
      <c r="A936" s="4"/>
      <c r="B936" s="7"/>
      <c r="C936" s="2"/>
    </row>
    <row r="937" spans="1:3" ht="14.4" x14ac:dyDescent="0.3">
      <c r="A937" s="4"/>
      <c r="B937" s="7"/>
      <c r="C937" s="2"/>
    </row>
    <row r="938" spans="1:3" ht="14.4" x14ac:dyDescent="0.3">
      <c r="A938" s="4"/>
      <c r="B938" s="7"/>
      <c r="C938" s="2"/>
    </row>
    <row r="939" spans="1:3" ht="14.4" x14ac:dyDescent="0.3">
      <c r="A939" s="4"/>
      <c r="B939" s="7"/>
      <c r="C939" s="2"/>
    </row>
    <row r="940" spans="1:3" ht="14.4" x14ac:dyDescent="0.3">
      <c r="A940" s="4"/>
      <c r="B940" s="7"/>
      <c r="C940" s="2"/>
    </row>
    <row r="941" spans="1:3" ht="14.4" x14ac:dyDescent="0.3">
      <c r="A941" s="4"/>
      <c r="B941" s="7"/>
      <c r="C941" s="2"/>
    </row>
    <row r="942" spans="1:3" ht="14.4" x14ac:dyDescent="0.3">
      <c r="A942" s="4"/>
      <c r="B942" s="7"/>
      <c r="C942" s="2"/>
    </row>
    <row r="943" spans="1:3" ht="14.4" x14ac:dyDescent="0.3">
      <c r="A943" s="4"/>
      <c r="B943" s="7"/>
      <c r="C943" s="2"/>
    </row>
    <row r="944" spans="1:3" ht="14.4" x14ac:dyDescent="0.3">
      <c r="A944" s="4"/>
      <c r="B944" s="7"/>
      <c r="C944" s="2"/>
    </row>
    <row r="945" spans="1:3" ht="14.4" x14ac:dyDescent="0.3">
      <c r="A945" s="4"/>
      <c r="B945" s="7"/>
      <c r="C945" s="2"/>
    </row>
    <row r="946" spans="1:3" ht="14.4" x14ac:dyDescent="0.3">
      <c r="A946" s="4"/>
      <c r="B946" s="7"/>
      <c r="C946" s="2"/>
    </row>
    <row r="947" spans="1:3" ht="14.4" x14ac:dyDescent="0.3">
      <c r="A947" s="4"/>
      <c r="B947" s="7"/>
      <c r="C947" s="2"/>
    </row>
    <row r="948" spans="1:3" ht="14.4" x14ac:dyDescent="0.3">
      <c r="A948" s="4"/>
      <c r="B948" s="7"/>
      <c r="C948" s="2"/>
    </row>
    <row r="949" spans="1:3" ht="14.4" x14ac:dyDescent="0.3">
      <c r="A949" s="4"/>
      <c r="B949" s="7"/>
      <c r="C949" s="2"/>
    </row>
    <row r="950" spans="1:3" ht="14.4" x14ac:dyDescent="0.3">
      <c r="A950" s="4"/>
      <c r="B950" s="7"/>
      <c r="C950" s="2"/>
    </row>
    <row r="951" spans="1:3" ht="14.4" x14ac:dyDescent="0.3">
      <c r="A951" s="4"/>
      <c r="B951" s="7"/>
      <c r="C951" s="2"/>
    </row>
    <row r="952" spans="1:3" ht="14.4" x14ac:dyDescent="0.3">
      <c r="A952" s="4"/>
      <c r="B952" s="7"/>
      <c r="C952" s="2"/>
    </row>
    <row r="953" spans="1:3" ht="14.4" x14ac:dyDescent="0.3">
      <c r="A953" s="4"/>
      <c r="B953" s="7"/>
      <c r="C953" s="2"/>
    </row>
    <row r="954" spans="1:3" ht="14.4" x14ac:dyDescent="0.3">
      <c r="A954" s="4"/>
      <c r="B954" s="7"/>
      <c r="C954" s="2"/>
    </row>
    <row r="955" spans="1:3" ht="14.4" x14ac:dyDescent="0.3">
      <c r="A955" s="4"/>
      <c r="B955" s="7"/>
      <c r="C955" s="2"/>
    </row>
    <row r="956" spans="1:3" ht="14.4" x14ac:dyDescent="0.3">
      <c r="A956" s="4"/>
      <c r="B956" s="7"/>
      <c r="C956" s="2"/>
    </row>
    <row r="957" spans="1:3" ht="14.4" x14ac:dyDescent="0.3">
      <c r="A957" s="4"/>
      <c r="B957" s="7"/>
      <c r="C957" s="2"/>
    </row>
    <row r="958" spans="1:3" ht="14.4" x14ac:dyDescent="0.3">
      <c r="A958" s="4"/>
      <c r="B958" s="7"/>
      <c r="C958" s="2"/>
    </row>
    <row r="959" spans="1:3" ht="14.4" x14ac:dyDescent="0.3">
      <c r="A959" s="4"/>
      <c r="B959" s="7"/>
      <c r="C959" s="2"/>
    </row>
    <row r="960" spans="1:3" ht="14.4" x14ac:dyDescent="0.3">
      <c r="A960" s="4"/>
      <c r="B960" s="7"/>
      <c r="C960" s="2"/>
    </row>
    <row r="961" spans="1:3" ht="14.4" x14ac:dyDescent="0.3">
      <c r="A961" s="4"/>
      <c r="B961" s="7"/>
      <c r="C961" s="2"/>
    </row>
    <row r="962" spans="1:3" ht="14.4" x14ac:dyDescent="0.3">
      <c r="A962" s="4"/>
      <c r="B962" s="7"/>
      <c r="C962" s="2"/>
    </row>
    <row r="963" spans="1:3" ht="14.4" x14ac:dyDescent="0.3">
      <c r="A963" s="4"/>
      <c r="B963" s="7"/>
      <c r="C963" s="2"/>
    </row>
    <row r="964" spans="1:3" ht="14.4" x14ac:dyDescent="0.3">
      <c r="A964" s="4"/>
      <c r="B964" s="7"/>
      <c r="C964" s="2"/>
    </row>
    <row r="965" spans="1:3" ht="14.4" x14ac:dyDescent="0.3">
      <c r="A965" s="4"/>
      <c r="B965" s="7"/>
      <c r="C965" s="2"/>
    </row>
    <row r="966" spans="1:3" ht="14.4" x14ac:dyDescent="0.3">
      <c r="A966" s="4"/>
      <c r="B966" s="7"/>
      <c r="C966" s="2"/>
    </row>
    <row r="967" spans="1:3" ht="14.4" x14ac:dyDescent="0.3">
      <c r="A967" s="4"/>
      <c r="B967" s="7"/>
      <c r="C967" s="2"/>
    </row>
    <row r="968" spans="1:3" ht="14.4" x14ac:dyDescent="0.3">
      <c r="A968" s="4"/>
      <c r="B968" s="7"/>
      <c r="C968" s="2"/>
    </row>
    <row r="969" spans="1:3" ht="14.4" x14ac:dyDescent="0.3">
      <c r="A969" s="4"/>
      <c r="B969" s="7"/>
      <c r="C969" s="2"/>
    </row>
    <row r="970" spans="1:3" ht="14.4" x14ac:dyDescent="0.3">
      <c r="A970" s="4"/>
      <c r="B970" s="7"/>
      <c r="C970" s="2"/>
    </row>
    <row r="971" spans="1:3" ht="14.4" x14ac:dyDescent="0.3">
      <c r="A971" s="4"/>
      <c r="B971" s="7"/>
      <c r="C971" s="2"/>
    </row>
    <row r="972" spans="1:3" ht="14.4" x14ac:dyDescent="0.3">
      <c r="A972" s="4"/>
      <c r="B972" s="7"/>
      <c r="C972" s="2"/>
    </row>
    <row r="973" spans="1:3" ht="14.4" x14ac:dyDescent="0.3">
      <c r="A973" s="4"/>
      <c r="B973" s="7"/>
      <c r="C973" s="2"/>
    </row>
    <row r="974" spans="1:3" ht="14.4" x14ac:dyDescent="0.3">
      <c r="A974" s="4"/>
      <c r="B974" s="7"/>
      <c r="C974" s="2"/>
    </row>
    <row r="975" spans="1:3" ht="14.4" x14ac:dyDescent="0.3">
      <c r="A975" s="4"/>
      <c r="B975" s="7"/>
      <c r="C975" s="2"/>
    </row>
    <row r="976" spans="1:3" ht="14.4" x14ac:dyDescent="0.3">
      <c r="A976" s="4"/>
      <c r="B976" s="7"/>
      <c r="C976" s="2"/>
    </row>
    <row r="977" spans="1:3" ht="14.4" x14ac:dyDescent="0.3">
      <c r="A977" s="4"/>
      <c r="B977" s="7"/>
      <c r="C977" s="2"/>
    </row>
    <row r="978" spans="1:3" ht="14.4" x14ac:dyDescent="0.3">
      <c r="A978" s="4"/>
      <c r="B978" s="7"/>
      <c r="C978" s="2"/>
    </row>
    <row r="979" spans="1:3" ht="14.4" x14ac:dyDescent="0.3">
      <c r="A979" s="4"/>
      <c r="B979" s="7"/>
      <c r="C979" s="2"/>
    </row>
    <row r="980" spans="1:3" ht="14.4" x14ac:dyDescent="0.3">
      <c r="A980" s="4"/>
      <c r="B980" s="7"/>
      <c r="C980" s="2"/>
    </row>
    <row r="981" spans="1:3" ht="14.4" x14ac:dyDescent="0.3">
      <c r="A981" s="4"/>
      <c r="B981" s="7"/>
      <c r="C981" s="2"/>
    </row>
    <row r="982" spans="1:3" ht="14.4" x14ac:dyDescent="0.3">
      <c r="A982" s="4"/>
      <c r="B982" s="7"/>
      <c r="C982" s="2"/>
    </row>
    <row r="983" spans="1:3" ht="14.4" x14ac:dyDescent="0.3">
      <c r="A983" s="4"/>
      <c r="B983" s="7"/>
      <c r="C983" s="2"/>
    </row>
    <row r="984" spans="1:3" ht="14.4" x14ac:dyDescent="0.3">
      <c r="A984" s="4"/>
      <c r="B984" s="7"/>
      <c r="C984" s="2"/>
    </row>
    <row r="985" spans="1:3" ht="14.4" x14ac:dyDescent="0.3">
      <c r="A985" s="4"/>
      <c r="B985" s="7"/>
      <c r="C985" s="2"/>
    </row>
    <row r="986" spans="1:3" ht="14.4" x14ac:dyDescent="0.3">
      <c r="A986" s="4"/>
      <c r="B986" s="7"/>
      <c r="C986" s="2"/>
    </row>
    <row r="987" spans="1:3" ht="14.4" x14ac:dyDescent="0.3">
      <c r="A987" s="4"/>
      <c r="B987" s="7"/>
      <c r="C987" s="2"/>
    </row>
    <row r="988" spans="1:3" ht="14.4" x14ac:dyDescent="0.3">
      <c r="A988" s="4"/>
      <c r="B988" s="7"/>
      <c r="C988" s="2"/>
    </row>
    <row r="989" spans="1:3" ht="14.4" x14ac:dyDescent="0.3">
      <c r="A989" s="4"/>
      <c r="B989" s="7"/>
      <c r="C989" s="2"/>
    </row>
    <row r="990" spans="1:3" ht="14.4" x14ac:dyDescent="0.3">
      <c r="A990" s="4"/>
      <c r="B990" s="7"/>
      <c r="C990" s="2"/>
    </row>
    <row r="991" spans="1:3" ht="14.4" x14ac:dyDescent="0.3">
      <c r="A991" s="4"/>
      <c r="B991" s="7"/>
      <c r="C991" s="2"/>
    </row>
    <row r="992" spans="1:3" ht="14.4" x14ac:dyDescent="0.3">
      <c r="A992" s="4"/>
      <c r="B992" s="7"/>
      <c r="C992" s="2"/>
    </row>
    <row r="993" spans="1:3" ht="14.4" x14ac:dyDescent="0.3">
      <c r="A993" s="4"/>
      <c r="B993" s="7"/>
      <c r="C993" s="2"/>
    </row>
    <row r="994" spans="1:3" ht="14.4" x14ac:dyDescent="0.3">
      <c r="A994" s="4"/>
      <c r="B994" s="7"/>
      <c r="C994" s="2"/>
    </row>
    <row r="995" spans="1:3" ht="14.4" x14ac:dyDescent="0.3">
      <c r="A995" s="4"/>
      <c r="B995" s="7"/>
      <c r="C995" s="2"/>
    </row>
    <row r="996" spans="1:3" ht="14.4" x14ac:dyDescent="0.3">
      <c r="A996" s="4"/>
      <c r="B996" s="7"/>
      <c r="C996" s="2"/>
    </row>
    <row r="997" spans="1:3" ht="14.4" x14ac:dyDescent="0.3">
      <c r="A997" s="4"/>
      <c r="B997" s="7"/>
      <c r="C997" s="2"/>
    </row>
    <row r="998" spans="1:3" ht="14.4" x14ac:dyDescent="0.3">
      <c r="A998" s="4"/>
      <c r="B998" s="7"/>
      <c r="C998" s="2"/>
    </row>
    <row r="999" spans="1:3" ht="14.4" x14ac:dyDescent="0.3">
      <c r="A999" s="4"/>
      <c r="B999" s="7"/>
      <c r="C999" s="2"/>
    </row>
    <row r="1000" spans="1:3" ht="14.4" x14ac:dyDescent="0.3">
      <c r="A1000" s="4"/>
      <c r="B1000" s="7"/>
      <c r="C1000" s="2"/>
    </row>
    <row r="1001" spans="1:3" ht="14.4" x14ac:dyDescent="0.3">
      <c r="A1001" s="4"/>
      <c r="B1001" s="7"/>
      <c r="C1001" s="2"/>
    </row>
    <row r="1002" spans="1:3" ht="14.4" x14ac:dyDescent="0.3">
      <c r="A1002" s="4"/>
      <c r="B1002" s="7"/>
      <c r="C1002" s="2"/>
    </row>
    <row r="1003" spans="1:3" ht="14.4" x14ac:dyDescent="0.3">
      <c r="A1003" s="4"/>
      <c r="B1003" s="7"/>
      <c r="C1003" s="2"/>
    </row>
    <row r="1004" spans="1:3" ht="14.4" x14ac:dyDescent="0.3">
      <c r="A1004" s="4"/>
      <c r="B1004" s="7"/>
      <c r="C1004" s="2"/>
    </row>
    <row r="1005" spans="1:3" ht="14.4" x14ac:dyDescent="0.3">
      <c r="A1005" s="4"/>
      <c r="B1005" s="7"/>
      <c r="C1005" s="2"/>
    </row>
    <row r="1006" spans="1:3" ht="14.4" x14ac:dyDescent="0.3">
      <c r="A1006" s="4"/>
      <c r="B1006" s="7"/>
      <c r="C1006" s="2"/>
    </row>
    <row r="1007" spans="1:3" ht="14.4" x14ac:dyDescent="0.3">
      <c r="A1007" s="4"/>
      <c r="B1007" s="7"/>
      <c r="C1007" s="2"/>
    </row>
    <row r="1008" spans="1:3" ht="14.4" x14ac:dyDescent="0.3">
      <c r="A1008" s="4"/>
      <c r="B1008" s="7"/>
      <c r="C1008" s="2"/>
    </row>
    <row r="1009" spans="1:3" ht="14.4" x14ac:dyDescent="0.3">
      <c r="A1009" s="4"/>
      <c r="B1009" s="7"/>
      <c r="C1009" s="2"/>
    </row>
    <row r="1010" spans="1:3" ht="14.4" x14ac:dyDescent="0.3">
      <c r="A1010" s="4"/>
      <c r="B1010" s="7"/>
      <c r="C1010" s="2"/>
    </row>
    <row r="1011" spans="1:3" ht="14.4" x14ac:dyDescent="0.3">
      <c r="A1011" s="4"/>
      <c r="B1011" s="7"/>
      <c r="C1011" s="2"/>
    </row>
    <row r="1012" spans="1:3" ht="14.4" x14ac:dyDescent="0.3">
      <c r="A1012" s="4"/>
      <c r="B1012" s="7"/>
      <c r="C1012" s="2"/>
    </row>
    <row r="1013" spans="1:3" ht="14.4" x14ac:dyDescent="0.3">
      <c r="A1013" s="4"/>
      <c r="B1013" s="7"/>
      <c r="C1013" s="2"/>
    </row>
    <row r="1014" spans="1:3" ht="14.4" x14ac:dyDescent="0.3">
      <c r="A1014" s="4"/>
      <c r="B1014" s="7"/>
      <c r="C1014" s="2"/>
    </row>
    <row r="1015" spans="1:3" ht="14.4" x14ac:dyDescent="0.3">
      <c r="A1015" s="4"/>
      <c r="B1015" s="7"/>
      <c r="C1015" s="2"/>
    </row>
    <row r="1016" spans="1:3" ht="14.4" x14ac:dyDescent="0.3">
      <c r="A1016" s="4"/>
      <c r="B1016" s="7"/>
      <c r="C1016" s="2"/>
    </row>
    <row r="1017" spans="1:3" ht="14.4" x14ac:dyDescent="0.3">
      <c r="A1017" s="4"/>
      <c r="B1017" s="7"/>
      <c r="C1017" s="2"/>
    </row>
    <row r="1018" spans="1:3" ht="14.4" x14ac:dyDescent="0.3">
      <c r="A1018" s="4"/>
      <c r="B1018" s="7"/>
      <c r="C1018" s="2"/>
    </row>
    <row r="1019" spans="1:3" ht="14.4" x14ac:dyDescent="0.3">
      <c r="A1019" s="4"/>
      <c r="B1019" s="7"/>
      <c r="C1019" s="2"/>
    </row>
    <row r="1020" spans="1:3" ht="14.4" x14ac:dyDescent="0.3">
      <c r="A1020" s="4"/>
      <c r="B1020" s="7"/>
      <c r="C1020" s="2"/>
    </row>
    <row r="1021" spans="1:3" ht="14.4" x14ac:dyDescent="0.3">
      <c r="A1021" s="4"/>
      <c r="B1021" s="7"/>
      <c r="C1021" s="2"/>
    </row>
    <row r="1022" spans="1:3" ht="14.4" x14ac:dyDescent="0.3">
      <c r="A1022" s="4"/>
      <c r="B1022" s="7"/>
      <c r="C1022" s="2"/>
    </row>
    <row r="1023" spans="1:3" ht="14.4" x14ac:dyDescent="0.3">
      <c r="A1023" s="4"/>
      <c r="B1023" s="7"/>
      <c r="C1023" s="2"/>
    </row>
    <row r="1024" spans="1:3" ht="14.4" x14ac:dyDescent="0.3">
      <c r="A1024" s="4"/>
      <c r="B1024" s="7"/>
      <c r="C1024" s="2"/>
    </row>
    <row r="1025" spans="1:3" ht="14.4" x14ac:dyDescent="0.3">
      <c r="A1025" s="4"/>
      <c r="B1025" s="7"/>
      <c r="C1025" s="2"/>
    </row>
    <row r="1026" spans="1:3" ht="14.4" x14ac:dyDescent="0.3">
      <c r="A1026" s="4"/>
      <c r="B1026" s="7"/>
      <c r="C1026" s="2"/>
    </row>
    <row r="1027" spans="1:3" ht="14.4" x14ac:dyDescent="0.3">
      <c r="A1027" s="4"/>
      <c r="B1027" s="7"/>
      <c r="C1027" s="2"/>
    </row>
    <row r="1028" spans="1:3" ht="14.4" x14ac:dyDescent="0.3">
      <c r="A1028" s="4"/>
      <c r="B1028" s="7"/>
      <c r="C1028" s="2"/>
    </row>
    <row r="1029" spans="1:3" ht="14.4" x14ac:dyDescent="0.3">
      <c r="A1029" s="4"/>
      <c r="B1029" s="7"/>
      <c r="C1029" s="2"/>
    </row>
    <row r="1030" spans="1:3" ht="14.4" x14ac:dyDescent="0.3">
      <c r="A1030" s="4"/>
      <c r="B1030" s="7"/>
      <c r="C1030" s="2"/>
    </row>
    <row r="1031" spans="1:3" ht="14.4" x14ac:dyDescent="0.3">
      <c r="A1031" s="4"/>
      <c r="B1031" s="7"/>
      <c r="C1031" s="2"/>
    </row>
    <row r="1032" spans="1:3" ht="14.4" x14ac:dyDescent="0.3">
      <c r="A1032" s="4"/>
      <c r="B1032" s="7"/>
      <c r="C1032" s="2"/>
    </row>
    <row r="1033" spans="1:3" ht="14.4" x14ac:dyDescent="0.3">
      <c r="A1033" s="4"/>
      <c r="B1033" s="7"/>
      <c r="C1033" s="2"/>
    </row>
    <row r="1034" spans="1:3" ht="14.4" x14ac:dyDescent="0.3">
      <c r="A1034" s="4"/>
      <c r="B1034" s="7"/>
      <c r="C1034" s="2"/>
    </row>
    <row r="1035" spans="1:3" ht="14.4" x14ac:dyDescent="0.3">
      <c r="A1035" s="4"/>
      <c r="B1035" s="7"/>
      <c r="C1035" s="2"/>
    </row>
    <row r="1036" spans="1:3" ht="14.4" x14ac:dyDescent="0.3">
      <c r="A1036" s="4"/>
      <c r="B1036" s="7"/>
      <c r="C1036" s="2"/>
    </row>
    <row r="1037" spans="1:3" ht="14.4" x14ac:dyDescent="0.3">
      <c r="A1037" s="4"/>
      <c r="B1037" s="7"/>
      <c r="C1037" s="2"/>
    </row>
    <row r="1038" spans="1:3" ht="14.4" x14ac:dyDescent="0.3">
      <c r="A1038" s="4"/>
      <c r="B1038" s="7"/>
      <c r="C1038" s="2"/>
    </row>
    <row r="1039" spans="1:3" ht="14.4" x14ac:dyDescent="0.3">
      <c r="A1039" s="4"/>
      <c r="B1039" s="7"/>
      <c r="C1039" s="2"/>
    </row>
    <row r="1040" spans="1:3" ht="14.4" x14ac:dyDescent="0.3">
      <c r="A1040" s="4"/>
      <c r="B1040" s="7"/>
      <c r="C1040" s="2"/>
    </row>
    <row r="1041" spans="1:3" ht="14.4" x14ac:dyDescent="0.3">
      <c r="A1041" s="4"/>
      <c r="B1041" s="7"/>
      <c r="C1041" s="2"/>
    </row>
    <row r="1042" spans="1:3" ht="14.4" x14ac:dyDescent="0.3">
      <c r="A1042" s="4"/>
      <c r="B1042" s="7"/>
      <c r="C1042" s="2"/>
    </row>
    <row r="1043" spans="1:3" ht="14.4" x14ac:dyDescent="0.3">
      <c r="A1043" s="4"/>
      <c r="B1043" s="7"/>
      <c r="C1043" s="2"/>
    </row>
    <row r="1044" spans="1:3" ht="14.4" x14ac:dyDescent="0.3">
      <c r="A1044" s="4"/>
      <c r="B1044" s="7"/>
      <c r="C1044" s="2"/>
    </row>
    <row r="1045" spans="1:3" ht="14.4" x14ac:dyDescent="0.3">
      <c r="A1045" s="4"/>
      <c r="B1045" s="7"/>
      <c r="C1045" s="2"/>
    </row>
    <row r="1046" spans="1:3" ht="14.4" x14ac:dyDescent="0.3">
      <c r="A1046" s="4"/>
      <c r="B1046" s="7"/>
      <c r="C1046" s="2"/>
    </row>
    <row r="1047" spans="1:3" ht="14.4" x14ac:dyDescent="0.3">
      <c r="A1047" s="4"/>
      <c r="B1047" s="7"/>
      <c r="C1047" s="2"/>
    </row>
    <row r="1048" spans="1:3" ht="14.4" x14ac:dyDescent="0.3">
      <c r="A1048" s="4"/>
      <c r="B1048" s="7"/>
      <c r="C1048" s="2"/>
    </row>
    <row r="1049" spans="1:3" ht="14.4" x14ac:dyDescent="0.3">
      <c r="A1049" s="4"/>
      <c r="B1049" s="7"/>
      <c r="C1049" s="2"/>
    </row>
    <row r="1050" spans="1:3" ht="14.4" x14ac:dyDescent="0.3">
      <c r="A1050" s="4"/>
      <c r="B1050" s="7"/>
      <c r="C1050" s="2"/>
    </row>
    <row r="1051" spans="1:3" ht="14.4" x14ac:dyDescent="0.3">
      <c r="A1051" s="4"/>
      <c r="B1051" s="7"/>
      <c r="C1051" s="2"/>
    </row>
    <row r="1052" spans="1:3" ht="14.4" x14ac:dyDescent="0.3">
      <c r="A1052" s="4"/>
      <c r="B1052" s="7"/>
      <c r="C1052" s="2"/>
    </row>
    <row r="1053" spans="1:3" ht="14.4" x14ac:dyDescent="0.3">
      <c r="A1053" s="4"/>
      <c r="B1053" s="7"/>
      <c r="C1053" s="2"/>
    </row>
    <row r="1054" spans="1:3" ht="14.4" x14ac:dyDescent="0.3">
      <c r="A1054" s="4"/>
      <c r="B1054" s="7"/>
      <c r="C1054" s="2"/>
    </row>
    <row r="1055" spans="1:3" ht="14.4" x14ac:dyDescent="0.3">
      <c r="A1055" s="4"/>
      <c r="B1055" s="7"/>
      <c r="C1055" s="2"/>
    </row>
    <row r="1056" spans="1:3" ht="14.4" x14ac:dyDescent="0.3">
      <c r="A1056" s="4"/>
      <c r="B1056" s="7"/>
      <c r="C1056" s="2"/>
    </row>
    <row r="1057" spans="1:3" ht="14.4" x14ac:dyDescent="0.3">
      <c r="A1057" s="4"/>
      <c r="B1057" s="7"/>
      <c r="C1057" s="2"/>
    </row>
    <row r="1058" spans="1:3" ht="14.4" x14ac:dyDescent="0.3">
      <c r="A1058" s="4"/>
      <c r="B1058" s="7"/>
      <c r="C1058" s="2"/>
    </row>
    <row r="1059" spans="1:3" ht="14.4" x14ac:dyDescent="0.3">
      <c r="A1059" s="4"/>
      <c r="B1059" s="7"/>
      <c r="C1059" s="2"/>
    </row>
    <row r="1060" spans="1:3" ht="14.4" x14ac:dyDescent="0.3">
      <c r="A1060" s="4"/>
      <c r="B1060" s="7"/>
      <c r="C1060" s="2"/>
    </row>
    <row r="1061" spans="1:3" ht="14.4" x14ac:dyDescent="0.3">
      <c r="A1061" s="4"/>
      <c r="B1061" s="7"/>
      <c r="C1061" s="2"/>
    </row>
    <row r="1062" spans="1:3" ht="14.4" x14ac:dyDescent="0.3">
      <c r="A1062" s="4"/>
      <c r="B1062" s="7"/>
      <c r="C1062" s="2"/>
    </row>
    <row r="1063" spans="1:3" ht="14.4" x14ac:dyDescent="0.3">
      <c r="A1063" s="4"/>
      <c r="B1063" s="7"/>
      <c r="C1063" s="2"/>
    </row>
    <row r="1064" spans="1:3" ht="14.4" x14ac:dyDescent="0.3">
      <c r="A1064" s="4"/>
      <c r="B1064" s="7"/>
      <c r="C1064" s="2"/>
    </row>
    <row r="1065" spans="1:3" ht="14.4" x14ac:dyDescent="0.3">
      <c r="A1065" s="4"/>
      <c r="B1065" s="7"/>
      <c r="C1065" s="2"/>
    </row>
    <row r="1066" spans="1:3" ht="14.4" x14ac:dyDescent="0.3">
      <c r="A1066" s="4"/>
      <c r="B1066" s="7"/>
      <c r="C1066" s="2"/>
    </row>
    <row r="1067" spans="1:3" ht="14.4" x14ac:dyDescent="0.3">
      <c r="A1067" s="4"/>
      <c r="B1067" s="7"/>
      <c r="C1067" s="2"/>
    </row>
    <row r="1068" spans="1:3" ht="14.4" x14ac:dyDescent="0.3">
      <c r="A1068" s="4"/>
      <c r="B1068" s="7"/>
      <c r="C1068" s="2"/>
    </row>
    <row r="1069" spans="1:3" ht="14.4" x14ac:dyDescent="0.3">
      <c r="A1069" s="4"/>
      <c r="B1069" s="7"/>
      <c r="C1069" s="2"/>
    </row>
    <row r="1070" spans="1:3" ht="14.4" x14ac:dyDescent="0.3">
      <c r="A1070" s="4"/>
      <c r="B1070" s="7"/>
      <c r="C1070" s="2"/>
    </row>
    <row r="1071" spans="1:3" ht="14.4" x14ac:dyDescent="0.3">
      <c r="A1071" s="4"/>
      <c r="B1071" s="7"/>
      <c r="C1071" s="2"/>
    </row>
    <row r="1072" spans="1:3" ht="14.4" x14ac:dyDescent="0.3">
      <c r="A1072" s="4"/>
      <c r="B1072" s="7"/>
      <c r="C1072" s="2"/>
    </row>
    <row r="1073" spans="1:3" ht="14.4" x14ac:dyDescent="0.3">
      <c r="A1073" s="4"/>
      <c r="B1073" s="7"/>
      <c r="C1073" s="2"/>
    </row>
    <row r="1074" spans="1:3" ht="14.4" x14ac:dyDescent="0.3">
      <c r="A1074" s="4"/>
      <c r="B1074" s="7"/>
      <c r="C1074" s="2"/>
    </row>
    <row r="1075" spans="1:3" ht="14.4" x14ac:dyDescent="0.3">
      <c r="A1075" s="4"/>
      <c r="B1075" s="7"/>
      <c r="C1075" s="2"/>
    </row>
    <row r="1076" spans="1:3" ht="14.4" x14ac:dyDescent="0.3">
      <c r="A1076" s="4"/>
      <c r="B1076" s="7"/>
      <c r="C1076" s="2"/>
    </row>
    <row r="1077" spans="1:3" ht="14.4" x14ac:dyDescent="0.3">
      <c r="A1077" s="4"/>
      <c r="B1077" s="7"/>
      <c r="C1077" s="2"/>
    </row>
    <row r="1078" spans="1:3" ht="14.4" x14ac:dyDescent="0.3">
      <c r="A1078" s="4"/>
      <c r="B1078" s="7"/>
      <c r="C1078"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
  <sheetViews>
    <sheetView tabSelected="1" workbookViewId="0">
      <pane ySplit="1" topLeftCell="A2" activePane="bottomLeft" state="frozen"/>
      <selection pane="bottomLeft" activeCell="E3" sqref="E3"/>
    </sheetView>
  </sheetViews>
  <sheetFormatPr defaultColWidth="14.44140625" defaultRowHeight="15.75" customHeight="1" x14ac:dyDescent="0.25"/>
  <cols>
    <col min="1" max="1" width="39.6640625" customWidth="1"/>
    <col min="5" max="5" width="68.77734375" customWidth="1"/>
    <col min="6" max="6" width="45.109375" bestFit="1" customWidth="1"/>
  </cols>
  <sheetData>
    <row r="1" spans="1:6" ht="15.75" customHeight="1" thickBot="1" x14ac:dyDescent="0.35">
      <c r="A1" s="16" t="s">
        <v>90</v>
      </c>
      <c r="B1" s="16" t="s">
        <v>91</v>
      </c>
      <c r="C1" s="16" t="s">
        <v>92</v>
      </c>
      <c r="D1" s="16" t="s">
        <v>93</v>
      </c>
      <c r="E1" s="16" t="s">
        <v>94</v>
      </c>
    </row>
    <row r="2" spans="1:6" ht="27" x14ac:dyDescent="0.3">
      <c r="A2" s="4" t="s">
        <v>95</v>
      </c>
      <c r="B2" s="5">
        <v>115</v>
      </c>
      <c r="C2" s="5">
        <v>137</v>
      </c>
      <c r="D2" s="6">
        <f t="shared" ref="D2:D8" si="0">C2/B2-1</f>
        <v>0.19130434782608696</v>
      </c>
      <c r="E2" s="4" t="str">
        <f>"Продажи книги "&amp;CHAR(34)&amp;A2&amp;CHAR(34)&amp;IF(D2&gt;0," выросли на "," упали на ")&amp;TEXT(D2,"0%;0%")</f>
        <v>Продажи книги "Талант ни при чем" выросли на 19%</v>
      </c>
      <c r="F2" s="42" t="s">
        <v>1380</v>
      </c>
    </row>
    <row r="3" spans="1:6" ht="15.75" customHeight="1" x14ac:dyDescent="0.3">
      <c r="A3" s="4" t="s">
        <v>96</v>
      </c>
      <c r="B3" s="5">
        <v>185</v>
      </c>
      <c r="C3" s="5">
        <v>181</v>
      </c>
      <c r="D3" s="6">
        <f t="shared" si="0"/>
        <v>-2.1621621621621623E-2</v>
      </c>
      <c r="E3" s="4" t="str">
        <f t="shared" ref="E3:E8" si="1">"Продажи книги "&amp;CHAR(34)&amp;A3&amp;CHAR(34)&amp;IF(D3&gt;0," выросли на "," упали на ")&amp;TEXT(D3,"0%;0%")</f>
        <v>Продажи книги "Технологии, которые изменят мир" упали на 2%</v>
      </c>
    </row>
    <row r="4" spans="1:6" ht="15.75" customHeight="1" x14ac:dyDescent="0.3">
      <c r="A4" s="4" t="s">
        <v>97</v>
      </c>
      <c r="B4" s="5">
        <v>316</v>
      </c>
      <c r="C4" s="5">
        <v>298</v>
      </c>
      <c r="D4" s="6">
        <f t="shared" si="0"/>
        <v>-5.6962025316455667E-2</v>
      </c>
      <c r="E4" s="4" t="str">
        <f t="shared" si="1"/>
        <v>Продажи книги "Трафик" упали на 6%</v>
      </c>
    </row>
    <row r="5" spans="1:6" ht="15.75" customHeight="1" x14ac:dyDescent="0.3">
      <c r="A5" s="4" t="s">
        <v>98</v>
      </c>
      <c r="B5" s="5">
        <v>162</v>
      </c>
      <c r="C5" s="5">
        <v>180</v>
      </c>
      <c r="D5" s="6">
        <f t="shared" si="0"/>
        <v>0.11111111111111116</v>
      </c>
      <c r="E5" s="4" t="str">
        <f t="shared" si="1"/>
        <v>Продажи книги "Удачные переговоры" выросли на 11%</v>
      </c>
    </row>
    <row r="6" spans="1:6" ht="15.75" customHeight="1" x14ac:dyDescent="0.3">
      <c r="A6" s="4" t="s">
        <v>99</v>
      </c>
      <c r="B6" s="5">
        <v>354</v>
      </c>
      <c r="C6" s="5">
        <v>360</v>
      </c>
      <c r="D6" s="6">
        <f t="shared" si="0"/>
        <v>1.6949152542372836E-2</v>
      </c>
      <c r="E6" s="4" t="str">
        <f t="shared" si="1"/>
        <v>Продажи книги "Умение слушать" выросли на 2%</v>
      </c>
    </row>
    <row r="7" spans="1:6" ht="15.75" customHeight="1" x14ac:dyDescent="0.3">
      <c r="A7" s="4" t="s">
        <v>100</v>
      </c>
      <c r="B7" s="5">
        <v>483</v>
      </c>
      <c r="C7" s="5">
        <v>506</v>
      </c>
      <c r="D7" s="6">
        <f t="shared" si="0"/>
        <v>4.7619047619047672E-2</v>
      </c>
      <c r="E7" s="4" t="str">
        <f t="shared" si="1"/>
        <v>Продажи книги "Управление для тех, кто не любит управлять" выросли на 5%</v>
      </c>
    </row>
    <row r="8" spans="1:6" ht="15.75" customHeight="1" x14ac:dyDescent="0.3">
      <c r="A8" s="4" t="s">
        <v>101</v>
      </c>
      <c r="B8" s="5">
        <v>367</v>
      </c>
      <c r="C8" s="5">
        <v>412</v>
      </c>
      <c r="D8" s="6">
        <f t="shared" si="0"/>
        <v>0.12261580381471382</v>
      </c>
      <c r="E8" s="4" t="str">
        <f t="shared" si="1"/>
        <v>Продажи книги "Упрости себе жизнь" выросли на 12%</v>
      </c>
    </row>
    <row r="10" spans="1:6" ht="15.75" customHeight="1" x14ac:dyDescent="0.3">
      <c r="E10" s="3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Преобр</vt:lpstr>
      <vt:lpstr>Апостроф</vt:lpstr>
      <vt:lpstr>Регистры</vt:lpstr>
      <vt:lpstr>Разделение</vt:lpstr>
      <vt:lpstr>Объединение</vt:lpstr>
      <vt:lpstr>Объединить</vt:lpstr>
      <vt:lpstr>С формулой</vt:lpstr>
      <vt:lpstr>Длина строки</vt:lpstr>
      <vt:lpstr>Поиск</vt:lpstr>
      <vt:lpstr>Подставить и заменить</vt:lpstr>
      <vt:lpstr>Артикулы</vt:lpstr>
      <vt:lpstr>Дописываем нули</vt:lpstr>
      <vt:lpstr>Первое слово</vt:lpstr>
      <vt:lpstr>Генератор кодов</vt:lpstr>
      <vt:lpstr>Гистограмма текстом</vt:lpstr>
      <vt:lpstr>Шаблонные фразы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Sergey Vilkov</cp:lastModifiedBy>
  <dcterms:created xsi:type="dcterms:W3CDTF">2023-11-30T15:15:14Z</dcterms:created>
  <dcterms:modified xsi:type="dcterms:W3CDTF">2023-12-04T14:09:54Z</dcterms:modified>
</cp:coreProperties>
</file>