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0_Модуль\ПРАКТИКА\"/>
    </mc:Choice>
  </mc:AlternateContent>
  <xr:revisionPtr revIDLastSave="0" documentId="13_ncr:1_{3A15BA6F-2FA8-494D-9D03-022770DD63A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 (не обязательное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lVKJJIaEQ+4USopN3Ges5NMhvPA=="/>
    </ext>
  </extLst>
</workbook>
</file>

<file path=xl/calcChain.xml><?xml version="1.0" encoding="utf-8"?>
<calcChain xmlns="http://schemas.openxmlformats.org/spreadsheetml/2006/main">
  <c r="B4" i="5" l="1"/>
  <c r="B5" i="5"/>
  <c r="B6" i="5"/>
  <c r="B7" i="5"/>
  <c r="B8" i="5"/>
  <c r="B9" i="5"/>
  <c r="B3" i="5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" i="4"/>
  <c r="B3" i="3"/>
  <c r="B4" i="3"/>
  <c r="B5" i="3"/>
  <c r="B6" i="3"/>
  <c r="B2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4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<sst xmlns="http://schemas.openxmlformats.org/spreadsheetml/2006/main" count="190" uniqueCount="185">
  <si>
    <t>ФИО</t>
  </si>
  <si>
    <t>Без ошибок</t>
  </si>
  <si>
    <t xml:space="preserve"> яговкин  всеслав    евгениевич    </t>
  </si>
  <si>
    <t xml:space="preserve">   ПОПКОВ    АЛЕКСЕЙ   СЕМЕНОВИЧ</t>
  </si>
  <si>
    <t>НЕВШУПА ВСЕСЛАВ СЕРГЕЕВИЧ</t>
  </si>
  <si>
    <t>радостин андриян гордеевич</t>
  </si>
  <si>
    <t>Махнёв Никита      Евлампиевич</t>
  </si>
  <si>
    <t>Поличева Роза Алексеевна</t>
  </si>
  <si>
    <t xml:space="preserve">  БОЧКАРЁВ    Станислав Андронович</t>
  </si>
  <si>
    <t>Ноздрёва  Евгения      Данииловна</t>
  </si>
  <si>
    <t>бугаков евстигней агапович</t>
  </si>
  <si>
    <t xml:space="preserve">Никерхоев    Тихон Олегович   </t>
  </si>
  <si>
    <t xml:space="preserve">         НАДЕРВЕЛЬ АГАФОН     ЛЕВОВИЧ</t>
  </si>
  <si>
    <t>Чупринин Карл    САВЕЛИЕВИЧ</t>
  </si>
  <si>
    <t>Балыков Александр Измаилович</t>
  </si>
  <si>
    <t>АНТОНОВА      БЕРТА  АНАТОЛИЕВНА</t>
  </si>
  <si>
    <t>КРУТЕЛЕВА ЛИАНА      ИВАНОВНА</t>
  </si>
  <si>
    <t xml:space="preserve">             караулина альбина карповна</t>
  </si>
  <si>
    <t>Габулова Алина Виталиевна</t>
  </si>
  <si>
    <t>Мышелова Злата Николаевна</t>
  </si>
  <si>
    <t>КОВАЛЕВСКИЙ НИКАНОР СЕВАСТЬЯНОВИЧ</t>
  </si>
  <si>
    <t>шипицына татьяна владленовна</t>
  </si>
  <si>
    <t>Касьяненко КАРОЛИНА Павеловна</t>
  </si>
  <si>
    <t>ЕЛЬЦИНА     КЛАРА   ПЕТРОВНА</t>
  </si>
  <si>
    <t>ПОЛЕШКО СОЛОМОН     ЕЛИЗАРОВИЧ</t>
  </si>
  <si>
    <t>кондакова маргарита      феликсовна</t>
  </si>
  <si>
    <t>Дукачёва Инесса Святославовна</t>
  </si>
  <si>
    <t>Сафонова        СТЕЛА        Кузьмевна</t>
  </si>
  <si>
    <t xml:space="preserve">           ревякин макар зиновиевич</t>
  </si>
  <si>
    <t>Автухова Виктория Ефимовна</t>
  </si>
  <si>
    <t>ФАРЕСТА АРИАДНА ЕЛИЗАРОВНА</t>
  </si>
  <si>
    <t>Холод Дмитрий Данилевич</t>
  </si>
  <si>
    <t>Город</t>
  </si>
  <si>
    <t>Индекс</t>
  </si>
  <si>
    <t>Улица</t>
  </si>
  <si>
    <t>Дом</t>
  </si>
  <si>
    <t>Квартира</t>
  </si>
  <si>
    <t>Адрес</t>
  </si>
  <si>
    <t>Ногинск</t>
  </si>
  <si>
    <t>236193</t>
  </si>
  <si>
    <t>ул. Адмирала Макарова</t>
  </si>
  <si>
    <t>236193, Ногинск, ул. Адмирала Макарова, 111, 98</t>
  </si>
  <si>
    <t>Елабуга</t>
  </si>
  <si>
    <t>852131</t>
  </si>
  <si>
    <t>Проектируемый 278-й проезд</t>
  </si>
  <si>
    <t>852131, Елабуга, Проектируемый 278-й проезд, 91, 2</t>
  </si>
  <si>
    <t>Миасс</t>
  </si>
  <si>
    <t>411115</t>
  </si>
  <si>
    <t>ул. Кренкеля</t>
  </si>
  <si>
    <t>Смоленск</t>
  </si>
  <si>
    <t>118582</t>
  </si>
  <si>
    <t>ул. Михаила Певцова</t>
  </si>
  <si>
    <t>Энгельс</t>
  </si>
  <si>
    <t>199362</t>
  </si>
  <si>
    <t>ул. Екатериновка</t>
  </si>
  <si>
    <t>Йошкар-Ола</t>
  </si>
  <si>
    <t>868522</t>
  </si>
  <si>
    <t>ул. Страховская</t>
  </si>
  <si>
    <t>Москва</t>
  </si>
  <si>
    <t>363324</t>
  </si>
  <si>
    <t>МКАД 26-й км, проезд</t>
  </si>
  <si>
    <t>Мелеуз</t>
  </si>
  <si>
    <t>738225</t>
  </si>
  <si>
    <t>Речной проезд</t>
  </si>
  <si>
    <t>Сочи</t>
  </si>
  <si>
    <t>799353</t>
  </si>
  <si>
    <t>Егорьевский проезд</t>
  </si>
  <si>
    <t>Пенза</t>
  </si>
  <si>
    <t>226342</t>
  </si>
  <si>
    <t>проспект Лихачёва</t>
  </si>
  <si>
    <t>Сергиев Посад</t>
  </si>
  <si>
    <t>471471</t>
  </si>
  <si>
    <t>ул. Архитектора Власова</t>
  </si>
  <si>
    <t>Санкт-Петербург</t>
  </si>
  <si>
    <t>423475</t>
  </si>
  <si>
    <t>ул. Остоженка</t>
  </si>
  <si>
    <t>Павлово</t>
  </si>
  <si>
    <t>862488</t>
  </si>
  <si>
    <t>Графский переулок</t>
  </si>
  <si>
    <t>Хабаровск</t>
  </si>
  <si>
    <t>161579</t>
  </si>
  <si>
    <t>ул. Средняя Калитниковская</t>
  </si>
  <si>
    <t>Дубна</t>
  </si>
  <si>
    <t>733615</t>
  </si>
  <si>
    <t>ул. Венецианова</t>
  </si>
  <si>
    <t>Шадринск</t>
  </si>
  <si>
    <t>551419</t>
  </si>
  <si>
    <t>ул. Лосевская</t>
  </si>
  <si>
    <t>Уфа</t>
  </si>
  <si>
    <t>336974</t>
  </si>
  <si>
    <t>ул. Академика Курчатова</t>
  </si>
  <si>
    <t>Павловский Посад</t>
  </si>
  <si>
    <t>366849</t>
  </si>
  <si>
    <t>Щемиловский 1-й переулок</t>
  </si>
  <si>
    <t>Пермь</t>
  </si>
  <si>
    <t>418972</t>
  </si>
  <si>
    <t>ул. Бауманская</t>
  </si>
  <si>
    <t>132216</t>
  </si>
  <si>
    <t>Брошевский переулок</t>
  </si>
  <si>
    <t>Биробиджан</t>
  </si>
  <si>
    <t>929253</t>
  </si>
  <si>
    <t>ул. Паперника</t>
  </si>
  <si>
    <t>Тамбов</t>
  </si>
  <si>
    <t>999661</t>
  </si>
  <si>
    <t>Селивёрстов переулок</t>
  </si>
  <si>
    <t>Чапаевск</t>
  </si>
  <si>
    <t>457227</t>
  </si>
  <si>
    <t>аллея Одиннадцати Героев Сапёров</t>
  </si>
  <si>
    <t>Сызрань</t>
  </si>
  <si>
    <t>927843</t>
  </si>
  <si>
    <t>Ул. Абрамцевская</t>
  </si>
  <si>
    <t>Апатиты</t>
  </si>
  <si>
    <t>262812</t>
  </si>
  <si>
    <t>ул. Рославка</t>
  </si>
  <si>
    <t>427162</t>
  </si>
  <si>
    <t>ул. Автозаводская</t>
  </si>
  <si>
    <t>Усть-Илимск</t>
  </si>
  <si>
    <t>714674</t>
  </si>
  <si>
    <t xml:space="preserve">ул. 1-я Фрезерная </t>
  </si>
  <si>
    <t>Вологда</t>
  </si>
  <si>
    <t>524455</t>
  </si>
  <si>
    <t>Рабфаковский переулок</t>
  </si>
  <si>
    <t>Михайловск</t>
  </si>
  <si>
    <t>624136</t>
  </si>
  <si>
    <t>проспект Будённого</t>
  </si>
  <si>
    <t>Санкт-Петербург, 3-я улица Строителей, дом 25, кв. 12</t>
  </si>
  <si>
    <t>Москва, 3-я улица Строителей, дом 25, кв. 12</t>
  </si>
  <si>
    <t>Самара, Ленина, 22</t>
  </si>
  <si>
    <t>Владивосток,  Семёновская, 17, кв. 12</t>
  </si>
  <si>
    <t>Новосибирск, Ипподромная ул., д. 26</t>
  </si>
  <si>
    <t>Год рождения</t>
  </si>
  <si>
    <t>Код</t>
  </si>
  <si>
    <t>Солдатов Никанор Александрович</t>
  </si>
  <si>
    <t>Н-1972</t>
  </si>
  <si>
    <t>Мелехов Вацлав Мечиславович</t>
  </si>
  <si>
    <t>В-1960</t>
  </si>
  <si>
    <t>Тарасова Раиса Фомевна</t>
  </si>
  <si>
    <t>Шкригунова Александра Данииловна</t>
  </si>
  <si>
    <t>Цыркунов Модест Ипатиевич</t>
  </si>
  <si>
    <t>Катин Евграф Наумович</t>
  </si>
  <si>
    <t>Гарифуллин Иосиф Самсонович</t>
  </si>
  <si>
    <t>Максимушкин Фадей Дмитриевич</t>
  </si>
  <si>
    <t>Коломийцев Леонид Зиновиевич</t>
  </si>
  <si>
    <t>Резяпкин Роман Андриянович</t>
  </si>
  <si>
    <t>Паршина Лада Брониславовна</t>
  </si>
  <si>
    <t>Сахаров Андриян Евгениевич</t>
  </si>
  <si>
    <t>Близнюк Мартын Владимирович</t>
  </si>
  <si>
    <t>Горохин Валентин Викентиевич</t>
  </si>
  <si>
    <t>Круминь Римма Германовна</t>
  </si>
  <si>
    <t>Кошелькова Рената Ираклиевна</t>
  </si>
  <si>
    <t>Квартирова Светлана Алексеевна</t>
  </si>
  <si>
    <t>Маркелова Варвара Елисеевна</t>
  </si>
  <si>
    <t>Карпюка Татьяна Афанасиевна</t>
  </si>
  <si>
    <t>Шелепов Кир Арсениевич</t>
  </si>
  <si>
    <t>Веселков Святослав Геннадиевич</t>
  </si>
  <si>
    <t>Решетов Сократ Вадимович</t>
  </si>
  <si>
    <t>Гольдин Осип Сергеевич</t>
  </si>
  <si>
    <t>Кваснин Никита Дмитриевич</t>
  </si>
  <si>
    <t>Кочкорбаева Татьяна Федоровна</t>
  </si>
  <si>
    <t>Яруллина Светлана Игоревна</t>
  </si>
  <si>
    <t>Дуров Прокл Фомевич</t>
  </si>
  <si>
    <t>Коротаев Фадей Панкратиевич</t>
  </si>
  <si>
    <t>Кудрин Самсон Алексеевич</t>
  </si>
  <si>
    <t>Зиновьев Евсей Захарович</t>
  </si>
  <si>
    <t>Онегина Ефросинья Тимуровна</t>
  </si>
  <si>
    <t>Есиков Лука Иванович</t>
  </si>
  <si>
    <t>Слепцова Эвелина Казимировна</t>
  </si>
  <si>
    <t>Шишмарёв Юрий Михеевич</t>
  </si>
  <si>
    <t>Кабалкин Якуб Моисеевич</t>
  </si>
  <si>
    <t>Давыдов Вениамин Измаилович</t>
  </si>
  <si>
    <t>Маслака Диана Мефодиевна</t>
  </si>
  <si>
    <t>Ожегова Дарья Ипполитовна</t>
  </si>
  <si>
    <t>Шишмарёв Варфоломей Владиславович</t>
  </si>
  <si>
    <t>Завражин Прокл Брониславович</t>
  </si>
  <si>
    <t>Предложение</t>
  </si>
  <si>
    <t>Формула</t>
  </si>
  <si>
    <t xml:space="preserve">всем нам свойственно ошибаться, в том числе при заполнении рабочих книг excel. </t>
  </si>
  <si>
    <t xml:space="preserve">Всем нам свойственно ошибаться, в том числе при заполнении рабочих книг excel. </t>
  </si>
  <si>
    <t>мелкая опечатка, лишний пробел, буква не того алфавита (латинская c вместо кириллической с, например) — такие ошибки может допустить каждый, и визуально они даже не испортят внешний вид данных. </t>
  </si>
  <si>
    <t xml:space="preserve">другой тип ошибок при ведении таблиц - разные типы сокращений/обозначений одного и того же. </t>
  </si>
  <si>
    <t>“москва”, “МСК”, “мск” и так далее. </t>
  </si>
  <si>
    <t>и это тоже не критично с точки зрения пользователя, мы в большинстве подобных случаев понимаем, что имеется в виду. </t>
  </si>
  <si>
    <t>ПРОБЛЕМА В ТОМ, ЧТО ДЛЯ EXCEL “МОСКВА” И “МСК” - РАЗНЫЕ ТЕКСТОВЫЕ СТРОКИ (ЗНАЧЕНИЯ).</t>
  </si>
  <si>
    <t>даже “Москва” и “москва “ (вторая - с пробелом) — разные.</t>
  </si>
  <si>
    <t>а это значит, что они будут считаться разными значениями и при обработке таких данных функциями и формулами (когда вы будете связывать несколько таблиц/книг между собой с помощью функций впр, просмотрx, поискпоз и других), при создании сводных таблиц, при подсчете данных по определенной категории (только продажи в москве - с помощью функции суммесли) и при других вычислениях.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</si>
</sst>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₽-419]_-;\-* #,##0\ [$₽-419]_-;_-* &quot;-&quot;??\ [$₽-419]_-;_-@"/>
  </numFmts>
  <fonts count="4" x14ac:knownFonts="1">
    <font>
      <sz val="11"/>
      <color theme="1"/>
      <name val="Arial"/>
    </font>
    <font>
      <b/>
      <sz val="11"/>
      <color rgb="FF44546A"/>
      <name val="Calibri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AD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1" fillId="0" borderId="1" xfId="0" applyFont="1" applyBorder="1" applyAlignment="1">
      <alignment horizontal="center"/>
    </xf>
    <xf numFmtId="0" fontId="3" fillId="2" borderId="2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272415</xdr:colOff>
      <xdr:row>2</xdr:row>
      <xdr:rowOff>45720</xdr:rowOff>
    </xdr:from>
    <xdr:ext cx="5638800" cy="2743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772275" y="396240"/>
          <a:ext cx="5638800" cy="274320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10. Текстовые функции</a:t>
          </a: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1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 С помощью формулы в столбце B исправьте ФИО из столбца A так, чтобы: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в них не было лишних пробелов (до и после текста, между словами)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каждое слово начиналось с заглавной буквы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180975</xdr:colOff>
      <xdr:row>1</xdr:row>
      <xdr:rowOff>59055</xdr:rowOff>
    </xdr:from>
    <xdr:ext cx="5638800" cy="1838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911715" y="234315"/>
          <a:ext cx="5638800" cy="183832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10. Текстовые функции</a:t>
          </a: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 Создайте формулу, которая будет формировать адрес в виде одной текстовой строки в столбце F.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Вторая и третья строки заполнены для примера.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396240</xdr:colOff>
      <xdr:row>0</xdr:row>
      <xdr:rowOff>112395</xdr:rowOff>
    </xdr:from>
    <xdr:ext cx="5638800" cy="1838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286500" y="112395"/>
          <a:ext cx="5638800" cy="183832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10. Текстовые функции</a:t>
          </a: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3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 С помощью формулы извлечь из адресов в столбце A названия городов в столбце B.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238125</xdr:colOff>
      <xdr:row>1</xdr:row>
      <xdr:rowOff>9525</xdr:rowOff>
    </xdr:from>
    <xdr:ext cx="5638800" cy="1838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2540888" y="2875125"/>
          <a:ext cx="5610225" cy="1809750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10. Текстовые функции</a:t>
          </a: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4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  С помощью формулы сформировать в столбце C код, состоящий из первой буквы имени и года рождения, разделенных дефисом. Строки 2 и 3 заполнены для примера.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</xdr:colOff>
      <xdr:row>2</xdr:row>
      <xdr:rowOff>30480</xdr:rowOff>
    </xdr:from>
    <xdr:ext cx="5629275" cy="27336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10755630" y="419100"/>
          <a:ext cx="5629275" cy="2733675"/>
        </a:xfrm>
        <a:prstGeom prst="rect">
          <a:avLst/>
        </a:prstGeom>
        <a:solidFill>
          <a:schemeClr val="lt1"/>
        </a:solidFill>
        <a:ln w="28575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Calibri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Excel Базовый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Модуль 10. Текстовые функции</a:t>
          </a: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5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1*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С помощью формулы исправьте регистр предложений из столбца A так, чтобы только первая буква была прописной, а остальные - строчные. Вторая строка заполнена для примера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5.2*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Доработайте формулу так, чтобы слово "Москва" в полученных фразах начиналось с заглавной буквы.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ySplit="1" topLeftCell="A2" activePane="bottomLeft" state="frozen"/>
      <selection pane="bottomLeft" activeCell="B11" sqref="B11"/>
    </sheetView>
  </sheetViews>
  <sheetFormatPr defaultColWidth="12.59765625" defaultRowHeight="15" customHeight="1" x14ac:dyDescent="0.25"/>
  <cols>
    <col min="1" max="2" width="35.8984375" customWidth="1"/>
    <col min="3" max="3" width="13.5" customWidth="1"/>
    <col min="4" max="4" width="20" customWidth="1"/>
    <col min="5" max="5" width="8.5" customWidth="1"/>
    <col min="6" max="6" width="9.09765625" customWidth="1"/>
    <col min="7" max="26" width="7.59765625" customWidth="1"/>
  </cols>
  <sheetData>
    <row r="1" spans="1:6" ht="14.25" customHeight="1" x14ac:dyDescent="0.25">
      <c r="A1" s="1" t="s">
        <v>0</v>
      </c>
      <c r="B1" s="2" t="s">
        <v>1</v>
      </c>
      <c r="C1" s="1"/>
      <c r="D1" s="1"/>
      <c r="E1" s="1"/>
      <c r="F1" s="1"/>
    </row>
    <row r="2" spans="1:6" ht="14.25" customHeight="1" x14ac:dyDescent="0.3">
      <c r="A2" s="3" t="s">
        <v>2</v>
      </c>
      <c r="B2" s="4" t="str">
        <f>PROPER(TRIM(A2))</f>
        <v>Яговкин Всеслав Евгениевич</v>
      </c>
      <c r="C2" s="4"/>
      <c r="D2" s="3"/>
      <c r="E2" s="3"/>
      <c r="F2" s="5"/>
    </row>
    <row r="3" spans="1:6" ht="14.25" customHeight="1" x14ac:dyDescent="0.3">
      <c r="A3" s="3" t="s">
        <v>3</v>
      </c>
      <c r="B3" s="4" t="str">
        <f t="shared" ref="B3:B31" si="0">PROPER(TRIM(A3))</f>
        <v>Попков Алексей Семенович</v>
      </c>
      <c r="C3" s="4"/>
      <c r="D3" s="3"/>
      <c r="E3" s="3"/>
      <c r="F3" s="5"/>
    </row>
    <row r="4" spans="1:6" ht="14.25" customHeight="1" x14ac:dyDescent="0.3">
      <c r="A4" s="3" t="s">
        <v>4</v>
      </c>
      <c r="B4" s="4" t="str">
        <f t="shared" si="0"/>
        <v>Невшупа Всеслав Сергеевич</v>
      </c>
      <c r="C4" s="4"/>
      <c r="D4" s="3"/>
      <c r="E4" s="3"/>
      <c r="F4" s="5"/>
    </row>
    <row r="5" spans="1:6" ht="14.25" customHeight="1" x14ac:dyDescent="0.3">
      <c r="A5" s="3" t="s">
        <v>5</v>
      </c>
      <c r="B5" s="4" t="str">
        <f t="shared" si="0"/>
        <v>Радостин Андриян Гордеевич</v>
      </c>
      <c r="C5" s="4"/>
      <c r="D5" s="3"/>
      <c r="E5" s="3"/>
      <c r="F5" s="5"/>
    </row>
    <row r="6" spans="1:6" ht="14.25" customHeight="1" x14ac:dyDescent="0.3">
      <c r="A6" s="3" t="s">
        <v>6</v>
      </c>
      <c r="B6" s="4" t="str">
        <f t="shared" si="0"/>
        <v>Махнёв Никита Евлампиевич</v>
      </c>
      <c r="C6" s="4"/>
      <c r="D6" s="3"/>
      <c r="E6" s="3"/>
      <c r="F6" s="5"/>
    </row>
    <row r="7" spans="1:6" ht="14.25" customHeight="1" x14ac:dyDescent="0.3">
      <c r="A7" s="3" t="s">
        <v>7</v>
      </c>
      <c r="B7" s="4" t="str">
        <f t="shared" si="0"/>
        <v>Поличева Роза Алексеевна</v>
      </c>
      <c r="C7" s="4"/>
      <c r="D7" s="3"/>
      <c r="E7" s="3"/>
      <c r="F7" s="5"/>
    </row>
    <row r="8" spans="1:6" ht="14.25" customHeight="1" x14ac:dyDescent="0.3">
      <c r="A8" s="3" t="s">
        <v>8</v>
      </c>
      <c r="B8" s="4" t="str">
        <f t="shared" si="0"/>
        <v>Бочкарёв Станислав Андронович</v>
      </c>
      <c r="C8" s="4"/>
      <c r="D8" s="3"/>
      <c r="E8" s="3"/>
      <c r="F8" s="5"/>
    </row>
    <row r="9" spans="1:6" ht="14.25" customHeight="1" x14ac:dyDescent="0.3">
      <c r="A9" s="3" t="s">
        <v>9</v>
      </c>
      <c r="B9" s="4" t="str">
        <f t="shared" si="0"/>
        <v>Ноздрёва Евгения Данииловна</v>
      </c>
      <c r="C9" s="4"/>
      <c r="D9" s="3"/>
      <c r="E9" s="3"/>
      <c r="F9" s="5"/>
    </row>
    <row r="10" spans="1:6" ht="14.25" customHeight="1" x14ac:dyDescent="0.3">
      <c r="A10" s="3" t="s">
        <v>10</v>
      </c>
      <c r="B10" s="4" t="str">
        <f t="shared" si="0"/>
        <v>Бугаков Евстигней Агапович</v>
      </c>
      <c r="C10" s="4"/>
      <c r="D10" s="3"/>
      <c r="E10" s="3"/>
      <c r="F10" s="5"/>
    </row>
    <row r="11" spans="1:6" ht="14.25" customHeight="1" x14ac:dyDescent="0.3">
      <c r="A11" s="3" t="s">
        <v>11</v>
      </c>
      <c r="B11" s="4" t="str">
        <f t="shared" si="0"/>
        <v>Никерхоев Тихон Олегович</v>
      </c>
      <c r="C11" s="4"/>
      <c r="D11" s="3"/>
      <c r="E11" s="3"/>
      <c r="F11" s="5"/>
    </row>
    <row r="12" spans="1:6" ht="14.25" customHeight="1" x14ac:dyDescent="0.3">
      <c r="A12" s="3" t="s">
        <v>12</v>
      </c>
      <c r="B12" s="4" t="str">
        <f t="shared" si="0"/>
        <v>Надервель Агафон Левович</v>
      </c>
      <c r="C12" s="4"/>
      <c r="D12" s="3"/>
      <c r="E12" s="3"/>
      <c r="F12" s="5"/>
    </row>
    <row r="13" spans="1:6" ht="14.25" customHeight="1" x14ac:dyDescent="0.3">
      <c r="A13" s="3" t="s">
        <v>13</v>
      </c>
      <c r="B13" s="4" t="str">
        <f t="shared" si="0"/>
        <v>Чупринин Карл Савелиевич</v>
      </c>
      <c r="C13" s="4"/>
      <c r="D13" s="3"/>
      <c r="E13" s="3"/>
      <c r="F13" s="5"/>
    </row>
    <row r="14" spans="1:6" ht="14.25" customHeight="1" x14ac:dyDescent="0.3">
      <c r="A14" s="3" t="s">
        <v>14</v>
      </c>
      <c r="B14" s="4" t="str">
        <f t="shared" si="0"/>
        <v>Балыков Александр Измаилович</v>
      </c>
      <c r="C14" s="4"/>
      <c r="D14" s="3"/>
      <c r="E14" s="3"/>
      <c r="F14" s="5"/>
    </row>
    <row r="15" spans="1:6" ht="14.25" customHeight="1" x14ac:dyDescent="0.3">
      <c r="A15" s="3" t="s">
        <v>15</v>
      </c>
      <c r="B15" s="4" t="str">
        <f t="shared" si="0"/>
        <v>Антонова Берта Анатолиевна</v>
      </c>
      <c r="C15" s="4"/>
      <c r="D15" s="3"/>
      <c r="E15" s="3"/>
      <c r="F15" s="5"/>
    </row>
    <row r="16" spans="1:6" ht="14.25" customHeight="1" x14ac:dyDescent="0.3">
      <c r="A16" s="3" t="s">
        <v>16</v>
      </c>
      <c r="B16" s="4" t="str">
        <f t="shared" si="0"/>
        <v>Крутелева Лиана Ивановна</v>
      </c>
      <c r="C16" s="4"/>
      <c r="D16" s="3"/>
      <c r="E16" s="3"/>
      <c r="F16" s="5"/>
    </row>
    <row r="17" spans="1:6" ht="14.25" customHeight="1" x14ac:dyDescent="0.3">
      <c r="A17" s="3" t="s">
        <v>17</v>
      </c>
      <c r="B17" s="4" t="str">
        <f t="shared" si="0"/>
        <v>Караулина Альбина Карповна</v>
      </c>
      <c r="C17" s="4"/>
      <c r="D17" s="3"/>
      <c r="E17" s="3"/>
      <c r="F17" s="5"/>
    </row>
    <row r="18" spans="1:6" ht="14.25" customHeight="1" x14ac:dyDescent="0.3">
      <c r="A18" s="3" t="s">
        <v>18</v>
      </c>
      <c r="B18" s="4" t="str">
        <f t="shared" si="0"/>
        <v>Габулова Алина Виталиевна</v>
      </c>
      <c r="C18" s="4"/>
      <c r="D18" s="3"/>
      <c r="E18" s="3"/>
      <c r="F18" s="5"/>
    </row>
    <row r="19" spans="1:6" ht="14.25" customHeight="1" x14ac:dyDescent="0.3">
      <c r="A19" s="3" t="s">
        <v>19</v>
      </c>
      <c r="B19" s="4" t="str">
        <f t="shared" si="0"/>
        <v>Мышелова Злата Николаевна</v>
      </c>
      <c r="C19" s="4"/>
      <c r="D19" s="3"/>
      <c r="E19" s="3"/>
      <c r="F19" s="5"/>
    </row>
    <row r="20" spans="1:6" ht="14.25" customHeight="1" x14ac:dyDescent="0.3">
      <c r="A20" s="3" t="s">
        <v>20</v>
      </c>
      <c r="B20" s="4" t="str">
        <f t="shared" si="0"/>
        <v>Ковалевский Никанор Севастьянович</v>
      </c>
      <c r="C20" s="4"/>
      <c r="D20" s="3"/>
      <c r="E20" s="3"/>
      <c r="F20" s="5"/>
    </row>
    <row r="21" spans="1:6" ht="14.25" customHeight="1" x14ac:dyDescent="0.3">
      <c r="A21" s="3" t="s">
        <v>21</v>
      </c>
      <c r="B21" s="4" t="str">
        <f t="shared" si="0"/>
        <v>Шипицына Татьяна Владленовна</v>
      </c>
      <c r="C21" s="4"/>
      <c r="D21" s="3"/>
      <c r="E21" s="3"/>
      <c r="F21" s="5"/>
    </row>
    <row r="22" spans="1:6" ht="14.25" customHeight="1" x14ac:dyDescent="0.3">
      <c r="A22" s="3" t="s">
        <v>22</v>
      </c>
      <c r="B22" s="4" t="str">
        <f t="shared" si="0"/>
        <v>Касьяненко Каролина Павеловна</v>
      </c>
    </row>
    <row r="23" spans="1:6" ht="14.25" customHeight="1" x14ac:dyDescent="0.3">
      <c r="A23" s="3" t="s">
        <v>23</v>
      </c>
      <c r="B23" s="4" t="str">
        <f t="shared" si="0"/>
        <v>Ельцина Клара Петровна</v>
      </c>
    </row>
    <row r="24" spans="1:6" ht="14.25" customHeight="1" x14ac:dyDescent="0.3">
      <c r="A24" s="3" t="s">
        <v>24</v>
      </c>
      <c r="B24" s="4" t="str">
        <f t="shared" si="0"/>
        <v>Полешко Соломон Елизарович</v>
      </c>
    </row>
    <row r="25" spans="1:6" ht="14.25" customHeight="1" x14ac:dyDescent="0.3">
      <c r="A25" s="3" t="s">
        <v>25</v>
      </c>
      <c r="B25" s="4" t="str">
        <f t="shared" si="0"/>
        <v>Кондакова Маргарита Феликсовна</v>
      </c>
    </row>
    <row r="26" spans="1:6" ht="14.25" customHeight="1" x14ac:dyDescent="0.3">
      <c r="A26" s="3" t="s">
        <v>26</v>
      </c>
      <c r="B26" s="4" t="str">
        <f t="shared" si="0"/>
        <v>Дукачёва Инесса Святославовна</v>
      </c>
    </row>
    <row r="27" spans="1:6" ht="14.25" customHeight="1" x14ac:dyDescent="0.3">
      <c r="A27" s="3" t="s">
        <v>27</v>
      </c>
      <c r="B27" s="4" t="str">
        <f t="shared" si="0"/>
        <v>Сафонова Стела Кузьмевна</v>
      </c>
    </row>
    <row r="28" spans="1:6" ht="14.25" customHeight="1" x14ac:dyDescent="0.3">
      <c r="A28" s="3" t="s">
        <v>28</v>
      </c>
      <c r="B28" s="4" t="str">
        <f t="shared" si="0"/>
        <v>Ревякин Макар Зиновиевич</v>
      </c>
    </row>
    <row r="29" spans="1:6" ht="14.25" customHeight="1" x14ac:dyDescent="0.3">
      <c r="A29" s="3" t="s">
        <v>29</v>
      </c>
      <c r="B29" s="4" t="str">
        <f t="shared" si="0"/>
        <v>Автухова Виктория Ефимовна</v>
      </c>
    </row>
    <row r="30" spans="1:6" ht="14.25" customHeight="1" x14ac:dyDescent="0.3">
      <c r="A30" s="3" t="s">
        <v>30</v>
      </c>
      <c r="B30" s="4" t="str">
        <f t="shared" si="0"/>
        <v>Фареста Ариадна Елизаровна</v>
      </c>
    </row>
    <row r="31" spans="1:6" ht="14.25" customHeight="1" x14ac:dyDescent="0.3">
      <c r="A31" s="3" t="s">
        <v>31</v>
      </c>
      <c r="B31" s="4" t="str">
        <f t="shared" si="0"/>
        <v>Холод Дмитрий Данилевич</v>
      </c>
    </row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4">
    <dataValidation type="list" allowBlank="1" showErrorMessage="1" sqref="E2:E21" xr:uid="{00000000-0002-0000-0000-000000000000}">
      <formula1>"Офис,Удаленка"</formula1>
    </dataValidation>
    <dataValidation type="decimal" operator="greaterThan" allowBlank="1" showErrorMessage="1" sqref="F2:F21" xr:uid="{00000000-0002-0000-0000-000001000000}">
      <formula1>0</formula1>
    </dataValidation>
    <dataValidation type="list" allowBlank="1" showErrorMessage="1" sqref="D2:D21" xr:uid="{00000000-0002-0000-0000-000002000000}">
      <formula1>#REF!</formula1>
    </dataValidation>
    <dataValidation type="date" operator="greaterThan" allowBlank="1" showErrorMessage="1" sqref="C2:C21" xr:uid="{00000000-0002-0000-0000-000003000000}">
      <formula1>10959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F9" sqref="F9"/>
    </sheetView>
  </sheetViews>
  <sheetFormatPr defaultColWidth="12.59765625" defaultRowHeight="15" customHeight="1" x14ac:dyDescent="0.25"/>
  <cols>
    <col min="1" max="1" width="15.59765625" customWidth="1"/>
    <col min="2" max="2" width="7.59765625" customWidth="1"/>
    <col min="3" max="3" width="34.19921875" customWidth="1"/>
    <col min="4" max="5" width="7.59765625" customWidth="1"/>
    <col min="6" max="6" width="55.09765625" customWidth="1"/>
    <col min="7" max="26" width="7.59765625" customWidth="1"/>
  </cols>
  <sheetData>
    <row r="1" spans="1:6" ht="14.25" customHeight="1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</row>
    <row r="2" spans="1:6" ht="14.25" customHeight="1" x14ac:dyDescent="0.3">
      <c r="A2" s="3" t="s">
        <v>38</v>
      </c>
      <c r="B2" s="3" t="s">
        <v>39</v>
      </c>
      <c r="C2" s="3" t="s">
        <v>40</v>
      </c>
      <c r="D2" s="3">
        <v>111</v>
      </c>
      <c r="E2" s="3">
        <v>98</v>
      </c>
      <c r="F2" s="7" t="s">
        <v>41</v>
      </c>
    </row>
    <row r="3" spans="1:6" ht="14.25" customHeight="1" x14ac:dyDescent="0.3">
      <c r="A3" s="3" t="s">
        <v>42</v>
      </c>
      <c r="B3" s="3" t="s">
        <v>43</v>
      </c>
      <c r="C3" s="8" t="s">
        <v>44</v>
      </c>
      <c r="D3" s="3">
        <v>91</v>
      </c>
      <c r="E3" s="3">
        <v>2</v>
      </c>
      <c r="F3" s="7" t="s">
        <v>45</v>
      </c>
    </row>
    <row r="4" spans="1:6" ht="14.25" customHeight="1" x14ac:dyDescent="0.3">
      <c r="A4" s="3" t="s">
        <v>46</v>
      </c>
      <c r="B4" s="3" t="s">
        <v>47</v>
      </c>
      <c r="C4" s="8" t="s">
        <v>48</v>
      </c>
      <c r="D4" s="3">
        <v>3</v>
      </c>
      <c r="E4" s="3">
        <v>19</v>
      </c>
      <c r="F4" t="str">
        <f>_xlfn.TEXTJOIN(", ",TRUE,B4,A4,C4,D4,E4)</f>
        <v>411115, Миасс, ул. Кренкеля, 3, 19</v>
      </c>
    </row>
    <row r="5" spans="1:6" ht="14.25" customHeight="1" x14ac:dyDescent="0.3">
      <c r="A5" s="3" t="s">
        <v>49</v>
      </c>
      <c r="B5" s="3" t="s">
        <v>50</v>
      </c>
      <c r="C5" s="8" t="s">
        <v>51</v>
      </c>
      <c r="D5" s="3">
        <v>48</v>
      </c>
      <c r="E5" s="3">
        <v>60</v>
      </c>
      <c r="F5" t="str">
        <f t="shared" ref="F5:F30" si="0">_xlfn.TEXTJOIN(", ",TRUE,B5,A5,C5,D5,E5)</f>
        <v>118582, Смоленск, ул. Михаила Певцова, 48, 60</v>
      </c>
    </row>
    <row r="6" spans="1:6" ht="14.25" customHeight="1" x14ac:dyDescent="0.3">
      <c r="A6" s="3" t="s">
        <v>52</v>
      </c>
      <c r="B6" s="3" t="s">
        <v>53</v>
      </c>
      <c r="C6" s="8" t="s">
        <v>54</v>
      </c>
      <c r="D6" s="3">
        <v>75</v>
      </c>
      <c r="E6" s="3">
        <v>81</v>
      </c>
      <c r="F6" t="str">
        <f t="shared" si="0"/>
        <v>199362, Энгельс, ул. Екатериновка, 75, 81</v>
      </c>
    </row>
    <row r="7" spans="1:6" ht="14.25" customHeight="1" x14ac:dyDescent="0.3">
      <c r="A7" s="3" t="s">
        <v>55</v>
      </c>
      <c r="B7" s="3" t="s">
        <v>56</v>
      </c>
      <c r="C7" s="8" t="s">
        <v>57</v>
      </c>
      <c r="D7" s="3">
        <v>56</v>
      </c>
      <c r="E7" s="3">
        <v>20</v>
      </c>
      <c r="F7" t="str">
        <f t="shared" si="0"/>
        <v>868522, Йошкар-Ола, ул. Страховская, 56, 20</v>
      </c>
    </row>
    <row r="8" spans="1:6" ht="14.25" customHeight="1" x14ac:dyDescent="0.3">
      <c r="A8" s="3" t="s">
        <v>58</v>
      </c>
      <c r="B8" s="3" t="s">
        <v>59</v>
      </c>
      <c r="C8" s="8" t="s">
        <v>60</v>
      </c>
      <c r="D8" s="3">
        <v>1</v>
      </c>
      <c r="E8" s="3">
        <v>1</v>
      </c>
      <c r="F8" t="str">
        <f t="shared" si="0"/>
        <v>363324, Москва, МКАД 26-й км, проезд, 1, 1</v>
      </c>
    </row>
    <row r="9" spans="1:6" ht="14.25" customHeight="1" x14ac:dyDescent="0.3">
      <c r="A9" s="3" t="s">
        <v>61</v>
      </c>
      <c r="B9" s="3" t="s">
        <v>62</v>
      </c>
      <c r="C9" s="8" t="s">
        <v>63</v>
      </c>
      <c r="D9" s="3">
        <v>21</v>
      </c>
      <c r="E9" s="3">
        <v>85</v>
      </c>
      <c r="F9" t="str">
        <f t="shared" si="0"/>
        <v>738225, Мелеуз, Речной проезд, 21, 85</v>
      </c>
    </row>
    <row r="10" spans="1:6" ht="14.25" customHeight="1" x14ac:dyDescent="0.3">
      <c r="A10" s="3" t="s">
        <v>64</v>
      </c>
      <c r="B10" s="3" t="s">
        <v>65</v>
      </c>
      <c r="C10" s="8" t="s">
        <v>66</v>
      </c>
      <c r="D10" s="3">
        <v>7</v>
      </c>
      <c r="E10" s="3">
        <v>66</v>
      </c>
      <c r="F10" t="str">
        <f t="shared" si="0"/>
        <v>799353, Сочи, Егорьевский проезд, 7, 66</v>
      </c>
    </row>
    <row r="11" spans="1:6" ht="14.25" customHeight="1" x14ac:dyDescent="0.3">
      <c r="A11" s="3" t="s">
        <v>67</v>
      </c>
      <c r="B11" s="3" t="s">
        <v>68</v>
      </c>
      <c r="C11" s="8" t="s">
        <v>69</v>
      </c>
      <c r="D11" s="3">
        <v>116</v>
      </c>
      <c r="E11" s="3">
        <v>99</v>
      </c>
      <c r="F11" t="str">
        <f t="shared" si="0"/>
        <v>226342, Пенза, проспект Лихачёва, 116, 99</v>
      </c>
    </row>
    <row r="12" spans="1:6" ht="14.25" customHeight="1" x14ac:dyDescent="0.3">
      <c r="A12" s="3" t="s">
        <v>70</v>
      </c>
      <c r="B12" s="3" t="s">
        <v>71</v>
      </c>
      <c r="C12" s="8" t="s">
        <v>72</v>
      </c>
      <c r="D12" s="3">
        <v>30</v>
      </c>
      <c r="E12" s="3">
        <v>2</v>
      </c>
      <c r="F12" t="str">
        <f t="shared" si="0"/>
        <v>471471, Сергиев Посад, ул. Архитектора Власова, 30, 2</v>
      </c>
    </row>
    <row r="13" spans="1:6" ht="14.25" customHeight="1" x14ac:dyDescent="0.3">
      <c r="A13" s="3" t="s">
        <v>73</v>
      </c>
      <c r="B13" s="3" t="s">
        <v>74</v>
      </c>
      <c r="C13" s="8" t="s">
        <v>75</v>
      </c>
      <c r="D13" s="3">
        <v>55</v>
      </c>
      <c r="E13" s="3">
        <v>54</v>
      </c>
      <c r="F13" t="str">
        <f t="shared" si="0"/>
        <v>423475, Санкт-Петербург, ул. Остоженка, 55, 54</v>
      </c>
    </row>
    <row r="14" spans="1:6" ht="14.25" customHeight="1" x14ac:dyDescent="0.3">
      <c r="A14" s="3" t="s">
        <v>76</v>
      </c>
      <c r="B14" s="3" t="s">
        <v>77</v>
      </c>
      <c r="C14" s="8" t="s">
        <v>78</v>
      </c>
      <c r="D14" s="3">
        <v>114</v>
      </c>
      <c r="E14" s="3">
        <v>1</v>
      </c>
      <c r="F14" t="str">
        <f t="shared" si="0"/>
        <v>862488, Павлово, Графский переулок, 114, 1</v>
      </c>
    </row>
    <row r="15" spans="1:6" ht="14.25" customHeight="1" x14ac:dyDescent="0.3">
      <c r="A15" s="3" t="s">
        <v>79</v>
      </c>
      <c r="B15" s="3" t="s">
        <v>80</v>
      </c>
      <c r="C15" s="8" t="s">
        <v>81</v>
      </c>
      <c r="D15" s="3">
        <v>64</v>
      </c>
      <c r="E15" s="3">
        <v>7</v>
      </c>
      <c r="F15" t="str">
        <f t="shared" si="0"/>
        <v>161579, Хабаровск, ул. Средняя Калитниковская, 64, 7</v>
      </c>
    </row>
    <row r="16" spans="1:6" ht="14.25" customHeight="1" x14ac:dyDescent="0.3">
      <c r="A16" s="3" t="s">
        <v>82</v>
      </c>
      <c r="B16" s="3" t="s">
        <v>83</v>
      </c>
      <c r="C16" s="8" t="s">
        <v>84</v>
      </c>
      <c r="D16" s="3">
        <v>69</v>
      </c>
      <c r="E16" s="3">
        <v>4</v>
      </c>
      <c r="F16" t="str">
        <f t="shared" si="0"/>
        <v>733615, Дубна, ул. Венецианова, 69, 4</v>
      </c>
    </row>
    <row r="17" spans="1:6" ht="14.25" customHeight="1" x14ac:dyDescent="0.3">
      <c r="A17" s="3" t="s">
        <v>85</v>
      </c>
      <c r="B17" s="3" t="s">
        <v>86</v>
      </c>
      <c r="C17" s="8" t="s">
        <v>87</v>
      </c>
      <c r="D17" s="3">
        <v>38</v>
      </c>
      <c r="E17" s="3">
        <v>70</v>
      </c>
      <c r="F17" t="str">
        <f t="shared" si="0"/>
        <v>551419, Шадринск, ул. Лосевская, 38, 70</v>
      </c>
    </row>
    <row r="18" spans="1:6" ht="14.25" customHeight="1" x14ac:dyDescent="0.3">
      <c r="A18" s="3" t="s">
        <v>88</v>
      </c>
      <c r="B18" s="3" t="s">
        <v>89</v>
      </c>
      <c r="C18" s="8" t="s">
        <v>90</v>
      </c>
      <c r="D18" s="3">
        <v>84</v>
      </c>
      <c r="E18" s="3">
        <v>96</v>
      </c>
      <c r="F18" t="str">
        <f t="shared" si="0"/>
        <v>336974, Уфа, ул. Академика Курчатова, 84, 96</v>
      </c>
    </row>
    <row r="19" spans="1:6" ht="14.25" customHeight="1" x14ac:dyDescent="0.3">
      <c r="A19" s="3" t="s">
        <v>91</v>
      </c>
      <c r="B19" s="3" t="s">
        <v>92</v>
      </c>
      <c r="C19" s="8" t="s">
        <v>93</v>
      </c>
      <c r="D19" s="3">
        <v>9</v>
      </c>
      <c r="E19" s="3">
        <v>14</v>
      </c>
      <c r="F19" t="str">
        <f t="shared" si="0"/>
        <v>366849, Павловский Посад, Щемиловский 1-й переулок, 9, 14</v>
      </c>
    </row>
    <row r="20" spans="1:6" ht="14.25" customHeight="1" x14ac:dyDescent="0.3">
      <c r="A20" s="3" t="s">
        <v>94</v>
      </c>
      <c r="B20" s="3" t="s">
        <v>95</v>
      </c>
      <c r="C20" s="8" t="s">
        <v>96</v>
      </c>
      <c r="D20" s="3">
        <v>5</v>
      </c>
      <c r="E20" s="3">
        <v>83</v>
      </c>
      <c r="F20" t="str">
        <f t="shared" si="0"/>
        <v>418972, Пермь, ул. Бауманская, 5, 83</v>
      </c>
    </row>
    <row r="21" spans="1:6" ht="14.25" customHeight="1" x14ac:dyDescent="0.3">
      <c r="A21" s="3" t="s">
        <v>91</v>
      </c>
      <c r="B21" s="3" t="s">
        <v>97</v>
      </c>
      <c r="C21" s="8" t="s">
        <v>98</v>
      </c>
      <c r="D21" s="3">
        <v>60</v>
      </c>
      <c r="E21" s="3">
        <v>45</v>
      </c>
      <c r="F21" t="str">
        <f t="shared" si="0"/>
        <v>132216, Павловский Посад, Брошевский переулок, 60, 45</v>
      </c>
    </row>
    <row r="22" spans="1:6" ht="14.25" customHeight="1" x14ac:dyDescent="0.3">
      <c r="A22" s="3" t="s">
        <v>99</v>
      </c>
      <c r="B22" s="3" t="s">
        <v>100</v>
      </c>
      <c r="C22" s="8" t="s">
        <v>101</v>
      </c>
      <c r="D22" s="3">
        <v>59</v>
      </c>
      <c r="E22" s="3">
        <v>117</v>
      </c>
      <c r="F22" t="str">
        <f t="shared" si="0"/>
        <v>929253, Биробиджан, ул. Паперника, 59, 117</v>
      </c>
    </row>
    <row r="23" spans="1:6" ht="14.25" customHeight="1" x14ac:dyDescent="0.3">
      <c r="A23" s="3" t="s">
        <v>102</v>
      </c>
      <c r="B23" s="3" t="s">
        <v>103</v>
      </c>
      <c r="C23" s="8" t="s">
        <v>104</v>
      </c>
      <c r="D23" s="3">
        <v>34</v>
      </c>
      <c r="E23" s="3">
        <v>119</v>
      </c>
      <c r="F23" t="str">
        <f t="shared" si="0"/>
        <v>999661, Тамбов, Селивёрстов переулок, 34, 119</v>
      </c>
    </row>
    <row r="24" spans="1:6" ht="14.25" customHeight="1" x14ac:dyDescent="0.3">
      <c r="A24" s="3" t="s">
        <v>105</v>
      </c>
      <c r="B24" s="3" t="s">
        <v>106</v>
      </c>
      <c r="C24" s="8" t="s">
        <v>107</v>
      </c>
      <c r="D24" s="3">
        <v>12</v>
      </c>
      <c r="E24" s="3">
        <v>19</v>
      </c>
      <c r="F24" t="str">
        <f t="shared" si="0"/>
        <v>457227, Чапаевск, аллея Одиннадцати Героев Сапёров, 12, 19</v>
      </c>
    </row>
    <row r="25" spans="1:6" ht="14.25" customHeight="1" x14ac:dyDescent="0.3">
      <c r="A25" s="3" t="s">
        <v>108</v>
      </c>
      <c r="B25" s="3" t="s">
        <v>109</v>
      </c>
      <c r="C25" s="8" t="s">
        <v>110</v>
      </c>
      <c r="D25" s="3">
        <v>55</v>
      </c>
      <c r="E25" s="3">
        <v>70</v>
      </c>
      <c r="F25" t="str">
        <f t="shared" si="0"/>
        <v>927843, Сызрань, Ул. Абрамцевская, 55, 70</v>
      </c>
    </row>
    <row r="26" spans="1:6" ht="14.25" customHeight="1" x14ac:dyDescent="0.3">
      <c r="A26" s="3" t="s">
        <v>111</v>
      </c>
      <c r="B26" s="3" t="s">
        <v>112</v>
      </c>
      <c r="C26" s="8" t="s">
        <v>113</v>
      </c>
      <c r="D26" s="3">
        <v>26</v>
      </c>
      <c r="E26" s="3">
        <v>5</v>
      </c>
      <c r="F26" t="str">
        <f t="shared" si="0"/>
        <v>262812, Апатиты, ул. Рославка, 26, 5</v>
      </c>
    </row>
    <row r="27" spans="1:6" ht="14.25" customHeight="1" x14ac:dyDescent="0.3">
      <c r="A27" s="3" t="s">
        <v>94</v>
      </c>
      <c r="B27" s="3" t="s">
        <v>114</v>
      </c>
      <c r="C27" s="8" t="s">
        <v>115</v>
      </c>
      <c r="D27" s="3">
        <v>53</v>
      </c>
      <c r="E27" s="3">
        <v>70</v>
      </c>
      <c r="F27" t="str">
        <f t="shared" si="0"/>
        <v>427162, Пермь, ул. Автозаводская, 53, 70</v>
      </c>
    </row>
    <row r="28" spans="1:6" ht="14.25" customHeight="1" x14ac:dyDescent="0.3">
      <c r="A28" s="3" t="s">
        <v>116</v>
      </c>
      <c r="B28" s="3" t="s">
        <v>117</v>
      </c>
      <c r="C28" s="8" t="s">
        <v>118</v>
      </c>
      <c r="D28" s="3">
        <v>39</v>
      </c>
      <c r="E28" s="3">
        <v>40</v>
      </c>
      <c r="F28" t="str">
        <f t="shared" si="0"/>
        <v>714674, Усть-Илимск, ул. 1-я Фрезерная , 39, 40</v>
      </c>
    </row>
    <row r="29" spans="1:6" ht="14.25" customHeight="1" x14ac:dyDescent="0.3">
      <c r="A29" s="3" t="s">
        <v>119</v>
      </c>
      <c r="B29" s="3" t="s">
        <v>120</v>
      </c>
      <c r="C29" s="8" t="s">
        <v>121</v>
      </c>
      <c r="D29" s="3">
        <v>111</v>
      </c>
      <c r="E29" s="3">
        <v>111</v>
      </c>
      <c r="F29" t="str">
        <f t="shared" si="0"/>
        <v>524455, Вологда, Рабфаковский переулок, 111, 111</v>
      </c>
    </row>
    <row r="30" spans="1:6" ht="14.25" customHeight="1" x14ac:dyDescent="0.3">
      <c r="A30" s="3" t="s">
        <v>122</v>
      </c>
      <c r="B30" s="3" t="s">
        <v>123</v>
      </c>
      <c r="C30" s="8" t="s">
        <v>124</v>
      </c>
      <c r="D30" s="3">
        <v>90</v>
      </c>
      <c r="E30" s="3">
        <v>79</v>
      </c>
      <c r="F30" t="str">
        <f t="shared" si="0"/>
        <v>624136, Михайловск, проспект Будённого, 90, 79</v>
      </c>
    </row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B14" sqref="B14"/>
    </sheetView>
  </sheetViews>
  <sheetFormatPr defaultColWidth="12.59765625" defaultRowHeight="15" customHeight="1" x14ac:dyDescent="0.25"/>
  <cols>
    <col min="1" max="1" width="52.19921875" customWidth="1"/>
    <col min="2" max="2" width="25.09765625" customWidth="1"/>
    <col min="3" max="26" width="7.59765625" customWidth="1"/>
  </cols>
  <sheetData>
    <row r="1" spans="1:2" ht="14.25" customHeight="1" x14ac:dyDescent="0.3">
      <c r="A1" s="6" t="s">
        <v>37</v>
      </c>
      <c r="B1" s="6" t="s">
        <v>32</v>
      </c>
    </row>
    <row r="2" spans="1:2" ht="14.25" customHeight="1" x14ac:dyDescent="0.3">
      <c r="A2" s="3" t="s">
        <v>125</v>
      </c>
      <c r="B2" t="str">
        <f>LEFT(A2,FIND(",",A2)-1)</f>
        <v>Санкт-Петербург</v>
      </c>
    </row>
    <row r="3" spans="1:2" ht="14.25" customHeight="1" x14ac:dyDescent="0.3">
      <c r="A3" s="3" t="s">
        <v>126</v>
      </c>
      <c r="B3" t="str">
        <f t="shared" ref="B3:B6" si="0">LEFT(A3,FIND(",",A3)-1)</f>
        <v>Москва</v>
      </c>
    </row>
    <row r="4" spans="1:2" ht="14.25" customHeight="1" x14ac:dyDescent="0.3">
      <c r="A4" s="3" t="s">
        <v>127</v>
      </c>
      <c r="B4" t="str">
        <f t="shared" si="0"/>
        <v>Самара</v>
      </c>
    </row>
    <row r="5" spans="1:2" ht="14.25" customHeight="1" x14ac:dyDescent="0.3">
      <c r="A5" s="3" t="s">
        <v>128</v>
      </c>
      <c r="B5" t="str">
        <f t="shared" si="0"/>
        <v>Владивосток</v>
      </c>
    </row>
    <row r="6" spans="1:2" ht="14.25" customHeight="1" x14ac:dyDescent="0.3">
      <c r="A6" s="3" t="s">
        <v>129</v>
      </c>
      <c r="B6" t="str">
        <f t="shared" si="0"/>
        <v>Новосибирск</v>
      </c>
    </row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11" sqref="C11"/>
    </sheetView>
  </sheetViews>
  <sheetFormatPr defaultColWidth="12.59765625" defaultRowHeight="15" customHeight="1" x14ac:dyDescent="0.25"/>
  <cols>
    <col min="1" max="1" width="41" customWidth="1"/>
    <col min="2" max="2" width="12.19921875" customWidth="1"/>
    <col min="3" max="3" width="13.5" customWidth="1"/>
    <col min="4" max="26" width="7.59765625" customWidth="1"/>
  </cols>
  <sheetData>
    <row r="1" spans="1:3" ht="14.25" customHeight="1" x14ac:dyDescent="0.3">
      <c r="A1" s="6" t="s">
        <v>0</v>
      </c>
      <c r="B1" s="6" t="s">
        <v>130</v>
      </c>
      <c r="C1" s="6" t="s">
        <v>131</v>
      </c>
    </row>
    <row r="2" spans="1:3" ht="14.25" customHeight="1" x14ac:dyDescent="0.3">
      <c r="A2" s="3" t="s">
        <v>132</v>
      </c>
      <c r="B2" s="3">
        <v>1972</v>
      </c>
      <c r="C2" s="7" t="s">
        <v>133</v>
      </c>
    </row>
    <row r="3" spans="1:3" ht="14.25" customHeight="1" x14ac:dyDescent="0.3">
      <c r="A3" s="3" t="s">
        <v>134</v>
      </c>
      <c r="B3" s="3">
        <v>1960</v>
      </c>
      <c r="C3" s="7" t="s">
        <v>135</v>
      </c>
    </row>
    <row r="4" spans="1:3" ht="14.25" customHeight="1" x14ac:dyDescent="0.3">
      <c r="A4" s="3" t="s">
        <v>136</v>
      </c>
      <c r="B4" s="3">
        <v>1969</v>
      </c>
      <c r="C4" t="str">
        <f>LEFT(A4,1)&amp;"-"&amp;B4</f>
        <v>Т-1969</v>
      </c>
    </row>
    <row r="5" spans="1:3" ht="14.25" customHeight="1" x14ac:dyDescent="0.3">
      <c r="A5" s="3" t="s">
        <v>137</v>
      </c>
      <c r="B5" s="3">
        <v>1968</v>
      </c>
      <c r="C5" t="str">
        <f t="shared" ref="C5:C41" si="0">LEFT(A5,1)&amp;"-"&amp;B5</f>
        <v>Ш-1968</v>
      </c>
    </row>
    <row r="6" spans="1:3" ht="14.25" customHeight="1" x14ac:dyDescent="0.3">
      <c r="A6" s="3" t="s">
        <v>138</v>
      </c>
      <c r="B6" s="3">
        <v>1986</v>
      </c>
      <c r="C6" t="str">
        <f t="shared" si="0"/>
        <v>Ц-1986</v>
      </c>
    </row>
    <row r="7" spans="1:3" ht="14.25" customHeight="1" x14ac:dyDescent="0.3">
      <c r="A7" s="3" t="s">
        <v>139</v>
      </c>
      <c r="B7" s="3">
        <v>1964</v>
      </c>
      <c r="C7" t="str">
        <f t="shared" si="0"/>
        <v>К-1964</v>
      </c>
    </row>
    <row r="8" spans="1:3" ht="14.25" customHeight="1" x14ac:dyDescent="0.3">
      <c r="A8" s="3" t="s">
        <v>140</v>
      </c>
      <c r="B8" s="3">
        <v>1964</v>
      </c>
      <c r="C8" t="str">
        <f t="shared" si="0"/>
        <v>Г-1964</v>
      </c>
    </row>
    <row r="9" spans="1:3" ht="14.25" customHeight="1" x14ac:dyDescent="0.3">
      <c r="A9" s="3" t="s">
        <v>141</v>
      </c>
      <c r="B9" s="3">
        <v>1975</v>
      </c>
      <c r="C9" t="str">
        <f t="shared" si="0"/>
        <v>М-1975</v>
      </c>
    </row>
    <row r="10" spans="1:3" ht="14.25" customHeight="1" x14ac:dyDescent="0.3">
      <c r="A10" s="3" t="s">
        <v>142</v>
      </c>
      <c r="B10" s="3">
        <v>1987</v>
      </c>
      <c r="C10" t="str">
        <f t="shared" si="0"/>
        <v>К-1987</v>
      </c>
    </row>
    <row r="11" spans="1:3" ht="14.25" customHeight="1" x14ac:dyDescent="0.3">
      <c r="A11" s="3" t="s">
        <v>143</v>
      </c>
      <c r="B11" s="3">
        <v>1995</v>
      </c>
      <c r="C11" t="str">
        <f t="shared" si="0"/>
        <v>Р-1995</v>
      </c>
    </row>
    <row r="12" spans="1:3" ht="14.25" customHeight="1" x14ac:dyDescent="0.3">
      <c r="A12" s="3" t="s">
        <v>144</v>
      </c>
      <c r="B12" s="3">
        <v>1979</v>
      </c>
      <c r="C12" t="str">
        <f t="shared" si="0"/>
        <v>П-1979</v>
      </c>
    </row>
    <row r="13" spans="1:3" ht="14.25" customHeight="1" x14ac:dyDescent="0.3">
      <c r="A13" s="3" t="s">
        <v>145</v>
      </c>
      <c r="B13" s="3">
        <v>1994</v>
      </c>
      <c r="C13" t="str">
        <f t="shared" si="0"/>
        <v>С-1994</v>
      </c>
    </row>
    <row r="14" spans="1:3" ht="14.25" customHeight="1" x14ac:dyDescent="0.3">
      <c r="A14" s="3" t="s">
        <v>146</v>
      </c>
      <c r="B14" s="3">
        <v>1966</v>
      </c>
      <c r="C14" t="str">
        <f t="shared" si="0"/>
        <v>Б-1966</v>
      </c>
    </row>
    <row r="15" spans="1:3" ht="14.25" customHeight="1" x14ac:dyDescent="0.3">
      <c r="A15" s="3" t="s">
        <v>147</v>
      </c>
      <c r="B15" s="3">
        <v>2000</v>
      </c>
      <c r="C15" t="str">
        <f t="shared" si="0"/>
        <v>Г-2000</v>
      </c>
    </row>
    <row r="16" spans="1:3" ht="14.25" customHeight="1" x14ac:dyDescent="0.3">
      <c r="A16" s="3" t="s">
        <v>148</v>
      </c>
      <c r="B16" s="3">
        <v>1992</v>
      </c>
      <c r="C16" t="str">
        <f t="shared" si="0"/>
        <v>К-1992</v>
      </c>
    </row>
    <row r="17" spans="1:3" ht="14.25" customHeight="1" x14ac:dyDescent="0.3">
      <c r="A17" s="3" t="s">
        <v>149</v>
      </c>
      <c r="B17" s="3">
        <v>1968</v>
      </c>
      <c r="C17" t="str">
        <f t="shared" si="0"/>
        <v>К-1968</v>
      </c>
    </row>
    <row r="18" spans="1:3" ht="14.25" customHeight="1" x14ac:dyDescent="0.3">
      <c r="A18" s="3" t="s">
        <v>150</v>
      </c>
      <c r="B18" s="3">
        <v>1997</v>
      </c>
      <c r="C18" t="str">
        <f t="shared" si="0"/>
        <v>К-1997</v>
      </c>
    </row>
    <row r="19" spans="1:3" ht="14.25" customHeight="1" x14ac:dyDescent="0.3">
      <c r="A19" s="3" t="s">
        <v>151</v>
      </c>
      <c r="B19" s="3">
        <v>1982</v>
      </c>
      <c r="C19" t="str">
        <f t="shared" si="0"/>
        <v>М-1982</v>
      </c>
    </row>
    <row r="20" spans="1:3" ht="14.25" customHeight="1" x14ac:dyDescent="0.3">
      <c r="A20" s="3" t="s">
        <v>152</v>
      </c>
      <c r="B20" s="3">
        <v>1980</v>
      </c>
      <c r="C20" t="str">
        <f t="shared" si="0"/>
        <v>К-1980</v>
      </c>
    </row>
    <row r="21" spans="1:3" ht="14.25" customHeight="1" x14ac:dyDescent="0.3">
      <c r="A21" s="3" t="s">
        <v>153</v>
      </c>
      <c r="B21" s="3">
        <v>1988</v>
      </c>
      <c r="C21" t="str">
        <f t="shared" si="0"/>
        <v>Ш-1988</v>
      </c>
    </row>
    <row r="22" spans="1:3" ht="14.25" customHeight="1" x14ac:dyDescent="0.3">
      <c r="A22" s="3" t="s">
        <v>154</v>
      </c>
      <c r="B22" s="3">
        <v>1973</v>
      </c>
      <c r="C22" t="str">
        <f t="shared" si="0"/>
        <v>В-1973</v>
      </c>
    </row>
    <row r="23" spans="1:3" ht="14.25" customHeight="1" x14ac:dyDescent="0.3">
      <c r="A23" s="3" t="s">
        <v>155</v>
      </c>
      <c r="B23" s="3">
        <v>1983</v>
      </c>
      <c r="C23" t="str">
        <f t="shared" si="0"/>
        <v>Р-1983</v>
      </c>
    </row>
    <row r="24" spans="1:3" ht="14.25" customHeight="1" x14ac:dyDescent="0.3">
      <c r="A24" s="3" t="s">
        <v>156</v>
      </c>
      <c r="B24" s="3">
        <v>1974</v>
      </c>
      <c r="C24" t="str">
        <f t="shared" si="0"/>
        <v>Г-1974</v>
      </c>
    </row>
    <row r="25" spans="1:3" ht="14.25" customHeight="1" x14ac:dyDescent="0.3">
      <c r="A25" s="3" t="s">
        <v>157</v>
      </c>
      <c r="B25" s="3">
        <v>1986</v>
      </c>
      <c r="C25" t="str">
        <f t="shared" si="0"/>
        <v>К-1986</v>
      </c>
    </row>
    <row r="26" spans="1:3" ht="14.25" customHeight="1" x14ac:dyDescent="0.3">
      <c r="A26" s="3" t="s">
        <v>158</v>
      </c>
      <c r="B26" s="3">
        <v>1985</v>
      </c>
      <c r="C26" t="str">
        <f t="shared" si="0"/>
        <v>К-1985</v>
      </c>
    </row>
    <row r="27" spans="1:3" ht="14.25" customHeight="1" x14ac:dyDescent="0.3">
      <c r="A27" s="3" t="s">
        <v>159</v>
      </c>
      <c r="B27" s="3">
        <v>1975</v>
      </c>
      <c r="C27" t="str">
        <f t="shared" si="0"/>
        <v>Я-1975</v>
      </c>
    </row>
    <row r="28" spans="1:3" ht="14.25" customHeight="1" x14ac:dyDescent="0.3">
      <c r="A28" s="3" t="s">
        <v>160</v>
      </c>
      <c r="B28" s="3">
        <v>1965</v>
      </c>
      <c r="C28" t="str">
        <f t="shared" si="0"/>
        <v>Д-1965</v>
      </c>
    </row>
    <row r="29" spans="1:3" ht="14.25" customHeight="1" x14ac:dyDescent="0.3">
      <c r="A29" s="3" t="s">
        <v>161</v>
      </c>
      <c r="B29" s="3">
        <v>1978</v>
      </c>
      <c r="C29" t="str">
        <f t="shared" si="0"/>
        <v>К-1978</v>
      </c>
    </row>
    <row r="30" spans="1:3" ht="14.25" customHeight="1" x14ac:dyDescent="0.3">
      <c r="A30" s="3" t="s">
        <v>162</v>
      </c>
      <c r="B30" s="3">
        <v>1966</v>
      </c>
      <c r="C30" t="str">
        <f t="shared" si="0"/>
        <v>К-1966</v>
      </c>
    </row>
    <row r="31" spans="1:3" ht="14.25" customHeight="1" x14ac:dyDescent="0.3">
      <c r="A31" s="3" t="s">
        <v>163</v>
      </c>
      <c r="B31" s="3">
        <v>1962</v>
      </c>
      <c r="C31" t="str">
        <f t="shared" si="0"/>
        <v>З-1962</v>
      </c>
    </row>
    <row r="32" spans="1:3" ht="14.25" customHeight="1" x14ac:dyDescent="0.3">
      <c r="A32" s="3" t="s">
        <v>164</v>
      </c>
      <c r="B32" s="3">
        <v>1980</v>
      </c>
      <c r="C32" t="str">
        <f t="shared" si="0"/>
        <v>О-1980</v>
      </c>
    </row>
    <row r="33" spans="1:3" ht="14.25" customHeight="1" x14ac:dyDescent="0.3">
      <c r="A33" s="3" t="s">
        <v>165</v>
      </c>
      <c r="B33" s="3">
        <v>1987</v>
      </c>
      <c r="C33" t="str">
        <f t="shared" si="0"/>
        <v>Е-1987</v>
      </c>
    </row>
    <row r="34" spans="1:3" ht="14.25" customHeight="1" x14ac:dyDescent="0.3">
      <c r="A34" s="3" t="s">
        <v>166</v>
      </c>
      <c r="B34" s="3">
        <v>1983</v>
      </c>
      <c r="C34" t="str">
        <f t="shared" si="0"/>
        <v>С-1983</v>
      </c>
    </row>
    <row r="35" spans="1:3" ht="14.25" customHeight="1" x14ac:dyDescent="0.3">
      <c r="A35" s="3" t="s">
        <v>167</v>
      </c>
      <c r="B35" s="3">
        <v>1979</v>
      </c>
      <c r="C35" t="str">
        <f t="shared" si="0"/>
        <v>Ш-1979</v>
      </c>
    </row>
    <row r="36" spans="1:3" ht="14.25" customHeight="1" x14ac:dyDescent="0.3">
      <c r="A36" s="3" t="s">
        <v>168</v>
      </c>
      <c r="B36" s="3">
        <v>1973</v>
      </c>
      <c r="C36" t="str">
        <f t="shared" si="0"/>
        <v>К-1973</v>
      </c>
    </row>
    <row r="37" spans="1:3" ht="14.25" customHeight="1" x14ac:dyDescent="0.3">
      <c r="A37" s="3" t="s">
        <v>169</v>
      </c>
      <c r="B37" s="3">
        <v>1975</v>
      </c>
      <c r="C37" t="str">
        <f t="shared" si="0"/>
        <v>Д-1975</v>
      </c>
    </row>
    <row r="38" spans="1:3" ht="14.25" customHeight="1" x14ac:dyDescent="0.3">
      <c r="A38" s="3" t="s">
        <v>170</v>
      </c>
      <c r="B38" s="3">
        <v>1969</v>
      </c>
      <c r="C38" t="str">
        <f t="shared" si="0"/>
        <v>М-1969</v>
      </c>
    </row>
    <row r="39" spans="1:3" ht="14.25" customHeight="1" x14ac:dyDescent="0.3">
      <c r="A39" s="3" t="s">
        <v>171</v>
      </c>
      <c r="B39" s="3">
        <v>1966</v>
      </c>
      <c r="C39" t="str">
        <f t="shared" si="0"/>
        <v>О-1966</v>
      </c>
    </row>
    <row r="40" spans="1:3" ht="14.25" customHeight="1" x14ac:dyDescent="0.3">
      <c r="A40" s="3" t="s">
        <v>172</v>
      </c>
      <c r="B40" s="3">
        <v>1977</v>
      </c>
      <c r="C40" t="str">
        <f t="shared" si="0"/>
        <v>Ш-1977</v>
      </c>
    </row>
    <row r="41" spans="1:3" ht="14.25" customHeight="1" x14ac:dyDescent="0.3">
      <c r="A41" s="3" t="s">
        <v>173</v>
      </c>
      <c r="B41" s="3">
        <v>1969</v>
      </c>
      <c r="C41" t="str">
        <f t="shared" si="0"/>
        <v>З-1969</v>
      </c>
    </row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2.59765625" defaultRowHeight="15" customHeight="1" x14ac:dyDescent="0.25"/>
  <cols>
    <col min="1" max="1" width="66.19921875" customWidth="1"/>
    <col min="2" max="2" width="66.69921875" customWidth="1"/>
    <col min="3" max="26" width="7.59765625" customWidth="1"/>
  </cols>
  <sheetData>
    <row r="1" spans="1:2" ht="14.25" customHeight="1" x14ac:dyDescent="0.25">
      <c r="A1" s="1" t="s">
        <v>174</v>
      </c>
      <c r="B1" s="1" t="s">
        <v>175</v>
      </c>
    </row>
    <row r="2" spans="1:2" ht="16.8" customHeight="1" x14ac:dyDescent="0.25">
      <c r="A2" s="11" t="s">
        <v>176</v>
      </c>
      <c r="B2" s="12" t="s">
        <v>177</v>
      </c>
    </row>
    <row r="3" spans="1:2" ht="43.2" x14ac:dyDescent="0.25">
      <c r="A3" s="11" t="s">
        <v>178</v>
      </c>
      <c r="B3" s="10" t="str">
        <f>SUBSTITUTE(REPLACE(LOWER(A3),1,1,LEFT(UPPER(A3),1)),"москва","Москва")</f>
        <v>Мелкая опечатка, лишний пробел, буква не того алфавита (латинская c вместо кириллической с, например) — такие ошибки может допустить каждый, и визуально они даже не испортят внешний вид данных. </v>
      </c>
    </row>
    <row r="4" spans="1:2" ht="28.8" x14ac:dyDescent="0.25">
      <c r="A4" s="11" t="s">
        <v>179</v>
      </c>
      <c r="B4" s="10" t="str">
        <f t="shared" ref="B4:B9" si="0">SUBSTITUTE(REPLACE(LOWER(A4),1,1,LEFT(UPPER(A4),1)),"москва","Москва")</f>
        <v xml:space="preserve">Другой тип ошибок при ведении таблиц - разные типы сокращений/обозначений одного и того же. </v>
      </c>
    </row>
    <row r="5" spans="1:2" ht="14.4" x14ac:dyDescent="0.25">
      <c r="A5" s="11" t="s">
        <v>180</v>
      </c>
      <c r="B5" s="10" t="str">
        <f t="shared" si="0"/>
        <v>“Москва”, “мск”, “мск” и так далее. </v>
      </c>
    </row>
    <row r="6" spans="1:2" ht="28.8" x14ac:dyDescent="0.25">
      <c r="A6" s="11" t="s">
        <v>181</v>
      </c>
      <c r="B6" s="10" t="str">
        <f t="shared" si="0"/>
        <v>И это тоже не критично с точки зрения пользователя, мы в большинстве подобных случаев понимаем, что имеется в виду. </v>
      </c>
    </row>
    <row r="7" spans="1:2" ht="28.8" x14ac:dyDescent="0.25">
      <c r="A7" s="11" t="s">
        <v>182</v>
      </c>
      <c r="B7" s="10" t="str">
        <f t="shared" si="0"/>
        <v>Проблема в том, что для excel “Москва” и “мск” - разные текстовые строки (значения).</v>
      </c>
    </row>
    <row r="8" spans="1:2" ht="14.4" x14ac:dyDescent="0.25">
      <c r="A8" s="11" t="s">
        <v>183</v>
      </c>
      <c r="B8" s="10" t="str">
        <f t="shared" si="0"/>
        <v>Даже “Москва” и “Москва “ (вторая - с пробелом) — разные.</v>
      </c>
    </row>
    <row r="9" spans="1:2" ht="86.4" x14ac:dyDescent="0.25">
      <c r="A9" s="11" t="s">
        <v>184</v>
      </c>
      <c r="B9" s="10" t="str">
        <f t="shared" si="0"/>
        <v>А это значит, что они будут считаться разными значениями и при обработке таких данных функциями и формулами (когда вы будете связывать несколько таблиц/книг между собой с помощью функций впр, просмотрx, поискпоз и других), при создании сводных таблиц, при подсчете данных по определенной категории (только продажи в москве - с помощью функции суммесли) и при других вычислениях.</v>
      </c>
    </row>
    <row r="10" spans="1:2" ht="14.25" customHeight="1" x14ac:dyDescent="0.3">
      <c r="A10" s="9"/>
    </row>
    <row r="11" spans="1:2" ht="14.25" customHeight="1" x14ac:dyDescent="0.3">
      <c r="A11" s="9"/>
    </row>
    <row r="12" spans="1:2" ht="14.25" customHeight="1" x14ac:dyDescent="0.3">
      <c r="A12" s="9"/>
    </row>
    <row r="13" spans="1:2" ht="14.25" customHeight="1" x14ac:dyDescent="0.25"/>
    <row r="14" spans="1:2" ht="14.25" customHeight="1" x14ac:dyDescent="0.3">
      <c r="A14" s="9"/>
    </row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 (не обязательное)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2023-12-05T12:56:22Z</dcterms:modified>
</cp:coreProperties>
</file>