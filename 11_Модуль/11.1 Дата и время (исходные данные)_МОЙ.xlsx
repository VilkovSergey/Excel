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E:\УЧЁБА\EXCEL\Excel\11_Модуль\"/>
    </mc:Choice>
  </mc:AlternateContent>
  <xr:revisionPtr revIDLastSave="0" documentId="13_ncr:1_{BAE97BC6-0C2D-4233-89F1-33849FE522D0}" xr6:coauthVersionLast="47" xr6:coauthVersionMax="47" xr10:uidLastSave="{00000000-0000-0000-0000-000000000000}"/>
  <bookViews>
    <workbookView xWindow="-108" yWindow="-108" windowWidth="23256" windowHeight="12576" firstSheet="7" activeTab="9" xr2:uid="{00000000-000D-0000-FFFF-FFFF00000000}"/>
  </bookViews>
  <sheets>
    <sheet name="Текущая дата и форматы" sheetId="1" r:id="rId1"/>
    <sheet name="Даты как числа" sheetId="9" r:id="rId2"/>
    <sheet name="Расписание" sheetId="11" r:id="rId3"/>
    <sheet name="РАЗНДАТ" sheetId="4" r:id="rId4"/>
    <sheet name="Сделки" sheetId="3" r:id="rId5"/>
    <sheet name="СводнаяСделки" sheetId="13" r:id="rId6"/>
    <sheet name="Данные по проектам" sheetId="8" r:id="rId7"/>
    <sheet name="Сводная_ДанныеПоПроектам" sheetId="16" r:id="rId8"/>
    <sheet name="Начало тек недели" sheetId="12" r:id="rId9"/>
    <sheet name="Усл формат выходных" sheetId="10" r:id="rId10"/>
    <sheet name="Рабочие дни" sheetId="5" r:id="rId11"/>
    <sheet name="Выполнение плана" sheetId="6" r:id="rId12"/>
  </sheets>
  <calcPr calcId="191029"/>
  <pivotCaches>
    <pivotCache cacheId="12" r:id="rId13"/>
    <pivotCache cacheId="17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2" l="1"/>
  <c r="C2" i="12"/>
  <c r="B2" i="12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2" i="4"/>
  <c r="D3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4" i="4"/>
  <c r="D2" i="4"/>
  <c r="H3" i="11"/>
  <c r="H4" i="11"/>
  <c r="H5" i="11"/>
  <c r="H6" i="11"/>
  <c r="H2" i="11"/>
  <c r="B3" i="11"/>
  <c r="B4" i="11" s="1"/>
  <c r="B5" i="11" s="1"/>
  <c r="B6" i="11" s="1"/>
  <c r="B7" i="11" s="1"/>
  <c r="C3" i="11"/>
  <c r="C4" i="11" s="1"/>
  <c r="C5" i="11" s="1"/>
  <c r="C6" i="11" s="1"/>
  <c r="C7" i="11" s="1"/>
  <c r="A3" i="11"/>
  <c r="A4" i="11" s="1"/>
  <c r="A5" i="11" s="1"/>
  <c r="A6" i="11" s="1"/>
  <c r="A7" i="11" s="1"/>
  <c r="B8" i="1"/>
  <c r="B6" i="1"/>
  <c r="B4" i="1"/>
  <c r="C2" i="1"/>
  <c r="C1" i="1"/>
  <c r="B2" i="1"/>
  <c r="B1" i="1"/>
  <c r="B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C1" authorId="0" shapeId="0" xr:uid="{D282287A-7D6A-437A-A2CC-FF6581331A0B}">
      <text>
        <r>
          <rPr>
            <b/>
            <sz val="9"/>
            <color indexed="81"/>
            <rFont val="Tahoma"/>
            <charset val="1"/>
          </rPr>
          <t>Дата в числовом формате:
от 01.01.1900 года</t>
        </r>
      </text>
    </comment>
  </commentList>
</comments>
</file>

<file path=xl/sharedStrings.xml><?xml version="1.0" encoding="utf-8"?>
<sst xmlns="http://schemas.openxmlformats.org/spreadsheetml/2006/main" count="1731" uniqueCount="234">
  <si>
    <t>Лазарев</t>
  </si>
  <si>
    <t>МЕГАПОЛИС, торговая компания</t>
  </si>
  <si>
    <t>Канцелярские товары</t>
  </si>
  <si>
    <t>Холодный звонок</t>
  </si>
  <si>
    <t>Закрыта</t>
  </si>
  <si>
    <t>Росатом, госкорпорация</t>
  </si>
  <si>
    <t>Работа с постоянными</t>
  </si>
  <si>
    <t>Аэрофлот</t>
  </si>
  <si>
    <t>ЛУКОЙЛ</t>
  </si>
  <si>
    <t>В оплате</t>
  </si>
  <si>
    <t>Лента (сеть гипермаркетов)</t>
  </si>
  <si>
    <t>Бытовая техника</t>
  </si>
  <si>
    <t>Сайт</t>
  </si>
  <si>
    <t>Торг/согласование</t>
  </si>
  <si>
    <t>Сбербанк России</t>
  </si>
  <si>
    <t>КП</t>
  </si>
  <si>
    <t>Транснефть, АК</t>
  </si>
  <si>
    <t>Выставка</t>
  </si>
  <si>
    <t>Роснефть, нефтяная компания</t>
  </si>
  <si>
    <t>Другой</t>
  </si>
  <si>
    <t>РусГидро</t>
  </si>
  <si>
    <t>НОВАТЭК</t>
  </si>
  <si>
    <t>Объединенная авиастроительная корпорация</t>
  </si>
  <si>
    <t>Отказ</t>
  </si>
  <si>
    <t>Никулин</t>
  </si>
  <si>
    <t>Дж.Т.И. Россия</t>
  </si>
  <si>
    <t>Мебель</t>
  </si>
  <si>
    <t>Интер РАО</t>
  </si>
  <si>
    <t>СИБУР Холдинг</t>
  </si>
  <si>
    <t>ВымпелКом</t>
  </si>
  <si>
    <t>Система, АФК</t>
  </si>
  <si>
    <t>ММК</t>
  </si>
  <si>
    <t>Металлоинвест, холдинговая компания</t>
  </si>
  <si>
    <t>Татнефть</t>
  </si>
  <si>
    <t>УГМК</t>
  </si>
  <si>
    <t>РЖД</t>
  </si>
  <si>
    <t>МегаФон</t>
  </si>
  <si>
    <t>Менеджер</t>
  </si>
  <si>
    <t>Дата первой встречи</t>
  </si>
  <si>
    <t>Компания-клиент</t>
  </si>
  <si>
    <t>Продукт</t>
  </si>
  <si>
    <t>Канал</t>
  </si>
  <si>
    <t>Коммерческое предложение</t>
  </si>
  <si>
    <t>Статус сделки</t>
  </si>
  <si>
    <t>Факт оплаты</t>
  </si>
  <si>
    <t>Дата оплаты</t>
  </si>
  <si>
    <t>Комиссия</t>
  </si>
  <si>
    <t>ФИО</t>
  </si>
  <si>
    <t>Отдел</t>
  </si>
  <si>
    <t>Дата рождения</t>
  </si>
  <si>
    <t>Краснопёров Захар Эрнстович</t>
  </si>
  <si>
    <t>Администрация</t>
  </si>
  <si>
    <t>Кирхенштейн Леонид Геннадиевич</t>
  </si>
  <si>
    <t>Логистика</t>
  </si>
  <si>
    <t>Жуков Якуб Епифанович</t>
  </si>
  <si>
    <t>PR</t>
  </si>
  <si>
    <t>Ширманов Мирослав Федотович</t>
  </si>
  <si>
    <t>Эсаулова Ксения Вячеславовна</t>
  </si>
  <si>
    <t>Чикунова Фаина Вячеславовна</t>
  </si>
  <si>
    <t>Маркетинг</t>
  </si>
  <si>
    <t>Чаадаева Кира Тимуровна</t>
  </si>
  <si>
    <t>Бухгалтерия</t>
  </si>
  <si>
    <t>Лунина Ника Романовна</t>
  </si>
  <si>
    <t>Андрюхина Валерия Афанасиевна</t>
  </si>
  <si>
    <t>Поддержка</t>
  </si>
  <si>
    <t>Беломестова Инга Тихоновна</t>
  </si>
  <si>
    <t>IT</t>
  </si>
  <si>
    <t>Валиева Лариса Тихоновна</t>
  </si>
  <si>
    <t>Казакевича Варвара Владленовна</t>
  </si>
  <si>
    <t>Реклама</t>
  </si>
  <si>
    <t>Скуратова Алина Юлиевна</t>
  </si>
  <si>
    <t>Производство</t>
  </si>
  <si>
    <t>Могутов Аркадий Серафимович</t>
  </si>
  <si>
    <t>Сыромятников Василий Назарович</t>
  </si>
  <si>
    <t>Маслака Вера Леонидовна</t>
  </si>
  <si>
    <t>Якушов Андрей Эмилевич</t>
  </si>
  <si>
    <t>Перфильева Мария Федоровна</t>
  </si>
  <si>
    <t>Бялика Светлана Владленовна</t>
  </si>
  <si>
    <t>Бенедиктов Илья Маркович</t>
  </si>
  <si>
    <t>Гудкова Арина Всеволодовна</t>
  </si>
  <si>
    <t>Ширинов Яков Яковович</t>
  </si>
  <si>
    <t>Кэбин Борис Ипатиевич</t>
  </si>
  <si>
    <t>Кидирбаева Светлана Игоревна</t>
  </si>
  <si>
    <t>Белозерцев Лавр Феоктистович</t>
  </si>
  <si>
    <t>Рябов Артем Прохорович</t>
  </si>
  <si>
    <t>Шапкин Юрий Евлампиевич</t>
  </si>
  <si>
    <t>Селезнева Лидия Виталиевна</t>
  </si>
  <si>
    <t>Салтанова Эвелина Станиславовна</t>
  </si>
  <si>
    <t>Щедров Харитон Брониславович</t>
  </si>
  <si>
    <t>Булатов Рюрик Казимирович</t>
  </si>
  <si>
    <t>Сахаровский Юлий Климентович</t>
  </si>
  <si>
    <t>Кравчиков Артур Дмитриевич</t>
  </si>
  <si>
    <t>Кондакова Светлана Леонидовна</t>
  </si>
  <si>
    <t>Шаронов Захар Сергеевич</t>
  </si>
  <si>
    <t>Ясевич Евсей Артемович</t>
  </si>
  <si>
    <t>Сарнычева Инга Вячеславовна</t>
  </si>
  <si>
    <t>Седова Вера Трофимовна</t>
  </si>
  <si>
    <t>Дябина Агафья Марковна</t>
  </si>
  <si>
    <t>Драгомирова Ариадна Елисеевна</t>
  </si>
  <si>
    <t>Ярощук Эммануил Олегович</t>
  </si>
  <si>
    <t>Краснокутский Мир Валерьянович</t>
  </si>
  <si>
    <t>Кабалкин Фадей Андреевич</t>
  </si>
  <si>
    <t>Яцунова Любава Юлиевна</t>
  </si>
  <si>
    <t>Горчаков Рюрик Прохорович</t>
  </si>
  <si>
    <t>Яздовский Владлен Леонидович</t>
  </si>
  <si>
    <t>Стрельцова Раиса Елисеевна</t>
  </si>
  <si>
    <t>Пшеничников Никанор Сидорович</t>
  </si>
  <si>
    <t>Белозерцева Ярослава Иларионовна</t>
  </si>
  <si>
    <t>Дыховичный Клавдий Модестович</t>
  </si>
  <si>
    <t>Юхтрица Наталия Тимофеевна</t>
  </si>
  <si>
    <t>Старкова Ираида Алексеевна</t>
  </si>
  <si>
    <t>Сорокина ﻿Агата Тимофеевна</t>
  </si>
  <si>
    <t>Карамзина Ираида Елисеевна</t>
  </si>
  <si>
    <t>Кахадзе Наталия Филипповна</t>
  </si>
  <si>
    <t>Плахтюрина Диана Михеевна</t>
  </si>
  <si>
    <t>Мутовина Диана Леонидовна</t>
  </si>
  <si>
    <t>Сычёва Дина Фомевна</t>
  </si>
  <si>
    <t>Полков Агап Владимирович</t>
  </si>
  <si>
    <t>Ерхова Инна Степановна</t>
  </si>
  <si>
    <t>Булдакова Ольга Виталиевна</t>
  </si>
  <si>
    <t>Баскакова Лиана Елизаровна</t>
  </si>
  <si>
    <t>Ручкина Ксения Феликсовна</t>
  </si>
  <si>
    <t>Богатова Ариадна Олеговна</t>
  </si>
  <si>
    <t>Васильев Лев Юриевич</t>
  </si>
  <si>
    <t>Бояринова Лидия Марковна</t>
  </si>
  <si>
    <t>Мандрыко Ефрем Серафимович</t>
  </si>
  <si>
    <t>Гребенщикова Рената Ивановна</t>
  </si>
  <si>
    <t>Старцева Ефросинья Георгиевна</t>
  </si>
  <si>
    <t>Кирхенштейн Владимир Фомевич</t>
  </si>
  <si>
    <t>Лихачев Изяслав Валериевич</t>
  </si>
  <si>
    <t>Толстоброва Инга Александровна</t>
  </si>
  <si>
    <t>Кушнарёва Эвелина Ипполитовна</t>
  </si>
  <si>
    <t>Татаринов Кондрат Тарасович</t>
  </si>
  <si>
    <t>Бойдало Евдоким Иосифович</t>
  </si>
  <si>
    <t>Рыжкова Юнона Елизаровна</t>
  </si>
  <si>
    <t>Дьячкова Милена Петровна</t>
  </si>
  <si>
    <t>Графова Марфа Захаровна</t>
  </si>
  <si>
    <t>Ручкина Рената Афанасиевна</t>
  </si>
  <si>
    <t>Можаева Нина Леонидовна</t>
  </si>
  <si>
    <t>Шепелева Раиса Романовна</t>
  </si>
  <si>
    <t>Эльмпта Екатерина Мефодиевна</t>
  </si>
  <si>
    <t>Манторов Данила Ипатович</t>
  </si>
  <si>
    <t>Азаренков Фадей Давыдович</t>
  </si>
  <si>
    <t>Болдаев Артем Ульянович</t>
  </si>
  <si>
    <t>Королёва Светлана Всеволодовна</t>
  </si>
  <si>
    <t>Ковалёва Зинаида Святославовна</t>
  </si>
  <si>
    <t>Ромазан Иосиф Чеславович</t>
  </si>
  <si>
    <t>Блока Арина Анатолиевна</t>
  </si>
  <si>
    <t>Сай Ян Михаилович</t>
  </si>
  <si>
    <t>Богатов Онуфрий Капитонович</t>
  </si>
  <si>
    <t>Стеблева Римма Елизаровна</t>
  </si>
  <si>
    <t>Окладникова Бронислава Данилевна</t>
  </si>
  <si>
    <t>Дмитриева Анна Феликсовна</t>
  </si>
  <si>
    <t>Енотина Ангелина Ираклиевна</t>
  </si>
  <si>
    <t>Курсалин Казимир Андронович</t>
  </si>
  <si>
    <t>Крыжов Семён Сергеевич</t>
  </si>
  <si>
    <t>Эвентов Валерьян Игнатиевич</t>
  </si>
  <si>
    <t>Кривоухова ﻿Агата Святославовна</t>
  </si>
  <si>
    <t>Плеханов Иван Филимонович</t>
  </si>
  <si>
    <t>Текущая дата</t>
  </si>
  <si>
    <t>Текущие дата и время</t>
  </si>
  <si>
    <t>Праздники</t>
  </si>
  <si>
    <t>План</t>
  </si>
  <si>
    <t>Нужно выполнить на сегодня</t>
  </si>
  <si>
    <t>Факт</t>
  </si>
  <si>
    <t>Отклонение</t>
  </si>
  <si>
    <t>Фамилия</t>
  </si>
  <si>
    <t>Роль</t>
  </si>
  <si>
    <t>Дата</t>
  </si>
  <si>
    <t>Проект</t>
  </si>
  <si>
    <t>Кол-во часов</t>
  </si>
  <si>
    <t>Стоимость</t>
  </si>
  <si>
    <t>Яковиченко</t>
  </si>
  <si>
    <t>BP</t>
  </si>
  <si>
    <t>3 000</t>
  </si>
  <si>
    <t>1 000</t>
  </si>
  <si>
    <t>Royal Dutch Shell</t>
  </si>
  <si>
    <t>6 000</t>
  </si>
  <si>
    <t>Toyota Motor</t>
  </si>
  <si>
    <t>4 000</t>
  </si>
  <si>
    <t>5 000</t>
  </si>
  <si>
    <t>7 000</t>
  </si>
  <si>
    <t>Walmart</t>
  </si>
  <si>
    <t>2 000</t>
  </si>
  <si>
    <t>8 000</t>
  </si>
  <si>
    <t>Другое</t>
  </si>
  <si>
    <t>CVS Health</t>
  </si>
  <si>
    <t>Оператор</t>
  </si>
  <si>
    <t>Монтажер</t>
  </si>
  <si>
    <t>Apple</t>
  </si>
  <si>
    <t>Blackstone Group</t>
  </si>
  <si>
    <t>Exxon Mobil</t>
  </si>
  <si>
    <t>Wynn Resorts</t>
  </si>
  <si>
    <t>Методист</t>
  </si>
  <si>
    <t>Northern Trust</t>
  </si>
  <si>
    <t>Хабибуллина</t>
  </si>
  <si>
    <t>Molson Coors Brewing</t>
  </si>
  <si>
    <t>Дизайнер</t>
  </si>
  <si>
    <t>Серых</t>
  </si>
  <si>
    <t>Доля года</t>
  </si>
  <si>
    <t>Факт начала</t>
  </si>
  <si>
    <t>План начала</t>
  </si>
  <si>
    <t>Факт окончания</t>
  </si>
  <si>
    <t>Длительность</t>
  </si>
  <si>
    <t>Завтра</t>
  </si>
  <si>
    <t>Вчера</t>
  </si>
  <si>
    <t>Через неделю</t>
  </si>
  <si>
    <t>15-й день следующего месяца</t>
  </si>
  <si>
    <t>Дней с дня рождения</t>
  </si>
  <si>
    <t>Месяцев с дня рождения</t>
  </si>
  <si>
    <t>Через N рабочих дней</t>
  </si>
  <si>
    <t>Прошло рабочих дней с начала года</t>
  </si>
  <si>
    <t>Начало (ПН) текущей недели</t>
  </si>
  <si>
    <t>Возраст
(дней)</t>
  </si>
  <si>
    <t>Возраст 2
(лет)</t>
  </si>
  <si>
    <t>Возраст 3
(месяцев)</t>
  </si>
  <si>
    <t>Названия строк</t>
  </si>
  <si>
    <t>Общий итог</t>
  </si>
  <si>
    <t>Неделя</t>
  </si>
  <si>
    <t>Номер недели</t>
  </si>
  <si>
    <t>Количество сделок</t>
  </si>
  <si>
    <t>День недели</t>
  </si>
  <si>
    <t>Квартал</t>
  </si>
  <si>
    <t>День недели
(число)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</si>
  <si>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</si>
  <si>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</si>
  <si>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</si>
  <si>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</si>
  <si>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</si>
  <si>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</si>
  <si>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</si>
  <si>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Среднее по полю Кол-во часов</t>
  </si>
  <si>
    <t>Сегодня</t>
  </si>
  <si>
    <t>ТекДеньНедели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</si>
</sst>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[$-F400]h:mm:ss\ AM/PM"/>
    <numFmt numFmtId="166" formatCode="0.0%"/>
    <numFmt numFmtId="169" formatCode="dd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9"/>
      <color indexed="81"/>
      <name val="Tahoma"/>
      <charset val="1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1" xfId="2"/>
    <xf numFmtId="21" fontId="0" fillId="0" borderId="0" xfId="0" applyNumberFormat="1"/>
    <xf numFmtId="165" fontId="0" fillId="0" borderId="0" xfId="0" applyNumberFormat="1"/>
    <xf numFmtId="0" fontId="3" fillId="2" borderId="0" xfId="3"/>
    <xf numFmtId="1" fontId="0" fillId="0" borderId="0" xfId="0" applyNumberFormat="1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/>
    </xf>
    <xf numFmtId="14" fontId="0" fillId="0" borderId="0" xfId="1" applyNumberFormat="1" applyFont="1"/>
    <xf numFmtId="0" fontId="2" fillId="0" borderId="1" xfId="2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1" xfId="2" applyAlignment="1">
      <alignment horizontal="center"/>
    </xf>
    <xf numFmtId="21" fontId="2" fillId="3" borderId="1" xfId="2" applyNumberFormat="1" applyFill="1" applyAlignment="1">
      <alignment horizontal="center"/>
    </xf>
    <xf numFmtId="0" fontId="0" fillId="0" borderId="0" xfId="0" applyAlignment="1">
      <alignment horizontal="center"/>
    </xf>
    <xf numFmtId="166" fontId="0" fillId="0" borderId="0" xfId="4" applyNumberFormat="1" applyFont="1"/>
    <xf numFmtId="22" fontId="0" fillId="0" borderId="0" xfId="0" applyNumberFormat="1"/>
    <xf numFmtId="2" fontId="0" fillId="0" borderId="0" xfId="0" applyNumberFormat="1"/>
    <xf numFmtId="0" fontId="0" fillId="0" borderId="0" xfId="0" applyNumberFormat="1"/>
    <xf numFmtId="21" fontId="0" fillId="0" borderId="0" xfId="0" applyNumberFormat="1" applyAlignment="1">
      <alignment horizontal="right"/>
    </xf>
    <xf numFmtId="0" fontId="5" fillId="0" borderId="0" xfId="0" applyFont="1"/>
    <xf numFmtId="14" fontId="5" fillId="0" borderId="0" xfId="0" applyNumberFormat="1" applyFont="1"/>
    <xf numFmtId="0" fontId="2" fillId="0" borderId="1" xfId="2" applyAlignment="1">
      <alignment horizontal="center" vertical="center" wrapText="1"/>
    </xf>
    <xf numFmtId="1" fontId="5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/>
    </xf>
    <xf numFmtId="0" fontId="0" fillId="0" borderId="0" xfId="0" applyFill="1"/>
    <xf numFmtId="1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</cellXfs>
  <cellStyles count="5">
    <cellStyle name="Заголовок 3" xfId="2" builtinId="18"/>
    <cellStyle name="Обычный" xfId="0" builtinId="0"/>
    <cellStyle name="Процентный" xfId="4" builtinId="5"/>
    <cellStyle name="Финансовый" xfId="1" builtinId="3"/>
    <cellStyle name="Хороший" xfId="3" builtinId="26"/>
  </cellStyles>
  <dxfs count="36">
    <dxf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75" formatCode="0.000"/>
    </dxf>
    <dxf>
      <numFmt numFmtId="2" formatCode="0.00"/>
    </dxf>
    <dxf>
      <numFmt numFmtId="174" formatCode="0.0000"/>
    </dxf>
    <dxf>
      <numFmt numFmtId="173" formatCode="0.00000"/>
    </dxf>
    <dxf>
      <numFmt numFmtId="172" formatCode="0.000000"/>
    </dxf>
    <dxf>
      <numFmt numFmtId="171" formatCode="0.0000000"/>
    </dxf>
    <dxf>
      <numFmt numFmtId="170" formatCode="0.00000000"/>
    </dxf>
    <dxf>
      <numFmt numFmtId="175" formatCode="0.000"/>
    </dxf>
    <dxf>
      <numFmt numFmtId="2" formatCode="0.00"/>
    </dxf>
    <dxf>
      <numFmt numFmtId="174" formatCode="0.0000"/>
    </dxf>
    <dxf>
      <numFmt numFmtId="173" formatCode="0.00000"/>
    </dxf>
    <dxf>
      <numFmt numFmtId="172" formatCode="0.000000"/>
    </dxf>
    <dxf>
      <numFmt numFmtId="171" formatCode="0.0000000"/>
    </dxf>
    <dxf>
      <numFmt numFmtId="170" formatCode="0.00000000"/>
    </dxf>
    <dxf>
      <numFmt numFmtId="169" formatCode="dddd"/>
      <alignment horizontal="center" vertical="bottom" textRotation="0" wrapText="0" indent="0" justifyLastLine="0" shrinkToFit="0" readingOrder="0"/>
    </dxf>
    <dxf>
      <alignment vertical="center" textRotation="0" indent="0" justifyLastLine="0" shrinkToFit="0" readingOrder="0"/>
    </dxf>
    <dxf>
      <numFmt numFmtId="19" formatCode="dd/mm/yyyy"/>
    </dxf>
    <dxf>
      <numFmt numFmtId="1" formatCode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64" formatCode="_-* #,##0_-;\-* #,##0_-;_-* &quot;-&quot;??_-;_-@_-"/>
    </dxf>
    <dxf>
      <numFmt numFmtId="19" formatCode="dd/mm/yyyy"/>
    </dxf>
    <dxf>
      <numFmt numFmtId="164" formatCode="_-* #,##0_-;\-* #,##0_-;_-* &quot;-&quot;??_-;_-@_-"/>
    </dxf>
    <dxf>
      <numFmt numFmtId="164" formatCode="_-* #,##0_-;\-* #,##0_-;_-* &quot;-&quot;??_-;_-@_-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 Windows" refreshedDate="45267.713058680558" createdVersion="8" refreshedVersion="8" minRefreshableVersion="3" recordCount="28" xr:uid="{C7C4870E-465E-4E24-A7BD-4C302418B179}">
  <cacheSource type="worksheet">
    <worksheetSource name="Таблица3"/>
  </cacheSource>
  <cacheFields count="13">
    <cacheField name="Менеджер" numFmtId="0">
      <sharedItems count="2">
        <s v="Лазарев"/>
        <s v="Никулин"/>
      </sharedItems>
    </cacheField>
    <cacheField name="Дата первой встречи" numFmtId="14">
      <sharedItems containsSemiMixedTypes="0" containsNonDate="0" containsDate="1" containsString="0" minDate="2020-01-04T00:00:00" maxDate="2021-01-01T00:00:00" count="26">
        <d v="2020-04-02T00:00:00"/>
        <d v="2020-01-27T00:00:00"/>
        <d v="2020-03-05T00:00:00"/>
        <d v="2020-08-01T00:00:00"/>
        <d v="2020-02-05T00:00:00"/>
        <d v="2020-09-04T00:00:00"/>
        <d v="2020-04-01T00:00:00"/>
        <d v="2020-12-31T00:00:00"/>
        <d v="2020-01-16T00:00:00"/>
        <d v="2020-05-14T00:00:00"/>
        <d v="2020-11-29T00:00:00"/>
        <d v="2020-06-05T00:00:00"/>
        <d v="2020-05-28T00:00:00"/>
        <d v="2020-07-16T00:00:00"/>
        <d v="2020-01-04T00:00:00"/>
        <d v="2020-06-15T00:00:00"/>
        <d v="2020-12-04T00:00:00"/>
        <d v="2020-04-06T00:00:00"/>
        <d v="2020-01-14T00:00:00"/>
        <d v="2020-07-24T00:00:00"/>
        <d v="2020-08-28T00:00:00"/>
        <d v="2020-05-01T00:00:00"/>
        <d v="2020-10-16T00:00:00"/>
        <d v="2020-01-29T00:00:00"/>
        <d v="2020-10-01T00:00:00"/>
        <d v="2020-11-12T00:00:00"/>
      </sharedItems>
      <fieldGroup par="12"/>
    </cacheField>
    <cacheField name="Неделя" numFmtId="1">
      <sharedItems containsSemiMixedTypes="0" containsString="0" containsNumber="1" containsInteger="1" minValue="1" maxValue="53" count="22">
        <n v="14"/>
        <n v="5"/>
        <n v="10"/>
        <n v="31"/>
        <n v="6"/>
        <n v="36"/>
        <n v="53"/>
        <n v="3"/>
        <n v="20"/>
        <n v="49"/>
        <n v="23"/>
        <n v="22"/>
        <n v="29"/>
        <n v="1"/>
        <n v="25"/>
        <n v="15"/>
        <n v="30"/>
        <n v="35"/>
        <n v="18"/>
        <n v="42"/>
        <n v="40"/>
        <n v="46"/>
      </sharedItems>
    </cacheField>
    <cacheField name="Компания-клиент" numFmtId="0">
      <sharedItems/>
    </cacheField>
    <cacheField name="Продукт" numFmtId="0">
      <sharedItems/>
    </cacheField>
    <cacheField name="Канал" numFmtId="0">
      <sharedItems/>
    </cacheField>
    <cacheField name="Коммерческое предложение" numFmtId="164">
      <sharedItems containsSemiMixedTypes="0" containsString="0" containsNumber="1" containsInteger="1" minValue="95000" maxValue="5000000"/>
    </cacheField>
    <cacheField name="Статус сделки" numFmtId="0">
      <sharedItems/>
    </cacheField>
    <cacheField name="Факт оплаты" numFmtId="164">
      <sharedItems containsString="0" containsBlank="1" containsNumber="1" containsInteger="1" minValue="100000" maxValue="2000000"/>
    </cacheField>
    <cacheField name="Дата оплаты" numFmtId="14">
      <sharedItems containsNonDate="0" containsDate="1" containsString="0" containsBlank="1" minDate="2018-08-12T00:00:00" maxDate="2020-10-27T00:00:00"/>
    </cacheField>
    <cacheField name="Комиссия" numFmtId="164">
      <sharedItems containsSemiMixedTypes="0" containsString="0" containsNumber="1" containsInteger="1" minValue="14250" maxValue="750000"/>
    </cacheField>
    <cacheField name="Месяцы (Дата первой встречи)" numFmtId="0" databaseField="0">
      <fieldGroup base="1">
        <rangePr groupBy="months" startDate="2020-01-04T00:00:00" endDate="2021-01-01T00:00:00"/>
        <groupItems count="14">
          <s v="&lt;04.01.202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21"/>
        </groupItems>
      </fieldGroup>
    </cacheField>
    <cacheField name="Кварталы (Дата первой встречи)" numFmtId="0" databaseField="0">
      <fieldGroup base="1">
        <rangePr groupBy="quarters" startDate="2020-01-04T00:00:00" endDate="2021-01-01T00:00:00"/>
        <groupItems count="6">
          <s v="&lt;04.01.2020"/>
          <s v="Кв-л1"/>
          <s v="Кв-л2"/>
          <s v="Кв-л3"/>
          <s v="Кв-л4"/>
          <s v="&gt;01.01.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 Windows" refreshedDate="45267.723377662034" createdVersion="8" refreshedVersion="8" minRefreshableVersion="3" recordCount="165" xr:uid="{E3928E57-6E4E-48A8-A0AF-7BC4382D30F7}">
  <cacheSource type="worksheet">
    <worksheetSource name="Таблица4"/>
  </cacheSource>
  <cacheFields count="9">
    <cacheField name="Фамилия" numFmtId="0">
      <sharedItems/>
    </cacheField>
    <cacheField name="Роль" numFmtId="0">
      <sharedItems/>
    </cacheField>
    <cacheField name="Дата" numFmtId="14">
      <sharedItems containsSemiMixedTypes="0" containsNonDate="0" containsDate="1" containsString="0" minDate="2020-01-02T00:00:00" maxDate="2020-12-13T00:00:00"/>
    </cacheField>
    <cacheField name="День недели" numFmtId="169">
      <sharedItems count="7">
        <s v="понедельник"/>
        <s v="среда"/>
        <s v="пятница"/>
        <s v="вторник"/>
        <s v="воскресенье"/>
        <s v="четверг"/>
        <s v="суббота"/>
      </sharedItems>
    </cacheField>
    <cacheField name="День недели_x000a_(число)" numFmtId="1">
      <sharedItems containsSemiMixedTypes="0" containsString="0" containsNumber="1" containsInteger="1" minValue="1" maxValue="7"/>
    </cacheField>
    <cacheField name="Квартал" numFmtId="14">
      <sharedItems containsNonDate="0" containsString="0" containsBlank="1"/>
    </cacheField>
    <cacheField name="Проект" numFmtId="0">
      <sharedItems/>
    </cacheField>
    <cacheField name="Кол-во часов" numFmtId="0">
      <sharedItems containsSemiMixedTypes="0" containsString="0" containsNumber="1" containsInteger="1" minValue="1" maxValue="8"/>
    </cacheField>
    <cacheField name="Стоимость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x v="0"/>
    <s v="МЕГАПОЛИС, торговая компания"/>
    <s v="Канцелярские товары"/>
    <s v="Холодный звонок"/>
    <n v="100000"/>
    <s v="Закрыта"/>
    <n v="100000"/>
    <d v="2020-10-26T00:00:00"/>
    <n v="15000"/>
  </r>
  <r>
    <x v="0"/>
    <x v="1"/>
    <x v="1"/>
    <s v="Росатом, госкорпорация"/>
    <s v="Канцелярские товары"/>
    <s v="Работа с постоянными"/>
    <n v="1700000"/>
    <s v="Закрыта"/>
    <m/>
    <d v="2019-03-18T00:00:00"/>
    <n v="255000"/>
  </r>
  <r>
    <x v="0"/>
    <x v="2"/>
    <x v="2"/>
    <s v="Аэрофлот"/>
    <s v="Канцелярские товары"/>
    <s v="Работа с постоянными"/>
    <n v="600000"/>
    <s v="Закрыта"/>
    <n v="600000"/>
    <d v="2019-04-08T00:00:00"/>
    <n v="90000"/>
  </r>
  <r>
    <x v="0"/>
    <x v="3"/>
    <x v="3"/>
    <s v="ЛУКОЙЛ"/>
    <s v="Канцелярские товары"/>
    <s v="Работа с постоянными"/>
    <n v="1700000"/>
    <s v="В оплате"/>
    <m/>
    <m/>
    <n v="255000"/>
  </r>
  <r>
    <x v="0"/>
    <x v="4"/>
    <x v="4"/>
    <s v="Лента (сеть гипермаркетов)"/>
    <s v="Бытовая техника"/>
    <s v="Сайт"/>
    <n v="1000000"/>
    <s v="Торг/согласование"/>
    <m/>
    <m/>
    <n v="150000"/>
  </r>
  <r>
    <x v="0"/>
    <x v="5"/>
    <x v="5"/>
    <s v="Сбербанк России"/>
    <s v="Бытовая техника"/>
    <s v="Работа с постоянными"/>
    <n v="300000"/>
    <s v="КП"/>
    <m/>
    <m/>
    <n v="45000"/>
  </r>
  <r>
    <x v="0"/>
    <x v="6"/>
    <x v="0"/>
    <s v="Транснефть, АК"/>
    <s v="Канцелярские товары"/>
    <s v="Выставка"/>
    <n v="1400000"/>
    <s v="Закрыта"/>
    <n v="1470565"/>
    <d v="2018-08-12T00:00:00"/>
    <n v="210000"/>
  </r>
  <r>
    <x v="0"/>
    <x v="7"/>
    <x v="6"/>
    <s v="Роснефть, нефтяная компания"/>
    <s v="Бытовая техника"/>
    <s v="Другой"/>
    <n v="1400000"/>
    <s v="В оплате"/>
    <m/>
    <m/>
    <n v="210000"/>
  </r>
  <r>
    <x v="0"/>
    <x v="8"/>
    <x v="7"/>
    <s v="РусГидро"/>
    <s v="Бытовая техника"/>
    <s v="Холодный звонок"/>
    <n v="1000000"/>
    <s v="Торг/согласование"/>
    <m/>
    <m/>
    <n v="150000"/>
  </r>
  <r>
    <x v="0"/>
    <x v="9"/>
    <x v="8"/>
    <s v="НОВАТЭК"/>
    <s v="Бытовая техника"/>
    <s v="Сайт"/>
    <n v="2000000"/>
    <s v="Закрыта"/>
    <n v="2000000"/>
    <d v="2019-09-11T00:00:00"/>
    <n v="300000"/>
  </r>
  <r>
    <x v="0"/>
    <x v="10"/>
    <x v="9"/>
    <s v="Объединенная авиастроительная корпорация"/>
    <s v="Бытовая техника"/>
    <s v="Холодный звонок"/>
    <n v="95000"/>
    <s v="КП"/>
    <m/>
    <m/>
    <n v="14250"/>
  </r>
  <r>
    <x v="0"/>
    <x v="11"/>
    <x v="10"/>
    <s v="Объединенная авиастроительная корпорация"/>
    <s v="Канцелярские товары"/>
    <s v="Другой"/>
    <n v="2000000"/>
    <s v="Отказ"/>
    <m/>
    <m/>
    <n v="300000"/>
  </r>
  <r>
    <x v="1"/>
    <x v="12"/>
    <x v="11"/>
    <s v="Дж.Т.И. Россия"/>
    <s v="Мебель"/>
    <s v="Другой"/>
    <n v="1000000"/>
    <s v="Торг/согласование"/>
    <m/>
    <m/>
    <n v="150000"/>
  </r>
  <r>
    <x v="1"/>
    <x v="13"/>
    <x v="12"/>
    <s v="НОВАТЭК"/>
    <s v="Мебель"/>
    <s v="Выставка"/>
    <n v="600000"/>
    <s v="КП"/>
    <m/>
    <m/>
    <n v="90000"/>
  </r>
  <r>
    <x v="1"/>
    <x v="14"/>
    <x v="13"/>
    <s v="Интер РАО"/>
    <s v="Мебель"/>
    <s v="Сайт"/>
    <n v="400000"/>
    <s v="КП"/>
    <m/>
    <m/>
    <n v="60000"/>
  </r>
  <r>
    <x v="1"/>
    <x v="15"/>
    <x v="14"/>
    <s v="СИБУР Холдинг"/>
    <s v="Бытовая техника"/>
    <s v="Выставка"/>
    <n v="1500000"/>
    <s v="Закрыта"/>
    <n v="1558171"/>
    <d v="2018-09-07T00:00:00"/>
    <n v="225000"/>
  </r>
  <r>
    <x v="1"/>
    <x v="16"/>
    <x v="9"/>
    <s v="Интер РАО"/>
    <s v="Мебель"/>
    <s v="Сайт"/>
    <n v="700000"/>
    <s v="Отказ"/>
    <m/>
    <m/>
    <n v="105000"/>
  </r>
  <r>
    <x v="1"/>
    <x v="17"/>
    <x v="15"/>
    <s v="ВымпелКом"/>
    <s v="Канцелярские товары"/>
    <s v="Другой"/>
    <n v="900000"/>
    <s v="Торг/согласование"/>
    <m/>
    <m/>
    <n v="135000"/>
  </r>
  <r>
    <x v="1"/>
    <x v="18"/>
    <x v="7"/>
    <s v="Система, АФК"/>
    <s v="Канцелярские товары"/>
    <s v="Холодный звонок"/>
    <n v="1700000"/>
    <s v="КП"/>
    <m/>
    <m/>
    <n v="255000"/>
  </r>
  <r>
    <x v="1"/>
    <x v="19"/>
    <x v="16"/>
    <s v="НОВАТЭК"/>
    <s v="Бытовая техника"/>
    <s v="Работа с постоянными"/>
    <n v="500000"/>
    <s v="Торг/согласование"/>
    <m/>
    <m/>
    <n v="75000"/>
  </r>
  <r>
    <x v="1"/>
    <x v="15"/>
    <x v="14"/>
    <s v="ММК"/>
    <s v="Канцелярские товары"/>
    <s v="Холодный звонок"/>
    <n v="1800000"/>
    <s v="Торг/согласование"/>
    <m/>
    <m/>
    <n v="270000"/>
  </r>
  <r>
    <x v="1"/>
    <x v="20"/>
    <x v="17"/>
    <s v="Металлоинвест, холдинговая компания"/>
    <s v="Мебель"/>
    <s v="Сайт"/>
    <n v="1100000"/>
    <s v="Закрыта"/>
    <n v="1100000"/>
    <d v="2019-03-04T00:00:00"/>
    <n v="165000"/>
  </r>
  <r>
    <x v="1"/>
    <x v="21"/>
    <x v="18"/>
    <s v="Татнефть"/>
    <s v="Бытовая техника"/>
    <s v="Другой"/>
    <n v="1700000"/>
    <s v="КП"/>
    <m/>
    <m/>
    <n v="255000"/>
  </r>
  <r>
    <x v="1"/>
    <x v="22"/>
    <x v="19"/>
    <s v="УГМК"/>
    <s v="Мебель"/>
    <s v="Выставка"/>
    <n v="1700000"/>
    <s v="Закрыта"/>
    <n v="1700000"/>
    <d v="2018-11-12T00:00:00"/>
    <n v="255000"/>
  </r>
  <r>
    <x v="1"/>
    <x v="23"/>
    <x v="1"/>
    <s v="РЖД"/>
    <s v="Канцелярские товары"/>
    <s v="Работа с постоянными"/>
    <n v="1600000"/>
    <s v="Отказ"/>
    <m/>
    <m/>
    <n v="240000"/>
  </r>
  <r>
    <x v="1"/>
    <x v="1"/>
    <x v="1"/>
    <s v="ММК"/>
    <s v="Мебель"/>
    <s v="Выставка"/>
    <n v="1500000"/>
    <s v="Отказ"/>
    <m/>
    <m/>
    <n v="225000"/>
  </r>
  <r>
    <x v="1"/>
    <x v="24"/>
    <x v="20"/>
    <s v="МегаФон"/>
    <s v="Мебель"/>
    <s v="Работа с постоянными"/>
    <n v="500000"/>
    <s v="Отказ"/>
    <m/>
    <m/>
    <n v="75000"/>
  </r>
  <r>
    <x v="1"/>
    <x v="25"/>
    <x v="21"/>
    <s v="МегаФон"/>
    <s v="Мебель"/>
    <s v="Работа с постоянными"/>
    <n v="5000000"/>
    <s v="Закрыта"/>
    <m/>
    <m/>
    <n v="75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Яковиченко"/>
    <s v="Менеджер"/>
    <d v="2020-02-24T00:00:00"/>
    <x v="0"/>
    <n v="1"/>
    <m/>
    <s v="BP"/>
    <n v="3"/>
    <s v="3 000"/>
  </r>
  <r>
    <s v="Яковиченко"/>
    <s v="Менеджер"/>
    <d v="2020-01-29T00:00:00"/>
    <x v="1"/>
    <n v="3"/>
    <m/>
    <s v="BP"/>
    <n v="1"/>
    <s v="1 000"/>
  </r>
  <r>
    <s v="Яковиченко"/>
    <s v="Менеджер"/>
    <d v="2020-05-13T00:00:00"/>
    <x v="1"/>
    <n v="3"/>
    <m/>
    <s v="Royal Dutch Shell"/>
    <n v="6"/>
    <s v="6 000"/>
  </r>
  <r>
    <s v="Яковиченко"/>
    <s v="Менеджер"/>
    <d v="2020-04-01T00:00:00"/>
    <x v="1"/>
    <n v="3"/>
    <m/>
    <s v="Toyota Motor"/>
    <n v="4"/>
    <s v="4 000"/>
  </r>
  <r>
    <s v="Яковиченко"/>
    <s v="Менеджер"/>
    <d v="2020-05-15T00:00:00"/>
    <x v="2"/>
    <n v="5"/>
    <m/>
    <s v="Royal Dutch Shell"/>
    <n v="5"/>
    <s v="5 000"/>
  </r>
  <r>
    <s v="Яковиченко"/>
    <s v="Менеджер"/>
    <d v="2020-05-22T00:00:00"/>
    <x v="2"/>
    <n v="5"/>
    <m/>
    <s v="Toyota Motor"/>
    <n v="7"/>
    <s v="7 000"/>
  </r>
  <r>
    <s v="Яковиченко"/>
    <s v="Менеджер"/>
    <d v="2020-02-28T00:00:00"/>
    <x v="2"/>
    <n v="5"/>
    <m/>
    <s v="Walmart"/>
    <n v="7"/>
    <s v="7 000"/>
  </r>
  <r>
    <s v="Яковиченко"/>
    <s v="Менеджер"/>
    <d v="2020-06-30T00:00:00"/>
    <x v="3"/>
    <n v="2"/>
    <m/>
    <s v="Toyota Motor"/>
    <n v="5"/>
    <s v="5 000"/>
  </r>
  <r>
    <s v="Яковиченко"/>
    <s v="Менеджер"/>
    <d v="2020-06-23T00:00:00"/>
    <x v="3"/>
    <n v="2"/>
    <m/>
    <s v="BP"/>
    <n v="2"/>
    <s v="2 000"/>
  </r>
  <r>
    <s v="Яковиченко"/>
    <s v="Менеджер"/>
    <d v="2020-05-10T00:00:00"/>
    <x v="4"/>
    <n v="7"/>
    <m/>
    <s v="BP"/>
    <n v="8"/>
    <s v="8 000"/>
  </r>
  <r>
    <s v="Яковиченко"/>
    <s v="Другое"/>
    <d v="2020-01-07T00:00:00"/>
    <x v="3"/>
    <n v="2"/>
    <m/>
    <s v="BP"/>
    <n v="4"/>
    <s v="4 000"/>
  </r>
  <r>
    <s v="Яковиченко"/>
    <s v="Менеджер"/>
    <d v="2020-03-04T00:00:00"/>
    <x v="1"/>
    <n v="3"/>
    <m/>
    <s v="CVS Health"/>
    <n v="2"/>
    <s v="2 000"/>
  </r>
  <r>
    <s v="Яковиченко"/>
    <s v="Оператор"/>
    <d v="2020-02-24T00:00:00"/>
    <x v="0"/>
    <n v="1"/>
    <m/>
    <s v="Walmart"/>
    <n v="4"/>
    <s v="4 000"/>
  </r>
  <r>
    <s v="Яковиченко"/>
    <s v="Монтажер"/>
    <d v="2020-02-21T00:00:00"/>
    <x v="2"/>
    <n v="5"/>
    <m/>
    <s v="Apple"/>
    <n v="2"/>
    <s v="2 000"/>
  </r>
  <r>
    <s v="Яковиченко"/>
    <s v="Оператор"/>
    <d v="2020-02-24T00:00:00"/>
    <x v="0"/>
    <n v="1"/>
    <m/>
    <s v="Blackstone Group"/>
    <n v="2"/>
    <s v="2 000"/>
  </r>
  <r>
    <s v="Яковиченко"/>
    <s v="Монтажер"/>
    <d v="2020-02-03T00:00:00"/>
    <x v="0"/>
    <n v="1"/>
    <m/>
    <s v="Exxon Mobil"/>
    <n v="2"/>
    <s v="2 000"/>
  </r>
  <r>
    <s v="Яковиченко"/>
    <s v="Менеджер"/>
    <d v="2020-04-09T00:00:00"/>
    <x v="5"/>
    <n v="4"/>
    <m/>
    <s v="Wynn Resorts"/>
    <n v="1"/>
    <s v="1 000"/>
  </r>
  <r>
    <s v="Яковиченко"/>
    <s v="Менеджер"/>
    <d v="2020-11-28T00:00:00"/>
    <x v="6"/>
    <n v="6"/>
    <m/>
    <s v="Exxon Mobil"/>
    <n v="7"/>
    <s v="7 000"/>
  </r>
  <r>
    <s v="Яковиченко"/>
    <s v="Методист"/>
    <d v="2020-02-17T00:00:00"/>
    <x v="0"/>
    <n v="1"/>
    <m/>
    <s v="Blackstone Group"/>
    <n v="3"/>
    <s v="3 000"/>
  </r>
  <r>
    <s v="Яковиченко"/>
    <s v="Методист"/>
    <d v="2020-05-03T00:00:00"/>
    <x v="4"/>
    <n v="7"/>
    <m/>
    <s v="Toyota Motor"/>
    <n v="2"/>
    <s v="2 000"/>
  </r>
  <r>
    <s v="Яковиченко"/>
    <s v="Методист"/>
    <d v="2020-04-06T00:00:00"/>
    <x v="0"/>
    <n v="1"/>
    <m/>
    <s v="CVS Health"/>
    <n v="5"/>
    <s v="5 000"/>
  </r>
  <r>
    <s v="Яковиченко"/>
    <s v="Методист"/>
    <d v="2020-05-14T00:00:00"/>
    <x v="5"/>
    <n v="4"/>
    <m/>
    <s v="Blackstone Group"/>
    <n v="8"/>
    <s v="8 000"/>
  </r>
  <r>
    <s v="Яковиченко"/>
    <s v="Методист"/>
    <d v="2020-01-21T00:00:00"/>
    <x v="3"/>
    <n v="2"/>
    <m/>
    <s v="BP"/>
    <n v="2"/>
    <s v="2 000"/>
  </r>
  <r>
    <s v="Яковиченко"/>
    <s v="Менеджер"/>
    <d v="2020-01-25T00:00:00"/>
    <x v="6"/>
    <n v="6"/>
    <m/>
    <s v="CVS Health"/>
    <n v="2"/>
    <s v="2 000"/>
  </r>
  <r>
    <s v="Яковиченко"/>
    <s v="Менеджер"/>
    <d v="2020-03-04T00:00:00"/>
    <x v="1"/>
    <n v="3"/>
    <m/>
    <s v="Blackstone Group"/>
    <n v="6"/>
    <s v="6 000"/>
  </r>
  <r>
    <s v="Яковиченко"/>
    <s v="Менеджер"/>
    <d v="2020-01-10T00:00:00"/>
    <x v="2"/>
    <n v="5"/>
    <m/>
    <s v="BP"/>
    <n v="4"/>
    <s v="4 000"/>
  </r>
  <r>
    <s v="Яковиченко"/>
    <s v="Оператор"/>
    <d v="2020-06-02T00:00:00"/>
    <x v="3"/>
    <n v="2"/>
    <m/>
    <s v="Walmart"/>
    <n v="8"/>
    <s v="8 000"/>
  </r>
  <r>
    <s v="Яковиченко"/>
    <s v="Монтажер"/>
    <d v="2020-05-05T00:00:00"/>
    <x v="3"/>
    <n v="2"/>
    <m/>
    <s v="Northern Trust"/>
    <n v="8"/>
    <s v="8 000"/>
  </r>
  <r>
    <s v="Яковиченко"/>
    <s v="Менеджер"/>
    <d v="2020-06-21T00:00:00"/>
    <x v="4"/>
    <n v="7"/>
    <m/>
    <s v="Exxon Mobil"/>
    <n v="2"/>
    <s v="2 000"/>
  </r>
  <r>
    <s v="Яковиченко"/>
    <s v="Менеджер"/>
    <d v="2020-05-16T00:00:00"/>
    <x v="6"/>
    <n v="6"/>
    <m/>
    <s v="Blackstone Group"/>
    <n v="3"/>
    <s v="3 000"/>
  </r>
  <r>
    <s v="Яковиченко"/>
    <s v="Менеджер"/>
    <d v="2020-04-26T00:00:00"/>
    <x v="4"/>
    <n v="7"/>
    <m/>
    <s v="BP"/>
    <n v="8"/>
    <s v="8 000"/>
  </r>
  <r>
    <s v="Яковиченко"/>
    <s v="Оператор"/>
    <d v="2020-01-30T00:00:00"/>
    <x v="5"/>
    <n v="4"/>
    <m/>
    <s v="Exxon Mobil"/>
    <n v="7"/>
    <s v="7 000"/>
  </r>
  <r>
    <s v="Яковиченко"/>
    <s v="Другое"/>
    <d v="2020-01-22T00:00:00"/>
    <x v="1"/>
    <n v="3"/>
    <m/>
    <s v="Blackstone Group"/>
    <n v="1"/>
    <s v="1 000"/>
  </r>
  <r>
    <s v="Хабибуллина"/>
    <s v="Менеджер"/>
    <d v="2020-02-01T00:00:00"/>
    <x v="6"/>
    <n v="6"/>
    <m/>
    <s v="Apple"/>
    <n v="4"/>
    <s v="4 000"/>
  </r>
  <r>
    <s v="Хабибуллина"/>
    <s v="Менеджер"/>
    <d v="2020-04-29T00:00:00"/>
    <x v="1"/>
    <n v="3"/>
    <m/>
    <s v="Molson Coors Brewing"/>
    <n v="8"/>
    <s v="8 000"/>
  </r>
  <r>
    <s v="Хабибуллина"/>
    <s v="Менеджер"/>
    <d v="2020-01-07T00:00:00"/>
    <x v="3"/>
    <n v="2"/>
    <m/>
    <s v="Northern Trust"/>
    <n v="1"/>
    <s v="1 000"/>
  </r>
  <r>
    <s v="Хабибуллина"/>
    <s v="Менеджер"/>
    <d v="2020-01-07T00:00:00"/>
    <x v="3"/>
    <n v="2"/>
    <m/>
    <s v="Walmart"/>
    <n v="8"/>
    <s v="8 000"/>
  </r>
  <r>
    <s v="Хабибуллина"/>
    <s v="Менеджер"/>
    <d v="2020-04-30T00:00:00"/>
    <x v="5"/>
    <n v="4"/>
    <m/>
    <s v="Apple"/>
    <n v="6"/>
    <s v="6 000"/>
  </r>
  <r>
    <s v="Хабибуллина"/>
    <s v="Монтажер"/>
    <d v="2020-02-19T00:00:00"/>
    <x v="1"/>
    <n v="3"/>
    <m/>
    <s v="Walmart"/>
    <n v="1"/>
    <s v="1 000"/>
  </r>
  <r>
    <s v="Хабибуллина"/>
    <s v="Монтажер"/>
    <d v="2020-03-07T00:00:00"/>
    <x v="6"/>
    <n v="6"/>
    <m/>
    <s v="Royal Dutch Shell"/>
    <n v="6"/>
    <s v="6 000"/>
  </r>
  <r>
    <s v="Хабибуллина"/>
    <s v="Дизайнер"/>
    <d v="2020-02-02T00:00:00"/>
    <x v="4"/>
    <n v="7"/>
    <m/>
    <s v="Exxon Mobil"/>
    <n v="5"/>
    <s v="5 000"/>
  </r>
  <r>
    <s v="Хабибуллина"/>
    <s v="Дизайнер"/>
    <d v="2020-03-22T00:00:00"/>
    <x v="4"/>
    <n v="7"/>
    <m/>
    <s v="CVS Health"/>
    <n v="2"/>
    <s v="2 000"/>
  </r>
  <r>
    <s v="Хабибуллина"/>
    <s v="Менеджер"/>
    <d v="2020-04-29T00:00:00"/>
    <x v="1"/>
    <n v="3"/>
    <m/>
    <s v="Blackstone Group"/>
    <n v="1"/>
    <s v="1 000"/>
  </r>
  <r>
    <s v="Хабибуллина"/>
    <s v="Менеджер"/>
    <d v="2020-05-24T00:00:00"/>
    <x v="4"/>
    <n v="7"/>
    <m/>
    <s v="Walmart"/>
    <n v="2"/>
    <s v="2 000"/>
  </r>
  <r>
    <s v="Хабибуллина"/>
    <s v="Менеджер"/>
    <d v="2020-03-06T00:00:00"/>
    <x v="2"/>
    <n v="5"/>
    <m/>
    <s v="Toyota Motor"/>
    <n v="6"/>
    <s v="6 000"/>
  </r>
  <r>
    <s v="Хабибуллина"/>
    <s v="Менеджер"/>
    <d v="2020-05-12T00:00:00"/>
    <x v="3"/>
    <n v="2"/>
    <m/>
    <s v="Walmart"/>
    <n v="6"/>
    <s v="6 000"/>
  </r>
  <r>
    <s v="Хабибуллина"/>
    <s v="Менеджер"/>
    <d v="2020-04-19T00:00:00"/>
    <x v="4"/>
    <n v="7"/>
    <m/>
    <s v="Molson Coors Brewing"/>
    <n v="5"/>
    <s v="5 000"/>
  </r>
  <r>
    <s v="Хабибуллина"/>
    <s v="Менеджер"/>
    <d v="2020-05-21T00:00:00"/>
    <x v="5"/>
    <n v="4"/>
    <m/>
    <s v="Royal Dutch Shell"/>
    <n v="6"/>
    <s v="6 000"/>
  </r>
  <r>
    <s v="Хабибуллина"/>
    <s v="Менеджер"/>
    <d v="2020-06-25T00:00:00"/>
    <x v="5"/>
    <n v="4"/>
    <m/>
    <s v="Exxon Mobil"/>
    <n v="3"/>
    <s v="3 000"/>
  </r>
  <r>
    <s v="Хабибуллина"/>
    <s v="Менеджер"/>
    <d v="2020-06-22T00:00:00"/>
    <x v="0"/>
    <n v="1"/>
    <m/>
    <s v="Walmart"/>
    <n v="7"/>
    <s v="7 000"/>
  </r>
  <r>
    <s v="Хабибуллина"/>
    <s v="Оператор"/>
    <d v="2020-01-24T00:00:00"/>
    <x v="2"/>
    <n v="5"/>
    <m/>
    <s v="Walmart"/>
    <n v="3"/>
    <s v="3 000"/>
  </r>
  <r>
    <s v="Хабибуллина"/>
    <s v="Менеджер"/>
    <d v="2020-06-07T00:00:00"/>
    <x v="4"/>
    <n v="7"/>
    <m/>
    <s v="Molson Coors Brewing"/>
    <n v="5"/>
    <s v="5 000"/>
  </r>
  <r>
    <s v="Хабибуллина"/>
    <s v="Менеджер"/>
    <d v="2020-04-21T00:00:00"/>
    <x v="3"/>
    <n v="2"/>
    <m/>
    <s v="Wynn Resorts"/>
    <n v="4"/>
    <s v="4 000"/>
  </r>
  <r>
    <s v="Хабибуллина"/>
    <s v="Менеджер"/>
    <d v="2020-02-06T00:00:00"/>
    <x v="5"/>
    <n v="4"/>
    <m/>
    <s v="Wynn Resorts"/>
    <n v="3"/>
    <s v="3 000"/>
  </r>
  <r>
    <s v="Хабибуллина"/>
    <s v="Менеджер"/>
    <d v="2020-05-28T00:00:00"/>
    <x v="5"/>
    <n v="4"/>
    <m/>
    <s v="Molson Coors Brewing"/>
    <n v="5"/>
    <s v="5 000"/>
  </r>
  <r>
    <s v="Хабибуллина"/>
    <s v="Менеджер"/>
    <d v="2020-05-06T00:00:00"/>
    <x v="1"/>
    <n v="3"/>
    <m/>
    <s v="BP"/>
    <n v="2"/>
    <s v="2 000"/>
  </r>
  <r>
    <s v="Хабибуллина"/>
    <s v="Менеджер"/>
    <d v="2020-01-20T00:00:00"/>
    <x v="0"/>
    <n v="1"/>
    <m/>
    <s v="CVS Health"/>
    <n v="3"/>
    <s v="3 000"/>
  </r>
  <r>
    <s v="Хабибуллина"/>
    <s v="Менеджер"/>
    <d v="2020-04-13T00:00:00"/>
    <x v="0"/>
    <n v="1"/>
    <m/>
    <s v="Apple"/>
    <n v="6"/>
    <s v="6 000"/>
  </r>
  <r>
    <s v="Хабибуллина"/>
    <s v="Менеджер"/>
    <d v="2020-06-27T00:00:00"/>
    <x v="6"/>
    <n v="6"/>
    <m/>
    <s v="Blackstone Group"/>
    <n v="8"/>
    <s v="8 000"/>
  </r>
  <r>
    <s v="Хабибуллина"/>
    <s v="Менеджер"/>
    <d v="2020-05-09T00:00:00"/>
    <x v="6"/>
    <n v="6"/>
    <m/>
    <s v="Toyota Motor"/>
    <n v="8"/>
    <s v="8 000"/>
  </r>
  <r>
    <s v="Хабибуллина"/>
    <s v="Менеджер"/>
    <d v="2020-03-20T00:00:00"/>
    <x v="2"/>
    <n v="5"/>
    <m/>
    <s v="CVS Health"/>
    <n v="6"/>
    <s v="6 000"/>
  </r>
  <r>
    <s v="Хабибуллина"/>
    <s v="Менеджер"/>
    <d v="2020-05-07T00:00:00"/>
    <x v="5"/>
    <n v="4"/>
    <m/>
    <s v="BP"/>
    <n v="4"/>
    <s v="4 000"/>
  </r>
  <r>
    <s v="Хабибуллина"/>
    <s v="Менеджер"/>
    <d v="2020-02-20T00:00:00"/>
    <x v="5"/>
    <n v="4"/>
    <m/>
    <s v="Wynn Resorts"/>
    <n v="5"/>
    <s v="5 000"/>
  </r>
  <r>
    <s v="Хабибуллина"/>
    <s v="Менеджер"/>
    <d v="2020-02-07T00:00:00"/>
    <x v="2"/>
    <n v="5"/>
    <m/>
    <s v="Royal Dutch Shell"/>
    <n v="4"/>
    <s v="4 000"/>
  </r>
  <r>
    <s v="Хабибуллина"/>
    <s v="Монтажер"/>
    <d v="2020-03-23T00:00:00"/>
    <x v="0"/>
    <n v="1"/>
    <m/>
    <s v="Walmart"/>
    <n v="4"/>
    <s v="4 000"/>
  </r>
  <r>
    <s v="Хабибуллина"/>
    <s v="Менеджер"/>
    <d v="2020-04-03T00:00:00"/>
    <x v="2"/>
    <n v="5"/>
    <m/>
    <s v="Toyota Motor"/>
    <n v="3"/>
    <s v="3 000"/>
  </r>
  <r>
    <s v="Хабибуллина"/>
    <s v="Менеджер"/>
    <d v="2020-02-23T00:00:00"/>
    <x v="4"/>
    <n v="7"/>
    <m/>
    <s v="Molson Coors Brewing"/>
    <n v="3"/>
    <s v="3 000"/>
  </r>
  <r>
    <s v="Хабибуллина"/>
    <s v="Менеджер"/>
    <d v="2020-01-13T00:00:00"/>
    <x v="0"/>
    <n v="1"/>
    <m/>
    <s v="Blackstone Group"/>
    <n v="8"/>
    <s v="8 000"/>
  </r>
  <r>
    <s v="Хабибуллина"/>
    <s v="Монтажер"/>
    <d v="2020-06-22T00:00:00"/>
    <x v="0"/>
    <n v="1"/>
    <m/>
    <s v="BP"/>
    <n v="7"/>
    <s v="7 000"/>
  </r>
  <r>
    <s v="Хабибуллина"/>
    <s v="Менеджер"/>
    <d v="2020-12-12T00:00:00"/>
    <x v="6"/>
    <n v="6"/>
    <m/>
    <s v="Royal Dutch Shell"/>
    <n v="2"/>
    <s v="2 000"/>
  </r>
  <r>
    <s v="Хабибуллина"/>
    <s v="Менеджер"/>
    <d v="2020-04-24T00:00:00"/>
    <x v="2"/>
    <n v="5"/>
    <m/>
    <s v="Wynn Resorts"/>
    <n v="2"/>
    <s v="2 000"/>
  </r>
  <r>
    <s v="Хабибуллина"/>
    <s v="Менеджер"/>
    <d v="2020-06-03T00:00:00"/>
    <x v="1"/>
    <n v="3"/>
    <m/>
    <s v="Toyota Motor"/>
    <n v="5"/>
    <s v="5 000"/>
  </r>
  <r>
    <s v="Хабибуллина"/>
    <s v="Монтажер"/>
    <d v="2020-04-18T00:00:00"/>
    <x v="6"/>
    <n v="6"/>
    <m/>
    <s v="Exxon Mobil"/>
    <n v="4"/>
    <s v="4 000"/>
  </r>
  <r>
    <s v="Хабибуллина"/>
    <s v="Другое"/>
    <d v="2020-02-17T00:00:00"/>
    <x v="0"/>
    <n v="1"/>
    <m/>
    <s v="Walmart"/>
    <n v="2"/>
    <s v="2 000"/>
  </r>
  <r>
    <s v="Хабибуллина"/>
    <s v="Менеджер"/>
    <d v="2020-05-25T00:00:00"/>
    <x v="0"/>
    <n v="1"/>
    <m/>
    <s v="Wynn Resorts"/>
    <n v="8"/>
    <s v="8 000"/>
  </r>
  <r>
    <s v="Хабибуллина"/>
    <s v="Менеджер"/>
    <d v="2020-06-07T00:00:00"/>
    <x v="4"/>
    <n v="7"/>
    <m/>
    <s v="Wynn Resorts"/>
    <n v="5"/>
    <s v="5 000"/>
  </r>
  <r>
    <s v="Хабибуллина"/>
    <s v="Менеджер"/>
    <d v="2020-02-12T00:00:00"/>
    <x v="1"/>
    <n v="3"/>
    <m/>
    <s v="Walmart"/>
    <n v="7"/>
    <s v="7 000"/>
  </r>
  <r>
    <s v="Хабибуллина"/>
    <s v="Менеджер"/>
    <d v="2020-03-14T00:00:00"/>
    <x v="6"/>
    <n v="6"/>
    <m/>
    <s v="Exxon Mobil"/>
    <n v="2"/>
    <s v="2 000"/>
  </r>
  <r>
    <s v="Хабибуллина"/>
    <s v="Менеджер"/>
    <d v="2020-03-10T00:00:00"/>
    <x v="3"/>
    <n v="2"/>
    <m/>
    <s v="Wynn Resorts"/>
    <n v="3"/>
    <s v="3 000"/>
  </r>
  <r>
    <s v="Хабибуллина"/>
    <s v="Менеджер"/>
    <d v="2020-03-27T00:00:00"/>
    <x v="2"/>
    <n v="5"/>
    <m/>
    <s v="Blackstone Group"/>
    <n v="8"/>
    <s v="8 000"/>
  </r>
  <r>
    <s v="Хабибуллина"/>
    <s v="Менеджер"/>
    <d v="2020-01-13T00:00:00"/>
    <x v="0"/>
    <n v="1"/>
    <m/>
    <s v="Apple"/>
    <n v="6"/>
    <s v="6 000"/>
  </r>
  <r>
    <s v="Хабибуллина"/>
    <s v="Менеджер"/>
    <d v="2020-01-19T00:00:00"/>
    <x v="4"/>
    <n v="7"/>
    <m/>
    <s v="Walmart"/>
    <n v="5"/>
    <s v="5 000"/>
  </r>
  <r>
    <s v="Хабибуллина"/>
    <s v="Менеджер"/>
    <d v="2020-03-09T00:00:00"/>
    <x v="0"/>
    <n v="1"/>
    <m/>
    <s v="BP"/>
    <n v="8"/>
    <s v="8 000"/>
  </r>
  <r>
    <s v="Хабибуллина"/>
    <s v="Менеджер"/>
    <d v="2020-06-14T00:00:00"/>
    <x v="4"/>
    <n v="7"/>
    <m/>
    <s v="Blackstone Group"/>
    <n v="6"/>
    <s v="6 000"/>
  </r>
  <r>
    <s v="Хабибуллина"/>
    <s v="Менеджер"/>
    <d v="2020-06-22T00:00:00"/>
    <x v="0"/>
    <n v="1"/>
    <m/>
    <s v="Molson Coors Brewing"/>
    <n v="7"/>
    <s v="7 000"/>
  </r>
  <r>
    <s v="Хабибуллина"/>
    <s v="Менеджер"/>
    <d v="2020-02-08T00:00:00"/>
    <x v="6"/>
    <n v="6"/>
    <m/>
    <s v="Exxon Mobil"/>
    <n v="1"/>
    <s v="1 000"/>
  </r>
  <r>
    <s v="Хабибуллина"/>
    <s v="Менеджер"/>
    <d v="2020-06-24T00:00:00"/>
    <x v="1"/>
    <n v="3"/>
    <m/>
    <s v="CVS Health"/>
    <n v="1"/>
    <s v="1 000"/>
  </r>
  <r>
    <s v="Хабибуллина"/>
    <s v="Менеджер"/>
    <d v="2020-01-03T00:00:00"/>
    <x v="2"/>
    <n v="5"/>
    <m/>
    <s v="Northern Trust"/>
    <n v="1"/>
    <s v="1 000"/>
  </r>
  <r>
    <s v="Хабибуллина"/>
    <s v="Менеджер"/>
    <d v="2020-06-23T00:00:00"/>
    <x v="3"/>
    <n v="2"/>
    <m/>
    <s v="Apple"/>
    <n v="7"/>
    <s v="7 000"/>
  </r>
  <r>
    <s v="Хабибуллина"/>
    <s v="Менеджер"/>
    <d v="2020-01-28T00:00:00"/>
    <x v="3"/>
    <n v="2"/>
    <m/>
    <s v="BP"/>
    <n v="4"/>
    <s v="4 000"/>
  </r>
  <r>
    <s v="Хабибуллина"/>
    <s v="Менеджер"/>
    <d v="2020-03-30T00:00:00"/>
    <x v="0"/>
    <n v="1"/>
    <m/>
    <s v="Blackstone Group"/>
    <n v="1"/>
    <s v="1 000"/>
  </r>
  <r>
    <s v="Хабибуллина"/>
    <s v="Менеджер"/>
    <d v="2020-02-23T00:00:00"/>
    <x v="4"/>
    <n v="7"/>
    <m/>
    <s v="Walmart"/>
    <n v="5"/>
    <s v="5 000"/>
  </r>
  <r>
    <s v="Хабибуллина"/>
    <s v="Менеджер"/>
    <d v="2020-02-06T00:00:00"/>
    <x v="5"/>
    <n v="4"/>
    <m/>
    <s v="Walmart"/>
    <n v="7"/>
    <s v="7 000"/>
  </r>
  <r>
    <s v="Хабибуллина"/>
    <s v="Монтажер"/>
    <d v="2020-06-28T00:00:00"/>
    <x v="4"/>
    <n v="7"/>
    <m/>
    <s v="Northern Trust"/>
    <n v="2"/>
    <s v="2 000"/>
  </r>
  <r>
    <s v="Хабибуллина"/>
    <s v="Менеджер"/>
    <d v="2020-05-27T00:00:00"/>
    <x v="1"/>
    <n v="3"/>
    <m/>
    <s v="Toyota Motor"/>
    <n v="6"/>
    <s v="6 000"/>
  </r>
  <r>
    <s v="Хабибуллина"/>
    <s v="Менеджер"/>
    <d v="2020-01-17T00:00:00"/>
    <x v="2"/>
    <n v="5"/>
    <m/>
    <s v="Wynn Resorts"/>
    <n v="4"/>
    <s v="4 000"/>
  </r>
  <r>
    <s v="Хабибуллина"/>
    <s v="Менеджер"/>
    <d v="2020-05-11T00:00:00"/>
    <x v="0"/>
    <n v="1"/>
    <m/>
    <s v="Apple"/>
    <n v="6"/>
    <s v="6 000"/>
  </r>
  <r>
    <s v="Хабибуллина"/>
    <s v="Методист"/>
    <d v="2020-01-20T00:00:00"/>
    <x v="0"/>
    <n v="1"/>
    <m/>
    <s v="BP"/>
    <n v="4"/>
    <s v="4 000"/>
  </r>
  <r>
    <s v="Хабибуллина"/>
    <s v="Монтажер"/>
    <d v="2020-06-06T00:00:00"/>
    <x v="6"/>
    <n v="6"/>
    <m/>
    <s v="CVS Health"/>
    <n v="5"/>
    <s v="5 000"/>
  </r>
  <r>
    <s v="Хабибуллина"/>
    <s v="Менеджер"/>
    <d v="2020-03-04T00:00:00"/>
    <x v="1"/>
    <n v="3"/>
    <m/>
    <s v="Northern Trust"/>
    <n v="6"/>
    <s v="6 000"/>
  </r>
  <r>
    <s v="Хабибуллина"/>
    <s v="Менеджер"/>
    <d v="2020-01-16T00:00:00"/>
    <x v="5"/>
    <n v="4"/>
    <m/>
    <s v="Walmart"/>
    <n v="1"/>
    <s v="1 000"/>
  </r>
  <r>
    <s v="Хабибуллина"/>
    <s v="Менеджер"/>
    <d v="2020-05-27T00:00:00"/>
    <x v="1"/>
    <n v="3"/>
    <m/>
    <s v="Blackstone Group"/>
    <n v="4"/>
    <s v="4 000"/>
  </r>
  <r>
    <s v="Хабибуллина"/>
    <s v="Менеджер"/>
    <d v="2020-02-22T00:00:00"/>
    <x v="6"/>
    <n v="6"/>
    <m/>
    <s v="CVS Health"/>
    <n v="5"/>
    <s v="5 000"/>
  </r>
  <r>
    <s v="Хабибуллина"/>
    <s v="Оператор"/>
    <d v="2020-06-01T00:00:00"/>
    <x v="0"/>
    <n v="1"/>
    <m/>
    <s v="Apple"/>
    <n v="5"/>
    <s v="5 000"/>
  </r>
  <r>
    <s v="Хабибуллина"/>
    <s v="Менеджер"/>
    <d v="2020-05-05T00:00:00"/>
    <x v="3"/>
    <n v="2"/>
    <m/>
    <s v="CVS Health"/>
    <n v="7"/>
    <s v="7 000"/>
  </r>
  <r>
    <s v="Хабибуллина"/>
    <s v="Монтажер"/>
    <d v="2020-06-13T00:00:00"/>
    <x v="6"/>
    <n v="6"/>
    <m/>
    <s v="Molson Coors Brewing"/>
    <n v="4"/>
    <s v="4 000"/>
  </r>
  <r>
    <s v="Хабибуллина"/>
    <s v="Методист"/>
    <d v="2020-01-29T00:00:00"/>
    <x v="1"/>
    <n v="3"/>
    <m/>
    <s v="Toyota Motor"/>
    <n v="5"/>
    <s v="5 000"/>
  </r>
  <r>
    <s v="Хабибуллина"/>
    <s v="Менеджер"/>
    <d v="2020-04-17T00:00:00"/>
    <x v="2"/>
    <n v="5"/>
    <m/>
    <s v="CVS Health"/>
    <n v="1"/>
    <s v="1 000"/>
  </r>
  <r>
    <s v="Хабибуллина"/>
    <s v="Менеджер"/>
    <d v="2020-03-16T00:00:00"/>
    <x v="0"/>
    <n v="1"/>
    <m/>
    <s v="Apple"/>
    <n v="2"/>
    <s v="2 000"/>
  </r>
  <r>
    <s v="Хабибуллина"/>
    <s v="Монтажер"/>
    <d v="2020-06-01T00:00:00"/>
    <x v="0"/>
    <n v="1"/>
    <m/>
    <s v="Royal Dutch Shell"/>
    <n v="4"/>
    <s v="4 000"/>
  </r>
  <r>
    <s v="Хабибуллина"/>
    <s v="Монтажер"/>
    <d v="2020-02-16T00:00:00"/>
    <x v="4"/>
    <n v="7"/>
    <m/>
    <s v="Exxon Mobil"/>
    <n v="7"/>
    <s v="7 000"/>
  </r>
  <r>
    <s v="Хабибуллина"/>
    <s v="Менеджер"/>
    <d v="2020-06-11T00:00:00"/>
    <x v="5"/>
    <n v="4"/>
    <m/>
    <s v="Wynn Resorts"/>
    <n v="6"/>
    <s v="6 000"/>
  </r>
  <r>
    <s v="Хабибуллина"/>
    <s v="Менеджер"/>
    <d v="2020-02-09T00:00:00"/>
    <x v="4"/>
    <n v="7"/>
    <m/>
    <s v="Walmart"/>
    <n v="7"/>
    <s v="7 000"/>
  </r>
  <r>
    <s v="Хабибуллина"/>
    <s v="Методист"/>
    <d v="2020-01-14T00:00:00"/>
    <x v="3"/>
    <n v="2"/>
    <m/>
    <s v="Walmart"/>
    <n v="1"/>
    <s v="1 000"/>
  </r>
  <r>
    <s v="Хабибуллина"/>
    <s v="Менеджер"/>
    <d v="2020-04-21T00:00:00"/>
    <x v="3"/>
    <n v="2"/>
    <m/>
    <s v="Apple"/>
    <n v="2"/>
    <s v="2 000"/>
  </r>
  <r>
    <s v="Хабибуллина"/>
    <s v="Монтажер"/>
    <d v="2020-04-14T00:00:00"/>
    <x v="3"/>
    <n v="2"/>
    <m/>
    <s v="BP"/>
    <n v="3"/>
    <s v="3 000"/>
  </r>
  <r>
    <s v="Хабибуллина"/>
    <s v="Монтажер"/>
    <d v="2020-01-21T00:00:00"/>
    <x v="3"/>
    <n v="2"/>
    <m/>
    <s v="CVS Health"/>
    <n v="1"/>
    <s v="1 000"/>
  </r>
  <r>
    <s v="Хабибуллина"/>
    <s v="Менеджер"/>
    <d v="2020-06-12T00:00:00"/>
    <x v="2"/>
    <n v="5"/>
    <m/>
    <s v="Walmart"/>
    <n v="4"/>
    <s v="4 000"/>
  </r>
  <r>
    <s v="Хабибуллина"/>
    <s v="Другое"/>
    <d v="2020-05-08T00:00:00"/>
    <x v="2"/>
    <n v="5"/>
    <m/>
    <s v="Walmart"/>
    <n v="3"/>
    <s v="3 000"/>
  </r>
  <r>
    <s v="Хабибуллина"/>
    <s v="Менеджер"/>
    <d v="2020-02-06T00:00:00"/>
    <x v="5"/>
    <n v="4"/>
    <m/>
    <s v="Molson Coors Brewing"/>
    <n v="2"/>
    <s v="2 000"/>
  </r>
  <r>
    <s v="Хабибуллина"/>
    <s v="Менеджер"/>
    <d v="2020-03-20T00:00:00"/>
    <x v="2"/>
    <n v="5"/>
    <m/>
    <s v="Toyota Motor"/>
    <n v="5"/>
    <s v="5 000"/>
  </r>
  <r>
    <s v="Хабибуллина"/>
    <s v="Менеджер"/>
    <d v="2020-02-11T00:00:00"/>
    <x v="3"/>
    <n v="2"/>
    <m/>
    <s v="Blackstone Group"/>
    <n v="6"/>
    <s v="6 000"/>
  </r>
  <r>
    <s v="Серых"/>
    <s v="Менеджер"/>
    <d v="2020-04-26T00:00:00"/>
    <x v="4"/>
    <n v="7"/>
    <m/>
    <s v="Apple"/>
    <n v="3"/>
    <s v="3 000"/>
  </r>
  <r>
    <s v="Серых"/>
    <s v="Менеджер"/>
    <d v="2020-01-05T00:00:00"/>
    <x v="4"/>
    <n v="7"/>
    <m/>
    <s v="Northern Trust"/>
    <n v="6"/>
    <s v="6 000"/>
  </r>
  <r>
    <s v="Серых"/>
    <s v="Менеджер"/>
    <d v="2020-01-12T00:00:00"/>
    <x v="4"/>
    <n v="7"/>
    <m/>
    <s v="Toyota Motor"/>
    <n v="1"/>
    <s v="1 000"/>
  </r>
  <r>
    <s v="Серых"/>
    <s v="Менеджер"/>
    <d v="2020-01-05T00:00:00"/>
    <x v="4"/>
    <n v="7"/>
    <m/>
    <s v="Exxon Mobil"/>
    <n v="7"/>
    <s v="7 000"/>
  </r>
  <r>
    <s v="Серых"/>
    <s v="Менеджер"/>
    <d v="2020-06-14T00:00:00"/>
    <x v="4"/>
    <n v="7"/>
    <m/>
    <s v="CVS Health"/>
    <n v="6"/>
    <s v="6 000"/>
  </r>
  <r>
    <s v="Серых"/>
    <s v="Менеджер"/>
    <d v="2020-02-07T00:00:00"/>
    <x v="2"/>
    <n v="5"/>
    <m/>
    <s v="Apple"/>
    <n v="2"/>
    <s v="2 000"/>
  </r>
  <r>
    <s v="Серых"/>
    <s v="Менеджер"/>
    <d v="2020-02-09T00:00:00"/>
    <x v="4"/>
    <n v="7"/>
    <m/>
    <s v="Walmart"/>
    <n v="4"/>
    <s v="4 000"/>
  </r>
  <r>
    <s v="Серых"/>
    <s v="Менеджер"/>
    <d v="2020-04-07T00:00:00"/>
    <x v="3"/>
    <n v="2"/>
    <m/>
    <s v="Royal Dutch Shell"/>
    <n v="4"/>
    <s v="4 000"/>
  </r>
  <r>
    <s v="Серых"/>
    <s v="Менеджер"/>
    <d v="2020-05-21T00:00:00"/>
    <x v="5"/>
    <n v="4"/>
    <m/>
    <s v="Northern Trust"/>
    <n v="5"/>
    <s v="5 000"/>
  </r>
  <r>
    <s v="Серых"/>
    <s v="Менеджер"/>
    <d v="2020-02-09T00:00:00"/>
    <x v="4"/>
    <n v="7"/>
    <m/>
    <s v="Apple"/>
    <n v="1"/>
    <s v="1 000"/>
  </r>
  <r>
    <s v="Серых"/>
    <s v="Менеджер"/>
    <d v="2020-02-21T00:00:00"/>
    <x v="2"/>
    <n v="5"/>
    <m/>
    <s v="BP"/>
    <n v="3"/>
    <s v="3 000"/>
  </r>
  <r>
    <s v="Серых"/>
    <s v="Менеджер"/>
    <d v="2020-02-10T00:00:00"/>
    <x v="0"/>
    <n v="1"/>
    <m/>
    <s v="Wynn Resorts"/>
    <n v="7"/>
    <s v="7 000"/>
  </r>
  <r>
    <s v="Серых"/>
    <s v="Менеджер"/>
    <d v="2020-04-01T00:00:00"/>
    <x v="1"/>
    <n v="3"/>
    <m/>
    <s v="Royal Dutch Shell"/>
    <n v="6"/>
    <s v="6 000"/>
  </r>
  <r>
    <s v="Серых"/>
    <s v="Менеджер"/>
    <d v="2020-03-17T00:00:00"/>
    <x v="3"/>
    <n v="2"/>
    <m/>
    <s v="Royal Dutch Shell"/>
    <n v="7"/>
    <s v="7 000"/>
  </r>
  <r>
    <s v="Серых"/>
    <s v="Менеджер"/>
    <d v="2020-03-12T00:00:00"/>
    <x v="5"/>
    <n v="4"/>
    <m/>
    <s v="CVS Health"/>
    <n v="6"/>
    <s v="6 000"/>
  </r>
  <r>
    <s v="Серых"/>
    <s v="Методист"/>
    <d v="2020-05-15T00:00:00"/>
    <x v="2"/>
    <n v="5"/>
    <m/>
    <s v="Royal Dutch Shell"/>
    <n v="1"/>
    <s v="1 000"/>
  </r>
  <r>
    <s v="Серых"/>
    <s v="Менеджер"/>
    <d v="2020-03-13T00:00:00"/>
    <x v="2"/>
    <n v="5"/>
    <m/>
    <s v="CVS Health"/>
    <n v="7"/>
    <s v="7 000"/>
  </r>
  <r>
    <s v="Серых"/>
    <s v="Менеджер"/>
    <d v="2020-03-27T00:00:00"/>
    <x v="2"/>
    <n v="5"/>
    <m/>
    <s v="CVS Health"/>
    <n v="3"/>
    <s v="3 000"/>
  </r>
  <r>
    <s v="Серых"/>
    <s v="Методист"/>
    <d v="2020-05-21T00:00:00"/>
    <x v="5"/>
    <n v="4"/>
    <m/>
    <s v="Toyota Motor"/>
    <n v="3"/>
    <s v="3 000"/>
  </r>
  <r>
    <s v="Серых"/>
    <s v="Менеджер"/>
    <d v="2020-06-26T00:00:00"/>
    <x v="2"/>
    <n v="5"/>
    <m/>
    <s v="Royal Dutch Shell"/>
    <n v="4"/>
    <s v="4 000"/>
  </r>
  <r>
    <s v="Серых"/>
    <s v="Оператор"/>
    <d v="2020-06-22T00:00:00"/>
    <x v="0"/>
    <n v="1"/>
    <m/>
    <s v="Apple"/>
    <n v="2"/>
    <s v="2 000"/>
  </r>
  <r>
    <s v="Серых"/>
    <s v="Другое"/>
    <d v="2020-03-10T00:00:00"/>
    <x v="3"/>
    <n v="2"/>
    <m/>
    <s v="Northern Trust"/>
    <n v="1"/>
    <s v="1 000"/>
  </r>
  <r>
    <s v="Серых"/>
    <s v="Менеджер"/>
    <d v="2020-03-19T00:00:00"/>
    <x v="5"/>
    <n v="4"/>
    <m/>
    <s v="Wynn Resorts"/>
    <n v="1"/>
    <s v="1 000"/>
  </r>
  <r>
    <s v="Серых"/>
    <s v="Менеджер"/>
    <d v="2020-03-16T00:00:00"/>
    <x v="0"/>
    <n v="1"/>
    <m/>
    <s v="Blackstone Group"/>
    <n v="6"/>
    <s v="6 000"/>
  </r>
  <r>
    <s v="Серых"/>
    <s v="Менеджер"/>
    <d v="2020-03-13T00:00:00"/>
    <x v="2"/>
    <n v="5"/>
    <m/>
    <s v="Apple"/>
    <n v="5"/>
    <s v="5 000"/>
  </r>
  <r>
    <s v="Серых"/>
    <s v="Методист"/>
    <d v="2020-03-19T00:00:00"/>
    <x v="5"/>
    <n v="4"/>
    <m/>
    <s v="Molson Coors Brewing"/>
    <n v="3"/>
    <s v="3 000"/>
  </r>
  <r>
    <s v="Серых"/>
    <s v="Менеджер"/>
    <d v="2020-03-08T00:00:00"/>
    <x v="4"/>
    <n v="7"/>
    <m/>
    <s v="Toyota Motor"/>
    <n v="4"/>
    <s v="4 000"/>
  </r>
  <r>
    <s v="Серых"/>
    <s v="Менеджер"/>
    <d v="2020-01-07T00:00:00"/>
    <x v="3"/>
    <n v="2"/>
    <m/>
    <s v="Blackstone Group"/>
    <n v="3"/>
    <s v="3 000"/>
  </r>
  <r>
    <s v="Серых"/>
    <s v="Менеджер"/>
    <d v="2020-03-09T00:00:00"/>
    <x v="0"/>
    <n v="1"/>
    <m/>
    <s v="Apple"/>
    <n v="6"/>
    <s v="6 000"/>
  </r>
  <r>
    <s v="Серых"/>
    <s v="Менеджер"/>
    <d v="2020-06-13T00:00:00"/>
    <x v="6"/>
    <n v="6"/>
    <m/>
    <s v="Exxon Mobil"/>
    <n v="2"/>
    <s v="2 000"/>
  </r>
  <r>
    <s v="Серых"/>
    <s v="Менеджер"/>
    <d v="2020-04-01T00:00:00"/>
    <x v="1"/>
    <n v="3"/>
    <m/>
    <s v="Blackstone Group"/>
    <n v="5"/>
    <s v="5 000"/>
  </r>
  <r>
    <s v="Серых"/>
    <s v="Методист"/>
    <d v="2020-06-19T00:00:00"/>
    <x v="2"/>
    <n v="5"/>
    <m/>
    <s v="Toyota Motor"/>
    <n v="2"/>
    <s v="2 000"/>
  </r>
  <r>
    <s v="Серых"/>
    <s v="Монтажер"/>
    <d v="2020-02-29T00:00:00"/>
    <x v="6"/>
    <n v="6"/>
    <m/>
    <s v="Royal Dutch Shell"/>
    <n v="2"/>
    <s v="2 000"/>
  </r>
  <r>
    <s v="Серых"/>
    <s v="Менеджер"/>
    <d v="2020-05-16T00:00:00"/>
    <x v="6"/>
    <n v="6"/>
    <m/>
    <s v="Northern Trust"/>
    <n v="4"/>
    <s v="4 000"/>
  </r>
  <r>
    <s v="Серых"/>
    <s v="Менеджер"/>
    <d v="2020-01-02T00:00:00"/>
    <x v="5"/>
    <n v="4"/>
    <m/>
    <s v="Walmart"/>
    <n v="1"/>
    <s v="1 000"/>
  </r>
  <r>
    <s v="Серых"/>
    <s v="Менеджер"/>
    <d v="2020-02-07T00:00:00"/>
    <x v="2"/>
    <n v="5"/>
    <m/>
    <s v="Toyota Motor"/>
    <n v="4"/>
    <s v="4 000"/>
  </r>
  <r>
    <s v="Серых"/>
    <s v="Менеджер"/>
    <d v="2020-12-01T00:00:00"/>
    <x v="3"/>
    <n v="2"/>
    <m/>
    <s v="BP"/>
    <n v="1"/>
    <s v="1 000"/>
  </r>
  <r>
    <s v="Серых"/>
    <s v="Оператор"/>
    <d v="2020-01-25T00:00:00"/>
    <x v="6"/>
    <n v="6"/>
    <m/>
    <s v="BP"/>
    <n v="6"/>
    <s v="6 000"/>
  </r>
  <r>
    <s v="Серых"/>
    <s v="Менеджер"/>
    <d v="2020-06-15T00:00:00"/>
    <x v="0"/>
    <n v="1"/>
    <m/>
    <s v="Royal Dutch Shell"/>
    <n v="4"/>
    <s v="4 000"/>
  </r>
  <r>
    <s v="Серых"/>
    <s v="Менеджер"/>
    <d v="2020-01-03T00:00:00"/>
    <x v="2"/>
    <n v="5"/>
    <m/>
    <s v="Apple"/>
    <n v="7"/>
    <s v="7 000"/>
  </r>
  <r>
    <s v="Серых"/>
    <s v="Менеджер"/>
    <d v="2020-06-17T00:00:00"/>
    <x v="1"/>
    <n v="3"/>
    <m/>
    <s v="Toyota Motor"/>
    <n v="5"/>
    <s v="5 000"/>
  </r>
  <r>
    <s v="Серых"/>
    <s v="Менеджер"/>
    <d v="2020-02-01T00:00:00"/>
    <x v="6"/>
    <n v="6"/>
    <m/>
    <s v="Toyota Motor"/>
    <n v="2"/>
    <s v="2 000"/>
  </r>
  <r>
    <s v="Серых"/>
    <s v="Менеджер"/>
    <d v="2020-05-18T00:00:00"/>
    <x v="0"/>
    <n v="1"/>
    <m/>
    <s v="Apple"/>
    <n v="5"/>
    <s v="5 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7EDA6-C63D-4BB5-80F8-9E5ECD9C364C}" name="Сводная таблица1" cacheId="1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Номер недели">
  <location ref="A3:B26" firstHeaderRow="1" firstDataRow="1" firstDataCol="1"/>
  <pivotFields count="13">
    <pivotField dataField="1" showAll="0">
      <items count="3">
        <item x="0"/>
        <item x="1"/>
        <item t="default"/>
      </items>
    </pivotField>
    <pivotField numFmtId="14" showAll="0">
      <items count="27">
        <item x="14"/>
        <item x="18"/>
        <item x="8"/>
        <item x="1"/>
        <item x="23"/>
        <item x="4"/>
        <item x="2"/>
        <item x="6"/>
        <item x="0"/>
        <item x="17"/>
        <item x="21"/>
        <item x="9"/>
        <item x="12"/>
        <item x="11"/>
        <item x="15"/>
        <item x="13"/>
        <item x="19"/>
        <item x="3"/>
        <item x="20"/>
        <item x="5"/>
        <item x="24"/>
        <item x="22"/>
        <item x="25"/>
        <item x="10"/>
        <item x="16"/>
        <item x="7"/>
        <item t="default"/>
      </items>
    </pivotField>
    <pivotField axis="axisRow" numFmtId="1" showAll="0">
      <items count="23">
        <item x="13"/>
        <item x="7"/>
        <item x="1"/>
        <item x="4"/>
        <item x="2"/>
        <item x="0"/>
        <item x="15"/>
        <item x="18"/>
        <item x="8"/>
        <item x="11"/>
        <item x="10"/>
        <item x="14"/>
        <item x="12"/>
        <item x="16"/>
        <item x="3"/>
        <item x="17"/>
        <item x="5"/>
        <item x="20"/>
        <item x="19"/>
        <item x="21"/>
        <item x="9"/>
        <item x="6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Количество сделок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73134-3D3D-4B02-A21C-4CD2FB45D910}" name="Сводная таблица2" cacheId="1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11" firstHeaderRow="1" firstDataRow="1" firstDataCol="1"/>
  <pivotFields count="9">
    <pivotField showAll="0"/>
    <pivotField showAll="0"/>
    <pivotField numFmtId="14" showAll="0"/>
    <pivotField axis="axisRow" showAll="0">
      <items count="8">
        <item x="0"/>
        <item x="3"/>
        <item x="1"/>
        <item x="5"/>
        <item x="2"/>
        <item x="6"/>
        <item x="4"/>
        <item t="default"/>
      </items>
    </pivotField>
    <pivotField numFmtId="1" showAll="0"/>
    <pivotField showAll="0"/>
    <pivotField showAll="0"/>
    <pivotField dataField="1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Среднее по полю Кол-во часов" fld="7" subtotal="average" baseField="3" baseItem="2"/>
  </dataFields>
  <formats count="2">
    <format dxfId="19">
      <pivotArea collapsedLevelsAreSubtotals="1" fieldPosition="0">
        <references count="1">
          <reference field="3" count="0"/>
        </references>
      </pivotArea>
    </format>
    <format dxfId="1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36B168-416F-45AB-BC75-D138E6F84118}" name="Таблица3" displayName="Таблица3" ref="A1:K29" totalsRowShown="0" headerRowDxfId="35">
  <autoFilter ref="A1:K29" xr:uid="{A25A7744-19F6-4FB0-B3AC-2475B09504E1}"/>
  <tableColumns count="11">
    <tableColumn id="1" xr3:uid="{0AECE3BA-9985-4730-8DE0-961F8AB75110}" name="Менеджер"/>
    <tableColumn id="2" xr3:uid="{DAA92CE1-2B6F-4FC4-845F-0EFBBE0B77E6}" name="Дата первой встречи" dataDxfId="29"/>
    <tableColumn id="12" xr3:uid="{BB1B9974-8FD2-4B0B-9719-137FB5D46717}" name="Неделя" dataDxfId="28">
      <calculatedColumnFormula>WEEKNUM(Таблица3[[#This Row],[Дата первой встречи]])</calculatedColumnFormula>
    </tableColumn>
    <tableColumn id="3" xr3:uid="{F15ADCA8-5C1D-4ED0-AF51-BEB1E5D153BE}" name="Компания-клиент"/>
    <tableColumn id="4" xr3:uid="{7A1C10C8-633B-4C01-9FEB-7BD5EC7974E1}" name="Продукт"/>
    <tableColumn id="5" xr3:uid="{47EDADFB-7CC0-46B5-A379-F23E1D87D30B}" name="Канал"/>
    <tableColumn id="6" xr3:uid="{09E2C6BF-1612-45C8-9E3B-801E8014E895}" name="Коммерческое предложение" dataDxfId="34" dataCellStyle="Финансовый"/>
    <tableColumn id="7" xr3:uid="{5662F1AE-123B-4E1B-BA09-0E6D6A98E5DF}" name="Статус сделки"/>
    <tableColumn id="8" xr3:uid="{71A978F6-CE3B-46BA-8BA7-1D03EFC483B5}" name="Факт оплаты" dataDxfId="33" dataCellStyle="Финансовый"/>
    <tableColumn id="9" xr3:uid="{3B15305D-C322-48D2-9B8F-6EE4273FE061}" name="Дата оплаты" dataDxfId="32" dataCellStyle="Финансовый"/>
    <tableColumn id="10" xr3:uid="{CA69BD93-2230-47DD-AC74-85E9ABCEBCC9}" name="Комиссия" dataDxfId="31" dataCellStyle="Финансовый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B0F5F1-F0A6-4486-8210-80B9F37D1208}" name="Таблица4" displayName="Таблица4" ref="A1:I166" totalsRowShown="0" headerRowDxfId="26">
  <autoFilter ref="A1:I166" xr:uid="{E8C8A3B9-B8A1-4728-AE42-E9CF8853520C}"/>
  <tableColumns count="9">
    <tableColumn id="1" xr3:uid="{DD53AAA7-B2C0-436E-8DDF-84D610016604}" name="Фамилия"/>
    <tableColumn id="2" xr3:uid="{7A26BEFD-C308-46FA-91EA-87E52B2EB046}" name="Роль"/>
    <tableColumn id="3" xr3:uid="{C30CE1F3-BDBA-4B26-B078-102C18EA43B3}" name="Дата" dataDxfId="27"/>
    <tableColumn id="8" xr3:uid="{7A9DA5A3-97BC-411F-9B7A-152A865964E2}" name="День недели" dataDxfId="25">
      <calculatedColumnFormula>TEXT(Таблица4[[#This Row],[Дата]],"ДДДД")</calculatedColumnFormula>
    </tableColumn>
    <tableColumn id="9" xr3:uid="{B7EDF511-353C-4FAA-87F8-6D59A807A095}" name="День недели_x000a_(число)" dataDxfId="10">
      <calculatedColumnFormula>WEEKDAY(Таблица4[[#This Row],[Дата]],2)</calculatedColumnFormula>
    </tableColumn>
    <tableColumn id="7" xr3:uid="{3D821467-D463-4BC1-AFE2-F6F589FBEBE8}" name="Квартал" dataDxfId="9">
      <calculatedColumnFormula>ROUNDUP(MONTH(Таблица4[[#This Row],[Дата]])/3,0)</calculatedColumnFormula>
    </tableColumn>
    <tableColumn id="4" xr3:uid="{FC58BE6B-F32A-40E0-8AB2-8E9F250CE2AF}" name="Проект"/>
    <tableColumn id="5" xr3:uid="{3BF24B66-DF12-466E-B1E3-AE23FCF3A842}" name="Кол-во часов" dataDxfId="30"/>
    <tableColumn id="6" xr3:uid="{F1BB4C77-0287-48BB-A7E1-5E7F3FBFE14F}" name="Стоимость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15"/>
  <sheetViews>
    <sheetView zoomScale="145" zoomScaleNormal="145" workbookViewId="0">
      <selection activeCell="B8" sqref="B8"/>
    </sheetView>
  </sheetViews>
  <sheetFormatPr defaultRowHeight="14.4" x14ac:dyDescent="0.3"/>
  <cols>
    <col min="1" max="1" width="29.109375" bestFit="1" customWidth="1"/>
    <col min="2" max="2" width="20.21875" customWidth="1"/>
    <col min="3" max="3" width="15.88671875" bestFit="1" customWidth="1"/>
  </cols>
  <sheetData>
    <row r="1" spans="1:8" x14ac:dyDescent="0.3">
      <c r="A1" t="s">
        <v>159</v>
      </c>
      <c r="B1" s="2">
        <f ca="1">TODAY()</f>
        <v>45267</v>
      </c>
      <c r="C1" s="22">
        <f ca="1">TODAY()</f>
        <v>45267</v>
      </c>
    </row>
    <row r="2" spans="1:8" x14ac:dyDescent="0.3">
      <c r="A2" t="s">
        <v>160</v>
      </c>
      <c r="B2" s="21">
        <f ca="1">NOW()</f>
        <v>45267.733873263889</v>
      </c>
      <c r="C2" s="22">
        <f ca="1">NOW()</f>
        <v>45267.733873263889</v>
      </c>
    </row>
    <row r="4" spans="1:8" x14ac:dyDescent="0.3">
      <c r="A4" t="s">
        <v>204</v>
      </c>
      <c r="B4" s="2">
        <f ca="1">TODAY()+1</f>
        <v>45268</v>
      </c>
    </row>
    <row r="5" spans="1:8" x14ac:dyDescent="0.3">
      <c r="A5" t="s">
        <v>205</v>
      </c>
      <c r="B5" s="2">
        <f ca="1">B1-1</f>
        <v>45266</v>
      </c>
    </row>
    <row r="6" spans="1:8" x14ac:dyDescent="0.3">
      <c r="A6" t="s">
        <v>206</v>
      </c>
      <c r="B6" s="2">
        <f ca="1">TODAY()+7</f>
        <v>45274</v>
      </c>
    </row>
    <row r="8" spans="1:8" x14ac:dyDescent="0.3">
      <c r="A8" t="s">
        <v>207</v>
      </c>
      <c r="B8" s="2">
        <f ca="1">DATE(2023,MONTH(TODAY())+1,15)</f>
        <v>45306</v>
      </c>
    </row>
    <row r="15" spans="1:8" x14ac:dyDescent="0.3">
      <c r="H15" s="8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CF02-01D4-4E95-9CED-FB7D23256993}">
  <dimension ref="A1:G166"/>
  <sheetViews>
    <sheetView zoomScale="115" zoomScaleNormal="115"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13.21875" bestFit="1" customWidth="1"/>
    <col min="2" max="2" width="11" bestFit="1" customWidth="1"/>
    <col min="3" max="3" width="10.21875" customWidth="1"/>
    <col min="4" max="4" width="10.21875" style="2" customWidth="1"/>
    <col min="5" max="5" width="21" bestFit="1" customWidth="1"/>
    <col min="6" max="6" width="12.6640625" bestFit="1" customWidth="1"/>
    <col min="7" max="7" width="10.5546875" bestFit="1" customWidth="1"/>
  </cols>
  <sheetData>
    <row r="1" spans="1:7" x14ac:dyDescent="0.3">
      <c r="A1" t="s">
        <v>166</v>
      </c>
      <c r="B1" t="s">
        <v>167</v>
      </c>
      <c r="C1" s="25" t="s">
        <v>168</v>
      </c>
      <c r="D1" s="26" t="s">
        <v>168</v>
      </c>
      <c r="E1" t="s">
        <v>169</v>
      </c>
      <c r="F1" t="s">
        <v>170</v>
      </c>
      <c r="G1" t="s">
        <v>171</v>
      </c>
    </row>
    <row r="2" spans="1:7" x14ac:dyDescent="0.3">
      <c r="A2" t="s">
        <v>172</v>
      </c>
      <c r="B2" t="s">
        <v>37</v>
      </c>
      <c r="C2" s="10">
        <v>43739</v>
      </c>
      <c r="D2" s="2">
        <v>43739</v>
      </c>
      <c r="E2" t="s">
        <v>173</v>
      </c>
      <c r="F2">
        <v>3</v>
      </c>
      <c r="G2" t="s">
        <v>174</v>
      </c>
    </row>
    <row r="3" spans="1:7" x14ac:dyDescent="0.3">
      <c r="A3" t="s">
        <v>172</v>
      </c>
      <c r="B3" t="s">
        <v>37</v>
      </c>
      <c r="C3" s="10">
        <v>43739</v>
      </c>
      <c r="D3" s="2">
        <v>43739</v>
      </c>
      <c r="E3" t="s">
        <v>173</v>
      </c>
      <c r="F3">
        <v>1</v>
      </c>
      <c r="G3" t="s">
        <v>175</v>
      </c>
    </row>
    <row r="4" spans="1:7" x14ac:dyDescent="0.3">
      <c r="A4" t="s">
        <v>172</v>
      </c>
      <c r="B4" t="s">
        <v>37</v>
      </c>
      <c r="C4" s="10">
        <v>43739</v>
      </c>
      <c r="D4" s="2">
        <v>43739</v>
      </c>
      <c r="E4" t="s">
        <v>176</v>
      </c>
      <c r="F4">
        <v>6</v>
      </c>
      <c r="G4" t="s">
        <v>177</v>
      </c>
    </row>
    <row r="5" spans="1:7" x14ac:dyDescent="0.3">
      <c r="A5" t="s">
        <v>172</v>
      </c>
      <c r="B5" t="s">
        <v>37</v>
      </c>
      <c r="C5" s="10">
        <v>43740</v>
      </c>
      <c r="D5" s="2">
        <v>43740</v>
      </c>
      <c r="E5" t="s">
        <v>178</v>
      </c>
      <c r="F5">
        <v>4</v>
      </c>
      <c r="G5" t="s">
        <v>179</v>
      </c>
    </row>
    <row r="6" spans="1:7" x14ac:dyDescent="0.3">
      <c r="A6" t="s">
        <v>172</v>
      </c>
      <c r="B6" t="s">
        <v>37</v>
      </c>
      <c r="C6" s="10">
        <v>43740</v>
      </c>
      <c r="D6" s="2">
        <v>43740</v>
      </c>
      <c r="E6" t="s">
        <v>176</v>
      </c>
      <c r="F6">
        <v>5</v>
      </c>
      <c r="G6" t="s">
        <v>180</v>
      </c>
    </row>
    <row r="7" spans="1:7" x14ac:dyDescent="0.3">
      <c r="A7" t="s">
        <v>172</v>
      </c>
      <c r="B7" t="s">
        <v>37</v>
      </c>
      <c r="C7" s="10">
        <v>43740</v>
      </c>
      <c r="D7" s="2">
        <v>43740</v>
      </c>
      <c r="E7" t="s">
        <v>178</v>
      </c>
      <c r="F7">
        <v>7</v>
      </c>
      <c r="G7" t="s">
        <v>181</v>
      </c>
    </row>
    <row r="8" spans="1:7" x14ac:dyDescent="0.3">
      <c r="A8" t="s">
        <v>172</v>
      </c>
      <c r="B8" t="s">
        <v>37</v>
      </c>
      <c r="C8" s="10">
        <v>43741</v>
      </c>
      <c r="D8" s="2">
        <v>43741</v>
      </c>
      <c r="E8" t="s">
        <v>182</v>
      </c>
      <c r="F8">
        <v>7</v>
      </c>
      <c r="G8" t="s">
        <v>181</v>
      </c>
    </row>
    <row r="9" spans="1:7" x14ac:dyDescent="0.3">
      <c r="A9" t="s">
        <v>172</v>
      </c>
      <c r="B9" t="s">
        <v>37</v>
      </c>
      <c r="C9" s="10">
        <v>43741</v>
      </c>
      <c r="D9" s="2">
        <v>43741</v>
      </c>
      <c r="E9" t="s">
        <v>178</v>
      </c>
      <c r="F9">
        <v>5</v>
      </c>
      <c r="G9" t="s">
        <v>180</v>
      </c>
    </row>
    <row r="10" spans="1:7" x14ac:dyDescent="0.3">
      <c r="A10" t="s">
        <v>172</v>
      </c>
      <c r="B10" t="s">
        <v>37</v>
      </c>
      <c r="C10" s="10">
        <v>43741</v>
      </c>
      <c r="D10" s="2">
        <v>43741</v>
      </c>
      <c r="E10" t="s">
        <v>173</v>
      </c>
      <c r="F10">
        <v>2</v>
      </c>
      <c r="G10" t="s">
        <v>183</v>
      </c>
    </row>
    <row r="11" spans="1:7" x14ac:dyDescent="0.3">
      <c r="A11" t="s">
        <v>172</v>
      </c>
      <c r="B11" t="s">
        <v>37</v>
      </c>
      <c r="C11" s="10">
        <v>43647</v>
      </c>
      <c r="D11" s="2">
        <v>43647</v>
      </c>
      <c r="E11" t="s">
        <v>173</v>
      </c>
      <c r="F11">
        <v>8</v>
      </c>
      <c r="G11" t="s">
        <v>184</v>
      </c>
    </row>
    <row r="12" spans="1:7" x14ac:dyDescent="0.3">
      <c r="A12" t="s">
        <v>172</v>
      </c>
      <c r="B12" t="s">
        <v>185</v>
      </c>
      <c r="C12" s="10">
        <v>43647</v>
      </c>
      <c r="D12" s="2">
        <v>43647</v>
      </c>
      <c r="E12" t="s">
        <v>173</v>
      </c>
      <c r="F12">
        <v>4</v>
      </c>
      <c r="G12" t="s">
        <v>179</v>
      </c>
    </row>
    <row r="13" spans="1:7" x14ac:dyDescent="0.3">
      <c r="A13" t="s">
        <v>172</v>
      </c>
      <c r="B13" t="s">
        <v>37</v>
      </c>
      <c r="C13" s="10">
        <v>43648</v>
      </c>
      <c r="D13" s="2">
        <v>43648</v>
      </c>
      <c r="E13" t="s">
        <v>186</v>
      </c>
      <c r="F13">
        <v>2</v>
      </c>
      <c r="G13" t="s">
        <v>183</v>
      </c>
    </row>
    <row r="14" spans="1:7" x14ac:dyDescent="0.3">
      <c r="A14" t="s">
        <v>172</v>
      </c>
      <c r="B14" t="s">
        <v>187</v>
      </c>
      <c r="C14" s="10">
        <v>43648</v>
      </c>
      <c r="D14" s="2">
        <v>43648</v>
      </c>
      <c r="E14" t="s">
        <v>182</v>
      </c>
      <c r="F14">
        <v>4</v>
      </c>
      <c r="G14" t="s">
        <v>179</v>
      </c>
    </row>
    <row r="15" spans="1:7" x14ac:dyDescent="0.3">
      <c r="A15" t="s">
        <v>172</v>
      </c>
      <c r="B15" t="s">
        <v>188</v>
      </c>
      <c r="C15" s="10">
        <v>43649</v>
      </c>
      <c r="D15" s="2">
        <v>43649</v>
      </c>
      <c r="E15" t="s">
        <v>189</v>
      </c>
      <c r="F15">
        <v>2</v>
      </c>
      <c r="G15" t="s">
        <v>183</v>
      </c>
    </row>
    <row r="16" spans="1:7" x14ac:dyDescent="0.3">
      <c r="A16" t="s">
        <v>172</v>
      </c>
      <c r="B16" t="s">
        <v>187</v>
      </c>
      <c r="C16" s="10">
        <v>43650</v>
      </c>
      <c r="D16" s="2">
        <v>43650</v>
      </c>
      <c r="E16" t="s">
        <v>190</v>
      </c>
      <c r="F16">
        <v>2</v>
      </c>
      <c r="G16" t="s">
        <v>183</v>
      </c>
    </row>
    <row r="17" spans="1:7" x14ac:dyDescent="0.3">
      <c r="A17" t="s">
        <v>172</v>
      </c>
      <c r="B17" t="s">
        <v>188</v>
      </c>
      <c r="C17" s="10">
        <v>43651</v>
      </c>
      <c r="D17" s="2">
        <v>43651</v>
      </c>
      <c r="E17" t="s">
        <v>191</v>
      </c>
      <c r="F17">
        <v>2</v>
      </c>
      <c r="G17" t="s">
        <v>183</v>
      </c>
    </row>
    <row r="18" spans="1:7" x14ac:dyDescent="0.3">
      <c r="A18" t="s">
        <v>172</v>
      </c>
      <c r="B18" t="s">
        <v>37</v>
      </c>
      <c r="C18" s="10">
        <v>43651</v>
      </c>
      <c r="D18" s="2">
        <v>43651</v>
      </c>
      <c r="E18" t="s">
        <v>192</v>
      </c>
      <c r="F18">
        <v>1</v>
      </c>
      <c r="G18" t="s">
        <v>175</v>
      </c>
    </row>
    <row r="19" spans="1:7" x14ac:dyDescent="0.3">
      <c r="A19" t="s">
        <v>172</v>
      </c>
      <c r="B19" t="s">
        <v>37</v>
      </c>
      <c r="C19" s="10">
        <v>43651</v>
      </c>
      <c r="D19" s="2">
        <v>43651</v>
      </c>
      <c r="E19" t="s">
        <v>191</v>
      </c>
      <c r="F19">
        <v>7</v>
      </c>
      <c r="G19" t="s">
        <v>181</v>
      </c>
    </row>
    <row r="20" spans="1:7" x14ac:dyDescent="0.3">
      <c r="A20" t="s">
        <v>172</v>
      </c>
      <c r="B20" t="s">
        <v>193</v>
      </c>
      <c r="C20" s="10">
        <v>43652</v>
      </c>
      <c r="D20" s="2">
        <v>43652</v>
      </c>
      <c r="E20" t="s">
        <v>190</v>
      </c>
      <c r="F20">
        <v>3</v>
      </c>
      <c r="G20" t="s">
        <v>174</v>
      </c>
    </row>
    <row r="21" spans="1:7" x14ac:dyDescent="0.3">
      <c r="A21" t="s">
        <v>172</v>
      </c>
      <c r="B21" t="s">
        <v>193</v>
      </c>
      <c r="C21" s="10">
        <v>43653</v>
      </c>
      <c r="D21" s="2">
        <v>43653</v>
      </c>
      <c r="E21" t="s">
        <v>178</v>
      </c>
      <c r="F21">
        <v>2</v>
      </c>
      <c r="G21" t="s">
        <v>183</v>
      </c>
    </row>
    <row r="22" spans="1:7" x14ac:dyDescent="0.3">
      <c r="A22" t="s">
        <v>172</v>
      </c>
      <c r="B22" t="s">
        <v>193</v>
      </c>
      <c r="C22" s="10">
        <v>43654</v>
      </c>
      <c r="D22" s="2">
        <v>43654</v>
      </c>
      <c r="E22" t="s">
        <v>186</v>
      </c>
      <c r="F22">
        <v>5</v>
      </c>
      <c r="G22" t="s">
        <v>180</v>
      </c>
    </row>
    <row r="23" spans="1:7" x14ac:dyDescent="0.3">
      <c r="A23" t="s">
        <v>172</v>
      </c>
      <c r="B23" t="s">
        <v>193</v>
      </c>
      <c r="C23" s="10">
        <v>43654</v>
      </c>
      <c r="D23" s="2">
        <v>43654</v>
      </c>
      <c r="E23" t="s">
        <v>190</v>
      </c>
      <c r="F23">
        <v>8</v>
      </c>
      <c r="G23" t="s">
        <v>184</v>
      </c>
    </row>
    <row r="24" spans="1:7" x14ac:dyDescent="0.3">
      <c r="A24" t="s">
        <v>172</v>
      </c>
      <c r="B24" t="s">
        <v>193</v>
      </c>
      <c r="C24" s="10">
        <v>43655</v>
      </c>
      <c r="D24" s="2">
        <v>43655</v>
      </c>
      <c r="E24" t="s">
        <v>173</v>
      </c>
      <c r="F24">
        <v>2</v>
      </c>
      <c r="G24" t="s">
        <v>183</v>
      </c>
    </row>
    <row r="25" spans="1:7" x14ac:dyDescent="0.3">
      <c r="A25" t="s">
        <v>172</v>
      </c>
      <c r="B25" t="s">
        <v>37</v>
      </c>
      <c r="C25" s="10">
        <v>43656</v>
      </c>
      <c r="D25" s="2">
        <v>43656</v>
      </c>
      <c r="E25" t="s">
        <v>186</v>
      </c>
      <c r="F25">
        <v>2</v>
      </c>
      <c r="G25" t="s">
        <v>183</v>
      </c>
    </row>
    <row r="26" spans="1:7" x14ac:dyDescent="0.3">
      <c r="A26" t="s">
        <v>172</v>
      </c>
      <c r="B26" t="s">
        <v>37</v>
      </c>
      <c r="C26" s="10">
        <v>43656</v>
      </c>
      <c r="D26" s="2">
        <v>43656</v>
      </c>
      <c r="E26" t="s">
        <v>190</v>
      </c>
      <c r="F26">
        <v>6</v>
      </c>
      <c r="G26" t="s">
        <v>177</v>
      </c>
    </row>
    <row r="27" spans="1:7" x14ac:dyDescent="0.3">
      <c r="A27" t="s">
        <v>172</v>
      </c>
      <c r="B27" t="s">
        <v>37</v>
      </c>
      <c r="C27" s="10">
        <v>43656</v>
      </c>
      <c r="D27" s="2">
        <v>43656</v>
      </c>
      <c r="E27" t="s">
        <v>173</v>
      </c>
      <c r="F27">
        <v>4</v>
      </c>
      <c r="G27" t="s">
        <v>179</v>
      </c>
    </row>
    <row r="28" spans="1:7" x14ac:dyDescent="0.3">
      <c r="A28" t="s">
        <v>172</v>
      </c>
      <c r="B28" t="s">
        <v>187</v>
      </c>
      <c r="C28" s="10">
        <v>43657</v>
      </c>
      <c r="D28" s="2">
        <v>43657</v>
      </c>
      <c r="E28" t="s">
        <v>182</v>
      </c>
      <c r="F28">
        <v>8</v>
      </c>
      <c r="G28" t="s">
        <v>184</v>
      </c>
    </row>
    <row r="29" spans="1:7" x14ac:dyDescent="0.3">
      <c r="A29" t="s">
        <v>172</v>
      </c>
      <c r="B29" t="s">
        <v>188</v>
      </c>
      <c r="C29" s="10">
        <v>43657</v>
      </c>
      <c r="D29" s="2">
        <v>43657</v>
      </c>
      <c r="E29" t="s">
        <v>194</v>
      </c>
      <c r="F29">
        <v>8</v>
      </c>
      <c r="G29" t="s">
        <v>184</v>
      </c>
    </row>
    <row r="30" spans="1:7" x14ac:dyDescent="0.3">
      <c r="A30" t="s">
        <v>172</v>
      </c>
      <c r="B30" t="s">
        <v>37</v>
      </c>
      <c r="C30" s="10">
        <v>43658</v>
      </c>
      <c r="D30" s="2">
        <v>43658</v>
      </c>
      <c r="E30" t="s">
        <v>191</v>
      </c>
      <c r="F30">
        <v>2</v>
      </c>
      <c r="G30" t="s">
        <v>183</v>
      </c>
    </row>
    <row r="31" spans="1:7" x14ac:dyDescent="0.3">
      <c r="A31" t="s">
        <v>172</v>
      </c>
      <c r="B31" t="s">
        <v>37</v>
      </c>
      <c r="C31" s="10">
        <v>43658</v>
      </c>
      <c r="D31" s="2">
        <v>43658</v>
      </c>
      <c r="E31" t="s">
        <v>190</v>
      </c>
      <c r="F31">
        <v>3</v>
      </c>
      <c r="G31" t="s">
        <v>174</v>
      </c>
    </row>
    <row r="32" spans="1:7" x14ac:dyDescent="0.3">
      <c r="A32" t="s">
        <v>172</v>
      </c>
      <c r="B32" t="s">
        <v>37</v>
      </c>
      <c r="C32" s="10">
        <v>43658</v>
      </c>
      <c r="D32" s="2">
        <v>43658</v>
      </c>
      <c r="E32" t="s">
        <v>173</v>
      </c>
      <c r="F32">
        <v>8</v>
      </c>
      <c r="G32" t="s">
        <v>184</v>
      </c>
    </row>
    <row r="33" spans="1:7" x14ac:dyDescent="0.3">
      <c r="A33" t="s">
        <v>172</v>
      </c>
      <c r="B33" t="s">
        <v>187</v>
      </c>
      <c r="C33" s="10">
        <v>43658</v>
      </c>
      <c r="D33" s="2">
        <v>43658</v>
      </c>
      <c r="E33" t="s">
        <v>191</v>
      </c>
      <c r="F33">
        <v>7</v>
      </c>
      <c r="G33" t="s">
        <v>181</v>
      </c>
    </row>
    <row r="34" spans="1:7" x14ac:dyDescent="0.3">
      <c r="A34" t="s">
        <v>172</v>
      </c>
      <c r="B34" t="s">
        <v>185</v>
      </c>
      <c r="C34" s="10">
        <v>43661</v>
      </c>
      <c r="D34" s="2">
        <v>43661</v>
      </c>
      <c r="E34" t="s">
        <v>190</v>
      </c>
      <c r="F34">
        <v>1</v>
      </c>
      <c r="G34" t="s">
        <v>175</v>
      </c>
    </row>
    <row r="35" spans="1:7" x14ac:dyDescent="0.3">
      <c r="A35" t="s">
        <v>195</v>
      </c>
      <c r="B35" t="s">
        <v>37</v>
      </c>
      <c r="C35" s="10">
        <v>43661</v>
      </c>
      <c r="D35" s="2">
        <v>43661</v>
      </c>
      <c r="E35" t="s">
        <v>189</v>
      </c>
      <c r="F35">
        <v>4</v>
      </c>
      <c r="G35" t="s">
        <v>179</v>
      </c>
    </row>
    <row r="36" spans="1:7" x14ac:dyDescent="0.3">
      <c r="A36" t="s">
        <v>195</v>
      </c>
      <c r="B36" t="s">
        <v>37</v>
      </c>
      <c r="C36" s="10">
        <v>43661</v>
      </c>
      <c r="D36" s="2">
        <v>43661</v>
      </c>
      <c r="E36" t="s">
        <v>196</v>
      </c>
      <c r="F36">
        <v>8</v>
      </c>
      <c r="G36" t="s">
        <v>184</v>
      </c>
    </row>
    <row r="37" spans="1:7" x14ac:dyDescent="0.3">
      <c r="A37" t="s">
        <v>195</v>
      </c>
      <c r="B37" t="s">
        <v>37</v>
      </c>
      <c r="C37" s="10">
        <v>43661</v>
      </c>
      <c r="D37" s="2">
        <v>43661</v>
      </c>
      <c r="E37" t="s">
        <v>194</v>
      </c>
      <c r="F37">
        <v>1</v>
      </c>
      <c r="G37" t="s">
        <v>175</v>
      </c>
    </row>
    <row r="38" spans="1:7" x14ac:dyDescent="0.3">
      <c r="A38" t="s">
        <v>195</v>
      </c>
      <c r="B38" t="s">
        <v>37</v>
      </c>
      <c r="C38" s="10">
        <v>43662</v>
      </c>
      <c r="D38" s="2">
        <v>43662</v>
      </c>
      <c r="E38" t="s">
        <v>182</v>
      </c>
      <c r="F38">
        <v>8</v>
      </c>
      <c r="G38" t="s">
        <v>184</v>
      </c>
    </row>
    <row r="39" spans="1:7" x14ac:dyDescent="0.3">
      <c r="A39" t="s">
        <v>195</v>
      </c>
      <c r="B39" t="s">
        <v>37</v>
      </c>
      <c r="C39" s="10">
        <v>43662</v>
      </c>
      <c r="D39" s="2">
        <v>43662</v>
      </c>
      <c r="E39" t="s">
        <v>189</v>
      </c>
      <c r="F39">
        <v>6</v>
      </c>
      <c r="G39" t="s">
        <v>177</v>
      </c>
    </row>
    <row r="40" spans="1:7" x14ac:dyDescent="0.3">
      <c r="A40" t="s">
        <v>195</v>
      </c>
      <c r="B40" t="s">
        <v>188</v>
      </c>
      <c r="C40" s="10">
        <v>43663</v>
      </c>
      <c r="D40" s="2">
        <v>43663</v>
      </c>
      <c r="E40" t="s">
        <v>182</v>
      </c>
      <c r="F40">
        <v>1</v>
      </c>
      <c r="G40" t="s">
        <v>175</v>
      </c>
    </row>
    <row r="41" spans="1:7" x14ac:dyDescent="0.3">
      <c r="A41" t="s">
        <v>195</v>
      </c>
      <c r="B41" t="s">
        <v>188</v>
      </c>
      <c r="C41" s="10">
        <v>43663</v>
      </c>
      <c r="D41" s="2">
        <v>43663</v>
      </c>
      <c r="E41" t="s">
        <v>176</v>
      </c>
      <c r="F41">
        <v>6</v>
      </c>
      <c r="G41" t="s">
        <v>177</v>
      </c>
    </row>
    <row r="42" spans="1:7" x14ac:dyDescent="0.3">
      <c r="A42" t="s">
        <v>195</v>
      </c>
      <c r="B42" t="s">
        <v>197</v>
      </c>
      <c r="C42" s="10">
        <v>43663</v>
      </c>
      <c r="D42" s="2">
        <v>43663</v>
      </c>
      <c r="E42" t="s">
        <v>191</v>
      </c>
      <c r="F42">
        <v>5</v>
      </c>
      <c r="G42" t="s">
        <v>180</v>
      </c>
    </row>
    <row r="43" spans="1:7" x14ac:dyDescent="0.3">
      <c r="A43" t="s">
        <v>195</v>
      </c>
      <c r="B43" t="s">
        <v>197</v>
      </c>
      <c r="C43" s="10">
        <v>43663</v>
      </c>
      <c r="D43" s="2">
        <v>43663</v>
      </c>
      <c r="E43" t="s">
        <v>186</v>
      </c>
      <c r="F43">
        <v>2</v>
      </c>
      <c r="G43" t="s">
        <v>183</v>
      </c>
    </row>
    <row r="44" spans="1:7" x14ac:dyDescent="0.3">
      <c r="A44" t="s">
        <v>195</v>
      </c>
      <c r="B44" t="s">
        <v>37</v>
      </c>
      <c r="C44" s="10">
        <v>43663</v>
      </c>
      <c r="D44" s="2">
        <v>43663</v>
      </c>
      <c r="E44" t="s">
        <v>190</v>
      </c>
      <c r="F44">
        <v>1</v>
      </c>
      <c r="G44" t="s">
        <v>175</v>
      </c>
    </row>
    <row r="45" spans="1:7" x14ac:dyDescent="0.3">
      <c r="A45" t="s">
        <v>195</v>
      </c>
      <c r="B45" t="s">
        <v>37</v>
      </c>
      <c r="C45" s="10">
        <v>43663</v>
      </c>
      <c r="D45" s="2">
        <v>43663</v>
      </c>
      <c r="E45" t="s">
        <v>182</v>
      </c>
      <c r="F45">
        <v>2</v>
      </c>
      <c r="G45" t="s">
        <v>183</v>
      </c>
    </row>
    <row r="46" spans="1:7" x14ac:dyDescent="0.3">
      <c r="A46" t="s">
        <v>195</v>
      </c>
      <c r="B46" t="s">
        <v>37</v>
      </c>
      <c r="C46" s="10">
        <v>43663</v>
      </c>
      <c r="D46" s="2">
        <v>43663</v>
      </c>
      <c r="E46" t="s">
        <v>178</v>
      </c>
      <c r="F46">
        <v>6</v>
      </c>
      <c r="G46" t="s">
        <v>177</v>
      </c>
    </row>
    <row r="47" spans="1:7" x14ac:dyDescent="0.3">
      <c r="A47" t="s">
        <v>195</v>
      </c>
      <c r="B47" t="s">
        <v>37</v>
      </c>
      <c r="C47" s="10">
        <v>43664</v>
      </c>
      <c r="D47" s="2">
        <v>43664</v>
      </c>
      <c r="E47" t="s">
        <v>182</v>
      </c>
      <c r="F47">
        <v>6</v>
      </c>
      <c r="G47" t="s">
        <v>177</v>
      </c>
    </row>
    <row r="48" spans="1:7" x14ac:dyDescent="0.3">
      <c r="A48" t="s">
        <v>195</v>
      </c>
      <c r="B48" t="s">
        <v>37</v>
      </c>
      <c r="C48" s="10">
        <v>43664</v>
      </c>
      <c r="D48" s="2">
        <v>43664</v>
      </c>
      <c r="E48" t="s">
        <v>196</v>
      </c>
      <c r="F48">
        <v>5</v>
      </c>
      <c r="G48" t="s">
        <v>180</v>
      </c>
    </row>
    <row r="49" spans="1:7" x14ac:dyDescent="0.3">
      <c r="A49" t="s">
        <v>195</v>
      </c>
      <c r="B49" t="s">
        <v>37</v>
      </c>
      <c r="C49" s="10">
        <v>43669</v>
      </c>
      <c r="D49" s="2">
        <v>43669</v>
      </c>
      <c r="E49" t="s">
        <v>176</v>
      </c>
      <c r="F49">
        <v>6</v>
      </c>
      <c r="G49" t="s">
        <v>177</v>
      </c>
    </row>
    <row r="50" spans="1:7" x14ac:dyDescent="0.3">
      <c r="A50" t="s">
        <v>195</v>
      </c>
      <c r="B50" t="s">
        <v>37</v>
      </c>
      <c r="C50" s="10">
        <v>43670</v>
      </c>
      <c r="D50" s="2">
        <v>43670</v>
      </c>
      <c r="E50" t="s">
        <v>191</v>
      </c>
      <c r="F50">
        <v>3</v>
      </c>
      <c r="G50" t="s">
        <v>174</v>
      </c>
    </row>
    <row r="51" spans="1:7" x14ac:dyDescent="0.3">
      <c r="A51" t="s">
        <v>195</v>
      </c>
      <c r="B51" t="s">
        <v>37</v>
      </c>
      <c r="C51" s="10">
        <v>43670</v>
      </c>
      <c r="D51" s="2">
        <v>43670</v>
      </c>
      <c r="E51" t="s">
        <v>182</v>
      </c>
      <c r="F51">
        <v>7</v>
      </c>
      <c r="G51" t="s">
        <v>181</v>
      </c>
    </row>
    <row r="52" spans="1:7" x14ac:dyDescent="0.3">
      <c r="A52" t="s">
        <v>195</v>
      </c>
      <c r="B52" t="s">
        <v>187</v>
      </c>
      <c r="C52" s="10">
        <v>43670</v>
      </c>
      <c r="D52" s="2">
        <v>43670</v>
      </c>
      <c r="E52" t="s">
        <v>182</v>
      </c>
      <c r="F52">
        <v>3</v>
      </c>
      <c r="G52" t="s">
        <v>174</v>
      </c>
    </row>
    <row r="53" spans="1:7" x14ac:dyDescent="0.3">
      <c r="A53" t="s">
        <v>195</v>
      </c>
      <c r="B53" t="s">
        <v>37</v>
      </c>
      <c r="C53" s="10">
        <v>43670</v>
      </c>
      <c r="D53" s="2">
        <v>43670</v>
      </c>
      <c r="E53" t="s">
        <v>196</v>
      </c>
      <c r="F53">
        <v>5</v>
      </c>
      <c r="G53" t="s">
        <v>180</v>
      </c>
    </row>
    <row r="54" spans="1:7" x14ac:dyDescent="0.3">
      <c r="A54" t="s">
        <v>195</v>
      </c>
      <c r="B54" t="s">
        <v>37</v>
      </c>
      <c r="C54" s="10">
        <v>43670</v>
      </c>
      <c r="D54" s="2">
        <v>43670</v>
      </c>
      <c r="E54" t="s">
        <v>192</v>
      </c>
      <c r="F54">
        <v>4</v>
      </c>
      <c r="G54" t="s">
        <v>179</v>
      </c>
    </row>
    <row r="55" spans="1:7" x14ac:dyDescent="0.3">
      <c r="A55" t="s">
        <v>195</v>
      </c>
      <c r="B55" t="s">
        <v>37</v>
      </c>
      <c r="C55" s="10">
        <v>43671</v>
      </c>
      <c r="D55" s="2">
        <v>43671</v>
      </c>
      <c r="E55" t="s">
        <v>192</v>
      </c>
      <c r="F55">
        <v>3</v>
      </c>
      <c r="G55" t="s">
        <v>174</v>
      </c>
    </row>
    <row r="56" spans="1:7" x14ac:dyDescent="0.3">
      <c r="A56" t="s">
        <v>195</v>
      </c>
      <c r="B56" t="s">
        <v>37</v>
      </c>
      <c r="C56" s="10">
        <v>43671</v>
      </c>
      <c r="D56" s="2">
        <v>43671</v>
      </c>
      <c r="E56" t="s">
        <v>196</v>
      </c>
      <c r="F56">
        <v>5</v>
      </c>
      <c r="G56" t="s">
        <v>180</v>
      </c>
    </row>
    <row r="57" spans="1:7" x14ac:dyDescent="0.3">
      <c r="A57" t="s">
        <v>195</v>
      </c>
      <c r="B57" t="s">
        <v>37</v>
      </c>
      <c r="C57" s="10">
        <v>43671</v>
      </c>
      <c r="D57" s="2">
        <v>43671</v>
      </c>
      <c r="E57" t="s">
        <v>173</v>
      </c>
      <c r="F57">
        <v>2</v>
      </c>
      <c r="G57" t="s">
        <v>183</v>
      </c>
    </row>
    <row r="58" spans="1:7" x14ac:dyDescent="0.3">
      <c r="A58" t="s">
        <v>195</v>
      </c>
      <c r="B58" t="s">
        <v>37</v>
      </c>
      <c r="C58" s="10">
        <v>43675</v>
      </c>
      <c r="D58" s="2">
        <v>43675</v>
      </c>
      <c r="E58" t="s">
        <v>186</v>
      </c>
      <c r="F58">
        <v>3</v>
      </c>
      <c r="G58" t="s">
        <v>174</v>
      </c>
    </row>
    <row r="59" spans="1:7" x14ac:dyDescent="0.3">
      <c r="A59" t="s">
        <v>195</v>
      </c>
      <c r="B59" t="s">
        <v>37</v>
      </c>
      <c r="C59" s="10">
        <v>43675</v>
      </c>
      <c r="D59" s="2">
        <v>43675</v>
      </c>
      <c r="E59" t="s">
        <v>189</v>
      </c>
      <c r="F59">
        <v>6</v>
      </c>
      <c r="G59" t="s">
        <v>177</v>
      </c>
    </row>
    <row r="60" spans="1:7" x14ac:dyDescent="0.3">
      <c r="A60" t="s">
        <v>195</v>
      </c>
      <c r="B60" t="s">
        <v>37</v>
      </c>
      <c r="C60" s="10">
        <v>43675</v>
      </c>
      <c r="D60" s="2">
        <v>43675</v>
      </c>
      <c r="E60" t="s">
        <v>190</v>
      </c>
      <c r="F60">
        <v>8</v>
      </c>
      <c r="G60" t="s">
        <v>184</v>
      </c>
    </row>
    <row r="61" spans="1:7" x14ac:dyDescent="0.3">
      <c r="A61" t="s">
        <v>195</v>
      </c>
      <c r="B61" t="s">
        <v>37</v>
      </c>
      <c r="C61" s="10">
        <v>43675</v>
      </c>
      <c r="D61" s="2">
        <v>43675</v>
      </c>
      <c r="E61" t="s">
        <v>178</v>
      </c>
      <c r="F61">
        <v>8</v>
      </c>
      <c r="G61" t="s">
        <v>184</v>
      </c>
    </row>
    <row r="62" spans="1:7" x14ac:dyDescent="0.3">
      <c r="A62" t="s">
        <v>195</v>
      </c>
      <c r="B62" t="s">
        <v>37</v>
      </c>
      <c r="C62" s="10">
        <v>43676</v>
      </c>
      <c r="D62" s="2">
        <v>43676</v>
      </c>
      <c r="E62" t="s">
        <v>186</v>
      </c>
      <c r="F62">
        <v>6</v>
      </c>
      <c r="G62" t="s">
        <v>177</v>
      </c>
    </row>
    <row r="63" spans="1:7" x14ac:dyDescent="0.3">
      <c r="A63" t="s">
        <v>195</v>
      </c>
      <c r="B63" t="s">
        <v>37</v>
      </c>
      <c r="C63" s="10">
        <v>43676</v>
      </c>
      <c r="D63" s="2">
        <v>43676</v>
      </c>
      <c r="E63" t="s">
        <v>173</v>
      </c>
      <c r="F63">
        <v>4</v>
      </c>
      <c r="G63" t="s">
        <v>179</v>
      </c>
    </row>
    <row r="64" spans="1:7" x14ac:dyDescent="0.3">
      <c r="A64" t="s">
        <v>195</v>
      </c>
      <c r="B64" t="s">
        <v>37</v>
      </c>
      <c r="C64" s="10">
        <v>43677</v>
      </c>
      <c r="D64" s="2">
        <v>43677</v>
      </c>
      <c r="E64" t="s">
        <v>192</v>
      </c>
      <c r="F64">
        <v>5</v>
      </c>
      <c r="G64" t="s">
        <v>180</v>
      </c>
    </row>
    <row r="65" spans="1:7" x14ac:dyDescent="0.3">
      <c r="A65" t="s">
        <v>195</v>
      </c>
      <c r="B65" t="s">
        <v>37</v>
      </c>
      <c r="C65" s="10">
        <v>43677</v>
      </c>
      <c r="D65" s="2">
        <v>43677</v>
      </c>
      <c r="E65" t="s">
        <v>176</v>
      </c>
      <c r="F65">
        <v>4</v>
      </c>
      <c r="G65" t="s">
        <v>179</v>
      </c>
    </row>
    <row r="66" spans="1:7" x14ac:dyDescent="0.3">
      <c r="A66" t="s">
        <v>195</v>
      </c>
      <c r="B66" t="s">
        <v>188</v>
      </c>
      <c r="C66" s="10">
        <v>43677</v>
      </c>
      <c r="D66" s="2">
        <v>43677</v>
      </c>
      <c r="E66" t="s">
        <v>182</v>
      </c>
      <c r="F66">
        <v>4</v>
      </c>
      <c r="G66" t="s">
        <v>179</v>
      </c>
    </row>
    <row r="67" spans="1:7" x14ac:dyDescent="0.3">
      <c r="A67" t="s">
        <v>195</v>
      </c>
      <c r="B67" t="s">
        <v>37</v>
      </c>
      <c r="C67" s="10">
        <v>43677</v>
      </c>
      <c r="D67" s="2">
        <v>43677</v>
      </c>
      <c r="E67" t="s">
        <v>178</v>
      </c>
      <c r="F67">
        <v>3</v>
      </c>
      <c r="G67" t="s">
        <v>174</v>
      </c>
    </row>
    <row r="68" spans="1:7" x14ac:dyDescent="0.3">
      <c r="A68" t="s">
        <v>195</v>
      </c>
      <c r="B68" t="s">
        <v>37</v>
      </c>
      <c r="C68" s="10">
        <v>43677</v>
      </c>
      <c r="D68" s="2">
        <v>43677</v>
      </c>
      <c r="E68" t="s">
        <v>196</v>
      </c>
      <c r="F68">
        <v>3</v>
      </c>
      <c r="G68" t="s">
        <v>174</v>
      </c>
    </row>
    <row r="69" spans="1:7" x14ac:dyDescent="0.3">
      <c r="A69" t="s">
        <v>195</v>
      </c>
      <c r="B69" t="s">
        <v>37</v>
      </c>
      <c r="C69" s="10">
        <v>43678</v>
      </c>
      <c r="D69" s="2">
        <v>43678</v>
      </c>
      <c r="E69" t="s">
        <v>190</v>
      </c>
      <c r="F69">
        <v>8</v>
      </c>
      <c r="G69" t="s">
        <v>184</v>
      </c>
    </row>
    <row r="70" spans="1:7" x14ac:dyDescent="0.3">
      <c r="A70" t="s">
        <v>195</v>
      </c>
      <c r="B70" t="s">
        <v>188</v>
      </c>
      <c r="C70" s="10">
        <v>43678</v>
      </c>
      <c r="D70" s="2">
        <v>43678</v>
      </c>
      <c r="E70" t="s">
        <v>173</v>
      </c>
      <c r="F70">
        <v>7</v>
      </c>
      <c r="G70" t="s">
        <v>181</v>
      </c>
    </row>
    <row r="71" spans="1:7" x14ac:dyDescent="0.3">
      <c r="A71" t="s">
        <v>195</v>
      </c>
      <c r="B71" t="s">
        <v>37</v>
      </c>
      <c r="C71" s="10">
        <v>43678</v>
      </c>
      <c r="D71" s="2">
        <v>43678</v>
      </c>
      <c r="E71" t="s">
        <v>176</v>
      </c>
      <c r="F71">
        <v>2</v>
      </c>
      <c r="G71" t="s">
        <v>183</v>
      </c>
    </row>
    <row r="72" spans="1:7" x14ac:dyDescent="0.3">
      <c r="A72" t="s">
        <v>195</v>
      </c>
      <c r="B72" t="s">
        <v>37</v>
      </c>
      <c r="C72" s="10">
        <v>43678</v>
      </c>
      <c r="D72" s="2">
        <v>43678</v>
      </c>
      <c r="E72" t="s">
        <v>192</v>
      </c>
      <c r="F72">
        <v>2</v>
      </c>
      <c r="G72" t="s">
        <v>183</v>
      </c>
    </row>
    <row r="73" spans="1:7" x14ac:dyDescent="0.3">
      <c r="A73" t="s">
        <v>195</v>
      </c>
      <c r="B73" t="s">
        <v>37</v>
      </c>
      <c r="C73" s="10">
        <v>43678</v>
      </c>
      <c r="D73" s="2">
        <v>43678</v>
      </c>
      <c r="E73" t="s">
        <v>178</v>
      </c>
      <c r="F73">
        <v>5</v>
      </c>
      <c r="G73" t="s">
        <v>180</v>
      </c>
    </row>
    <row r="74" spans="1:7" x14ac:dyDescent="0.3">
      <c r="A74" t="s">
        <v>195</v>
      </c>
      <c r="B74" t="s">
        <v>188</v>
      </c>
      <c r="C74" s="10">
        <v>43678</v>
      </c>
      <c r="D74" s="2">
        <v>43678</v>
      </c>
      <c r="E74" t="s">
        <v>191</v>
      </c>
      <c r="F74">
        <v>4</v>
      </c>
      <c r="G74" t="s">
        <v>179</v>
      </c>
    </row>
    <row r="75" spans="1:7" x14ac:dyDescent="0.3">
      <c r="A75" t="s">
        <v>195</v>
      </c>
      <c r="B75" t="s">
        <v>185</v>
      </c>
      <c r="C75" s="10">
        <v>43678</v>
      </c>
      <c r="D75" s="2">
        <v>43678</v>
      </c>
      <c r="E75" t="s">
        <v>182</v>
      </c>
      <c r="F75">
        <v>2</v>
      </c>
      <c r="G75" t="s">
        <v>183</v>
      </c>
    </row>
    <row r="76" spans="1:7" x14ac:dyDescent="0.3">
      <c r="A76" t="s">
        <v>195</v>
      </c>
      <c r="B76" t="s">
        <v>37</v>
      </c>
      <c r="C76" s="10">
        <v>43679</v>
      </c>
      <c r="D76" s="2">
        <v>43679</v>
      </c>
      <c r="E76" t="s">
        <v>192</v>
      </c>
      <c r="F76">
        <v>8</v>
      </c>
      <c r="G76" t="s">
        <v>184</v>
      </c>
    </row>
    <row r="77" spans="1:7" x14ac:dyDescent="0.3">
      <c r="A77" t="s">
        <v>195</v>
      </c>
      <c r="B77" t="s">
        <v>37</v>
      </c>
      <c r="C77" s="10">
        <v>43679</v>
      </c>
      <c r="D77" s="2">
        <v>43679</v>
      </c>
      <c r="E77" t="s">
        <v>192</v>
      </c>
      <c r="F77">
        <v>5</v>
      </c>
      <c r="G77" t="s">
        <v>180</v>
      </c>
    </row>
    <row r="78" spans="1:7" x14ac:dyDescent="0.3">
      <c r="A78" t="s">
        <v>195</v>
      </c>
      <c r="B78" t="s">
        <v>37</v>
      </c>
      <c r="C78" s="10">
        <v>43679</v>
      </c>
      <c r="D78" s="2">
        <v>43679</v>
      </c>
      <c r="E78" t="s">
        <v>182</v>
      </c>
      <c r="F78">
        <v>7</v>
      </c>
      <c r="G78" t="s">
        <v>181</v>
      </c>
    </row>
    <row r="79" spans="1:7" x14ac:dyDescent="0.3">
      <c r="A79" t="s">
        <v>195</v>
      </c>
      <c r="B79" t="s">
        <v>37</v>
      </c>
      <c r="C79" s="10">
        <v>43679</v>
      </c>
      <c r="D79" s="2">
        <v>43679</v>
      </c>
      <c r="E79" t="s">
        <v>191</v>
      </c>
      <c r="F79">
        <v>2</v>
      </c>
      <c r="G79" t="s">
        <v>183</v>
      </c>
    </row>
    <row r="80" spans="1:7" x14ac:dyDescent="0.3">
      <c r="A80" t="s">
        <v>195</v>
      </c>
      <c r="B80" t="s">
        <v>37</v>
      </c>
      <c r="C80" s="10">
        <v>43679</v>
      </c>
      <c r="D80" s="2">
        <v>43679</v>
      </c>
      <c r="E80" t="s">
        <v>192</v>
      </c>
      <c r="F80">
        <v>3</v>
      </c>
      <c r="G80" t="s">
        <v>174</v>
      </c>
    </row>
    <row r="81" spans="1:7" x14ac:dyDescent="0.3">
      <c r="A81" t="s">
        <v>195</v>
      </c>
      <c r="B81" t="s">
        <v>37</v>
      </c>
      <c r="C81" s="10">
        <v>43679</v>
      </c>
      <c r="D81" s="2">
        <v>43679</v>
      </c>
      <c r="E81" t="s">
        <v>190</v>
      </c>
      <c r="F81">
        <v>8</v>
      </c>
      <c r="G81" t="s">
        <v>184</v>
      </c>
    </row>
    <row r="82" spans="1:7" x14ac:dyDescent="0.3">
      <c r="A82" t="s">
        <v>195</v>
      </c>
      <c r="B82" t="s">
        <v>37</v>
      </c>
      <c r="C82" s="10">
        <v>43682</v>
      </c>
      <c r="D82" s="2">
        <v>43682</v>
      </c>
      <c r="E82" t="s">
        <v>189</v>
      </c>
      <c r="F82">
        <v>6</v>
      </c>
      <c r="G82" t="s">
        <v>177</v>
      </c>
    </row>
    <row r="83" spans="1:7" x14ac:dyDescent="0.3">
      <c r="A83" t="s">
        <v>195</v>
      </c>
      <c r="B83" t="s">
        <v>37</v>
      </c>
      <c r="C83" s="10">
        <v>43682</v>
      </c>
      <c r="D83" s="2">
        <v>43682</v>
      </c>
      <c r="E83" t="s">
        <v>182</v>
      </c>
      <c r="F83">
        <v>5</v>
      </c>
      <c r="G83" t="s">
        <v>180</v>
      </c>
    </row>
    <row r="84" spans="1:7" x14ac:dyDescent="0.3">
      <c r="A84" t="s">
        <v>195</v>
      </c>
      <c r="B84" t="s">
        <v>37</v>
      </c>
      <c r="C84" s="10">
        <v>43682</v>
      </c>
      <c r="D84" s="2">
        <v>43682</v>
      </c>
      <c r="E84" t="s">
        <v>173</v>
      </c>
      <c r="F84">
        <v>8</v>
      </c>
      <c r="G84" t="s">
        <v>184</v>
      </c>
    </row>
    <row r="85" spans="1:7" x14ac:dyDescent="0.3">
      <c r="A85" t="s">
        <v>195</v>
      </c>
      <c r="B85" t="s">
        <v>37</v>
      </c>
      <c r="C85" s="10">
        <v>43682</v>
      </c>
      <c r="D85" s="2">
        <v>43682</v>
      </c>
      <c r="E85" t="s">
        <v>190</v>
      </c>
      <c r="F85">
        <v>6</v>
      </c>
      <c r="G85" t="s">
        <v>177</v>
      </c>
    </row>
    <row r="86" spans="1:7" x14ac:dyDescent="0.3">
      <c r="A86" t="s">
        <v>195</v>
      </c>
      <c r="B86" t="s">
        <v>37</v>
      </c>
      <c r="C86" s="10">
        <v>43682</v>
      </c>
      <c r="D86" s="2">
        <v>43682</v>
      </c>
      <c r="E86" t="s">
        <v>196</v>
      </c>
      <c r="F86">
        <v>7</v>
      </c>
      <c r="G86" t="s">
        <v>181</v>
      </c>
    </row>
    <row r="87" spans="1:7" x14ac:dyDescent="0.3">
      <c r="A87" t="s">
        <v>195</v>
      </c>
      <c r="B87" t="s">
        <v>37</v>
      </c>
      <c r="C87" s="10">
        <v>43682</v>
      </c>
      <c r="D87" s="2">
        <v>43682</v>
      </c>
      <c r="E87" t="s">
        <v>191</v>
      </c>
      <c r="F87">
        <v>1</v>
      </c>
      <c r="G87" t="s">
        <v>175</v>
      </c>
    </row>
    <row r="88" spans="1:7" x14ac:dyDescent="0.3">
      <c r="A88" t="s">
        <v>195</v>
      </c>
      <c r="B88" t="s">
        <v>37</v>
      </c>
      <c r="C88" s="10">
        <v>43683</v>
      </c>
      <c r="D88" s="2">
        <v>43683</v>
      </c>
      <c r="E88" t="s">
        <v>186</v>
      </c>
      <c r="F88">
        <v>1</v>
      </c>
      <c r="G88" t="s">
        <v>175</v>
      </c>
    </row>
    <row r="89" spans="1:7" x14ac:dyDescent="0.3">
      <c r="A89" t="s">
        <v>195</v>
      </c>
      <c r="B89" t="s">
        <v>37</v>
      </c>
      <c r="C89" s="10">
        <v>43683</v>
      </c>
      <c r="D89" s="2">
        <v>43683</v>
      </c>
      <c r="E89" t="s">
        <v>194</v>
      </c>
      <c r="F89">
        <v>1</v>
      </c>
      <c r="G89" t="s">
        <v>175</v>
      </c>
    </row>
    <row r="90" spans="1:7" x14ac:dyDescent="0.3">
      <c r="A90" t="s">
        <v>195</v>
      </c>
      <c r="B90" t="s">
        <v>37</v>
      </c>
      <c r="C90" s="10">
        <v>43683</v>
      </c>
      <c r="D90" s="2">
        <v>43683</v>
      </c>
      <c r="E90" t="s">
        <v>189</v>
      </c>
      <c r="F90">
        <v>7</v>
      </c>
      <c r="G90" t="s">
        <v>181</v>
      </c>
    </row>
    <row r="91" spans="1:7" x14ac:dyDescent="0.3">
      <c r="A91" t="s">
        <v>195</v>
      </c>
      <c r="B91" t="s">
        <v>37</v>
      </c>
      <c r="C91" s="10">
        <v>43683</v>
      </c>
      <c r="D91" s="2">
        <v>43683</v>
      </c>
      <c r="E91" t="s">
        <v>173</v>
      </c>
      <c r="F91">
        <v>4</v>
      </c>
      <c r="G91" t="s">
        <v>179</v>
      </c>
    </row>
    <row r="92" spans="1:7" x14ac:dyDescent="0.3">
      <c r="A92" t="s">
        <v>195</v>
      </c>
      <c r="B92" t="s">
        <v>37</v>
      </c>
      <c r="C92" s="10">
        <v>43683</v>
      </c>
      <c r="D92" s="2">
        <v>43683</v>
      </c>
      <c r="E92" t="s">
        <v>190</v>
      </c>
      <c r="F92">
        <v>1</v>
      </c>
      <c r="G92" t="s">
        <v>175</v>
      </c>
    </row>
    <row r="93" spans="1:7" x14ac:dyDescent="0.3">
      <c r="A93" t="s">
        <v>195</v>
      </c>
      <c r="B93" t="s">
        <v>37</v>
      </c>
      <c r="C93" s="10">
        <v>43683</v>
      </c>
      <c r="D93" s="2">
        <v>43683</v>
      </c>
      <c r="E93" t="s">
        <v>182</v>
      </c>
      <c r="F93">
        <v>5</v>
      </c>
      <c r="G93" t="s">
        <v>180</v>
      </c>
    </row>
    <row r="94" spans="1:7" x14ac:dyDescent="0.3">
      <c r="A94" t="s">
        <v>195</v>
      </c>
      <c r="B94" t="s">
        <v>37</v>
      </c>
      <c r="C94" s="10">
        <v>43683</v>
      </c>
      <c r="D94" s="2">
        <v>43683</v>
      </c>
      <c r="E94" t="s">
        <v>182</v>
      </c>
      <c r="F94">
        <v>7</v>
      </c>
      <c r="G94" t="s">
        <v>181</v>
      </c>
    </row>
    <row r="95" spans="1:7" x14ac:dyDescent="0.3">
      <c r="A95" t="s">
        <v>195</v>
      </c>
      <c r="B95" t="s">
        <v>188</v>
      </c>
      <c r="C95" s="10">
        <v>43684</v>
      </c>
      <c r="D95" s="2">
        <v>43684</v>
      </c>
      <c r="E95" t="s">
        <v>194</v>
      </c>
      <c r="F95">
        <v>2</v>
      </c>
      <c r="G95" t="s">
        <v>183</v>
      </c>
    </row>
    <row r="96" spans="1:7" x14ac:dyDescent="0.3">
      <c r="A96" t="s">
        <v>195</v>
      </c>
      <c r="B96" t="s">
        <v>37</v>
      </c>
      <c r="C96" s="10">
        <v>43684</v>
      </c>
      <c r="D96" s="2">
        <v>43684</v>
      </c>
      <c r="E96" t="s">
        <v>178</v>
      </c>
      <c r="F96">
        <v>6</v>
      </c>
      <c r="G96" t="s">
        <v>177</v>
      </c>
    </row>
    <row r="97" spans="1:7" x14ac:dyDescent="0.3">
      <c r="A97" t="s">
        <v>195</v>
      </c>
      <c r="B97" t="s">
        <v>37</v>
      </c>
      <c r="C97" s="10">
        <v>43684</v>
      </c>
      <c r="D97" s="2">
        <v>43684</v>
      </c>
      <c r="E97" t="s">
        <v>192</v>
      </c>
      <c r="F97">
        <v>4</v>
      </c>
      <c r="G97" t="s">
        <v>179</v>
      </c>
    </row>
    <row r="98" spans="1:7" x14ac:dyDescent="0.3">
      <c r="A98" t="s">
        <v>195</v>
      </c>
      <c r="B98" t="s">
        <v>37</v>
      </c>
      <c r="C98" s="10">
        <v>43684</v>
      </c>
      <c r="D98" s="2">
        <v>43684</v>
      </c>
      <c r="E98" t="s">
        <v>189</v>
      </c>
      <c r="F98">
        <v>6</v>
      </c>
      <c r="G98" t="s">
        <v>177</v>
      </c>
    </row>
    <row r="99" spans="1:7" x14ac:dyDescent="0.3">
      <c r="A99" t="s">
        <v>195</v>
      </c>
      <c r="B99" t="s">
        <v>193</v>
      </c>
      <c r="C99" s="10">
        <v>43685</v>
      </c>
      <c r="D99" s="2">
        <v>43685</v>
      </c>
      <c r="E99" t="s">
        <v>173</v>
      </c>
      <c r="F99">
        <v>4</v>
      </c>
      <c r="G99" t="s">
        <v>179</v>
      </c>
    </row>
    <row r="100" spans="1:7" x14ac:dyDescent="0.3">
      <c r="A100" t="s">
        <v>195</v>
      </c>
      <c r="B100" t="s">
        <v>188</v>
      </c>
      <c r="C100" s="10">
        <v>43685</v>
      </c>
      <c r="D100" s="2">
        <v>43685</v>
      </c>
      <c r="E100" t="s">
        <v>186</v>
      </c>
      <c r="F100">
        <v>5</v>
      </c>
      <c r="G100" t="s">
        <v>180</v>
      </c>
    </row>
    <row r="101" spans="1:7" x14ac:dyDescent="0.3">
      <c r="A101" t="s">
        <v>195</v>
      </c>
      <c r="B101" t="s">
        <v>37</v>
      </c>
      <c r="C101" s="10">
        <v>43685</v>
      </c>
      <c r="D101" s="2">
        <v>43685</v>
      </c>
      <c r="E101" t="s">
        <v>194</v>
      </c>
      <c r="F101">
        <v>6</v>
      </c>
      <c r="G101" t="s">
        <v>177</v>
      </c>
    </row>
    <row r="102" spans="1:7" x14ac:dyDescent="0.3">
      <c r="A102" t="s">
        <v>195</v>
      </c>
      <c r="B102" t="s">
        <v>37</v>
      </c>
      <c r="C102" s="10">
        <v>43685</v>
      </c>
      <c r="D102" s="2">
        <v>43685</v>
      </c>
      <c r="E102" t="s">
        <v>182</v>
      </c>
      <c r="F102">
        <v>1</v>
      </c>
      <c r="G102" t="s">
        <v>175</v>
      </c>
    </row>
    <row r="103" spans="1:7" x14ac:dyDescent="0.3">
      <c r="A103" t="s">
        <v>195</v>
      </c>
      <c r="B103" t="s">
        <v>37</v>
      </c>
      <c r="C103" s="10">
        <v>43685</v>
      </c>
      <c r="D103" s="2">
        <v>43685</v>
      </c>
      <c r="E103" t="s">
        <v>190</v>
      </c>
      <c r="F103">
        <v>4</v>
      </c>
      <c r="G103" t="s">
        <v>179</v>
      </c>
    </row>
    <row r="104" spans="1:7" x14ac:dyDescent="0.3">
      <c r="A104" t="s">
        <v>195</v>
      </c>
      <c r="B104" t="s">
        <v>37</v>
      </c>
      <c r="C104" s="10">
        <v>43686</v>
      </c>
      <c r="D104" s="2">
        <v>43686</v>
      </c>
      <c r="E104" t="s">
        <v>186</v>
      </c>
      <c r="F104">
        <v>5</v>
      </c>
      <c r="G104" t="s">
        <v>180</v>
      </c>
    </row>
    <row r="105" spans="1:7" x14ac:dyDescent="0.3">
      <c r="A105" t="s">
        <v>195</v>
      </c>
      <c r="B105" t="s">
        <v>187</v>
      </c>
      <c r="C105" s="10">
        <v>43686</v>
      </c>
      <c r="D105" s="2">
        <v>43686</v>
      </c>
      <c r="E105" t="s">
        <v>189</v>
      </c>
      <c r="F105">
        <v>5</v>
      </c>
      <c r="G105" t="s">
        <v>180</v>
      </c>
    </row>
    <row r="106" spans="1:7" x14ac:dyDescent="0.3">
      <c r="A106" t="s">
        <v>195</v>
      </c>
      <c r="B106" t="s">
        <v>37</v>
      </c>
      <c r="C106" s="10">
        <v>43686</v>
      </c>
      <c r="D106" s="2">
        <v>43686</v>
      </c>
      <c r="E106" t="s">
        <v>186</v>
      </c>
      <c r="F106">
        <v>7</v>
      </c>
      <c r="G106" t="s">
        <v>181</v>
      </c>
    </row>
    <row r="107" spans="1:7" x14ac:dyDescent="0.3">
      <c r="A107" t="s">
        <v>195</v>
      </c>
      <c r="B107" t="s">
        <v>188</v>
      </c>
      <c r="C107" s="10">
        <v>43686</v>
      </c>
      <c r="D107" s="2">
        <v>43686</v>
      </c>
      <c r="E107" t="s">
        <v>196</v>
      </c>
      <c r="F107">
        <v>4</v>
      </c>
      <c r="G107" t="s">
        <v>179</v>
      </c>
    </row>
    <row r="108" spans="1:7" x14ac:dyDescent="0.3">
      <c r="A108" t="s">
        <v>195</v>
      </c>
      <c r="B108" t="s">
        <v>193</v>
      </c>
      <c r="C108" s="10">
        <v>43689</v>
      </c>
      <c r="D108" s="2">
        <v>43689</v>
      </c>
      <c r="E108" t="s">
        <v>178</v>
      </c>
      <c r="F108">
        <v>5</v>
      </c>
      <c r="G108" t="s">
        <v>180</v>
      </c>
    </row>
    <row r="109" spans="1:7" x14ac:dyDescent="0.3">
      <c r="A109" t="s">
        <v>195</v>
      </c>
      <c r="B109" t="s">
        <v>37</v>
      </c>
      <c r="C109" s="10">
        <v>43689</v>
      </c>
      <c r="D109" s="2">
        <v>43689</v>
      </c>
      <c r="E109" t="s">
        <v>186</v>
      </c>
      <c r="F109">
        <v>1</v>
      </c>
      <c r="G109" t="s">
        <v>175</v>
      </c>
    </row>
    <row r="110" spans="1:7" x14ac:dyDescent="0.3">
      <c r="A110" t="s">
        <v>195</v>
      </c>
      <c r="B110" t="s">
        <v>37</v>
      </c>
      <c r="C110" s="10">
        <v>43689</v>
      </c>
      <c r="D110" s="2">
        <v>43689</v>
      </c>
      <c r="E110" t="s">
        <v>189</v>
      </c>
      <c r="F110">
        <v>2</v>
      </c>
      <c r="G110" t="s">
        <v>183</v>
      </c>
    </row>
    <row r="111" spans="1:7" x14ac:dyDescent="0.3">
      <c r="A111" t="s">
        <v>195</v>
      </c>
      <c r="B111" t="s">
        <v>188</v>
      </c>
      <c r="C111" s="10">
        <v>43689</v>
      </c>
      <c r="D111" s="2">
        <v>43689</v>
      </c>
      <c r="E111" t="s">
        <v>176</v>
      </c>
      <c r="F111">
        <v>4</v>
      </c>
      <c r="G111" t="s">
        <v>179</v>
      </c>
    </row>
    <row r="112" spans="1:7" x14ac:dyDescent="0.3">
      <c r="A112" t="s">
        <v>195</v>
      </c>
      <c r="B112" t="s">
        <v>188</v>
      </c>
      <c r="C112" s="10">
        <v>43689</v>
      </c>
      <c r="D112" s="2">
        <v>43689</v>
      </c>
      <c r="E112" t="s">
        <v>191</v>
      </c>
      <c r="F112">
        <v>7</v>
      </c>
      <c r="G112" t="s">
        <v>181</v>
      </c>
    </row>
    <row r="113" spans="1:7" x14ac:dyDescent="0.3">
      <c r="A113" t="s">
        <v>195</v>
      </c>
      <c r="B113" t="s">
        <v>37</v>
      </c>
      <c r="C113" s="10">
        <v>43690</v>
      </c>
      <c r="D113" s="2">
        <v>43690</v>
      </c>
      <c r="E113" t="s">
        <v>192</v>
      </c>
      <c r="F113">
        <v>6</v>
      </c>
      <c r="G113" t="s">
        <v>177</v>
      </c>
    </row>
    <row r="114" spans="1:7" x14ac:dyDescent="0.3">
      <c r="A114" t="s">
        <v>195</v>
      </c>
      <c r="B114" t="s">
        <v>37</v>
      </c>
      <c r="C114" s="10">
        <v>43690</v>
      </c>
      <c r="D114" s="2">
        <v>43690</v>
      </c>
      <c r="E114" t="s">
        <v>182</v>
      </c>
      <c r="F114">
        <v>7</v>
      </c>
      <c r="G114" t="s">
        <v>181</v>
      </c>
    </row>
    <row r="115" spans="1:7" x14ac:dyDescent="0.3">
      <c r="A115" t="s">
        <v>195</v>
      </c>
      <c r="B115" t="s">
        <v>193</v>
      </c>
      <c r="C115" s="10">
        <v>43690</v>
      </c>
      <c r="D115" s="2">
        <v>43690</v>
      </c>
      <c r="E115" t="s">
        <v>182</v>
      </c>
      <c r="F115">
        <v>1</v>
      </c>
      <c r="G115" t="s">
        <v>175</v>
      </c>
    </row>
    <row r="116" spans="1:7" x14ac:dyDescent="0.3">
      <c r="A116" t="s">
        <v>195</v>
      </c>
      <c r="B116" t="s">
        <v>37</v>
      </c>
      <c r="C116" s="10">
        <v>43690</v>
      </c>
      <c r="D116" s="2">
        <v>43690</v>
      </c>
      <c r="E116" t="s">
        <v>189</v>
      </c>
      <c r="F116">
        <v>2</v>
      </c>
      <c r="G116" t="s">
        <v>183</v>
      </c>
    </row>
    <row r="117" spans="1:7" x14ac:dyDescent="0.3">
      <c r="A117" t="s">
        <v>195</v>
      </c>
      <c r="B117" t="s">
        <v>188</v>
      </c>
      <c r="C117" s="10">
        <v>43690</v>
      </c>
      <c r="D117" s="2">
        <v>43690</v>
      </c>
      <c r="E117" t="s">
        <v>173</v>
      </c>
      <c r="F117">
        <v>3</v>
      </c>
      <c r="G117" t="s">
        <v>174</v>
      </c>
    </row>
    <row r="118" spans="1:7" x14ac:dyDescent="0.3">
      <c r="A118" t="s">
        <v>195</v>
      </c>
      <c r="B118" t="s">
        <v>188</v>
      </c>
      <c r="C118" s="10">
        <v>43691</v>
      </c>
      <c r="D118" s="2">
        <v>43691</v>
      </c>
      <c r="E118" t="s">
        <v>186</v>
      </c>
      <c r="F118">
        <v>1</v>
      </c>
      <c r="G118" t="s">
        <v>175</v>
      </c>
    </row>
    <row r="119" spans="1:7" x14ac:dyDescent="0.3">
      <c r="A119" t="s">
        <v>195</v>
      </c>
      <c r="B119" t="s">
        <v>37</v>
      </c>
      <c r="C119" s="10">
        <v>43691</v>
      </c>
      <c r="D119" s="2">
        <v>43691</v>
      </c>
      <c r="E119" t="s">
        <v>182</v>
      </c>
      <c r="F119">
        <v>4</v>
      </c>
      <c r="G119" t="s">
        <v>179</v>
      </c>
    </row>
    <row r="120" spans="1:7" x14ac:dyDescent="0.3">
      <c r="A120" t="s">
        <v>195</v>
      </c>
      <c r="B120" t="s">
        <v>185</v>
      </c>
      <c r="C120" s="10">
        <v>43691</v>
      </c>
      <c r="D120" s="2">
        <v>43691</v>
      </c>
      <c r="E120" t="s">
        <v>182</v>
      </c>
      <c r="F120">
        <v>3</v>
      </c>
      <c r="G120" t="s">
        <v>174</v>
      </c>
    </row>
    <row r="121" spans="1:7" x14ac:dyDescent="0.3">
      <c r="A121" t="s">
        <v>195</v>
      </c>
      <c r="B121" t="s">
        <v>37</v>
      </c>
      <c r="C121" s="10">
        <v>43692</v>
      </c>
      <c r="D121" s="2">
        <v>43692</v>
      </c>
      <c r="E121" t="s">
        <v>196</v>
      </c>
      <c r="F121">
        <v>2</v>
      </c>
      <c r="G121" t="s">
        <v>183</v>
      </c>
    </row>
    <row r="122" spans="1:7" x14ac:dyDescent="0.3">
      <c r="A122" t="s">
        <v>195</v>
      </c>
      <c r="B122" t="s">
        <v>37</v>
      </c>
      <c r="C122" s="10">
        <v>43692</v>
      </c>
      <c r="D122" s="2">
        <v>43692</v>
      </c>
      <c r="E122" t="s">
        <v>178</v>
      </c>
      <c r="F122">
        <v>5</v>
      </c>
      <c r="G122" t="s">
        <v>180</v>
      </c>
    </row>
    <row r="123" spans="1:7" x14ac:dyDescent="0.3">
      <c r="A123" t="s">
        <v>195</v>
      </c>
      <c r="B123" t="s">
        <v>37</v>
      </c>
      <c r="C123" s="10">
        <v>43692</v>
      </c>
      <c r="D123" s="2">
        <v>43692</v>
      </c>
      <c r="E123" t="s">
        <v>190</v>
      </c>
      <c r="F123">
        <v>6</v>
      </c>
      <c r="G123" t="s">
        <v>177</v>
      </c>
    </row>
    <row r="124" spans="1:7" x14ac:dyDescent="0.3">
      <c r="A124" t="s">
        <v>198</v>
      </c>
      <c r="B124" t="s">
        <v>37</v>
      </c>
      <c r="C124" s="10">
        <v>43692</v>
      </c>
      <c r="D124" s="2">
        <v>43692</v>
      </c>
      <c r="E124" t="s">
        <v>189</v>
      </c>
      <c r="F124">
        <v>3</v>
      </c>
      <c r="G124" t="s">
        <v>174</v>
      </c>
    </row>
    <row r="125" spans="1:7" x14ac:dyDescent="0.3">
      <c r="A125" t="s">
        <v>198</v>
      </c>
      <c r="B125" t="s">
        <v>37</v>
      </c>
      <c r="C125" s="10">
        <v>43692</v>
      </c>
      <c r="D125" s="2">
        <v>43692</v>
      </c>
      <c r="E125" t="s">
        <v>194</v>
      </c>
      <c r="F125">
        <v>6</v>
      </c>
      <c r="G125" t="s">
        <v>177</v>
      </c>
    </row>
    <row r="126" spans="1:7" x14ac:dyDescent="0.3">
      <c r="A126" t="s">
        <v>198</v>
      </c>
      <c r="B126" t="s">
        <v>37</v>
      </c>
      <c r="C126" s="10">
        <v>43693</v>
      </c>
      <c r="D126" s="2">
        <v>43693</v>
      </c>
      <c r="E126" t="s">
        <v>178</v>
      </c>
      <c r="F126">
        <v>1</v>
      </c>
      <c r="G126" t="s">
        <v>175</v>
      </c>
    </row>
    <row r="127" spans="1:7" x14ac:dyDescent="0.3">
      <c r="A127" t="s">
        <v>198</v>
      </c>
      <c r="B127" t="s">
        <v>37</v>
      </c>
      <c r="C127" s="10">
        <v>43693</v>
      </c>
      <c r="D127" s="2">
        <v>43693</v>
      </c>
      <c r="E127" t="s">
        <v>191</v>
      </c>
      <c r="F127">
        <v>7</v>
      </c>
      <c r="G127" t="s">
        <v>181</v>
      </c>
    </row>
    <row r="128" spans="1:7" x14ac:dyDescent="0.3">
      <c r="A128" t="s">
        <v>198</v>
      </c>
      <c r="B128" t="s">
        <v>37</v>
      </c>
      <c r="C128" s="10">
        <v>43693</v>
      </c>
      <c r="D128" s="2">
        <v>43693</v>
      </c>
      <c r="E128" t="s">
        <v>186</v>
      </c>
      <c r="F128">
        <v>6</v>
      </c>
      <c r="G128" t="s">
        <v>177</v>
      </c>
    </row>
    <row r="129" spans="1:7" x14ac:dyDescent="0.3">
      <c r="A129" t="s">
        <v>198</v>
      </c>
      <c r="B129" t="s">
        <v>37</v>
      </c>
      <c r="C129" s="10">
        <v>43693</v>
      </c>
      <c r="D129" s="2">
        <v>43693</v>
      </c>
      <c r="E129" t="s">
        <v>189</v>
      </c>
      <c r="F129">
        <v>2</v>
      </c>
      <c r="G129" t="s">
        <v>183</v>
      </c>
    </row>
    <row r="130" spans="1:7" x14ac:dyDescent="0.3">
      <c r="A130" t="s">
        <v>198</v>
      </c>
      <c r="B130" t="s">
        <v>37</v>
      </c>
      <c r="C130" s="10">
        <v>43693</v>
      </c>
      <c r="D130" s="2">
        <v>43693</v>
      </c>
      <c r="E130" t="s">
        <v>182</v>
      </c>
      <c r="F130">
        <v>4</v>
      </c>
      <c r="G130" t="s">
        <v>179</v>
      </c>
    </row>
    <row r="131" spans="1:7" x14ac:dyDescent="0.3">
      <c r="A131" t="s">
        <v>198</v>
      </c>
      <c r="B131" t="s">
        <v>37</v>
      </c>
      <c r="C131" s="10">
        <v>43696</v>
      </c>
      <c r="D131" s="2">
        <v>43696</v>
      </c>
      <c r="E131" t="s">
        <v>176</v>
      </c>
      <c r="F131">
        <v>4</v>
      </c>
      <c r="G131" t="s">
        <v>179</v>
      </c>
    </row>
    <row r="132" spans="1:7" x14ac:dyDescent="0.3">
      <c r="A132" t="s">
        <v>198</v>
      </c>
      <c r="B132" t="s">
        <v>37</v>
      </c>
      <c r="C132" s="10">
        <v>43696</v>
      </c>
      <c r="D132" s="2">
        <v>43696</v>
      </c>
      <c r="E132" t="s">
        <v>194</v>
      </c>
      <c r="F132">
        <v>5</v>
      </c>
      <c r="G132" t="s">
        <v>180</v>
      </c>
    </row>
    <row r="133" spans="1:7" x14ac:dyDescent="0.3">
      <c r="A133" t="s">
        <v>198</v>
      </c>
      <c r="B133" t="s">
        <v>37</v>
      </c>
      <c r="C133" s="10">
        <v>43696</v>
      </c>
      <c r="D133" s="2">
        <v>43696</v>
      </c>
      <c r="E133" t="s">
        <v>189</v>
      </c>
      <c r="F133">
        <v>1</v>
      </c>
      <c r="G133" t="s">
        <v>175</v>
      </c>
    </row>
    <row r="134" spans="1:7" x14ac:dyDescent="0.3">
      <c r="A134" t="s">
        <v>198</v>
      </c>
      <c r="B134" t="s">
        <v>37</v>
      </c>
      <c r="C134" s="10">
        <v>43696</v>
      </c>
      <c r="D134" s="2">
        <v>43696</v>
      </c>
      <c r="E134" t="s">
        <v>173</v>
      </c>
      <c r="F134">
        <v>3</v>
      </c>
      <c r="G134" t="s">
        <v>174</v>
      </c>
    </row>
    <row r="135" spans="1:7" x14ac:dyDescent="0.3">
      <c r="A135" t="s">
        <v>198</v>
      </c>
      <c r="B135" t="s">
        <v>37</v>
      </c>
      <c r="C135" s="10">
        <v>43697</v>
      </c>
      <c r="D135" s="2">
        <v>43697</v>
      </c>
      <c r="E135" t="s">
        <v>192</v>
      </c>
      <c r="F135">
        <v>7</v>
      </c>
      <c r="G135" t="s">
        <v>181</v>
      </c>
    </row>
    <row r="136" spans="1:7" x14ac:dyDescent="0.3">
      <c r="A136" t="s">
        <v>198</v>
      </c>
      <c r="B136" t="s">
        <v>37</v>
      </c>
      <c r="C136" s="10">
        <v>43697</v>
      </c>
      <c r="D136" s="2">
        <v>43697</v>
      </c>
      <c r="E136" t="s">
        <v>176</v>
      </c>
      <c r="F136">
        <v>6</v>
      </c>
      <c r="G136" t="s">
        <v>177</v>
      </c>
    </row>
    <row r="137" spans="1:7" x14ac:dyDescent="0.3">
      <c r="A137" t="s">
        <v>198</v>
      </c>
      <c r="B137" t="s">
        <v>37</v>
      </c>
      <c r="C137" s="10">
        <v>43697</v>
      </c>
      <c r="D137" s="2">
        <v>43697</v>
      </c>
      <c r="E137" t="s">
        <v>176</v>
      </c>
      <c r="F137">
        <v>7</v>
      </c>
      <c r="G137" t="s">
        <v>181</v>
      </c>
    </row>
    <row r="138" spans="1:7" x14ac:dyDescent="0.3">
      <c r="A138" t="s">
        <v>198</v>
      </c>
      <c r="B138" t="s">
        <v>37</v>
      </c>
      <c r="C138" s="10">
        <v>43697</v>
      </c>
      <c r="D138" s="2">
        <v>43697</v>
      </c>
      <c r="E138" t="s">
        <v>186</v>
      </c>
      <c r="F138">
        <v>6</v>
      </c>
      <c r="G138" t="s">
        <v>177</v>
      </c>
    </row>
    <row r="139" spans="1:7" x14ac:dyDescent="0.3">
      <c r="A139" t="s">
        <v>198</v>
      </c>
      <c r="B139" t="s">
        <v>193</v>
      </c>
      <c r="C139" s="10">
        <v>43698</v>
      </c>
      <c r="D139" s="2">
        <v>43698</v>
      </c>
      <c r="E139" t="s">
        <v>176</v>
      </c>
      <c r="F139">
        <v>1</v>
      </c>
      <c r="G139" t="s">
        <v>175</v>
      </c>
    </row>
    <row r="140" spans="1:7" x14ac:dyDescent="0.3">
      <c r="A140" t="s">
        <v>198</v>
      </c>
      <c r="B140" t="s">
        <v>37</v>
      </c>
      <c r="C140" s="10">
        <v>43698</v>
      </c>
      <c r="D140" s="2">
        <v>43698</v>
      </c>
      <c r="E140" t="s">
        <v>186</v>
      </c>
      <c r="F140">
        <v>7</v>
      </c>
      <c r="G140" t="s">
        <v>181</v>
      </c>
    </row>
    <row r="141" spans="1:7" x14ac:dyDescent="0.3">
      <c r="A141" t="s">
        <v>198</v>
      </c>
      <c r="B141" t="s">
        <v>37</v>
      </c>
      <c r="C141" s="10">
        <v>43698</v>
      </c>
      <c r="D141" s="2">
        <v>43698</v>
      </c>
      <c r="E141" t="s">
        <v>186</v>
      </c>
      <c r="F141">
        <v>3</v>
      </c>
      <c r="G141" t="s">
        <v>174</v>
      </c>
    </row>
    <row r="142" spans="1:7" x14ac:dyDescent="0.3">
      <c r="A142" t="s">
        <v>198</v>
      </c>
      <c r="B142" t="s">
        <v>193</v>
      </c>
      <c r="C142" s="10">
        <v>43699</v>
      </c>
      <c r="D142" s="2">
        <v>43699</v>
      </c>
      <c r="E142" t="s">
        <v>178</v>
      </c>
      <c r="F142">
        <v>3</v>
      </c>
      <c r="G142" t="s">
        <v>174</v>
      </c>
    </row>
    <row r="143" spans="1:7" x14ac:dyDescent="0.3">
      <c r="A143" t="s">
        <v>198</v>
      </c>
      <c r="B143" t="s">
        <v>37</v>
      </c>
      <c r="C143" s="10">
        <v>43699</v>
      </c>
      <c r="D143" s="2">
        <v>43699</v>
      </c>
      <c r="E143" t="s">
        <v>176</v>
      </c>
      <c r="F143">
        <v>4</v>
      </c>
      <c r="G143" t="s">
        <v>179</v>
      </c>
    </row>
    <row r="144" spans="1:7" x14ac:dyDescent="0.3">
      <c r="A144" t="s">
        <v>198</v>
      </c>
      <c r="B144" t="s">
        <v>187</v>
      </c>
      <c r="C144" s="10">
        <v>43700</v>
      </c>
      <c r="D144" s="2">
        <v>43700</v>
      </c>
      <c r="E144" t="s">
        <v>189</v>
      </c>
      <c r="F144">
        <v>2</v>
      </c>
      <c r="G144" t="s">
        <v>183</v>
      </c>
    </row>
    <row r="145" spans="1:7" x14ac:dyDescent="0.3">
      <c r="A145" t="s">
        <v>198</v>
      </c>
      <c r="B145" t="s">
        <v>185</v>
      </c>
      <c r="C145" s="10">
        <v>43700</v>
      </c>
      <c r="D145" s="2">
        <v>43700</v>
      </c>
      <c r="E145" t="s">
        <v>194</v>
      </c>
      <c r="F145">
        <v>1</v>
      </c>
      <c r="G145" t="s">
        <v>175</v>
      </c>
    </row>
    <row r="146" spans="1:7" x14ac:dyDescent="0.3">
      <c r="A146" t="s">
        <v>198</v>
      </c>
      <c r="B146" t="s">
        <v>37</v>
      </c>
      <c r="C146" s="10">
        <v>43700</v>
      </c>
      <c r="D146" s="2">
        <v>43700</v>
      </c>
      <c r="E146" t="s">
        <v>192</v>
      </c>
      <c r="F146">
        <v>1</v>
      </c>
      <c r="G146" t="s">
        <v>175</v>
      </c>
    </row>
    <row r="147" spans="1:7" x14ac:dyDescent="0.3">
      <c r="A147" t="s">
        <v>198</v>
      </c>
      <c r="B147" t="s">
        <v>37</v>
      </c>
      <c r="C147" s="10">
        <v>43700</v>
      </c>
      <c r="D147" s="2">
        <v>43700</v>
      </c>
      <c r="E147" t="s">
        <v>190</v>
      </c>
      <c r="F147">
        <v>6</v>
      </c>
      <c r="G147" t="s">
        <v>177</v>
      </c>
    </row>
    <row r="148" spans="1:7" x14ac:dyDescent="0.3">
      <c r="A148" t="s">
        <v>198</v>
      </c>
      <c r="B148" t="s">
        <v>37</v>
      </c>
      <c r="C148" s="10">
        <v>43700</v>
      </c>
      <c r="D148" s="2">
        <v>43700</v>
      </c>
      <c r="E148" t="s">
        <v>189</v>
      </c>
      <c r="F148">
        <v>5</v>
      </c>
      <c r="G148" t="s">
        <v>180</v>
      </c>
    </row>
    <row r="149" spans="1:7" x14ac:dyDescent="0.3">
      <c r="A149" t="s">
        <v>198</v>
      </c>
      <c r="B149" t="s">
        <v>193</v>
      </c>
      <c r="C149" s="10">
        <v>43701</v>
      </c>
      <c r="D149" s="2">
        <v>43701</v>
      </c>
      <c r="E149" t="s">
        <v>196</v>
      </c>
      <c r="F149">
        <v>3</v>
      </c>
      <c r="G149" t="s">
        <v>174</v>
      </c>
    </row>
    <row r="150" spans="1:7" x14ac:dyDescent="0.3">
      <c r="A150" t="s">
        <v>198</v>
      </c>
      <c r="B150" t="s">
        <v>37</v>
      </c>
      <c r="C150" s="10">
        <v>43701</v>
      </c>
      <c r="D150" s="2">
        <v>43701</v>
      </c>
      <c r="E150" t="s">
        <v>178</v>
      </c>
      <c r="F150">
        <v>4</v>
      </c>
      <c r="G150" t="s">
        <v>179</v>
      </c>
    </row>
    <row r="151" spans="1:7" x14ac:dyDescent="0.3">
      <c r="A151" t="s">
        <v>198</v>
      </c>
      <c r="B151" t="s">
        <v>37</v>
      </c>
      <c r="C151" s="10">
        <v>43703</v>
      </c>
      <c r="D151" s="2">
        <v>43703</v>
      </c>
      <c r="E151" t="s">
        <v>190</v>
      </c>
      <c r="F151">
        <v>3</v>
      </c>
      <c r="G151" t="s">
        <v>174</v>
      </c>
    </row>
    <row r="152" spans="1:7" x14ac:dyDescent="0.3">
      <c r="A152" t="s">
        <v>198</v>
      </c>
      <c r="B152" t="s">
        <v>37</v>
      </c>
      <c r="C152" s="10">
        <v>43703</v>
      </c>
      <c r="D152" s="2">
        <v>43703</v>
      </c>
      <c r="E152" t="s">
        <v>189</v>
      </c>
      <c r="F152">
        <v>6</v>
      </c>
      <c r="G152" t="s">
        <v>177</v>
      </c>
    </row>
    <row r="153" spans="1:7" x14ac:dyDescent="0.3">
      <c r="A153" t="s">
        <v>198</v>
      </c>
      <c r="B153" t="s">
        <v>37</v>
      </c>
      <c r="C153" s="10">
        <v>43704</v>
      </c>
      <c r="D153" s="2">
        <v>43704</v>
      </c>
      <c r="E153" t="s">
        <v>191</v>
      </c>
      <c r="F153">
        <v>2</v>
      </c>
      <c r="G153" t="s">
        <v>183</v>
      </c>
    </row>
    <row r="154" spans="1:7" x14ac:dyDescent="0.3">
      <c r="A154" t="s">
        <v>198</v>
      </c>
      <c r="B154" t="s">
        <v>37</v>
      </c>
      <c r="C154" s="10">
        <v>43704</v>
      </c>
      <c r="D154" s="2">
        <v>43704</v>
      </c>
      <c r="E154" t="s">
        <v>190</v>
      </c>
      <c r="F154">
        <v>5</v>
      </c>
      <c r="G154" t="s">
        <v>180</v>
      </c>
    </row>
    <row r="155" spans="1:7" x14ac:dyDescent="0.3">
      <c r="A155" t="s">
        <v>198</v>
      </c>
      <c r="B155" t="s">
        <v>193</v>
      </c>
      <c r="C155" s="10">
        <v>43704</v>
      </c>
      <c r="D155" s="2">
        <v>43704</v>
      </c>
      <c r="E155" t="s">
        <v>178</v>
      </c>
      <c r="F155">
        <v>2</v>
      </c>
      <c r="G155" t="s">
        <v>183</v>
      </c>
    </row>
    <row r="156" spans="1:7" x14ac:dyDescent="0.3">
      <c r="A156" t="s">
        <v>198</v>
      </c>
      <c r="B156" t="s">
        <v>188</v>
      </c>
      <c r="C156" s="10">
        <v>43704</v>
      </c>
      <c r="D156" s="2">
        <v>43704</v>
      </c>
      <c r="E156" t="s">
        <v>176</v>
      </c>
      <c r="F156">
        <v>2</v>
      </c>
      <c r="G156" t="s">
        <v>183</v>
      </c>
    </row>
    <row r="157" spans="1:7" x14ac:dyDescent="0.3">
      <c r="A157" t="s">
        <v>198</v>
      </c>
      <c r="B157" t="s">
        <v>37</v>
      </c>
      <c r="C157" s="10">
        <v>43705</v>
      </c>
      <c r="D157" s="2">
        <v>43705</v>
      </c>
      <c r="E157" t="s">
        <v>194</v>
      </c>
      <c r="F157">
        <v>4</v>
      </c>
      <c r="G157" t="s">
        <v>179</v>
      </c>
    </row>
    <row r="158" spans="1:7" x14ac:dyDescent="0.3">
      <c r="A158" t="s">
        <v>198</v>
      </c>
      <c r="B158" t="s">
        <v>37</v>
      </c>
      <c r="C158" s="10">
        <v>43705</v>
      </c>
      <c r="D158" s="2">
        <v>43705</v>
      </c>
      <c r="E158" t="s">
        <v>182</v>
      </c>
      <c r="F158">
        <v>1</v>
      </c>
      <c r="G158" t="s">
        <v>175</v>
      </c>
    </row>
    <row r="159" spans="1:7" x14ac:dyDescent="0.3">
      <c r="A159" t="s">
        <v>198</v>
      </c>
      <c r="B159" t="s">
        <v>37</v>
      </c>
      <c r="C159" s="10">
        <v>43705</v>
      </c>
      <c r="D159" s="2">
        <v>43705</v>
      </c>
      <c r="E159" t="s">
        <v>178</v>
      </c>
      <c r="F159">
        <v>4</v>
      </c>
      <c r="G159" t="s">
        <v>179</v>
      </c>
    </row>
    <row r="160" spans="1:7" x14ac:dyDescent="0.3">
      <c r="A160" t="s">
        <v>198</v>
      </c>
      <c r="B160" t="s">
        <v>37</v>
      </c>
      <c r="C160" s="10">
        <v>43705</v>
      </c>
      <c r="D160" s="2">
        <v>43705</v>
      </c>
      <c r="E160" t="s">
        <v>173</v>
      </c>
      <c r="F160">
        <v>1</v>
      </c>
      <c r="G160" t="s">
        <v>175</v>
      </c>
    </row>
    <row r="161" spans="1:7" x14ac:dyDescent="0.3">
      <c r="A161" t="s">
        <v>198</v>
      </c>
      <c r="B161" t="s">
        <v>187</v>
      </c>
      <c r="C161" s="10">
        <v>43706</v>
      </c>
      <c r="D161" s="2">
        <v>43706</v>
      </c>
      <c r="E161" t="s">
        <v>173</v>
      </c>
      <c r="F161">
        <v>6</v>
      </c>
      <c r="G161" t="s">
        <v>177</v>
      </c>
    </row>
    <row r="162" spans="1:7" x14ac:dyDescent="0.3">
      <c r="A162" t="s">
        <v>198</v>
      </c>
      <c r="B162" t="s">
        <v>37</v>
      </c>
      <c r="C162" s="10">
        <v>43706</v>
      </c>
      <c r="D162" s="2">
        <v>43706</v>
      </c>
      <c r="E162" t="s">
        <v>176</v>
      </c>
      <c r="F162">
        <v>4</v>
      </c>
      <c r="G162" t="s">
        <v>179</v>
      </c>
    </row>
    <row r="163" spans="1:7" x14ac:dyDescent="0.3">
      <c r="A163" t="s">
        <v>198</v>
      </c>
      <c r="B163" t="s">
        <v>37</v>
      </c>
      <c r="C163" s="10">
        <v>43706</v>
      </c>
      <c r="D163" s="2">
        <v>43706</v>
      </c>
      <c r="E163" t="s">
        <v>189</v>
      </c>
      <c r="F163">
        <v>7</v>
      </c>
      <c r="G163" t="s">
        <v>181</v>
      </c>
    </row>
    <row r="164" spans="1:7" x14ac:dyDescent="0.3">
      <c r="A164" t="s">
        <v>198</v>
      </c>
      <c r="B164" t="s">
        <v>37</v>
      </c>
      <c r="C164" s="10">
        <v>43707</v>
      </c>
      <c r="D164" s="2">
        <v>43707</v>
      </c>
      <c r="E164" t="s">
        <v>178</v>
      </c>
      <c r="F164">
        <v>5</v>
      </c>
      <c r="G164" t="s">
        <v>180</v>
      </c>
    </row>
    <row r="165" spans="1:7" x14ac:dyDescent="0.3">
      <c r="A165" t="s">
        <v>198</v>
      </c>
      <c r="B165" t="s">
        <v>37</v>
      </c>
      <c r="C165" s="10">
        <v>43707</v>
      </c>
      <c r="D165" s="2">
        <v>43707</v>
      </c>
      <c r="E165" t="s">
        <v>178</v>
      </c>
      <c r="F165">
        <v>2</v>
      </c>
      <c r="G165" t="s">
        <v>183</v>
      </c>
    </row>
    <row r="166" spans="1:7" x14ac:dyDescent="0.3">
      <c r="A166" t="s">
        <v>198</v>
      </c>
      <c r="B166" t="s">
        <v>37</v>
      </c>
      <c r="C166" s="10">
        <v>43707</v>
      </c>
      <c r="D166" s="2">
        <v>43707</v>
      </c>
      <c r="E166" t="s">
        <v>189</v>
      </c>
      <c r="F166">
        <v>5</v>
      </c>
      <c r="G166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636E-BD36-4208-8901-5BE9609CF00A}">
  <dimension ref="A1:I16"/>
  <sheetViews>
    <sheetView workbookViewId="0">
      <selection activeCell="G14" sqref="G14"/>
    </sheetView>
  </sheetViews>
  <sheetFormatPr defaultRowHeight="14.4" x14ac:dyDescent="0.3"/>
  <cols>
    <col min="1" max="1" width="11.88671875" bestFit="1" customWidth="1"/>
    <col min="2" max="2" width="11.88671875" customWidth="1"/>
    <col min="3" max="3" width="12.21875" bestFit="1" customWidth="1"/>
    <col min="4" max="4" width="12.21875" customWidth="1"/>
    <col min="6" max="6" width="12" bestFit="1" customWidth="1"/>
    <col min="7" max="7" width="15.5546875" bestFit="1" customWidth="1"/>
    <col min="8" max="8" width="14" bestFit="1" customWidth="1"/>
    <col min="9" max="9" width="10.109375" bestFit="1" customWidth="1"/>
  </cols>
  <sheetData>
    <row r="1" spans="1:9" ht="15" thickBot="1" x14ac:dyDescent="0.35">
      <c r="A1" s="17" t="s">
        <v>201</v>
      </c>
      <c r="B1" s="17" t="s">
        <v>201</v>
      </c>
      <c r="C1" s="17" t="s">
        <v>201</v>
      </c>
      <c r="D1" s="18">
        <v>2.0833333333333332E-2</v>
      </c>
      <c r="F1" s="15" t="s">
        <v>200</v>
      </c>
      <c r="G1" s="15" t="s">
        <v>202</v>
      </c>
      <c r="H1" s="15" t="s">
        <v>203</v>
      </c>
    </row>
    <row r="2" spans="1:9" x14ac:dyDescent="0.3">
      <c r="A2" s="13">
        <v>0.35416666666666669</v>
      </c>
      <c r="B2" s="13">
        <v>0.35416666666666669</v>
      </c>
      <c r="C2" s="13">
        <v>0.35416666666666669</v>
      </c>
      <c r="D2" s="13"/>
      <c r="E2" s="7"/>
      <c r="F2" s="12">
        <v>0.35555555555555557</v>
      </c>
      <c r="G2" s="12">
        <v>0.36527777777777781</v>
      </c>
      <c r="H2" s="12">
        <f>G2-F2</f>
        <v>9.7222222222222432E-3</v>
      </c>
    </row>
    <row r="3" spans="1:9" x14ac:dyDescent="0.3">
      <c r="A3" s="7">
        <f>A2+"00:15:00"</f>
        <v>0.36458333333333337</v>
      </c>
      <c r="B3" s="7">
        <f>B2+1/24/4</f>
        <v>0.36458333333333337</v>
      </c>
      <c r="C3" s="24">
        <f>C2+$D$1</f>
        <v>0.375</v>
      </c>
      <c r="D3" s="13"/>
      <c r="F3" s="12">
        <v>0.3666666666666667</v>
      </c>
      <c r="G3" s="12">
        <v>0.37708333333333338</v>
      </c>
      <c r="H3" s="12">
        <f t="shared" ref="H3:H6" si="0">G3-F3</f>
        <v>1.0416666666666685E-2</v>
      </c>
    </row>
    <row r="4" spans="1:9" x14ac:dyDescent="0.3">
      <c r="A4" s="7">
        <f t="shared" ref="A4:A7" si="1">A3+"00:15:00"</f>
        <v>0.37500000000000006</v>
      </c>
      <c r="B4" s="7">
        <f t="shared" ref="B4:B7" si="2">B3+1/24/4</f>
        <v>0.37500000000000006</v>
      </c>
      <c r="C4" s="24">
        <f t="shared" ref="C4:C7" si="3">C3+$D$1</f>
        <v>0.39583333333333331</v>
      </c>
      <c r="D4" s="13"/>
      <c r="F4" s="12">
        <v>0.37708333333333338</v>
      </c>
      <c r="G4" s="12">
        <v>0.38541666666666669</v>
      </c>
      <c r="H4" s="12">
        <f t="shared" si="0"/>
        <v>8.3333333333333037E-3</v>
      </c>
    </row>
    <row r="5" spans="1:9" x14ac:dyDescent="0.3">
      <c r="A5" s="7">
        <f t="shared" si="1"/>
        <v>0.38541666666666674</v>
      </c>
      <c r="B5" s="7">
        <f t="shared" si="2"/>
        <v>0.38541666666666674</v>
      </c>
      <c r="C5" s="24">
        <f t="shared" si="3"/>
        <v>0.41666666666666663</v>
      </c>
      <c r="D5" s="13"/>
      <c r="F5" s="12">
        <v>0.38611111111111113</v>
      </c>
      <c r="G5" s="12">
        <v>0.39652777777777781</v>
      </c>
      <c r="H5" s="12">
        <f t="shared" si="0"/>
        <v>1.0416666666666685E-2</v>
      </c>
    </row>
    <row r="6" spans="1:9" x14ac:dyDescent="0.3">
      <c r="A6" s="7">
        <f t="shared" si="1"/>
        <v>0.39583333333333343</v>
      </c>
      <c r="B6" s="7">
        <f t="shared" si="2"/>
        <v>0.39583333333333343</v>
      </c>
      <c r="C6" s="24">
        <f t="shared" si="3"/>
        <v>0.43749999999999994</v>
      </c>
      <c r="D6" s="13"/>
      <c r="F6" s="12">
        <v>0.39861111111111108</v>
      </c>
      <c r="G6" s="12">
        <v>0.40972222222222227</v>
      </c>
      <c r="H6" s="12">
        <f t="shared" si="0"/>
        <v>1.1111111111111183E-2</v>
      </c>
    </row>
    <row r="7" spans="1:9" x14ac:dyDescent="0.3">
      <c r="A7" s="7">
        <f t="shared" si="1"/>
        <v>0.40625000000000011</v>
      </c>
      <c r="B7" s="7">
        <f t="shared" si="2"/>
        <v>0.40625000000000011</v>
      </c>
      <c r="C7" s="24">
        <f t="shared" si="3"/>
        <v>0.45833333333333326</v>
      </c>
    </row>
    <row r="8" spans="1:9" x14ac:dyDescent="0.3">
      <c r="C8" s="7"/>
    </row>
    <row r="9" spans="1:9" x14ac:dyDescent="0.3">
      <c r="C9" s="7"/>
    </row>
    <row r="10" spans="1:9" x14ac:dyDescent="0.3">
      <c r="C10" s="7"/>
    </row>
    <row r="11" spans="1:9" x14ac:dyDescent="0.3">
      <c r="C11" s="7"/>
    </row>
    <row r="12" spans="1:9" x14ac:dyDescent="0.3">
      <c r="C12" s="7"/>
    </row>
    <row r="16" spans="1:9" x14ac:dyDescent="0.3">
      <c r="I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679A-B69A-4A7C-987F-C8FE57AD2C34}">
  <sheetPr>
    <tabColor rgb="FF00B0F0"/>
  </sheetPr>
  <dimension ref="A1:H101"/>
  <sheetViews>
    <sheetView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35.6640625" bestFit="1" customWidth="1"/>
    <col min="2" max="2" width="15.5546875" bestFit="1" customWidth="1"/>
    <col min="3" max="3" width="15.109375" style="11" bestFit="1" customWidth="1"/>
    <col min="4" max="4" width="9.6640625" bestFit="1" customWidth="1"/>
    <col min="5" max="5" width="10.33203125" customWidth="1"/>
    <col min="6" max="6" width="11.88671875" customWidth="1"/>
    <col min="7" max="7" width="20.21875" bestFit="1" customWidth="1"/>
    <col min="8" max="8" width="23.5546875" bestFit="1" customWidth="1"/>
  </cols>
  <sheetData>
    <row r="1" spans="1:8" ht="43.8" thickBot="1" x14ac:dyDescent="0.35">
      <c r="A1" s="6" t="s">
        <v>47</v>
      </c>
      <c r="B1" s="6" t="s">
        <v>48</v>
      </c>
      <c r="C1" s="15" t="s">
        <v>49</v>
      </c>
      <c r="D1" s="27" t="s">
        <v>213</v>
      </c>
      <c r="E1" s="27" t="s">
        <v>214</v>
      </c>
      <c r="F1" s="27" t="s">
        <v>215</v>
      </c>
      <c r="G1" s="15" t="s">
        <v>208</v>
      </c>
      <c r="H1" s="15" t="s">
        <v>209</v>
      </c>
    </row>
    <row r="2" spans="1:8" x14ac:dyDescent="0.3">
      <c r="A2" t="s">
        <v>50</v>
      </c>
      <c r="B2" t="s">
        <v>51</v>
      </c>
      <c r="C2" s="16">
        <v>31011</v>
      </c>
      <c r="D2" s="25">
        <f ca="1">DATEDIF(C2,TODAY(),"D")</f>
        <v>14256</v>
      </c>
      <c r="E2">
        <f ca="1">DATEDIF(C2,TODAY(),"Y")</f>
        <v>39</v>
      </c>
      <c r="F2">
        <f ca="1">DATEDIF(C2,TODAY(),"M")</f>
        <v>468</v>
      </c>
      <c r="G2">
        <f ca="1">DATEDIF(C2,TODAY(),"YD")</f>
        <v>12</v>
      </c>
      <c r="H2">
        <f ca="1">DATEDIF(C2,TODAY(),"YM")</f>
        <v>0</v>
      </c>
    </row>
    <row r="3" spans="1:8" x14ac:dyDescent="0.3">
      <c r="A3" t="s">
        <v>52</v>
      </c>
      <c r="B3" t="s">
        <v>53</v>
      </c>
      <c r="C3" s="16">
        <v>27138</v>
      </c>
      <c r="D3">
        <f ca="1">DATEDIF(C3,TODAY(),"D")</f>
        <v>18129</v>
      </c>
      <c r="E3">
        <f t="shared" ref="E3:E66" ca="1" si="0">DATEDIF(C3,TODAY(),"Y")</f>
        <v>49</v>
      </c>
      <c r="F3">
        <f t="shared" ref="F3:F66" ca="1" si="1">DATEDIF(C3,TODAY(),"M")</f>
        <v>595</v>
      </c>
      <c r="G3">
        <f t="shared" ref="G3:G66" ca="1" si="2">DATEDIF(C3,TODAY(),"YD")</f>
        <v>232</v>
      </c>
      <c r="H3">
        <f t="shared" ref="H3:H66" ca="1" si="3">DATEDIF(C3,TODAY(),"YM")</f>
        <v>7</v>
      </c>
    </row>
    <row r="4" spans="1:8" x14ac:dyDescent="0.3">
      <c r="A4" t="s">
        <v>54</v>
      </c>
      <c r="B4" t="s">
        <v>55</v>
      </c>
      <c r="C4" s="16">
        <v>24057</v>
      </c>
      <c r="D4" s="28">
        <f t="shared" ref="D4:D67" ca="1" si="4">TODAY()-C4</f>
        <v>21210</v>
      </c>
      <c r="E4">
        <f t="shared" ca="1" si="0"/>
        <v>58</v>
      </c>
      <c r="F4">
        <f t="shared" ca="1" si="1"/>
        <v>696</v>
      </c>
      <c r="G4">
        <f t="shared" ca="1" si="2"/>
        <v>26</v>
      </c>
      <c r="H4">
        <f t="shared" ca="1" si="3"/>
        <v>0</v>
      </c>
    </row>
    <row r="5" spans="1:8" x14ac:dyDescent="0.3">
      <c r="A5" t="s">
        <v>56</v>
      </c>
      <c r="B5" t="s">
        <v>53</v>
      </c>
      <c r="C5" s="16">
        <v>24667</v>
      </c>
      <c r="D5" s="10">
        <f t="shared" ca="1" si="4"/>
        <v>20600</v>
      </c>
      <c r="E5">
        <f t="shared" ca="1" si="0"/>
        <v>56</v>
      </c>
      <c r="F5">
        <f t="shared" ca="1" si="1"/>
        <v>676</v>
      </c>
      <c r="G5">
        <f t="shared" ca="1" si="2"/>
        <v>146</v>
      </c>
      <c r="H5">
        <f t="shared" ca="1" si="3"/>
        <v>4</v>
      </c>
    </row>
    <row r="6" spans="1:8" x14ac:dyDescent="0.3">
      <c r="A6" t="s">
        <v>57</v>
      </c>
      <c r="B6" t="s">
        <v>55</v>
      </c>
      <c r="C6" s="16">
        <v>29545</v>
      </c>
      <c r="D6" s="10">
        <f t="shared" ca="1" si="4"/>
        <v>15722</v>
      </c>
      <c r="E6">
        <f t="shared" ca="1" si="0"/>
        <v>43</v>
      </c>
      <c r="F6">
        <f t="shared" ca="1" si="1"/>
        <v>516</v>
      </c>
      <c r="G6">
        <f t="shared" ca="1" si="2"/>
        <v>17</v>
      </c>
      <c r="H6">
        <f t="shared" ca="1" si="3"/>
        <v>0</v>
      </c>
    </row>
    <row r="7" spans="1:8" x14ac:dyDescent="0.3">
      <c r="A7" t="s">
        <v>58</v>
      </c>
      <c r="B7" t="s">
        <v>59</v>
      </c>
      <c r="C7" s="16">
        <v>24447</v>
      </c>
      <c r="D7" s="10">
        <f t="shared" ca="1" si="4"/>
        <v>20820</v>
      </c>
      <c r="E7">
        <f t="shared" ca="1" si="0"/>
        <v>57</v>
      </c>
      <c r="F7">
        <f t="shared" ca="1" si="1"/>
        <v>684</v>
      </c>
      <c r="G7">
        <f t="shared" ca="1" si="2"/>
        <v>1</v>
      </c>
      <c r="H7">
        <f t="shared" ca="1" si="3"/>
        <v>0</v>
      </c>
    </row>
    <row r="8" spans="1:8" x14ac:dyDescent="0.3">
      <c r="A8" t="s">
        <v>60</v>
      </c>
      <c r="B8" t="s">
        <v>61</v>
      </c>
      <c r="C8" s="16">
        <v>32500</v>
      </c>
      <c r="D8" s="10">
        <f t="shared" ca="1" si="4"/>
        <v>12767</v>
      </c>
      <c r="E8">
        <f t="shared" ca="1" si="0"/>
        <v>34</v>
      </c>
      <c r="F8">
        <f t="shared" ca="1" si="1"/>
        <v>419</v>
      </c>
      <c r="G8">
        <f t="shared" ca="1" si="2"/>
        <v>349</v>
      </c>
      <c r="H8">
        <f t="shared" ca="1" si="3"/>
        <v>11</v>
      </c>
    </row>
    <row r="9" spans="1:8" x14ac:dyDescent="0.3">
      <c r="A9" t="s">
        <v>62</v>
      </c>
      <c r="B9" t="s">
        <v>55</v>
      </c>
      <c r="C9" s="16">
        <v>30346</v>
      </c>
      <c r="D9" s="10">
        <f t="shared" ca="1" si="4"/>
        <v>14921</v>
      </c>
      <c r="E9">
        <f t="shared" ca="1" si="0"/>
        <v>40</v>
      </c>
      <c r="F9">
        <f t="shared" ca="1" si="1"/>
        <v>490</v>
      </c>
      <c r="G9">
        <f t="shared" ca="1" si="2"/>
        <v>311</v>
      </c>
      <c r="H9">
        <f t="shared" ca="1" si="3"/>
        <v>10</v>
      </c>
    </row>
    <row r="10" spans="1:8" x14ac:dyDescent="0.3">
      <c r="A10" t="s">
        <v>63</v>
      </c>
      <c r="B10" t="s">
        <v>64</v>
      </c>
      <c r="C10" s="16">
        <v>28965</v>
      </c>
      <c r="D10" s="10">
        <f t="shared" ca="1" si="4"/>
        <v>16302</v>
      </c>
      <c r="E10">
        <f t="shared" ca="1" si="0"/>
        <v>44</v>
      </c>
      <c r="F10">
        <f t="shared" ca="1" si="1"/>
        <v>535</v>
      </c>
      <c r="G10">
        <f t="shared" ca="1" si="2"/>
        <v>231</v>
      </c>
      <c r="H10">
        <f t="shared" ca="1" si="3"/>
        <v>7</v>
      </c>
    </row>
    <row r="11" spans="1:8" x14ac:dyDescent="0.3">
      <c r="A11" t="s">
        <v>65</v>
      </c>
      <c r="B11" t="s">
        <v>66</v>
      </c>
      <c r="C11" s="16">
        <v>26279</v>
      </c>
      <c r="D11" s="10">
        <f t="shared" ca="1" si="4"/>
        <v>18988</v>
      </c>
      <c r="E11">
        <f t="shared" ca="1" si="0"/>
        <v>51</v>
      </c>
      <c r="F11">
        <f t="shared" ca="1" si="1"/>
        <v>623</v>
      </c>
      <c r="G11">
        <f t="shared" ca="1" si="2"/>
        <v>361</v>
      </c>
      <c r="H11">
        <f t="shared" ca="1" si="3"/>
        <v>11</v>
      </c>
    </row>
    <row r="12" spans="1:8" x14ac:dyDescent="0.3">
      <c r="A12" t="s">
        <v>67</v>
      </c>
      <c r="B12" t="s">
        <v>55</v>
      </c>
      <c r="C12" s="16">
        <v>23401</v>
      </c>
      <c r="D12" s="10">
        <f t="shared" ca="1" si="4"/>
        <v>21866</v>
      </c>
      <c r="E12">
        <f t="shared" ca="1" si="0"/>
        <v>59</v>
      </c>
      <c r="F12">
        <f t="shared" ca="1" si="1"/>
        <v>718</v>
      </c>
      <c r="G12">
        <f t="shared" ca="1" si="2"/>
        <v>317</v>
      </c>
      <c r="H12">
        <f t="shared" ca="1" si="3"/>
        <v>10</v>
      </c>
    </row>
    <row r="13" spans="1:8" x14ac:dyDescent="0.3">
      <c r="A13" t="s">
        <v>68</v>
      </c>
      <c r="B13" t="s">
        <v>69</v>
      </c>
      <c r="C13" s="16">
        <v>30683</v>
      </c>
      <c r="D13" s="10">
        <f t="shared" ca="1" si="4"/>
        <v>14584</v>
      </c>
      <c r="E13">
        <f t="shared" ca="1" si="0"/>
        <v>39</v>
      </c>
      <c r="F13">
        <f t="shared" ca="1" si="1"/>
        <v>479</v>
      </c>
      <c r="G13">
        <f t="shared" ca="1" si="2"/>
        <v>340</v>
      </c>
      <c r="H13">
        <f t="shared" ca="1" si="3"/>
        <v>11</v>
      </c>
    </row>
    <row r="14" spans="1:8" x14ac:dyDescent="0.3">
      <c r="A14" t="s">
        <v>70</v>
      </c>
      <c r="B14" t="s">
        <v>71</v>
      </c>
      <c r="C14" s="16">
        <v>33633</v>
      </c>
      <c r="D14" s="10">
        <f t="shared" ca="1" si="4"/>
        <v>11634</v>
      </c>
      <c r="E14">
        <f t="shared" ca="1" si="0"/>
        <v>31</v>
      </c>
      <c r="F14">
        <f t="shared" ca="1" si="1"/>
        <v>382</v>
      </c>
      <c r="G14">
        <f t="shared" ca="1" si="2"/>
        <v>312</v>
      </c>
      <c r="H14">
        <f t="shared" ca="1" si="3"/>
        <v>10</v>
      </c>
    </row>
    <row r="15" spans="1:8" x14ac:dyDescent="0.3">
      <c r="A15" t="s">
        <v>72</v>
      </c>
      <c r="B15" t="s">
        <v>66</v>
      </c>
      <c r="C15" s="16">
        <v>32667</v>
      </c>
      <c r="D15" s="10">
        <f t="shared" ca="1" si="4"/>
        <v>12600</v>
      </c>
      <c r="E15">
        <f t="shared" ca="1" si="0"/>
        <v>34</v>
      </c>
      <c r="F15">
        <f t="shared" ca="1" si="1"/>
        <v>413</v>
      </c>
      <c r="G15">
        <f t="shared" ca="1" si="2"/>
        <v>182</v>
      </c>
      <c r="H15">
        <f t="shared" ca="1" si="3"/>
        <v>5</v>
      </c>
    </row>
    <row r="16" spans="1:8" x14ac:dyDescent="0.3">
      <c r="A16" t="s">
        <v>73</v>
      </c>
      <c r="B16" t="s">
        <v>55</v>
      </c>
      <c r="C16" s="16">
        <v>29967</v>
      </c>
      <c r="D16" s="10">
        <f t="shared" ca="1" si="4"/>
        <v>15300</v>
      </c>
      <c r="E16">
        <f t="shared" ca="1" si="0"/>
        <v>41</v>
      </c>
      <c r="F16">
        <f t="shared" ca="1" si="1"/>
        <v>502</v>
      </c>
      <c r="G16">
        <f t="shared" ca="1" si="2"/>
        <v>325</v>
      </c>
      <c r="H16">
        <f t="shared" ca="1" si="3"/>
        <v>10</v>
      </c>
    </row>
    <row r="17" spans="1:8" x14ac:dyDescent="0.3">
      <c r="A17" t="s">
        <v>74</v>
      </c>
      <c r="B17" t="s">
        <v>59</v>
      </c>
      <c r="C17" s="16">
        <v>31537</v>
      </c>
      <c r="D17" s="10">
        <f t="shared" ca="1" si="4"/>
        <v>13730</v>
      </c>
      <c r="E17">
        <f t="shared" ca="1" si="0"/>
        <v>37</v>
      </c>
      <c r="F17">
        <f t="shared" ca="1" si="1"/>
        <v>451</v>
      </c>
      <c r="G17">
        <f t="shared" ca="1" si="2"/>
        <v>216</v>
      </c>
      <c r="H17">
        <f t="shared" ca="1" si="3"/>
        <v>7</v>
      </c>
    </row>
    <row r="18" spans="1:8" x14ac:dyDescent="0.3">
      <c r="A18" t="s">
        <v>75</v>
      </c>
      <c r="B18" t="s">
        <v>64</v>
      </c>
      <c r="C18" s="16">
        <v>31792</v>
      </c>
      <c r="D18" s="10">
        <f t="shared" ca="1" si="4"/>
        <v>13475</v>
      </c>
      <c r="E18">
        <f t="shared" ca="1" si="0"/>
        <v>36</v>
      </c>
      <c r="F18">
        <f t="shared" ca="1" si="1"/>
        <v>442</v>
      </c>
      <c r="G18">
        <f t="shared" ca="1" si="2"/>
        <v>326</v>
      </c>
      <c r="H18">
        <f t="shared" ca="1" si="3"/>
        <v>10</v>
      </c>
    </row>
    <row r="19" spans="1:8" x14ac:dyDescent="0.3">
      <c r="A19" t="s">
        <v>76</v>
      </c>
      <c r="B19" t="s">
        <v>55</v>
      </c>
      <c r="C19" s="16">
        <v>28774</v>
      </c>
      <c r="D19" s="10">
        <f t="shared" ca="1" si="4"/>
        <v>16493</v>
      </c>
      <c r="E19">
        <f t="shared" ca="1" si="0"/>
        <v>45</v>
      </c>
      <c r="F19">
        <f t="shared" ca="1" si="1"/>
        <v>541</v>
      </c>
      <c r="G19">
        <f t="shared" ca="1" si="2"/>
        <v>57</v>
      </c>
      <c r="H19">
        <f t="shared" ca="1" si="3"/>
        <v>1</v>
      </c>
    </row>
    <row r="20" spans="1:8" x14ac:dyDescent="0.3">
      <c r="A20" t="s">
        <v>77</v>
      </c>
      <c r="B20" t="s">
        <v>53</v>
      </c>
      <c r="C20" s="16">
        <v>33996</v>
      </c>
      <c r="D20" s="10">
        <f t="shared" ca="1" si="4"/>
        <v>11271</v>
      </c>
      <c r="E20">
        <f t="shared" ca="1" si="0"/>
        <v>30</v>
      </c>
      <c r="F20">
        <f t="shared" ca="1" si="1"/>
        <v>370</v>
      </c>
      <c r="G20">
        <f t="shared" ca="1" si="2"/>
        <v>314</v>
      </c>
      <c r="H20">
        <f t="shared" ca="1" si="3"/>
        <v>10</v>
      </c>
    </row>
    <row r="21" spans="1:8" x14ac:dyDescent="0.3">
      <c r="A21" t="s">
        <v>78</v>
      </c>
      <c r="B21" t="s">
        <v>69</v>
      </c>
      <c r="C21" s="16">
        <v>23913</v>
      </c>
      <c r="D21" s="10">
        <f t="shared" ca="1" si="4"/>
        <v>21354</v>
      </c>
      <c r="E21">
        <f t="shared" ca="1" si="0"/>
        <v>58</v>
      </c>
      <c r="F21">
        <f t="shared" ca="1" si="1"/>
        <v>701</v>
      </c>
      <c r="G21">
        <f t="shared" ca="1" si="2"/>
        <v>170</v>
      </c>
      <c r="H21">
        <f t="shared" ca="1" si="3"/>
        <v>5</v>
      </c>
    </row>
    <row r="22" spans="1:8" x14ac:dyDescent="0.3">
      <c r="A22" t="s">
        <v>79</v>
      </c>
      <c r="B22" t="s">
        <v>64</v>
      </c>
      <c r="C22" s="16">
        <v>32473</v>
      </c>
      <c r="D22" s="10">
        <f t="shared" ca="1" si="4"/>
        <v>12794</v>
      </c>
      <c r="E22">
        <f t="shared" ca="1" si="0"/>
        <v>35</v>
      </c>
      <c r="F22">
        <f t="shared" ca="1" si="1"/>
        <v>420</v>
      </c>
      <c r="G22">
        <f t="shared" ca="1" si="2"/>
        <v>11</v>
      </c>
      <c r="H22">
        <f t="shared" ca="1" si="3"/>
        <v>0</v>
      </c>
    </row>
    <row r="23" spans="1:8" x14ac:dyDescent="0.3">
      <c r="A23" t="s">
        <v>80</v>
      </c>
      <c r="B23" t="s">
        <v>51</v>
      </c>
      <c r="C23" s="16">
        <v>22349</v>
      </c>
      <c r="D23" s="10">
        <f t="shared" ca="1" si="4"/>
        <v>22918</v>
      </c>
      <c r="E23">
        <f t="shared" ca="1" si="0"/>
        <v>62</v>
      </c>
      <c r="F23">
        <f t="shared" ca="1" si="1"/>
        <v>752</v>
      </c>
      <c r="G23">
        <f t="shared" ca="1" si="2"/>
        <v>273</v>
      </c>
      <c r="H23">
        <f t="shared" ca="1" si="3"/>
        <v>8</v>
      </c>
    </row>
    <row r="24" spans="1:8" x14ac:dyDescent="0.3">
      <c r="A24" t="s">
        <v>81</v>
      </c>
      <c r="B24" t="s">
        <v>61</v>
      </c>
      <c r="C24" s="16">
        <v>23770</v>
      </c>
      <c r="D24" s="10">
        <f t="shared" ca="1" si="4"/>
        <v>21497</v>
      </c>
      <c r="E24">
        <f t="shared" ca="1" si="0"/>
        <v>58</v>
      </c>
      <c r="F24">
        <f t="shared" ca="1" si="1"/>
        <v>706</v>
      </c>
      <c r="G24">
        <f t="shared" ca="1" si="2"/>
        <v>313</v>
      </c>
      <c r="H24">
        <f t="shared" ca="1" si="3"/>
        <v>10</v>
      </c>
    </row>
    <row r="25" spans="1:8" x14ac:dyDescent="0.3">
      <c r="A25" t="s">
        <v>82</v>
      </c>
      <c r="B25" t="s">
        <v>71</v>
      </c>
      <c r="C25" s="16">
        <v>22525</v>
      </c>
      <c r="D25" s="10">
        <f t="shared" ca="1" si="4"/>
        <v>22742</v>
      </c>
      <c r="E25">
        <f t="shared" ca="1" si="0"/>
        <v>62</v>
      </c>
      <c r="F25">
        <f t="shared" ca="1" si="1"/>
        <v>747</v>
      </c>
      <c r="G25">
        <f t="shared" ca="1" si="2"/>
        <v>97</v>
      </c>
      <c r="H25">
        <f t="shared" ca="1" si="3"/>
        <v>3</v>
      </c>
    </row>
    <row r="26" spans="1:8" x14ac:dyDescent="0.3">
      <c r="A26" t="s">
        <v>83</v>
      </c>
      <c r="B26" t="s">
        <v>55</v>
      </c>
      <c r="C26" s="16">
        <v>34320</v>
      </c>
      <c r="D26" s="10">
        <f t="shared" ca="1" si="4"/>
        <v>10947</v>
      </c>
      <c r="E26">
        <f t="shared" ca="1" si="0"/>
        <v>29</v>
      </c>
      <c r="F26">
        <f t="shared" ca="1" si="1"/>
        <v>359</v>
      </c>
      <c r="G26">
        <f t="shared" ca="1" si="2"/>
        <v>355</v>
      </c>
      <c r="H26">
        <f t="shared" ca="1" si="3"/>
        <v>11</v>
      </c>
    </row>
    <row r="27" spans="1:8" x14ac:dyDescent="0.3">
      <c r="A27" t="s">
        <v>84</v>
      </c>
      <c r="B27" t="s">
        <v>66</v>
      </c>
      <c r="C27" s="16">
        <v>32265</v>
      </c>
      <c r="D27" s="10">
        <f t="shared" ca="1" si="4"/>
        <v>13002</v>
      </c>
      <c r="E27">
        <f t="shared" ca="1" si="0"/>
        <v>35</v>
      </c>
      <c r="F27">
        <f t="shared" ca="1" si="1"/>
        <v>427</v>
      </c>
      <c r="G27">
        <f t="shared" ca="1" si="2"/>
        <v>219</v>
      </c>
      <c r="H27">
        <f t="shared" ca="1" si="3"/>
        <v>7</v>
      </c>
    </row>
    <row r="28" spans="1:8" x14ac:dyDescent="0.3">
      <c r="A28" t="s">
        <v>85</v>
      </c>
      <c r="B28" t="s">
        <v>69</v>
      </c>
      <c r="C28" s="16">
        <v>32388</v>
      </c>
      <c r="D28" s="10">
        <f t="shared" ca="1" si="4"/>
        <v>12879</v>
      </c>
      <c r="E28">
        <f t="shared" ca="1" si="0"/>
        <v>35</v>
      </c>
      <c r="F28">
        <f t="shared" ca="1" si="1"/>
        <v>423</v>
      </c>
      <c r="G28">
        <f t="shared" ca="1" si="2"/>
        <v>96</v>
      </c>
      <c r="H28">
        <f t="shared" ca="1" si="3"/>
        <v>3</v>
      </c>
    </row>
    <row r="29" spans="1:8" x14ac:dyDescent="0.3">
      <c r="A29" t="s">
        <v>86</v>
      </c>
      <c r="B29" t="s">
        <v>51</v>
      </c>
      <c r="C29" s="16">
        <v>24183</v>
      </c>
      <c r="D29" s="10">
        <f t="shared" ca="1" si="4"/>
        <v>21084</v>
      </c>
      <c r="E29">
        <f t="shared" ca="1" si="0"/>
        <v>57</v>
      </c>
      <c r="F29">
        <f t="shared" ca="1" si="1"/>
        <v>692</v>
      </c>
      <c r="G29">
        <f t="shared" ca="1" si="2"/>
        <v>265</v>
      </c>
      <c r="H29">
        <f t="shared" ca="1" si="3"/>
        <v>8</v>
      </c>
    </row>
    <row r="30" spans="1:8" x14ac:dyDescent="0.3">
      <c r="A30" t="s">
        <v>87</v>
      </c>
      <c r="B30" t="s">
        <v>61</v>
      </c>
      <c r="C30" s="16">
        <v>25304</v>
      </c>
      <c r="D30" s="10">
        <f t="shared" ca="1" si="4"/>
        <v>19963</v>
      </c>
      <c r="E30">
        <f t="shared" ca="1" si="0"/>
        <v>54</v>
      </c>
      <c r="F30">
        <f t="shared" ca="1" si="1"/>
        <v>655</v>
      </c>
      <c r="G30">
        <f t="shared" ca="1" si="2"/>
        <v>240</v>
      </c>
      <c r="H30">
        <f t="shared" ca="1" si="3"/>
        <v>7</v>
      </c>
    </row>
    <row r="31" spans="1:8" x14ac:dyDescent="0.3">
      <c r="A31" t="s">
        <v>88</v>
      </c>
      <c r="B31" t="s">
        <v>69</v>
      </c>
      <c r="C31" s="16">
        <v>34127</v>
      </c>
      <c r="D31" s="10">
        <f t="shared" ca="1" si="4"/>
        <v>11140</v>
      </c>
      <c r="E31">
        <f t="shared" ca="1" si="0"/>
        <v>30</v>
      </c>
      <c r="F31">
        <f t="shared" ca="1" si="1"/>
        <v>366</v>
      </c>
      <c r="G31">
        <f t="shared" ca="1" si="2"/>
        <v>183</v>
      </c>
      <c r="H31">
        <f t="shared" ca="1" si="3"/>
        <v>6</v>
      </c>
    </row>
    <row r="32" spans="1:8" x14ac:dyDescent="0.3">
      <c r="A32" t="s">
        <v>89</v>
      </c>
      <c r="B32" t="s">
        <v>59</v>
      </c>
      <c r="C32" s="16">
        <v>32342</v>
      </c>
      <c r="D32" s="10">
        <f t="shared" ca="1" si="4"/>
        <v>12925</v>
      </c>
      <c r="E32">
        <f t="shared" ca="1" si="0"/>
        <v>35</v>
      </c>
      <c r="F32">
        <f t="shared" ca="1" si="1"/>
        <v>424</v>
      </c>
      <c r="G32">
        <f t="shared" ca="1" si="2"/>
        <v>142</v>
      </c>
      <c r="H32">
        <f t="shared" ca="1" si="3"/>
        <v>4</v>
      </c>
    </row>
    <row r="33" spans="1:8" x14ac:dyDescent="0.3">
      <c r="A33" t="s">
        <v>90</v>
      </c>
      <c r="B33" t="s">
        <v>66</v>
      </c>
      <c r="C33" s="16">
        <v>30828</v>
      </c>
      <c r="D33" s="10">
        <f t="shared" ca="1" si="4"/>
        <v>14439</v>
      </c>
      <c r="E33">
        <f t="shared" ca="1" si="0"/>
        <v>39</v>
      </c>
      <c r="F33">
        <f t="shared" ca="1" si="1"/>
        <v>474</v>
      </c>
      <c r="G33">
        <f t="shared" ca="1" si="2"/>
        <v>195</v>
      </c>
      <c r="H33">
        <f t="shared" ca="1" si="3"/>
        <v>6</v>
      </c>
    </row>
    <row r="34" spans="1:8" x14ac:dyDescent="0.3">
      <c r="A34" t="s">
        <v>91</v>
      </c>
      <c r="B34" t="s">
        <v>53</v>
      </c>
      <c r="C34" s="16">
        <v>26195</v>
      </c>
      <c r="D34" s="10">
        <f t="shared" ca="1" si="4"/>
        <v>19072</v>
      </c>
      <c r="E34">
        <f t="shared" ca="1" si="0"/>
        <v>52</v>
      </c>
      <c r="F34">
        <f t="shared" ca="1" si="1"/>
        <v>626</v>
      </c>
      <c r="G34">
        <f t="shared" ca="1" si="2"/>
        <v>79</v>
      </c>
      <c r="H34">
        <f t="shared" ca="1" si="3"/>
        <v>2</v>
      </c>
    </row>
    <row r="35" spans="1:8" x14ac:dyDescent="0.3">
      <c r="A35" t="s">
        <v>92</v>
      </c>
      <c r="B35" t="s">
        <v>53</v>
      </c>
      <c r="C35" s="16">
        <v>34485</v>
      </c>
      <c r="D35" s="10">
        <f t="shared" ca="1" si="4"/>
        <v>10782</v>
      </c>
      <c r="E35">
        <f t="shared" ca="1" si="0"/>
        <v>29</v>
      </c>
      <c r="F35">
        <f t="shared" ca="1" si="1"/>
        <v>354</v>
      </c>
      <c r="G35">
        <f t="shared" ca="1" si="2"/>
        <v>190</v>
      </c>
      <c r="H35">
        <f t="shared" ca="1" si="3"/>
        <v>6</v>
      </c>
    </row>
    <row r="36" spans="1:8" x14ac:dyDescent="0.3">
      <c r="A36" t="s">
        <v>93</v>
      </c>
      <c r="B36" t="s">
        <v>71</v>
      </c>
      <c r="C36" s="16">
        <v>34585</v>
      </c>
      <c r="D36" s="10">
        <f t="shared" ca="1" si="4"/>
        <v>10682</v>
      </c>
      <c r="E36">
        <f t="shared" ca="1" si="0"/>
        <v>29</v>
      </c>
      <c r="F36">
        <f t="shared" ca="1" si="1"/>
        <v>350</v>
      </c>
      <c r="G36">
        <f t="shared" ca="1" si="2"/>
        <v>90</v>
      </c>
      <c r="H36">
        <f t="shared" ca="1" si="3"/>
        <v>2</v>
      </c>
    </row>
    <row r="37" spans="1:8" x14ac:dyDescent="0.3">
      <c r="A37" t="s">
        <v>94</v>
      </c>
      <c r="B37" t="s">
        <v>71</v>
      </c>
      <c r="C37" s="16">
        <v>29375</v>
      </c>
      <c r="D37" s="10">
        <f t="shared" ca="1" si="4"/>
        <v>15892</v>
      </c>
      <c r="E37">
        <f t="shared" ca="1" si="0"/>
        <v>43</v>
      </c>
      <c r="F37">
        <f t="shared" ca="1" si="1"/>
        <v>522</v>
      </c>
      <c r="G37">
        <f t="shared" ca="1" si="2"/>
        <v>187</v>
      </c>
      <c r="H37">
        <f t="shared" ca="1" si="3"/>
        <v>6</v>
      </c>
    </row>
    <row r="38" spans="1:8" x14ac:dyDescent="0.3">
      <c r="A38" t="s">
        <v>95</v>
      </c>
      <c r="B38" t="s">
        <v>55</v>
      </c>
      <c r="C38" s="16">
        <v>22566</v>
      </c>
      <c r="D38" s="10">
        <f t="shared" ca="1" si="4"/>
        <v>22701</v>
      </c>
      <c r="E38">
        <f t="shared" ca="1" si="0"/>
        <v>62</v>
      </c>
      <c r="F38">
        <f t="shared" ca="1" si="1"/>
        <v>745</v>
      </c>
      <c r="G38">
        <f t="shared" ca="1" si="2"/>
        <v>56</v>
      </c>
      <c r="H38">
        <f t="shared" ca="1" si="3"/>
        <v>1</v>
      </c>
    </row>
    <row r="39" spans="1:8" x14ac:dyDescent="0.3">
      <c r="A39" t="s">
        <v>96</v>
      </c>
      <c r="B39" t="s">
        <v>61</v>
      </c>
      <c r="C39" s="16">
        <v>22136</v>
      </c>
      <c r="D39" s="10">
        <f t="shared" ca="1" si="4"/>
        <v>23131</v>
      </c>
      <c r="E39">
        <f t="shared" ca="1" si="0"/>
        <v>63</v>
      </c>
      <c r="F39">
        <f t="shared" ca="1" si="1"/>
        <v>759</v>
      </c>
      <c r="G39">
        <f t="shared" ca="1" si="2"/>
        <v>121</v>
      </c>
      <c r="H39">
        <f t="shared" ca="1" si="3"/>
        <v>3</v>
      </c>
    </row>
    <row r="40" spans="1:8" x14ac:dyDescent="0.3">
      <c r="A40" t="s">
        <v>97</v>
      </c>
      <c r="B40" t="s">
        <v>51</v>
      </c>
      <c r="C40" s="16">
        <v>26650</v>
      </c>
      <c r="D40" s="10">
        <f t="shared" ca="1" si="4"/>
        <v>18617</v>
      </c>
      <c r="E40">
        <f t="shared" ca="1" si="0"/>
        <v>50</v>
      </c>
      <c r="F40">
        <f t="shared" ca="1" si="1"/>
        <v>611</v>
      </c>
      <c r="G40">
        <f t="shared" ca="1" si="2"/>
        <v>355</v>
      </c>
      <c r="H40">
        <f t="shared" ca="1" si="3"/>
        <v>11</v>
      </c>
    </row>
    <row r="41" spans="1:8" x14ac:dyDescent="0.3">
      <c r="A41" t="s">
        <v>98</v>
      </c>
      <c r="B41" t="s">
        <v>61</v>
      </c>
      <c r="C41" s="16">
        <v>32410</v>
      </c>
      <c r="D41" s="10">
        <f t="shared" ca="1" si="4"/>
        <v>12857</v>
      </c>
      <c r="E41">
        <f t="shared" ca="1" si="0"/>
        <v>35</v>
      </c>
      <c r="F41">
        <f t="shared" ca="1" si="1"/>
        <v>422</v>
      </c>
      <c r="G41">
        <f t="shared" ca="1" si="2"/>
        <v>74</v>
      </c>
      <c r="H41">
        <f t="shared" ca="1" si="3"/>
        <v>2</v>
      </c>
    </row>
    <row r="42" spans="1:8" x14ac:dyDescent="0.3">
      <c r="A42" t="s">
        <v>99</v>
      </c>
      <c r="B42" t="s">
        <v>66</v>
      </c>
      <c r="C42" s="16">
        <v>25424</v>
      </c>
      <c r="D42" s="10">
        <f t="shared" ca="1" si="4"/>
        <v>19843</v>
      </c>
      <c r="E42">
        <f t="shared" ca="1" si="0"/>
        <v>54</v>
      </c>
      <c r="F42">
        <f t="shared" ca="1" si="1"/>
        <v>651</v>
      </c>
      <c r="G42">
        <f t="shared" ca="1" si="2"/>
        <v>120</v>
      </c>
      <c r="H42">
        <f t="shared" ca="1" si="3"/>
        <v>3</v>
      </c>
    </row>
    <row r="43" spans="1:8" x14ac:dyDescent="0.3">
      <c r="A43" t="s">
        <v>100</v>
      </c>
      <c r="B43" t="s">
        <v>66</v>
      </c>
      <c r="C43" s="16">
        <v>31288</v>
      </c>
      <c r="D43" s="10">
        <f t="shared" ca="1" si="4"/>
        <v>13979</v>
      </c>
      <c r="E43">
        <f t="shared" ca="1" si="0"/>
        <v>38</v>
      </c>
      <c r="F43">
        <f t="shared" ca="1" si="1"/>
        <v>459</v>
      </c>
      <c r="G43">
        <f t="shared" ca="1" si="2"/>
        <v>100</v>
      </c>
      <c r="H43">
        <f t="shared" ca="1" si="3"/>
        <v>3</v>
      </c>
    </row>
    <row r="44" spans="1:8" x14ac:dyDescent="0.3">
      <c r="A44" t="s">
        <v>101</v>
      </c>
      <c r="B44" t="s">
        <v>53</v>
      </c>
      <c r="C44" s="16">
        <v>22321</v>
      </c>
      <c r="D44" s="10">
        <f t="shared" ca="1" si="4"/>
        <v>22946</v>
      </c>
      <c r="E44">
        <f t="shared" ca="1" si="0"/>
        <v>62</v>
      </c>
      <c r="F44">
        <f t="shared" ca="1" si="1"/>
        <v>753</v>
      </c>
      <c r="G44">
        <f t="shared" ca="1" si="2"/>
        <v>301</v>
      </c>
      <c r="H44">
        <f t="shared" ca="1" si="3"/>
        <v>9</v>
      </c>
    </row>
    <row r="45" spans="1:8" x14ac:dyDescent="0.3">
      <c r="A45" t="s">
        <v>102</v>
      </c>
      <c r="B45" t="s">
        <v>66</v>
      </c>
      <c r="C45" s="16">
        <v>32532</v>
      </c>
      <c r="D45" s="10">
        <f t="shared" ca="1" si="4"/>
        <v>12735</v>
      </c>
      <c r="E45">
        <f t="shared" ca="1" si="0"/>
        <v>34</v>
      </c>
      <c r="F45">
        <f t="shared" ca="1" si="1"/>
        <v>418</v>
      </c>
      <c r="G45">
        <f t="shared" ca="1" si="2"/>
        <v>317</v>
      </c>
      <c r="H45">
        <f t="shared" ca="1" si="3"/>
        <v>10</v>
      </c>
    </row>
    <row r="46" spans="1:8" x14ac:dyDescent="0.3">
      <c r="A46" t="s">
        <v>103</v>
      </c>
      <c r="B46" t="s">
        <v>69</v>
      </c>
      <c r="C46" s="16">
        <v>34662</v>
      </c>
      <c r="D46" s="10">
        <f t="shared" ca="1" si="4"/>
        <v>10605</v>
      </c>
      <c r="E46">
        <f t="shared" ca="1" si="0"/>
        <v>29</v>
      </c>
      <c r="F46">
        <f t="shared" ca="1" si="1"/>
        <v>348</v>
      </c>
      <c r="G46">
        <f t="shared" ca="1" si="2"/>
        <v>13</v>
      </c>
      <c r="H46">
        <f t="shared" ca="1" si="3"/>
        <v>0</v>
      </c>
    </row>
    <row r="47" spans="1:8" x14ac:dyDescent="0.3">
      <c r="A47" t="s">
        <v>104</v>
      </c>
      <c r="B47" t="s">
        <v>59</v>
      </c>
      <c r="C47" s="16">
        <v>24268</v>
      </c>
      <c r="D47" s="10">
        <f t="shared" ca="1" si="4"/>
        <v>20999</v>
      </c>
      <c r="E47">
        <f t="shared" ca="1" si="0"/>
        <v>57</v>
      </c>
      <c r="F47">
        <f t="shared" ca="1" si="1"/>
        <v>689</v>
      </c>
      <c r="G47">
        <f t="shared" ca="1" si="2"/>
        <v>180</v>
      </c>
      <c r="H47">
        <f t="shared" ca="1" si="3"/>
        <v>5</v>
      </c>
    </row>
    <row r="48" spans="1:8" x14ac:dyDescent="0.3">
      <c r="A48" t="s">
        <v>105</v>
      </c>
      <c r="B48" t="s">
        <v>61</v>
      </c>
      <c r="C48" s="16">
        <v>23199</v>
      </c>
      <c r="D48" s="10">
        <f t="shared" ca="1" si="4"/>
        <v>22068</v>
      </c>
      <c r="E48">
        <f t="shared" ca="1" si="0"/>
        <v>60</v>
      </c>
      <c r="F48">
        <f t="shared" ca="1" si="1"/>
        <v>725</v>
      </c>
      <c r="G48">
        <f t="shared" ca="1" si="2"/>
        <v>153</v>
      </c>
      <c r="H48">
        <f t="shared" ca="1" si="3"/>
        <v>5</v>
      </c>
    </row>
    <row r="49" spans="1:8" x14ac:dyDescent="0.3">
      <c r="A49" t="s">
        <v>106</v>
      </c>
      <c r="B49" t="s">
        <v>71</v>
      </c>
      <c r="C49" s="16">
        <v>30395</v>
      </c>
      <c r="D49" s="10">
        <f t="shared" ca="1" si="4"/>
        <v>14872</v>
      </c>
      <c r="E49">
        <f t="shared" ca="1" si="0"/>
        <v>40</v>
      </c>
      <c r="F49">
        <f t="shared" ca="1" si="1"/>
        <v>488</v>
      </c>
      <c r="G49">
        <f t="shared" ca="1" si="2"/>
        <v>262</v>
      </c>
      <c r="H49">
        <f t="shared" ca="1" si="3"/>
        <v>8</v>
      </c>
    </row>
    <row r="50" spans="1:8" x14ac:dyDescent="0.3">
      <c r="A50" t="s">
        <v>107</v>
      </c>
      <c r="B50" t="s">
        <v>53</v>
      </c>
      <c r="C50" s="16">
        <v>32277</v>
      </c>
      <c r="D50" s="10">
        <f t="shared" ca="1" si="4"/>
        <v>12990</v>
      </c>
      <c r="E50">
        <f t="shared" ca="1" si="0"/>
        <v>35</v>
      </c>
      <c r="F50">
        <f t="shared" ca="1" si="1"/>
        <v>426</v>
      </c>
      <c r="G50">
        <f t="shared" ca="1" si="2"/>
        <v>207</v>
      </c>
      <c r="H50">
        <f t="shared" ca="1" si="3"/>
        <v>6</v>
      </c>
    </row>
    <row r="51" spans="1:8" x14ac:dyDescent="0.3">
      <c r="A51" t="s">
        <v>108</v>
      </c>
      <c r="B51" t="s">
        <v>71</v>
      </c>
      <c r="C51" s="16">
        <v>23134</v>
      </c>
      <c r="D51" s="10">
        <f t="shared" ca="1" si="4"/>
        <v>22133</v>
      </c>
      <c r="E51">
        <f t="shared" ca="1" si="0"/>
        <v>60</v>
      </c>
      <c r="F51">
        <f t="shared" ca="1" si="1"/>
        <v>727</v>
      </c>
      <c r="G51">
        <f t="shared" ca="1" si="2"/>
        <v>218</v>
      </c>
      <c r="H51">
        <f t="shared" ca="1" si="3"/>
        <v>7</v>
      </c>
    </row>
    <row r="52" spans="1:8" x14ac:dyDescent="0.3">
      <c r="A52" t="s">
        <v>109</v>
      </c>
      <c r="B52" t="s">
        <v>64</v>
      </c>
      <c r="C52" s="16">
        <v>27066</v>
      </c>
      <c r="D52" s="10">
        <f t="shared" ca="1" si="4"/>
        <v>18201</v>
      </c>
      <c r="E52">
        <f t="shared" ca="1" si="0"/>
        <v>49</v>
      </c>
      <c r="F52">
        <f t="shared" ca="1" si="1"/>
        <v>598</v>
      </c>
      <c r="G52">
        <f t="shared" ca="1" si="2"/>
        <v>304</v>
      </c>
      <c r="H52">
        <f t="shared" ca="1" si="3"/>
        <v>10</v>
      </c>
    </row>
    <row r="53" spans="1:8" x14ac:dyDescent="0.3">
      <c r="A53" t="s">
        <v>110</v>
      </c>
      <c r="B53" t="s">
        <v>69</v>
      </c>
      <c r="C53" s="16">
        <v>23843</v>
      </c>
      <c r="D53" s="10">
        <f t="shared" ca="1" si="4"/>
        <v>21424</v>
      </c>
      <c r="E53">
        <f t="shared" ca="1" si="0"/>
        <v>58</v>
      </c>
      <c r="F53">
        <f t="shared" ca="1" si="1"/>
        <v>703</v>
      </c>
      <c r="G53">
        <f t="shared" ca="1" si="2"/>
        <v>240</v>
      </c>
      <c r="H53">
        <f t="shared" ca="1" si="3"/>
        <v>7</v>
      </c>
    </row>
    <row r="54" spans="1:8" x14ac:dyDescent="0.3">
      <c r="A54" t="s">
        <v>111</v>
      </c>
      <c r="B54" t="s">
        <v>64</v>
      </c>
      <c r="C54" s="16">
        <v>26377</v>
      </c>
      <c r="D54" s="10">
        <f t="shared" ca="1" si="4"/>
        <v>18890</v>
      </c>
      <c r="E54">
        <f t="shared" ca="1" si="0"/>
        <v>51</v>
      </c>
      <c r="F54">
        <f t="shared" ca="1" si="1"/>
        <v>620</v>
      </c>
      <c r="G54">
        <f t="shared" ca="1" si="2"/>
        <v>263</v>
      </c>
      <c r="H54">
        <f t="shared" ca="1" si="3"/>
        <v>8</v>
      </c>
    </row>
    <row r="55" spans="1:8" x14ac:dyDescent="0.3">
      <c r="A55" t="s">
        <v>112</v>
      </c>
      <c r="B55" t="s">
        <v>64</v>
      </c>
      <c r="C55" s="16">
        <v>25591</v>
      </c>
      <c r="D55" s="10">
        <f t="shared" ca="1" si="4"/>
        <v>19676</v>
      </c>
      <c r="E55">
        <f t="shared" ca="1" si="0"/>
        <v>53</v>
      </c>
      <c r="F55">
        <f t="shared" ca="1" si="1"/>
        <v>646</v>
      </c>
      <c r="G55">
        <f t="shared" ca="1" si="2"/>
        <v>318</v>
      </c>
      <c r="H55">
        <f t="shared" ca="1" si="3"/>
        <v>10</v>
      </c>
    </row>
    <row r="56" spans="1:8" x14ac:dyDescent="0.3">
      <c r="A56" t="s">
        <v>113</v>
      </c>
      <c r="B56" t="s">
        <v>55</v>
      </c>
      <c r="C56" s="16">
        <v>25075</v>
      </c>
      <c r="D56" s="10">
        <f t="shared" ca="1" si="4"/>
        <v>20192</v>
      </c>
      <c r="E56">
        <f t="shared" ca="1" si="0"/>
        <v>55</v>
      </c>
      <c r="F56">
        <f t="shared" ca="1" si="1"/>
        <v>663</v>
      </c>
      <c r="G56">
        <f t="shared" ca="1" si="2"/>
        <v>104</v>
      </c>
      <c r="H56">
        <f t="shared" ca="1" si="3"/>
        <v>3</v>
      </c>
    </row>
    <row r="57" spans="1:8" x14ac:dyDescent="0.3">
      <c r="A57" t="s">
        <v>114</v>
      </c>
      <c r="B57" t="s">
        <v>61</v>
      </c>
      <c r="C57" s="16">
        <v>25405</v>
      </c>
      <c r="D57" s="10">
        <f t="shared" ca="1" si="4"/>
        <v>19862</v>
      </c>
      <c r="E57">
        <f t="shared" ca="1" si="0"/>
        <v>54</v>
      </c>
      <c r="F57">
        <f t="shared" ca="1" si="1"/>
        <v>652</v>
      </c>
      <c r="G57">
        <f t="shared" ca="1" si="2"/>
        <v>139</v>
      </c>
      <c r="H57">
        <f t="shared" ca="1" si="3"/>
        <v>4</v>
      </c>
    </row>
    <row r="58" spans="1:8" x14ac:dyDescent="0.3">
      <c r="A58" t="s">
        <v>115</v>
      </c>
      <c r="B58" t="s">
        <v>69</v>
      </c>
      <c r="C58" s="16">
        <v>33638</v>
      </c>
      <c r="D58" s="10">
        <f t="shared" ca="1" si="4"/>
        <v>11629</v>
      </c>
      <c r="E58">
        <f t="shared" ca="1" si="0"/>
        <v>31</v>
      </c>
      <c r="F58">
        <f t="shared" ca="1" si="1"/>
        <v>382</v>
      </c>
      <c r="G58">
        <f t="shared" ca="1" si="2"/>
        <v>307</v>
      </c>
      <c r="H58">
        <f t="shared" ca="1" si="3"/>
        <v>10</v>
      </c>
    </row>
    <row r="59" spans="1:8" x14ac:dyDescent="0.3">
      <c r="A59" t="s">
        <v>116</v>
      </c>
      <c r="B59" t="s">
        <v>69</v>
      </c>
      <c r="C59" s="16">
        <v>26611</v>
      </c>
      <c r="D59" s="10">
        <f t="shared" ca="1" si="4"/>
        <v>18656</v>
      </c>
      <c r="E59">
        <f t="shared" ca="1" si="0"/>
        <v>51</v>
      </c>
      <c r="F59">
        <f t="shared" ca="1" si="1"/>
        <v>612</v>
      </c>
      <c r="G59">
        <f t="shared" ca="1" si="2"/>
        <v>29</v>
      </c>
      <c r="H59">
        <f t="shared" ca="1" si="3"/>
        <v>0</v>
      </c>
    </row>
    <row r="60" spans="1:8" x14ac:dyDescent="0.3">
      <c r="A60" t="s">
        <v>117</v>
      </c>
      <c r="B60" t="s">
        <v>59</v>
      </c>
      <c r="C60" s="16">
        <v>23758</v>
      </c>
      <c r="D60" s="10">
        <f t="shared" ca="1" si="4"/>
        <v>21509</v>
      </c>
      <c r="E60">
        <f t="shared" ca="1" si="0"/>
        <v>58</v>
      </c>
      <c r="F60">
        <f t="shared" ca="1" si="1"/>
        <v>706</v>
      </c>
      <c r="G60">
        <f t="shared" ca="1" si="2"/>
        <v>325</v>
      </c>
      <c r="H60">
        <f t="shared" ca="1" si="3"/>
        <v>10</v>
      </c>
    </row>
    <row r="61" spans="1:8" x14ac:dyDescent="0.3">
      <c r="A61" t="s">
        <v>118</v>
      </c>
      <c r="B61" t="s">
        <v>71</v>
      </c>
      <c r="C61" s="16">
        <v>27669</v>
      </c>
      <c r="D61" s="10">
        <f t="shared" ca="1" si="4"/>
        <v>17598</v>
      </c>
      <c r="E61">
        <f t="shared" ca="1" si="0"/>
        <v>48</v>
      </c>
      <c r="F61">
        <f t="shared" ca="1" si="1"/>
        <v>578</v>
      </c>
      <c r="G61">
        <f t="shared" ca="1" si="2"/>
        <v>66</v>
      </c>
      <c r="H61">
        <f t="shared" ca="1" si="3"/>
        <v>2</v>
      </c>
    </row>
    <row r="62" spans="1:8" x14ac:dyDescent="0.3">
      <c r="A62" t="s">
        <v>119</v>
      </c>
      <c r="B62" t="s">
        <v>64</v>
      </c>
      <c r="C62" s="16">
        <v>34638</v>
      </c>
      <c r="D62" s="10">
        <f t="shared" ca="1" si="4"/>
        <v>10629</v>
      </c>
      <c r="E62">
        <f t="shared" ca="1" si="0"/>
        <v>29</v>
      </c>
      <c r="F62">
        <f t="shared" ca="1" si="1"/>
        <v>349</v>
      </c>
      <c r="G62">
        <f t="shared" ca="1" si="2"/>
        <v>37</v>
      </c>
      <c r="H62">
        <f t="shared" ca="1" si="3"/>
        <v>1</v>
      </c>
    </row>
    <row r="63" spans="1:8" x14ac:dyDescent="0.3">
      <c r="A63" t="s">
        <v>120</v>
      </c>
      <c r="B63" t="s">
        <v>53</v>
      </c>
      <c r="C63" s="16">
        <v>33841</v>
      </c>
      <c r="D63" s="10">
        <f t="shared" ca="1" si="4"/>
        <v>11426</v>
      </c>
      <c r="E63">
        <f t="shared" ca="1" si="0"/>
        <v>31</v>
      </c>
      <c r="F63">
        <f t="shared" ca="1" si="1"/>
        <v>375</v>
      </c>
      <c r="G63">
        <f t="shared" ca="1" si="2"/>
        <v>104</v>
      </c>
      <c r="H63">
        <f t="shared" ca="1" si="3"/>
        <v>3</v>
      </c>
    </row>
    <row r="64" spans="1:8" x14ac:dyDescent="0.3">
      <c r="A64" t="s">
        <v>121</v>
      </c>
      <c r="B64" t="s">
        <v>69</v>
      </c>
      <c r="C64" s="16">
        <v>33743</v>
      </c>
      <c r="D64" s="10">
        <f t="shared" ca="1" si="4"/>
        <v>11524</v>
      </c>
      <c r="E64">
        <f t="shared" ca="1" si="0"/>
        <v>31</v>
      </c>
      <c r="F64">
        <f t="shared" ca="1" si="1"/>
        <v>378</v>
      </c>
      <c r="G64">
        <f t="shared" ca="1" si="2"/>
        <v>202</v>
      </c>
      <c r="H64">
        <f t="shared" ca="1" si="3"/>
        <v>6</v>
      </c>
    </row>
    <row r="65" spans="1:8" x14ac:dyDescent="0.3">
      <c r="A65" t="s">
        <v>122</v>
      </c>
      <c r="B65" t="s">
        <v>71</v>
      </c>
      <c r="C65" s="16">
        <v>32068</v>
      </c>
      <c r="D65" s="10">
        <f t="shared" ca="1" si="4"/>
        <v>13199</v>
      </c>
      <c r="E65">
        <f t="shared" ca="1" si="0"/>
        <v>36</v>
      </c>
      <c r="F65">
        <f t="shared" ca="1" si="1"/>
        <v>433</v>
      </c>
      <c r="G65">
        <f t="shared" ca="1" si="2"/>
        <v>50</v>
      </c>
      <c r="H65">
        <f t="shared" ca="1" si="3"/>
        <v>1</v>
      </c>
    </row>
    <row r="66" spans="1:8" x14ac:dyDescent="0.3">
      <c r="A66" t="s">
        <v>123</v>
      </c>
      <c r="B66" t="s">
        <v>53</v>
      </c>
      <c r="C66" s="16">
        <v>34259</v>
      </c>
      <c r="D66" s="10">
        <f t="shared" ca="1" si="4"/>
        <v>11008</v>
      </c>
      <c r="E66">
        <f t="shared" ca="1" si="0"/>
        <v>30</v>
      </c>
      <c r="F66">
        <f t="shared" ca="1" si="1"/>
        <v>361</v>
      </c>
      <c r="G66">
        <f t="shared" ca="1" si="2"/>
        <v>51</v>
      </c>
      <c r="H66">
        <f t="shared" ca="1" si="3"/>
        <v>1</v>
      </c>
    </row>
    <row r="67" spans="1:8" x14ac:dyDescent="0.3">
      <c r="A67" t="s">
        <v>124</v>
      </c>
      <c r="B67" t="s">
        <v>59</v>
      </c>
      <c r="C67" s="16">
        <v>35137</v>
      </c>
      <c r="D67" s="10">
        <f t="shared" ca="1" si="4"/>
        <v>10130</v>
      </c>
      <c r="E67">
        <f t="shared" ref="E67:E101" ca="1" si="5">DATEDIF(C67,TODAY(),"Y")</f>
        <v>27</v>
      </c>
      <c r="F67">
        <f t="shared" ref="F67:F101" ca="1" si="6">DATEDIF(C67,TODAY(),"M")</f>
        <v>332</v>
      </c>
      <c r="G67">
        <f t="shared" ref="G67:G101" ca="1" si="7">DATEDIF(C67,TODAY(),"YD")</f>
        <v>269</v>
      </c>
      <c r="H67">
        <f t="shared" ref="H67:H101" ca="1" si="8">DATEDIF(C67,TODAY(),"YM")</f>
        <v>8</v>
      </c>
    </row>
    <row r="68" spans="1:8" x14ac:dyDescent="0.3">
      <c r="A68" t="s">
        <v>125</v>
      </c>
      <c r="B68" t="s">
        <v>55</v>
      </c>
      <c r="C68" s="16">
        <v>24889</v>
      </c>
      <c r="D68" s="10">
        <f t="shared" ref="D68:D101" ca="1" si="9">TODAY()-C68</f>
        <v>20378</v>
      </c>
      <c r="E68">
        <f t="shared" ca="1" si="5"/>
        <v>55</v>
      </c>
      <c r="F68">
        <f t="shared" ca="1" si="6"/>
        <v>669</v>
      </c>
      <c r="G68">
        <f t="shared" ca="1" si="7"/>
        <v>290</v>
      </c>
      <c r="H68">
        <f t="shared" ca="1" si="8"/>
        <v>9</v>
      </c>
    </row>
    <row r="69" spans="1:8" x14ac:dyDescent="0.3">
      <c r="A69" t="s">
        <v>126</v>
      </c>
      <c r="B69" t="s">
        <v>55</v>
      </c>
      <c r="C69" s="16">
        <v>28293</v>
      </c>
      <c r="D69" s="10">
        <f t="shared" ca="1" si="9"/>
        <v>16974</v>
      </c>
      <c r="E69">
        <f t="shared" ca="1" si="5"/>
        <v>46</v>
      </c>
      <c r="F69">
        <f t="shared" ca="1" si="6"/>
        <v>557</v>
      </c>
      <c r="G69">
        <f t="shared" ca="1" si="7"/>
        <v>173</v>
      </c>
      <c r="H69">
        <f t="shared" ca="1" si="8"/>
        <v>5</v>
      </c>
    </row>
    <row r="70" spans="1:8" x14ac:dyDescent="0.3">
      <c r="A70" t="s">
        <v>127</v>
      </c>
      <c r="B70" t="s">
        <v>55</v>
      </c>
      <c r="C70" s="16">
        <v>32981</v>
      </c>
      <c r="D70" s="10">
        <f t="shared" ca="1" si="9"/>
        <v>12286</v>
      </c>
      <c r="E70">
        <f t="shared" ca="1" si="5"/>
        <v>33</v>
      </c>
      <c r="F70">
        <f t="shared" ca="1" si="6"/>
        <v>403</v>
      </c>
      <c r="G70">
        <f t="shared" ca="1" si="7"/>
        <v>233</v>
      </c>
      <c r="H70">
        <f t="shared" ca="1" si="8"/>
        <v>7</v>
      </c>
    </row>
    <row r="71" spans="1:8" x14ac:dyDescent="0.3">
      <c r="A71" t="s">
        <v>128</v>
      </c>
      <c r="B71" t="s">
        <v>71</v>
      </c>
      <c r="C71" s="16">
        <v>33447</v>
      </c>
      <c r="D71" s="10">
        <f t="shared" ca="1" si="9"/>
        <v>11820</v>
      </c>
      <c r="E71">
        <f t="shared" ca="1" si="5"/>
        <v>32</v>
      </c>
      <c r="F71">
        <f t="shared" ca="1" si="6"/>
        <v>388</v>
      </c>
      <c r="G71">
        <f t="shared" ca="1" si="7"/>
        <v>132</v>
      </c>
      <c r="H71">
        <f t="shared" ca="1" si="8"/>
        <v>4</v>
      </c>
    </row>
    <row r="72" spans="1:8" x14ac:dyDescent="0.3">
      <c r="A72" t="s">
        <v>129</v>
      </c>
      <c r="B72" t="s">
        <v>69</v>
      </c>
      <c r="C72" s="16">
        <v>33566</v>
      </c>
      <c r="D72" s="10">
        <f t="shared" ca="1" si="9"/>
        <v>11701</v>
      </c>
      <c r="E72">
        <f t="shared" ca="1" si="5"/>
        <v>32</v>
      </c>
      <c r="F72">
        <f t="shared" ca="1" si="6"/>
        <v>384</v>
      </c>
      <c r="G72">
        <f t="shared" ca="1" si="7"/>
        <v>13</v>
      </c>
      <c r="H72">
        <f t="shared" ca="1" si="8"/>
        <v>0</v>
      </c>
    </row>
    <row r="73" spans="1:8" x14ac:dyDescent="0.3">
      <c r="A73" t="s">
        <v>130</v>
      </c>
      <c r="B73" t="s">
        <v>69</v>
      </c>
      <c r="C73" s="16">
        <v>30535</v>
      </c>
      <c r="D73" s="10">
        <f t="shared" ca="1" si="9"/>
        <v>14732</v>
      </c>
      <c r="E73">
        <f t="shared" ca="1" si="5"/>
        <v>40</v>
      </c>
      <c r="F73">
        <f t="shared" ca="1" si="6"/>
        <v>484</v>
      </c>
      <c r="G73">
        <f t="shared" ca="1" si="7"/>
        <v>122</v>
      </c>
      <c r="H73">
        <f t="shared" ca="1" si="8"/>
        <v>4</v>
      </c>
    </row>
    <row r="74" spans="1:8" x14ac:dyDescent="0.3">
      <c r="A74" t="s">
        <v>131</v>
      </c>
      <c r="B74" t="s">
        <v>71</v>
      </c>
      <c r="C74" s="16">
        <v>34042</v>
      </c>
      <c r="D74" s="10">
        <f t="shared" ca="1" si="9"/>
        <v>11225</v>
      </c>
      <c r="E74">
        <f t="shared" ca="1" si="5"/>
        <v>30</v>
      </c>
      <c r="F74">
        <f t="shared" ca="1" si="6"/>
        <v>368</v>
      </c>
      <c r="G74">
        <f t="shared" ca="1" si="7"/>
        <v>268</v>
      </c>
      <c r="H74">
        <f t="shared" ca="1" si="8"/>
        <v>8</v>
      </c>
    </row>
    <row r="75" spans="1:8" x14ac:dyDescent="0.3">
      <c r="A75" t="s">
        <v>132</v>
      </c>
      <c r="B75" t="s">
        <v>51</v>
      </c>
      <c r="C75" s="16">
        <v>31088</v>
      </c>
      <c r="D75" s="10">
        <f t="shared" ca="1" si="9"/>
        <v>14179</v>
      </c>
      <c r="E75">
        <f t="shared" ca="1" si="5"/>
        <v>38</v>
      </c>
      <c r="F75">
        <f t="shared" ca="1" si="6"/>
        <v>465</v>
      </c>
      <c r="G75">
        <f t="shared" ca="1" si="7"/>
        <v>300</v>
      </c>
      <c r="H75">
        <f t="shared" ca="1" si="8"/>
        <v>9</v>
      </c>
    </row>
    <row r="76" spans="1:8" x14ac:dyDescent="0.3">
      <c r="A76" t="s">
        <v>133</v>
      </c>
      <c r="B76" t="s">
        <v>59</v>
      </c>
      <c r="C76" s="16">
        <v>23106</v>
      </c>
      <c r="D76" s="10">
        <f t="shared" ca="1" si="9"/>
        <v>22161</v>
      </c>
      <c r="E76">
        <f t="shared" ca="1" si="5"/>
        <v>60</v>
      </c>
      <c r="F76">
        <f t="shared" ca="1" si="6"/>
        <v>728</v>
      </c>
      <c r="G76">
        <f t="shared" ca="1" si="7"/>
        <v>246</v>
      </c>
      <c r="H76">
        <f t="shared" ca="1" si="8"/>
        <v>8</v>
      </c>
    </row>
    <row r="77" spans="1:8" x14ac:dyDescent="0.3">
      <c r="A77" t="s">
        <v>134</v>
      </c>
      <c r="B77" t="s">
        <v>51</v>
      </c>
      <c r="C77" s="16">
        <v>23283</v>
      </c>
      <c r="D77" s="10">
        <f t="shared" ca="1" si="9"/>
        <v>21984</v>
      </c>
      <c r="E77">
        <f t="shared" ca="1" si="5"/>
        <v>60</v>
      </c>
      <c r="F77">
        <f t="shared" ca="1" si="6"/>
        <v>722</v>
      </c>
      <c r="G77">
        <f t="shared" ca="1" si="7"/>
        <v>69</v>
      </c>
      <c r="H77">
        <f t="shared" ca="1" si="8"/>
        <v>2</v>
      </c>
    </row>
    <row r="78" spans="1:8" x14ac:dyDescent="0.3">
      <c r="A78" t="s">
        <v>135</v>
      </c>
      <c r="B78" t="s">
        <v>61</v>
      </c>
      <c r="C78" s="16">
        <v>33502</v>
      </c>
      <c r="D78" s="10">
        <f t="shared" ca="1" si="9"/>
        <v>11765</v>
      </c>
      <c r="E78">
        <f t="shared" ca="1" si="5"/>
        <v>32</v>
      </c>
      <c r="F78">
        <f t="shared" ca="1" si="6"/>
        <v>386</v>
      </c>
      <c r="G78">
        <f t="shared" ca="1" si="7"/>
        <v>77</v>
      </c>
      <c r="H78">
        <f t="shared" ca="1" si="8"/>
        <v>2</v>
      </c>
    </row>
    <row r="79" spans="1:8" x14ac:dyDescent="0.3">
      <c r="A79" t="s">
        <v>136</v>
      </c>
      <c r="B79" t="s">
        <v>59</v>
      </c>
      <c r="C79" s="16">
        <v>35015</v>
      </c>
      <c r="D79" s="10">
        <f t="shared" ca="1" si="9"/>
        <v>10252</v>
      </c>
      <c r="E79">
        <f t="shared" ca="1" si="5"/>
        <v>28</v>
      </c>
      <c r="F79">
        <f t="shared" ca="1" si="6"/>
        <v>336</v>
      </c>
      <c r="G79">
        <f t="shared" ca="1" si="7"/>
        <v>25</v>
      </c>
      <c r="H79">
        <f t="shared" ca="1" si="8"/>
        <v>0</v>
      </c>
    </row>
    <row r="80" spans="1:8" x14ac:dyDescent="0.3">
      <c r="A80" t="s">
        <v>137</v>
      </c>
      <c r="B80" t="s">
        <v>53</v>
      </c>
      <c r="C80" s="16">
        <v>30471</v>
      </c>
      <c r="D80" s="10">
        <f t="shared" ca="1" si="9"/>
        <v>14796</v>
      </c>
      <c r="E80">
        <f t="shared" ca="1" si="5"/>
        <v>40</v>
      </c>
      <c r="F80">
        <f t="shared" ca="1" si="6"/>
        <v>486</v>
      </c>
      <c r="G80">
        <f t="shared" ca="1" si="7"/>
        <v>186</v>
      </c>
      <c r="H80">
        <f t="shared" ca="1" si="8"/>
        <v>6</v>
      </c>
    </row>
    <row r="81" spans="1:8" x14ac:dyDescent="0.3">
      <c r="A81" t="s">
        <v>138</v>
      </c>
      <c r="B81" t="s">
        <v>51</v>
      </c>
      <c r="C81" s="16">
        <v>27140</v>
      </c>
      <c r="D81" s="10">
        <f t="shared" ca="1" si="9"/>
        <v>18127</v>
      </c>
      <c r="E81">
        <f t="shared" ca="1" si="5"/>
        <v>49</v>
      </c>
      <c r="F81">
        <f t="shared" ca="1" si="6"/>
        <v>595</v>
      </c>
      <c r="G81">
        <f t="shared" ca="1" si="7"/>
        <v>230</v>
      </c>
      <c r="H81">
        <f t="shared" ca="1" si="8"/>
        <v>7</v>
      </c>
    </row>
    <row r="82" spans="1:8" x14ac:dyDescent="0.3">
      <c r="A82" t="s">
        <v>139</v>
      </c>
      <c r="B82" t="s">
        <v>69</v>
      </c>
      <c r="C82" s="16">
        <v>26743</v>
      </c>
      <c r="D82" s="10">
        <f t="shared" ca="1" si="9"/>
        <v>18524</v>
      </c>
      <c r="E82">
        <f t="shared" ca="1" si="5"/>
        <v>50</v>
      </c>
      <c r="F82">
        <f t="shared" ca="1" si="6"/>
        <v>608</v>
      </c>
      <c r="G82">
        <f t="shared" ca="1" si="7"/>
        <v>262</v>
      </c>
      <c r="H82">
        <f t="shared" ca="1" si="8"/>
        <v>8</v>
      </c>
    </row>
    <row r="83" spans="1:8" x14ac:dyDescent="0.3">
      <c r="A83" t="s">
        <v>140</v>
      </c>
      <c r="B83" t="s">
        <v>71</v>
      </c>
      <c r="C83" s="16">
        <v>29076</v>
      </c>
      <c r="D83" s="10">
        <f t="shared" ca="1" si="9"/>
        <v>16191</v>
      </c>
      <c r="E83">
        <f t="shared" ca="1" si="5"/>
        <v>44</v>
      </c>
      <c r="F83">
        <f t="shared" ca="1" si="6"/>
        <v>531</v>
      </c>
      <c r="G83">
        <f t="shared" ca="1" si="7"/>
        <v>120</v>
      </c>
      <c r="H83">
        <f t="shared" ca="1" si="8"/>
        <v>3</v>
      </c>
    </row>
    <row r="84" spans="1:8" x14ac:dyDescent="0.3">
      <c r="A84" t="s">
        <v>141</v>
      </c>
      <c r="B84" t="s">
        <v>66</v>
      </c>
      <c r="C84" s="16">
        <v>28903</v>
      </c>
      <c r="D84" s="10">
        <f t="shared" ca="1" si="9"/>
        <v>16364</v>
      </c>
      <c r="E84">
        <f t="shared" ca="1" si="5"/>
        <v>44</v>
      </c>
      <c r="F84">
        <f t="shared" ca="1" si="6"/>
        <v>537</v>
      </c>
      <c r="G84">
        <f t="shared" ca="1" si="7"/>
        <v>293</v>
      </c>
      <c r="H84">
        <f t="shared" ca="1" si="8"/>
        <v>9</v>
      </c>
    </row>
    <row r="85" spans="1:8" x14ac:dyDescent="0.3">
      <c r="A85" t="s">
        <v>142</v>
      </c>
      <c r="B85" t="s">
        <v>55</v>
      </c>
      <c r="C85" s="16">
        <v>22432</v>
      </c>
      <c r="D85" s="10">
        <f t="shared" ca="1" si="9"/>
        <v>22835</v>
      </c>
      <c r="E85">
        <f t="shared" ca="1" si="5"/>
        <v>62</v>
      </c>
      <c r="F85">
        <f t="shared" ca="1" si="6"/>
        <v>750</v>
      </c>
      <c r="G85">
        <f t="shared" ca="1" si="7"/>
        <v>190</v>
      </c>
      <c r="H85">
        <f t="shared" ca="1" si="8"/>
        <v>6</v>
      </c>
    </row>
    <row r="86" spans="1:8" x14ac:dyDescent="0.3">
      <c r="A86" t="s">
        <v>143</v>
      </c>
      <c r="B86" t="s">
        <v>69</v>
      </c>
      <c r="C86" s="16">
        <v>25590</v>
      </c>
      <c r="D86" s="10">
        <f t="shared" ca="1" si="9"/>
        <v>19677</v>
      </c>
      <c r="E86">
        <f t="shared" ca="1" si="5"/>
        <v>53</v>
      </c>
      <c r="F86">
        <f t="shared" ca="1" si="6"/>
        <v>646</v>
      </c>
      <c r="G86">
        <f t="shared" ca="1" si="7"/>
        <v>319</v>
      </c>
      <c r="H86">
        <f t="shared" ca="1" si="8"/>
        <v>10</v>
      </c>
    </row>
    <row r="87" spans="1:8" x14ac:dyDescent="0.3">
      <c r="A87" t="s">
        <v>144</v>
      </c>
      <c r="B87" t="s">
        <v>71</v>
      </c>
      <c r="C87" s="16">
        <v>27219</v>
      </c>
      <c r="D87" s="10">
        <f t="shared" ca="1" si="9"/>
        <v>18048</v>
      </c>
      <c r="E87">
        <f t="shared" ca="1" si="5"/>
        <v>49</v>
      </c>
      <c r="F87">
        <f t="shared" ca="1" si="6"/>
        <v>592</v>
      </c>
      <c r="G87">
        <f t="shared" ca="1" si="7"/>
        <v>151</v>
      </c>
      <c r="H87">
        <f t="shared" ca="1" si="8"/>
        <v>4</v>
      </c>
    </row>
    <row r="88" spans="1:8" x14ac:dyDescent="0.3">
      <c r="A88" t="s">
        <v>145</v>
      </c>
      <c r="B88" t="s">
        <v>61</v>
      </c>
      <c r="C88" s="16">
        <v>23720</v>
      </c>
      <c r="D88" s="10">
        <f t="shared" ca="1" si="9"/>
        <v>21547</v>
      </c>
      <c r="E88">
        <f t="shared" ca="1" si="5"/>
        <v>58</v>
      </c>
      <c r="F88">
        <f t="shared" ca="1" si="6"/>
        <v>707</v>
      </c>
      <c r="G88">
        <f t="shared" ca="1" si="7"/>
        <v>363</v>
      </c>
      <c r="H88">
        <f t="shared" ca="1" si="8"/>
        <v>11</v>
      </c>
    </row>
    <row r="89" spans="1:8" x14ac:dyDescent="0.3">
      <c r="A89" t="s">
        <v>146</v>
      </c>
      <c r="B89" t="s">
        <v>59</v>
      </c>
      <c r="C89" s="16">
        <v>30146</v>
      </c>
      <c r="D89" s="10">
        <f t="shared" ca="1" si="9"/>
        <v>15121</v>
      </c>
      <c r="E89">
        <f t="shared" ca="1" si="5"/>
        <v>41</v>
      </c>
      <c r="F89">
        <f t="shared" ca="1" si="6"/>
        <v>496</v>
      </c>
      <c r="G89">
        <f t="shared" ca="1" si="7"/>
        <v>146</v>
      </c>
      <c r="H89">
        <f t="shared" ca="1" si="8"/>
        <v>4</v>
      </c>
    </row>
    <row r="90" spans="1:8" x14ac:dyDescent="0.3">
      <c r="A90" t="s">
        <v>147</v>
      </c>
      <c r="B90" t="s">
        <v>55</v>
      </c>
      <c r="C90" s="16">
        <v>30484</v>
      </c>
      <c r="D90" s="10">
        <f t="shared" ca="1" si="9"/>
        <v>14783</v>
      </c>
      <c r="E90">
        <f t="shared" ca="1" si="5"/>
        <v>40</v>
      </c>
      <c r="F90">
        <f t="shared" ca="1" si="6"/>
        <v>485</v>
      </c>
      <c r="G90">
        <f t="shared" ca="1" si="7"/>
        <v>173</v>
      </c>
      <c r="H90">
        <f t="shared" ca="1" si="8"/>
        <v>5</v>
      </c>
    </row>
    <row r="91" spans="1:8" x14ac:dyDescent="0.3">
      <c r="A91" t="s">
        <v>148</v>
      </c>
      <c r="B91" t="s">
        <v>61</v>
      </c>
      <c r="C91" s="16">
        <v>25720</v>
      </c>
      <c r="D91" s="10">
        <f t="shared" ca="1" si="9"/>
        <v>19547</v>
      </c>
      <c r="E91">
        <f t="shared" ca="1" si="5"/>
        <v>53</v>
      </c>
      <c r="F91">
        <f t="shared" ca="1" si="6"/>
        <v>642</v>
      </c>
      <c r="G91">
        <f t="shared" ca="1" si="7"/>
        <v>189</v>
      </c>
      <c r="H91">
        <f t="shared" ca="1" si="8"/>
        <v>6</v>
      </c>
    </row>
    <row r="92" spans="1:8" x14ac:dyDescent="0.3">
      <c r="A92" t="s">
        <v>149</v>
      </c>
      <c r="B92" t="s">
        <v>53</v>
      </c>
      <c r="C92" s="16">
        <v>29158</v>
      </c>
      <c r="D92" s="10">
        <f t="shared" ca="1" si="9"/>
        <v>16109</v>
      </c>
      <c r="E92">
        <f t="shared" ca="1" si="5"/>
        <v>44</v>
      </c>
      <c r="F92">
        <f t="shared" ca="1" si="6"/>
        <v>529</v>
      </c>
      <c r="G92">
        <f t="shared" ca="1" si="7"/>
        <v>38</v>
      </c>
      <c r="H92">
        <f t="shared" ca="1" si="8"/>
        <v>1</v>
      </c>
    </row>
    <row r="93" spans="1:8" x14ac:dyDescent="0.3">
      <c r="A93" t="s">
        <v>150</v>
      </c>
      <c r="B93" t="s">
        <v>71</v>
      </c>
      <c r="C93" s="16">
        <v>32482</v>
      </c>
      <c r="D93" s="10">
        <f t="shared" ca="1" si="9"/>
        <v>12785</v>
      </c>
      <c r="E93">
        <f t="shared" ca="1" si="5"/>
        <v>35</v>
      </c>
      <c r="F93">
        <f t="shared" ca="1" si="6"/>
        <v>420</v>
      </c>
      <c r="G93">
        <f t="shared" ca="1" si="7"/>
        <v>2</v>
      </c>
      <c r="H93">
        <f t="shared" ca="1" si="8"/>
        <v>0</v>
      </c>
    </row>
    <row r="94" spans="1:8" x14ac:dyDescent="0.3">
      <c r="A94" t="s">
        <v>151</v>
      </c>
      <c r="B94" t="s">
        <v>66</v>
      </c>
      <c r="C94" s="16">
        <v>22668</v>
      </c>
      <c r="D94" s="10">
        <f t="shared" ca="1" si="9"/>
        <v>22599</v>
      </c>
      <c r="E94">
        <f t="shared" ca="1" si="5"/>
        <v>61</v>
      </c>
      <c r="F94">
        <f t="shared" ca="1" si="6"/>
        <v>742</v>
      </c>
      <c r="G94">
        <f t="shared" ca="1" si="7"/>
        <v>319</v>
      </c>
      <c r="H94">
        <f t="shared" ca="1" si="8"/>
        <v>10</v>
      </c>
    </row>
    <row r="95" spans="1:8" x14ac:dyDescent="0.3">
      <c r="A95" t="s">
        <v>152</v>
      </c>
      <c r="B95" t="s">
        <v>55</v>
      </c>
      <c r="C95" s="16">
        <v>33096</v>
      </c>
      <c r="D95" s="10">
        <f t="shared" ca="1" si="9"/>
        <v>12171</v>
      </c>
      <c r="E95">
        <f t="shared" ca="1" si="5"/>
        <v>33</v>
      </c>
      <c r="F95">
        <f t="shared" ca="1" si="6"/>
        <v>399</v>
      </c>
      <c r="G95">
        <f t="shared" ca="1" si="7"/>
        <v>118</v>
      </c>
      <c r="H95">
        <f t="shared" ca="1" si="8"/>
        <v>3</v>
      </c>
    </row>
    <row r="96" spans="1:8" x14ac:dyDescent="0.3">
      <c r="A96" t="s">
        <v>153</v>
      </c>
      <c r="B96" t="s">
        <v>53</v>
      </c>
      <c r="C96" s="16">
        <v>22244</v>
      </c>
      <c r="D96" s="10">
        <f t="shared" ca="1" si="9"/>
        <v>23023</v>
      </c>
      <c r="E96">
        <f t="shared" ca="1" si="5"/>
        <v>63</v>
      </c>
      <c r="F96">
        <f t="shared" ca="1" si="6"/>
        <v>756</v>
      </c>
      <c r="G96">
        <f t="shared" ca="1" si="7"/>
        <v>13</v>
      </c>
      <c r="H96">
        <f t="shared" ca="1" si="8"/>
        <v>0</v>
      </c>
    </row>
    <row r="97" spans="1:8" x14ac:dyDescent="0.3">
      <c r="A97" t="s">
        <v>154</v>
      </c>
      <c r="B97" t="s">
        <v>64</v>
      </c>
      <c r="C97" s="16">
        <v>34981</v>
      </c>
      <c r="D97" s="10">
        <f t="shared" ca="1" si="9"/>
        <v>10286</v>
      </c>
      <c r="E97">
        <f t="shared" ca="1" si="5"/>
        <v>28</v>
      </c>
      <c r="F97">
        <f t="shared" ca="1" si="6"/>
        <v>337</v>
      </c>
      <c r="G97">
        <f t="shared" ca="1" si="7"/>
        <v>59</v>
      </c>
      <c r="H97">
        <f t="shared" ca="1" si="8"/>
        <v>1</v>
      </c>
    </row>
    <row r="98" spans="1:8" x14ac:dyDescent="0.3">
      <c r="A98" t="s">
        <v>155</v>
      </c>
      <c r="B98" t="s">
        <v>59</v>
      </c>
      <c r="C98" s="16">
        <v>31867</v>
      </c>
      <c r="D98" s="10">
        <f t="shared" ca="1" si="9"/>
        <v>13400</v>
      </c>
      <c r="E98">
        <f t="shared" ca="1" si="5"/>
        <v>36</v>
      </c>
      <c r="F98">
        <f t="shared" ca="1" si="6"/>
        <v>440</v>
      </c>
      <c r="G98">
        <f t="shared" ca="1" si="7"/>
        <v>251</v>
      </c>
      <c r="H98">
        <f t="shared" ca="1" si="8"/>
        <v>8</v>
      </c>
    </row>
    <row r="99" spans="1:8" x14ac:dyDescent="0.3">
      <c r="A99" t="s">
        <v>156</v>
      </c>
      <c r="B99" t="s">
        <v>66</v>
      </c>
      <c r="C99" s="16">
        <v>31330</v>
      </c>
      <c r="D99" s="10">
        <f t="shared" ca="1" si="9"/>
        <v>13937</v>
      </c>
      <c r="E99">
        <f t="shared" ca="1" si="5"/>
        <v>38</v>
      </c>
      <c r="F99">
        <f t="shared" ca="1" si="6"/>
        <v>457</v>
      </c>
      <c r="G99">
        <f t="shared" ca="1" si="7"/>
        <v>58</v>
      </c>
      <c r="H99">
        <f t="shared" ca="1" si="8"/>
        <v>1</v>
      </c>
    </row>
    <row r="100" spans="1:8" x14ac:dyDescent="0.3">
      <c r="A100" t="s">
        <v>157</v>
      </c>
      <c r="B100" t="s">
        <v>59</v>
      </c>
      <c r="C100" s="16">
        <v>23863</v>
      </c>
      <c r="D100" s="10">
        <f t="shared" ca="1" si="9"/>
        <v>21404</v>
      </c>
      <c r="E100">
        <f t="shared" ca="1" si="5"/>
        <v>58</v>
      </c>
      <c r="F100">
        <f t="shared" ca="1" si="6"/>
        <v>703</v>
      </c>
      <c r="G100">
        <f t="shared" ca="1" si="7"/>
        <v>220</v>
      </c>
      <c r="H100">
        <f t="shared" ca="1" si="8"/>
        <v>7</v>
      </c>
    </row>
    <row r="101" spans="1:8" x14ac:dyDescent="0.3">
      <c r="A101" t="s">
        <v>158</v>
      </c>
      <c r="B101" t="s">
        <v>64</v>
      </c>
      <c r="C101" s="16">
        <v>26287</v>
      </c>
      <c r="D101" s="10">
        <f t="shared" ca="1" si="9"/>
        <v>18980</v>
      </c>
      <c r="E101">
        <f t="shared" ca="1" si="5"/>
        <v>51</v>
      </c>
      <c r="F101">
        <f t="shared" ca="1" si="6"/>
        <v>623</v>
      </c>
      <c r="G101">
        <f t="shared" ca="1" si="7"/>
        <v>353</v>
      </c>
      <c r="H101">
        <f t="shared" ca="1" si="8"/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286D-528B-4ABB-B4ED-807519FEB15F}">
  <sheetPr>
    <tabColor theme="5" tint="0.39997558519241921"/>
  </sheetPr>
  <dimension ref="A1:K29"/>
  <sheetViews>
    <sheetView zoomScaleNormal="100" workbookViewId="0">
      <selection activeCell="C3" sqref="C3"/>
    </sheetView>
  </sheetViews>
  <sheetFormatPr defaultRowHeight="14.4" x14ac:dyDescent="0.3"/>
  <cols>
    <col min="1" max="1" width="13.6640625" bestFit="1" customWidth="1"/>
    <col min="2" max="2" width="20.5546875" bestFit="1" customWidth="1"/>
    <col min="3" max="3" width="9.5546875" style="10" bestFit="1" customWidth="1"/>
    <col min="4" max="4" width="44.21875" bestFit="1" customWidth="1"/>
    <col min="5" max="5" width="21.44140625" bestFit="1" customWidth="1"/>
    <col min="6" max="6" width="21.88671875" bestFit="1" customWidth="1"/>
    <col min="7" max="7" width="17.5546875" customWidth="1"/>
    <col min="8" max="8" width="18.44140625" bestFit="1" customWidth="1"/>
    <col min="9" max="9" width="15" bestFit="1" customWidth="1"/>
    <col min="10" max="10" width="14.88671875" bestFit="1" customWidth="1"/>
    <col min="11" max="11" width="12.109375" bestFit="1" customWidth="1"/>
  </cols>
  <sheetData>
    <row r="1" spans="1:11" ht="30.75" customHeight="1" x14ac:dyDescent="0.3">
      <c r="A1" s="4" t="s">
        <v>37</v>
      </c>
      <c r="B1" s="4" t="s">
        <v>38</v>
      </c>
      <c r="C1" s="31" t="s">
        <v>218</v>
      </c>
      <c r="D1" s="4" t="s">
        <v>39</v>
      </c>
      <c r="E1" s="4" t="s">
        <v>40</v>
      </c>
      <c r="F1" s="4" t="s">
        <v>41</v>
      </c>
      <c r="G1" s="5" t="s">
        <v>42</v>
      </c>
      <c r="H1" s="4" t="s">
        <v>43</v>
      </c>
      <c r="I1" s="4" t="s">
        <v>44</v>
      </c>
      <c r="J1" s="4" t="s">
        <v>45</v>
      </c>
      <c r="K1" s="4" t="s">
        <v>46</v>
      </c>
    </row>
    <row r="2" spans="1:11" x14ac:dyDescent="0.3">
      <c r="A2" t="s">
        <v>0</v>
      </c>
      <c r="B2" s="2">
        <v>43923</v>
      </c>
      <c r="C2" s="10">
        <f>WEEKNUM(Таблица3[[#This Row],[Дата первой встречи]])</f>
        <v>14</v>
      </c>
      <c r="D2" t="s">
        <v>1</v>
      </c>
      <c r="E2" t="s">
        <v>2</v>
      </c>
      <c r="F2" t="s">
        <v>3</v>
      </c>
      <c r="G2" s="3">
        <v>100000</v>
      </c>
      <c r="H2" t="s">
        <v>4</v>
      </c>
      <c r="I2" s="3">
        <v>100000</v>
      </c>
      <c r="J2" s="14">
        <v>44130</v>
      </c>
      <c r="K2" s="3">
        <v>15000</v>
      </c>
    </row>
    <row r="3" spans="1:11" x14ac:dyDescent="0.3">
      <c r="A3" t="s">
        <v>0</v>
      </c>
      <c r="B3" s="2">
        <v>43857</v>
      </c>
      <c r="C3" s="10">
        <f>WEEKNUM(Таблица3[[#This Row],[Дата первой встречи]])</f>
        <v>5</v>
      </c>
      <c r="D3" t="s">
        <v>5</v>
      </c>
      <c r="E3" t="s">
        <v>2</v>
      </c>
      <c r="F3" t="s">
        <v>6</v>
      </c>
      <c r="G3" s="3">
        <v>1700000</v>
      </c>
      <c r="H3" t="s">
        <v>4</v>
      </c>
      <c r="I3" s="3"/>
      <c r="J3" s="14">
        <v>43542</v>
      </c>
      <c r="K3" s="3">
        <v>255000</v>
      </c>
    </row>
    <row r="4" spans="1:11" x14ac:dyDescent="0.3">
      <c r="A4" t="s">
        <v>0</v>
      </c>
      <c r="B4" s="2">
        <v>43895</v>
      </c>
      <c r="C4" s="10">
        <f>WEEKNUM(Таблица3[[#This Row],[Дата первой встречи]])</f>
        <v>10</v>
      </c>
      <c r="D4" t="s">
        <v>7</v>
      </c>
      <c r="E4" t="s">
        <v>2</v>
      </c>
      <c r="F4" t="s">
        <v>6</v>
      </c>
      <c r="G4" s="3">
        <v>600000</v>
      </c>
      <c r="H4" t="s">
        <v>4</v>
      </c>
      <c r="I4" s="3">
        <v>600000</v>
      </c>
      <c r="J4" s="14">
        <v>43563</v>
      </c>
      <c r="K4" s="3">
        <v>90000</v>
      </c>
    </row>
    <row r="5" spans="1:11" x14ac:dyDescent="0.3">
      <c r="A5" t="s">
        <v>0</v>
      </c>
      <c r="B5" s="2">
        <v>44044</v>
      </c>
      <c r="C5" s="10">
        <f>WEEKNUM(Таблица3[[#This Row],[Дата первой встречи]])</f>
        <v>31</v>
      </c>
      <c r="D5" t="s">
        <v>8</v>
      </c>
      <c r="E5" t="s">
        <v>2</v>
      </c>
      <c r="F5" t="s">
        <v>6</v>
      </c>
      <c r="G5" s="3">
        <v>1700000</v>
      </c>
      <c r="H5" t="s">
        <v>9</v>
      </c>
      <c r="I5" s="3"/>
      <c r="J5" s="14"/>
      <c r="K5" s="3">
        <v>255000</v>
      </c>
    </row>
    <row r="6" spans="1:11" x14ac:dyDescent="0.3">
      <c r="A6" t="s">
        <v>0</v>
      </c>
      <c r="B6" s="2">
        <v>43866</v>
      </c>
      <c r="C6" s="10">
        <f>WEEKNUM(Таблица3[[#This Row],[Дата первой встречи]])</f>
        <v>6</v>
      </c>
      <c r="D6" t="s">
        <v>10</v>
      </c>
      <c r="E6" t="s">
        <v>11</v>
      </c>
      <c r="F6" t="s">
        <v>12</v>
      </c>
      <c r="G6" s="3">
        <v>1000000</v>
      </c>
      <c r="H6" t="s">
        <v>13</v>
      </c>
      <c r="I6" s="3"/>
      <c r="J6" s="14"/>
      <c r="K6" s="3">
        <v>150000</v>
      </c>
    </row>
    <row r="7" spans="1:11" x14ac:dyDescent="0.3">
      <c r="A7" t="s">
        <v>0</v>
      </c>
      <c r="B7" s="2">
        <v>44078</v>
      </c>
      <c r="C7" s="10">
        <f>WEEKNUM(Таблица3[[#This Row],[Дата первой встречи]])</f>
        <v>36</v>
      </c>
      <c r="D7" t="s">
        <v>14</v>
      </c>
      <c r="E7" t="s">
        <v>11</v>
      </c>
      <c r="F7" t="s">
        <v>6</v>
      </c>
      <c r="G7" s="3">
        <v>300000</v>
      </c>
      <c r="H7" t="s">
        <v>15</v>
      </c>
      <c r="I7" s="3"/>
      <c r="J7" s="14"/>
      <c r="K7" s="3">
        <v>45000</v>
      </c>
    </row>
    <row r="8" spans="1:11" x14ac:dyDescent="0.3">
      <c r="A8" t="s">
        <v>0</v>
      </c>
      <c r="B8" s="2">
        <v>43922</v>
      </c>
      <c r="C8" s="10">
        <f>WEEKNUM(Таблица3[[#This Row],[Дата первой встречи]])</f>
        <v>14</v>
      </c>
      <c r="D8" t="s">
        <v>16</v>
      </c>
      <c r="E8" t="s">
        <v>2</v>
      </c>
      <c r="F8" t="s">
        <v>17</v>
      </c>
      <c r="G8" s="3">
        <v>1400000</v>
      </c>
      <c r="H8" t="s">
        <v>4</v>
      </c>
      <c r="I8" s="3">
        <v>1470565</v>
      </c>
      <c r="J8" s="14">
        <v>43324</v>
      </c>
      <c r="K8" s="3">
        <v>210000</v>
      </c>
    </row>
    <row r="9" spans="1:11" x14ac:dyDescent="0.3">
      <c r="A9" t="s">
        <v>0</v>
      </c>
      <c r="B9" s="2">
        <v>44196</v>
      </c>
      <c r="C9" s="10">
        <f>WEEKNUM(Таблица3[[#This Row],[Дата первой встречи]])</f>
        <v>53</v>
      </c>
      <c r="D9" t="s">
        <v>18</v>
      </c>
      <c r="E9" t="s">
        <v>11</v>
      </c>
      <c r="F9" t="s">
        <v>19</v>
      </c>
      <c r="G9" s="3">
        <v>1400000</v>
      </c>
      <c r="H9" t="s">
        <v>9</v>
      </c>
      <c r="I9" s="3"/>
      <c r="J9" s="14"/>
      <c r="K9" s="3">
        <v>210000</v>
      </c>
    </row>
    <row r="10" spans="1:11" x14ac:dyDescent="0.3">
      <c r="A10" t="s">
        <v>0</v>
      </c>
      <c r="B10" s="2">
        <v>43846</v>
      </c>
      <c r="C10" s="10">
        <f>WEEKNUM(Таблица3[[#This Row],[Дата первой встречи]])</f>
        <v>3</v>
      </c>
      <c r="D10" t="s">
        <v>20</v>
      </c>
      <c r="E10" t="s">
        <v>11</v>
      </c>
      <c r="F10" t="s">
        <v>3</v>
      </c>
      <c r="G10" s="3">
        <v>1000000</v>
      </c>
      <c r="H10" t="s">
        <v>13</v>
      </c>
      <c r="I10" s="3"/>
      <c r="J10" s="14"/>
      <c r="K10" s="3">
        <v>150000</v>
      </c>
    </row>
    <row r="11" spans="1:11" x14ac:dyDescent="0.3">
      <c r="A11" t="s">
        <v>0</v>
      </c>
      <c r="B11" s="2">
        <v>43965</v>
      </c>
      <c r="C11" s="10">
        <f>WEEKNUM(Таблица3[[#This Row],[Дата первой встречи]])</f>
        <v>20</v>
      </c>
      <c r="D11" t="s">
        <v>21</v>
      </c>
      <c r="E11" t="s">
        <v>11</v>
      </c>
      <c r="F11" t="s">
        <v>12</v>
      </c>
      <c r="G11" s="3">
        <v>2000000</v>
      </c>
      <c r="H11" t="s">
        <v>4</v>
      </c>
      <c r="I11" s="3">
        <v>2000000</v>
      </c>
      <c r="J11" s="14">
        <v>43719</v>
      </c>
      <c r="K11" s="3">
        <v>300000</v>
      </c>
    </row>
    <row r="12" spans="1:11" x14ac:dyDescent="0.3">
      <c r="A12" t="s">
        <v>0</v>
      </c>
      <c r="B12" s="2">
        <v>44164</v>
      </c>
      <c r="C12" s="10">
        <f>WEEKNUM(Таблица3[[#This Row],[Дата первой встречи]])</f>
        <v>49</v>
      </c>
      <c r="D12" t="s">
        <v>22</v>
      </c>
      <c r="E12" t="s">
        <v>11</v>
      </c>
      <c r="F12" t="s">
        <v>3</v>
      </c>
      <c r="G12" s="3">
        <v>95000</v>
      </c>
      <c r="H12" t="s">
        <v>15</v>
      </c>
      <c r="I12" s="3"/>
      <c r="J12" s="14"/>
      <c r="K12" s="3">
        <v>14250</v>
      </c>
    </row>
    <row r="13" spans="1:11" x14ac:dyDescent="0.3">
      <c r="A13" t="s">
        <v>0</v>
      </c>
      <c r="B13" s="2">
        <v>43987</v>
      </c>
      <c r="C13" s="10">
        <f>WEEKNUM(Таблица3[[#This Row],[Дата первой встречи]])</f>
        <v>23</v>
      </c>
      <c r="D13" t="s">
        <v>22</v>
      </c>
      <c r="E13" t="s">
        <v>2</v>
      </c>
      <c r="F13" t="s">
        <v>19</v>
      </c>
      <c r="G13" s="3">
        <v>2000000</v>
      </c>
      <c r="H13" t="s">
        <v>23</v>
      </c>
      <c r="I13" s="3"/>
      <c r="J13" s="14"/>
      <c r="K13" s="3">
        <v>300000</v>
      </c>
    </row>
    <row r="14" spans="1:11" x14ac:dyDescent="0.3">
      <c r="A14" t="s">
        <v>24</v>
      </c>
      <c r="B14" s="2">
        <v>43979</v>
      </c>
      <c r="C14" s="10">
        <f>WEEKNUM(Таблица3[[#This Row],[Дата первой встречи]])</f>
        <v>22</v>
      </c>
      <c r="D14" t="s">
        <v>25</v>
      </c>
      <c r="E14" t="s">
        <v>26</v>
      </c>
      <c r="F14" t="s">
        <v>19</v>
      </c>
      <c r="G14" s="3">
        <v>1000000</v>
      </c>
      <c r="H14" t="s">
        <v>13</v>
      </c>
      <c r="I14" s="3"/>
      <c r="J14" s="14"/>
      <c r="K14" s="3">
        <v>150000</v>
      </c>
    </row>
    <row r="15" spans="1:11" x14ac:dyDescent="0.3">
      <c r="A15" t="s">
        <v>24</v>
      </c>
      <c r="B15" s="2">
        <v>44028</v>
      </c>
      <c r="C15" s="10">
        <f>WEEKNUM(Таблица3[[#This Row],[Дата первой встречи]])</f>
        <v>29</v>
      </c>
      <c r="D15" t="s">
        <v>21</v>
      </c>
      <c r="E15" t="s">
        <v>26</v>
      </c>
      <c r="F15" t="s">
        <v>17</v>
      </c>
      <c r="G15" s="3">
        <v>600000</v>
      </c>
      <c r="H15" t="s">
        <v>15</v>
      </c>
      <c r="I15" s="3"/>
      <c r="J15" s="14"/>
      <c r="K15" s="3">
        <v>90000</v>
      </c>
    </row>
    <row r="16" spans="1:11" x14ac:dyDescent="0.3">
      <c r="A16" t="s">
        <v>24</v>
      </c>
      <c r="B16" s="2">
        <v>43834</v>
      </c>
      <c r="C16" s="10">
        <f>WEEKNUM(Таблица3[[#This Row],[Дата первой встречи]])</f>
        <v>1</v>
      </c>
      <c r="D16" t="s">
        <v>27</v>
      </c>
      <c r="E16" t="s">
        <v>26</v>
      </c>
      <c r="F16" t="s">
        <v>12</v>
      </c>
      <c r="G16" s="3">
        <v>400000</v>
      </c>
      <c r="H16" t="s">
        <v>15</v>
      </c>
      <c r="I16" s="3"/>
      <c r="J16" s="14"/>
      <c r="K16" s="3">
        <v>60000</v>
      </c>
    </row>
    <row r="17" spans="1:11" x14ac:dyDescent="0.3">
      <c r="A17" t="s">
        <v>24</v>
      </c>
      <c r="B17" s="2">
        <v>43997</v>
      </c>
      <c r="C17" s="10">
        <f>WEEKNUM(Таблица3[[#This Row],[Дата первой встречи]])</f>
        <v>25</v>
      </c>
      <c r="D17" t="s">
        <v>28</v>
      </c>
      <c r="E17" t="s">
        <v>11</v>
      </c>
      <c r="F17" t="s">
        <v>17</v>
      </c>
      <c r="G17" s="3">
        <v>1500000</v>
      </c>
      <c r="H17" t="s">
        <v>4</v>
      </c>
      <c r="I17" s="3">
        <v>1558171</v>
      </c>
      <c r="J17" s="14">
        <v>43350</v>
      </c>
      <c r="K17" s="3">
        <v>225000</v>
      </c>
    </row>
    <row r="18" spans="1:11" x14ac:dyDescent="0.3">
      <c r="A18" t="s">
        <v>24</v>
      </c>
      <c r="B18" s="2">
        <v>44169</v>
      </c>
      <c r="C18" s="10">
        <f>WEEKNUM(Таблица3[[#This Row],[Дата первой встречи]])</f>
        <v>49</v>
      </c>
      <c r="D18" t="s">
        <v>27</v>
      </c>
      <c r="E18" t="s">
        <v>26</v>
      </c>
      <c r="F18" t="s">
        <v>12</v>
      </c>
      <c r="G18" s="3">
        <v>700000</v>
      </c>
      <c r="H18" t="s">
        <v>23</v>
      </c>
      <c r="I18" s="3"/>
      <c r="J18" s="14"/>
      <c r="K18" s="3">
        <v>105000</v>
      </c>
    </row>
    <row r="19" spans="1:11" x14ac:dyDescent="0.3">
      <c r="A19" t="s">
        <v>24</v>
      </c>
      <c r="B19" s="2">
        <v>43927</v>
      </c>
      <c r="C19" s="10">
        <f>WEEKNUM(Таблица3[[#This Row],[Дата первой встречи]])</f>
        <v>15</v>
      </c>
      <c r="D19" t="s">
        <v>29</v>
      </c>
      <c r="E19" t="s">
        <v>2</v>
      </c>
      <c r="F19" t="s">
        <v>19</v>
      </c>
      <c r="G19" s="3">
        <v>900000</v>
      </c>
      <c r="H19" t="s">
        <v>13</v>
      </c>
      <c r="I19" s="3"/>
      <c r="J19" s="14"/>
      <c r="K19" s="3">
        <v>135000</v>
      </c>
    </row>
    <row r="20" spans="1:11" x14ac:dyDescent="0.3">
      <c r="A20" t="s">
        <v>24</v>
      </c>
      <c r="B20" s="2">
        <v>43844</v>
      </c>
      <c r="C20" s="10">
        <f>WEEKNUM(Таблица3[[#This Row],[Дата первой встречи]])</f>
        <v>3</v>
      </c>
      <c r="D20" t="s">
        <v>30</v>
      </c>
      <c r="E20" t="s">
        <v>2</v>
      </c>
      <c r="F20" t="s">
        <v>3</v>
      </c>
      <c r="G20" s="3">
        <v>1700000</v>
      </c>
      <c r="H20" t="s">
        <v>15</v>
      </c>
      <c r="I20" s="3"/>
      <c r="J20" s="14"/>
      <c r="K20" s="3">
        <v>255000</v>
      </c>
    </row>
    <row r="21" spans="1:11" x14ac:dyDescent="0.3">
      <c r="A21" t="s">
        <v>24</v>
      </c>
      <c r="B21" s="2">
        <v>44036</v>
      </c>
      <c r="C21" s="10">
        <f>WEEKNUM(Таблица3[[#This Row],[Дата первой встречи]])</f>
        <v>30</v>
      </c>
      <c r="D21" t="s">
        <v>21</v>
      </c>
      <c r="E21" t="s">
        <v>11</v>
      </c>
      <c r="F21" t="s">
        <v>6</v>
      </c>
      <c r="G21" s="3">
        <v>500000</v>
      </c>
      <c r="H21" t="s">
        <v>13</v>
      </c>
      <c r="I21" s="3"/>
      <c r="J21" s="14"/>
      <c r="K21" s="3">
        <v>75000</v>
      </c>
    </row>
    <row r="22" spans="1:11" x14ac:dyDescent="0.3">
      <c r="A22" t="s">
        <v>24</v>
      </c>
      <c r="B22" s="2">
        <v>43997</v>
      </c>
      <c r="C22" s="10">
        <f>WEEKNUM(Таблица3[[#This Row],[Дата первой встречи]])</f>
        <v>25</v>
      </c>
      <c r="D22" t="s">
        <v>31</v>
      </c>
      <c r="E22" t="s">
        <v>2</v>
      </c>
      <c r="F22" t="s">
        <v>3</v>
      </c>
      <c r="G22" s="3">
        <v>1800000</v>
      </c>
      <c r="H22" t="s">
        <v>13</v>
      </c>
      <c r="I22" s="3"/>
      <c r="J22" s="14"/>
      <c r="K22" s="3">
        <v>270000</v>
      </c>
    </row>
    <row r="23" spans="1:11" x14ac:dyDescent="0.3">
      <c r="A23" t="s">
        <v>24</v>
      </c>
      <c r="B23" s="2">
        <v>44071</v>
      </c>
      <c r="C23" s="10">
        <f>WEEKNUM(Таблица3[[#This Row],[Дата первой встречи]])</f>
        <v>35</v>
      </c>
      <c r="D23" t="s">
        <v>32</v>
      </c>
      <c r="E23" t="s">
        <v>26</v>
      </c>
      <c r="F23" t="s">
        <v>12</v>
      </c>
      <c r="G23" s="3">
        <v>1100000</v>
      </c>
      <c r="H23" t="s">
        <v>4</v>
      </c>
      <c r="I23" s="3">
        <v>1100000</v>
      </c>
      <c r="J23" s="14">
        <v>43528</v>
      </c>
      <c r="K23" s="3">
        <v>165000</v>
      </c>
    </row>
    <row r="24" spans="1:11" x14ac:dyDescent="0.3">
      <c r="A24" t="s">
        <v>24</v>
      </c>
      <c r="B24" s="2">
        <v>43952</v>
      </c>
      <c r="C24" s="10">
        <f>WEEKNUM(Таблица3[[#This Row],[Дата первой встречи]])</f>
        <v>18</v>
      </c>
      <c r="D24" t="s">
        <v>33</v>
      </c>
      <c r="E24" t="s">
        <v>11</v>
      </c>
      <c r="F24" t="s">
        <v>19</v>
      </c>
      <c r="G24" s="3">
        <v>1700000</v>
      </c>
      <c r="H24" t="s">
        <v>15</v>
      </c>
      <c r="I24" s="3"/>
      <c r="J24" s="14"/>
      <c r="K24" s="3">
        <v>255000</v>
      </c>
    </row>
    <row r="25" spans="1:11" x14ac:dyDescent="0.3">
      <c r="A25" t="s">
        <v>24</v>
      </c>
      <c r="B25" s="2">
        <v>44120</v>
      </c>
      <c r="C25" s="10">
        <f>WEEKNUM(Таблица3[[#This Row],[Дата первой встречи]])</f>
        <v>42</v>
      </c>
      <c r="D25" t="s">
        <v>34</v>
      </c>
      <c r="E25" t="s">
        <v>26</v>
      </c>
      <c r="F25" t="s">
        <v>17</v>
      </c>
      <c r="G25" s="3">
        <v>1700000</v>
      </c>
      <c r="H25" t="s">
        <v>4</v>
      </c>
      <c r="I25" s="3">
        <v>1700000</v>
      </c>
      <c r="J25" s="14">
        <v>43416</v>
      </c>
      <c r="K25" s="3">
        <v>255000</v>
      </c>
    </row>
    <row r="26" spans="1:11" x14ac:dyDescent="0.3">
      <c r="A26" t="s">
        <v>24</v>
      </c>
      <c r="B26" s="2">
        <v>43859</v>
      </c>
      <c r="C26" s="10">
        <f>WEEKNUM(Таблица3[[#This Row],[Дата первой встречи]])</f>
        <v>5</v>
      </c>
      <c r="D26" t="s">
        <v>35</v>
      </c>
      <c r="E26" t="s">
        <v>2</v>
      </c>
      <c r="F26" t="s">
        <v>6</v>
      </c>
      <c r="G26" s="3">
        <v>1600000</v>
      </c>
      <c r="H26" t="s">
        <v>23</v>
      </c>
      <c r="I26" s="3"/>
      <c r="J26" s="14"/>
      <c r="K26" s="3">
        <v>240000</v>
      </c>
    </row>
    <row r="27" spans="1:11" x14ac:dyDescent="0.3">
      <c r="A27" t="s">
        <v>24</v>
      </c>
      <c r="B27" s="2">
        <v>43857</v>
      </c>
      <c r="C27" s="10">
        <f>WEEKNUM(Таблица3[[#This Row],[Дата первой встречи]])</f>
        <v>5</v>
      </c>
      <c r="D27" t="s">
        <v>31</v>
      </c>
      <c r="E27" t="s">
        <v>26</v>
      </c>
      <c r="F27" t="s">
        <v>17</v>
      </c>
      <c r="G27" s="3">
        <v>1500000</v>
      </c>
      <c r="H27" t="s">
        <v>23</v>
      </c>
      <c r="I27" s="3"/>
      <c r="J27" s="14"/>
      <c r="K27" s="3">
        <v>225000</v>
      </c>
    </row>
    <row r="28" spans="1:11" x14ac:dyDescent="0.3">
      <c r="A28" t="s">
        <v>24</v>
      </c>
      <c r="B28" s="2">
        <v>44105</v>
      </c>
      <c r="C28" s="10">
        <f>WEEKNUM(Таблица3[[#This Row],[Дата первой встречи]])</f>
        <v>40</v>
      </c>
      <c r="D28" t="s">
        <v>36</v>
      </c>
      <c r="E28" t="s">
        <v>26</v>
      </c>
      <c r="F28" t="s">
        <v>6</v>
      </c>
      <c r="G28" s="3">
        <v>500000</v>
      </c>
      <c r="H28" t="s">
        <v>23</v>
      </c>
      <c r="I28" s="3"/>
      <c r="J28" s="14"/>
      <c r="K28" s="3">
        <v>75000</v>
      </c>
    </row>
    <row r="29" spans="1:11" x14ac:dyDescent="0.3">
      <c r="A29" t="s">
        <v>24</v>
      </c>
      <c r="B29" s="2">
        <v>44147</v>
      </c>
      <c r="C29" s="10">
        <f>WEEKNUM(Таблица3[[#This Row],[Дата первой встречи]])</f>
        <v>46</v>
      </c>
      <c r="D29" t="s">
        <v>36</v>
      </c>
      <c r="E29" t="s">
        <v>26</v>
      </c>
      <c r="F29" t="s">
        <v>6</v>
      </c>
      <c r="G29" s="3">
        <v>5000000</v>
      </c>
      <c r="H29" t="s">
        <v>4</v>
      </c>
      <c r="I29" s="3"/>
      <c r="J29" s="14"/>
      <c r="K29" s="3">
        <v>750000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BF3F-A7A5-4EFE-AC2A-513D6E89D348}">
  <sheetPr>
    <tabColor theme="5" tint="0.39997558519241921"/>
  </sheetPr>
  <dimension ref="A3:D26"/>
  <sheetViews>
    <sheetView workbookViewId="0">
      <selection activeCell="J25" sqref="J25"/>
    </sheetView>
  </sheetViews>
  <sheetFormatPr defaultRowHeight="14.4" x14ac:dyDescent="0.3"/>
  <cols>
    <col min="1" max="1" width="16" bestFit="1" customWidth="1"/>
    <col min="2" max="2" width="17.88671875" bestFit="1" customWidth="1"/>
  </cols>
  <sheetData>
    <row r="3" spans="1:4" x14ac:dyDescent="0.3">
      <c r="A3" s="29" t="s">
        <v>219</v>
      </c>
      <c r="B3" t="s">
        <v>220</v>
      </c>
    </row>
    <row r="4" spans="1:4" x14ac:dyDescent="0.3">
      <c r="A4" s="32">
        <v>1</v>
      </c>
      <c r="B4" s="23">
        <v>1</v>
      </c>
    </row>
    <row r="5" spans="1:4" x14ac:dyDescent="0.3">
      <c r="A5" s="32">
        <v>3</v>
      </c>
      <c r="B5" s="23">
        <v>2</v>
      </c>
    </row>
    <row r="6" spans="1:4" x14ac:dyDescent="0.3">
      <c r="A6" s="32">
        <v>5</v>
      </c>
      <c r="B6" s="23">
        <v>3</v>
      </c>
    </row>
    <row r="7" spans="1:4" x14ac:dyDescent="0.3">
      <c r="A7" s="32">
        <v>6</v>
      </c>
      <c r="B7" s="23">
        <v>1</v>
      </c>
    </row>
    <row r="8" spans="1:4" x14ac:dyDescent="0.3">
      <c r="A8" s="32">
        <v>10</v>
      </c>
      <c r="B8" s="23">
        <v>1</v>
      </c>
    </row>
    <row r="9" spans="1:4" x14ac:dyDescent="0.3">
      <c r="A9" s="32">
        <v>14</v>
      </c>
      <c r="B9" s="23">
        <v>2</v>
      </c>
    </row>
    <row r="10" spans="1:4" x14ac:dyDescent="0.3">
      <c r="A10" s="32">
        <v>15</v>
      </c>
      <c r="B10" s="23">
        <v>1</v>
      </c>
    </row>
    <row r="11" spans="1:4" x14ac:dyDescent="0.3">
      <c r="A11" s="32">
        <v>18</v>
      </c>
      <c r="B11" s="23">
        <v>1</v>
      </c>
    </row>
    <row r="12" spans="1:4" x14ac:dyDescent="0.3">
      <c r="A12" s="32">
        <v>20</v>
      </c>
      <c r="B12" s="23">
        <v>1</v>
      </c>
    </row>
    <row r="13" spans="1:4" x14ac:dyDescent="0.3">
      <c r="A13" s="32">
        <v>22</v>
      </c>
      <c r="B13" s="23">
        <v>1</v>
      </c>
    </row>
    <row r="14" spans="1:4" x14ac:dyDescent="0.3">
      <c r="A14" s="32">
        <v>23</v>
      </c>
      <c r="B14" s="23">
        <v>1</v>
      </c>
    </row>
    <row r="15" spans="1:4" x14ac:dyDescent="0.3">
      <c r="A15" s="32">
        <v>25</v>
      </c>
      <c r="B15" s="23">
        <v>2</v>
      </c>
    </row>
    <row r="16" spans="1:4" x14ac:dyDescent="0.3">
      <c r="A16" s="32">
        <v>29</v>
      </c>
      <c r="B16" s="23">
        <v>1</v>
      </c>
      <c r="D16" s="33"/>
    </row>
    <row r="17" spans="1:2" x14ac:dyDescent="0.3">
      <c r="A17" s="32">
        <v>30</v>
      </c>
      <c r="B17" s="23">
        <v>1</v>
      </c>
    </row>
    <row r="18" spans="1:2" x14ac:dyDescent="0.3">
      <c r="A18" s="32">
        <v>31</v>
      </c>
      <c r="B18" s="23">
        <v>1</v>
      </c>
    </row>
    <row r="19" spans="1:2" x14ac:dyDescent="0.3">
      <c r="A19" s="32">
        <v>35</v>
      </c>
      <c r="B19" s="23">
        <v>1</v>
      </c>
    </row>
    <row r="20" spans="1:2" x14ac:dyDescent="0.3">
      <c r="A20" s="32">
        <v>36</v>
      </c>
      <c r="B20" s="23">
        <v>1</v>
      </c>
    </row>
    <row r="21" spans="1:2" x14ac:dyDescent="0.3">
      <c r="A21" s="32">
        <v>40</v>
      </c>
      <c r="B21" s="23">
        <v>1</v>
      </c>
    </row>
    <row r="22" spans="1:2" x14ac:dyDescent="0.3">
      <c r="A22" s="32">
        <v>42</v>
      </c>
      <c r="B22" s="23">
        <v>1</v>
      </c>
    </row>
    <row r="23" spans="1:2" x14ac:dyDescent="0.3">
      <c r="A23" s="32">
        <v>46</v>
      </c>
      <c r="B23" s="23">
        <v>1</v>
      </c>
    </row>
    <row r="24" spans="1:2" x14ac:dyDescent="0.3">
      <c r="A24" s="32">
        <v>49</v>
      </c>
      <c r="B24" s="23">
        <v>2</v>
      </c>
    </row>
    <row r="25" spans="1:2" x14ac:dyDescent="0.3">
      <c r="A25" s="32">
        <v>53</v>
      </c>
      <c r="B25" s="23">
        <v>1</v>
      </c>
    </row>
    <row r="26" spans="1:2" x14ac:dyDescent="0.3">
      <c r="A26" s="32" t="s">
        <v>217</v>
      </c>
      <c r="B26" s="23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3BF5-A726-4A59-A228-7E08569D62B6}">
  <dimension ref="A1:K166"/>
  <sheetViews>
    <sheetView workbookViewId="0">
      <pane ySplit="1" topLeftCell="A2" activePane="bottomLeft" state="frozen"/>
      <selection pane="bottomLeft" activeCell="F37" sqref="F37"/>
    </sheetView>
  </sheetViews>
  <sheetFormatPr defaultRowHeight="14.4" x14ac:dyDescent="0.3"/>
  <cols>
    <col min="1" max="1" width="13.21875" bestFit="1" customWidth="1"/>
    <col min="2" max="2" width="11" bestFit="1" customWidth="1"/>
    <col min="3" max="3" width="11.6640625" bestFit="1" customWidth="1"/>
    <col min="4" max="5" width="15.88671875" style="34" customWidth="1"/>
    <col min="6" max="6" width="11.6640625" style="34" customWidth="1"/>
    <col min="7" max="7" width="21" bestFit="1" customWidth="1"/>
    <col min="8" max="8" width="18.109375" style="19" customWidth="1"/>
    <col min="9" max="9" width="12.6640625" customWidth="1"/>
    <col min="11" max="11" width="9.6640625" bestFit="1" customWidth="1"/>
  </cols>
  <sheetData>
    <row r="1" spans="1:11" ht="28.8" x14ac:dyDescent="0.3">
      <c r="A1" s="36" t="s">
        <v>166</v>
      </c>
      <c r="B1" s="36" t="s">
        <v>167</v>
      </c>
      <c r="C1" s="36" t="s">
        <v>168</v>
      </c>
      <c r="D1" s="37" t="s">
        <v>221</v>
      </c>
      <c r="E1" s="38" t="s">
        <v>223</v>
      </c>
      <c r="F1" s="37" t="s">
        <v>222</v>
      </c>
      <c r="G1" s="36" t="s">
        <v>169</v>
      </c>
      <c r="H1" s="11" t="s">
        <v>170</v>
      </c>
      <c r="I1" s="36" t="s">
        <v>171</v>
      </c>
    </row>
    <row r="2" spans="1:11" x14ac:dyDescent="0.3">
      <c r="A2" t="s">
        <v>172</v>
      </c>
      <c r="B2" t="s">
        <v>37</v>
      </c>
      <c r="C2" s="2">
        <v>43885</v>
      </c>
      <c r="D2" s="35" t="str">
        <f>TEXT(Таблица4[[#This Row],[Дата]],"ДДДД")</f>
        <v>понедельник</v>
      </c>
      <c r="E2" s="34">
        <f>WEEKDAY(Таблица4[[#This Row],[Дата]],2)</f>
        <v>1</v>
      </c>
      <c r="F2" s="34">
        <f>ROUNDUP(MONTH(Таблица4[[#This Row],[Дата]])/3,0)</f>
        <v>1</v>
      </c>
      <c r="G2" t="s">
        <v>173</v>
      </c>
      <c r="H2" s="19">
        <v>3</v>
      </c>
      <c r="I2" t="s">
        <v>174</v>
      </c>
    </row>
    <row r="3" spans="1:11" x14ac:dyDescent="0.3">
      <c r="A3" t="s">
        <v>172</v>
      </c>
      <c r="B3" t="s">
        <v>37</v>
      </c>
      <c r="C3" s="2">
        <v>43859</v>
      </c>
      <c r="D3" s="35" t="str">
        <f>TEXT(Таблица4[[#This Row],[Дата]],"ДДДД")</f>
        <v>среда</v>
      </c>
      <c r="E3" s="34">
        <f>WEEKDAY(Таблица4[[#This Row],[Дата]],2)</f>
        <v>3</v>
      </c>
      <c r="F3" s="34">
        <f>ROUNDUP(MONTH(Таблица4[[#This Row],[Дата]])/3,0)</f>
        <v>1</v>
      </c>
      <c r="G3" t="s">
        <v>173</v>
      </c>
      <c r="H3" s="19">
        <v>1</v>
      </c>
      <c r="I3" t="s">
        <v>175</v>
      </c>
    </row>
    <row r="4" spans="1:11" x14ac:dyDescent="0.3">
      <c r="A4" t="s">
        <v>172</v>
      </c>
      <c r="B4" t="s">
        <v>37</v>
      </c>
      <c r="C4" s="2">
        <v>43964</v>
      </c>
      <c r="D4" s="35" t="str">
        <f>TEXT(Таблица4[[#This Row],[Дата]],"ДДДД")</f>
        <v>среда</v>
      </c>
      <c r="E4" s="34">
        <f>WEEKDAY(Таблица4[[#This Row],[Дата]],2)</f>
        <v>3</v>
      </c>
      <c r="F4" s="34">
        <f>ROUNDUP(MONTH(Таблица4[[#This Row],[Дата]])/3,0)</f>
        <v>2</v>
      </c>
      <c r="G4" t="s">
        <v>176</v>
      </c>
      <c r="H4" s="19">
        <v>6</v>
      </c>
      <c r="I4" t="s">
        <v>177</v>
      </c>
    </row>
    <row r="5" spans="1:11" x14ac:dyDescent="0.3">
      <c r="A5" t="s">
        <v>172</v>
      </c>
      <c r="B5" t="s">
        <v>37</v>
      </c>
      <c r="C5" s="2">
        <v>43922</v>
      </c>
      <c r="D5" s="35" t="str">
        <f>TEXT(Таблица4[[#This Row],[Дата]],"ДДДД")</f>
        <v>среда</v>
      </c>
      <c r="E5" s="34">
        <f>WEEKDAY(Таблица4[[#This Row],[Дата]],2)</f>
        <v>3</v>
      </c>
      <c r="F5" s="34">
        <f>ROUNDUP(MONTH(Таблица4[[#This Row],[Дата]])/3,0)</f>
        <v>2</v>
      </c>
      <c r="G5" t="s">
        <v>178</v>
      </c>
      <c r="H5" s="19">
        <v>4</v>
      </c>
      <c r="I5" t="s">
        <v>179</v>
      </c>
      <c r="K5" s="2"/>
    </row>
    <row r="6" spans="1:11" x14ac:dyDescent="0.3">
      <c r="A6" t="s">
        <v>172</v>
      </c>
      <c r="B6" t="s">
        <v>37</v>
      </c>
      <c r="C6" s="2">
        <v>43966</v>
      </c>
      <c r="D6" s="35" t="str">
        <f>TEXT(Таблица4[[#This Row],[Дата]],"ДДДД")</f>
        <v>пятница</v>
      </c>
      <c r="E6" s="34">
        <f>WEEKDAY(Таблица4[[#This Row],[Дата]],2)</f>
        <v>5</v>
      </c>
      <c r="F6" s="34">
        <f>ROUNDUP(MONTH(Таблица4[[#This Row],[Дата]])/3,0)</f>
        <v>2</v>
      </c>
      <c r="G6" t="s">
        <v>176</v>
      </c>
      <c r="H6" s="19">
        <v>5</v>
      </c>
      <c r="I6" t="s">
        <v>180</v>
      </c>
      <c r="K6" s="2"/>
    </row>
    <row r="7" spans="1:11" x14ac:dyDescent="0.3">
      <c r="A7" t="s">
        <v>172</v>
      </c>
      <c r="B7" t="s">
        <v>37</v>
      </c>
      <c r="C7" s="2">
        <v>43973</v>
      </c>
      <c r="D7" s="35" t="str">
        <f>TEXT(Таблица4[[#This Row],[Дата]],"ДДДД")</f>
        <v>пятница</v>
      </c>
      <c r="E7" s="34">
        <f>WEEKDAY(Таблица4[[#This Row],[Дата]],2)</f>
        <v>5</v>
      </c>
      <c r="F7" s="34">
        <f>ROUNDUP(MONTH(Таблица4[[#This Row],[Дата]])/3,0)</f>
        <v>2</v>
      </c>
      <c r="G7" t="s">
        <v>178</v>
      </c>
      <c r="H7" s="19">
        <v>7</v>
      </c>
      <c r="I7" t="s">
        <v>181</v>
      </c>
    </row>
    <row r="8" spans="1:11" x14ac:dyDescent="0.3">
      <c r="A8" t="s">
        <v>172</v>
      </c>
      <c r="B8" t="s">
        <v>37</v>
      </c>
      <c r="C8" s="2">
        <v>43889</v>
      </c>
      <c r="D8" s="35" t="str">
        <f>TEXT(Таблица4[[#This Row],[Дата]],"ДДДД")</f>
        <v>пятница</v>
      </c>
      <c r="E8" s="34">
        <f>WEEKDAY(Таблица4[[#This Row],[Дата]],2)</f>
        <v>5</v>
      </c>
      <c r="F8" s="34">
        <f>ROUNDUP(MONTH(Таблица4[[#This Row],[Дата]])/3,0)</f>
        <v>1</v>
      </c>
      <c r="G8" t="s">
        <v>182</v>
      </c>
      <c r="H8" s="19">
        <v>7</v>
      </c>
      <c r="I8" t="s">
        <v>181</v>
      </c>
    </row>
    <row r="9" spans="1:11" x14ac:dyDescent="0.3">
      <c r="A9" t="s">
        <v>172</v>
      </c>
      <c r="B9" t="s">
        <v>37</v>
      </c>
      <c r="C9" s="2">
        <v>44012</v>
      </c>
      <c r="D9" s="35" t="str">
        <f>TEXT(Таблица4[[#This Row],[Дата]],"ДДДД")</f>
        <v>вторник</v>
      </c>
      <c r="E9" s="34">
        <f>WEEKDAY(Таблица4[[#This Row],[Дата]],2)</f>
        <v>2</v>
      </c>
      <c r="F9" s="34">
        <f>ROUNDUP(MONTH(Таблица4[[#This Row],[Дата]])/3,0)</f>
        <v>2</v>
      </c>
      <c r="G9" t="s">
        <v>178</v>
      </c>
      <c r="H9" s="19">
        <v>5</v>
      </c>
      <c r="I9" t="s">
        <v>180</v>
      </c>
    </row>
    <row r="10" spans="1:11" x14ac:dyDescent="0.3">
      <c r="A10" t="s">
        <v>172</v>
      </c>
      <c r="B10" t="s">
        <v>37</v>
      </c>
      <c r="C10" s="2">
        <v>44005</v>
      </c>
      <c r="D10" s="35" t="str">
        <f>TEXT(Таблица4[[#This Row],[Дата]],"ДДДД")</f>
        <v>вторник</v>
      </c>
      <c r="E10" s="34">
        <f>WEEKDAY(Таблица4[[#This Row],[Дата]],2)</f>
        <v>2</v>
      </c>
      <c r="F10" s="34">
        <f>ROUNDUP(MONTH(Таблица4[[#This Row],[Дата]])/3,0)</f>
        <v>2</v>
      </c>
      <c r="G10" t="s">
        <v>173</v>
      </c>
      <c r="H10" s="19">
        <v>2</v>
      </c>
      <c r="I10" t="s">
        <v>183</v>
      </c>
    </row>
    <row r="11" spans="1:11" x14ac:dyDescent="0.3">
      <c r="A11" t="s">
        <v>172</v>
      </c>
      <c r="B11" t="s">
        <v>37</v>
      </c>
      <c r="C11" s="2">
        <v>43961</v>
      </c>
      <c r="D11" s="35" t="str">
        <f>TEXT(Таблица4[[#This Row],[Дата]],"ДДДД")</f>
        <v>воскресенье</v>
      </c>
      <c r="E11" s="34">
        <f>WEEKDAY(Таблица4[[#This Row],[Дата]],2)</f>
        <v>7</v>
      </c>
      <c r="F11" s="34">
        <f>ROUNDUP(MONTH(Таблица4[[#This Row],[Дата]])/3,0)</f>
        <v>2</v>
      </c>
      <c r="G11" t="s">
        <v>173</v>
      </c>
      <c r="H11" s="19">
        <v>8</v>
      </c>
      <c r="I11" t="s">
        <v>184</v>
      </c>
    </row>
    <row r="12" spans="1:11" x14ac:dyDescent="0.3">
      <c r="A12" t="s">
        <v>172</v>
      </c>
      <c r="B12" t="s">
        <v>185</v>
      </c>
      <c r="C12" s="2">
        <v>43837</v>
      </c>
      <c r="D12" s="35" t="str">
        <f>TEXT(Таблица4[[#This Row],[Дата]],"ДДДД")</f>
        <v>вторник</v>
      </c>
      <c r="E12" s="34">
        <f>WEEKDAY(Таблица4[[#This Row],[Дата]],2)</f>
        <v>2</v>
      </c>
      <c r="F12" s="34">
        <f>ROUNDUP(MONTH(Таблица4[[#This Row],[Дата]])/3,0)</f>
        <v>1</v>
      </c>
      <c r="G12" t="s">
        <v>173</v>
      </c>
      <c r="H12" s="19">
        <v>4</v>
      </c>
      <c r="I12" t="s">
        <v>179</v>
      </c>
    </row>
    <row r="13" spans="1:11" x14ac:dyDescent="0.3">
      <c r="A13" t="s">
        <v>172</v>
      </c>
      <c r="B13" t="s">
        <v>37</v>
      </c>
      <c r="C13" s="2">
        <v>43894</v>
      </c>
      <c r="D13" s="35" t="str">
        <f>TEXT(Таблица4[[#This Row],[Дата]],"ДДДД")</f>
        <v>среда</v>
      </c>
      <c r="E13" s="34">
        <f>WEEKDAY(Таблица4[[#This Row],[Дата]],2)</f>
        <v>3</v>
      </c>
      <c r="F13" s="34">
        <f>ROUNDUP(MONTH(Таблица4[[#This Row],[Дата]])/3,0)</f>
        <v>1</v>
      </c>
      <c r="G13" t="s">
        <v>186</v>
      </c>
      <c r="H13" s="19">
        <v>2</v>
      </c>
      <c r="I13" t="s">
        <v>183</v>
      </c>
    </row>
    <row r="14" spans="1:11" x14ac:dyDescent="0.3">
      <c r="A14" t="s">
        <v>172</v>
      </c>
      <c r="B14" t="s">
        <v>187</v>
      </c>
      <c r="C14" s="2">
        <v>43885</v>
      </c>
      <c r="D14" s="35" t="str">
        <f>TEXT(Таблица4[[#This Row],[Дата]],"ДДДД")</f>
        <v>понедельник</v>
      </c>
      <c r="E14" s="34">
        <f>WEEKDAY(Таблица4[[#This Row],[Дата]],2)</f>
        <v>1</v>
      </c>
      <c r="F14" s="34">
        <f>ROUNDUP(MONTH(Таблица4[[#This Row],[Дата]])/3,0)</f>
        <v>1</v>
      </c>
      <c r="G14" t="s">
        <v>182</v>
      </c>
      <c r="H14" s="19">
        <v>4</v>
      </c>
      <c r="I14" t="s">
        <v>179</v>
      </c>
    </row>
    <row r="15" spans="1:11" x14ac:dyDescent="0.3">
      <c r="A15" t="s">
        <v>172</v>
      </c>
      <c r="B15" t="s">
        <v>188</v>
      </c>
      <c r="C15" s="2">
        <v>43882</v>
      </c>
      <c r="D15" s="35" t="str">
        <f>TEXT(Таблица4[[#This Row],[Дата]],"ДДДД")</f>
        <v>пятница</v>
      </c>
      <c r="E15" s="34">
        <f>WEEKDAY(Таблица4[[#This Row],[Дата]],2)</f>
        <v>5</v>
      </c>
      <c r="F15" s="34">
        <f>ROUNDUP(MONTH(Таблица4[[#This Row],[Дата]])/3,0)</f>
        <v>1</v>
      </c>
      <c r="G15" t="s">
        <v>189</v>
      </c>
      <c r="H15" s="19">
        <v>2</v>
      </c>
      <c r="I15" t="s">
        <v>183</v>
      </c>
    </row>
    <row r="16" spans="1:11" x14ac:dyDescent="0.3">
      <c r="A16" t="s">
        <v>172</v>
      </c>
      <c r="B16" t="s">
        <v>187</v>
      </c>
      <c r="C16" s="2">
        <v>43885</v>
      </c>
      <c r="D16" s="35" t="str">
        <f>TEXT(Таблица4[[#This Row],[Дата]],"ДДДД")</f>
        <v>понедельник</v>
      </c>
      <c r="E16" s="34">
        <f>WEEKDAY(Таблица4[[#This Row],[Дата]],2)</f>
        <v>1</v>
      </c>
      <c r="F16" s="34">
        <f>ROUNDUP(MONTH(Таблица4[[#This Row],[Дата]])/3,0)</f>
        <v>1</v>
      </c>
      <c r="G16" t="s">
        <v>190</v>
      </c>
      <c r="H16" s="19">
        <v>2</v>
      </c>
      <c r="I16" t="s">
        <v>183</v>
      </c>
    </row>
    <row r="17" spans="1:9" x14ac:dyDescent="0.3">
      <c r="A17" t="s">
        <v>172</v>
      </c>
      <c r="B17" t="s">
        <v>188</v>
      </c>
      <c r="C17" s="2">
        <v>43864</v>
      </c>
      <c r="D17" s="35" t="str">
        <f>TEXT(Таблица4[[#This Row],[Дата]],"ДДДД")</f>
        <v>понедельник</v>
      </c>
      <c r="E17" s="34">
        <f>WEEKDAY(Таблица4[[#This Row],[Дата]],2)</f>
        <v>1</v>
      </c>
      <c r="F17" s="34">
        <f>ROUNDUP(MONTH(Таблица4[[#This Row],[Дата]])/3,0)</f>
        <v>1</v>
      </c>
      <c r="G17" t="s">
        <v>191</v>
      </c>
      <c r="H17" s="19">
        <v>2</v>
      </c>
      <c r="I17" t="s">
        <v>183</v>
      </c>
    </row>
    <row r="18" spans="1:9" x14ac:dyDescent="0.3">
      <c r="A18" t="s">
        <v>172</v>
      </c>
      <c r="B18" t="s">
        <v>37</v>
      </c>
      <c r="C18" s="2">
        <v>43930</v>
      </c>
      <c r="D18" s="35" t="str">
        <f>TEXT(Таблица4[[#This Row],[Дата]],"ДДДД")</f>
        <v>четверг</v>
      </c>
      <c r="E18" s="34">
        <f>WEEKDAY(Таблица4[[#This Row],[Дата]],2)</f>
        <v>4</v>
      </c>
      <c r="F18" s="34">
        <f>ROUNDUP(MONTH(Таблица4[[#This Row],[Дата]])/3,0)</f>
        <v>2</v>
      </c>
      <c r="G18" t="s">
        <v>192</v>
      </c>
      <c r="H18" s="19">
        <v>1</v>
      </c>
      <c r="I18" t="s">
        <v>175</v>
      </c>
    </row>
    <row r="19" spans="1:9" x14ac:dyDescent="0.3">
      <c r="A19" t="s">
        <v>172</v>
      </c>
      <c r="B19" t="s">
        <v>37</v>
      </c>
      <c r="C19" s="2">
        <v>44163</v>
      </c>
      <c r="D19" s="35" t="str">
        <f>TEXT(Таблица4[[#This Row],[Дата]],"ДДДД")</f>
        <v>суббота</v>
      </c>
      <c r="E19" s="34">
        <f>WEEKDAY(Таблица4[[#This Row],[Дата]],2)</f>
        <v>6</v>
      </c>
      <c r="F19" s="34">
        <f>ROUNDUP(MONTH(Таблица4[[#This Row],[Дата]])/3,0)</f>
        <v>4</v>
      </c>
      <c r="G19" t="s">
        <v>191</v>
      </c>
      <c r="H19" s="19">
        <v>7</v>
      </c>
      <c r="I19" t="s">
        <v>181</v>
      </c>
    </row>
    <row r="20" spans="1:9" x14ac:dyDescent="0.3">
      <c r="A20" t="s">
        <v>172</v>
      </c>
      <c r="B20" t="s">
        <v>193</v>
      </c>
      <c r="C20" s="2">
        <v>43878</v>
      </c>
      <c r="D20" s="35" t="str">
        <f>TEXT(Таблица4[[#This Row],[Дата]],"ДДДД")</f>
        <v>понедельник</v>
      </c>
      <c r="E20" s="34">
        <f>WEEKDAY(Таблица4[[#This Row],[Дата]],2)</f>
        <v>1</v>
      </c>
      <c r="F20" s="34">
        <f>ROUNDUP(MONTH(Таблица4[[#This Row],[Дата]])/3,0)</f>
        <v>1</v>
      </c>
      <c r="G20" t="s">
        <v>190</v>
      </c>
      <c r="H20" s="19">
        <v>3</v>
      </c>
      <c r="I20" t="s">
        <v>174</v>
      </c>
    </row>
    <row r="21" spans="1:9" x14ac:dyDescent="0.3">
      <c r="A21" t="s">
        <v>172</v>
      </c>
      <c r="B21" t="s">
        <v>193</v>
      </c>
      <c r="C21" s="2">
        <v>43954</v>
      </c>
      <c r="D21" s="35" t="str">
        <f>TEXT(Таблица4[[#This Row],[Дата]],"ДДДД")</f>
        <v>воскресенье</v>
      </c>
      <c r="E21" s="34">
        <f>WEEKDAY(Таблица4[[#This Row],[Дата]],2)</f>
        <v>7</v>
      </c>
      <c r="F21" s="34">
        <f>ROUNDUP(MONTH(Таблица4[[#This Row],[Дата]])/3,0)</f>
        <v>2</v>
      </c>
      <c r="G21" t="s">
        <v>178</v>
      </c>
      <c r="H21" s="19">
        <v>2</v>
      </c>
      <c r="I21" t="s">
        <v>183</v>
      </c>
    </row>
    <row r="22" spans="1:9" x14ac:dyDescent="0.3">
      <c r="A22" t="s">
        <v>172</v>
      </c>
      <c r="B22" t="s">
        <v>193</v>
      </c>
      <c r="C22" s="2">
        <v>43927</v>
      </c>
      <c r="D22" s="35" t="str">
        <f>TEXT(Таблица4[[#This Row],[Дата]],"ДДДД")</f>
        <v>понедельник</v>
      </c>
      <c r="E22" s="34">
        <f>WEEKDAY(Таблица4[[#This Row],[Дата]],2)</f>
        <v>1</v>
      </c>
      <c r="F22" s="34">
        <f>ROUNDUP(MONTH(Таблица4[[#This Row],[Дата]])/3,0)</f>
        <v>2</v>
      </c>
      <c r="G22" t="s">
        <v>186</v>
      </c>
      <c r="H22" s="19">
        <v>5</v>
      </c>
      <c r="I22" t="s">
        <v>180</v>
      </c>
    </row>
    <row r="23" spans="1:9" x14ac:dyDescent="0.3">
      <c r="A23" t="s">
        <v>172</v>
      </c>
      <c r="B23" t="s">
        <v>193</v>
      </c>
      <c r="C23" s="2">
        <v>43965</v>
      </c>
      <c r="D23" s="35" t="str">
        <f>TEXT(Таблица4[[#This Row],[Дата]],"ДДДД")</f>
        <v>четверг</v>
      </c>
      <c r="E23" s="34">
        <f>WEEKDAY(Таблица4[[#This Row],[Дата]],2)</f>
        <v>4</v>
      </c>
      <c r="F23" s="34">
        <f>ROUNDUP(MONTH(Таблица4[[#This Row],[Дата]])/3,0)</f>
        <v>2</v>
      </c>
      <c r="G23" t="s">
        <v>190</v>
      </c>
      <c r="H23" s="19">
        <v>8</v>
      </c>
      <c r="I23" t="s">
        <v>184</v>
      </c>
    </row>
    <row r="24" spans="1:9" x14ac:dyDescent="0.3">
      <c r="A24" t="s">
        <v>172</v>
      </c>
      <c r="B24" t="s">
        <v>193</v>
      </c>
      <c r="C24" s="2">
        <v>43851</v>
      </c>
      <c r="D24" s="35" t="str">
        <f>TEXT(Таблица4[[#This Row],[Дата]],"ДДДД")</f>
        <v>вторник</v>
      </c>
      <c r="E24" s="34">
        <f>WEEKDAY(Таблица4[[#This Row],[Дата]],2)</f>
        <v>2</v>
      </c>
      <c r="F24" s="34">
        <f>ROUNDUP(MONTH(Таблица4[[#This Row],[Дата]])/3,0)</f>
        <v>1</v>
      </c>
      <c r="G24" t="s">
        <v>173</v>
      </c>
      <c r="H24" s="19">
        <v>2</v>
      </c>
      <c r="I24" t="s">
        <v>183</v>
      </c>
    </row>
    <row r="25" spans="1:9" x14ac:dyDescent="0.3">
      <c r="A25" t="s">
        <v>172</v>
      </c>
      <c r="B25" t="s">
        <v>37</v>
      </c>
      <c r="C25" s="2">
        <v>43855</v>
      </c>
      <c r="D25" s="35" t="str">
        <f>TEXT(Таблица4[[#This Row],[Дата]],"ДДДД")</f>
        <v>суббота</v>
      </c>
      <c r="E25" s="34">
        <f>WEEKDAY(Таблица4[[#This Row],[Дата]],2)</f>
        <v>6</v>
      </c>
      <c r="F25" s="34">
        <f>ROUNDUP(MONTH(Таблица4[[#This Row],[Дата]])/3,0)</f>
        <v>1</v>
      </c>
      <c r="G25" t="s">
        <v>186</v>
      </c>
      <c r="H25" s="19">
        <v>2</v>
      </c>
      <c r="I25" t="s">
        <v>183</v>
      </c>
    </row>
    <row r="26" spans="1:9" x14ac:dyDescent="0.3">
      <c r="A26" t="s">
        <v>172</v>
      </c>
      <c r="B26" t="s">
        <v>37</v>
      </c>
      <c r="C26" s="2">
        <v>43894</v>
      </c>
      <c r="D26" s="35" t="str">
        <f>TEXT(Таблица4[[#This Row],[Дата]],"ДДДД")</f>
        <v>среда</v>
      </c>
      <c r="E26" s="34">
        <f>WEEKDAY(Таблица4[[#This Row],[Дата]],2)</f>
        <v>3</v>
      </c>
      <c r="F26" s="34">
        <f>ROUNDUP(MONTH(Таблица4[[#This Row],[Дата]])/3,0)</f>
        <v>1</v>
      </c>
      <c r="G26" t="s">
        <v>190</v>
      </c>
      <c r="H26" s="19">
        <v>6</v>
      </c>
      <c r="I26" t="s">
        <v>177</v>
      </c>
    </row>
    <row r="27" spans="1:9" x14ac:dyDescent="0.3">
      <c r="A27" t="s">
        <v>172</v>
      </c>
      <c r="B27" t="s">
        <v>37</v>
      </c>
      <c r="C27" s="2">
        <v>43840</v>
      </c>
      <c r="D27" s="35" t="str">
        <f>TEXT(Таблица4[[#This Row],[Дата]],"ДДДД")</f>
        <v>пятница</v>
      </c>
      <c r="E27" s="34">
        <f>WEEKDAY(Таблица4[[#This Row],[Дата]],2)</f>
        <v>5</v>
      </c>
      <c r="F27" s="34">
        <f>ROUNDUP(MONTH(Таблица4[[#This Row],[Дата]])/3,0)</f>
        <v>1</v>
      </c>
      <c r="G27" t="s">
        <v>173</v>
      </c>
      <c r="H27" s="19">
        <v>4</v>
      </c>
      <c r="I27" t="s">
        <v>179</v>
      </c>
    </row>
    <row r="28" spans="1:9" x14ac:dyDescent="0.3">
      <c r="A28" t="s">
        <v>172</v>
      </c>
      <c r="B28" t="s">
        <v>187</v>
      </c>
      <c r="C28" s="2">
        <v>43984</v>
      </c>
      <c r="D28" s="35" t="str">
        <f>TEXT(Таблица4[[#This Row],[Дата]],"ДДДД")</f>
        <v>вторник</v>
      </c>
      <c r="E28" s="34">
        <f>WEEKDAY(Таблица4[[#This Row],[Дата]],2)</f>
        <v>2</v>
      </c>
      <c r="F28" s="34">
        <f>ROUNDUP(MONTH(Таблица4[[#This Row],[Дата]])/3,0)</f>
        <v>2</v>
      </c>
      <c r="G28" t="s">
        <v>182</v>
      </c>
      <c r="H28" s="19">
        <v>8</v>
      </c>
      <c r="I28" t="s">
        <v>184</v>
      </c>
    </row>
    <row r="29" spans="1:9" x14ac:dyDescent="0.3">
      <c r="A29" t="s">
        <v>172</v>
      </c>
      <c r="B29" t="s">
        <v>188</v>
      </c>
      <c r="C29" s="2">
        <v>43956</v>
      </c>
      <c r="D29" s="35" t="str">
        <f>TEXT(Таблица4[[#This Row],[Дата]],"ДДДД")</f>
        <v>вторник</v>
      </c>
      <c r="E29" s="34">
        <f>WEEKDAY(Таблица4[[#This Row],[Дата]],2)</f>
        <v>2</v>
      </c>
      <c r="F29" s="34">
        <f>ROUNDUP(MONTH(Таблица4[[#This Row],[Дата]])/3,0)</f>
        <v>2</v>
      </c>
      <c r="G29" t="s">
        <v>194</v>
      </c>
      <c r="H29" s="19">
        <v>8</v>
      </c>
      <c r="I29" t="s">
        <v>184</v>
      </c>
    </row>
    <row r="30" spans="1:9" x14ac:dyDescent="0.3">
      <c r="A30" t="s">
        <v>172</v>
      </c>
      <c r="B30" t="s">
        <v>37</v>
      </c>
      <c r="C30" s="2">
        <v>44003</v>
      </c>
      <c r="D30" s="35" t="str">
        <f>TEXT(Таблица4[[#This Row],[Дата]],"ДДДД")</f>
        <v>воскресенье</v>
      </c>
      <c r="E30" s="34">
        <f>WEEKDAY(Таблица4[[#This Row],[Дата]],2)</f>
        <v>7</v>
      </c>
      <c r="F30" s="34">
        <f>ROUNDUP(MONTH(Таблица4[[#This Row],[Дата]])/3,0)</f>
        <v>2</v>
      </c>
      <c r="G30" t="s">
        <v>191</v>
      </c>
      <c r="H30" s="19">
        <v>2</v>
      </c>
      <c r="I30" t="s">
        <v>183</v>
      </c>
    </row>
    <row r="31" spans="1:9" x14ac:dyDescent="0.3">
      <c r="A31" t="s">
        <v>172</v>
      </c>
      <c r="B31" t="s">
        <v>37</v>
      </c>
      <c r="C31" s="2">
        <v>43967</v>
      </c>
      <c r="D31" s="35" t="str">
        <f>TEXT(Таблица4[[#This Row],[Дата]],"ДДДД")</f>
        <v>суббота</v>
      </c>
      <c r="E31" s="34">
        <f>WEEKDAY(Таблица4[[#This Row],[Дата]],2)</f>
        <v>6</v>
      </c>
      <c r="F31" s="34">
        <f>ROUNDUP(MONTH(Таблица4[[#This Row],[Дата]])/3,0)</f>
        <v>2</v>
      </c>
      <c r="G31" t="s">
        <v>190</v>
      </c>
      <c r="H31" s="19">
        <v>3</v>
      </c>
      <c r="I31" t="s">
        <v>174</v>
      </c>
    </row>
    <row r="32" spans="1:9" x14ac:dyDescent="0.3">
      <c r="A32" t="s">
        <v>172</v>
      </c>
      <c r="B32" t="s">
        <v>37</v>
      </c>
      <c r="C32" s="2">
        <v>43947</v>
      </c>
      <c r="D32" s="35" t="str">
        <f>TEXT(Таблица4[[#This Row],[Дата]],"ДДДД")</f>
        <v>воскресенье</v>
      </c>
      <c r="E32" s="34">
        <f>WEEKDAY(Таблица4[[#This Row],[Дата]],2)</f>
        <v>7</v>
      </c>
      <c r="F32" s="34">
        <f>ROUNDUP(MONTH(Таблица4[[#This Row],[Дата]])/3,0)</f>
        <v>2</v>
      </c>
      <c r="G32" t="s">
        <v>173</v>
      </c>
      <c r="H32" s="19">
        <v>8</v>
      </c>
      <c r="I32" t="s">
        <v>184</v>
      </c>
    </row>
    <row r="33" spans="1:9" x14ac:dyDescent="0.3">
      <c r="A33" t="s">
        <v>172</v>
      </c>
      <c r="B33" t="s">
        <v>187</v>
      </c>
      <c r="C33" s="2">
        <v>43860</v>
      </c>
      <c r="D33" s="35" t="str">
        <f>TEXT(Таблица4[[#This Row],[Дата]],"ДДДД")</f>
        <v>четверг</v>
      </c>
      <c r="E33" s="34">
        <f>WEEKDAY(Таблица4[[#This Row],[Дата]],2)</f>
        <v>4</v>
      </c>
      <c r="F33" s="34">
        <f>ROUNDUP(MONTH(Таблица4[[#This Row],[Дата]])/3,0)</f>
        <v>1</v>
      </c>
      <c r="G33" t="s">
        <v>191</v>
      </c>
      <c r="H33" s="19">
        <v>7</v>
      </c>
      <c r="I33" t="s">
        <v>181</v>
      </c>
    </row>
    <row r="34" spans="1:9" x14ac:dyDescent="0.3">
      <c r="A34" t="s">
        <v>172</v>
      </c>
      <c r="B34" t="s">
        <v>185</v>
      </c>
      <c r="C34" s="2">
        <v>43852</v>
      </c>
      <c r="D34" s="35" t="str">
        <f>TEXT(Таблица4[[#This Row],[Дата]],"ДДДД")</f>
        <v>среда</v>
      </c>
      <c r="E34" s="34">
        <f>WEEKDAY(Таблица4[[#This Row],[Дата]],2)</f>
        <v>3</v>
      </c>
      <c r="F34" s="34">
        <f>ROUNDUP(MONTH(Таблица4[[#This Row],[Дата]])/3,0)</f>
        <v>1</v>
      </c>
      <c r="G34" t="s">
        <v>190</v>
      </c>
      <c r="H34" s="19">
        <v>1</v>
      </c>
      <c r="I34" t="s">
        <v>175</v>
      </c>
    </row>
    <row r="35" spans="1:9" x14ac:dyDescent="0.3">
      <c r="A35" t="s">
        <v>195</v>
      </c>
      <c r="B35" t="s">
        <v>37</v>
      </c>
      <c r="C35" s="2">
        <v>43862</v>
      </c>
      <c r="D35" s="35" t="str">
        <f>TEXT(Таблица4[[#This Row],[Дата]],"ДДДД")</f>
        <v>суббота</v>
      </c>
      <c r="E35" s="34">
        <f>WEEKDAY(Таблица4[[#This Row],[Дата]],2)</f>
        <v>6</v>
      </c>
      <c r="F35" s="34">
        <f>ROUNDUP(MONTH(Таблица4[[#This Row],[Дата]])/3,0)</f>
        <v>1</v>
      </c>
      <c r="G35" t="s">
        <v>189</v>
      </c>
      <c r="H35" s="19">
        <v>4</v>
      </c>
      <c r="I35" t="s">
        <v>179</v>
      </c>
    </row>
    <row r="36" spans="1:9" x14ac:dyDescent="0.3">
      <c r="A36" t="s">
        <v>195</v>
      </c>
      <c r="B36" t="s">
        <v>37</v>
      </c>
      <c r="C36" s="2">
        <v>43950</v>
      </c>
      <c r="D36" s="35" t="str">
        <f>TEXT(Таблица4[[#This Row],[Дата]],"ДДДД")</f>
        <v>среда</v>
      </c>
      <c r="E36" s="34">
        <f>WEEKDAY(Таблица4[[#This Row],[Дата]],2)</f>
        <v>3</v>
      </c>
      <c r="F36" s="34">
        <f>ROUNDUP(MONTH(Таблица4[[#This Row],[Дата]])/3,0)</f>
        <v>2</v>
      </c>
      <c r="G36" t="s">
        <v>196</v>
      </c>
      <c r="H36" s="19">
        <v>8</v>
      </c>
      <c r="I36" t="s">
        <v>184</v>
      </c>
    </row>
    <row r="37" spans="1:9" x14ac:dyDescent="0.3">
      <c r="A37" t="s">
        <v>195</v>
      </c>
      <c r="B37" t="s">
        <v>37</v>
      </c>
      <c r="C37" s="2">
        <v>43837</v>
      </c>
      <c r="D37" s="35" t="str">
        <f>TEXT(Таблица4[[#This Row],[Дата]],"ДДДД")</f>
        <v>вторник</v>
      </c>
      <c r="E37" s="34">
        <f>WEEKDAY(Таблица4[[#This Row],[Дата]],2)</f>
        <v>2</v>
      </c>
      <c r="F37" s="34">
        <f>ROUNDUP(MONTH(Таблица4[[#This Row],[Дата]])/3,0)</f>
        <v>1</v>
      </c>
      <c r="G37" t="s">
        <v>194</v>
      </c>
      <c r="H37" s="19">
        <v>1</v>
      </c>
      <c r="I37" t="s">
        <v>175</v>
      </c>
    </row>
    <row r="38" spans="1:9" x14ac:dyDescent="0.3">
      <c r="A38" t="s">
        <v>195</v>
      </c>
      <c r="B38" t="s">
        <v>37</v>
      </c>
      <c r="C38" s="2">
        <v>43837</v>
      </c>
      <c r="D38" s="35" t="str">
        <f>TEXT(Таблица4[[#This Row],[Дата]],"ДДДД")</f>
        <v>вторник</v>
      </c>
      <c r="E38" s="34">
        <f>WEEKDAY(Таблица4[[#This Row],[Дата]],2)</f>
        <v>2</v>
      </c>
      <c r="F38" s="34">
        <f>ROUNDUP(MONTH(Таблица4[[#This Row],[Дата]])/3,0)</f>
        <v>1</v>
      </c>
      <c r="G38" t="s">
        <v>182</v>
      </c>
      <c r="H38" s="19">
        <v>8</v>
      </c>
      <c r="I38" t="s">
        <v>184</v>
      </c>
    </row>
    <row r="39" spans="1:9" x14ac:dyDescent="0.3">
      <c r="A39" t="s">
        <v>195</v>
      </c>
      <c r="B39" t="s">
        <v>37</v>
      </c>
      <c r="C39" s="2">
        <v>43951</v>
      </c>
      <c r="D39" s="35" t="str">
        <f>TEXT(Таблица4[[#This Row],[Дата]],"ДДДД")</f>
        <v>четверг</v>
      </c>
      <c r="E39" s="34">
        <f>WEEKDAY(Таблица4[[#This Row],[Дата]],2)</f>
        <v>4</v>
      </c>
      <c r="F39" s="34">
        <f>ROUNDUP(MONTH(Таблица4[[#This Row],[Дата]])/3,0)</f>
        <v>2</v>
      </c>
      <c r="G39" t="s">
        <v>189</v>
      </c>
      <c r="H39" s="19">
        <v>6</v>
      </c>
      <c r="I39" t="s">
        <v>177</v>
      </c>
    </row>
    <row r="40" spans="1:9" x14ac:dyDescent="0.3">
      <c r="A40" t="s">
        <v>195</v>
      </c>
      <c r="B40" t="s">
        <v>188</v>
      </c>
      <c r="C40" s="2">
        <v>43880</v>
      </c>
      <c r="D40" s="35" t="str">
        <f>TEXT(Таблица4[[#This Row],[Дата]],"ДДДД")</f>
        <v>среда</v>
      </c>
      <c r="E40" s="34">
        <f>WEEKDAY(Таблица4[[#This Row],[Дата]],2)</f>
        <v>3</v>
      </c>
      <c r="F40" s="34">
        <f>ROUNDUP(MONTH(Таблица4[[#This Row],[Дата]])/3,0)</f>
        <v>1</v>
      </c>
      <c r="G40" t="s">
        <v>182</v>
      </c>
      <c r="H40" s="19">
        <v>1</v>
      </c>
      <c r="I40" t="s">
        <v>175</v>
      </c>
    </row>
    <row r="41" spans="1:9" x14ac:dyDescent="0.3">
      <c r="A41" t="s">
        <v>195</v>
      </c>
      <c r="B41" t="s">
        <v>188</v>
      </c>
      <c r="C41" s="2">
        <v>43897</v>
      </c>
      <c r="D41" s="35" t="str">
        <f>TEXT(Таблица4[[#This Row],[Дата]],"ДДДД")</f>
        <v>суббота</v>
      </c>
      <c r="E41" s="34">
        <f>WEEKDAY(Таблица4[[#This Row],[Дата]],2)</f>
        <v>6</v>
      </c>
      <c r="F41" s="34">
        <f>ROUNDUP(MONTH(Таблица4[[#This Row],[Дата]])/3,0)</f>
        <v>1</v>
      </c>
      <c r="G41" t="s">
        <v>176</v>
      </c>
      <c r="H41" s="19">
        <v>6</v>
      </c>
      <c r="I41" t="s">
        <v>177</v>
      </c>
    </row>
    <row r="42" spans="1:9" x14ac:dyDescent="0.3">
      <c r="A42" t="s">
        <v>195</v>
      </c>
      <c r="B42" t="s">
        <v>197</v>
      </c>
      <c r="C42" s="2">
        <v>43863</v>
      </c>
      <c r="D42" s="35" t="str">
        <f>TEXT(Таблица4[[#This Row],[Дата]],"ДДДД")</f>
        <v>воскресенье</v>
      </c>
      <c r="E42" s="34">
        <f>WEEKDAY(Таблица4[[#This Row],[Дата]],2)</f>
        <v>7</v>
      </c>
      <c r="F42" s="34">
        <f>ROUNDUP(MONTH(Таблица4[[#This Row],[Дата]])/3,0)</f>
        <v>1</v>
      </c>
      <c r="G42" t="s">
        <v>191</v>
      </c>
      <c r="H42" s="19">
        <v>5</v>
      </c>
      <c r="I42" t="s">
        <v>180</v>
      </c>
    </row>
    <row r="43" spans="1:9" x14ac:dyDescent="0.3">
      <c r="A43" t="s">
        <v>195</v>
      </c>
      <c r="B43" t="s">
        <v>197</v>
      </c>
      <c r="C43" s="2">
        <v>43912</v>
      </c>
      <c r="D43" s="35" t="str">
        <f>TEXT(Таблица4[[#This Row],[Дата]],"ДДДД")</f>
        <v>воскресенье</v>
      </c>
      <c r="E43" s="34">
        <f>WEEKDAY(Таблица4[[#This Row],[Дата]],2)</f>
        <v>7</v>
      </c>
      <c r="F43" s="34">
        <f>ROUNDUP(MONTH(Таблица4[[#This Row],[Дата]])/3,0)</f>
        <v>1</v>
      </c>
      <c r="G43" t="s">
        <v>186</v>
      </c>
      <c r="H43" s="19">
        <v>2</v>
      </c>
      <c r="I43" t="s">
        <v>183</v>
      </c>
    </row>
    <row r="44" spans="1:9" x14ac:dyDescent="0.3">
      <c r="A44" t="s">
        <v>195</v>
      </c>
      <c r="B44" t="s">
        <v>37</v>
      </c>
      <c r="C44" s="2">
        <v>43950</v>
      </c>
      <c r="D44" s="35" t="str">
        <f>TEXT(Таблица4[[#This Row],[Дата]],"ДДДД")</f>
        <v>среда</v>
      </c>
      <c r="E44" s="34">
        <f>WEEKDAY(Таблица4[[#This Row],[Дата]],2)</f>
        <v>3</v>
      </c>
      <c r="F44" s="34">
        <f>ROUNDUP(MONTH(Таблица4[[#This Row],[Дата]])/3,0)</f>
        <v>2</v>
      </c>
      <c r="G44" t="s">
        <v>190</v>
      </c>
      <c r="H44" s="19">
        <v>1</v>
      </c>
      <c r="I44" t="s">
        <v>175</v>
      </c>
    </row>
    <row r="45" spans="1:9" x14ac:dyDescent="0.3">
      <c r="A45" t="s">
        <v>195</v>
      </c>
      <c r="B45" t="s">
        <v>37</v>
      </c>
      <c r="C45" s="2">
        <v>43975</v>
      </c>
      <c r="D45" s="35" t="str">
        <f>TEXT(Таблица4[[#This Row],[Дата]],"ДДДД")</f>
        <v>воскресенье</v>
      </c>
      <c r="E45" s="34">
        <f>WEEKDAY(Таблица4[[#This Row],[Дата]],2)</f>
        <v>7</v>
      </c>
      <c r="F45" s="34">
        <f>ROUNDUP(MONTH(Таблица4[[#This Row],[Дата]])/3,0)</f>
        <v>2</v>
      </c>
      <c r="G45" t="s">
        <v>182</v>
      </c>
      <c r="H45" s="19">
        <v>2</v>
      </c>
      <c r="I45" t="s">
        <v>183</v>
      </c>
    </row>
    <row r="46" spans="1:9" x14ac:dyDescent="0.3">
      <c r="A46" t="s">
        <v>195</v>
      </c>
      <c r="B46" t="s">
        <v>37</v>
      </c>
      <c r="C46" s="2">
        <v>43896</v>
      </c>
      <c r="D46" s="35" t="str">
        <f>TEXT(Таблица4[[#This Row],[Дата]],"ДДДД")</f>
        <v>пятница</v>
      </c>
      <c r="E46" s="34">
        <f>WEEKDAY(Таблица4[[#This Row],[Дата]],2)</f>
        <v>5</v>
      </c>
      <c r="F46" s="34">
        <f>ROUNDUP(MONTH(Таблица4[[#This Row],[Дата]])/3,0)</f>
        <v>1</v>
      </c>
      <c r="G46" t="s">
        <v>178</v>
      </c>
      <c r="H46" s="19">
        <v>6</v>
      </c>
      <c r="I46" t="s">
        <v>177</v>
      </c>
    </row>
    <row r="47" spans="1:9" x14ac:dyDescent="0.3">
      <c r="A47" t="s">
        <v>195</v>
      </c>
      <c r="B47" t="s">
        <v>37</v>
      </c>
      <c r="C47" s="2">
        <v>43963</v>
      </c>
      <c r="D47" s="35" t="str">
        <f>TEXT(Таблица4[[#This Row],[Дата]],"ДДДД")</f>
        <v>вторник</v>
      </c>
      <c r="E47" s="34">
        <f>WEEKDAY(Таблица4[[#This Row],[Дата]],2)</f>
        <v>2</v>
      </c>
      <c r="F47" s="34">
        <f>ROUNDUP(MONTH(Таблица4[[#This Row],[Дата]])/3,0)</f>
        <v>2</v>
      </c>
      <c r="G47" t="s">
        <v>182</v>
      </c>
      <c r="H47" s="19">
        <v>6</v>
      </c>
      <c r="I47" t="s">
        <v>177</v>
      </c>
    </row>
    <row r="48" spans="1:9" x14ac:dyDescent="0.3">
      <c r="A48" t="s">
        <v>195</v>
      </c>
      <c r="B48" t="s">
        <v>37</v>
      </c>
      <c r="C48" s="2">
        <v>43940</v>
      </c>
      <c r="D48" s="35" t="str">
        <f>TEXT(Таблица4[[#This Row],[Дата]],"ДДДД")</f>
        <v>воскресенье</v>
      </c>
      <c r="E48" s="34">
        <f>WEEKDAY(Таблица4[[#This Row],[Дата]],2)</f>
        <v>7</v>
      </c>
      <c r="F48" s="34">
        <f>ROUNDUP(MONTH(Таблица4[[#This Row],[Дата]])/3,0)</f>
        <v>2</v>
      </c>
      <c r="G48" t="s">
        <v>196</v>
      </c>
      <c r="H48" s="19">
        <v>5</v>
      </c>
      <c r="I48" t="s">
        <v>180</v>
      </c>
    </row>
    <row r="49" spans="1:9" x14ac:dyDescent="0.3">
      <c r="A49" t="s">
        <v>195</v>
      </c>
      <c r="B49" t="s">
        <v>37</v>
      </c>
      <c r="C49" s="2">
        <v>43972</v>
      </c>
      <c r="D49" s="35" t="str">
        <f>TEXT(Таблица4[[#This Row],[Дата]],"ДДДД")</f>
        <v>четверг</v>
      </c>
      <c r="E49" s="34">
        <f>WEEKDAY(Таблица4[[#This Row],[Дата]],2)</f>
        <v>4</v>
      </c>
      <c r="F49" s="34">
        <f>ROUNDUP(MONTH(Таблица4[[#This Row],[Дата]])/3,0)</f>
        <v>2</v>
      </c>
      <c r="G49" t="s">
        <v>176</v>
      </c>
      <c r="H49" s="19">
        <v>6</v>
      </c>
      <c r="I49" t="s">
        <v>177</v>
      </c>
    </row>
    <row r="50" spans="1:9" x14ac:dyDescent="0.3">
      <c r="A50" t="s">
        <v>195</v>
      </c>
      <c r="B50" t="s">
        <v>37</v>
      </c>
      <c r="C50" s="2">
        <v>44007</v>
      </c>
      <c r="D50" s="35" t="str">
        <f>TEXT(Таблица4[[#This Row],[Дата]],"ДДДД")</f>
        <v>четверг</v>
      </c>
      <c r="E50" s="34">
        <f>WEEKDAY(Таблица4[[#This Row],[Дата]],2)</f>
        <v>4</v>
      </c>
      <c r="F50" s="34">
        <f>ROUNDUP(MONTH(Таблица4[[#This Row],[Дата]])/3,0)</f>
        <v>2</v>
      </c>
      <c r="G50" t="s">
        <v>191</v>
      </c>
      <c r="H50" s="19">
        <v>3</v>
      </c>
      <c r="I50" t="s">
        <v>174</v>
      </c>
    </row>
    <row r="51" spans="1:9" x14ac:dyDescent="0.3">
      <c r="A51" t="s">
        <v>195</v>
      </c>
      <c r="B51" t="s">
        <v>37</v>
      </c>
      <c r="C51" s="2">
        <v>44004</v>
      </c>
      <c r="D51" s="35" t="str">
        <f>TEXT(Таблица4[[#This Row],[Дата]],"ДДДД")</f>
        <v>понедельник</v>
      </c>
      <c r="E51" s="34">
        <f>WEEKDAY(Таблица4[[#This Row],[Дата]],2)</f>
        <v>1</v>
      </c>
      <c r="F51" s="34">
        <f>ROUNDUP(MONTH(Таблица4[[#This Row],[Дата]])/3,0)</f>
        <v>2</v>
      </c>
      <c r="G51" t="s">
        <v>182</v>
      </c>
      <c r="H51" s="19">
        <v>7</v>
      </c>
      <c r="I51" t="s">
        <v>181</v>
      </c>
    </row>
    <row r="52" spans="1:9" x14ac:dyDescent="0.3">
      <c r="A52" t="s">
        <v>195</v>
      </c>
      <c r="B52" t="s">
        <v>187</v>
      </c>
      <c r="C52" s="2">
        <v>43854</v>
      </c>
      <c r="D52" s="35" t="str">
        <f>TEXT(Таблица4[[#This Row],[Дата]],"ДДДД")</f>
        <v>пятница</v>
      </c>
      <c r="E52" s="34">
        <f>WEEKDAY(Таблица4[[#This Row],[Дата]],2)</f>
        <v>5</v>
      </c>
      <c r="F52" s="34">
        <f>ROUNDUP(MONTH(Таблица4[[#This Row],[Дата]])/3,0)</f>
        <v>1</v>
      </c>
      <c r="G52" t="s">
        <v>182</v>
      </c>
      <c r="H52" s="19">
        <v>3</v>
      </c>
      <c r="I52" t="s">
        <v>174</v>
      </c>
    </row>
    <row r="53" spans="1:9" x14ac:dyDescent="0.3">
      <c r="A53" t="s">
        <v>195</v>
      </c>
      <c r="B53" t="s">
        <v>37</v>
      </c>
      <c r="C53" s="2">
        <v>43989</v>
      </c>
      <c r="D53" s="35" t="str">
        <f>TEXT(Таблица4[[#This Row],[Дата]],"ДДДД")</f>
        <v>воскресенье</v>
      </c>
      <c r="E53" s="34">
        <f>WEEKDAY(Таблица4[[#This Row],[Дата]],2)</f>
        <v>7</v>
      </c>
      <c r="F53" s="34">
        <f>ROUNDUP(MONTH(Таблица4[[#This Row],[Дата]])/3,0)</f>
        <v>2</v>
      </c>
      <c r="G53" t="s">
        <v>196</v>
      </c>
      <c r="H53" s="19">
        <v>5</v>
      </c>
      <c r="I53" t="s">
        <v>180</v>
      </c>
    </row>
    <row r="54" spans="1:9" x14ac:dyDescent="0.3">
      <c r="A54" t="s">
        <v>195</v>
      </c>
      <c r="B54" t="s">
        <v>37</v>
      </c>
      <c r="C54" s="2">
        <v>43942</v>
      </c>
      <c r="D54" s="35" t="str">
        <f>TEXT(Таблица4[[#This Row],[Дата]],"ДДДД")</f>
        <v>вторник</v>
      </c>
      <c r="E54" s="34">
        <f>WEEKDAY(Таблица4[[#This Row],[Дата]],2)</f>
        <v>2</v>
      </c>
      <c r="F54" s="34">
        <f>ROUNDUP(MONTH(Таблица4[[#This Row],[Дата]])/3,0)</f>
        <v>2</v>
      </c>
      <c r="G54" t="s">
        <v>192</v>
      </c>
      <c r="H54" s="19">
        <v>4</v>
      </c>
      <c r="I54" t="s">
        <v>179</v>
      </c>
    </row>
    <row r="55" spans="1:9" x14ac:dyDescent="0.3">
      <c r="A55" t="s">
        <v>195</v>
      </c>
      <c r="B55" t="s">
        <v>37</v>
      </c>
      <c r="C55" s="2">
        <v>43867</v>
      </c>
      <c r="D55" s="35" t="str">
        <f>TEXT(Таблица4[[#This Row],[Дата]],"ДДДД")</f>
        <v>четверг</v>
      </c>
      <c r="E55" s="34">
        <f>WEEKDAY(Таблица4[[#This Row],[Дата]],2)</f>
        <v>4</v>
      </c>
      <c r="F55" s="34">
        <f>ROUNDUP(MONTH(Таблица4[[#This Row],[Дата]])/3,0)</f>
        <v>1</v>
      </c>
      <c r="G55" t="s">
        <v>192</v>
      </c>
      <c r="H55" s="19">
        <v>3</v>
      </c>
      <c r="I55" t="s">
        <v>174</v>
      </c>
    </row>
    <row r="56" spans="1:9" x14ac:dyDescent="0.3">
      <c r="A56" t="s">
        <v>195</v>
      </c>
      <c r="B56" t="s">
        <v>37</v>
      </c>
      <c r="C56" s="2">
        <v>43979</v>
      </c>
      <c r="D56" s="35" t="str">
        <f>TEXT(Таблица4[[#This Row],[Дата]],"ДДДД")</f>
        <v>четверг</v>
      </c>
      <c r="E56" s="34">
        <f>WEEKDAY(Таблица4[[#This Row],[Дата]],2)</f>
        <v>4</v>
      </c>
      <c r="F56" s="34">
        <f>ROUNDUP(MONTH(Таблица4[[#This Row],[Дата]])/3,0)</f>
        <v>2</v>
      </c>
      <c r="G56" t="s">
        <v>196</v>
      </c>
      <c r="H56" s="19">
        <v>5</v>
      </c>
      <c r="I56" t="s">
        <v>180</v>
      </c>
    </row>
    <row r="57" spans="1:9" x14ac:dyDescent="0.3">
      <c r="A57" t="s">
        <v>195</v>
      </c>
      <c r="B57" t="s">
        <v>37</v>
      </c>
      <c r="C57" s="2">
        <v>43957</v>
      </c>
      <c r="D57" s="35" t="str">
        <f>TEXT(Таблица4[[#This Row],[Дата]],"ДДДД")</f>
        <v>среда</v>
      </c>
      <c r="E57" s="34">
        <f>WEEKDAY(Таблица4[[#This Row],[Дата]],2)</f>
        <v>3</v>
      </c>
      <c r="F57" s="34">
        <f>ROUNDUP(MONTH(Таблица4[[#This Row],[Дата]])/3,0)</f>
        <v>2</v>
      </c>
      <c r="G57" t="s">
        <v>173</v>
      </c>
      <c r="H57" s="19">
        <v>2</v>
      </c>
      <c r="I57" t="s">
        <v>183</v>
      </c>
    </row>
    <row r="58" spans="1:9" x14ac:dyDescent="0.3">
      <c r="A58" t="s">
        <v>195</v>
      </c>
      <c r="B58" t="s">
        <v>37</v>
      </c>
      <c r="C58" s="2">
        <v>43850</v>
      </c>
      <c r="D58" s="35" t="str">
        <f>TEXT(Таблица4[[#This Row],[Дата]],"ДДДД")</f>
        <v>понедельник</v>
      </c>
      <c r="E58" s="34">
        <f>WEEKDAY(Таблица4[[#This Row],[Дата]],2)</f>
        <v>1</v>
      </c>
      <c r="F58" s="34">
        <f>ROUNDUP(MONTH(Таблица4[[#This Row],[Дата]])/3,0)</f>
        <v>1</v>
      </c>
      <c r="G58" t="s">
        <v>186</v>
      </c>
      <c r="H58" s="19">
        <v>3</v>
      </c>
      <c r="I58" t="s">
        <v>174</v>
      </c>
    </row>
    <row r="59" spans="1:9" x14ac:dyDescent="0.3">
      <c r="A59" t="s">
        <v>195</v>
      </c>
      <c r="B59" t="s">
        <v>37</v>
      </c>
      <c r="C59" s="2">
        <v>43934</v>
      </c>
      <c r="D59" s="35" t="str">
        <f>TEXT(Таблица4[[#This Row],[Дата]],"ДДДД")</f>
        <v>понедельник</v>
      </c>
      <c r="E59" s="34">
        <f>WEEKDAY(Таблица4[[#This Row],[Дата]],2)</f>
        <v>1</v>
      </c>
      <c r="F59" s="34">
        <f>ROUNDUP(MONTH(Таблица4[[#This Row],[Дата]])/3,0)</f>
        <v>2</v>
      </c>
      <c r="G59" t="s">
        <v>189</v>
      </c>
      <c r="H59" s="19">
        <v>6</v>
      </c>
      <c r="I59" t="s">
        <v>177</v>
      </c>
    </row>
    <row r="60" spans="1:9" x14ac:dyDescent="0.3">
      <c r="A60" t="s">
        <v>195</v>
      </c>
      <c r="B60" t="s">
        <v>37</v>
      </c>
      <c r="C60" s="2">
        <v>44009</v>
      </c>
      <c r="D60" s="35" t="str">
        <f>TEXT(Таблица4[[#This Row],[Дата]],"ДДДД")</f>
        <v>суббота</v>
      </c>
      <c r="E60" s="34">
        <f>WEEKDAY(Таблица4[[#This Row],[Дата]],2)</f>
        <v>6</v>
      </c>
      <c r="F60" s="34">
        <f>ROUNDUP(MONTH(Таблица4[[#This Row],[Дата]])/3,0)</f>
        <v>2</v>
      </c>
      <c r="G60" t="s">
        <v>190</v>
      </c>
      <c r="H60" s="19">
        <v>8</v>
      </c>
      <c r="I60" t="s">
        <v>184</v>
      </c>
    </row>
    <row r="61" spans="1:9" x14ac:dyDescent="0.3">
      <c r="A61" t="s">
        <v>195</v>
      </c>
      <c r="B61" t="s">
        <v>37</v>
      </c>
      <c r="C61" s="2">
        <v>43960</v>
      </c>
      <c r="D61" s="35" t="str">
        <f>TEXT(Таблица4[[#This Row],[Дата]],"ДДДД")</f>
        <v>суббота</v>
      </c>
      <c r="E61" s="34">
        <f>WEEKDAY(Таблица4[[#This Row],[Дата]],2)</f>
        <v>6</v>
      </c>
      <c r="F61" s="34">
        <f>ROUNDUP(MONTH(Таблица4[[#This Row],[Дата]])/3,0)</f>
        <v>2</v>
      </c>
      <c r="G61" t="s">
        <v>178</v>
      </c>
      <c r="H61" s="19">
        <v>8</v>
      </c>
      <c r="I61" t="s">
        <v>184</v>
      </c>
    </row>
    <row r="62" spans="1:9" x14ac:dyDescent="0.3">
      <c r="A62" t="s">
        <v>195</v>
      </c>
      <c r="B62" t="s">
        <v>37</v>
      </c>
      <c r="C62" s="2">
        <v>43910</v>
      </c>
      <c r="D62" s="35" t="str">
        <f>TEXT(Таблица4[[#This Row],[Дата]],"ДДДД")</f>
        <v>пятница</v>
      </c>
      <c r="E62" s="34">
        <f>WEEKDAY(Таблица4[[#This Row],[Дата]],2)</f>
        <v>5</v>
      </c>
      <c r="F62" s="34">
        <f>ROUNDUP(MONTH(Таблица4[[#This Row],[Дата]])/3,0)</f>
        <v>1</v>
      </c>
      <c r="G62" t="s">
        <v>186</v>
      </c>
      <c r="H62" s="19">
        <v>6</v>
      </c>
      <c r="I62" t="s">
        <v>177</v>
      </c>
    </row>
    <row r="63" spans="1:9" x14ac:dyDescent="0.3">
      <c r="A63" t="s">
        <v>195</v>
      </c>
      <c r="B63" t="s">
        <v>37</v>
      </c>
      <c r="C63" s="2">
        <v>43958</v>
      </c>
      <c r="D63" s="35" t="str">
        <f>TEXT(Таблица4[[#This Row],[Дата]],"ДДДД")</f>
        <v>четверг</v>
      </c>
      <c r="E63" s="34">
        <f>WEEKDAY(Таблица4[[#This Row],[Дата]],2)</f>
        <v>4</v>
      </c>
      <c r="F63" s="34">
        <f>ROUNDUP(MONTH(Таблица4[[#This Row],[Дата]])/3,0)</f>
        <v>2</v>
      </c>
      <c r="G63" t="s">
        <v>173</v>
      </c>
      <c r="H63" s="19">
        <v>4</v>
      </c>
      <c r="I63" t="s">
        <v>179</v>
      </c>
    </row>
    <row r="64" spans="1:9" x14ac:dyDescent="0.3">
      <c r="A64" t="s">
        <v>195</v>
      </c>
      <c r="B64" t="s">
        <v>37</v>
      </c>
      <c r="C64" s="2">
        <v>43881</v>
      </c>
      <c r="D64" s="35" t="str">
        <f>TEXT(Таблица4[[#This Row],[Дата]],"ДДДД")</f>
        <v>четверг</v>
      </c>
      <c r="E64" s="34">
        <f>WEEKDAY(Таблица4[[#This Row],[Дата]],2)</f>
        <v>4</v>
      </c>
      <c r="F64" s="34">
        <f>ROUNDUP(MONTH(Таблица4[[#This Row],[Дата]])/3,0)</f>
        <v>1</v>
      </c>
      <c r="G64" t="s">
        <v>192</v>
      </c>
      <c r="H64" s="19">
        <v>5</v>
      </c>
      <c r="I64" t="s">
        <v>180</v>
      </c>
    </row>
    <row r="65" spans="1:9" x14ac:dyDescent="0.3">
      <c r="A65" t="s">
        <v>195</v>
      </c>
      <c r="B65" t="s">
        <v>37</v>
      </c>
      <c r="C65" s="2">
        <v>43868</v>
      </c>
      <c r="D65" s="35" t="str">
        <f>TEXT(Таблица4[[#This Row],[Дата]],"ДДДД")</f>
        <v>пятница</v>
      </c>
      <c r="E65" s="34">
        <f>WEEKDAY(Таблица4[[#This Row],[Дата]],2)</f>
        <v>5</v>
      </c>
      <c r="F65" s="34">
        <f>ROUNDUP(MONTH(Таблица4[[#This Row],[Дата]])/3,0)</f>
        <v>1</v>
      </c>
      <c r="G65" t="s">
        <v>176</v>
      </c>
      <c r="H65" s="19">
        <v>4</v>
      </c>
      <c r="I65" t="s">
        <v>179</v>
      </c>
    </row>
    <row r="66" spans="1:9" x14ac:dyDescent="0.3">
      <c r="A66" t="s">
        <v>195</v>
      </c>
      <c r="B66" t="s">
        <v>188</v>
      </c>
      <c r="C66" s="2">
        <v>43913</v>
      </c>
      <c r="D66" s="35" t="str">
        <f>TEXT(Таблица4[[#This Row],[Дата]],"ДДДД")</f>
        <v>понедельник</v>
      </c>
      <c r="E66" s="34">
        <f>WEEKDAY(Таблица4[[#This Row],[Дата]],2)</f>
        <v>1</v>
      </c>
      <c r="F66" s="34">
        <f>ROUNDUP(MONTH(Таблица4[[#This Row],[Дата]])/3,0)</f>
        <v>1</v>
      </c>
      <c r="G66" t="s">
        <v>182</v>
      </c>
      <c r="H66" s="19">
        <v>4</v>
      </c>
      <c r="I66" t="s">
        <v>179</v>
      </c>
    </row>
    <row r="67" spans="1:9" x14ac:dyDescent="0.3">
      <c r="A67" t="s">
        <v>195</v>
      </c>
      <c r="B67" t="s">
        <v>37</v>
      </c>
      <c r="C67" s="2">
        <v>43924</v>
      </c>
      <c r="D67" s="35" t="str">
        <f>TEXT(Таблица4[[#This Row],[Дата]],"ДДДД")</f>
        <v>пятница</v>
      </c>
      <c r="E67" s="34">
        <f>WEEKDAY(Таблица4[[#This Row],[Дата]],2)</f>
        <v>5</v>
      </c>
      <c r="F67" s="34">
        <f>ROUNDUP(MONTH(Таблица4[[#This Row],[Дата]])/3,0)</f>
        <v>2</v>
      </c>
      <c r="G67" t="s">
        <v>178</v>
      </c>
      <c r="H67" s="19">
        <v>3</v>
      </c>
      <c r="I67" t="s">
        <v>174</v>
      </c>
    </row>
    <row r="68" spans="1:9" x14ac:dyDescent="0.3">
      <c r="A68" t="s">
        <v>195</v>
      </c>
      <c r="B68" t="s">
        <v>37</v>
      </c>
      <c r="C68" s="2">
        <v>43884</v>
      </c>
      <c r="D68" s="35" t="str">
        <f>TEXT(Таблица4[[#This Row],[Дата]],"ДДДД")</f>
        <v>воскресенье</v>
      </c>
      <c r="E68" s="34">
        <f>WEEKDAY(Таблица4[[#This Row],[Дата]],2)</f>
        <v>7</v>
      </c>
      <c r="F68" s="34">
        <f>ROUNDUP(MONTH(Таблица4[[#This Row],[Дата]])/3,0)</f>
        <v>1</v>
      </c>
      <c r="G68" t="s">
        <v>196</v>
      </c>
      <c r="H68" s="19">
        <v>3</v>
      </c>
      <c r="I68" t="s">
        <v>174</v>
      </c>
    </row>
    <row r="69" spans="1:9" x14ac:dyDescent="0.3">
      <c r="A69" t="s">
        <v>195</v>
      </c>
      <c r="B69" t="s">
        <v>37</v>
      </c>
      <c r="C69" s="2">
        <v>43843</v>
      </c>
      <c r="D69" s="35" t="str">
        <f>TEXT(Таблица4[[#This Row],[Дата]],"ДДДД")</f>
        <v>понедельник</v>
      </c>
      <c r="E69" s="34">
        <f>WEEKDAY(Таблица4[[#This Row],[Дата]],2)</f>
        <v>1</v>
      </c>
      <c r="F69" s="34">
        <f>ROUNDUP(MONTH(Таблица4[[#This Row],[Дата]])/3,0)</f>
        <v>1</v>
      </c>
      <c r="G69" t="s">
        <v>190</v>
      </c>
      <c r="H69" s="19">
        <v>8</v>
      </c>
      <c r="I69" t="s">
        <v>184</v>
      </c>
    </row>
    <row r="70" spans="1:9" x14ac:dyDescent="0.3">
      <c r="A70" t="s">
        <v>195</v>
      </c>
      <c r="B70" t="s">
        <v>188</v>
      </c>
      <c r="C70" s="2">
        <v>44004</v>
      </c>
      <c r="D70" s="35" t="str">
        <f>TEXT(Таблица4[[#This Row],[Дата]],"ДДДД")</f>
        <v>понедельник</v>
      </c>
      <c r="E70" s="34">
        <f>WEEKDAY(Таблица4[[#This Row],[Дата]],2)</f>
        <v>1</v>
      </c>
      <c r="F70" s="34">
        <f>ROUNDUP(MONTH(Таблица4[[#This Row],[Дата]])/3,0)</f>
        <v>2</v>
      </c>
      <c r="G70" t="s">
        <v>173</v>
      </c>
      <c r="H70" s="19">
        <v>7</v>
      </c>
      <c r="I70" t="s">
        <v>181</v>
      </c>
    </row>
    <row r="71" spans="1:9" x14ac:dyDescent="0.3">
      <c r="A71" t="s">
        <v>195</v>
      </c>
      <c r="B71" t="s">
        <v>37</v>
      </c>
      <c r="C71" s="2">
        <v>44177</v>
      </c>
      <c r="D71" s="35" t="str">
        <f>TEXT(Таблица4[[#This Row],[Дата]],"ДДДД")</f>
        <v>суббота</v>
      </c>
      <c r="E71" s="34">
        <f>WEEKDAY(Таблица4[[#This Row],[Дата]],2)</f>
        <v>6</v>
      </c>
      <c r="F71" s="34">
        <f>ROUNDUP(MONTH(Таблица4[[#This Row],[Дата]])/3,0)</f>
        <v>4</v>
      </c>
      <c r="G71" t="s">
        <v>176</v>
      </c>
      <c r="H71" s="19">
        <v>2</v>
      </c>
      <c r="I71" t="s">
        <v>183</v>
      </c>
    </row>
    <row r="72" spans="1:9" x14ac:dyDescent="0.3">
      <c r="A72" t="s">
        <v>195</v>
      </c>
      <c r="B72" t="s">
        <v>37</v>
      </c>
      <c r="C72" s="2">
        <v>43945</v>
      </c>
      <c r="D72" s="35" t="str">
        <f>TEXT(Таблица4[[#This Row],[Дата]],"ДДДД")</f>
        <v>пятница</v>
      </c>
      <c r="E72" s="34">
        <f>WEEKDAY(Таблица4[[#This Row],[Дата]],2)</f>
        <v>5</v>
      </c>
      <c r="F72" s="34">
        <f>ROUNDUP(MONTH(Таблица4[[#This Row],[Дата]])/3,0)</f>
        <v>2</v>
      </c>
      <c r="G72" t="s">
        <v>192</v>
      </c>
      <c r="H72" s="19">
        <v>2</v>
      </c>
      <c r="I72" t="s">
        <v>183</v>
      </c>
    </row>
    <row r="73" spans="1:9" x14ac:dyDescent="0.3">
      <c r="A73" t="s">
        <v>195</v>
      </c>
      <c r="B73" t="s">
        <v>37</v>
      </c>
      <c r="C73" s="2">
        <v>43985</v>
      </c>
      <c r="D73" s="35" t="str">
        <f>TEXT(Таблица4[[#This Row],[Дата]],"ДДДД")</f>
        <v>среда</v>
      </c>
      <c r="E73" s="34">
        <f>WEEKDAY(Таблица4[[#This Row],[Дата]],2)</f>
        <v>3</v>
      </c>
      <c r="F73" s="34">
        <f>ROUNDUP(MONTH(Таблица4[[#This Row],[Дата]])/3,0)</f>
        <v>2</v>
      </c>
      <c r="G73" t="s">
        <v>178</v>
      </c>
      <c r="H73" s="19">
        <v>5</v>
      </c>
      <c r="I73" t="s">
        <v>180</v>
      </c>
    </row>
    <row r="74" spans="1:9" x14ac:dyDescent="0.3">
      <c r="A74" t="s">
        <v>195</v>
      </c>
      <c r="B74" t="s">
        <v>188</v>
      </c>
      <c r="C74" s="2">
        <v>43939</v>
      </c>
      <c r="D74" s="35" t="str">
        <f>TEXT(Таблица4[[#This Row],[Дата]],"ДДДД")</f>
        <v>суббота</v>
      </c>
      <c r="E74" s="34">
        <f>WEEKDAY(Таблица4[[#This Row],[Дата]],2)</f>
        <v>6</v>
      </c>
      <c r="F74" s="34">
        <f>ROUNDUP(MONTH(Таблица4[[#This Row],[Дата]])/3,0)</f>
        <v>2</v>
      </c>
      <c r="G74" t="s">
        <v>191</v>
      </c>
      <c r="H74" s="19">
        <v>4</v>
      </c>
      <c r="I74" t="s">
        <v>179</v>
      </c>
    </row>
    <row r="75" spans="1:9" x14ac:dyDescent="0.3">
      <c r="A75" t="s">
        <v>195</v>
      </c>
      <c r="B75" t="s">
        <v>185</v>
      </c>
      <c r="C75" s="2">
        <v>43878</v>
      </c>
      <c r="D75" s="35" t="str">
        <f>TEXT(Таблица4[[#This Row],[Дата]],"ДДДД")</f>
        <v>понедельник</v>
      </c>
      <c r="E75" s="34">
        <f>WEEKDAY(Таблица4[[#This Row],[Дата]],2)</f>
        <v>1</v>
      </c>
      <c r="F75" s="34">
        <f>ROUNDUP(MONTH(Таблица4[[#This Row],[Дата]])/3,0)</f>
        <v>1</v>
      </c>
      <c r="G75" t="s">
        <v>182</v>
      </c>
      <c r="H75" s="19">
        <v>2</v>
      </c>
      <c r="I75" t="s">
        <v>183</v>
      </c>
    </row>
    <row r="76" spans="1:9" x14ac:dyDescent="0.3">
      <c r="A76" t="s">
        <v>195</v>
      </c>
      <c r="B76" t="s">
        <v>37</v>
      </c>
      <c r="C76" s="2">
        <v>43976</v>
      </c>
      <c r="D76" s="35" t="str">
        <f>TEXT(Таблица4[[#This Row],[Дата]],"ДДДД")</f>
        <v>понедельник</v>
      </c>
      <c r="E76" s="34">
        <f>WEEKDAY(Таблица4[[#This Row],[Дата]],2)</f>
        <v>1</v>
      </c>
      <c r="F76" s="34">
        <f>ROUNDUP(MONTH(Таблица4[[#This Row],[Дата]])/3,0)</f>
        <v>2</v>
      </c>
      <c r="G76" t="s">
        <v>192</v>
      </c>
      <c r="H76" s="19">
        <v>8</v>
      </c>
      <c r="I76" t="s">
        <v>184</v>
      </c>
    </row>
    <row r="77" spans="1:9" x14ac:dyDescent="0.3">
      <c r="A77" t="s">
        <v>195</v>
      </c>
      <c r="B77" t="s">
        <v>37</v>
      </c>
      <c r="C77" s="2">
        <v>43989</v>
      </c>
      <c r="D77" s="35" t="str">
        <f>TEXT(Таблица4[[#This Row],[Дата]],"ДДДД")</f>
        <v>воскресенье</v>
      </c>
      <c r="E77" s="34">
        <f>WEEKDAY(Таблица4[[#This Row],[Дата]],2)</f>
        <v>7</v>
      </c>
      <c r="F77" s="34">
        <f>ROUNDUP(MONTH(Таблица4[[#This Row],[Дата]])/3,0)</f>
        <v>2</v>
      </c>
      <c r="G77" t="s">
        <v>192</v>
      </c>
      <c r="H77" s="19">
        <v>5</v>
      </c>
      <c r="I77" t="s">
        <v>180</v>
      </c>
    </row>
    <row r="78" spans="1:9" x14ac:dyDescent="0.3">
      <c r="A78" t="s">
        <v>195</v>
      </c>
      <c r="B78" t="s">
        <v>37</v>
      </c>
      <c r="C78" s="2">
        <v>43873</v>
      </c>
      <c r="D78" s="35" t="str">
        <f>TEXT(Таблица4[[#This Row],[Дата]],"ДДДД")</f>
        <v>среда</v>
      </c>
      <c r="E78" s="34">
        <f>WEEKDAY(Таблица4[[#This Row],[Дата]],2)</f>
        <v>3</v>
      </c>
      <c r="F78" s="34">
        <f>ROUNDUP(MONTH(Таблица4[[#This Row],[Дата]])/3,0)</f>
        <v>1</v>
      </c>
      <c r="G78" t="s">
        <v>182</v>
      </c>
      <c r="H78" s="19">
        <v>7</v>
      </c>
      <c r="I78" t="s">
        <v>181</v>
      </c>
    </row>
    <row r="79" spans="1:9" x14ac:dyDescent="0.3">
      <c r="A79" t="s">
        <v>195</v>
      </c>
      <c r="B79" t="s">
        <v>37</v>
      </c>
      <c r="C79" s="2">
        <v>43904</v>
      </c>
      <c r="D79" s="35" t="str">
        <f>TEXT(Таблица4[[#This Row],[Дата]],"ДДДД")</f>
        <v>суббота</v>
      </c>
      <c r="E79" s="34">
        <f>WEEKDAY(Таблица4[[#This Row],[Дата]],2)</f>
        <v>6</v>
      </c>
      <c r="F79" s="34">
        <f>ROUNDUP(MONTH(Таблица4[[#This Row],[Дата]])/3,0)</f>
        <v>1</v>
      </c>
      <c r="G79" t="s">
        <v>191</v>
      </c>
      <c r="H79" s="19">
        <v>2</v>
      </c>
      <c r="I79" t="s">
        <v>183</v>
      </c>
    </row>
    <row r="80" spans="1:9" x14ac:dyDescent="0.3">
      <c r="A80" t="s">
        <v>195</v>
      </c>
      <c r="B80" t="s">
        <v>37</v>
      </c>
      <c r="C80" s="2">
        <v>43900</v>
      </c>
      <c r="D80" s="35" t="str">
        <f>TEXT(Таблица4[[#This Row],[Дата]],"ДДДД")</f>
        <v>вторник</v>
      </c>
      <c r="E80" s="34">
        <f>WEEKDAY(Таблица4[[#This Row],[Дата]],2)</f>
        <v>2</v>
      </c>
      <c r="F80" s="34">
        <f>ROUNDUP(MONTH(Таблица4[[#This Row],[Дата]])/3,0)</f>
        <v>1</v>
      </c>
      <c r="G80" t="s">
        <v>192</v>
      </c>
      <c r="H80" s="19">
        <v>3</v>
      </c>
      <c r="I80" t="s">
        <v>174</v>
      </c>
    </row>
    <row r="81" spans="1:9" x14ac:dyDescent="0.3">
      <c r="A81" t="s">
        <v>195</v>
      </c>
      <c r="B81" t="s">
        <v>37</v>
      </c>
      <c r="C81" s="2">
        <v>43917</v>
      </c>
      <c r="D81" s="35" t="str">
        <f>TEXT(Таблица4[[#This Row],[Дата]],"ДДДД")</f>
        <v>пятница</v>
      </c>
      <c r="E81" s="34">
        <f>WEEKDAY(Таблица4[[#This Row],[Дата]],2)</f>
        <v>5</v>
      </c>
      <c r="F81" s="34">
        <f>ROUNDUP(MONTH(Таблица4[[#This Row],[Дата]])/3,0)</f>
        <v>1</v>
      </c>
      <c r="G81" t="s">
        <v>190</v>
      </c>
      <c r="H81" s="19">
        <v>8</v>
      </c>
      <c r="I81" t="s">
        <v>184</v>
      </c>
    </row>
    <row r="82" spans="1:9" x14ac:dyDescent="0.3">
      <c r="A82" t="s">
        <v>195</v>
      </c>
      <c r="B82" t="s">
        <v>37</v>
      </c>
      <c r="C82" s="2">
        <v>43843</v>
      </c>
      <c r="D82" s="35" t="str">
        <f>TEXT(Таблица4[[#This Row],[Дата]],"ДДДД")</f>
        <v>понедельник</v>
      </c>
      <c r="E82" s="34">
        <f>WEEKDAY(Таблица4[[#This Row],[Дата]],2)</f>
        <v>1</v>
      </c>
      <c r="F82" s="34">
        <f>ROUNDUP(MONTH(Таблица4[[#This Row],[Дата]])/3,0)</f>
        <v>1</v>
      </c>
      <c r="G82" t="s">
        <v>189</v>
      </c>
      <c r="H82" s="19">
        <v>6</v>
      </c>
      <c r="I82" t="s">
        <v>177</v>
      </c>
    </row>
    <row r="83" spans="1:9" x14ac:dyDescent="0.3">
      <c r="A83" t="s">
        <v>195</v>
      </c>
      <c r="B83" t="s">
        <v>37</v>
      </c>
      <c r="C83" s="2">
        <v>43849</v>
      </c>
      <c r="D83" s="35" t="str">
        <f>TEXT(Таблица4[[#This Row],[Дата]],"ДДДД")</f>
        <v>воскресенье</v>
      </c>
      <c r="E83" s="34">
        <f>WEEKDAY(Таблица4[[#This Row],[Дата]],2)</f>
        <v>7</v>
      </c>
      <c r="F83" s="34">
        <f>ROUNDUP(MONTH(Таблица4[[#This Row],[Дата]])/3,0)</f>
        <v>1</v>
      </c>
      <c r="G83" t="s">
        <v>182</v>
      </c>
      <c r="H83" s="19">
        <v>5</v>
      </c>
      <c r="I83" t="s">
        <v>180</v>
      </c>
    </row>
    <row r="84" spans="1:9" x14ac:dyDescent="0.3">
      <c r="A84" t="s">
        <v>195</v>
      </c>
      <c r="B84" t="s">
        <v>37</v>
      </c>
      <c r="C84" s="2">
        <v>43899</v>
      </c>
      <c r="D84" s="35" t="str">
        <f>TEXT(Таблица4[[#This Row],[Дата]],"ДДДД")</f>
        <v>понедельник</v>
      </c>
      <c r="E84" s="34">
        <f>WEEKDAY(Таблица4[[#This Row],[Дата]],2)</f>
        <v>1</v>
      </c>
      <c r="F84" s="34">
        <f>ROUNDUP(MONTH(Таблица4[[#This Row],[Дата]])/3,0)</f>
        <v>1</v>
      </c>
      <c r="G84" t="s">
        <v>173</v>
      </c>
      <c r="H84" s="19">
        <v>8</v>
      </c>
      <c r="I84" t="s">
        <v>184</v>
      </c>
    </row>
    <row r="85" spans="1:9" x14ac:dyDescent="0.3">
      <c r="A85" t="s">
        <v>195</v>
      </c>
      <c r="B85" t="s">
        <v>37</v>
      </c>
      <c r="C85" s="2">
        <v>43996</v>
      </c>
      <c r="D85" s="35" t="str">
        <f>TEXT(Таблица4[[#This Row],[Дата]],"ДДДД")</f>
        <v>воскресенье</v>
      </c>
      <c r="E85" s="34">
        <f>WEEKDAY(Таблица4[[#This Row],[Дата]],2)</f>
        <v>7</v>
      </c>
      <c r="F85" s="34">
        <f>ROUNDUP(MONTH(Таблица4[[#This Row],[Дата]])/3,0)</f>
        <v>2</v>
      </c>
      <c r="G85" t="s">
        <v>190</v>
      </c>
      <c r="H85" s="19">
        <v>6</v>
      </c>
      <c r="I85" t="s">
        <v>177</v>
      </c>
    </row>
    <row r="86" spans="1:9" x14ac:dyDescent="0.3">
      <c r="A86" t="s">
        <v>195</v>
      </c>
      <c r="B86" t="s">
        <v>37</v>
      </c>
      <c r="C86" s="2">
        <v>44004</v>
      </c>
      <c r="D86" s="35" t="str">
        <f>TEXT(Таблица4[[#This Row],[Дата]],"ДДДД")</f>
        <v>понедельник</v>
      </c>
      <c r="E86" s="34">
        <f>WEEKDAY(Таблица4[[#This Row],[Дата]],2)</f>
        <v>1</v>
      </c>
      <c r="F86" s="34">
        <f>ROUNDUP(MONTH(Таблица4[[#This Row],[Дата]])/3,0)</f>
        <v>2</v>
      </c>
      <c r="G86" t="s">
        <v>196</v>
      </c>
      <c r="H86" s="19">
        <v>7</v>
      </c>
      <c r="I86" t="s">
        <v>181</v>
      </c>
    </row>
    <row r="87" spans="1:9" x14ac:dyDescent="0.3">
      <c r="A87" t="s">
        <v>195</v>
      </c>
      <c r="B87" t="s">
        <v>37</v>
      </c>
      <c r="C87" s="2">
        <v>43869</v>
      </c>
      <c r="D87" s="35" t="str">
        <f>TEXT(Таблица4[[#This Row],[Дата]],"ДДДД")</f>
        <v>суббота</v>
      </c>
      <c r="E87" s="34">
        <f>WEEKDAY(Таблица4[[#This Row],[Дата]],2)</f>
        <v>6</v>
      </c>
      <c r="F87" s="34">
        <f>ROUNDUP(MONTH(Таблица4[[#This Row],[Дата]])/3,0)</f>
        <v>1</v>
      </c>
      <c r="G87" t="s">
        <v>191</v>
      </c>
      <c r="H87" s="19">
        <v>1</v>
      </c>
      <c r="I87" t="s">
        <v>175</v>
      </c>
    </row>
    <row r="88" spans="1:9" x14ac:dyDescent="0.3">
      <c r="A88" t="s">
        <v>195</v>
      </c>
      <c r="B88" t="s">
        <v>37</v>
      </c>
      <c r="C88" s="2">
        <v>44006</v>
      </c>
      <c r="D88" s="35" t="str">
        <f>TEXT(Таблица4[[#This Row],[Дата]],"ДДДД")</f>
        <v>среда</v>
      </c>
      <c r="E88" s="34">
        <f>WEEKDAY(Таблица4[[#This Row],[Дата]],2)</f>
        <v>3</v>
      </c>
      <c r="F88" s="34">
        <f>ROUNDUP(MONTH(Таблица4[[#This Row],[Дата]])/3,0)</f>
        <v>2</v>
      </c>
      <c r="G88" t="s">
        <v>186</v>
      </c>
      <c r="H88" s="19">
        <v>1</v>
      </c>
      <c r="I88" t="s">
        <v>175</v>
      </c>
    </row>
    <row r="89" spans="1:9" x14ac:dyDescent="0.3">
      <c r="A89" t="s">
        <v>195</v>
      </c>
      <c r="B89" t="s">
        <v>37</v>
      </c>
      <c r="C89" s="2">
        <v>43833</v>
      </c>
      <c r="D89" s="35" t="str">
        <f>TEXT(Таблица4[[#This Row],[Дата]],"ДДДД")</f>
        <v>пятница</v>
      </c>
      <c r="E89" s="34">
        <f>WEEKDAY(Таблица4[[#This Row],[Дата]],2)</f>
        <v>5</v>
      </c>
      <c r="F89" s="34">
        <f>ROUNDUP(MONTH(Таблица4[[#This Row],[Дата]])/3,0)</f>
        <v>1</v>
      </c>
      <c r="G89" t="s">
        <v>194</v>
      </c>
      <c r="H89" s="19">
        <v>1</v>
      </c>
      <c r="I89" t="s">
        <v>175</v>
      </c>
    </row>
    <row r="90" spans="1:9" x14ac:dyDescent="0.3">
      <c r="A90" t="s">
        <v>195</v>
      </c>
      <c r="B90" t="s">
        <v>37</v>
      </c>
      <c r="C90" s="2">
        <v>44005</v>
      </c>
      <c r="D90" s="35" t="str">
        <f>TEXT(Таблица4[[#This Row],[Дата]],"ДДДД")</f>
        <v>вторник</v>
      </c>
      <c r="E90" s="34">
        <f>WEEKDAY(Таблица4[[#This Row],[Дата]],2)</f>
        <v>2</v>
      </c>
      <c r="F90" s="34">
        <f>ROUNDUP(MONTH(Таблица4[[#This Row],[Дата]])/3,0)</f>
        <v>2</v>
      </c>
      <c r="G90" t="s">
        <v>189</v>
      </c>
      <c r="H90" s="19">
        <v>7</v>
      </c>
      <c r="I90" t="s">
        <v>181</v>
      </c>
    </row>
    <row r="91" spans="1:9" x14ac:dyDescent="0.3">
      <c r="A91" t="s">
        <v>195</v>
      </c>
      <c r="B91" t="s">
        <v>37</v>
      </c>
      <c r="C91" s="2">
        <v>43858</v>
      </c>
      <c r="D91" s="35" t="str">
        <f>TEXT(Таблица4[[#This Row],[Дата]],"ДДДД")</f>
        <v>вторник</v>
      </c>
      <c r="E91" s="34">
        <f>WEEKDAY(Таблица4[[#This Row],[Дата]],2)</f>
        <v>2</v>
      </c>
      <c r="F91" s="34">
        <f>ROUNDUP(MONTH(Таблица4[[#This Row],[Дата]])/3,0)</f>
        <v>1</v>
      </c>
      <c r="G91" t="s">
        <v>173</v>
      </c>
      <c r="H91" s="19">
        <v>4</v>
      </c>
      <c r="I91" t="s">
        <v>179</v>
      </c>
    </row>
    <row r="92" spans="1:9" x14ac:dyDescent="0.3">
      <c r="A92" t="s">
        <v>195</v>
      </c>
      <c r="B92" t="s">
        <v>37</v>
      </c>
      <c r="C92" s="2">
        <v>43920</v>
      </c>
      <c r="D92" s="35" t="str">
        <f>TEXT(Таблица4[[#This Row],[Дата]],"ДДДД")</f>
        <v>понедельник</v>
      </c>
      <c r="E92" s="34">
        <f>WEEKDAY(Таблица4[[#This Row],[Дата]],2)</f>
        <v>1</v>
      </c>
      <c r="F92" s="34">
        <f>ROUNDUP(MONTH(Таблица4[[#This Row],[Дата]])/3,0)</f>
        <v>1</v>
      </c>
      <c r="G92" t="s">
        <v>190</v>
      </c>
      <c r="H92" s="19">
        <v>1</v>
      </c>
      <c r="I92" t="s">
        <v>175</v>
      </c>
    </row>
    <row r="93" spans="1:9" x14ac:dyDescent="0.3">
      <c r="A93" t="s">
        <v>195</v>
      </c>
      <c r="B93" t="s">
        <v>37</v>
      </c>
      <c r="C93" s="2">
        <v>43884</v>
      </c>
      <c r="D93" s="35" t="str">
        <f>TEXT(Таблица4[[#This Row],[Дата]],"ДДДД")</f>
        <v>воскресенье</v>
      </c>
      <c r="E93" s="34">
        <f>WEEKDAY(Таблица4[[#This Row],[Дата]],2)</f>
        <v>7</v>
      </c>
      <c r="F93" s="34">
        <f>ROUNDUP(MONTH(Таблица4[[#This Row],[Дата]])/3,0)</f>
        <v>1</v>
      </c>
      <c r="G93" t="s">
        <v>182</v>
      </c>
      <c r="H93" s="19">
        <v>5</v>
      </c>
      <c r="I93" t="s">
        <v>180</v>
      </c>
    </row>
    <row r="94" spans="1:9" x14ac:dyDescent="0.3">
      <c r="A94" t="s">
        <v>195</v>
      </c>
      <c r="B94" t="s">
        <v>37</v>
      </c>
      <c r="C94" s="2">
        <v>43867</v>
      </c>
      <c r="D94" s="35" t="str">
        <f>TEXT(Таблица4[[#This Row],[Дата]],"ДДДД")</f>
        <v>четверг</v>
      </c>
      <c r="E94" s="34">
        <f>WEEKDAY(Таблица4[[#This Row],[Дата]],2)</f>
        <v>4</v>
      </c>
      <c r="F94" s="34">
        <f>ROUNDUP(MONTH(Таблица4[[#This Row],[Дата]])/3,0)</f>
        <v>1</v>
      </c>
      <c r="G94" t="s">
        <v>182</v>
      </c>
      <c r="H94" s="19">
        <v>7</v>
      </c>
      <c r="I94" t="s">
        <v>181</v>
      </c>
    </row>
    <row r="95" spans="1:9" x14ac:dyDescent="0.3">
      <c r="A95" t="s">
        <v>195</v>
      </c>
      <c r="B95" t="s">
        <v>188</v>
      </c>
      <c r="C95" s="2">
        <v>44010</v>
      </c>
      <c r="D95" s="35" t="str">
        <f>TEXT(Таблица4[[#This Row],[Дата]],"ДДДД")</f>
        <v>воскресенье</v>
      </c>
      <c r="E95" s="34">
        <f>WEEKDAY(Таблица4[[#This Row],[Дата]],2)</f>
        <v>7</v>
      </c>
      <c r="F95" s="34">
        <f>ROUNDUP(MONTH(Таблица4[[#This Row],[Дата]])/3,0)</f>
        <v>2</v>
      </c>
      <c r="G95" t="s">
        <v>194</v>
      </c>
      <c r="H95" s="19">
        <v>2</v>
      </c>
      <c r="I95" t="s">
        <v>183</v>
      </c>
    </row>
    <row r="96" spans="1:9" x14ac:dyDescent="0.3">
      <c r="A96" t="s">
        <v>195</v>
      </c>
      <c r="B96" t="s">
        <v>37</v>
      </c>
      <c r="C96" s="2">
        <v>43978</v>
      </c>
      <c r="D96" s="35" t="str">
        <f>TEXT(Таблица4[[#This Row],[Дата]],"ДДДД")</f>
        <v>среда</v>
      </c>
      <c r="E96" s="34">
        <f>WEEKDAY(Таблица4[[#This Row],[Дата]],2)</f>
        <v>3</v>
      </c>
      <c r="F96" s="34">
        <f>ROUNDUP(MONTH(Таблица4[[#This Row],[Дата]])/3,0)</f>
        <v>2</v>
      </c>
      <c r="G96" t="s">
        <v>178</v>
      </c>
      <c r="H96" s="19">
        <v>6</v>
      </c>
      <c r="I96" t="s">
        <v>177</v>
      </c>
    </row>
    <row r="97" spans="1:9" x14ac:dyDescent="0.3">
      <c r="A97" t="s">
        <v>195</v>
      </c>
      <c r="B97" t="s">
        <v>37</v>
      </c>
      <c r="C97" s="2">
        <v>43847</v>
      </c>
      <c r="D97" s="35" t="str">
        <f>TEXT(Таблица4[[#This Row],[Дата]],"ДДДД")</f>
        <v>пятница</v>
      </c>
      <c r="E97" s="34">
        <f>WEEKDAY(Таблица4[[#This Row],[Дата]],2)</f>
        <v>5</v>
      </c>
      <c r="F97" s="34">
        <f>ROUNDUP(MONTH(Таблица4[[#This Row],[Дата]])/3,0)</f>
        <v>1</v>
      </c>
      <c r="G97" t="s">
        <v>192</v>
      </c>
      <c r="H97" s="19">
        <v>4</v>
      </c>
      <c r="I97" t="s">
        <v>179</v>
      </c>
    </row>
    <row r="98" spans="1:9" x14ac:dyDescent="0.3">
      <c r="A98" t="s">
        <v>195</v>
      </c>
      <c r="B98" t="s">
        <v>37</v>
      </c>
      <c r="C98" s="2">
        <v>43962</v>
      </c>
      <c r="D98" s="35" t="str">
        <f>TEXT(Таблица4[[#This Row],[Дата]],"ДДДД")</f>
        <v>понедельник</v>
      </c>
      <c r="E98" s="34">
        <f>WEEKDAY(Таблица4[[#This Row],[Дата]],2)</f>
        <v>1</v>
      </c>
      <c r="F98" s="34">
        <f>ROUNDUP(MONTH(Таблица4[[#This Row],[Дата]])/3,0)</f>
        <v>2</v>
      </c>
      <c r="G98" t="s">
        <v>189</v>
      </c>
      <c r="H98" s="19">
        <v>6</v>
      </c>
      <c r="I98" t="s">
        <v>177</v>
      </c>
    </row>
    <row r="99" spans="1:9" x14ac:dyDescent="0.3">
      <c r="A99" t="s">
        <v>195</v>
      </c>
      <c r="B99" t="s">
        <v>193</v>
      </c>
      <c r="C99" s="2">
        <v>43850</v>
      </c>
      <c r="D99" s="35" t="str">
        <f>TEXT(Таблица4[[#This Row],[Дата]],"ДДДД")</f>
        <v>понедельник</v>
      </c>
      <c r="E99" s="34">
        <f>WEEKDAY(Таблица4[[#This Row],[Дата]],2)</f>
        <v>1</v>
      </c>
      <c r="F99" s="34">
        <f>ROUNDUP(MONTH(Таблица4[[#This Row],[Дата]])/3,0)</f>
        <v>1</v>
      </c>
      <c r="G99" t="s">
        <v>173</v>
      </c>
      <c r="H99" s="19">
        <v>4</v>
      </c>
      <c r="I99" t="s">
        <v>179</v>
      </c>
    </row>
    <row r="100" spans="1:9" x14ac:dyDescent="0.3">
      <c r="A100" t="s">
        <v>195</v>
      </c>
      <c r="B100" t="s">
        <v>188</v>
      </c>
      <c r="C100" s="2">
        <v>43988</v>
      </c>
      <c r="D100" s="35" t="str">
        <f>TEXT(Таблица4[[#This Row],[Дата]],"ДДДД")</f>
        <v>суббота</v>
      </c>
      <c r="E100" s="34">
        <f>WEEKDAY(Таблица4[[#This Row],[Дата]],2)</f>
        <v>6</v>
      </c>
      <c r="F100" s="34">
        <f>ROUNDUP(MONTH(Таблица4[[#This Row],[Дата]])/3,0)</f>
        <v>2</v>
      </c>
      <c r="G100" t="s">
        <v>186</v>
      </c>
      <c r="H100" s="19">
        <v>5</v>
      </c>
      <c r="I100" t="s">
        <v>180</v>
      </c>
    </row>
    <row r="101" spans="1:9" x14ac:dyDescent="0.3">
      <c r="A101" t="s">
        <v>195</v>
      </c>
      <c r="B101" t="s">
        <v>37</v>
      </c>
      <c r="C101" s="2">
        <v>43894</v>
      </c>
      <c r="D101" s="35" t="str">
        <f>TEXT(Таблица4[[#This Row],[Дата]],"ДДДД")</f>
        <v>среда</v>
      </c>
      <c r="E101" s="34">
        <f>WEEKDAY(Таблица4[[#This Row],[Дата]],2)</f>
        <v>3</v>
      </c>
      <c r="F101" s="34">
        <f>ROUNDUP(MONTH(Таблица4[[#This Row],[Дата]])/3,0)</f>
        <v>1</v>
      </c>
      <c r="G101" t="s">
        <v>194</v>
      </c>
      <c r="H101" s="19">
        <v>6</v>
      </c>
      <c r="I101" t="s">
        <v>177</v>
      </c>
    </row>
    <row r="102" spans="1:9" x14ac:dyDescent="0.3">
      <c r="A102" t="s">
        <v>195</v>
      </c>
      <c r="B102" t="s">
        <v>37</v>
      </c>
      <c r="C102" s="2">
        <v>43846</v>
      </c>
      <c r="D102" s="35" t="str">
        <f>TEXT(Таблица4[[#This Row],[Дата]],"ДДДД")</f>
        <v>четверг</v>
      </c>
      <c r="E102" s="34">
        <f>WEEKDAY(Таблица4[[#This Row],[Дата]],2)</f>
        <v>4</v>
      </c>
      <c r="F102" s="34">
        <f>ROUNDUP(MONTH(Таблица4[[#This Row],[Дата]])/3,0)</f>
        <v>1</v>
      </c>
      <c r="G102" t="s">
        <v>182</v>
      </c>
      <c r="H102" s="19">
        <v>1</v>
      </c>
      <c r="I102" t="s">
        <v>175</v>
      </c>
    </row>
    <row r="103" spans="1:9" x14ac:dyDescent="0.3">
      <c r="A103" t="s">
        <v>195</v>
      </c>
      <c r="B103" t="s">
        <v>37</v>
      </c>
      <c r="C103" s="2">
        <v>43978</v>
      </c>
      <c r="D103" s="35" t="str">
        <f>TEXT(Таблица4[[#This Row],[Дата]],"ДДДД")</f>
        <v>среда</v>
      </c>
      <c r="E103" s="34">
        <f>WEEKDAY(Таблица4[[#This Row],[Дата]],2)</f>
        <v>3</v>
      </c>
      <c r="F103" s="34">
        <f>ROUNDUP(MONTH(Таблица4[[#This Row],[Дата]])/3,0)</f>
        <v>2</v>
      </c>
      <c r="G103" t="s">
        <v>190</v>
      </c>
      <c r="H103" s="19">
        <v>4</v>
      </c>
      <c r="I103" t="s">
        <v>179</v>
      </c>
    </row>
    <row r="104" spans="1:9" x14ac:dyDescent="0.3">
      <c r="A104" t="s">
        <v>195</v>
      </c>
      <c r="B104" t="s">
        <v>37</v>
      </c>
      <c r="C104" s="2">
        <v>43883</v>
      </c>
      <c r="D104" s="35" t="str">
        <f>TEXT(Таблица4[[#This Row],[Дата]],"ДДДД")</f>
        <v>суббота</v>
      </c>
      <c r="E104" s="34">
        <f>WEEKDAY(Таблица4[[#This Row],[Дата]],2)</f>
        <v>6</v>
      </c>
      <c r="F104" s="34">
        <f>ROUNDUP(MONTH(Таблица4[[#This Row],[Дата]])/3,0)</f>
        <v>1</v>
      </c>
      <c r="G104" t="s">
        <v>186</v>
      </c>
      <c r="H104" s="19">
        <v>5</v>
      </c>
      <c r="I104" t="s">
        <v>180</v>
      </c>
    </row>
    <row r="105" spans="1:9" x14ac:dyDescent="0.3">
      <c r="A105" t="s">
        <v>195</v>
      </c>
      <c r="B105" t="s">
        <v>187</v>
      </c>
      <c r="C105" s="2">
        <v>43983</v>
      </c>
      <c r="D105" s="35" t="str">
        <f>TEXT(Таблица4[[#This Row],[Дата]],"ДДДД")</f>
        <v>понедельник</v>
      </c>
      <c r="E105" s="34">
        <f>WEEKDAY(Таблица4[[#This Row],[Дата]],2)</f>
        <v>1</v>
      </c>
      <c r="F105" s="34">
        <f>ROUNDUP(MONTH(Таблица4[[#This Row],[Дата]])/3,0)</f>
        <v>2</v>
      </c>
      <c r="G105" t="s">
        <v>189</v>
      </c>
      <c r="H105" s="19">
        <v>5</v>
      </c>
      <c r="I105" t="s">
        <v>180</v>
      </c>
    </row>
    <row r="106" spans="1:9" x14ac:dyDescent="0.3">
      <c r="A106" t="s">
        <v>195</v>
      </c>
      <c r="B106" t="s">
        <v>37</v>
      </c>
      <c r="C106" s="2">
        <v>43956</v>
      </c>
      <c r="D106" s="35" t="str">
        <f>TEXT(Таблица4[[#This Row],[Дата]],"ДДДД")</f>
        <v>вторник</v>
      </c>
      <c r="E106" s="34">
        <f>WEEKDAY(Таблица4[[#This Row],[Дата]],2)</f>
        <v>2</v>
      </c>
      <c r="F106" s="34">
        <f>ROUNDUP(MONTH(Таблица4[[#This Row],[Дата]])/3,0)</f>
        <v>2</v>
      </c>
      <c r="G106" t="s">
        <v>186</v>
      </c>
      <c r="H106" s="19">
        <v>7</v>
      </c>
      <c r="I106" t="s">
        <v>181</v>
      </c>
    </row>
    <row r="107" spans="1:9" x14ac:dyDescent="0.3">
      <c r="A107" t="s">
        <v>195</v>
      </c>
      <c r="B107" t="s">
        <v>188</v>
      </c>
      <c r="C107" s="2">
        <v>43995</v>
      </c>
      <c r="D107" s="35" t="str">
        <f>TEXT(Таблица4[[#This Row],[Дата]],"ДДДД")</f>
        <v>суббота</v>
      </c>
      <c r="E107" s="34">
        <f>WEEKDAY(Таблица4[[#This Row],[Дата]],2)</f>
        <v>6</v>
      </c>
      <c r="F107" s="34">
        <f>ROUNDUP(MONTH(Таблица4[[#This Row],[Дата]])/3,0)</f>
        <v>2</v>
      </c>
      <c r="G107" t="s">
        <v>196</v>
      </c>
      <c r="H107" s="19">
        <v>4</v>
      </c>
      <c r="I107" t="s">
        <v>179</v>
      </c>
    </row>
    <row r="108" spans="1:9" x14ac:dyDescent="0.3">
      <c r="A108" t="s">
        <v>195</v>
      </c>
      <c r="B108" t="s">
        <v>193</v>
      </c>
      <c r="C108" s="2">
        <v>43859</v>
      </c>
      <c r="D108" s="35" t="str">
        <f>TEXT(Таблица4[[#This Row],[Дата]],"ДДДД")</f>
        <v>среда</v>
      </c>
      <c r="E108" s="34">
        <f>WEEKDAY(Таблица4[[#This Row],[Дата]],2)</f>
        <v>3</v>
      </c>
      <c r="F108" s="34">
        <f>ROUNDUP(MONTH(Таблица4[[#This Row],[Дата]])/3,0)</f>
        <v>1</v>
      </c>
      <c r="G108" t="s">
        <v>178</v>
      </c>
      <c r="H108" s="19">
        <v>5</v>
      </c>
      <c r="I108" t="s">
        <v>180</v>
      </c>
    </row>
    <row r="109" spans="1:9" x14ac:dyDescent="0.3">
      <c r="A109" t="s">
        <v>195</v>
      </c>
      <c r="B109" t="s">
        <v>37</v>
      </c>
      <c r="C109" s="2">
        <v>43938</v>
      </c>
      <c r="D109" s="35" t="str">
        <f>TEXT(Таблица4[[#This Row],[Дата]],"ДДДД")</f>
        <v>пятница</v>
      </c>
      <c r="E109" s="34">
        <f>WEEKDAY(Таблица4[[#This Row],[Дата]],2)</f>
        <v>5</v>
      </c>
      <c r="F109" s="34">
        <f>ROUNDUP(MONTH(Таблица4[[#This Row],[Дата]])/3,0)</f>
        <v>2</v>
      </c>
      <c r="G109" t="s">
        <v>186</v>
      </c>
      <c r="H109" s="19">
        <v>1</v>
      </c>
      <c r="I109" t="s">
        <v>175</v>
      </c>
    </row>
    <row r="110" spans="1:9" x14ac:dyDescent="0.3">
      <c r="A110" t="s">
        <v>195</v>
      </c>
      <c r="B110" t="s">
        <v>37</v>
      </c>
      <c r="C110" s="2">
        <v>43906</v>
      </c>
      <c r="D110" s="35" t="str">
        <f>TEXT(Таблица4[[#This Row],[Дата]],"ДДДД")</f>
        <v>понедельник</v>
      </c>
      <c r="E110" s="34">
        <f>WEEKDAY(Таблица4[[#This Row],[Дата]],2)</f>
        <v>1</v>
      </c>
      <c r="F110" s="34">
        <f>ROUNDUP(MONTH(Таблица4[[#This Row],[Дата]])/3,0)</f>
        <v>1</v>
      </c>
      <c r="G110" t="s">
        <v>189</v>
      </c>
      <c r="H110" s="19">
        <v>2</v>
      </c>
      <c r="I110" t="s">
        <v>183</v>
      </c>
    </row>
    <row r="111" spans="1:9" x14ac:dyDescent="0.3">
      <c r="A111" t="s">
        <v>195</v>
      </c>
      <c r="B111" t="s">
        <v>188</v>
      </c>
      <c r="C111" s="2">
        <v>43983</v>
      </c>
      <c r="D111" s="35" t="str">
        <f>TEXT(Таблица4[[#This Row],[Дата]],"ДДДД")</f>
        <v>понедельник</v>
      </c>
      <c r="E111" s="34">
        <f>WEEKDAY(Таблица4[[#This Row],[Дата]],2)</f>
        <v>1</v>
      </c>
      <c r="F111" s="34">
        <f>ROUNDUP(MONTH(Таблица4[[#This Row],[Дата]])/3,0)</f>
        <v>2</v>
      </c>
      <c r="G111" t="s">
        <v>176</v>
      </c>
      <c r="H111" s="19">
        <v>4</v>
      </c>
      <c r="I111" t="s">
        <v>179</v>
      </c>
    </row>
    <row r="112" spans="1:9" x14ac:dyDescent="0.3">
      <c r="A112" t="s">
        <v>195</v>
      </c>
      <c r="B112" t="s">
        <v>188</v>
      </c>
      <c r="C112" s="2">
        <v>43877</v>
      </c>
      <c r="D112" s="35" t="str">
        <f>TEXT(Таблица4[[#This Row],[Дата]],"ДДДД")</f>
        <v>воскресенье</v>
      </c>
      <c r="E112" s="34">
        <f>WEEKDAY(Таблица4[[#This Row],[Дата]],2)</f>
        <v>7</v>
      </c>
      <c r="F112" s="34">
        <f>ROUNDUP(MONTH(Таблица4[[#This Row],[Дата]])/3,0)</f>
        <v>1</v>
      </c>
      <c r="G112" t="s">
        <v>191</v>
      </c>
      <c r="H112" s="19">
        <v>7</v>
      </c>
      <c r="I112" t="s">
        <v>181</v>
      </c>
    </row>
    <row r="113" spans="1:9" x14ac:dyDescent="0.3">
      <c r="A113" t="s">
        <v>195</v>
      </c>
      <c r="B113" t="s">
        <v>37</v>
      </c>
      <c r="C113" s="2">
        <v>43993</v>
      </c>
      <c r="D113" s="35" t="str">
        <f>TEXT(Таблица4[[#This Row],[Дата]],"ДДДД")</f>
        <v>четверг</v>
      </c>
      <c r="E113" s="34">
        <f>WEEKDAY(Таблица4[[#This Row],[Дата]],2)</f>
        <v>4</v>
      </c>
      <c r="F113" s="34">
        <f>ROUNDUP(MONTH(Таблица4[[#This Row],[Дата]])/3,0)</f>
        <v>2</v>
      </c>
      <c r="G113" t="s">
        <v>192</v>
      </c>
      <c r="H113" s="19">
        <v>6</v>
      </c>
      <c r="I113" t="s">
        <v>177</v>
      </c>
    </row>
    <row r="114" spans="1:9" x14ac:dyDescent="0.3">
      <c r="A114" t="s">
        <v>195</v>
      </c>
      <c r="B114" t="s">
        <v>37</v>
      </c>
      <c r="C114" s="2">
        <v>43870</v>
      </c>
      <c r="D114" s="35" t="str">
        <f>TEXT(Таблица4[[#This Row],[Дата]],"ДДДД")</f>
        <v>воскресенье</v>
      </c>
      <c r="E114" s="34">
        <f>WEEKDAY(Таблица4[[#This Row],[Дата]],2)</f>
        <v>7</v>
      </c>
      <c r="F114" s="34">
        <f>ROUNDUP(MONTH(Таблица4[[#This Row],[Дата]])/3,0)</f>
        <v>1</v>
      </c>
      <c r="G114" t="s">
        <v>182</v>
      </c>
      <c r="H114" s="19">
        <v>7</v>
      </c>
      <c r="I114" t="s">
        <v>181</v>
      </c>
    </row>
    <row r="115" spans="1:9" x14ac:dyDescent="0.3">
      <c r="A115" t="s">
        <v>195</v>
      </c>
      <c r="B115" t="s">
        <v>193</v>
      </c>
      <c r="C115" s="2">
        <v>43844</v>
      </c>
      <c r="D115" s="35" t="str">
        <f>TEXT(Таблица4[[#This Row],[Дата]],"ДДДД")</f>
        <v>вторник</v>
      </c>
      <c r="E115" s="34">
        <f>WEEKDAY(Таблица4[[#This Row],[Дата]],2)</f>
        <v>2</v>
      </c>
      <c r="F115" s="34">
        <f>ROUNDUP(MONTH(Таблица4[[#This Row],[Дата]])/3,0)</f>
        <v>1</v>
      </c>
      <c r="G115" t="s">
        <v>182</v>
      </c>
      <c r="H115" s="19">
        <v>1</v>
      </c>
      <c r="I115" t="s">
        <v>175</v>
      </c>
    </row>
    <row r="116" spans="1:9" x14ac:dyDescent="0.3">
      <c r="A116" t="s">
        <v>195</v>
      </c>
      <c r="B116" t="s">
        <v>37</v>
      </c>
      <c r="C116" s="2">
        <v>43942</v>
      </c>
      <c r="D116" s="35" t="str">
        <f>TEXT(Таблица4[[#This Row],[Дата]],"ДДДД")</f>
        <v>вторник</v>
      </c>
      <c r="E116" s="34">
        <f>WEEKDAY(Таблица4[[#This Row],[Дата]],2)</f>
        <v>2</v>
      </c>
      <c r="F116" s="34">
        <f>ROUNDUP(MONTH(Таблица4[[#This Row],[Дата]])/3,0)</f>
        <v>2</v>
      </c>
      <c r="G116" t="s">
        <v>189</v>
      </c>
      <c r="H116" s="19">
        <v>2</v>
      </c>
      <c r="I116" t="s">
        <v>183</v>
      </c>
    </row>
    <row r="117" spans="1:9" x14ac:dyDescent="0.3">
      <c r="A117" t="s">
        <v>195</v>
      </c>
      <c r="B117" t="s">
        <v>188</v>
      </c>
      <c r="C117" s="2">
        <v>43935</v>
      </c>
      <c r="D117" s="35" t="str">
        <f>TEXT(Таблица4[[#This Row],[Дата]],"ДДДД")</f>
        <v>вторник</v>
      </c>
      <c r="E117" s="34">
        <f>WEEKDAY(Таблица4[[#This Row],[Дата]],2)</f>
        <v>2</v>
      </c>
      <c r="F117" s="34">
        <f>ROUNDUP(MONTH(Таблица4[[#This Row],[Дата]])/3,0)</f>
        <v>2</v>
      </c>
      <c r="G117" t="s">
        <v>173</v>
      </c>
      <c r="H117" s="19">
        <v>3</v>
      </c>
      <c r="I117" t="s">
        <v>174</v>
      </c>
    </row>
    <row r="118" spans="1:9" x14ac:dyDescent="0.3">
      <c r="A118" t="s">
        <v>195</v>
      </c>
      <c r="B118" t="s">
        <v>188</v>
      </c>
      <c r="C118" s="2">
        <v>43851</v>
      </c>
      <c r="D118" s="35" t="str">
        <f>TEXT(Таблица4[[#This Row],[Дата]],"ДДДД")</f>
        <v>вторник</v>
      </c>
      <c r="E118" s="34">
        <f>WEEKDAY(Таблица4[[#This Row],[Дата]],2)</f>
        <v>2</v>
      </c>
      <c r="F118" s="34">
        <f>ROUNDUP(MONTH(Таблица4[[#This Row],[Дата]])/3,0)</f>
        <v>1</v>
      </c>
      <c r="G118" t="s">
        <v>186</v>
      </c>
      <c r="H118" s="19">
        <v>1</v>
      </c>
      <c r="I118" t="s">
        <v>175</v>
      </c>
    </row>
    <row r="119" spans="1:9" x14ac:dyDescent="0.3">
      <c r="A119" t="s">
        <v>195</v>
      </c>
      <c r="B119" t="s">
        <v>37</v>
      </c>
      <c r="C119" s="2">
        <v>43994</v>
      </c>
      <c r="D119" s="35" t="str">
        <f>TEXT(Таблица4[[#This Row],[Дата]],"ДДДД")</f>
        <v>пятница</v>
      </c>
      <c r="E119" s="34">
        <f>WEEKDAY(Таблица4[[#This Row],[Дата]],2)</f>
        <v>5</v>
      </c>
      <c r="F119" s="34">
        <f>ROUNDUP(MONTH(Таблица4[[#This Row],[Дата]])/3,0)</f>
        <v>2</v>
      </c>
      <c r="G119" t="s">
        <v>182</v>
      </c>
      <c r="H119" s="19">
        <v>4</v>
      </c>
      <c r="I119" t="s">
        <v>179</v>
      </c>
    </row>
    <row r="120" spans="1:9" x14ac:dyDescent="0.3">
      <c r="A120" t="s">
        <v>195</v>
      </c>
      <c r="B120" t="s">
        <v>185</v>
      </c>
      <c r="C120" s="2">
        <v>43959</v>
      </c>
      <c r="D120" s="35" t="str">
        <f>TEXT(Таблица4[[#This Row],[Дата]],"ДДДД")</f>
        <v>пятница</v>
      </c>
      <c r="E120" s="34">
        <f>WEEKDAY(Таблица4[[#This Row],[Дата]],2)</f>
        <v>5</v>
      </c>
      <c r="F120" s="34">
        <f>ROUNDUP(MONTH(Таблица4[[#This Row],[Дата]])/3,0)</f>
        <v>2</v>
      </c>
      <c r="G120" t="s">
        <v>182</v>
      </c>
      <c r="H120" s="19">
        <v>3</v>
      </c>
      <c r="I120" t="s">
        <v>174</v>
      </c>
    </row>
    <row r="121" spans="1:9" x14ac:dyDescent="0.3">
      <c r="A121" t="s">
        <v>195</v>
      </c>
      <c r="B121" t="s">
        <v>37</v>
      </c>
      <c r="C121" s="2">
        <v>43867</v>
      </c>
      <c r="D121" s="35" t="str">
        <f>TEXT(Таблица4[[#This Row],[Дата]],"ДДДД")</f>
        <v>четверг</v>
      </c>
      <c r="E121" s="34">
        <f>WEEKDAY(Таблица4[[#This Row],[Дата]],2)</f>
        <v>4</v>
      </c>
      <c r="F121" s="34">
        <f>ROUNDUP(MONTH(Таблица4[[#This Row],[Дата]])/3,0)</f>
        <v>1</v>
      </c>
      <c r="G121" t="s">
        <v>196</v>
      </c>
      <c r="H121" s="19">
        <v>2</v>
      </c>
      <c r="I121" t="s">
        <v>183</v>
      </c>
    </row>
    <row r="122" spans="1:9" x14ac:dyDescent="0.3">
      <c r="A122" t="s">
        <v>195</v>
      </c>
      <c r="B122" t="s">
        <v>37</v>
      </c>
      <c r="C122" s="2">
        <v>43910</v>
      </c>
      <c r="D122" s="35" t="str">
        <f>TEXT(Таблица4[[#This Row],[Дата]],"ДДДД")</f>
        <v>пятница</v>
      </c>
      <c r="E122" s="34">
        <f>WEEKDAY(Таблица4[[#This Row],[Дата]],2)</f>
        <v>5</v>
      </c>
      <c r="F122" s="34">
        <f>ROUNDUP(MONTH(Таблица4[[#This Row],[Дата]])/3,0)</f>
        <v>1</v>
      </c>
      <c r="G122" t="s">
        <v>178</v>
      </c>
      <c r="H122" s="19">
        <v>5</v>
      </c>
      <c r="I122" t="s">
        <v>180</v>
      </c>
    </row>
    <row r="123" spans="1:9" x14ac:dyDescent="0.3">
      <c r="A123" t="s">
        <v>195</v>
      </c>
      <c r="B123" t="s">
        <v>37</v>
      </c>
      <c r="C123" s="2">
        <v>43872</v>
      </c>
      <c r="D123" s="35" t="str">
        <f>TEXT(Таблица4[[#This Row],[Дата]],"ДДДД")</f>
        <v>вторник</v>
      </c>
      <c r="E123" s="34">
        <f>WEEKDAY(Таблица4[[#This Row],[Дата]],2)</f>
        <v>2</v>
      </c>
      <c r="F123" s="34">
        <f>ROUNDUP(MONTH(Таблица4[[#This Row],[Дата]])/3,0)</f>
        <v>1</v>
      </c>
      <c r="G123" t="s">
        <v>190</v>
      </c>
      <c r="H123" s="19">
        <v>6</v>
      </c>
      <c r="I123" t="s">
        <v>177</v>
      </c>
    </row>
    <row r="124" spans="1:9" x14ac:dyDescent="0.3">
      <c r="A124" t="s">
        <v>198</v>
      </c>
      <c r="B124" t="s">
        <v>37</v>
      </c>
      <c r="C124" s="2">
        <v>43947</v>
      </c>
      <c r="D124" s="35" t="str">
        <f>TEXT(Таблица4[[#This Row],[Дата]],"ДДДД")</f>
        <v>воскресенье</v>
      </c>
      <c r="E124" s="34">
        <f>WEEKDAY(Таблица4[[#This Row],[Дата]],2)</f>
        <v>7</v>
      </c>
      <c r="F124" s="34">
        <f>ROUNDUP(MONTH(Таблица4[[#This Row],[Дата]])/3,0)</f>
        <v>2</v>
      </c>
      <c r="G124" t="s">
        <v>189</v>
      </c>
      <c r="H124" s="19">
        <v>3</v>
      </c>
      <c r="I124" t="s">
        <v>174</v>
      </c>
    </row>
    <row r="125" spans="1:9" x14ac:dyDescent="0.3">
      <c r="A125" t="s">
        <v>198</v>
      </c>
      <c r="B125" t="s">
        <v>37</v>
      </c>
      <c r="C125" s="2">
        <v>43835</v>
      </c>
      <c r="D125" s="35" t="str">
        <f>TEXT(Таблица4[[#This Row],[Дата]],"ДДДД")</f>
        <v>воскресенье</v>
      </c>
      <c r="E125" s="34">
        <f>WEEKDAY(Таблица4[[#This Row],[Дата]],2)</f>
        <v>7</v>
      </c>
      <c r="F125" s="34">
        <f>ROUNDUP(MONTH(Таблица4[[#This Row],[Дата]])/3,0)</f>
        <v>1</v>
      </c>
      <c r="G125" t="s">
        <v>194</v>
      </c>
      <c r="H125" s="19">
        <v>6</v>
      </c>
      <c r="I125" t="s">
        <v>177</v>
      </c>
    </row>
    <row r="126" spans="1:9" x14ac:dyDescent="0.3">
      <c r="A126" t="s">
        <v>198</v>
      </c>
      <c r="B126" t="s">
        <v>37</v>
      </c>
      <c r="C126" s="2">
        <v>43842</v>
      </c>
      <c r="D126" s="35" t="str">
        <f>TEXT(Таблица4[[#This Row],[Дата]],"ДДДД")</f>
        <v>воскресенье</v>
      </c>
      <c r="E126" s="34">
        <f>WEEKDAY(Таблица4[[#This Row],[Дата]],2)</f>
        <v>7</v>
      </c>
      <c r="F126" s="34">
        <f>ROUNDUP(MONTH(Таблица4[[#This Row],[Дата]])/3,0)</f>
        <v>1</v>
      </c>
      <c r="G126" t="s">
        <v>178</v>
      </c>
      <c r="H126" s="19">
        <v>1</v>
      </c>
      <c r="I126" t="s">
        <v>175</v>
      </c>
    </row>
    <row r="127" spans="1:9" x14ac:dyDescent="0.3">
      <c r="A127" t="s">
        <v>198</v>
      </c>
      <c r="B127" t="s">
        <v>37</v>
      </c>
      <c r="C127" s="2">
        <v>43835</v>
      </c>
      <c r="D127" s="35" t="str">
        <f>TEXT(Таблица4[[#This Row],[Дата]],"ДДДД")</f>
        <v>воскресенье</v>
      </c>
      <c r="E127" s="34">
        <f>WEEKDAY(Таблица4[[#This Row],[Дата]],2)</f>
        <v>7</v>
      </c>
      <c r="F127" s="34">
        <f>ROUNDUP(MONTH(Таблица4[[#This Row],[Дата]])/3,0)</f>
        <v>1</v>
      </c>
      <c r="G127" t="s">
        <v>191</v>
      </c>
      <c r="H127" s="19">
        <v>7</v>
      </c>
      <c r="I127" t="s">
        <v>181</v>
      </c>
    </row>
    <row r="128" spans="1:9" x14ac:dyDescent="0.3">
      <c r="A128" t="s">
        <v>198</v>
      </c>
      <c r="B128" t="s">
        <v>37</v>
      </c>
      <c r="C128" s="2">
        <v>43996</v>
      </c>
      <c r="D128" s="35" t="str">
        <f>TEXT(Таблица4[[#This Row],[Дата]],"ДДДД")</f>
        <v>воскресенье</v>
      </c>
      <c r="E128" s="34">
        <f>WEEKDAY(Таблица4[[#This Row],[Дата]],2)</f>
        <v>7</v>
      </c>
      <c r="F128" s="34">
        <f>ROUNDUP(MONTH(Таблица4[[#This Row],[Дата]])/3,0)</f>
        <v>2</v>
      </c>
      <c r="G128" t="s">
        <v>186</v>
      </c>
      <c r="H128" s="19">
        <v>6</v>
      </c>
      <c r="I128" t="s">
        <v>177</v>
      </c>
    </row>
    <row r="129" spans="1:9" x14ac:dyDescent="0.3">
      <c r="A129" t="s">
        <v>198</v>
      </c>
      <c r="B129" t="s">
        <v>37</v>
      </c>
      <c r="C129" s="2">
        <v>43868</v>
      </c>
      <c r="D129" s="35" t="str">
        <f>TEXT(Таблица4[[#This Row],[Дата]],"ДДДД")</f>
        <v>пятница</v>
      </c>
      <c r="E129" s="34">
        <f>WEEKDAY(Таблица4[[#This Row],[Дата]],2)</f>
        <v>5</v>
      </c>
      <c r="F129" s="34">
        <f>ROUNDUP(MONTH(Таблица4[[#This Row],[Дата]])/3,0)</f>
        <v>1</v>
      </c>
      <c r="G129" t="s">
        <v>189</v>
      </c>
      <c r="H129" s="19">
        <v>2</v>
      </c>
      <c r="I129" t="s">
        <v>183</v>
      </c>
    </row>
    <row r="130" spans="1:9" x14ac:dyDescent="0.3">
      <c r="A130" t="s">
        <v>198</v>
      </c>
      <c r="B130" t="s">
        <v>37</v>
      </c>
      <c r="C130" s="2">
        <v>43870</v>
      </c>
      <c r="D130" s="35" t="str">
        <f>TEXT(Таблица4[[#This Row],[Дата]],"ДДДД")</f>
        <v>воскресенье</v>
      </c>
      <c r="E130" s="34">
        <f>WEEKDAY(Таблица4[[#This Row],[Дата]],2)</f>
        <v>7</v>
      </c>
      <c r="F130" s="34">
        <f>ROUNDUP(MONTH(Таблица4[[#This Row],[Дата]])/3,0)</f>
        <v>1</v>
      </c>
      <c r="G130" t="s">
        <v>182</v>
      </c>
      <c r="H130" s="19">
        <v>4</v>
      </c>
      <c r="I130" t="s">
        <v>179</v>
      </c>
    </row>
    <row r="131" spans="1:9" x14ac:dyDescent="0.3">
      <c r="A131" t="s">
        <v>198</v>
      </c>
      <c r="B131" t="s">
        <v>37</v>
      </c>
      <c r="C131" s="2">
        <v>43928</v>
      </c>
      <c r="D131" s="35" t="str">
        <f>TEXT(Таблица4[[#This Row],[Дата]],"ДДДД")</f>
        <v>вторник</v>
      </c>
      <c r="E131" s="34">
        <f>WEEKDAY(Таблица4[[#This Row],[Дата]],2)</f>
        <v>2</v>
      </c>
      <c r="F131" s="34">
        <f>ROUNDUP(MONTH(Таблица4[[#This Row],[Дата]])/3,0)</f>
        <v>2</v>
      </c>
      <c r="G131" t="s">
        <v>176</v>
      </c>
      <c r="H131" s="19">
        <v>4</v>
      </c>
      <c r="I131" t="s">
        <v>179</v>
      </c>
    </row>
    <row r="132" spans="1:9" x14ac:dyDescent="0.3">
      <c r="A132" t="s">
        <v>198</v>
      </c>
      <c r="B132" t="s">
        <v>37</v>
      </c>
      <c r="C132" s="2">
        <v>43972</v>
      </c>
      <c r="D132" s="35" t="str">
        <f>TEXT(Таблица4[[#This Row],[Дата]],"ДДДД")</f>
        <v>четверг</v>
      </c>
      <c r="E132" s="34">
        <f>WEEKDAY(Таблица4[[#This Row],[Дата]],2)</f>
        <v>4</v>
      </c>
      <c r="F132" s="34">
        <f>ROUNDUP(MONTH(Таблица4[[#This Row],[Дата]])/3,0)</f>
        <v>2</v>
      </c>
      <c r="G132" t="s">
        <v>194</v>
      </c>
      <c r="H132" s="19">
        <v>5</v>
      </c>
      <c r="I132" t="s">
        <v>180</v>
      </c>
    </row>
    <row r="133" spans="1:9" x14ac:dyDescent="0.3">
      <c r="A133" t="s">
        <v>198</v>
      </c>
      <c r="B133" t="s">
        <v>37</v>
      </c>
      <c r="C133" s="2">
        <v>43870</v>
      </c>
      <c r="D133" s="35" t="str">
        <f>TEXT(Таблица4[[#This Row],[Дата]],"ДДДД")</f>
        <v>воскресенье</v>
      </c>
      <c r="E133" s="34">
        <f>WEEKDAY(Таблица4[[#This Row],[Дата]],2)</f>
        <v>7</v>
      </c>
      <c r="F133" s="34">
        <f>ROUNDUP(MONTH(Таблица4[[#This Row],[Дата]])/3,0)</f>
        <v>1</v>
      </c>
      <c r="G133" t="s">
        <v>189</v>
      </c>
      <c r="H133" s="19">
        <v>1</v>
      </c>
      <c r="I133" t="s">
        <v>175</v>
      </c>
    </row>
    <row r="134" spans="1:9" x14ac:dyDescent="0.3">
      <c r="A134" t="s">
        <v>198</v>
      </c>
      <c r="B134" t="s">
        <v>37</v>
      </c>
      <c r="C134" s="2">
        <v>43882</v>
      </c>
      <c r="D134" s="35" t="str">
        <f>TEXT(Таблица4[[#This Row],[Дата]],"ДДДД")</f>
        <v>пятница</v>
      </c>
      <c r="E134" s="34">
        <f>WEEKDAY(Таблица4[[#This Row],[Дата]],2)</f>
        <v>5</v>
      </c>
      <c r="F134" s="34">
        <f>ROUNDUP(MONTH(Таблица4[[#This Row],[Дата]])/3,0)</f>
        <v>1</v>
      </c>
      <c r="G134" t="s">
        <v>173</v>
      </c>
      <c r="H134" s="19">
        <v>3</v>
      </c>
      <c r="I134" t="s">
        <v>174</v>
      </c>
    </row>
    <row r="135" spans="1:9" x14ac:dyDescent="0.3">
      <c r="A135" t="s">
        <v>198</v>
      </c>
      <c r="B135" t="s">
        <v>37</v>
      </c>
      <c r="C135" s="2">
        <v>43871</v>
      </c>
      <c r="D135" s="35" t="str">
        <f>TEXT(Таблица4[[#This Row],[Дата]],"ДДДД")</f>
        <v>понедельник</v>
      </c>
      <c r="E135" s="34">
        <f>WEEKDAY(Таблица4[[#This Row],[Дата]],2)</f>
        <v>1</v>
      </c>
      <c r="F135" s="34">
        <f>ROUNDUP(MONTH(Таблица4[[#This Row],[Дата]])/3,0)</f>
        <v>1</v>
      </c>
      <c r="G135" t="s">
        <v>192</v>
      </c>
      <c r="H135" s="19">
        <v>7</v>
      </c>
      <c r="I135" t="s">
        <v>181</v>
      </c>
    </row>
    <row r="136" spans="1:9" x14ac:dyDescent="0.3">
      <c r="A136" t="s">
        <v>198</v>
      </c>
      <c r="B136" t="s">
        <v>37</v>
      </c>
      <c r="C136" s="2">
        <v>43922</v>
      </c>
      <c r="D136" s="35" t="str">
        <f>TEXT(Таблица4[[#This Row],[Дата]],"ДДДД")</f>
        <v>среда</v>
      </c>
      <c r="E136" s="34">
        <f>WEEKDAY(Таблица4[[#This Row],[Дата]],2)</f>
        <v>3</v>
      </c>
      <c r="F136" s="34">
        <f>ROUNDUP(MONTH(Таблица4[[#This Row],[Дата]])/3,0)</f>
        <v>2</v>
      </c>
      <c r="G136" t="s">
        <v>176</v>
      </c>
      <c r="H136" s="19">
        <v>6</v>
      </c>
      <c r="I136" t="s">
        <v>177</v>
      </c>
    </row>
    <row r="137" spans="1:9" x14ac:dyDescent="0.3">
      <c r="A137" t="s">
        <v>198</v>
      </c>
      <c r="B137" t="s">
        <v>37</v>
      </c>
      <c r="C137" s="2">
        <v>43907</v>
      </c>
      <c r="D137" s="35" t="str">
        <f>TEXT(Таблица4[[#This Row],[Дата]],"ДДДД")</f>
        <v>вторник</v>
      </c>
      <c r="E137" s="34">
        <f>WEEKDAY(Таблица4[[#This Row],[Дата]],2)</f>
        <v>2</v>
      </c>
      <c r="F137" s="34">
        <f>ROUNDUP(MONTH(Таблица4[[#This Row],[Дата]])/3,0)</f>
        <v>1</v>
      </c>
      <c r="G137" t="s">
        <v>176</v>
      </c>
      <c r="H137" s="19">
        <v>7</v>
      </c>
      <c r="I137" t="s">
        <v>181</v>
      </c>
    </row>
    <row r="138" spans="1:9" x14ac:dyDescent="0.3">
      <c r="A138" t="s">
        <v>198</v>
      </c>
      <c r="B138" t="s">
        <v>37</v>
      </c>
      <c r="C138" s="2">
        <v>43902</v>
      </c>
      <c r="D138" s="35" t="str">
        <f>TEXT(Таблица4[[#This Row],[Дата]],"ДДДД")</f>
        <v>четверг</v>
      </c>
      <c r="E138" s="34">
        <f>WEEKDAY(Таблица4[[#This Row],[Дата]],2)</f>
        <v>4</v>
      </c>
      <c r="F138" s="34">
        <f>ROUNDUP(MONTH(Таблица4[[#This Row],[Дата]])/3,0)</f>
        <v>1</v>
      </c>
      <c r="G138" t="s">
        <v>186</v>
      </c>
      <c r="H138" s="19">
        <v>6</v>
      </c>
      <c r="I138" t="s">
        <v>177</v>
      </c>
    </row>
    <row r="139" spans="1:9" x14ac:dyDescent="0.3">
      <c r="A139" t="s">
        <v>198</v>
      </c>
      <c r="B139" t="s">
        <v>193</v>
      </c>
      <c r="C139" s="2">
        <v>43966</v>
      </c>
      <c r="D139" s="35" t="str">
        <f>TEXT(Таблица4[[#This Row],[Дата]],"ДДДД")</f>
        <v>пятница</v>
      </c>
      <c r="E139" s="34">
        <f>WEEKDAY(Таблица4[[#This Row],[Дата]],2)</f>
        <v>5</v>
      </c>
      <c r="F139" s="34">
        <f>ROUNDUP(MONTH(Таблица4[[#This Row],[Дата]])/3,0)</f>
        <v>2</v>
      </c>
      <c r="G139" t="s">
        <v>176</v>
      </c>
      <c r="H139" s="19">
        <v>1</v>
      </c>
      <c r="I139" t="s">
        <v>175</v>
      </c>
    </row>
    <row r="140" spans="1:9" x14ac:dyDescent="0.3">
      <c r="A140" t="s">
        <v>198</v>
      </c>
      <c r="B140" t="s">
        <v>37</v>
      </c>
      <c r="C140" s="2">
        <v>43903</v>
      </c>
      <c r="D140" s="35" t="str">
        <f>TEXT(Таблица4[[#This Row],[Дата]],"ДДДД")</f>
        <v>пятница</v>
      </c>
      <c r="E140" s="34">
        <f>WEEKDAY(Таблица4[[#This Row],[Дата]],2)</f>
        <v>5</v>
      </c>
      <c r="F140" s="34">
        <f>ROUNDUP(MONTH(Таблица4[[#This Row],[Дата]])/3,0)</f>
        <v>1</v>
      </c>
      <c r="G140" t="s">
        <v>186</v>
      </c>
      <c r="H140" s="19">
        <v>7</v>
      </c>
      <c r="I140" t="s">
        <v>181</v>
      </c>
    </row>
    <row r="141" spans="1:9" x14ac:dyDescent="0.3">
      <c r="A141" t="s">
        <v>198</v>
      </c>
      <c r="B141" t="s">
        <v>37</v>
      </c>
      <c r="C141" s="2">
        <v>43917</v>
      </c>
      <c r="D141" s="35" t="str">
        <f>TEXT(Таблица4[[#This Row],[Дата]],"ДДДД")</f>
        <v>пятница</v>
      </c>
      <c r="E141" s="34">
        <f>WEEKDAY(Таблица4[[#This Row],[Дата]],2)</f>
        <v>5</v>
      </c>
      <c r="F141" s="34">
        <f>ROUNDUP(MONTH(Таблица4[[#This Row],[Дата]])/3,0)</f>
        <v>1</v>
      </c>
      <c r="G141" t="s">
        <v>186</v>
      </c>
      <c r="H141" s="19">
        <v>3</v>
      </c>
      <c r="I141" t="s">
        <v>174</v>
      </c>
    </row>
    <row r="142" spans="1:9" x14ac:dyDescent="0.3">
      <c r="A142" t="s">
        <v>198</v>
      </c>
      <c r="B142" t="s">
        <v>193</v>
      </c>
      <c r="C142" s="2">
        <v>43972</v>
      </c>
      <c r="D142" s="35" t="str">
        <f>TEXT(Таблица4[[#This Row],[Дата]],"ДДДД")</f>
        <v>четверг</v>
      </c>
      <c r="E142" s="34">
        <f>WEEKDAY(Таблица4[[#This Row],[Дата]],2)</f>
        <v>4</v>
      </c>
      <c r="F142" s="34">
        <f>ROUNDUP(MONTH(Таблица4[[#This Row],[Дата]])/3,0)</f>
        <v>2</v>
      </c>
      <c r="G142" t="s">
        <v>178</v>
      </c>
      <c r="H142" s="19">
        <v>3</v>
      </c>
      <c r="I142" t="s">
        <v>174</v>
      </c>
    </row>
    <row r="143" spans="1:9" x14ac:dyDescent="0.3">
      <c r="A143" t="s">
        <v>198</v>
      </c>
      <c r="B143" t="s">
        <v>37</v>
      </c>
      <c r="C143" s="2">
        <v>44008</v>
      </c>
      <c r="D143" s="35" t="str">
        <f>TEXT(Таблица4[[#This Row],[Дата]],"ДДДД")</f>
        <v>пятница</v>
      </c>
      <c r="E143" s="34">
        <f>WEEKDAY(Таблица4[[#This Row],[Дата]],2)</f>
        <v>5</v>
      </c>
      <c r="F143" s="34">
        <f>ROUNDUP(MONTH(Таблица4[[#This Row],[Дата]])/3,0)</f>
        <v>2</v>
      </c>
      <c r="G143" t="s">
        <v>176</v>
      </c>
      <c r="H143" s="19">
        <v>4</v>
      </c>
      <c r="I143" t="s">
        <v>179</v>
      </c>
    </row>
    <row r="144" spans="1:9" x14ac:dyDescent="0.3">
      <c r="A144" t="s">
        <v>198</v>
      </c>
      <c r="B144" t="s">
        <v>187</v>
      </c>
      <c r="C144" s="2">
        <v>44004</v>
      </c>
      <c r="D144" s="35" t="str">
        <f>TEXT(Таблица4[[#This Row],[Дата]],"ДДДД")</f>
        <v>понедельник</v>
      </c>
      <c r="E144" s="34">
        <f>WEEKDAY(Таблица4[[#This Row],[Дата]],2)</f>
        <v>1</v>
      </c>
      <c r="F144" s="34">
        <f>ROUNDUP(MONTH(Таблица4[[#This Row],[Дата]])/3,0)</f>
        <v>2</v>
      </c>
      <c r="G144" t="s">
        <v>189</v>
      </c>
      <c r="H144" s="19">
        <v>2</v>
      </c>
      <c r="I144" t="s">
        <v>183</v>
      </c>
    </row>
    <row r="145" spans="1:9" x14ac:dyDescent="0.3">
      <c r="A145" t="s">
        <v>198</v>
      </c>
      <c r="B145" t="s">
        <v>185</v>
      </c>
      <c r="C145" s="2">
        <v>43900</v>
      </c>
      <c r="D145" s="35" t="str">
        <f>TEXT(Таблица4[[#This Row],[Дата]],"ДДДД")</f>
        <v>вторник</v>
      </c>
      <c r="E145" s="34">
        <f>WEEKDAY(Таблица4[[#This Row],[Дата]],2)</f>
        <v>2</v>
      </c>
      <c r="F145" s="34">
        <f>ROUNDUP(MONTH(Таблица4[[#This Row],[Дата]])/3,0)</f>
        <v>1</v>
      </c>
      <c r="G145" t="s">
        <v>194</v>
      </c>
      <c r="H145" s="19">
        <v>1</v>
      </c>
      <c r="I145" t="s">
        <v>175</v>
      </c>
    </row>
    <row r="146" spans="1:9" x14ac:dyDescent="0.3">
      <c r="A146" t="s">
        <v>198</v>
      </c>
      <c r="B146" t="s">
        <v>37</v>
      </c>
      <c r="C146" s="2">
        <v>43909</v>
      </c>
      <c r="D146" s="35" t="str">
        <f>TEXT(Таблица4[[#This Row],[Дата]],"ДДДД")</f>
        <v>четверг</v>
      </c>
      <c r="E146" s="34">
        <f>WEEKDAY(Таблица4[[#This Row],[Дата]],2)</f>
        <v>4</v>
      </c>
      <c r="F146" s="34">
        <f>ROUNDUP(MONTH(Таблица4[[#This Row],[Дата]])/3,0)</f>
        <v>1</v>
      </c>
      <c r="G146" t="s">
        <v>192</v>
      </c>
      <c r="H146" s="19">
        <v>1</v>
      </c>
      <c r="I146" t="s">
        <v>175</v>
      </c>
    </row>
    <row r="147" spans="1:9" x14ac:dyDescent="0.3">
      <c r="A147" t="s">
        <v>198</v>
      </c>
      <c r="B147" t="s">
        <v>37</v>
      </c>
      <c r="C147" s="2">
        <v>43906</v>
      </c>
      <c r="D147" s="35" t="str">
        <f>TEXT(Таблица4[[#This Row],[Дата]],"ДДДД")</f>
        <v>понедельник</v>
      </c>
      <c r="E147" s="34">
        <f>WEEKDAY(Таблица4[[#This Row],[Дата]],2)</f>
        <v>1</v>
      </c>
      <c r="F147" s="34">
        <f>ROUNDUP(MONTH(Таблица4[[#This Row],[Дата]])/3,0)</f>
        <v>1</v>
      </c>
      <c r="G147" t="s">
        <v>190</v>
      </c>
      <c r="H147" s="19">
        <v>6</v>
      </c>
      <c r="I147" t="s">
        <v>177</v>
      </c>
    </row>
    <row r="148" spans="1:9" x14ac:dyDescent="0.3">
      <c r="A148" t="s">
        <v>198</v>
      </c>
      <c r="B148" t="s">
        <v>37</v>
      </c>
      <c r="C148" s="2">
        <v>43903</v>
      </c>
      <c r="D148" s="35" t="str">
        <f>TEXT(Таблица4[[#This Row],[Дата]],"ДДДД")</f>
        <v>пятница</v>
      </c>
      <c r="E148" s="34">
        <f>WEEKDAY(Таблица4[[#This Row],[Дата]],2)</f>
        <v>5</v>
      </c>
      <c r="F148" s="34">
        <f>ROUNDUP(MONTH(Таблица4[[#This Row],[Дата]])/3,0)</f>
        <v>1</v>
      </c>
      <c r="G148" t="s">
        <v>189</v>
      </c>
      <c r="H148" s="19">
        <v>5</v>
      </c>
      <c r="I148" t="s">
        <v>180</v>
      </c>
    </row>
    <row r="149" spans="1:9" x14ac:dyDescent="0.3">
      <c r="A149" t="s">
        <v>198</v>
      </c>
      <c r="B149" t="s">
        <v>193</v>
      </c>
      <c r="C149" s="2">
        <v>43909</v>
      </c>
      <c r="D149" s="35" t="str">
        <f>TEXT(Таблица4[[#This Row],[Дата]],"ДДДД")</f>
        <v>четверг</v>
      </c>
      <c r="E149" s="34">
        <f>WEEKDAY(Таблица4[[#This Row],[Дата]],2)</f>
        <v>4</v>
      </c>
      <c r="F149" s="34">
        <f>ROUNDUP(MONTH(Таблица4[[#This Row],[Дата]])/3,0)</f>
        <v>1</v>
      </c>
      <c r="G149" t="s">
        <v>196</v>
      </c>
      <c r="H149" s="19">
        <v>3</v>
      </c>
      <c r="I149" t="s">
        <v>174</v>
      </c>
    </row>
    <row r="150" spans="1:9" x14ac:dyDescent="0.3">
      <c r="A150" t="s">
        <v>198</v>
      </c>
      <c r="B150" t="s">
        <v>37</v>
      </c>
      <c r="C150" s="2">
        <v>43898</v>
      </c>
      <c r="D150" s="35" t="str">
        <f>TEXT(Таблица4[[#This Row],[Дата]],"ДДДД")</f>
        <v>воскресенье</v>
      </c>
      <c r="E150" s="34">
        <f>WEEKDAY(Таблица4[[#This Row],[Дата]],2)</f>
        <v>7</v>
      </c>
      <c r="F150" s="34">
        <f>ROUNDUP(MONTH(Таблица4[[#This Row],[Дата]])/3,0)</f>
        <v>1</v>
      </c>
      <c r="G150" t="s">
        <v>178</v>
      </c>
      <c r="H150" s="19">
        <v>4</v>
      </c>
      <c r="I150" t="s">
        <v>179</v>
      </c>
    </row>
    <row r="151" spans="1:9" x14ac:dyDescent="0.3">
      <c r="A151" t="s">
        <v>198</v>
      </c>
      <c r="B151" t="s">
        <v>37</v>
      </c>
      <c r="C151" s="2">
        <v>43837</v>
      </c>
      <c r="D151" s="35" t="str">
        <f>TEXT(Таблица4[[#This Row],[Дата]],"ДДДД")</f>
        <v>вторник</v>
      </c>
      <c r="E151" s="34">
        <f>WEEKDAY(Таблица4[[#This Row],[Дата]],2)</f>
        <v>2</v>
      </c>
      <c r="F151" s="34">
        <f>ROUNDUP(MONTH(Таблица4[[#This Row],[Дата]])/3,0)</f>
        <v>1</v>
      </c>
      <c r="G151" t="s">
        <v>190</v>
      </c>
      <c r="H151" s="19">
        <v>3</v>
      </c>
      <c r="I151" t="s">
        <v>174</v>
      </c>
    </row>
    <row r="152" spans="1:9" x14ac:dyDescent="0.3">
      <c r="A152" t="s">
        <v>198</v>
      </c>
      <c r="B152" t="s">
        <v>37</v>
      </c>
      <c r="C152" s="2">
        <v>43899</v>
      </c>
      <c r="D152" s="35" t="str">
        <f>TEXT(Таблица4[[#This Row],[Дата]],"ДДДД")</f>
        <v>понедельник</v>
      </c>
      <c r="E152" s="34">
        <f>WEEKDAY(Таблица4[[#This Row],[Дата]],2)</f>
        <v>1</v>
      </c>
      <c r="F152" s="34">
        <f>ROUNDUP(MONTH(Таблица4[[#This Row],[Дата]])/3,0)</f>
        <v>1</v>
      </c>
      <c r="G152" t="s">
        <v>189</v>
      </c>
      <c r="H152" s="19">
        <v>6</v>
      </c>
      <c r="I152" t="s">
        <v>177</v>
      </c>
    </row>
    <row r="153" spans="1:9" x14ac:dyDescent="0.3">
      <c r="A153" t="s">
        <v>198</v>
      </c>
      <c r="B153" t="s">
        <v>37</v>
      </c>
      <c r="C153" s="2">
        <v>43995</v>
      </c>
      <c r="D153" s="35" t="str">
        <f>TEXT(Таблица4[[#This Row],[Дата]],"ДДДД")</f>
        <v>суббота</v>
      </c>
      <c r="E153" s="34">
        <f>WEEKDAY(Таблица4[[#This Row],[Дата]],2)</f>
        <v>6</v>
      </c>
      <c r="F153" s="34">
        <f>ROUNDUP(MONTH(Таблица4[[#This Row],[Дата]])/3,0)</f>
        <v>2</v>
      </c>
      <c r="G153" t="s">
        <v>191</v>
      </c>
      <c r="H153" s="19">
        <v>2</v>
      </c>
      <c r="I153" t="s">
        <v>183</v>
      </c>
    </row>
    <row r="154" spans="1:9" x14ac:dyDescent="0.3">
      <c r="A154" t="s">
        <v>198</v>
      </c>
      <c r="B154" t="s">
        <v>37</v>
      </c>
      <c r="C154" s="2">
        <v>43922</v>
      </c>
      <c r="D154" s="35" t="str">
        <f>TEXT(Таблица4[[#This Row],[Дата]],"ДДДД")</f>
        <v>среда</v>
      </c>
      <c r="E154" s="34">
        <f>WEEKDAY(Таблица4[[#This Row],[Дата]],2)</f>
        <v>3</v>
      </c>
      <c r="F154" s="34">
        <f>ROUNDUP(MONTH(Таблица4[[#This Row],[Дата]])/3,0)</f>
        <v>2</v>
      </c>
      <c r="G154" t="s">
        <v>190</v>
      </c>
      <c r="H154" s="19">
        <v>5</v>
      </c>
      <c r="I154" t="s">
        <v>180</v>
      </c>
    </row>
    <row r="155" spans="1:9" x14ac:dyDescent="0.3">
      <c r="A155" t="s">
        <v>198</v>
      </c>
      <c r="B155" t="s">
        <v>193</v>
      </c>
      <c r="C155" s="2">
        <v>44001</v>
      </c>
      <c r="D155" s="35" t="str">
        <f>TEXT(Таблица4[[#This Row],[Дата]],"ДДДД")</f>
        <v>пятница</v>
      </c>
      <c r="E155" s="34">
        <f>WEEKDAY(Таблица4[[#This Row],[Дата]],2)</f>
        <v>5</v>
      </c>
      <c r="F155" s="34">
        <f>ROUNDUP(MONTH(Таблица4[[#This Row],[Дата]])/3,0)</f>
        <v>2</v>
      </c>
      <c r="G155" t="s">
        <v>178</v>
      </c>
      <c r="H155" s="19">
        <v>2</v>
      </c>
      <c r="I155" t="s">
        <v>183</v>
      </c>
    </row>
    <row r="156" spans="1:9" x14ac:dyDescent="0.3">
      <c r="A156" t="s">
        <v>198</v>
      </c>
      <c r="B156" t="s">
        <v>188</v>
      </c>
      <c r="C156" s="2">
        <v>43890</v>
      </c>
      <c r="D156" s="35" t="str">
        <f>TEXT(Таблица4[[#This Row],[Дата]],"ДДДД")</f>
        <v>суббота</v>
      </c>
      <c r="E156" s="34">
        <f>WEEKDAY(Таблица4[[#This Row],[Дата]],2)</f>
        <v>6</v>
      </c>
      <c r="F156" s="34">
        <f>ROUNDUP(MONTH(Таблица4[[#This Row],[Дата]])/3,0)</f>
        <v>1</v>
      </c>
      <c r="G156" t="s">
        <v>176</v>
      </c>
      <c r="H156" s="19">
        <v>2</v>
      </c>
      <c r="I156" t="s">
        <v>183</v>
      </c>
    </row>
    <row r="157" spans="1:9" x14ac:dyDescent="0.3">
      <c r="A157" t="s">
        <v>198</v>
      </c>
      <c r="B157" t="s">
        <v>37</v>
      </c>
      <c r="C157" s="2">
        <v>43967</v>
      </c>
      <c r="D157" s="35" t="str">
        <f>TEXT(Таблица4[[#This Row],[Дата]],"ДДДД")</f>
        <v>суббота</v>
      </c>
      <c r="E157" s="34">
        <f>WEEKDAY(Таблица4[[#This Row],[Дата]],2)</f>
        <v>6</v>
      </c>
      <c r="F157" s="34">
        <f>ROUNDUP(MONTH(Таблица4[[#This Row],[Дата]])/3,0)</f>
        <v>2</v>
      </c>
      <c r="G157" t="s">
        <v>194</v>
      </c>
      <c r="H157" s="19">
        <v>4</v>
      </c>
      <c r="I157" t="s">
        <v>179</v>
      </c>
    </row>
    <row r="158" spans="1:9" x14ac:dyDescent="0.3">
      <c r="A158" t="s">
        <v>198</v>
      </c>
      <c r="B158" t="s">
        <v>37</v>
      </c>
      <c r="C158" s="2">
        <v>43832</v>
      </c>
      <c r="D158" s="35" t="str">
        <f>TEXT(Таблица4[[#This Row],[Дата]],"ДДДД")</f>
        <v>четверг</v>
      </c>
      <c r="E158" s="34">
        <f>WEEKDAY(Таблица4[[#This Row],[Дата]],2)</f>
        <v>4</v>
      </c>
      <c r="F158" s="34">
        <f>ROUNDUP(MONTH(Таблица4[[#This Row],[Дата]])/3,0)</f>
        <v>1</v>
      </c>
      <c r="G158" t="s">
        <v>182</v>
      </c>
      <c r="H158" s="19">
        <v>1</v>
      </c>
      <c r="I158" t="s">
        <v>175</v>
      </c>
    </row>
    <row r="159" spans="1:9" x14ac:dyDescent="0.3">
      <c r="A159" t="s">
        <v>198</v>
      </c>
      <c r="B159" t="s">
        <v>37</v>
      </c>
      <c r="C159" s="2">
        <v>43868</v>
      </c>
      <c r="D159" s="35" t="str">
        <f>TEXT(Таблица4[[#This Row],[Дата]],"ДДДД")</f>
        <v>пятница</v>
      </c>
      <c r="E159" s="34">
        <f>WEEKDAY(Таблица4[[#This Row],[Дата]],2)</f>
        <v>5</v>
      </c>
      <c r="F159" s="34">
        <f>ROUNDUP(MONTH(Таблица4[[#This Row],[Дата]])/3,0)</f>
        <v>1</v>
      </c>
      <c r="G159" t="s">
        <v>178</v>
      </c>
      <c r="H159" s="19">
        <v>4</v>
      </c>
      <c r="I159" t="s">
        <v>179</v>
      </c>
    </row>
    <row r="160" spans="1:9" x14ac:dyDescent="0.3">
      <c r="A160" t="s">
        <v>198</v>
      </c>
      <c r="B160" t="s">
        <v>37</v>
      </c>
      <c r="C160" s="2">
        <v>44166</v>
      </c>
      <c r="D160" s="35" t="str">
        <f>TEXT(Таблица4[[#This Row],[Дата]],"ДДДД")</f>
        <v>вторник</v>
      </c>
      <c r="E160" s="34">
        <f>WEEKDAY(Таблица4[[#This Row],[Дата]],2)</f>
        <v>2</v>
      </c>
      <c r="F160" s="34">
        <f>ROUNDUP(MONTH(Таблица4[[#This Row],[Дата]])/3,0)</f>
        <v>4</v>
      </c>
      <c r="G160" t="s">
        <v>173</v>
      </c>
      <c r="H160" s="19">
        <v>1</v>
      </c>
      <c r="I160" t="s">
        <v>175</v>
      </c>
    </row>
    <row r="161" spans="1:9" x14ac:dyDescent="0.3">
      <c r="A161" t="s">
        <v>198</v>
      </c>
      <c r="B161" t="s">
        <v>187</v>
      </c>
      <c r="C161" s="2">
        <v>43855</v>
      </c>
      <c r="D161" s="35" t="str">
        <f>TEXT(Таблица4[[#This Row],[Дата]],"ДДДД")</f>
        <v>суббота</v>
      </c>
      <c r="E161" s="34">
        <f>WEEKDAY(Таблица4[[#This Row],[Дата]],2)</f>
        <v>6</v>
      </c>
      <c r="F161" s="34">
        <f>ROUNDUP(MONTH(Таблица4[[#This Row],[Дата]])/3,0)</f>
        <v>1</v>
      </c>
      <c r="G161" t="s">
        <v>173</v>
      </c>
      <c r="H161" s="19">
        <v>6</v>
      </c>
      <c r="I161" t="s">
        <v>177</v>
      </c>
    </row>
    <row r="162" spans="1:9" x14ac:dyDescent="0.3">
      <c r="A162" t="s">
        <v>198</v>
      </c>
      <c r="B162" t="s">
        <v>37</v>
      </c>
      <c r="C162" s="2">
        <v>43997</v>
      </c>
      <c r="D162" s="35" t="str">
        <f>TEXT(Таблица4[[#This Row],[Дата]],"ДДДД")</f>
        <v>понедельник</v>
      </c>
      <c r="E162" s="34">
        <f>WEEKDAY(Таблица4[[#This Row],[Дата]],2)</f>
        <v>1</v>
      </c>
      <c r="F162" s="34">
        <f>ROUNDUP(MONTH(Таблица4[[#This Row],[Дата]])/3,0)</f>
        <v>2</v>
      </c>
      <c r="G162" t="s">
        <v>176</v>
      </c>
      <c r="H162" s="19">
        <v>4</v>
      </c>
      <c r="I162" t="s">
        <v>179</v>
      </c>
    </row>
    <row r="163" spans="1:9" x14ac:dyDescent="0.3">
      <c r="A163" t="s">
        <v>198</v>
      </c>
      <c r="B163" t="s">
        <v>37</v>
      </c>
      <c r="C163" s="2">
        <v>43833</v>
      </c>
      <c r="D163" s="35" t="str">
        <f>TEXT(Таблица4[[#This Row],[Дата]],"ДДДД")</f>
        <v>пятница</v>
      </c>
      <c r="E163" s="34">
        <f>WEEKDAY(Таблица4[[#This Row],[Дата]],2)</f>
        <v>5</v>
      </c>
      <c r="F163" s="34">
        <f>ROUNDUP(MONTH(Таблица4[[#This Row],[Дата]])/3,0)</f>
        <v>1</v>
      </c>
      <c r="G163" t="s">
        <v>189</v>
      </c>
      <c r="H163" s="19">
        <v>7</v>
      </c>
      <c r="I163" t="s">
        <v>181</v>
      </c>
    </row>
    <row r="164" spans="1:9" x14ac:dyDescent="0.3">
      <c r="A164" t="s">
        <v>198</v>
      </c>
      <c r="B164" t="s">
        <v>37</v>
      </c>
      <c r="C164" s="2">
        <v>43999</v>
      </c>
      <c r="D164" s="35" t="str">
        <f>TEXT(Таблица4[[#This Row],[Дата]],"ДДДД")</f>
        <v>среда</v>
      </c>
      <c r="E164" s="34">
        <f>WEEKDAY(Таблица4[[#This Row],[Дата]],2)</f>
        <v>3</v>
      </c>
      <c r="F164" s="34">
        <f>ROUNDUP(MONTH(Таблица4[[#This Row],[Дата]])/3,0)</f>
        <v>2</v>
      </c>
      <c r="G164" t="s">
        <v>178</v>
      </c>
      <c r="H164" s="19">
        <v>5</v>
      </c>
      <c r="I164" t="s">
        <v>180</v>
      </c>
    </row>
    <row r="165" spans="1:9" x14ac:dyDescent="0.3">
      <c r="A165" t="s">
        <v>198</v>
      </c>
      <c r="B165" t="s">
        <v>37</v>
      </c>
      <c r="C165" s="2">
        <v>43862</v>
      </c>
      <c r="D165" s="35" t="str">
        <f>TEXT(Таблица4[[#This Row],[Дата]],"ДДДД")</f>
        <v>суббота</v>
      </c>
      <c r="E165" s="34">
        <f>WEEKDAY(Таблица4[[#This Row],[Дата]],2)</f>
        <v>6</v>
      </c>
      <c r="F165" s="34">
        <f>ROUNDUP(MONTH(Таблица4[[#This Row],[Дата]])/3,0)</f>
        <v>1</v>
      </c>
      <c r="G165" t="s">
        <v>178</v>
      </c>
      <c r="H165" s="19">
        <v>2</v>
      </c>
      <c r="I165" t="s">
        <v>183</v>
      </c>
    </row>
    <row r="166" spans="1:9" x14ac:dyDescent="0.3">
      <c r="A166" t="s">
        <v>198</v>
      </c>
      <c r="B166" t="s">
        <v>37</v>
      </c>
      <c r="C166" s="2">
        <v>43969</v>
      </c>
      <c r="D166" s="35" t="str">
        <f>TEXT(Таблица4[[#This Row],[Дата]],"ДДДД")</f>
        <v>понедельник</v>
      </c>
      <c r="E166" s="34">
        <f>WEEKDAY(Таблица4[[#This Row],[Дата]],2)</f>
        <v>1</v>
      </c>
      <c r="F166" s="34">
        <f>ROUNDUP(MONTH(Таблица4[[#This Row],[Дата]])/3,0)</f>
        <v>2</v>
      </c>
      <c r="G166" t="s">
        <v>189</v>
      </c>
      <c r="H166" s="19">
        <v>5</v>
      </c>
      <c r="I166" t="s">
        <v>180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0657-87E4-4701-9115-71312C278D44}">
  <dimension ref="A3:B11"/>
  <sheetViews>
    <sheetView workbookViewId="0">
      <selection activeCell="B8" sqref="B8"/>
    </sheetView>
  </sheetViews>
  <sheetFormatPr defaultRowHeight="14.4" x14ac:dyDescent="0.3"/>
  <cols>
    <col min="1" max="1" width="17" bestFit="1" customWidth="1"/>
    <col min="2" max="2" width="28.6640625" bestFit="1" customWidth="1"/>
  </cols>
  <sheetData>
    <row r="3" spans="1:2" x14ac:dyDescent="0.3">
      <c r="A3" s="29" t="s">
        <v>216</v>
      </c>
      <c r="B3" t="s">
        <v>231</v>
      </c>
    </row>
    <row r="4" spans="1:2" x14ac:dyDescent="0.3">
      <c r="A4" s="30" t="s">
        <v>224</v>
      </c>
      <c r="B4" s="22">
        <v>4.7241379310344831</v>
      </c>
    </row>
    <row r="5" spans="1:2" x14ac:dyDescent="0.3">
      <c r="A5" s="30" t="s">
        <v>225</v>
      </c>
      <c r="B5" s="22">
        <v>4.083333333333333</v>
      </c>
    </row>
    <row r="6" spans="1:2" x14ac:dyDescent="0.3">
      <c r="A6" s="30" t="s">
        <v>226</v>
      </c>
      <c r="B6" s="22">
        <v>4.0999999999999996</v>
      </c>
    </row>
    <row r="7" spans="1:2" x14ac:dyDescent="0.3">
      <c r="A7" s="30" t="s">
        <v>227</v>
      </c>
      <c r="B7" s="22">
        <v>4.1500000000000004</v>
      </c>
    </row>
    <row r="8" spans="1:2" x14ac:dyDescent="0.3">
      <c r="A8" s="30" t="s">
        <v>228</v>
      </c>
      <c r="B8" s="22">
        <v>4.0357142857142856</v>
      </c>
    </row>
    <row r="9" spans="1:2" x14ac:dyDescent="0.3">
      <c r="A9" s="30" t="s">
        <v>229</v>
      </c>
      <c r="B9" s="22">
        <v>4.0526315789473681</v>
      </c>
    </row>
    <row r="10" spans="1:2" x14ac:dyDescent="0.3">
      <c r="A10" s="30" t="s">
        <v>230</v>
      </c>
      <c r="B10" s="22">
        <v>4.4400000000000004</v>
      </c>
    </row>
    <row r="11" spans="1:2" x14ac:dyDescent="0.3">
      <c r="A11" s="30" t="s">
        <v>217</v>
      </c>
      <c r="B11" s="22">
        <v>4.2484848484848481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0970-38C7-4CB1-B18B-069D3FF52216}">
  <dimension ref="A1:C2"/>
  <sheetViews>
    <sheetView workbookViewId="0">
      <selection activeCell="B8" sqref="B8"/>
    </sheetView>
  </sheetViews>
  <sheetFormatPr defaultRowHeight="14.4" x14ac:dyDescent="0.3"/>
  <cols>
    <col min="1" max="1" width="26.6640625" bestFit="1" customWidth="1"/>
    <col min="2" max="2" width="10.109375" bestFit="1" customWidth="1"/>
    <col min="3" max="3" width="15" bestFit="1" customWidth="1"/>
  </cols>
  <sheetData>
    <row r="1" spans="1:3" x14ac:dyDescent="0.3">
      <c r="A1" s="25" t="s">
        <v>212</v>
      </c>
      <c r="B1" s="25" t="s">
        <v>232</v>
      </c>
      <c r="C1" s="25" t="s">
        <v>233</v>
      </c>
    </row>
    <row r="2" spans="1:3" x14ac:dyDescent="0.3">
      <c r="A2" s="2">
        <f ca="1">TODAY()-WEEKDAY(TODAY(),3)</f>
        <v>45264</v>
      </c>
      <c r="B2" s="2">
        <f ca="1">TODAY()</f>
        <v>45267</v>
      </c>
      <c r="C2">
        <f ca="1">WEEKDAY(TODAY(),2)</f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CF5A-FC8E-45B8-B108-43D5C25A56E3}">
  <dimension ref="A1:A366"/>
  <sheetViews>
    <sheetView tabSelected="1" workbookViewId="0">
      <selection activeCell="I17" sqref="I17"/>
    </sheetView>
  </sheetViews>
  <sheetFormatPr defaultRowHeight="14.4" x14ac:dyDescent="0.3"/>
  <cols>
    <col min="1" max="1" width="10.109375" bestFit="1" customWidth="1"/>
    <col min="4" max="5" width="8.5546875" customWidth="1"/>
  </cols>
  <sheetData>
    <row r="1" spans="1:1" x14ac:dyDescent="0.3">
      <c r="A1" s="2">
        <v>43831</v>
      </c>
    </row>
    <row r="2" spans="1:1" x14ac:dyDescent="0.3">
      <c r="A2" s="2">
        <v>43832</v>
      </c>
    </row>
    <row r="3" spans="1:1" x14ac:dyDescent="0.3">
      <c r="A3" s="2">
        <v>43833</v>
      </c>
    </row>
    <row r="4" spans="1:1" x14ac:dyDescent="0.3">
      <c r="A4" s="2">
        <v>43834</v>
      </c>
    </row>
    <row r="5" spans="1:1" x14ac:dyDescent="0.3">
      <c r="A5" s="2">
        <v>43835</v>
      </c>
    </row>
    <row r="6" spans="1:1" x14ac:dyDescent="0.3">
      <c r="A6" s="2">
        <v>43836</v>
      </c>
    </row>
    <row r="7" spans="1:1" x14ac:dyDescent="0.3">
      <c r="A7" s="2">
        <v>43837</v>
      </c>
    </row>
    <row r="8" spans="1:1" x14ac:dyDescent="0.3">
      <c r="A8" s="2">
        <v>43838</v>
      </c>
    </row>
    <row r="9" spans="1:1" x14ac:dyDescent="0.3">
      <c r="A9" s="2">
        <v>43839</v>
      </c>
    </row>
    <row r="10" spans="1:1" x14ac:dyDescent="0.3">
      <c r="A10" s="2">
        <v>43840</v>
      </c>
    </row>
    <row r="11" spans="1:1" x14ac:dyDescent="0.3">
      <c r="A11" s="2">
        <v>43841</v>
      </c>
    </row>
    <row r="12" spans="1:1" x14ac:dyDescent="0.3">
      <c r="A12" s="2">
        <v>43842</v>
      </c>
    </row>
    <row r="13" spans="1:1" x14ac:dyDescent="0.3">
      <c r="A13" s="2">
        <v>43843</v>
      </c>
    </row>
    <row r="14" spans="1:1" x14ac:dyDescent="0.3">
      <c r="A14" s="2">
        <v>43844</v>
      </c>
    </row>
    <row r="15" spans="1:1" x14ac:dyDescent="0.3">
      <c r="A15" s="2">
        <v>43845</v>
      </c>
    </row>
    <row r="16" spans="1:1" x14ac:dyDescent="0.3">
      <c r="A16" s="2">
        <v>43846</v>
      </c>
    </row>
    <row r="17" spans="1:1" x14ac:dyDescent="0.3">
      <c r="A17" s="2">
        <v>43847</v>
      </c>
    </row>
    <row r="18" spans="1:1" x14ac:dyDescent="0.3">
      <c r="A18" s="2">
        <v>43848</v>
      </c>
    </row>
    <row r="19" spans="1:1" x14ac:dyDescent="0.3">
      <c r="A19" s="2">
        <v>43849</v>
      </c>
    </row>
    <row r="20" spans="1:1" x14ac:dyDescent="0.3">
      <c r="A20" s="2">
        <v>43850</v>
      </c>
    </row>
    <row r="21" spans="1:1" x14ac:dyDescent="0.3">
      <c r="A21" s="2">
        <v>43851</v>
      </c>
    </row>
    <row r="22" spans="1:1" x14ac:dyDescent="0.3">
      <c r="A22" s="2">
        <v>43852</v>
      </c>
    </row>
    <row r="23" spans="1:1" x14ac:dyDescent="0.3">
      <c r="A23" s="2">
        <v>43853</v>
      </c>
    </row>
    <row r="24" spans="1:1" x14ac:dyDescent="0.3">
      <c r="A24" s="2">
        <v>43854</v>
      </c>
    </row>
    <row r="25" spans="1:1" x14ac:dyDescent="0.3">
      <c r="A25" s="2">
        <v>43855</v>
      </c>
    </row>
    <row r="26" spans="1:1" x14ac:dyDescent="0.3">
      <c r="A26" s="2">
        <v>43856</v>
      </c>
    </row>
    <row r="27" spans="1:1" x14ac:dyDescent="0.3">
      <c r="A27" s="2">
        <v>43857</v>
      </c>
    </row>
    <row r="28" spans="1:1" x14ac:dyDescent="0.3">
      <c r="A28" s="2">
        <v>43858</v>
      </c>
    </row>
    <row r="29" spans="1:1" x14ac:dyDescent="0.3">
      <c r="A29" s="2">
        <v>43859</v>
      </c>
    </row>
    <row r="30" spans="1:1" x14ac:dyDescent="0.3">
      <c r="A30" s="2">
        <v>43860</v>
      </c>
    </row>
    <row r="31" spans="1:1" x14ac:dyDescent="0.3">
      <c r="A31" s="2">
        <v>43861</v>
      </c>
    </row>
    <row r="32" spans="1:1" x14ac:dyDescent="0.3">
      <c r="A32" s="2">
        <v>43862</v>
      </c>
    </row>
    <row r="33" spans="1:1" x14ac:dyDescent="0.3">
      <c r="A33" s="2">
        <v>43863</v>
      </c>
    </row>
    <row r="34" spans="1:1" x14ac:dyDescent="0.3">
      <c r="A34" s="2">
        <v>43864</v>
      </c>
    </row>
    <row r="35" spans="1:1" x14ac:dyDescent="0.3">
      <c r="A35" s="2">
        <v>43865</v>
      </c>
    </row>
    <row r="36" spans="1:1" x14ac:dyDescent="0.3">
      <c r="A36" s="2">
        <v>43866</v>
      </c>
    </row>
    <row r="37" spans="1:1" x14ac:dyDescent="0.3">
      <c r="A37" s="2">
        <v>43867</v>
      </c>
    </row>
    <row r="38" spans="1:1" x14ac:dyDescent="0.3">
      <c r="A38" s="2">
        <v>43868</v>
      </c>
    </row>
    <row r="39" spans="1:1" x14ac:dyDescent="0.3">
      <c r="A39" s="2">
        <v>43869</v>
      </c>
    </row>
    <row r="40" spans="1:1" x14ac:dyDescent="0.3">
      <c r="A40" s="2">
        <v>43870</v>
      </c>
    </row>
    <row r="41" spans="1:1" x14ac:dyDescent="0.3">
      <c r="A41" s="2">
        <v>43871</v>
      </c>
    </row>
    <row r="42" spans="1:1" x14ac:dyDescent="0.3">
      <c r="A42" s="2">
        <v>43872</v>
      </c>
    </row>
    <row r="43" spans="1:1" x14ac:dyDescent="0.3">
      <c r="A43" s="2">
        <v>43873</v>
      </c>
    </row>
    <row r="44" spans="1:1" x14ac:dyDescent="0.3">
      <c r="A44" s="2">
        <v>43874</v>
      </c>
    </row>
    <row r="45" spans="1:1" x14ac:dyDescent="0.3">
      <c r="A45" s="2">
        <v>43875</v>
      </c>
    </row>
    <row r="46" spans="1:1" x14ac:dyDescent="0.3">
      <c r="A46" s="2">
        <v>43876</v>
      </c>
    </row>
    <row r="47" spans="1:1" x14ac:dyDescent="0.3">
      <c r="A47" s="2">
        <v>43877</v>
      </c>
    </row>
    <row r="48" spans="1:1" x14ac:dyDescent="0.3">
      <c r="A48" s="2">
        <v>43878</v>
      </c>
    </row>
    <row r="49" spans="1:1" x14ac:dyDescent="0.3">
      <c r="A49" s="2">
        <v>43879</v>
      </c>
    </row>
    <row r="50" spans="1:1" x14ac:dyDescent="0.3">
      <c r="A50" s="2">
        <v>43880</v>
      </c>
    </row>
    <row r="51" spans="1:1" x14ac:dyDescent="0.3">
      <c r="A51" s="2">
        <v>43881</v>
      </c>
    </row>
    <row r="52" spans="1:1" x14ac:dyDescent="0.3">
      <c r="A52" s="2">
        <v>43882</v>
      </c>
    </row>
    <row r="53" spans="1:1" x14ac:dyDescent="0.3">
      <c r="A53" s="2">
        <v>43883</v>
      </c>
    </row>
    <row r="54" spans="1:1" x14ac:dyDescent="0.3">
      <c r="A54" s="2">
        <v>43884</v>
      </c>
    </row>
    <row r="55" spans="1:1" x14ac:dyDescent="0.3">
      <c r="A55" s="2">
        <v>43885</v>
      </c>
    </row>
    <row r="56" spans="1:1" x14ac:dyDescent="0.3">
      <c r="A56" s="2">
        <v>43886</v>
      </c>
    </row>
    <row r="57" spans="1:1" x14ac:dyDescent="0.3">
      <c r="A57" s="2">
        <v>43887</v>
      </c>
    </row>
    <row r="58" spans="1:1" x14ac:dyDescent="0.3">
      <c r="A58" s="2">
        <v>43888</v>
      </c>
    </row>
    <row r="59" spans="1:1" x14ac:dyDescent="0.3">
      <c r="A59" s="2">
        <v>43889</v>
      </c>
    </row>
    <row r="60" spans="1:1" x14ac:dyDescent="0.3">
      <c r="A60" s="2">
        <v>43890</v>
      </c>
    </row>
    <row r="61" spans="1:1" x14ac:dyDescent="0.3">
      <c r="A61" s="2">
        <v>43891</v>
      </c>
    </row>
    <row r="62" spans="1:1" x14ac:dyDescent="0.3">
      <c r="A62" s="2">
        <v>43892</v>
      </c>
    </row>
    <row r="63" spans="1:1" x14ac:dyDescent="0.3">
      <c r="A63" s="2">
        <v>43893</v>
      </c>
    </row>
    <row r="64" spans="1:1" x14ac:dyDescent="0.3">
      <c r="A64" s="2">
        <v>43894</v>
      </c>
    </row>
    <row r="65" spans="1:1" x14ac:dyDescent="0.3">
      <c r="A65" s="2">
        <v>43895</v>
      </c>
    </row>
    <row r="66" spans="1:1" x14ac:dyDescent="0.3">
      <c r="A66" s="2">
        <v>43896</v>
      </c>
    </row>
    <row r="67" spans="1:1" x14ac:dyDescent="0.3">
      <c r="A67" s="2">
        <v>43897</v>
      </c>
    </row>
    <row r="68" spans="1:1" x14ac:dyDescent="0.3">
      <c r="A68" s="2">
        <v>43898</v>
      </c>
    </row>
    <row r="69" spans="1:1" x14ac:dyDescent="0.3">
      <c r="A69" s="2">
        <v>43899</v>
      </c>
    </row>
    <row r="70" spans="1:1" x14ac:dyDescent="0.3">
      <c r="A70" s="2">
        <v>43900</v>
      </c>
    </row>
    <row r="71" spans="1:1" x14ac:dyDescent="0.3">
      <c r="A71" s="2">
        <v>43901</v>
      </c>
    </row>
    <row r="72" spans="1:1" x14ac:dyDescent="0.3">
      <c r="A72" s="2">
        <v>43902</v>
      </c>
    </row>
    <row r="73" spans="1:1" x14ac:dyDescent="0.3">
      <c r="A73" s="2">
        <v>43903</v>
      </c>
    </row>
    <row r="74" spans="1:1" x14ac:dyDescent="0.3">
      <c r="A74" s="2">
        <v>43904</v>
      </c>
    </row>
    <row r="75" spans="1:1" x14ac:dyDescent="0.3">
      <c r="A75" s="2">
        <v>43905</v>
      </c>
    </row>
    <row r="76" spans="1:1" x14ac:dyDescent="0.3">
      <c r="A76" s="2">
        <v>43906</v>
      </c>
    </row>
    <row r="77" spans="1:1" x14ac:dyDescent="0.3">
      <c r="A77" s="2">
        <v>43907</v>
      </c>
    </row>
    <row r="78" spans="1:1" x14ac:dyDescent="0.3">
      <c r="A78" s="2">
        <v>43908</v>
      </c>
    </row>
    <row r="79" spans="1:1" x14ac:dyDescent="0.3">
      <c r="A79" s="2">
        <v>43909</v>
      </c>
    </row>
    <row r="80" spans="1:1" x14ac:dyDescent="0.3">
      <c r="A80" s="2">
        <v>43910</v>
      </c>
    </row>
    <row r="81" spans="1:1" x14ac:dyDescent="0.3">
      <c r="A81" s="2">
        <v>43911</v>
      </c>
    </row>
    <row r="82" spans="1:1" x14ac:dyDescent="0.3">
      <c r="A82" s="2">
        <v>43912</v>
      </c>
    </row>
    <row r="83" spans="1:1" x14ac:dyDescent="0.3">
      <c r="A83" s="2">
        <v>43913</v>
      </c>
    </row>
    <row r="84" spans="1:1" x14ac:dyDescent="0.3">
      <c r="A84" s="2">
        <v>43914</v>
      </c>
    </row>
    <row r="85" spans="1:1" x14ac:dyDescent="0.3">
      <c r="A85" s="2">
        <v>43915</v>
      </c>
    </row>
    <row r="86" spans="1:1" x14ac:dyDescent="0.3">
      <c r="A86" s="2">
        <v>43916</v>
      </c>
    </row>
    <row r="87" spans="1:1" x14ac:dyDescent="0.3">
      <c r="A87" s="2">
        <v>43917</v>
      </c>
    </row>
    <row r="88" spans="1:1" x14ac:dyDescent="0.3">
      <c r="A88" s="2">
        <v>43918</v>
      </c>
    </row>
    <row r="89" spans="1:1" x14ac:dyDescent="0.3">
      <c r="A89" s="2">
        <v>43919</v>
      </c>
    </row>
    <row r="90" spans="1:1" x14ac:dyDescent="0.3">
      <c r="A90" s="2">
        <v>43920</v>
      </c>
    </row>
    <row r="91" spans="1:1" x14ac:dyDescent="0.3">
      <c r="A91" s="2">
        <v>43921</v>
      </c>
    </row>
    <row r="92" spans="1:1" x14ac:dyDescent="0.3">
      <c r="A92" s="2">
        <v>43922</v>
      </c>
    </row>
    <row r="93" spans="1:1" x14ac:dyDescent="0.3">
      <c r="A93" s="2">
        <v>43923</v>
      </c>
    </row>
    <row r="94" spans="1:1" x14ac:dyDescent="0.3">
      <c r="A94" s="2">
        <v>43924</v>
      </c>
    </row>
    <row r="95" spans="1:1" x14ac:dyDescent="0.3">
      <c r="A95" s="2">
        <v>43925</v>
      </c>
    </row>
    <row r="96" spans="1:1" x14ac:dyDescent="0.3">
      <c r="A96" s="2">
        <v>43926</v>
      </c>
    </row>
    <row r="97" spans="1:1" x14ac:dyDescent="0.3">
      <c r="A97" s="2">
        <v>43927</v>
      </c>
    </row>
    <row r="98" spans="1:1" x14ac:dyDescent="0.3">
      <c r="A98" s="2">
        <v>43928</v>
      </c>
    </row>
    <row r="99" spans="1:1" x14ac:dyDescent="0.3">
      <c r="A99" s="2">
        <v>43929</v>
      </c>
    </row>
    <row r="100" spans="1:1" x14ac:dyDescent="0.3">
      <c r="A100" s="2">
        <v>43930</v>
      </c>
    </row>
    <row r="101" spans="1:1" x14ac:dyDescent="0.3">
      <c r="A101" s="2">
        <v>43931</v>
      </c>
    </row>
    <row r="102" spans="1:1" x14ac:dyDescent="0.3">
      <c r="A102" s="2">
        <v>43932</v>
      </c>
    </row>
    <row r="103" spans="1:1" x14ac:dyDescent="0.3">
      <c r="A103" s="2">
        <v>43933</v>
      </c>
    </row>
    <row r="104" spans="1:1" x14ac:dyDescent="0.3">
      <c r="A104" s="2">
        <v>43934</v>
      </c>
    </row>
    <row r="105" spans="1:1" x14ac:dyDescent="0.3">
      <c r="A105" s="2">
        <v>43935</v>
      </c>
    </row>
    <row r="106" spans="1:1" x14ac:dyDescent="0.3">
      <c r="A106" s="2">
        <v>43936</v>
      </c>
    </row>
    <row r="107" spans="1:1" x14ac:dyDescent="0.3">
      <c r="A107" s="2">
        <v>43937</v>
      </c>
    </row>
    <row r="108" spans="1:1" x14ac:dyDescent="0.3">
      <c r="A108" s="2">
        <v>43938</v>
      </c>
    </row>
    <row r="109" spans="1:1" x14ac:dyDescent="0.3">
      <c r="A109" s="2">
        <v>43939</v>
      </c>
    </row>
    <row r="110" spans="1:1" x14ac:dyDescent="0.3">
      <c r="A110" s="2">
        <v>43940</v>
      </c>
    </row>
    <row r="111" spans="1:1" x14ac:dyDescent="0.3">
      <c r="A111" s="2">
        <v>43941</v>
      </c>
    </row>
    <row r="112" spans="1:1" x14ac:dyDescent="0.3">
      <c r="A112" s="2">
        <v>43942</v>
      </c>
    </row>
    <row r="113" spans="1:1" x14ac:dyDescent="0.3">
      <c r="A113" s="2">
        <v>43943</v>
      </c>
    </row>
    <row r="114" spans="1:1" x14ac:dyDescent="0.3">
      <c r="A114" s="2">
        <v>43944</v>
      </c>
    </row>
    <row r="115" spans="1:1" x14ac:dyDescent="0.3">
      <c r="A115" s="2">
        <v>43945</v>
      </c>
    </row>
    <row r="116" spans="1:1" x14ac:dyDescent="0.3">
      <c r="A116" s="2">
        <v>43946</v>
      </c>
    </row>
    <row r="117" spans="1:1" x14ac:dyDescent="0.3">
      <c r="A117" s="2">
        <v>43947</v>
      </c>
    </row>
    <row r="118" spans="1:1" x14ac:dyDescent="0.3">
      <c r="A118" s="2">
        <v>43948</v>
      </c>
    </row>
    <row r="119" spans="1:1" x14ac:dyDescent="0.3">
      <c r="A119" s="2">
        <v>43949</v>
      </c>
    </row>
    <row r="120" spans="1:1" x14ac:dyDescent="0.3">
      <c r="A120" s="2">
        <v>43950</v>
      </c>
    </row>
    <row r="121" spans="1:1" x14ac:dyDescent="0.3">
      <c r="A121" s="2">
        <v>43951</v>
      </c>
    </row>
    <row r="122" spans="1:1" x14ac:dyDescent="0.3">
      <c r="A122" s="2">
        <v>43952</v>
      </c>
    </row>
    <row r="123" spans="1:1" x14ac:dyDescent="0.3">
      <c r="A123" s="2">
        <v>43953</v>
      </c>
    </row>
    <row r="124" spans="1:1" x14ac:dyDescent="0.3">
      <c r="A124" s="2">
        <v>43954</v>
      </c>
    </row>
    <row r="125" spans="1:1" x14ac:dyDescent="0.3">
      <c r="A125" s="2">
        <v>43955</v>
      </c>
    </row>
    <row r="126" spans="1:1" x14ac:dyDescent="0.3">
      <c r="A126" s="2">
        <v>43956</v>
      </c>
    </row>
    <row r="127" spans="1:1" x14ac:dyDescent="0.3">
      <c r="A127" s="2">
        <v>43957</v>
      </c>
    </row>
    <row r="128" spans="1:1" x14ac:dyDescent="0.3">
      <c r="A128" s="2">
        <v>43958</v>
      </c>
    </row>
    <row r="129" spans="1:1" x14ac:dyDescent="0.3">
      <c r="A129" s="2">
        <v>43959</v>
      </c>
    </row>
    <row r="130" spans="1:1" x14ac:dyDescent="0.3">
      <c r="A130" s="2">
        <v>43960</v>
      </c>
    </row>
    <row r="131" spans="1:1" x14ac:dyDescent="0.3">
      <c r="A131" s="2">
        <v>43961</v>
      </c>
    </row>
    <row r="132" spans="1:1" x14ac:dyDescent="0.3">
      <c r="A132" s="2">
        <v>43962</v>
      </c>
    </row>
    <row r="133" spans="1:1" x14ac:dyDescent="0.3">
      <c r="A133" s="2">
        <v>43963</v>
      </c>
    </row>
    <row r="134" spans="1:1" x14ac:dyDescent="0.3">
      <c r="A134" s="2">
        <v>43964</v>
      </c>
    </row>
    <row r="135" spans="1:1" x14ac:dyDescent="0.3">
      <c r="A135" s="2">
        <v>43965</v>
      </c>
    </row>
    <row r="136" spans="1:1" x14ac:dyDescent="0.3">
      <c r="A136" s="2">
        <v>43966</v>
      </c>
    </row>
    <row r="137" spans="1:1" x14ac:dyDescent="0.3">
      <c r="A137" s="2">
        <v>43967</v>
      </c>
    </row>
    <row r="138" spans="1:1" x14ac:dyDescent="0.3">
      <c r="A138" s="2">
        <v>43968</v>
      </c>
    </row>
    <row r="139" spans="1:1" x14ac:dyDescent="0.3">
      <c r="A139" s="2">
        <v>43969</v>
      </c>
    </row>
    <row r="140" spans="1:1" x14ac:dyDescent="0.3">
      <c r="A140" s="2">
        <v>43970</v>
      </c>
    </row>
    <row r="141" spans="1:1" x14ac:dyDescent="0.3">
      <c r="A141" s="2">
        <v>43971</v>
      </c>
    </row>
    <row r="142" spans="1:1" x14ac:dyDescent="0.3">
      <c r="A142" s="2">
        <v>43972</v>
      </c>
    </row>
    <row r="143" spans="1:1" x14ac:dyDescent="0.3">
      <c r="A143" s="2">
        <v>43973</v>
      </c>
    </row>
    <row r="144" spans="1:1" x14ac:dyDescent="0.3">
      <c r="A144" s="2">
        <v>43974</v>
      </c>
    </row>
    <row r="145" spans="1:1" x14ac:dyDescent="0.3">
      <c r="A145" s="2">
        <v>43975</v>
      </c>
    </row>
    <row r="146" spans="1:1" x14ac:dyDescent="0.3">
      <c r="A146" s="2">
        <v>43976</v>
      </c>
    </row>
    <row r="147" spans="1:1" x14ac:dyDescent="0.3">
      <c r="A147" s="2">
        <v>43977</v>
      </c>
    </row>
    <row r="148" spans="1:1" x14ac:dyDescent="0.3">
      <c r="A148" s="2">
        <v>43978</v>
      </c>
    </row>
    <row r="149" spans="1:1" x14ac:dyDescent="0.3">
      <c r="A149" s="2">
        <v>43979</v>
      </c>
    </row>
    <row r="150" spans="1:1" x14ac:dyDescent="0.3">
      <c r="A150" s="2">
        <v>43980</v>
      </c>
    </row>
    <row r="151" spans="1:1" x14ac:dyDescent="0.3">
      <c r="A151" s="2">
        <v>43981</v>
      </c>
    </row>
    <row r="152" spans="1:1" x14ac:dyDescent="0.3">
      <c r="A152" s="2">
        <v>43982</v>
      </c>
    </row>
    <row r="153" spans="1:1" x14ac:dyDescent="0.3">
      <c r="A153" s="2">
        <v>43983</v>
      </c>
    </row>
    <row r="154" spans="1:1" x14ac:dyDescent="0.3">
      <c r="A154" s="2">
        <v>43984</v>
      </c>
    </row>
    <row r="155" spans="1:1" x14ac:dyDescent="0.3">
      <c r="A155" s="2">
        <v>43985</v>
      </c>
    </row>
    <row r="156" spans="1:1" x14ac:dyDescent="0.3">
      <c r="A156" s="2">
        <v>43986</v>
      </c>
    </row>
    <row r="157" spans="1:1" x14ac:dyDescent="0.3">
      <c r="A157" s="2">
        <v>43987</v>
      </c>
    </row>
    <row r="158" spans="1:1" x14ac:dyDescent="0.3">
      <c r="A158" s="2">
        <v>43988</v>
      </c>
    </row>
    <row r="159" spans="1:1" x14ac:dyDescent="0.3">
      <c r="A159" s="2">
        <v>43989</v>
      </c>
    </row>
    <row r="160" spans="1:1" x14ac:dyDescent="0.3">
      <c r="A160" s="2">
        <v>43990</v>
      </c>
    </row>
    <row r="161" spans="1:1" x14ac:dyDescent="0.3">
      <c r="A161" s="2">
        <v>43991</v>
      </c>
    </row>
    <row r="162" spans="1:1" x14ac:dyDescent="0.3">
      <c r="A162" s="2">
        <v>43992</v>
      </c>
    </row>
    <row r="163" spans="1:1" x14ac:dyDescent="0.3">
      <c r="A163" s="2">
        <v>43993</v>
      </c>
    </row>
    <row r="164" spans="1:1" x14ac:dyDescent="0.3">
      <c r="A164" s="2">
        <v>43994</v>
      </c>
    </row>
    <row r="165" spans="1:1" x14ac:dyDescent="0.3">
      <c r="A165" s="2">
        <v>43995</v>
      </c>
    </row>
    <row r="166" spans="1:1" x14ac:dyDescent="0.3">
      <c r="A166" s="2">
        <v>43996</v>
      </c>
    </row>
    <row r="167" spans="1:1" x14ac:dyDescent="0.3">
      <c r="A167" s="2">
        <v>43997</v>
      </c>
    </row>
    <row r="168" spans="1:1" x14ac:dyDescent="0.3">
      <c r="A168" s="2">
        <v>43998</v>
      </c>
    </row>
    <row r="169" spans="1:1" x14ac:dyDescent="0.3">
      <c r="A169" s="2">
        <v>43999</v>
      </c>
    </row>
    <row r="170" spans="1:1" x14ac:dyDescent="0.3">
      <c r="A170" s="2">
        <v>44000</v>
      </c>
    </row>
    <row r="171" spans="1:1" x14ac:dyDescent="0.3">
      <c r="A171" s="2">
        <v>44001</v>
      </c>
    </row>
    <row r="172" spans="1:1" x14ac:dyDescent="0.3">
      <c r="A172" s="2">
        <v>44002</v>
      </c>
    </row>
    <row r="173" spans="1:1" x14ac:dyDescent="0.3">
      <c r="A173" s="2">
        <v>44003</v>
      </c>
    </row>
    <row r="174" spans="1:1" x14ac:dyDescent="0.3">
      <c r="A174" s="2">
        <v>44004</v>
      </c>
    </row>
    <row r="175" spans="1:1" x14ac:dyDescent="0.3">
      <c r="A175" s="2">
        <v>44005</v>
      </c>
    </row>
    <row r="176" spans="1:1" x14ac:dyDescent="0.3">
      <c r="A176" s="2">
        <v>44006</v>
      </c>
    </row>
    <row r="177" spans="1:1" x14ac:dyDescent="0.3">
      <c r="A177" s="2">
        <v>44007</v>
      </c>
    </row>
    <row r="178" spans="1:1" x14ac:dyDescent="0.3">
      <c r="A178" s="2">
        <v>44008</v>
      </c>
    </row>
    <row r="179" spans="1:1" x14ac:dyDescent="0.3">
      <c r="A179" s="2">
        <v>44009</v>
      </c>
    </row>
    <row r="180" spans="1:1" x14ac:dyDescent="0.3">
      <c r="A180" s="2">
        <v>44010</v>
      </c>
    </row>
    <row r="181" spans="1:1" x14ac:dyDescent="0.3">
      <c r="A181" s="2">
        <v>44011</v>
      </c>
    </row>
    <row r="182" spans="1:1" x14ac:dyDescent="0.3">
      <c r="A182" s="2">
        <v>44012</v>
      </c>
    </row>
    <row r="183" spans="1:1" x14ac:dyDescent="0.3">
      <c r="A183" s="2">
        <v>44013</v>
      </c>
    </row>
    <row r="184" spans="1:1" x14ac:dyDescent="0.3">
      <c r="A184" s="2">
        <v>44014</v>
      </c>
    </row>
    <row r="185" spans="1:1" x14ac:dyDescent="0.3">
      <c r="A185" s="2">
        <v>44015</v>
      </c>
    </row>
    <row r="186" spans="1:1" x14ac:dyDescent="0.3">
      <c r="A186" s="2">
        <v>44016</v>
      </c>
    </row>
    <row r="187" spans="1:1" x14ac:dyDescent="0.3">
      <c r="A187" s="2">
        <v>44017</v>
      </c>
    </row>
    <row r="188" spans="1:1" x14ac:dyDescent="0.3">
      <c r="A188" s="2">
        <v>44018</v>
      </c>
    </row>
    <row r="189" spans="1:1" x14ac:dyDescent="0.3">
      <c r="A189" s="2">
        <v>44019</v>
      </c>
    </row>
    <row r="190" spans="1:1" x14ac:dyDescent="0.3">
      <c r="A190" s="2">
        <v>44020</v>
      </c>
    </row>
    <row r="191" spans="1:1" x14ac:dyDescent="0.3">
      <c r="A191" s="2">
        <v>44021</v>
      </c>
    </row>
    <row r="192" spans="1:1" x14ac:dyDescent="0.3">
      <c r="A192" s="2">
        <v>44022</v>
      </c>
    </row>
    <row r="193" spans="1:1" x14ac:dyDescent="0.3">
      <c r="A193" s="2">
        <v>44023</v>
      </c>
    </row>
    <row r="194" spans="1:1" x14ac:dyDescent="0.3">
      <c r="A194" s="2">
        <v>44024</v>
      </c>
    </row>
    <row r="195" spans="1:1" x14ac:dyDescent="0.3">
      <c r="A195" s="2">
        <v>44025</v>
      </c>
    </row>
    <row r="196" spans="1:1" x14ac:dyDescent="0.3">
      <c r="A196" s="2">
        <v>44026</v>
      </c>
    </row>
    <row r="197" spans="1:1" x14ac:dyDescent="0.3">
      <c r="A197" s="2">
        <v>44027</v>
      </c>
    </row>
    <row r="198" spans="1:1" x14ac:dyDescent="0.3">
      <c r="A198" s="2">
        <v>44028</v>
      </c>
    </row>
    <row r="199" spans="1:1" x14ac:dyDescent="0.3">
      <c r="A199" s="2">
        <v>44029</v>
      </c>
    </row>
    <row r="200" spans="1:1" x14ac:dyDescent="0.3">
      <c r="A200" s="2">
        <v>44030</v>
      </c>
    </row>
    <row r="201" spans="1:1" x14ac:dyDescent="0.3">
      <c r="A201" s="2">
        <v>44031</v>
      </c>
    </row>
    <row r="202" spans="1:1" x14ac:dyDescent="0.3">
      <c r="A202" s="2">
        <v>44032</v>
      </c>
    </row>
    <row r="203" spans="1:1" x14ac:dyDescent="0.3">
      <c r="A203" s="2">
        <v>44033</v>
      </c>
    </row>
    <row r="204" spans="1:1" x14ac:dyDescent="0.3">
      <c r="A204" s="2">
        <v>44034</v>
      </c>
    </row>
    <row r="205" spans="1:1" x14ac:dyDescent="0.3">
      <c r="A205" s="2">
        <v>44035</v>
      </c>
    </row>
    <row r="206" spans="1:1" x14ac:dyDescent="0.3">
      <c r="A206" s="2">
        <v>44036</v>
      </c>
    </row>
    <row r="207" spans="1:1" x14ac:dyDescent="0.3">
      <c r="A207" s="2">
        <v>44037</v>
      </c>
    </row>
    <row r="208" spans="1:1" x14ac:dyDescent="0.3">
      <c r="A208" s="2">
        <v>44038</v>
      </c>
    </row>
    <row r="209" spans="1:1" x14ac:dyDescent="0.3">
      <c r="A209" s="2">
        <v>44039</v>
      </c>
    </row>
    <row r="210" spans="1:1" x14ac:dyDescent="0.3">
      <c r="A210" s="2">
        <v>44040</v>
      </c>
    </row>
    <row r="211" spans="1:1" x14ac:dyDescent="0.3">
      <c r="A211" s="2">
        <v>44041</v>
      </c>
    </row>
    <row r="212" spans="1:1" x14ac:dyDescent="0.3">
      <c r="A212" s="2">
        <v>44042</v>
      </c>
    </row>
    <row r="213" spans="1:1" x14ac:dyDescent="0.3">
      <c r="A213" s="2">
        <v>44043</v>
      </c>
    </row>
    <row r="214" spans="1:1" x14ac:dyDescent="0.3">
      <c r="A214" s="2">
        <v>44044</v>
      </c>
    </row>
    <row r="215" spans="1:1" x14ac:dyDescent="0.3">
      <c r="A215" s="2">
        <v>44045</v>
      </c>
    </row>
    <row r="216" spans="1:1" x14ac:dyDescent="0.3">
      <c r="A216" s="2">
        <v>44046</v>
      </c>
    </row>
    <row r="217" spans="1:1" x14ac:dyDescent="0.3">
      <c r="A217" s="2">
        <v>44047</v>
      </c>
    </row>
    <row r="218" spans="1:1" x14ac:dyDescent="0.3">
      <c r="A218" s="2">
        <v>44048</v>
      </c>
    </row>
    <row r="219" spans="1:1" x14ac:dyDescent="0.3">
      <c r="A219" s="2">
        <v>44049</v>
      </c>
    </row>
    <row r="220" spans="1:1" x14ac:dyDescent="0.3">
      <c r="A220" s="2">
        <v>44050</v>
      </c>
    </row>
    <row r="221" spans="1:1" x14ac:dyDescent="0.3">
      <c r="A221" s="2">
        <v>44051</v>
      </c>
    </row>
    <row r="222" spans="1:1" x14ac:dyDescent="0.3">
      <c r="A222" s="2">
        <v>44052</v>
      </c>
    </row>
    <row r="223" spans="1:1" x14ac:dyDescent="0.3">
      <c r="A223" s="2">
        <v>44053</v>
      </c>
    </row>
    <row r="224" spans="1:1" x14ac:dyDescent="0.3">
      <c r="A224" s="2">
        <v>44054</v>
      </c>
    </row>
    <row r="225" spans="1:1" x14ac:dyDescent="0.3">
      <c r="A225" s="2">
        <v>44055</v>
      </c>
    </row>
    <row r="226" spans="1:1" x14ac:dyDescent="0.3">
      <c r="A226" s="2">
        <v>44056</v>
      </c>
    </row>
    <row r="227" spans="1:1" x14ac:dyDescent="0.3">
      <c r="A227" s="2">
        <v>44057</v>
      </c>
    </row>
    <row r="228" spans="1:1" x14ac:dyDescent="0.3">
      <c r="A228" s="2">
        <v>44058</v>
      </c>
    </row>
    <row r="229" spans="1:1" x14ac:dyDescent="0.3">
      <c r="A229" s="2">
        <v>44059</v>
      </c>
    </row>
    <row r="230" spans="1:1" x14ac:dyDescent="0.3">
      <c r="A230" s="2">
        <v>44060</v>
      </c>
    </row>
    <row r="231" spans="1:1" x14ac:dyDescent="0.3">
      <c r="A231" s="2">
        <v>44061</v>
      </c>
    </row>
    <row r="232" spans="1:1" x14ac:dyDescent="0.3">
      <c r="A232" s="2">
        <v>44062</v>
      </c>
    </row>
    <row r="233" spans="1:1" x14ac:dyDescent="0.3">
      <c r="A233" s="2">
        <v>44063</v>
      </c>
    </row>
    <row r="234" spans="1:1" x14ac:dyDescent="0.3">
      <c r="A234" s="2">
        <v>44064</v>
      </c>
    </row>
    <row r="235" spans="1:1" x14ac:dyDescent="0.3">
      <c r="A235" s="2">
        <v>44065</v>
      </c>
    </row>
    <row r="236" spans="1:1" x14ac:dyDescent="0.3">
      <c r="A236" s="2">
        <v>44066</v>
      </c>
    </row>
    <row r="237" spans="1:1" x14ac:dyDescent="0.3">
      <c r="A237" s="2">
        <v>44067</v>
      </c>
    </row>
    <row r="238" spans="1:1" x14ac:dyDescent="0.3">
      <c r="A238" s="2">
        <v>44068</v>
      </c>
    </row>
    <row r="239" spans="1:1" x14ac:dyDescent="0.3">
      <c r="A239" s="2">
        <v>44069</v>
      </c>
    </row>
    <row r="240" spans="1:1" x14ac:dyDescent="0.3">
      <c r="A240" s="2">
        <v>44070</v>
      </c>
    </row>
    <row r="241" spans="1:1" x14ac:dyDescent="0.3">
      <c r="A241" s="2">
        <v>44071</v>
      </c>
    </row>
    <row r="242" spans="1:1" x14ac:dyDescent="0.3">
      <c r="A242" s="2">
        <v>44072</v>
      </c>
    </row>
    <row r="243" spans="1:1" x14ac:dyDescent="0.3">
      <c r="A243" s="2">
        <v>44073</v>
      </c>
    </row>
    <row r="244" spans="1:1" x14ac:dyDescent="0.3">
      <c r="A244" s="2">
        <v>44074</v>
      </c>
    </row>
    <row r="245" spans="1:1" x14ac:dyDescent="0.3">
      <c r="A245" s="2">
        <v>44075</v>
      </c>
    </row>
    <row r="246" spans="1:1" x14ac:dyDescent="0.3">
      <c r="A246" s="2">
        <v>44076</v>
      </c>
    </row>
    <row r="247" spans="1:1" x14ac:dyDescent="0.3">
      <c r="A247" s="2">
        <v>44077</v>
      </c>
    </row>
    <row r="248" spans="1:1" x14ac:dyDescent="0.3">
      <c r="A248" s="2">
        <v>44078</v>
      </c>
    </row>
    <row r="249" spans="1:1" x14ac:dyDescent="0.3">
      <c r="A249" s="2">
        <v>44079</v>
      </c>
    </row>
    <row r="250" spans="1:1" x14ac:dyDescent="0.3">
      <c r="A250" s="2">
        <v>44080</v>
      </c>
    </row>
    <row r="251" spans="1:1" x14ac:dyDescent="0.3">
      <c r="A251" s="2">
        <v>44081</v>
      </c>
    </row>
    <row r="252" spans="1:1" x14ac:dyDescent="0.3">
      <c r="A252" s="2">
        <v>44082</v>
      </c>
    </row>
    <row r="253" spans="1:1" x14ac:dyDescent="0.3">
      <c r="A253" s="2">
        <v>44083</v>
      </c>
    </row>
    <row r="254" spans="1:1" x14ac:dyDescent="0.3">
      <c r="A254" s="2">
        <v>44084</v>
      </c>
    </row>
    <row r="255" spans="1:1" x14ac:dyDescent="0.3">
      <c r="A255" s="2">
        <v>44085</v>
      </c>
    </row>
    <row r="256" spans="1:1" x14ac:dyDescent="0.3">
      <c r="A256" s="2">
        <v>44086</v>
      </c>
    </row>
    <row r="257" spans="1:1" x14ac:dyDescent="0.3">
      <c r="A257" s="2">
        <v>44087</v>
      </c>
    </row>
    <row r="258" spans="1:1" x14ac:dyDescent="0.3">
      <c r="A258" s="2">
        <v>44088</v>
      </c>
    </row>
    <row r="259" spans="1:1" x14ac:dyDescent="0.3">
      <c r="A259" s="2">
        <v>44089</v>
      </c>
    </row>
    <row r="260" spans="1:1" x14ac:dyDescent="0.3">
      <c r="A260" s="2">
        <v>44090</v>
      </c>
    </row>
    <row r="261" spans="1:1" x14ac:dyDescent="0.3">
      <c r="A261" s="2">
        <v>44091</v>
      </c>
    </row>
    <row r="262" spans="1:1" x14ac:dyDescent="0.3">
      <c r="A262" s="2">
        <v>44092</v>
      </c>
    </row>
    <row r="263" spans="1:1" x14ac:dyDescent="0.3">
      <c r="A263" s="2">
        <v>44093</v>
      </c>
    </row>
    <row r="264" spans="1:1" x14ac:dyDescent="0.3">
      <c r="A264" s="2">
        <v>44094</v>
      </c>
    </row>
    <row r="265" spans="1:1" x14ac:dyDescent="0.3">
      <c r="A265" s="2">
        <v>44095</v>
      </c>
    </row>
    <row r="266" spans="1:1" x14ac:dyDescent="0.3">
      <c r="A266" s="2">
        <v>44096</v>
      </c>
    </row>
    <row r="267" spans="1:1" x14ac:dyDescent="0.3">
      <c r="A267" s="2">
        <v>44097</v>
      </c>
    </row>
    <row r="268" spans="1:1" x14ac:dyDescent="0.3">
      <c r="A268" s="2">
        <v>44098</v>
      </c>
    </row>
    <row r="269" spans="1:1" x14ac:dyDescent="0.3">
      <c r="A269" s="2">
        <v>44099</v>
      </c>
    </row>
    <row r="270" spans="1:1" x14ac:dyDescent="0.3">
      <c r="A270" s="2">
        <v>44100</v>
      </c>
    </row>
    <row r="271" spans="1:1" x14ac:dyDescent="0.3">
      <c r="A271" s="2">
        <v>44101</v>
      </c>
    </row>
    <row r="272" spans="1:1" x14ac:dyDescent="0.3">
      <c r="A272" s="2">
        <v>44102</v>
      </c>
    </row>
    <row r="273" spans="1:1" x14ac:dyDescent="0.3">
      <c r="A273" s="2">
        <v>44103</v>
      </c>
    </row>
    <row r="274" spans="1:1" x14ac:dyDescent="0.3">
      <c r="A274" s="2">
        <v>44104</v>
      </c>
    </row>
    <row r="275" spans="1:1" x14ac:dyDescent="0.3">
      <c r="A275" s="2">
        <v>44105</v>
      </c>
    </row>
    <row r="276" spans="1:1" x14ac:dyDescent="0.3">
      <c r="A276" s="2">
        <v>44106</v>
      </c>
    </row>
    <row r="277" spans="1:1" x14ac:dyDescent="0.3">
      <c r="A277" s="2">
        <v>44107</v>
      </c>
    </row>
    <row r="278" spans="1:1" x14ac:dyDescent="0.3">
      <c r="A278" s="2">
        <v>44108</v>
      </c>
    </row>
    <row r="279" spans="1:1" x14ac:dyDescent="0.3">
      <c r="A279" s="2">
        <v>44109</v>
      </c>
    </row>
    <row r="280" spans="1:1" x14ac:dyDescent="0.3">
      <c r="A280" s="2">
        <v>44110</v>
      </c>
    </row>
    <row r="281" spans="1:1" x14ac:dyDescent="0.3">
      <c r="A281" s="2">
        <v>44111</v>
      </c>
    </row>
    <row r="282" spans="1:1" x14ac:dyDescent="0.3">
      <c r="A282" s="2">
        <v>44112</v>
      </c>
    </row>
    <row r="283" spans="1:1" x14ac:dyDescent="0.3">
      <c r="A283" s="2">
        <v>44113</v>
      </c>
    </row>
    <row r="284" spans="1:1" x14ac:dyDescent="0.3">
      <c r="A284" s="2">
        <v>44114</v>
      </c>
    </row>
    <row r="285" spans="1:1" x14ac:dyDescent="0.3">
      <c r="A285" s="2">
        <v>44115</v>
      </c>
    </row>
    <row r="286" spans="1:1" x14ac:dyDescent="0.3">
      <c r="A286" s="2">
        <v>44116</v>
      </c>
    </row>
    <row r="287" spans="1:1" x14ac:dyDescent="0.3">
      <c r="A287" s="2">
        <v>44117</v>
      </c>
    </row>
    <row r="288" spans="1:1" x14ac:dyDescent="0.3">
      <c r="A288" s="2">
        <v>44118</v>
      </c>
    </row>
    <row r="289" spans="1:1" x14ac:dyDescent="0.3">
      <c r="A289" s="2">
        <v>44119</v>
      </c>
    </row>
    <row r="290" spans="1:1" x14ac:dyDescent="0.3">
      <c r="A290" s="2">
        <v>44120</v>
      </c>
    </row>
    <row r="291" spans="1:1" x14ac:dyDescent="0.3">
      <c r="A291" s="2">
        <v>44121</v>
      </c>
    </row>
    <row r="292" spans="1:1" x14ac:dyDescent="0.3">
      <c r="A292" s="2">
        <v>44122</v>
      </c>
    </row>
    <row r="293" spans="1:1" x14ac:dyDescent="0.3">
      <c r="A293" s="2">
        <v>44123</v>
      </c>
    </row>
    <row r="294" spans="1:1" x14ac:dyDescent="0.3">
      <c r="A294" s="2">
        <v>44124</v>
      </c>
    </row>
    <row r="295" spans="1:1" x14ac:dyDescent="0.3">
      <c r="A295" s="2">
        <v>44125</v>
      </c>
    </row>
    <row r="296" spans="1:1" x14ac:dyDescent="0.3">
      <c r="A296" s="2">
        <v>44126</v>
      </c>
    </row>
    <row r="297" spans="1:1" x14ac:dyDescent="0.3">
      <c r="A297" s="2">
        <v>44127</v>
      </c>
    </row>
    <row r="298" spans="1:1" x14ac:dyDescent="0.3">
      <c r="A298" s="2">
        <v>44128</v>
      </c>
    </row>
    <row r="299" spans="1:1" x14ac:dyDescent="0.3">
      <c r="A299" s="2">
        <v>44129</v>
      </c>
    </row>
    <row r="300" spans="1:1" x14ac:dyDescent="0.3">
      <c r="A300" s="2">
        <v>44130</v>
      </c>
    </row>
    <row r="301" spans="1:1" x14ac:dyDescent="0.3">
      <c r="A301" s="2">
        <v>44131</v>
      </c>
    </row>
    <row r="302" spans="1:1" x14ac:dyDescent="0.3">
      <c r="A302" s="2">
        <v>44132</v>
      </c>
    </row>
    <row r="303" spans="1:1" x14ac:dyDescent="0.3">
      <c r="A303" s="2">
        <v>44133</v>
      </c>
    </row>
    <row r="304" spans="1:1" x14ac:dyDescent="0.3">
      <c r="A304" s="2">
        <v>44134</v>
      </c>
    </row>
    <row r="305" spans="1:1" x14ac:dyDescent="0.3">
      <c r="A305" s="2">
        <v>44135</v>
      </c>
    </row>
    <row r="306" spans="1:1" x14ac:dyDescent="0.3">
      <c r="A306" s="2">
        <v>44136</v>
      </c>
    </row>
    <row r="307" spans="1:1" x14ac:dyDescent="0.3">
      <c r="A307" s="2">
        <v>44137</v>
      </c>
    </row>
    <row r="308" spans="1:1" x14ac:dyDescent="0.3">
      <c r="A308" s="2">
        <v>44138</v>
      </c>
    </row>
    <row r="309" spans="1:1" x14ac:dyDescent="0.3">
      <c r="A309" s="2">
        <v>44139</v>
      </c>
    </row>
    <row r="310" spans="1:1" x14ac:dyDescent="0.3">
      <c r="A310" s="2">
        <v>44140</v>
      </c>
    </row>
    <row r="311" spans="1:1" x14ac:dyDescent="0.3">
      <c r="A311" s="2">
        <v>44141</v>
      </c>
    </row>
    <row r="312" spans="1:1" x14ac:dyDescent="0.3">
      <c r="A312" s="2">
        <v>44142</v>
      </c>
    </row>
    <row r="313" spans="1:1" x14ac:dyDescent="0.3">
      <c r="A313" s="2">
        <v>44143</v>
      </c>
    </row>
    <row r="314" spans="1:1" x14ac:dyDescent="0.3">
      <c r="A314" s="2">
        <v>44144</v>
      </c>
    </row>
    <row r="315" spans="1:1" x14ac:dyDescent="0.3">
      <c r="A315" s="2">
        <v>44145</v>
      </c>
    </row>
    <row r="316" spans="1:1" x14ac:dyDescent="0.3">
      <c r="A316" s="2">
        <v>44146</v>
      </c>
    </row>
    <row r="317" spans="1:1" x14ac:dyDescent="0.3">
      <c r="A317" s="2">
        <v>44147</v>
      </c>
    </row>
    <row r="318" spans="1:1" x14ac:dyDescent="0.3">
      <c r="A318" s="2">
        <v>44148</v>
      </c>
    </row>
    <row r="319" spans="1:1" x14ac:dyDescent="0.3">
      <c r="A319" s="2">
        <v>44149</v>
      </c>
    </row>
    <row r="320" spans="1:1" x14ac:dyDescent="0.3">
      <c r="A320" s="2">
        <v>44150</v>
      </c>
    </row>
    <row r="321" spans="1:1" x14ac:dyDescent="0.3">
      <c r="A321" s="2">
        <v>44151</v>
      </c>
    </row>
    <row r="322" spans="1:1" x14ac:dyDescent="0.3">
      <c r="A322" s="2">
        <v>44152</v>
      </c>
    </row>
    <row r="323" spans="1:1" x14ac:dyDescent="0.3">
      <c r="A323" s="2">
        <v>44153</v>
      </c>
    </row>
    <row r="324" spans="1:1" x14ac:dyDescent="0.3">
      <c r="A324" s="2">
        <v>44154</v>
      </c>
    </row>
    <row r="325" spans="1:1" x14ac:dyDescent="0.3">
      <c r="A325" s="2">
        <v>44155</v>
      </c>
    </row>
    <row r="326" spans="1:1" x14ac:dyDescent="0.3">
      <c r="A326" s="2">
        <v>44156</v>
      </c>
    </row>
    <row r="327" spans="1:1" x14ac:dyDescent="0.3">
      <c r="A327" s="2">
        <v>44157</v>
      </c>
    </row>
    <row r="328" spans="1:1" x14ac:dyDescent="0.3">
      <c r="A328" s="2">
        <v>44158</v>
      </c>
    </row>
    <row r="329" spans="1:1" x14ac:dyDescent="0.3">
      <c r="A329" s="2">
        <v>44159</v>
      </c>
    </row>
    <row r="330" spans="1:1" x14ac:dyDescent="0.3">
      <c r="A330" s="2">
        <v>44160</v>
      </c>
    </row>
    <row r="331" spans="1:1" x14ac:dyDescent="0.3">
      <c r="A331" s="2">
        <v>44161</v>
      </c>
    </row>
    <row r="332" spans="1:1" x14ac:dyDescent="0.3">
      <c r="A332" s="2">
        <v>44162</v>
      </c>
    </row>
    <row r="333" spans="1:1" x14ac:dyDescent="0.3">
      <c r="A333" s="2">
        <v>44163</v>
      </c>
    </row>
    <row r="334" spans="1:1" x14ac:dyDescent="0.3">
      <c r="A334" s="2">
        <v>44164</v>
      </c>
    </row>
    <row r="335" spans="1:1" x14ac:dyDescent="0.3">
      <c r="A335" s="2">
        <v>44165</v>
      </c>
    </row>
    <row r="336" spans="1:1" x14ac:dyDescent="0.3">
      <c r="A336" s="2">
        <v>44166</v>
      </c>
    </row>
    <row r="337" spans="1:1" x14ac:dyDescent="0.3">
      <c r="A337" s="2">
        <v>44167</v>
      </c>
    </row>
    <row r="338" spans="1:1" x14ac:dyDescent="0.3">
      <c r="A338" s="2">
        <v>44168</v>
      </c>
    </row>
    <row r="339" spans="1:1" x14ac:dyDescent="0.3">
      <c r="A339" s="2">
        <v>44169</v>
      </c>
    </row>
    <row r="340" spans="1:1" x14ac:dyDescent="0.3">
      <c r="A340" s="2">
        <v>44170</v>
      </c>
    </row>
    <row r="341" spans="1:1" x14ac:dyDescent="0.3">
      <c r="A341" s="2">
        <v>44171</v>
      </c>
    </row>
    <row r="342" spans="1:1" x14ac:dyDescent="0.3">
      <c r="A342" s="2">
        <v>44172</v>
      </c>
    </row>
    <row r="343" spans="1:1" x14ac:dyDescent="0.3">
      <c r="A343" s="2">
        <v>44173</v>
      </c>
    </row>
    <row r="344" spans="1:1" x14ac:dyDescent="0.3">
      <c r="A344" s="2">
        <v>44174</v>
      </c>
    </row>
    <row r="345" spans="1:1" x14ac:dyDescent="0.3">
      <c r="A345" s="2">
        <v>44175</v>
      </c>
    </row>
    <row r="346" spans="1:1" x14ac:dyDescent="0.3">
      <c r="A346" s="2">
        <v>44176</v>
      </c>
    </row>
    <row r="347" spans="1:1" x14ac:dyDescent="0.3">
      <c r="A347" s="2">
        <v>44177</v>
      </c>
    </row>
    <row r="348" spans="1:1" x14ac:dyDescent="0.3">
      <c r="A348" s="2">
        <v>44178</v>
      </c>
    </row>
    <row r="349" spans="1:1" x14ac:dyDescent="0.3">
      <c r="A349" s="2">
        <v>44179</v>
      </c>
    </row>
    <row r="350" spans="1:1" x14ac:dyDescent="0.3">
      <c r="A350" s="2">
        <v>44180</v>
      </c>
    </row>
    <row r="351" spans="1:1" x14ac:dyDescent="0.3">
      <c r="A351" s="2">
        <v>44181</v>
      </c>
    </row>
    <row r="352" spans="1:1" x14ac:dyDescent="0.3">
      <c r="A352" s="2">
        <v>44182</v>
      </c>
    </row>
    <row r="353" spans="1:1" x14ac:dyDescent="0.3">
      <c r="A353" s="2">
        <v>44183</v>
      </c>
    </row>
    <row r="354" spans="1:1" x14ac:dyDescent="0.3">
      <c r="A354" s="2">
        <v>44184</v>
      </c>
    </row>
    <row r="355" spans="1:1" x14ac:dyDescent="0.3">
      <c r="A355" s="2">
        <v>44185</v>
      </c>
    </row>
    <row r="356" spans="1:1" x14ac:dyDescent="0.3">
      <c r="A356" s="2">
        <v>44186</v>
      </c>
    </row>
    <row r="357" spans="1:1" x14ac:dyDescent="0.3">
      <c r="A357" s="2">
        <v>44187</v>
      </c>
    </row>
    <row r="358" spans="1:1" x14ac:dyDescent="0.3">
      <c r="A358" s="2">
        <v>44188</v>
      </c>
    </row>
    <row r="359" spans="1:1" x14ac:dyDescent="0.3">
      <c r="A359" s="2">
        <v>44189</v>
      </c>
    </row>
    <row r="360" spans="1:1" x14ac:dyDescent="0.3">
      <c r="A360" s="2">
        <v>44190</v>
      </c>
    </row>
    <row r="361" spans="1:1" x14ac:dyDescent="0.3">
      <c r="A361" s="2">
        <v>44191</v>
      </c>
    </row>
    <row r="362" spans="1:1" x14ac:dyDescent="0.3">
      <c r="A362" s="2">
        <v>44192</v>
      </c>
    </row>
    <row r="363" spans="1:1" x14ac:dyDescent="0.3">
      <c r="A363" s="2">
        <v>44193</v>
      </c>
    </row>
    <row r="364" spans="1:1" x14ac:dyDescent="0.3">
      <c r="A364" s="2">
        <v>44194</v>
      </c>
    </row>
    <row r="365" spans="1:1" x14ac:dyDescent="0.3">
      <c r="A365" s="2">
        <v>44195</v>
      </c>
    </row>
    <row r="366" spans="1:1" x14ac:dyDescent="0.3">
      <c r="A366" s="2">
        <v>44196</v>
      </c>
    </row>
  </sheetData>
  <conditionalFormatting sqref="A1:A366">
    <cfRule type="expression" dxfId="3" priority="2">
      <formula>OR(WEEKDAY(A1,2)=6,(WEEKDAY(A1,2)=7))</formula>
    </cfRule>
    <cfRule type="expression" dxfId="2" priority="1">
      <formula>NOT(OR(WEEKDAY(A1,2)=6,(WEEKDAY(A1,2)=7)))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201C-C1A2-4812-BCE9-6863207F17D9}">
  <sheetPr>
    <tabColor rgb="FF92D050"/>
  </sheetPr>
  <dimension ref="A1:G12"/>
  <sheetViews>
    <sheetView workbookViewId="0">
      <selection activeCell="A2" sqref="A2"/>
    </sheetView>
  </sheetViews>
  <sheetFormatPr defaultRowHeight="14.4" x14ac:dyDescent="0.3"/>
  <cols>
    <col min="1" max="1" width="31.21875" bestFit="1" customWidth="1"/>
    <col min="2" max="2" width="10.109375" customWidth="1"/>
    <col min="3" max="3" width="19.109375" bestFit="1" customWidth="1"/>
    <col min="6" max="6" width="10.109375" bestFit="1" customWidth="1"/>
    <col min="7" max="7" width="13" customWidth="1"/>
  </cols>
  <sheetData>
    <row r="1" spans="1:7" x14ac:dyDescent="0.3">
      <c r="A1" t="s">
        <v>210</v>
      </c>
      <c r="B1" s="2"/>
      <c r="F1" s="2">
        <v>44197</v>
      </c>
      <c r="G1" s="2">
        <v>43831</v>
      </c>
    </row>
    <row r="2" spans="1:7" x14ac:dyDescent="0.3">
      <c r="F2" s="2">
        <v>44198</v>
      </c>
      <c r="G2" s="2">
        <v>43832</v>
      </c>
    </row>
    <row r="3" spans="1:7" x14ac:dyDescent="0.3">
      <c r="A3" t="s">
        <v>211</v>
      </c>
      <c r="F3" s="2">
        <v>44199</v>
      </c>
      <c r="G3" s="2">
        <v>43833</v>
      </c>
    </row>
    <row r="4" spans="1:7" x14ac:dyDescent="0.3">
      <c r="F4" s="2">
        <v>44200</v>
      </c>
      <c r="G4" s="2">
        <v>43834</v>
      </c>
    </row>
    <row r="5" spans="1:7" x14ac:dyDescent="0.3">
      <c r="F5" s="2">
        <v>44201</v>
      </c>
      <c r="G5" s="2">
        <v>43835</v>
      </c>
    </row>
    <row r="6" spans="1:7" x14ac:dyDescent="0.3">
      <c r="F6" s="2">
        <v>44202</v>
      </c>
      <c r="G6" s="2">
        <v>43836</v>
      </c>
    </row>
    <row r="7" spans="1:7" x14ac:dyDescent="0.3">
      <c r="F7" s="2">
        <v>44203</v>
      </c>
      <c r="G7" s="2">
        <v>43837</v>
      </c>
    </row>
    <row r="8" spans="1:7" x14ac:dyDescent="0.3">
      <c r="F8" s="2">
        <v>44204</v>
      </c>
      <c r="G8" s="2">
        <v>43838</v>
      </c>
    </row>
    <row r="9" spans="1:7" x14ac:dyDescent="0.3">
      <c r="F9" s="2">
        <v>44205</v>
      </c>
      <c r="G9" s="2">
        <v>43839</v>
      </c>
    </row>
    <row r="10" spans="1:7" x14ac:dyDescent="0.3">
      <c r="F10" s="2">
        <v>44206</v>
      </c>
      <c r="G10" s="2">
        <v>43840</v>
      </c>
    </row>
    <row r="11" spans="1:7" x14ac:dyDescent="0.3">
      <c r="F11" s="2"/>
      <c r="G11" s="2">
        <v>43899</v>
      </c>
    </row>
    <row r="12" spans="1:7" x14ac:dyDescent="0.3">
      <c r="G12" s="2">
        <v>43885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B51E-4BFF-4DC2-8D60-2A4DC4330296}">
  <dimension ref="A1:H3"/>
  <sheetViews>
    <sheetView workbookViewId="0">
      <selection activeCell="H2" sqref="H2"/>
    </sheetView>
  </sheetViews>
  <sheetFormatPr defaultRowHeight="14.4" x14ac:dyDescent="0.3"/>
  <cols>
    <col min="1" max="1" width="24.109375" customWidth="1"/>
    <col min="2" max="2" width="28.109375" bestFit="1" customWidth="1"/>
    <col min="3" max="4" width="24.109375" customWidth="1"/>
    <col min="5" max="5" width="14.21875" customWidth="1"/>
    <col min="6" max="6" width="17.88671875" customWidth="1"/>
    <col min="8" max="8" width="10.109375" bestFit="1" customWidth="1"/>
  </cols>
  <sheetData>
    <row r="1" spans="1:8" x14ac:dyDescent="0.3">
      <c r="A1" s="9" t="s">
        <v>162</v>
      </c>
      <c r="B1" s="9" t="s">
        <v>163</v>
      </c>
      <c r="C1" s="9" t="s">
        <v>164</v>
      </c>
      <c r="D1" s="9" t="s">
        <v>165</v>
      </c>
      <c r="F1" s="9" t="s">
        <v>161</v>
      </c>
      <c r="H1" s="9" t="s">
        <v>199</v>
      </c>
    </row>
    <row r="2" spans="1:8" x14ac:dyDescent="0.3">
      <c r="A2" s="3">
        <v>15500000</v>
      </c>
      <c r="B2" s="1"/>
      <c r="C2" s="1">
        <v>14534242.3333333</v>
      </c>
      <c r="D2" s="1"/>
      <c r="F2" s="2">
        <v>43899</v>
      </c>
      <c r="H2" s="20"/>
    </row>
    <row r="3" spans="1:8" x14ac:dyDescent="0.3">
      <c r="B3" s="1"/>
      <c r="F3" s="2">
        <v>43885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Текущая дата и форматы</vt:lpstr>
      <vt:lpstr>Даты как числа</vt:lpstr>
      <vt:lpstr>Расписание</vt:lpstr>
      <vt:lpstr>РАЗНДАТ</vt:lpstr>
      <vt:lpstr>Сделки</vt:lpstr>
      <vt:lpstr>СводнаяСделки</vt:lpstr>
      <vt:lpstr>Данные по проектам</vt:lpstr>
      <vt:lpstr>Сводная_ДанныеПоПроектам</vt:lpstr>
      <vt:lpstr>Начало тек недели</vt:lpstr>
      <vt:lpstr>Усл формат выходных</vt:lpstr>
      <vt:lpstr>Рабочие дни</vt:lpstr>
      <vt:lpstr>Выполнение плана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2023-12-07T14:52:19Z</dcterms:modified>
</cp:coreProperties>
</file>