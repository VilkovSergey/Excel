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"/>
    </mc:Choice>
  </mc:AlternateContent>
  <xr:revisionPtr revIDLastSave="0" documentId="8_{EB545702-B84D-4177-B06F-1E2DD190C480}" xr6:coauthVersionLast="47" xr6:coauthVersionMax="47" xr10:uidLastSave="{00000000-0000-0000-0000-000000000000}"/>
  <bookViews>
    <workbookView xWindow="-96" yWindow="-96" windowWidth="23232" windowHeight="12432" xr2:uid="{0A95A732-5BCA-444D-8815-7F37AC8A3610}"/>
  </bookViews>
  <sheets>
    <sheet name="Задание 1" sheetId="3" r:id="rId1"/>
    <sheet name="Задание 2" sheetId="15" r:id="rId2"/>
    <sheet name="Задание 3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6" l="1"/>
  <c r="B15" i="16"/>
  <c r="C14" i="16"/>
  <c r="B14" i="16"/>
  <c r="C12" i="16"/>
  <c r="B12" i="16"/>
  <c r="C13" i="16"/>
  <c r="B13" i="16"/>
  <c r="C11" i="16"/>
  <c r="B11" i="16"/>
  <c r="C10" i="16"/>
  <c r="B10" i="16"/>
  <c r="C9" i="16"/>
  <c r="B9" i="16"/>
  <c r="C8" i="16"/>
  <c r="B8" i="16"/>
  <c r="C7" i="16"/>
  <c r="B7" i="16"/>
  <c r="C6" i="16"/>
  <c r="B6" i="16"/>
  <c r="C5" i="16"/>
  <c r="B5" i="16"/>
  <c r="C4" i="16"/>
  <c r="B4" i="16"/>
  <c r="C2" i="16"/>
  <c r="C3" i="16"/>
  <c r="B3" i="16"/>
  <c r="B2" i="16" l="1"/>
</calcChain>
</file>

<file path=xl/sharedStrings.xml><?xml version="1.0" encoding="utf-8"?>
<sst xmlns="http://schemas.openxmlformats.org/spreadsheetml/2006/main" count="92" uniqueCount="64">
  <si>
    <t>Имя и фамилия</t>
  </si>
  <si>
    <t>Дата выхода на работу</t>
  </si>
  <si>
    <t>Дата рождения</t>
  </si>
  <si>
    <t>Должность</t>
  </si>
  <si>
    <t>Режим</t>
  </si>
  <si>
    <t>Оклад</t>
  </si>
  <si>
    <t>Обухов Вацлав</t>
  </si>
  <si>
    <t>Генеральный директор</t>
  </si>
  <si>
    <t>Офис</t>
  </si>
  <si>
    <t>Каверин Георгий</t>
  </si>
  <si>
    <t>Офис-менеджер</t>
  </si>
  <si>
    <t>Грибоедов Никанор</t>
  </si>
  <si>
    <t>PR-менеджер</t>
  </si>
  <si>
    <t>Удаленка</t>
  </si>
  <si>
    <t>Бендлин Наум</t>
  </si>
  <si>
    <t>SMM-менеджер</t>
  </si>
  <si>
    <t>Кудряшов Родион</t>
  </si>
  <si>
    <t>Главный бухгалтер</t>
  </si>
  <si>
    <t>Казьмина Агния</t>
  </si>
  <si>
    <t>Хромченко Эльвира</t>
  </si>
  <si>
    <t>Дизайнер</t>
  </si>
  <si>
    <t>Нюхтилина Эмма</t>
  </si>
  <si>
    <t>Месяц Наум</t>
  </si>
  <si>
    <t>Редактор</t>
  </si>
  <si>
    <t>Радченко Светлана</t>
  </si>
  <si>
    <t>Фламин Аким</t>
  </si>
  <si>
    <t>Колесникова Фаина</t>
  </si>
  <si>
    <t>Копирайтер</t>
  </si>
  <si>
    <t>Гоминова Полина</t>
  </si>
  <si>
    <t>Феднова Елизавета</t>
  </si>
  <si>
    <t>Программист</t>
  </si>
  <si>
    <t>Богун Ярослав</t>
  </si>
  <si>
    <t>Талызина Ева</t>
  </si>
  <si>
    <t>Базарова Светлана</t>
  </si>
  <si>
    <t>Тестировшик</t>
  </si>
  <si>
    <t>Косицкий Мартын</t>
  </si>
  <si>
    <t>Камалова Регина</t>
  </si>
  <si>
    <t>Эвентова Элеонора</t>
  </si>
  <si>
    <t>Продукт</t>
  </si>
  <si>
    <t>Бумага</t>
  </si>
  <si>
    <t>Канцелярские товары</t>
  </si>
  <si>
    <t>Упаковка</t>
  </si>
  <si>
    <t>Посуда</t>
  </si>
  <si>
    <t>Техника</t>
  </si>
  <si>
    <t>Папки и файлы</t>
  </si>
  <si>
    <t>Флипчарты</t>
  </si>
  <si>
    <t>Кабели и переходники</t>
  </si>
  <si>
    <t>Дата начала</t>
  </si>
  <si>
    <t>Дата окончания</t>
  </si>
  <si>
    <t>Проект</t>
  </si>
  <si>
    <t>Проект 1</t>
  </si>
  <si>
    <t>Проект 2</t>
  </si>
  <si>
    <t>Проект 3</t>
  </si>
  <si>
    <t>Проект 4</t>
  </si>
  <si>
    <t>Проект 5</t>
  </si>
  <si>
    <t>Проект 6</t>
  </si>
  <si>
    <t>Проект 7</t>
  </si>
  <si>
    <t>Проект 8</t>
  </si>
  <si>
    <t>Проект 9</t>
  </si>
  <si>
    <t>Проект 10</t>
  </si>
  <si>
    <t>Проект 11</t>
  </si>
  <si>
    <t>Проект 12</t>
  </si>
  <si>
    <t>Проект 13</t>
  </si>
  <si>
    <t>Проект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</si>
</sst>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[$₽-419]_-;\-* #,##0\ [$₽-419]_-;_-* &quot;-&quot;??\ [$₽-419]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1" xfId="1" applyAlignment="1">
      <alignment horizontal="center" vertical="center"/>
    </xf>
    <xf numFmtId="0" fontId="2" fillId="0" borderId="1" xfId="1" applyAlignment="1">
      <alignment horizontal="center" vertical="center" wrapText="1"/>
    </xf>
    <xf numFmtId="164" fontId="0" fillId="0" borderId="0" xfId="2" applyNumberFormat="1" applyFont="1"/>
    <xf numFmtId="0" fontId="2" fillId="0" borderId="1" xfId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Денежный" xfId="2" builtinId="4"/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173355</xdr:colOff>
      <xdr:row>1</xdr:row>
      <xdr:rowOff>152399</xdr:rowOff>
    </xdr:from>
    <xdr:ext cx="5610225" cy="158877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0489A7-B092-4DB2-A68B-4A1ED0CA61C4}"/>
            </a:ext>
          </a:extLst>
        </xdr:cNvPr>
        <xdr:cNvSpPr txBox="1"/>
      </xdr:nvSpPr>
      <xdr:spPr>
        <a:xfrm>
          <a:off x="7762875" y="339089"/>
          <a:ext cx="5610225" cy="158877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12. Условное форматирование с применением формул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1.</a:t>
          </a:r>
          <a:r>
            <a:rPr lang="ru-RU" sz="1100" b="1" baseline="0"/>
            <a:t> </a:t>
          </a:r>
          <a:r>
            <a:rPr lang="ru-RU" sz="1100" b="0" baseline="0"/>
            <a:t>Создайте правило условного форматирования, выделяющее голубым цветом все ячейки в строках с режимом «Офис».</a:t>
          </a:r>
          <a:endParaRPr lang="ru-RU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365760</xdr:colOff>
      <xdr:row>1</xdr:row>
      <xdr:rowOff>0</xdr:rowOff>
    </xdr:from>
    <xdr:ext cx="5610225" cy="158877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810410-1497-456E-9B2B-08CEE8F3C421}"/>
            </a:ext>
          </a:extLst>
        </xdr:cNvPr>
        <xdr:cNvSpPr txBox="1"/>
      </xdr:nvSpPr>
      <xdr:spPr>
        <a:xfrm>
          <a:off x="4354830" y="186690"/>
          <a:ext cx="5610225" cy="158877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12. Условное форматирование с применением формул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2.</a:t>
          </a:r>
          <a:r>
            <a:rPr lang="ru-RU" sz="1100" b="1" baseline="0"/>
            <a:t> </a:t>
          </a:r>
          <a:r>
            <a:rPr lang="ru-RU" sz="1100" b="0" baseline="0"/>
            <a:t> Создайте правило условного форматирования для автоматического выделения категорий продуктов со снижением продаж в 2021 году (красным цветом должны выделяться только категории в столбце </a:t>
          </a:r>
          <a:r>
            <a:rPr lang="en-US" sz="1100" b="0" baseline="0"/>
            <a:t>A).</a:t>
          </a:r>
          <a:endParaRPr lang="ru-RU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361950</xdr:colOff>
      <xdr:row>1</xdr:row>
      <xdr:rowOff>171450</xdr:rowOff>
    </xdr:from>
    <xdr:ext cx="5610225" cy="18097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19BE6D-7DF6-40CB-942A-9B78B40A78F7}"/>
            </a:ext>
          </a:extLst>
        </xdr:cNvPr>
        <xdr:cNvSpPr txBox="1"/>
      </xdr:nvSpPr>
      <xdr:spPr>
        <a:xfrm>
          <a:off x="4568190" y="358140"/>
          <a:ext cx="5610225" cy="180975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12. Условное форматирование с применением формул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3.</a:t>
          </a:r>
          <a:r>
            <a:rPr lang="ru-RU" sz="1100" b="1" baseline="0"/>
            <a:t> </a:t>
          </a:r>
          <a:r>
            <a:rPr lang="ru-RU" sz="1100" b="0" baseline="0"/>
            <a:t>Создайте правило условного форматирования, которое будет выделять синим цветом те проекты, которые ещё идут (в текущий момент), и зелёным цветом — те, которые уже закончились (к текущему моменту). При этом проекты, которые ещё не начались, должны остаться неокрашенными.</a:t>
          </a:r>
          <a:endParaRPr lang="ru-RU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0A4-173F-4BCB-ADDA-F60432261DD4}">
  <dimension ref="A1:F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7.41796875" bestFit="1" customWidth="1"/>
    <col min="2" max="2" width="20.15625" bestFit="1" customWidth="1"/>
    <col min="3" max="3" width="15.41796875" bestFit="1" customWidth="1"/>
    <col min="4" max="4" width="22.83984375" bestFit="1" customWidth="1"/>
    <col min="5" max="5" width="9.68359375" bestFit="1" customWidth="1"/>
    <col min="6" max="6" width="10.41796875" bestFit="1" customWidth="1"/>
  </cols>
  <sheetData>
    <row r="1" spans="1:6" ht="14.7" thickBot="1" x14ac:dyDescent="0.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t="s">
        <v>6</v>
      </c>
      <c r="B2" s="1">
        <v>43767</v>
      </c>
      <c r="C2" s="1">
        <v>26089</v>
      </c>
      <c r="D2" t="s">
        <v>7</v>
      </c>
      <c r="E2" t="s">
        <v>8</v>
      </c>
      <c r="F2" s="4">
        <v>100000</v>
      </c>
    </row>
    <row r="3" spans="1:6" x14ac:dyDescent="0.55000000000000004">
      <c r="A3" t="s">
        <v>9</v>
      </c>
      <c r="B3" s="1">
        <v>42665</v>
      </c>
      <c r="C3" s="1">
        <v>23230</v>
      </c>
      <c r="D3" t="s">
        <v>10</v>
      </c>
      <c r="E3" t="s">
        <v>8</v>
      </c>
      <c r="F3" s="4">
        <v>60000</v>
      </c>
    </row>
    <row r="4" spans="1:6" x14ac:dyDescent="0.55000000000000004">
      <c r="A4" t="s">
        <v>11</v>
      </c>
      <c r="B4" s="1">
        <v>43661</v>
      </c>
      <c r="C4" s="1">
        <v>34326</v>
      </c>
      <c r="D4" t="s">
        <v>12</v>
      </c>
      <c r="E4" t="s">
        <v>13</v>
      </c>
      <c r="F4" s="4">
        <v>50000</v>
      </c>
    </row>
    <row r="5" spans="1:6" x14ac:dyDescent="0.55000000000000004">
      <c r="A5" t="s">
        <v>14</v>
      </c>
      <c r="B5" s="1">
        <v>42980</v>
      </c>
      <c r="C5" s="1">
        <v>33929</v>
      </c>
      <c r="D5" t="s">
        <v>15</v>
      </c>
      <c r="E5" t="s">
        <v>13</v>
      </c>
      <c r="F5" s="4">
        <v>45000</v>
      </c>
    </row>
    <row r="6" spans="1:6" x14ac:dyDescent="0.55000000000000004">
      <c r="A6" t="s">
        <v>16</v>
      </c>
      <c r="B6" s="1">
        <v>43868</v>
      </c>
      <c r="C6" s="1">
        <v>26119</v>
      </c>
      <c r="D6" t="s">
        <v>17</v>
      </c>
      <c r="E6" t="s">
        <v>8</v>
      </c>
      <c r="F6" s="4">
        <v>80000</v>
      </c>
    </row>
    <row r="7" spans="1:6" x14ac:dyDescent="0.55000000000000004">
      <c r="A7" t="s">
        <v>18</v>
      </c>
      <c r="B7" s="1">
        <v>43882</v>
      </c>
      <c r="C7" s="1">
        <v>34516</v>
      </c>
      <c r="D7" t="s">
        <v>15</v>
      </c>
      <c r="E7" t="s">
        <v>13</v>
      </c>
      <c r="F7" s="4">
        <v>45000</v>
      </c>
    </row>
    <row r="8" spans="1:6" x14ac:dyDescent="0.55000000000000004">
      <c r="A8" t="s">
        <v>19</v>
      </c>
      <c r="B8" s="1">
        <v>41569</v>
      </c>
      <c r="C8" s="1">
        <v>26461</v>
      </c>
      <c r="D8" t="s">
        <v>20</v>
      </c>
      <c r="E8" t="s">
        <v>8</v>
      </c>
      <c r="F8" s="4">
        <v>60000</v>
      </c>
    </row>
    <row r="9" spans="1:6" x14ac:dyDescent="0.55000000000000004">
      <c r="A9" t="s">
        <v>21</v>
      </c>
      <c r="B9" s="1">
        <v>41953</v>
      </c>
      <c r="C9" s="1">
        <v>36192</v>
      </c>
      <c r="D9" t="s">
        <v>20</v>
      </c>
      <c r="E9" t="s">
        <v>13</v>
      </c>
      <c r="F9" s="4">
        <v>60000</v>
      </c>
    </row>
    <row r="10" spans="1:6" x14ac:dyDescent="0.55000000000000004">
      <c r="A10" t="s">
        <v>22</v>
      </c>
      <c r="B10" s="1">
        <v>43511</v>
      </c>
      <c r="C10" s="1">
        <v>26547</v>
      </c>
      <c r="D10" t="s">
        <v>23</v>
      </c>
      <c r="E10" t="s">
        <v>8</v>
      </c>
      <c r="F10" s="4">
        <v>50000</v>
      </c>
    </row>
    <row r="11" spans="1:6" x14ac:dyDescent="0.55000000000000004">
      <c r="A11" t="s">
        <v>24</v>
      </c>
      <c r="B11" s="1">
        <v>42571</v>
      </c>
      <c r="C11" s="1">
        <v>34026</v>
      </c>
      <c r="D11" t="s">
        <v>15</v>
      </c>
      <c r="E11" t="s">
        <v>13</v>
      </c>
      <c r="F11" s="4">
        <v>45000</v>
      </c>
    </row>
    <row r="12" spans="1:6" x14ac:dyDescent="0.55000000000000004">
      <c r="A12" t="s">
        <v>25</v>
      </c>
      <c r="B12" s="1">
        <v>42869</v>
      </c>
      <c r="C12" s="1">
        <v>32422</v>
      </c>
      <c r="D12" t="s">
        <v>20</v>
      </c>
      <c r="E12" t="s">
        <v>8</v>
      </c>
      <c r="F12" s="4">
        <v>60000</v>
      </c>
    </row>
    <row r="13" spans="1:6" x14ac:dyDescent="0.55000000000000004">
      <c r="A13" t="s">
        <v>26</v>
      </c>
      <c r="B13" s="1">
        <v>43315</v>
      </c>
      <c r="C13" s="1">
        <v>23489</v>
      </c>
      <c r="D13" t="s">
        <v>27</v>
      </c>
      <c r="E13" t="s">
        <v>8</v>
      </c>
      <c r="F13" s="4">
        <v>30000</v>
      </c>
    </row>
    <row r="14" spans="1:6" x14ac:dyDescent="0.55000000000000004">
      <c r="A14" t="s">
        <v>28</v>
      </c>
      <c r="B14" s="1">
        <v>43881</v>
      </c>
      <c r="C14" s="1">
        <v>35644</v>
      </c>
      <c r="D14" t="s">
        <v>20</v>
      </c>
      <c r="E14" t="s">
        <v>8</v>
      </c>
      <c r="F14" s="4">
        <v>60000</v>
      </c>
    </row>
    <row r="15" spans="1:6" x14ac:dyDescent="0.55000000000000004">
      <c r="A15" t="s">
        <v>29</v>
      </c>
      <c r="B15" s="1">
        <v>43628</v>
      </c>
      <c r="C15" s="1">
        <v>29419</v>
      </c>
      <c r="D15" t="s">
        <v>30</v>
      </c>
      <c r="E15" t="s">
        <v>13</v>
      </c>
      <c r="F15" s="4">
        <v>70000</v>
      </c>
    </row>
    <row r="16" spans="1:6" x14ac:dyDescent="0.55000000000000004">
      <c r="A16" t="s">
        <v>31</v>
      </c>
      <c r="B16" s="1">
        <v>43956</v>
      </c>
      <c r="C16" s="1">
        <v>30024</v>
      </c>
      <c r="D16" t="s">
        <v>30</v>
      </c>
      <c r="E16" t="s">
        <v>13</v>
      </c>
      <c r="F16" s="4">
        <v>70000</v>
      </c>
    </row>
    <row r="17" spans="1:6" x14ac:dyDescent="0.55000000000000004">
      <c r="A17" t="s">
        <v>32</v>
      </c>
      <c r="B17" s="1">
        <v>44138</v>
      </c>
      <c r="C17" s="1">
        <v>24182</v>
      </c>
      <c r="D17" t="s">
        <v>27</v>
      </c>
      <c r="E17" t="s">
        <v>13</v>
      </c>
      <c r="F17" s="4">
        <v>30000</v>
      </c>
    </row>
    <row r="18" spans="1:6" x14ac:dyDescent="0.55000000000000004">
      <c r="A18" t="s">
        <v>33</v>
      </c>
      <c r="B18" s="1">
        <v>42376</v>
      </c>
      <c r="C18" s="1">
        <v>32115</v>
      </c>
      <c r="D18" t="s">
        <v>34</v>
      </c>
      <c r="E18" t="s">
        <v>13</v>
      </c>
      <c r="F18" s="4">
        <v>65000</v>
      </c>
    </row>
    <row r="19" spans="1:6" x14ac:dyDescent="0.55000000000000004">
      <c r="A19" t="s">
        <v>35</v>
      </c>
      <c r="B19" s="1">
        <v>42695</v>
      </c>
      <c r="C19" s="1">
        <v>30433</v>
      </c>
      <c r="D19" t="s">
        <v>20</v>
      </c>
      <c r="E19" t="s">
        <v>13</v>
      </c>
      <c r="F19" s="4">
        <v>60000</v>
      </c>
    </row>
    <row r="20" spans="1:6" x14ac:dyDescent="0.55000000000000004">
      <c r="A20" t="s">
        <v>36</v>
      </c>
      <c r="B20" s="1">
        <v>41287</v>
      </c>
      <c r="C20" s="1">
        <v>29236</v>
      </c>
      <c r="D20" t="s">
        <v>23</v>
      </c>
      <c r="E20" t="s">
        <v>8</v>
      </c>
      <c r="F20" s="4">
        <v>50000</v>
      </c>
    </row>
    <row r="21" spans="1:6" x14ac:dyDescent="0.55000000000000004">
      <c r="A21" t="s">
        <v>37</v>
      </c>
      <c r="B21" s="1">
        <v>43184</v>
      </c>
      <c r="C21" s="1">
        <v>32298</v>
      </c>
      <c r="D21" t="s">
        <v>23</v>
      </c>
      <c r="E21" t="s">
        <v>8</v>
      </c>
      <c r="F21" s="4">
        <v>50000</v>
      </c>
    </row>
    <row r="23" spans="1:6" x14ac:dyDescent="0.55000000000000004">
      <c r="B23" s="1"/>
    </row>
    <row r="24" spans="1:6" x14ac:dyDescent="0.55000000000000004">
      <c r="B24" s="1"/>
    </row>
    <row r="25" spans="1:6" x14ac:dyDescent="0.55000000000000004">
      <c r="B25" s="1"/>
    </row>
    <row r="28" spans="1:6" x14ac:dyDescent="0.55000000000000004">
      <c r="B28" s="1"/>
    </row>
    <row r="30" spans="1:6" x14ac:dyDescent="0.55000000000000004">
      <c r="B3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E679-7459-42D1-92BF-BC49B9FC7C09}">
  <dimension ref="A1:C9"/>
  <sheetViews>
    <sheetView workbookViewId="0"/>
  </sheetViews>
  <sheetFormatPr defaultRowHeight="14.4" x14ac:dyDescent="0.55000000000000004"/>
  <cols>
    <col min="1" max="1" width="19.68359375" customWidth="1"/>
  </cols>
  <sheetData>
    <row r="1" spans="1:3" ht="14.7" thickBot="1" x14ac:dyDescent="0.6">
      <c r="A1" s="5" t="s">
        <v>38</v>
      </c>
      <c r="B1" s="5">
        <v>2020</v>
      </c>
      <c r="C1" s="5">
        <v>2021</v>
      </c>
    </row>
    <row r="2" spans="1:3" x14ac:dyDescent="0.55000000000000004">
      <c r="A2" t="s">
        <v>39</v>
      </c>
      <c r="B2">
        <v>1553</v>
      </c>
      <c r="C2">
        <v>1071</v>
      </c>
    </row>
    <row r="3" spans="1:3" x14ac:dyDescent="0.55000000000000004">
      <c r="A3" t="s">
        <v>40</v>
      </c>
      <c r="B3">
        <v>1559</v>
      </c>
      <c r="C3">
        <v>1861</v>
      </c>
    </row>
    <row r="4" spans="1:3" x14ac:dyDescent="0.55000000000000004">
      <c r="A4" t="s">
        <v>41</v>
      </c>
      <c r="B4">
        <v>1054</v>
      </c>
      <c r="C4">
        <v>1976</v>
      </c>
    </row>
    <row r="5" spans="1:3" x14ac:dyDescent="0.55000000000000004">
      <c r="A5" t="s">
        <v>42</v>
      </c>
      <c r="B5">
        <v>1694</v>
      </c>
      <c r="C5">
        <v>1163</v>
      </c>
    </row>
    <row r="6" spans="1:3" x14ac:dyDescent="0.55000000000000004">
      <c r="A6" t="s">
        <v>43</v>
      </c>
      <c r="B6">
        <v>1917</v>
      </c>
      <c r="C6">
        <v>1602</v>
      </c>
    </row>
    <row r="7" spans="1:3" x14ac:dyDescent="0.55000000000000004">
      <c r="A7" t="s">
        <v>44</v>
      </c>
      <c r="B7">
        <v>1276</v>
      </c>
      <c r="C7">
        <v>1228</v>
      </c>
    </row>
    <row r="8" spans="1:3" x14ac:dyDescent="0.55000000000000004">
      <c r="A8" t="s">
        <v>45</v>
      </c>
      <c r="B8">
        <v>1475</v>
      </c>
      <c r="C8">
        <v>1730</v>
      </c>
    </row>
    <row r="9" spans="1:3" x14ac:dyDescent="0.55000000000000004">
      <c r="A9" t="s">
        <v>46</v>
      </c>
      <c r="B9">
        <v>1505</v>
      </c>
      <c r="C9">
        <v>1546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CF1D-A457-4A37-A9B2-882C117DDD91}">
  <dimension ref="A1:C21"/>
  <sheetViews>
    <sheetView workbookViewId="0"/>
  </sheetViews>
  <sheetFormatPr defaultRowHeight="14.4" x14ac:dyDescent="0.55000000000000004"/>
  <cols>
    <col min="1" max="1" width="10.41796875" customWidth="1"/>
    <col min="2" max="2" width="14.41796875" customWidth="1"/>
    <col min="3" max="3" width="15.578125" customWidth="1"/>
  </cols>
  <sheetData>
    <row r="1" spans="1:3" ht="14.7" thickBot="1" x14ac:dyDescent="0.6">
      <c r="A1" s="5" t="s">
        <v>49</v>
      </c>
      <c r="B1" s="5" t="s">
        <v>47</v>
      </c>
      <c r="C1" s="5" t="s">
        <v>48</v>
      </c>
    </row>
    <row r="2" spans="1:3" x14ac:dyDescent="0.55000000000000004">
      <c r="A2" t="s">
        <v>50</v>
      </c>
      <c r="B2" s="6">
        <f ca="1">DATE(YEAR(TODAY()),1,12)</f>
        <v>44573</v>
      </c>
      <c r="C2" s="6">
        <f ca="1">DATE(YEAR(TODAY()),1,23)</f>
        <v>44584</v>
      </c>
    </row>
    <row r="3" spans="1:3" x14ac:dyDescent="0.55000000000000004">
      <c r="A3" t="s">
        <v>51</v>
      </c>
      <c r="B3" s="6">
        <f ca="1">DATE(YEAR(TODAY()),2,1)</f>
        <v>44593</v>
      </c>
      <c r="C3" s="6">
        <f ca="1">DATE(YEAR(TODAY()),2,27)</f>
        <v>44619</v>
      </c>
    </row>
    <row r="4" spans="1:3" x14ac:dyDescent="0.55000000000000004">
      <c r="A4" t="s">
        <v>52</v>
      </c>
      <c r="B4" s="6">
        <f ca="1">DATE(YEAR(TODAY()),3,5)</f>
        <v>44625</v>
      </c>
      <c r="C4" s="6">
        <f ca="1">DATE(YEAR(TODAY()),4,30)</f>
        <v>44681</v>
      </c>
    </row>
    <row r="5" spans="1:3" x14ac:dyDescent="0.55000000000000004">
      <c r="A5" t="s">
        <v>53</v>
      </c>
      <c r="B5" s="6">
        <f ca="1">DATE(YEAR(TODAY()),4,1)</f>
        <v>44652</v>
      </c>
      <c r="C5" s="6">
        <f ca="1">DATE(YEAR(TODAY()),7,1)</f>
        <v>44743</v>
      </c>
    </row>
    <row r="6" spans="1:3" x14ac:dyDescent="0.55000000000000004">
      <c r="A6" t="s">
        <v>54</v>
      </c>
      <c r="B6" s="6">
        <f ca="1">DATE(YEAR(TODAY()),4,1)</f>
        <v>44652</v>
      </c>
      <c r="C6" s="6">
        <f ca="1">DATE(YEAR(TODAY()),4,20)</f>
        <v>44671</v>
      </c>
    </row>
    <row r="7" spans="1:3" x14ac:dyDescent="0.55000000000000004">
      <c r="A7" t="s">
        <v>55</v>
      </c>
      <c r="B7" s="6">
        <f ca="1">DATE(YEAR(TODAY()),5,1)</f>
        <v>44682</v>
      </c>
      <c r="C7" s="6">
        <f ca="1">DATE(YEAR(TODAY()),7,20)</f>
        <v>44762</v>
      </c>
    </row>
    <row r="8" spans="1:3" x14ac:dyDescent="0.55000000000000004">
      <c r="A8" t="s">
        <v>56</v>
      </c>
      <c r="B8" s="6">
        <f ca="1">DATE(YEAR(TODAY()),6,15)</f>
        <v>44727</v>
      </c>
      <c r="C8" s="6">
        <f ca="1">DATE(YEAR(TODAY()),8,1)</f>
        <v>44774</v>
      </c>
    </row>
    <row r="9" spans="1:3" x14ac:dyDescent="0.55000000000000004">
      <c r="A9" t="s">
        <v>57</v>
      </c>
      <c r="B9" s="6">
        <f ca="1">DATE(YEAR(TODAY()),6,15)</f>
        <v>44727</v>
      </c>
      <c r="C9" s="6">
        <f ca="1">DATE(YEAR(TODAY()),9,1)</f>
        <v>44805</v>
      </c>
    </row>
    <row r="10" spans="1:3" x14ac:dyDescent="0.55000000000000004">
      <c r="A10" t="s">
        <v>58</v>
      </c>
      <c r="B10" s="6">
        <f ca="1">DATE(YEAR(TODAY()),8,1)</f>
        <v>44774</v>
      </c>
      <c r="C10" s="6">
        <f ca="1">DATE(YEAR(TODAY()),9,1)</f>
        <v>44805</v>
      </c>
    </row>
    <row r="11" spans="1:3" x14ac:dyDescent="0.55000000000000004">
      <c r="A11" t="s">
        <v>59</v>
      </c>
      <c r="B11" s="6">
        <f ca="1">DATE(YEAR(TODAY()),8,1)</f>
        <v>44774</v>
      </c>
      <c r="C11" s="6">
        <f ca="1">DATE(YEAR(TODAY()),9,15)</f>
        <v>44819</v>
      </c>
    </row>
    <row r="12" spans="1:3" x14ac:dyDescent="0.55000000000000004">
      <c r="A12" t="s">
        <v>60</v>
      </c>
      <c r="B12" s="6">
        <f ca="1">DATE(YEAR(TODAY()),10,1)</f>
        <v>44835</v>
      </c>
      <c r="C12" s="6">
        <f ca="1">DATE(YEAR(TODAY()),11,15)</f>
        <v>44880</v>
      </c>
    </row>
    <row r="13" spans="1:3" x14ac:dyDescent="0.55000000000000004">
      <c r="A13" t="s">
        <v>61</v>
      </c>
      <c r="B13" s="6">
        <f ca="1">DATE(YEAR(TODAY()),10,20)</f>
        <v>44854</v>
      </c>
      <c r="C13" s="6">
        <f ca="1">DATE(YEAR(TODAY()),12,1)</f>
        <v>44896</v>
      </c>
    </row>
    <row r="14" spans="1:3" x14ac:dyDescent="0.55000000000000004">
      <c r="A14" t="s">
        <v>62</v>
      </c>
      <c r="B14" s="6">
        <f ca="1">DATE(YEAR(TODAY()),10,20)</f>
        <v>44854</v>
      </c>
      <c r="C14" s="6">
        <f ca="1">DATE(YEAR(TODAY()),12,1)</f>
        <v>44896</v>
      </c>
    </row>
    <row r="15" spans="1:3" x14ac:dyDescent="0.55000000000000004">
      <c r="A15" t="s">
        <v>63</v>
      </c>
      <c r="B15" s="6">
        <f ca="1">DATE(YEAR(TODAY()),12,31)</f>
        <v>44926</v>
      </c>
      <c r="C15" s="6">
        <f ca="1">DATE(YEAR(TODAY())+1,12,25)</f>
        <v>45285</v>
      </c>
    </row>
    <row r="16" spans="1:3" x14ac:dyDescent="0.55000000000000004">
      <c r="B16" s="7"/>
      <c r="C16" s="7"/>
    </row>
    <row r="17" spans="2:3" x14ac:dyDescent="0.55000000000000004">
      <c r="B17" s="7"/>
      <c r="C17" s="7"/>
    </row>
    <row r="18" spans="2:3" x14ac:dyDescent="0.55000000000000004">
      <c r="B18" s="7"/>
      <c r="C18" s="7"/>
    </row>
    <row r="19" spans="2:3" x14ac:dyDescent="0.55000000000000004">
      <c r="B19" s="7"/>
      <c r="C19" s="7"/>
    </row>
    <row r="20" spans="2:3" x14ac:dyDescent="0.55000000000000004">
      <c r="B20" s="7"/>
      <c r="C20" s="7"/>
    </row>
    <row r="21" spans="2:3" x14ac:dyDescent="0.55000000000000004">
      <c r="B21" s="7"/>
      <c r="C21" s="7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2020-11-16T17:11:39Z</dcterms:created>
  <dcterms:modified xsi:type="dcterms:W3CDTF">2022-12-07T12:21:22Z</dcterms:modified>
</cp:coreProperties>
</file>