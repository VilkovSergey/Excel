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УЧЁБА\EXCEL\Excel\12_Модуль\"/>
    </mc:Choice>
  </mc:AlternateContent>
  <xr:revisionPtr revIDLastSave="0" documentId="13_ncr:1_{C535E48B-7A64-4A1C-AE7F-AB9360A73DD9}" xr6:coauthVersionLast="47" xr6:coauthVersionMax="47" xr10:uidLastSave="{00000000-0000-0000-0000-000000000000}"/>
  <bookViews>
    <workbookView xWindow="-108" yWindow="-108" windowWidth="23256" windowHeight="12576" firstSheet="2" activeTab="6" xr2:uid="{00000000-000D-0000-FFFF-FFFF00000000}"/>
  </bookViews>
  <sheets>
    <sheet name="ФИО_программное форм." sheetId="2" r:id="rId1"/>
    <sheet name="ФИО_формульное форм.(1зад)" sheetId="6" r:id="rId2"/>
    <sheet name="ФИО_формульное форм. (2зад)" sheetId="7" r:id="rId3"/>
    <sheet name="Прирост" sheetId="3" r:id="rId4"/>
    <sheet name="Сравнение списков" sheetId="4" r:id="rId5"/>
    <sheet name="Проектная диаграмма" sheetId="1" r:id="rId6"/>
    <sheet name="Числа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4" l="1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3" i="4"/>
  <c r="D2" i="3"/>
  <c r="D3" i="3"/>
  <c r="D4" i="3"/>
  <c r="D5" i="3"/>
  <c r="D6" i="3"/>
  <c r="D7" i="3"/>
  <c r="D8" i="3"/>
  <c r="D9" i="3"/>
  <c r="D10" i="3"/>
  <c r="D11" i="3"/>
  <c r="D12" i="3"/>
  <c r="D13" i="3"/>
</calcChain>
</file>

<file path=xl/sharedStrings.xml><?xml version="1.0" encoding="utf-8"?>
<sst xmlns="http://schemas.openxmlformats.org/spreadsheetml/2006/main" count="792" uniqueCount="215">
  <si>
    <t>ФИО</t>
  </si>
  <si>
    <t>Отдел</t>
  </si>
  <si>
    <t>Дата рождения</t>
  </si>
  <si>
    <t>Краснопёров Захар Эрнстович</t>
  </si>
  <si>
    <t>Администрация</t>
  </si>
  <si>
    <t>Кирхенштейн Леонид Геннадиевич</t>
  </si>
  <si>
    <t>Логистика</t>
  </si>
  <si>
    <t>Жуков Якуб Епифанович</t>
  </si>
  <si>
    <t>PR</t>
  </si>
  <si>
    <t>Ширманов Мирослав Федотович</t>
  </si>
  <si>
    <t>Эсаулова Ксения Вячеславовна</t>
  </si>
  <si>
    <t>Чикунова Фаина Вячеславовна</t>
  </si>
  <si>
    <t>Маркетинг</t>
  </si>
  <si>
    <t>Чаадаева Кира Тимуровна</t>
  </si>
  <si>
    <t>Бухгалтерия</t>
  </si>
  <si>
    <t>Лунина Ника Романовна</t>
  </si>
  <si>
    <t>Андрюхина Валерия Афанасиевна</t>
  </si>
  <si>
    <t>Поддержка</t>
  </si>
  <si>
    <t>Беломестова Инга Тихоновна</t>
  </si>
  <si>
    <t>IT</t>
  </si>
  <si>
    <t>Валиева Лариса Тихоновна</t>
  </si>
  <si>
    <t>Казакевича Варвара Владленовна</t>
  </si>
  <si>
    <t>Реклама</t>
  </si>
  <si>
    <t>Скуратова Алина Юлиевна</t>
  </si>
  <si>
    <t>Производство</t>
  </si>
  <si>
    <t>Могутов Аркадий Серафимович</t>
  </si>
  <si>
    <t>Сыромятников Василий Назарович</t>
  </si>
  <si>
    <t>Маслака Вера Леонидовна</t>
  </si>
  <si>
    <t>Якушов Андрей Эмилевич</t>
  </si>
  <si>
    <t>Перфильева Мария Федоровна</t>
  </si>
  <si>
    <t>Бялика Светлана Владленовна</t>
  </si>
  <si>
    <t>Бенедиктов Илья Маркович</t>
  </si>
  <si>
    <t>Гудкова Арина Всеволодовна</t>
  </si>
  <si>
    <t>Ширинов Яков Яковович</t>
  </si>
  <si>
    <t>Кэбин Борис Ипатиевич</t>
  </si>
  <si>
    <t>Кидирбаева Светлана Игоревна</t>
  </si>
  <si>
    <t>Белозерцев Лавр Феоктистович</t>
  </si>
  <si>
    <t>Рябов Артем Прохорович</t>
  </si>
  <si>
    <t>Шапкин Юрий Евлампиевич</t>
  </si>
  <si>
    <t>Селезнева Лидия Виталиевна</t>
  </si>
  <si>
    <t>Салтанова Эвелина Станиславовна</t>
  </si>
  <si>
    <t>Щедров Харитон Брониславович</t>
  </si>
  <si>
    <t>Булатов Рюрик Казимирович</t>
  </si>
  <si>
    <t>Сахаровский Юлий Климентович</t>
  </si>
  <si>
    <t>Кравчиков Артур Дмитриевич</t>
  </si>
  <si>
    <t>Кондакова Светлана Леонидовна</t>
  </si>
  <si>
    <t>Шаронов Захар Сергеевич</t>
  </si>
  <si>
    <t>Ясевич Евсей Артемович</t>
  </si>
  <si>
    <t>Сарнычева Инга Вячеславовна</t>
  </si>
  <si>
    <t>Седова Вера Трофимовна</t>
  </si>
  <si>
    <t>Дябина Агафья Марковна</t>
  </si>
  <si>
    <t>Драгомирова Ариадна Елисеевна</t>
  </si>
  <si>
    <t>Ярощук Эммануил Олегович</t>
  </si>
  <si>
    <t>Краснокутский Мир Валерьянович</t>
  </si>
  <si>
    <t>Кабалкин Фадей Андреевич</t>
  </si>
  <si>
    <t>Яцунова Любава Юлиевна</t>
  </si>
  <si>
    <t>Горчаков Рюрик Прохорович</t>
  </si>
  <si>
    <t>Яздовский Владлен Леонидович</t>
  </si>
  <si>
    <t>Стрельцова Раиса Елисеевна</t>
  </si>
  <si>
    <t>Пшеничников Никанор Сидорович</t>
  </si>
  <si>
    <t>Белозерцева Ярослава Иларионовна</t>
  </si>
  <si>
    <t>Дыховичный Клавдий Модестович</t>
  </si>
  <si>
    <t>Юхтрица Наталия Тимофеевна</t>
  </si>
  <si>
    <t>Старкова Ираида Алексеевна</t>
  </si>
  <si>
    <t>Сорокина ﻿Агата Тимофеевна</t>
  </si>
  <si>
    <t>Карамзина Ираида Елисеевна</t>
  </si>
  <si>
    <t>Кахадзе Наталия Филипповна</t>
  </si>
  <si>
    <t>Плахтюрина Диана Михеевна</t>
  </si>
  <si>
    <t>Мутовина Диана Леонидовна</t>
  </si>
  <si>
    <t>Сычёва Дина Фомевна</t>
  </si>
  <si>
    <t>Полков Агап Владимирович</t>
  </si>
  <si>
    <t>Ерхова Инна Степановна</t>
  </si>
  <si>
    <t>Булдакова Ольга Виталиевна</t>
  </si>
  <si>
    <t>Баскакова Лиана Елизаровна</t>
  </si>
  <si>
    <t>Ручкина Ксения Феликсовна</t>
  </si>
  <si>
    <t>Богатова Ариадна Олеговна</t>
  </si>
  <si>
    <t>Васильев Лев Юриевич</t>
  </si>
  <si>
    <t>Бояринова Лидия Марковна</t>
  </si>
  <si>
    <t>Мандрыко Ефрем Серафимович</t>
  </si>
  <si>
    <t>Гребенщикова Рената Ивановна</t>
  </si>
  <si>
    <t>Старцева Ефросинья Георгиевна</t>
  </si>
  <si>
    <t>Кирхенштейн Владимир Фомевич</t>
  </si>
  <si>
    <t>Лихачев Изяслав Валериевич</t>
  </si>
  <si>
    <t>Толстоброва Инга Александровна</t>
  </si>
  <si>
    <t>Кушнарёва Эвелина Ипполитовна</t>
  </si>
  <si>
    <t>Татаринов Кондрат Тарасович</t>
  </si>
  <si>
    <t>Бойдало Евдоким Иосифович</t>
  </si>
  <si>
    <t>Рыжкова Юнона Елизаровна</t>
  </si>
  <si>
    <t>Дьячкова Милена Петровна</t>
  </si>
  <si>
    <t>Графова Марфа Захаровна</t>
  </si>
  <si>
    <t>Ручкина Рената Афанасиевна</t>
  </si>
  <si>
    <t>Можаева Нина Леонидовна</t>
  </si>
  <si>
    <t>Шепелева Раиса Романовна</t>
  </si>
  <si>
    <t>Эльмпта Екатерина Мефодиевна</t>
  </si>
  <si>
    <t>Манторов Данила Ипатович</t>
  </si>
  <si>
    <t>Азаренков Фадей Давыдович</t>
  </si>
  <si>
    <t>Болдаев Артем Ульянович</t>
  </si>
  <si>
    <t>Королёва Светлана Всеволодовна</t>
  </si>
  <si>
    <t>Ковалёва Зинаида Святославовна</t>
  </si>
  <si>
    <t>Ромазан Иосиф Чеславович</t>
  </si>
  <si>
    <t>Блока Арина Анатолиевна</t>
  </si>
  <si>
    <t>Сай Ян Михаилович</t>
  </si>
  <si>
    <t>Богатов Онуфрий Капитонович</t>
  </si>
  <si>
    <t>Стеблева Римма Елизаровна</t>
  </si>
  <si>
    <t>Окладникова Бронислава Данилевна</t>
  </si>
  <si>
    <t>Дмитриева Анна Феликсовна</t>
  </si>
  <si>
    <t>Енотина Ангелина Ираклиевна</t>
  </si>
  <si>
    <t>Курсалин Казимир Андронович</t>
  </si>
  <si>
    <t>Крыжов Семён Сергеевич</t>
  </si>
  <si>
    <t>Эвентов Валерьян Игнатиевич</t>
  </si>
  <si>
    <t>Кривоухова ﻿Агата Святославовна</t>
  </si>
  <si>
    <t>Плеханов Иван Филимонович</t>
  </si>
  <si>
    <t>Задачи: 1 выделить ФИО всех из Администрации
2 выделить все строки целиком у всех, кто родился после 1990 года</t>
  </si>
  <si>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</si>
  <si>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</si>
  <si>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</si>
  <si>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</si>
  <si>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</si>
  <si>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</si>
  <si>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</si>
  <si>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</si>
  <si>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</si>
  <si>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</si>
  <si>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</si>
  <si>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</si>
  <si>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</si>
  <si>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</si>
  <si>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</si>
  <si>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Клиент</t>
  </si>
  <si>
    <t>Ястребенецкий Валентин</t>
  </si>
  <si>
    <t>Угличинина Инесса</t>
  </si>
  <si>
    <t>Федотова Алла</t>
  </si>
  <si>
    <t>Казьмина Владлена</t>
  </si>
  <si>
    <t>Сафронов Пимен</t>
  </si>
  <si>
    <t>Белоусова Наталья</t>
  </si>
  <si>
    <t>Вагин Онуфрий</t>
  </si>
  <si>
    <t>Землякова Марианна</t>
  </si>
  <si>
    <t>Алистратова Влада</t>
  </si>
  <si>
    <t>Опекунов Прокофий</t>
  </si>
  <si>
    <t>Беломестова Марина</t>
  </si>
  <si>
    <t>Капшукова Альбина</t>
  </si>
  <si>
    <t>Островерхова Валерия</t>
  </si>
  <si>
    <t>Остроумов Радислав</t>
  </si>
  <si>
    <t>Комзина Нона</t>
  </si>
  <si>
    <t>Ясинский Вячеслав</t>
  </si>
  <si>
    <t>Горохов Артём</t>
  </si>
  <si>
    <t>Кушнарёва Ярослава</t>
  </si>
  <si>
    <t>Хрущёва Анна</t>
  </si>
  <si>
    <t>Чучумашева Валентина</t>
  </si>
  <si>
    <t>Шепелева Юлия</t>
  </si>
  <si>
    <t>Монаков Богдан</t>
  </si>
  <si>
    <t>Раскатов Юрий</t>
  </si>
  <si>
    <t>Шереметьев Дмитрий</t>
  </si>
  <si>
    <t>Ягужинский Фадей</t>
  </si>
  <si>
    <t>Рогачёв Эмиль</t>
  </si>
  <si>
    <t>Берия Рюрик</t>
  </si>
  <si>
    <t>Балдагуева Ефросиния</t>
  </si>
  <si>
    <t>Аникина Роза</t>
  </si>
  <si>
    <t>Яценко Вероника</t>
  </si>
  <si>
    <t>Дудченко Римма</t>
  </si>
  <si>
    <t>Чудов Егор</t>
  </si>
  <si>
    <t>Куксюка Наталия</t>
  </si>
  <si>
    <t>Колобова Анастасия</t>
  </si>
  <si>
    <t>Яхин Демьян</t>
  </si>
  <si>
    <t>Сергеевича Майя</t>
  </si>
  <si>
    <t>Аксенов Сергей</t>
  </si>
  <si>
    <t>Завражный Тамара</t>
  </si>
  <si>
    <t>Кабальнова Регина</t>
  </si>
  <si>
    <t>Колесова Пелагея</t>
  </si>
  <si>
    <t>Шубина Алиса</t>
  </si>
  <si>
    <t>Капылюшный Рената</t>
  </si>
  <si>
    <t>Якимычева Ираида</t>
  </si>
  <si>
    <t>Циммермана Марина</t>
  </si>
  <si>
    <t>Кожуров Яков</t>
  </si>
  <si>
    <t>Кожухов Герасим</t>
  </si>
  <si>
    <t>Загидуллин Осип</t>
  </si>
  <si>
    <t>Питосина Анастасия</t>
  </si>
  <si>
    <t>Летова Ираида</t>
  </si>
  <si>
    <t>Михальченко Ника</t>
  </si>
  <si>
    <t>Никольский Николай</t>
  </si>
  <si>
    <t>Белорусов Феофан</t>
  </si>
  <si>
    <t>Бебчука Роза</t>
  </si>
  <si>
    <t>Грязнов Самсон</t>
  </si>
  <si>
    <t>Низенький Алексей</t>
  </si>
  <si>
    <t>Силин Бронислав</t>
  </si>
  <si>
    <t>Юрнаев Степан</t>
  </si>
  <si>
    <t>Шульдешов Лукьян</t>
  </si>
  <si>
    <t>Осенныха Мирослава</t>
  </si>
  <si>
    <t>Савкина Алла</t>
  </si>
  <si>
    <t>Лобачёв Кондратий</t>
  </si>
  <si>
    <t>Мухаметов Валентин</t>
  </si>
  <si>
    <t>Некрестьянова Злата</t>
  </si>
  <si>
    <t>Улицкий Святослав</t>
  </si>
  <si>
    <t>Акинфеева Лариса</t>
  </si>
  <si>
    <t>Энгельгардта Альбина</t>
  </si>
  <si>
    <t>Дементьев Тимофей</t>
  </si>
  <si>
    <t>Казнов Михаил</t>
  </si>
  <si>
    <t>Ховрунов Самсон</t>
  </si>
  <si>
    <t>Мельникова Доминика</t>
  </si>
  <si>
    <t>Ярилова Ксения</t>
  </si>
  <si>
    <t>Покалюк Аскольд</t>
  </si>
  <si>
    <t>Продажи</t>
  </si>
  <si>
    <t>Подготовка программы курса</t>
  </si>
  <si>
    <t>Подготовка презентаций</t>
  </si>
  <si>
    <t>Подготовка файлов-примеров</t>
  </si>
  <si>
    <t>Подготовка памяток</t>
  </si>
  <si>
    <t>Подготовка дополнительных материалов</t>
  </si>
  <si>
    <t>Запись видео-уроков</t>
  </si>
  <si>
    <t>Анонс и продвижение</t>
  </si>
  <si>
    <t>Начало</t>
  </si>
  <si>
    <t>Окончание</t>
  </si>
  <si>
    <t>Этап работы</t>
  </si>
  <si>
    <t>Подготовка домашних заданий</t>
  </si>
  <si>
    <t>15З</t>
  </si>
  <si>
    <r>
      <t>Задачи:</t>
    </r>
    <r>
      <rPr>
        <sz val="11"/>
        <color rgb="FFFF0000"/>
        <rFont val="Calibri"/>
        <family val="2"/>
        <charset val="204"/>
        <scheme val="minor"/>
      </rPr>
      <t xml:space="preserve"> 1 выделить ФИО всех из Администрации</t>
    </r>
    <r>
      <rPr>
        <sz val="11"/>
        <color theme="1"/>
        <rFont val="Calibri"/>
        <family val="2"/>
        <scheme val="minor"/>
      </rPr>
      <t xml:space="preserve">
2 выделить все строки целиком у всех, кто родился после 1990 года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</si>
</sst>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4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 wrapText="1"/>
    </xf>
    <xf numFmtId="0" fontId="2" fillId="0" borderId="1" xfId="1" applyAlignment="1">
      <alignment horizontal="center" vertical="center"/>
    </xf>
    <xf numFmtId="3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 vertical="center" textRotation="90"/>
    </xf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1" fillId="4" borderId="0" xfId="2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3">
    <cellStyle name="20% — акцент1" xfId="2" builtinId="30"/>
    <cellStyle name="Заголовок 1" xfId="1" builtinId="16"/>
    <cellStyle name="Обычный" xfId="0" builtinId="0"/>
  </cellStyles>
  <dxfs count="28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6110-46D7-4DD8-B508-68FD4AAADC17}">
  <dimension ref="A1:F101"/>
  <sheetViews>
    <sheetView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" width="35.6640625" bestFit="1" customWidth="1"/>
    <col min="2" max="2" width="15.5546875" bestFit="1" customWidth="1"/>
    <col min="3" max="3" width="21.109375" bestFit="1" customWidth="1"/>
    <col min="6" max="6" width="69.109375" customWidth="1"/>
  </cols>
  <sheetData>
    <row r="1" spans="1:6" ht="38.25" customHeight="1" thickBot="1" x14ac:dyDescent="0.35">
      <c r="A1" s="3" t="s">
        <v>0</v>
      </c>
      <c r="B1" s="3" t="s">
        <v>1</v>
      </c>
      <c r="C1" s="3" t="s">
        <v>2</v>
      </c>
      <c r="F1" s="2" t="s">
        <v>112</v>
      </c>
    </row>
    <row r="2" spans="1:6" ht="15" thickTop="1" x14ac:dyDescent="0.3">
      <c r="A2" t="s">
        <v>3</v>
      </c>
      <c r="B2" t="s">
        <v>4</v>
      </c>
      <c r="C2" s="1">
        <v>31011</v>
      </c>
    </row>
    <row r="3" spans="1:6" x14ac:dyDescent="0.3">
      <c r="A3" t="s">
        <v>5</v>
      </c>
      <c r="B3" t="s">
        <v>6</v>
      </c>
      <c r="C3" s="1">
        <v>27138</v>
      </c>
    </row>
    <row r="4" spans="1:6" x14ac:dyDescent="0.3">
      <c r="A4" t="s">
        <v>7</v>
      </c>
      <c r="B4" t="s">
        <v>8</v>
      </c>
      <c r="C4" s="1">
        <v>24057</v>
      </c>
    </row>
    <row r="5" spans="1:6" x14ac:dyDescent="0.3">
      <c r="A5" t="s">
        <v>9</v>
      </c>
      <c r="B5" t="s">
        <v>6</v>
      </c>
      <c r="C5" s="1">
        <v>24667</v>
      </c>
    </row>
    <row r="6" spans="1:6" x14ac:dyDescent="0.3">
      <c r="A6" t="s">
        <v>10</v>
      </c>
      <c r="B6" t="s">
        <v>8</v>
      </c>
      <c r="C6" s="1">
        <v>29545</v>
      </c>
    </row>
    <row r="7" spans="1:6" x14ac:dyDescent="0.3">
      <c r="A7" t="s">
        <v>11</v>
      </c>
      <c r="B7" t="s">
        <v>12</v>
      </c>
      <c r="C7" s="1">
        <v>24447</v>
      </c>
    </row>
    <row r="8" spans="1:6" x14ac:dyDescent="0.3">
      <c r="A8" t="s">
        <v>13</v>
      </c>
      <c r="B8" t="s">
        <v>14</v>
      </c>
      <c r="C8" s="1">
        <v>32500</v>
      </c>
    </row>
    <row r="9" spans="1:6" x14ac:dyDescent="0.3">
      <c r="A9" t="s">
        <v>15</v>
      </c>
      <c r="B9" t="s">
        <v>8</v>
      </c>
      <c r="C9" s="1">
        <v>30346</v>
      </c>
    </row>
    <row r="10" spans="1:6" x14ac:dyDescent="0.3">
      <c r="A10" t="s">
        <v>16</v>
      </c>
      <c r="B10" t="s">
        <v>17</v>
      </c>
      <c r="C10" s="1">
        <v>28965</v>
      </c>
    </row>
    <row r="11" spans="1:6" x14ac:dyDescent="0.3">
      <c r="A11" t="s">
        <v>18</v>
      </c>
      <c r="B11" t="s">
        <v>19</v>
      </c>
      <c r="C11" s="1">
        <v>26279</v>
      </c>
    </row>
    <row r="12" spans="1:6" x14ac:dyDescent="0.3">
      <c r="A12" t="s">
        <v>20</v>
      </c>
      <c r="B12" t="s">
        <v>8</v>
      </c>
      <c r="C12" s="1">
        <v>23401</v>
      </c>
    </row>
    <row r="13" spans="1:6" x14ac:dyDescent="0.3">
      <c r="A13" t="s">
        <v>21</v>
      </c>
      <c r="B13" t="s">
        <v>22</v>
      </c>
      <c r="C13" s="1">
        <v>30683</v>
      </c>
    </row>
    <row r="14" spans="1:6" x14ac:dyDescent="0.3">
      <c r="A14" t="s">
        <v>23</v>
      </c>
      <c r="B14" t="s">
        <v>24</v>
      </c>
      <c r="C14" s="1">
        <v>33633</v>
      </c>
    </row>
    <row r="15" spans="1:6" x14ac:dyDescent="0.3">
      <c r="A15" t="s">
        <v>25</v>
      </c>
      <c r="B15" t="s">
        <v>19</v>
      </c>
      <c r="C15" s="1">
        <v>32667</v>
      </c>
    </row>
    <row r="16" spans="1:6" x14ac:dyDescent="0.3">
      <c r="A16" t="s">
        <v>26</v>
      </c>
      <c r="B16" t="s">
        <v>8</v>
      </c>
      <c r="C16" s="1">
        <v>29967</v>
      </c>
    </row>
    <row r="17" spans="1:3" x14ac:dyDescent="0.3">
      <c r="A17" t="s">
        <v>27</v>
      </c>
      <c r="B17" t="s">
        <v>12</v>
      </c>
      <c r="C17" s="1">
        <v>31537</v>
      </c>
    </row>
    <row r="18" spans="1:3" x14ac:dyDescent="0.3">
      <c r="A18" t="s">
        <v>28</v>
      </c>
      <c r="B18" t="s">
        <v>17</v>
      </c>
      <c r="C18" s="1">
        <v>31792</v>
      </c>
    </row>
    <row r="19" spans="1:3" x14ac:dyDescent="0.3">
      <c r="A19" t="s">
        <v>29</v>
      </c>
      <c r="B19" t="s">
        <v>8</v>
      </c>
      <c r="C19" s="1">
        <v>28774</v>
      </c>
    </row>
    <row r="20" spans="1:3" x14ac:dyDescent="0.3">
      <c r="A20" t="s">
        <v>30</v>
      </c>
      <c r="B20" t="s">
        <v>6</v>
      </c>
      <c r="C20" s="1">
        <v>33996</v>
      </c>
    </row>
    <row r="21" spans="1:3" x14ac:dyDescent="0.3">
      <c r="A21" t="s">
        <v>31</v>
      </c>
      <c r="B21" t="s">
        <v>22</v>
      </c>
      <c r="C21" s="1">
        <v>23913</v>
      </c>
    </row>
    <row r="22" spans="1:3" x14ac:dyDescent="0.3">
      <c r="A22" t="s">
        <v>32</v>
      </c>
      <c r="B22" t="s">
        <v>17</v>
      </c>
      <c r="C22" s="1">
        <v>32473</v>
      </c>
    </row>
    <row r="23" spans="1:3" x14ac:dyDescent="0.3">
      <c r="A23" t="s">
        <v>33</v>
      </c>
      <c r="B23" t="s">
        <v>4</v>
      </c>
      <c r="C23" s="1">
        <v>22349</v>
      </c>
    </row>
    <row r="24" spans="1:3" x14ac:dyDescent="0.3">
      <c r="A24" t="s">
        <v>34</v>
      </c>
      <c r="B24" t="s">
        <v>14</v>
      </c>
      <c r="C24" s="1">
        <v>23770</v>
      </c>
    </row>
    <row r="25" spans="1:3" x14ac:dyDescent="0.3">
      <c r="A25" t="s">
        <v>35</v>
      </c>
      <c r="B25" t="s">
        <v>24</v>
      </c>
      <c r="C25" s="1">
        <v>22525</v>
      </c>
    </row>
    <row r="26" spans="1:3" x14ac:dyDescent="0.3">
      <c r="A26" t="s">
        <v>36</v>
      </c>
      <c r="B26" t="s">
        <v>8</v>
      </c>
      <c r="C26" s="1">
        <v>34320</v>
      </c>
    </row>
    <row r="27" spans="1:3" x14ac:dyDescent="0.3">
      <c r="A27" t="s">
        <v>37</v>
      </c>
      <c r="B27" t="s">
        <v>19</v>
      </c>
      <c r="C27" s="1">
        <v>32265</v>
      </c>
    </row>
    <row r="28" spans="1:3" x14ac:dyDescent="0.3">
      <c r="A28" t="s">
        <v>38</v>
      </c>
      <c r="B28" t="s">
        <v>22</v>
      </c>
      <c r="C28" s="1">
        <v>32388</v>
      </c>
    </row>
    <row r="29" spans="1:3" x14ac:dyDescent="0.3">
      <c r="A29" t="s">
        <v>39</v>
      </c>
      <c r="B29" t="s">
        <v>4</v>
      </c>
      <c r="C29" s="1">
        <v>24183</v>
      </c>
    </row>
    <row r="30" spans="1:3" x14ac:dyDescent="0.3">
      <c r="A30" t="s">
        <v>40</v>
      </c>
      <c r="B30" t="s">
        <v>14</v>
      </c>
      <c r="C30" s="1">
        <v>25304</v>
      </c>
    </row>
    <row r="31" spans="1:3" x14ac:dyDescent="0.3">
      <c r="A31" t="s">
        <v>41</v>
      </c>
      <c r="B31" t="s">
        <v>22</v>
      </c>
      <c r="C31" s="1">
        <v>34127</v>
      </c>
    </row>
    <row r="32" spans="1:3" x14ac:dyDescent="0.3">
      <c r="A32" t="s">
        <v>42</v>
      </c>
      <c r="B32" t="s">
        <v>12</v>
      </c>
      <c r="C32" s="1">
        <v>32342</v>
      </c>
    </row>
    <row r="33" spans="1:3" x14ac:dyDescent="0.3">
      <c r="A33" t="s">
        <v>43</v>
      </c>
      <c r="B33" t="s">
        <v>19</v>
      </c>
      <c r="C33" s="1">
        <v>30828</v>
      </c>
    </row>
    <row r="34" spans="1:3" x14ac:dyDescent="0.3">
      <c r="A34" t="s">
        <v>44</v>
      </c>
      <c r="B34" t="s">
        <v>6</v>
      </c>
      <c r="C34" s="1">
        <v>26195</v>
      </c>
    </row>
    <row r="35" spans="1:3" x14ac:dyDescent="0.3">
      <c r="A35" t="s">
        <v>45</v>
      </c>
      <c r="B35" t="s">
        <v>6</v>
      </c>
      <c r="C35" s="1">
        <v>34485</v>
      </c>
    </row>
    <row r="36" spans="1:3" x14ac:dyDescent="0.3">
      <c r="A36" t="s">
        <v>46</v>
      </c>
      <c r="B36" t="s">
        <v>24</v>
      </c>
      <c r="C36" s="1">
        <v>34585</v>
      </c>
    </row>
    <row r="37" spans="1:3" x14ac:dyDescent="0.3">
      <c r="A37" t="s">
        <v>47</v>
      </c>
      <c r="B37" t="s">
        <v>24</v>
      </c>
      <c r="C37" s="1">
        <v>29375</v>
      </c>
    </row>
    <row r="38" spans="1:3" x14ac:dyDescent="0.3">
      <c r="A38" t="s">
        <v>48</v>
      </c>
      <c r="B38" t="s">
        <v>8</v>
      </c>
      <c r="C38" s="1">
        <v>22566</v>
      </c>
    </row>
    <row r="39" spans="1:3" x14ac:dyDescent="0.3">
      <c r="A39" t="s">
        <v>49</v>
      </c>
      <c r="B39" t="s">
        <v>14</v>
      </c>
      <c r="C39" s="1">
        <v>22136</v>
      </c>
    </row>
    <row r="40" spans="1:3" x14ac:dyDescent="0.3">
      <c r="A40" t="s">
        <v>50</v>
      </c>
      <c r="B40" t="s">
        <v>4</v>
      </c>
      <c r="C40" s="1">
        <v>26650</v>
      </c>
    </row>
    <row r="41" spans="1:3" x14ac:dyDescent="0.3">
      <c r="A41" t="s">
        <v>51</v>
      </c>
      <c r="B41" t="s">
        <v>14</v>
      </c>
      <c r="C41" s="1">
        <v>32410</v>
      </c>
    </row>
    <row r="42" spans="1:3" x14ac:dyDescent="0.3">
      <c r="A42" t="s">
        <v>52</v>
      </c>
      <c r="B42" t="s">
        <v>19</v>
      </c>
      <c r="C42" s="1">
        <v>25424</v>
      </c>
    </row>
    <row r="43" spans="1:3" x14ac:dyDescent="0.3">
      <c r="A43" t="s">
        <v>53</v>
      </c>
      <c r="B43" t="s">
        <v>19</v>
      </c>
      <c r="C43" s="1">
        <v>31288</v>
      </c>
    </row>
    <row r="44" spans="1:3" x14ac:dyDescent="0.3">
      <c r="A44" t="s">
        <v>54</v>
      </c>
      <c r="B44" t="s">
        <v>6</v>
      </c>
      <c r="C44" s="1">
        <v>22321</v>
      </c>
    </row>
    <row r="45" spans="1:3" x14ac:dyDescent="0.3">
      <c r="A45" t="s">
        <v>55</v>
      </c>
      <c r="B45" t="s">
        <v>19</v>
      </c>
      <c r="C45" s="1">
        <v>32532</v>
      </c>
    </row>
    <row r="46" spans="1:3" x14ac:dyDescent="0.3">
      <c r="A46" t="s">
        <v>56</v>
      </c>
      <c r="B46" t="s">
        <v>22</v>
      </c>
      <c r="C46" s="1">
        <v>34662</v>
      </c>
    </row>
    <row r="47" spans="1:3" x14ac:dyDescent="0.3">
      <c r="A47" t="s">
        <v>57</v>
      </c>
      <c r="B47" t="s">
        <v>12</v>
      </c>
      <c r="C47" s="1">
        <v>24268</v>
      </c>
    </row>
    <row r="48" spans="1:3" x14ac:dyDescent="0.3">
      <c r="A48" t="s">
        <v>58</v>
      </c>
      <c r="B48" t="s">
        <v>14</v>
      </c>
      <c r="C48" s="1">
        <v>23199</v>
      </c>
    </row>
    <row r="49" spans="1:3" x14ac:dyDescent="0.3">
      <c r="A49" t="s">
        <v>59</v>
      </c>
      <c r="B49" t="s">
        <v>24</v>
      </c>
      <c r="C49" s="1">
        <v>30395</v>
      </c>
    </row>
    <row r="50" spans="1:3" x14ac:dyDescent="0.3">
      <c r="A50" t="s">
        <v>60</v>
      </c>
      <c r="B50" t="s">
        <v>6</v>
      </c>
      <c r="C50" s="1">
        <v>32277</v>
      </c>
    </row>
    <row r="51" spans="1:3" x14ac:dyDescent="0.3">
      <c r="A51" t="s">
        <v>61</v>
      </c>
      <c r="B51" t="s">
        <v>24</v>
      </c>
      <c r="C51" s="1">
        <v>23134</v>
      </c>
    </row>
    <row r="52" spans="1:3" x14ac:dyDescent="0.3">
      <c r="A52" t="s">
        <v>62</v>
      </c>
      <c r="B52" t="s">
        <v>17</v>
      </c>
      <c r="C52" s="1">
        <v>27066</v>
      </c>
    </row>
    <row r="53" spans="1:3" x14ac:dyDescent="0.3">
      <c r="A53" t="s">
        <v>63</v>
      </c>
      <c r="B53" t="s">
        <v>22</v>
      </c>
      <c r="C53" s="1">
        <v>23843</v>
      </c>
    </row>
    <row r="54" spans="1:3" x14ac:dyDescent="0.3">
      <c r="A54" t="s">
        <v>64</v>
      </c>
      <c r="B54" t="s">
        <v>17</v>
      </c>
      <c r="C54" s="1">
        <v>26377</v>
      </c>
    </row>
    <row r="55" spans="1:3" x14ac:dyDescent="0.3">
      <c r="A55" t="s">
        <v>65</v>
      </c>
      <c r="B55" t="s">
        <v>17</v>
      </c>
      <c r="C55" s="1">
        <v>25591</v>
      </c>
    </row>
    <row r="56" spans="1:3" x14ac:dyDescent="0.3">
      <c r="A56" t="s">
        <v>66</v>
      </c>
      <c r="B56" t="s">
        <v>8</v>
      </c>
      <c r="C56" s="1">
        <v>25075</v>
      </c>
    </row>
    <row r="57" spans="1:3" x14ac:dyDescent="0.3">
      <c r="A57" t="s">
        <v>67</v>
      </c>
      <c r="B57" t="s">
        <v>14</v>
      </c>
      <c r="C57" s="1">
        <v>25405</v>
      </c>
    </row>
    <row r="58" spans="1:3" x14ac:dyDescent="0.3">
      <c r="A58" t="s">
        <v>68</v>
      </c>
      <c r="B58" t="s">
        <v>22</v>
      </c>
      <c r="C58" s="1">
        <v>33638</v>
      </c>
    </row>
    <row r="59" spans="1:3" x14ac:dyDescent="0.3">
      <c r="A59" t="s">
        <v>69</v>
      </c>
      <c r="B59" t="s">
        <v>22</v>
      </c>
      <c r="C59" s="1">
        <v>26611</v>
      </c>
    </row>
    <row r="60" spans="1:3" x14ac:dyDescent="0.3">
      <c r="A60" t="s">
        <v>70</v>
      </c>
      <c r="B60" t="s">
        <v>12</v>
      </c>
      <c r="C60" s="1">
        <v>23758</v>
      </c>
    </row>
    <row r="61" spans="1:3" x14ac:dyDescent="0.3">
      <c r="A61" t="s">
        <v>71</v>
      </c>
      <c r="B61" t="s">
        <v>24</v>
      </c>
      <c r="C61" s="1">
        <v>27669</v>
      </c>
    </row>
    <row r="62" spans="1:3" x14ac:dyDescent="0.3">
      <c r="A62" t="s">
        <v>72</v>
      </c>
      <c r="B62" t="s">
        <v>17</v>
      </c>
      <c r="C62" s="1">
        <v>34638</v>
      </c>
    </row>
    <row r="63" spans="1:3" x14ac:dyDescent="0.3">
      <c r="A63" t="s">
        <v>73</v>
      </c>
      <c r="B63" t="s">
        <v>6</v>
      </c>
      <c r="C63" s="1">
        <v>33841</v>
      </c>
    </row>
    <row r="64" spans="1:3" x14ac:dyDescent="0.3">
      <c r="A64" t="s">
        <v>74</v>
      </c>
      <c r="B64" t="s">
        <v>22</v>
      </c>
      <c r="C64" s="1">
        <v>33743</v>
      </c>
    </row>
    <row r="65" spans="1:3" x14ac:dyDescent="0.3">
      <c r="A65" t="s">
        <v>75</v>
      </c>
      <c r="B65" t="s">
        <v>24</v>
      </c>
      <c r="C65" s="1">
        <v>32068</v>
      </c>
    </row>
    <row r="66" spans="1:3" x14ac:dyDescent="0.3">
      <c r="A66" t="s">
        <v>76</v>
      </c>
      <c r="B66" t="s">
        <v>6</v>
      </c>
      <c r="C66" s="1">
        <v>34259</v>
      </c>
    </row>
    <row r="67" spans="1:3" x14ac:dyDescent="0.3">
      <c r="A67" t="s">
        <v>77</v>
      </c>
      <c r="B67" t="s">
        <v>12</v>
      </c>
      <c r="C67" s="1">
        <v>35137</v>
      </c>
    </row>
    <row r="68" spans="1:3" x14ac:dyDescent="0.3">
      <c r="A68" t="s">
        <v>78</v>
      </c>
      <c r="B68" t="s">
        <v>8</v>
      </c>
      <c r="C68" s="1">
        <v>24889</v>
      </c>
    </row>
    <row r="69" spans="1:3" x14ac:dyDescent="0.3">
      <c r="A69" t="s">
        <v>79</v>
      </c>
      <c r="B69" t="s">
        <v>8</v>
      </c>
      <c r="C69" s="1">
        <v>28293</v>
      </c>
    </row>
    <row r="70" spans="1:3" x14ac:dyDescent="0.3">
      <c r="A70" t="s">
        <v>80</v>
      </c>
      <c r="B70" t="s">
        <v>8</v>
      </c>
      <c r="C70" s="1">
        <v>32981</v>
      </c>
    </row>
    <row r="71" spans="1:3" x14ac:dyDescent="0.3">
      <c r="A71" t="s">
        <v>81</v>
      </c>
      <c r="B71" t="s">
        <v>24</v>
      </c>
      <c r="C71" s="1">
        <v>33447</v>
      </c>
    </row>
    <row r="72" spans="1:3" x14ac:dyDescent="0.3">
      <c r="A72" t="s">
        <v>82</v>
      </c>
      <c r="B72" t="s">
        <v>22</v>
      </c>
      <c r="C72" s="1">
        <v>33566</v>
      </c>
    </row>
    <row r="73" spans="1:3" x14ac:dyDescent="0.3">
      <c r="A73" t="s">
        <v>83</v>
      </c>
      <c r="B73" t="s">
        <v>22</v>
      </c>
      <c r="C73" s="1">
        <v>30535</v>
      </c>
    </row>
    <row r="74" spans="1:3" x14ac:dyDescent="0.3">
      <c r="A74" t="s">
        <v>84</v>
      </c>
      <c r="B74" t="s">
        <v>24</v>
      </c>
      <c r="C74" s="1">
        <v>34042</v>
      </c>
    </row>
    <row r="75" spans="1:3" x14ac:dyDescent="0.3">
      <c r="A75" t="s">
        <v>85</v>
      </c>
      <c r="B75" t="s">
        <v>4</v>
      </c>
      <c r="C75" s="1">
        <v>31088</v>
      </c>
    </row>
    <row r="76" spans="1:3" x14ac:dyDescent="0.3">
      <c r="A76" t="s">
        <v>86</v>
      </c>
      <c r="B76" t="s">
        <v>12</v>
      </c>
      <c r="C76" s="1">
        <v>23106</v>
      </c>
    </row>
    <row r="77" spans="1:3" x14ac:dyDescent="0.3">
      <c r="A77" t="s">
        <v>87</v>
      </c>
      <c r="B77" t="s">
        <v>4</v>
      </c>
      <c r="C77" s="1">
        <v>23283</v>
      </c>
    </row>
    <row r="78" spans="1:3" x14ac:dyDescent="0.3">
      <c r="A78" t="s">
        <v>88</v>
      </c>
      <c r="B78" t="s">
        <v>14</v>
      </c>
      <c r="C78" s="1">
        <v>33502</v>
      </c>
    </row>
    <row r="79" spans="1:3" x14ac:dyDescent="0.3">
      <c r="A79" t="s">
        <v>89</v>
      </c>
      <c r="B79" t="s">
        <v>12</v>
      </c>
      <c r="C79" s="1">
        <v>35015</v>
      </c>
    </row>
    <row r="80" spans="1:3" x14ac:dyDescent="0.3">
      <c r="A80" t="s">
        <v>90</v>
      </c>
      <c r="B80" t="s">
        <v>6</v>
      </c>
      <c r="C80" s="1">
        <v>30471</v>
      </c>
    </row>
    <row r="81" spans="1:3" x14ac:dyDescent="0.3">
      <c r="A81" t="s">
        <v>91</v>
      </c>
      <c r="B81" t="s">
        <v>4</v>
      </c>
      <c r="C81" s="1">
        <v>27140</v>
      </c>
    </row>
    <row r="82" spans="1:3" x14ac:dyDescent="0.3">
      <c r="A82" t="s">
        <v>92</v>
      </c>
      <c r="B82" t="s">
        <v>22</v>
      </c>
      <c r="C82" s="1">
        <v>26743</v>
      </c>
    </row>
    <row r="83" spans="1:3" x14ac:dyDescent="0.3">
      <c r="A83" t="s">
        <v>93</v>
      </c>
      <c r="B83" t="s">
        <v>24</v>
      </c>
      <c r="C83" s="1">
        <v>29076</v>
      </c>
    </row>
    <row r="84" spans="1:3" x14ac:dyDescent="0.3">
      <c r="A84" t="s">
        <v>94</v>
      </c>
      <c r="B84" t="s">
        <v>19</v>
      </c>
      <c r="C84" s="1">
        <v>28903</v>
      </c>
    </row>
    <row r="85" spans="1:3" x14ac:dyDescent="0.3">
      <c r="A85" t="s">
        <v>95</v>
      </c>
      <c r="B85" t="s">
        <v>8</v>
      </c>
      <c r="C85" s="1">
        <v>22432</v>
      </c>
    </row>
    <row r="86" spans="1:3" x14ac:dyDescent="0.3">
      <c r="A86" t="s">
        <v>96</v>
      </c>
      <c r="B86" t="s">
        <v>22</v>
      </c>
      <c r="C86" s="1">
        <v>25590</v>
      </c>
    </row>
    <row r="87" spans="1:3" x14ac:dyDescent="0.3">
      <c r="A87" t="s">
        <v>97</v>
      </c>
      <c r="B87" t="s">
        <v>24</v>
      </c>
      <c r="C87" s="1">
        <v>27219</v>
      </c>
    </row>
    <row r="88" spans="1:3" x14ac:dyDescent="0.3">
      <c r="A88" t="s">
        <v>98</v>
      </c>
      <c r="B88" t="s">
        <v>14</v>
      </c>
      <c r="C88" s="1">
        <v>23720</v>
      </c>
    </row>
    <row r="89" spans="1:3" x14ac:dyDescent="0.3">
      <c r="A89" t="s">
        <v>99</v>
      </c>
      <c r="B89" t="s">
        <v>12</v>
      </c>
      <c r="C89" s="1">
        <v>30146</v>
      </c>
    </row>
    <row r="90" spans="1:3" x14ac:dyDescent="0.3">
      <c r="A90" t="s">
        <v>100</v>
      </c>
      <c r="B90" t="s">
        <v>8</v>
      </c>
      <c r="C90" s="1">
        <v>30484</v>
      </c>
    </row>
    <row r="91" spans="1:3" x14ac:dyDescent="0.3">
      <c r="A91" t="s">
        <v>101</v>
      </c>
      <c r="B91" t="s">
        <v>14</v>
      </c>
      <c r="C91" s="1">
        <v>25720</v>
      </c>
    </row>
    <row r="92" spans="1:3" x14ac:dyDescent="0.3">
      <c r="A92" t="s">
        <v>102</v>
      </c>
      <c r="B92" t="s">
        <v>6</v>
      </c>
      <c r="C92" s="1">
        <v>29158</v>
      </c>
    </row>
    <row r="93" spans="1:3" x14ac:dyDescent="0.3">
      <c r="A93" t="s">
        <v>103</v>
      </c>
      <c r="B93" t="s">
        <v>24</v>
      </c>
      <c r="C93" s="1">
        <v>32482</v>
      </c>
    </row>
    <row r="94" spans="1:3" x14ac:dyDescent="0.3">
      <c r="A94" t="s">
        <v>104</v>
      </c>
      <c r="B94" t="s">
        <v>19</v>
      </c>
      <c r="C94" s="1">
        <v>22668</v>
      </c>
    </row>
    <row r="95" spans="1:3" x14ac:dyDescent="0.3">
      <c r="A95" t="s">
        <v>105</v>
      </c>
      <c r="B95" t="s">
        <v>8</v>
      </c>
      <c r="C95" s="1">
        <v>33096</v>
      </c>
    </row>
    <row r="96" spans="1:3" x14ac:dyDescent="0.3">
      <c r="A96" t="s">
        <v>106</v>
      </c>
      <c r="B96" t="s">
        <v>6</v>
      </c>
      <c r="C96" s="1">
        <v>22244</v>
      </c>
    </row>
    <row r="97" spans="1:3" x14ac:dyDescent="0.3">
      <c r="A97" t="s">
        <v>107</v>
      </c>
      <c r="B97" t="s">
        <v>17</v>
      </c>
      <c r="C97" s="1">
        <v>34981</v>
      </c>
    </row>
    <row r="98" spans="1:3" x14ac:dyDescent="0.3">
      <c r="A98" t="s">
        <v>108</v>
      </c>
      <c r="B98" t="s">
        <v>12</v>
      </c>
      <c r="C98" s="1">
        <v>31867</v>
      </c>
    </row>
    <row r="99" spans="1:3" x14ac:dyDescent="0.3">
      <c r="A99" t="s">
        <v>109</v>
      </c>
      <c r="B99" t="s">
        <v>19</v>
      </c>
      <c r="C99" s="1">
        <v>31330</v>
      </c>
    </row>
    <row r="100" spans="1:3" x14ac:dyDescent="0.3">
      <c r="A100" t="s">
        <v>110</v>
      </c>
      <c r="B100" t="s">
        <v>12</v>
      </c>
      <c r="C100" s="1">
        <v>23863</v>
      </c>
    </row>
    <row r="101" spans="1:3" x14ac:dyDescent="0.3">
      <c r="A101" t="s">
        <v>111</v>
      </c>
      <c r="B101" t="s">
        <v>17</v>
      </c>
      <c r="C101" s="1">
        <v>26287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DC41689-ABCD-41DD-A2BE-E3831F78940B}">
            <xm:f>NOT(ISERROR(SEARCH($B$23,B1)))</xm:f>
            <xm:f>$B$23</xm:f>
            <x14:dxf>
              <fill>
                <patternFill>
                  <bgColor rgb="FFFFC7CE"/>
                </patternFill>
              </fill>
            </x14:dxf>
          </x14:cfRule>
          <xm:sqref>B1:B1048576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E5AC-FD1B-4E12-91CB-6511C674F03C}">
  <dimension ref="A1:F101"/>
  <sheetViews>
    <sheetView workbookViewId="0">
      <pane ySplit="1" topLeftCell="A2" activePane="bottomLeft" state="frozen"/>
      <selection pane="bottomLeft" activeCell="B20" sqref="B20"/>
    </sheetView>
  </sheetViews>
  <sheetFormatPr defaultRowHeight="14.4" x14ac:dyDescent="0.3"/>
  <cols>
    <col min="1" max="1" width="35.6640625" bestFit="1" customWidth="1"/>
    <col min="2" max="2" width="15.5546875" bestFit="1" customWidth="1"/>
    <col min="3" max="3" width="21.109375" bestFit="1" customWidth="1"/>
    <col min="6" max="6" width="69.109375" customWidth="1"/>
  </cols>
  <sheetData>
    <row r="1" spans="1:6" ht="38.25" customHeight="1" thickBot="1" x14ac:dyDescent="0.35">
      <c r="A1" s="3" t="s">
        <v>0</v>
      </c>
      <c r="B1" s="3" t="s">
        <v>1</v>
      </c>
      <c r="C1" s="3" t="s">
        <v>2</v>
      </c>
      <c r="F1" s="2" t="s">
        <v>112</v>
      </c>
    </row>
    <row r="2" spans="1:6" ht="15" thickTop="1" x14ac:dyDescent="0.3">
      <c r="A2" t="s">
        <v>3</v>
      </c>
      <c r="B2" t="s">
        <v>4</v>
      </c>
      <c r="C2" s="1">
        <v>31011</v>
      </c>
    </row>
    <row r="3" spans="1:6" x14ac:dyDescent="0.3">
      <c r="A3" t="s">
        <v>5</v>
      </c>
      <c r="B3" t="s">
        <v>6</v>
      </c>
      <c r="C3" s="1">
        <v>27138</v>
      </c>
    </row>
    <row r="4" spans="1:6" x14ac:dyDescent="0.3">
      <c r="A4" t="s">
        <v>7</v>
      </c>
      <c r="B4" t="s">
        <v>8</v>
      </c>
      <c r="C4" s="1">
        <v>24057</v>
      </c>
    </row>
    <row r="5" spans="1:6" x14ac:dyDescent="0.3">
      <c r="A5" t="s">
        <v>9</v>
      </c>
      <c r="B5" t="s">
        <v>6</v>
      </c>
      <c r="C5" s="1">
        <v>24667</v>
      </c>
    </row>
    <row r="6" spans="1:6" x14ac:dyDescent="0.3">
      <c r="A6" t="s">
        <v>10</v>
      </c>
      <c r="B6" t="s">
        <v>8</v>
      </c>
      <c r="C6" s="1">
        <v>29545</v>
      </c>
    </row>
    <row r="7" spans="1:6" x14ac:dyDescent="0.3">
      <c r="A7" t="s">
        <v>11</v>
      </c>
      <c r="B7" t="s">
        <v>12</v>
      </c>
      <c r="C7" s="1">
        <v>24447</v>
      </c>
    </row>
    <row r="8" spans="1:6" x14ac:dyDescent="0.3">
      <c r="A8" t="s">
        <v>13</v>
      </c>
      <c r="B8" t="s">
        <v>14</v>
      </c>
      <c r="C8" s="1">
        <v>32500</v>
      </c>
    </row>
    <row r="9" spans="1:6" x14ac:dyDescent="0.3">
      <c r="A9" t="s">
        <v>15</v>
      </c>
      <c r="B9" t="s">
        <v>8</v>
      </c>
      <c r="C9" s="1">
        <v>30346</v>
      </c>
    </row>
    <row r="10" spans="1:6" x14ac:dyDescent="0.3">
      <c r="A10" t="s">
        <v>16</v>
      </c>
      <c r="B10" t="s">
        <v>17</v>
      </c>
      <c r="C10" s="1">
        <v>28965</v>
      </c>
    </row>
    <row r="11" spans="1:6" x14ac:dyDescent="0.3">
      <c r="A11" t="s">
        <v>18</v>
      </c>
      <c r="B11" t="s">
        <v>19</v>
      </c>
      <c r="C11" s="1">
        <v>26279</v>
      </c>
    </row>
    <row r="12" spans="1:6" x14ac:dyDescent="0.3">
      <c r="A12" t="s">
        <v>20</v>
      </c>
      <c r="B12" t="s">
        <v>8</v>
      </c>
      <c r="C12" s="1">
        <v>23401</v>
      </c>
    </row>
    <row r="13" spans="1:6" x14ac:dyDescent="0.3">
      <c r="A13" t="s">
        <v>21</v>
      </c>
      <c r="B13" t="s">
        <v>22</v>
      </c>
      <c r="C13" s="1">
        <v>30683</v>
      </c>
    </row>
    <row r="14" spans="1:6" x14ac:dyDescent="0.3">
      <c r="A14" t="s">
        <v>23</v>
      </c>
      <c r="B14" t="s">
        <v>24</v>
      </c>
      <c r="C14" s="1">
        <v>33633</v>
      </c>
    </row>
    <row r="15" spans="1:6" x14ac:dyDescent="0.3">
      <c r="A15" t="s">
        <v>25</v>
      </c>
      <c r="B15" t="s">
        <v>19</v>
      </c>
      <c r="C15" s="1">
        <v>32667</v>
      </c>
    </row>
    <row r="16" spans="1:6" x14ac:dyDescent="0.3">
      <c r="A16" t="s">
        <v>26</v>
      </c>
      <c r="B16" t="s">
        <v>8</v>
      </c>
      <c r="C16" s="1">
        <v>29967</v>
      </c>
    </row>
    <row r="17" spans="1:3" x14ac:dyDescent="0.3">
      <c r="A17" t="s">
        <v>27</v>
      </c>
      <c r="B17" t="s">
        <v>12</v>
      </c>
      <c r="C17" s="1">
        <v>31537</v>
      </c>
    </row>
    <row r="18" spans="1:3" x14ac:dyDescent="0.3">
      <c r="A18" t="s">
        <v>28</v>
      </c>
      <c r="B18" t="s">
        <v>17</v>
      </c>
      <c r="C18" s="1">
        <v>31792</v>
      </c>
    </row>
    <row r="19" spans="1:3" x14ac:dyDescent="0.3">
      <c r="A19" t="s">
        <v>29</v>
      </c>
      <c r="B19" t="s">
        <v>8</v>
      </c>
      <c r="C19" s="1">
        <v>28774</v>
      </c>
    </row>
    <row r="20" spans="1:3" x14ac:dyDescent="0.3">
      <c r="A20" t="s">
        <v>30</v>
      </c>
      <c r="B20" t="s">
        <v>6</v>
      </c>
      <c r="C20" s="1">
        <v>33996</v>
      </c>
    </row>
    <row r="21" spans="1:3" x14ac:dyDescent="0.3">
      <c r="A21" t="s">
        <v>31</v>
      </c>
      <c r="B21" t="s">
        <v>22</v>
      </c>
      <c r="C21" s="1">
        <v>23913</v>
      </c>
    </row>
    <row r="22" spans="1:3" x14ac:dyDescent="0.3">
      <c r="A22" t="s">
        <v>32</v>
      </c>
      <c r="B22" t="s">
        <v>17</v>
      </c>
      <c r="C22" s="1">
        <v>32473</v>
      </c>
    </row>
    <row r="23" spans="1:3" x14ac:dyDescent="0.3">
      <c r="A23" t="s">
        <v>33</v>
      </c>
      <c r="B23" t="s">
        <v>4</v>
      </c>
      <c r="C23" s="1">
        <v>22349</v>
      </c>
    </row>
    <row r="24" spans="1:3" x14ac:dyDescent="0.3">
      <c r="A24" t="s">
        <v>34</v>
      </c>
      <c r="B24" t="s">
        <v>14</v>
      </c>
      <c r="C24" s="1">
        <v>23770</v>
      </c>
    </row>
    <row r="25" spans="1:3" x14ac:dyDescent="0.3">
      <c r="A25" t="s">
        <v>35</v>
      </c>
      <c r="B25" t="s">
        <v>24</v>
      </c>
      <c r="C25" s="1">
        <v>22525</v>
      </c>
    </row>
    <row r="26" spans="1:3" x14ac:dyDescent="0.3">
      <c r="A26" t="s">
        <v>36</v>
      </c>
      <c r="B26" t="s">
        <v>8</v>
      </c>
      <c r="C26" s="1">
        <v>34320</v>
      </c>
    </row>
    <row r="27" spans="1:3" x14ac:dyDescent="0.3">
      <c r="A27" t="s">
        <v>37</v>
      </c>
      <c r="B27" t="s">
        <v>19</v>
      </c>
      <c r="C27" s="1">
        <v>32265</v>
      </c>
    </row>
    <row r="28" spans="1:3" x14ac:dyDescent="0.3">
      <c r="A28" t="s">
        <v>38</v>
      </c>
      <c r="B28" t="s">
        <v>22</v>
      </c>
      <c r="C28" s="1">
        <v>32388</v>
      </c>
    </row>
    <row r="29" spans="1:3" x14ac:dyDescent="0.3">
      <c r="A29" t="s">
        <v>39</v>
      </c>
      <c r="B29" t="s">
        <v>4</v>
      </c>
      <c r="C29" s="1">
        <v>24183</v>
      </c>
    </row>
    <row r="30" spans="1:3" x14ac:dyDescent="0.3">
      <c r="A30" t="s">
        <v>40</v>
      </c>
      <c r="B30" t="s">
        <v>14</v>
      </c>
      <c r="C30" s="1">
        <v>25304</v>
      </c>
    </row>
    <row r="31" spans="1:3" x14ac:dyDescent="0.3">
      <c r="A31" t="s">
        <v>41</v>
      </c>
      <c r="B31" t="s">
        <v>22</v>
      </c>
      <c r="C31" s="1">
        <v>34127</v>
      </c>
    </row>
    <row r="32" spans="1:3" x14ac:dyDescent="0.3">
      <c r="A32" t="s">
        <v>42</v>
      </c>
      <c r="B32" t="s">
        <v>12</v>
      </c>
      <c r="C32" s="1">
        <v>32342</v>
      </c>
    </row>
    <row r="33" spans="1:3" x14ac:dyDescent="0.3">
      <c r="A33" t="s">
        <v>43</v>
      </c>
      <c r="B33" t="s">
        <v>19</v>
      </c>
      <c r="C33" s="1">
        <v>30828</v>
      </c>
    </row>
    <row r="34" spans="1:3" x14ac:dyDescent="0.3">
      <c r="A34" t="s">
        <v>44</v>
      </c>
      <c r="B34" t="s">
        <v>6</v>
      </c>
      <c r="C34" s="1">
        <v>26195</v>
      </c>
    </row>
    <row r="35" spans="1:3" x14ac:dyDescent="0.3">
      <c r="A35" t="s">
        <v>45</v>
      </c>
      <c r="B35" t="s">
        <v>6</v>
      </c>
      <c r="C35" s="1">
        <v>34485</v>
      </c>
    </row>
    <row r="36" spans="1:3" x14ac:dyDescent="0.3">
      <c r="A36" t="s">
        <v>46</v>
      </c>
      <c r="B36" t="s">
        <v>24</v>
      </c>
      <c r="C36" s="1">
        <v>34585</v>
      </c>
    </row>
    <row r="37" spans="1:3" x14ac:dyDescent="0.3">
      <c r="A37" t="s">
        <v>47</v>
      </c>
      <c r="B37" t="s">
        <v>24</v>
      </c>
      <c r="C37" s="1">
        <v>29375</v>
      </c>
    </row>
    <row r="38" spans="1:3" x14ac:dyDescent="0.3">
      <c r="A38" t="s">
        <v>48</v>
      </c>
      <c r="B38" t="s">
        <v>8</v>
      </c>
      <c r="C38" s="1">
        <v>22566</v>
      </c>
    </row>
    <row r="39" spans="1:3" x14ac:dyDescent="0.3">
      <c r="A39" t="s">
        <v>49</v>
      </c>
      <c r="B39" t="s">
        <v>14</v>
      </c>
      <c r="C39" s="1">
        <v>22136</v>
      </c>
    </row>
    <row r="40" spans="1:3" x14ac:dyDescent="0.3">
      <c r="A40" t="s">
        <v>50</v>
      </c>
      <c r="B40" t="s">
        <v>4</v>
      </c>
      <c r="C40" s="1">
        <v>26650</v>
      </c>
    </row>
    <row r="41" spans="1:3" x14ac:dyDescent="0.3">
      <c r="A41" t="s">
        <v>51</v>
      </c>
      <c r="B41" t="s">
        <v>14</v>
      </c>
      <c r="C41" s="1">
        <v>32410</v>
      </c>
    </row>
    <row r="42" spans="1:3" x14ac:dyDescent="0.3">
      <c r="A42" t="s">
        <v>52</v>
      </c>
      <c r="B42" t="s">
        <v>19</v>
      </c>
      <c r="C42" s="1">
        <v>25424</v>
      </c>
    </row>
    <row r="43" spans="1:3" x14ac:dyDescent="0.3">
      <c r="A43" t="s">
        <v>53</v>
      </c>
      <c r="B43" t="s">
        <v>19</v>
      </c>
      <c r="C43" s="1">
        <v>31288</v>
      </c>
    </row>
    <row r="44" spans="1:3" x14ac:dyDescent="0.3">
      <c r="A44" t="s">
        <v>54</v>
      </c>
      <c r="B44" t="s">
        <v>6</v>
      </c>
      <c r="C44" s="1">
        <v>22321</v>
      </c>
    </row>
    <row r="45" spans="1:3" x14ac:dyDescent="0.3">
      <c r="A45" t="s">
        <v>55</v>
      </c>
      <c r="B45" t="s">
        <v>19</v>
      </c>
      <c r="C45" s="1">
        <v>32532</v>
      </c>
    </row>
    <row r="46" spans="1:3" x14ac:dyDescent="0.3">
      <c r="A46" t="s">
        <v>56</v>
      </c>
      <c r="B46" t="s">
        <v>22</v>
      </c>
      <c r="C46" s="1">
        <v>34662</v>
      </c>
    </row>
    <row r="47" spans="1:3" x14ac:dyDescent="0.3">
      <c r="A47" t="s">
        <v>57</v>
      </c>
      <c r="B47" t="s">
        <v>12</v>
      </c>
      <c r="C47" s="1">
        <v>24268</v>
      </c>
    </row>
    <row r="48" spans="1:3" x14ac:dyDescent="0.3">
      <c r="A48" t="s">
        <v>58</v>
      </c>
      <c r="B48" t="s">
        <v>14</v>
      </c>
      <c r="C48" s="1">
        <v>23199</v>
      </c>
    </row>
    <row r="49" spans="1:3" x14ac:dyDescent="0.3">
      <c r="A49" t="s">
        <v>59</v>
      </c>
      <c r="B49" t="s">
        <v>24</v>
      </c>
      <c r="C49" s="1">
        <v>30395</v>
      </c>
    </row>
    <row r="50" spans="1:3" x14ac:dyDescent="0.3">
      <c r="A50" t="s">
        <v>60</v>
      </c>
      <c r="B50" t="s">
        <v>6</v>
      </c>
      <c r="C50" s="1">
        <v>32277</v>
      </c>
    </row>
    <row r="51" spans="1:3" x14ac:dyDescent="0.3">
      <c r="A51" t="s">
        <v>61</v>
      </c>
      <c r="B51" t="s">
        <v>24</v>
      </c>
      <c r="C51" s="1">
        <v>23134</v>
      </c>
    </row>
    <row r="52" spans="1:3" x14ac:dyDescent="0.3">
      <c r="A52" t="s">
        <v>62</v>
      </c>
      <c r="B52" t="s">
        <v>17</v>
      </c>
      <c r="C52" s="1">
        <v>27066</v>
      </c>
    </row>
    <row r="53" spans="1:3" x14ac:dyDescent="0.3">
      <c r="A53" t="s">
        <v>63</v>
      </c>
      <c r="B53" t="s">
        <v>22</v>
      </c>
      <c r="C53" s="1">
        <v>23843</v>
      </c>
    </row>
    <row r="54" spans="1:3" x14ac:dyDescent="0.3">
      <c r="A54" t="s">
        <v>64</v>
      </c>
      <c r="B54" t="s">
        <v>17</v>
      </c>
      <c r="C54" s="1">
        <v>26377</v>
      </c>
    </row>
    <row r="55" spans="1:3" x14ac:dyDescent="0.3">
      <c r="A55" t="s">
        <v>65</v>
      </c>
      <c r="B55" t="s">
        <v>17</v>
      </c>
      <c r="C55" s="1">
        <v>25591</v>
      </c>
    </row>
    <row r="56" spans="1:3" x14ac:dyDescent="0.3">
      <c r="A56" t="s">
        <v>66</v>
      </c>
      <c r="B56" t="s">
        <v>8</v>
      </c>
      <c r="C56" s="1">
        <v>25075</v>
      </c>
    </row>
    <row r="57" spans="1:3" x14ac:dyDescent="0.3">
      <c r="A57" t="s">
        <v>67</v>
      </c>
      <c r="B57" t="s">
        <v>14</v>
      </c>
      <c r="C57" s="1">
        <v>25405</v>
      </c>
    </row>
    <row r="58" spans="1:3" x14ac:dyDescent="0.3">
      <c r="A58" t="s">
        <v>68</v>
      </c>
      <c r="B58" t="s">
        <v>22</v>
      </c>
      <c r="C58" s="1">
        <v>33638</v>
      </c>
    </row>
    <row r="59" spans="1:3" x14ac:dyDescent="0.3">
      <c r="A59" t="s">
        <v>69</v>
      </c>
      <c r="B59" t="s">
        <v>22</v>
      </c>
      <c r="C59" s="1">
        <v>26611</v>
      </c>
    </row>
    <row r="60" spans="1:3" x14ac:dyDescent="0.3">
      <c r="A60" t="s">
        <v>70</v>
      </c>
      <c r="B60" t="s">
        <v>12</v>
      </c>
      <c r="C60" s="1">
        <v>23758</v>
      </c>
    </row>
    <row r="61" spans="1:3" x14ac:dyDescent="0.3">
      <c r="A61" t="s">
        <v>71</v>
      </c>
      <c r="B61" t="s">
        <v>24</v>
      </c>
      <c r="C61" s="1">
        <v>27669</v>
      </c>
    </row>
    <row r="62" spans="1:3" x14ac:dyDescent="0.3">
      <c r="A62" t="s">
        <v>72</v>
      </c>
      <c r="B62" t="s">
        <v>17</v>
      </c>
      <c r="C62" s="1">
        <v>34638</v>
      </c>
    </row>
    <row r="63" spans="1:3" x14ac:dyDescent="0.3">
      <c r="A63" t="s">
        <v>73</v>
      </c>
      <c r="B63" t="s">
        <v>6</v>
      </c>
      <c r="C63" s="1">
        <v>33841</v>
      </c>
    </row>
    <row r="64" spans="1:3" x14ac:dyDescent="0.3">
      <c r="A64" t="s">
        <v>74</v>
      </c>
      <c r="B64" t="s">
        <v>22</v>
      </c>
      <c r="C64" s="1">
        <v>33743</v>
      </c>
    </row>
    <row r="65" spans="1:3" x14ac:dyDescent="0.3">
      <c r="A65" t="s">
        <v>75</v>
      </c>
      <c r="B65" t="s">
        <v>24</v>
      </c>
      <c r="C65" s="1">
        <v>32068</v>
      </c>
    </row>
    <row r="66" spans="1:3" x14ac:dyDescent="0.3">
      <c r="A66" t="s">
        <v>76</v>
      </c>
      <c r="B66" t="s">
        <v>6</v>
      </c>
      <c r="C66" s="1">
        <v>34259</v>
      </c>
    </row>
    <row r="67" spans="1:3" x14ac:dyDescent="0.3">
      <c r="A67" t="s">
        <v>77</v>
      </c>
      <c r="B67" t="s">
        <v>12</v>
      </c>
      <c r="C67" s="1">
        <v>35137</v>
      </c>
    </row>
    <row r="68" spans="1:3" x14ac:dyDescent="0.3">
      <c r="A68" t="s">
        <v>78</v>
      </c>
      <c r="B68" t="s">
        <v>8</v>
      </c>
      <c r="C68" s="1">
        <v>24889</v>
      </c>
    </row>
    <row r="69" spans="1:3" x14ac:dyDescent="0.3">
      <c r="A69" t="s">
        <v>79</v>
      </c>
      <c r="B69" t="s">
        <v>8</v>
      </c>
      <c r="C69" s="1">
        <v>28293</v>
      </c>
    </row>
    <row r="70" spans="1:3" x14ac:dyDescent="0.3">
      <c r="A70" t="s">
        <v>80</v>
      </c>
      <c r="B70" t="s">
        <v>8</v>
      </c>
      <c r="C70" s="1">
        <v>32981</v>
      </c>
    </row>
    <row r="71" spans="1:3" x14ac:dyDescent="0.3">
      <c r="A71" t="s">
        <v>81</v>
      </c>
      <c r="B71" t="s">
        <v>24</v>
      </c>
      <c r="C71" s="1">
        <v>33447</v>
      </c>
    </row>
    <row r="72" spans="1:3" x14ac:dyDescent="0.3">
      <c r="A72" t="s">
        <v>82</v>
      </c>
      <c r="B72" t="s">
        <v>22</v>
      </c>
      <c r="C72" s="1">
        <v>33566</v>
      </c>
    </row>
    <row r="73" spans="1:3" x14ac:dyDescent="0.3">
      <c r="A73" t="s">
        <v>83</v>
      </c>
      <c r="B73" t="s">
        <v>22</v>
      </c>
      <c r="C73" s="1">
        <v>30535</v>
      </c>
    </row>
    <row r="74" spans="1:3" x14ac:dyDescent="0.3">
      <c r="A74" t="s">
        <v>84</v>
      </c>
      <c r="B74" t="s">
        <v>24</v>
      </c>
      <c r="C74" s="1">
        <v>34042</v>
      </c>
    </row>
    <row r="75" spans="1:3" x14ac:dyDescent="0.3">
      <c r="A75" t="s">
        <v>85</v>
      </c>
      <c r="B75" t="s">
        <v>4</v>
      </c>
      <c r="C75" s="1">
        <v>31088</v>
      </c>
    </row>
    <row r="76" spans="1:3" x14ac:dyDescent="0.3">
      <c r="A76" t="s">
        <v>86</v>
      </c>
      <c r="B76" t="s">
        <v>12</v>
      </c>
      <c r="C76" s="1">
        <v>23106</v>
      </c>
    </row>
    <row r="77" spans="1:3" x14ac:dyDescent="0.3">
      <c r="A77" t="s">
        <v>87</v>
      </c>
      <c r="B77" t="s">
        <v>4</v>
      </c>
      <c r="C77" s="1">
        <v>23283</v>
      </c>
    </row>
    <row r="78" spans="1:3" x14ac:dyDescent="0.3">
      <c r="A78" t="s">
        <v>88</v>
      </c>
      <c r="B78" t="s">
        <v>14</v>
      </c>
      <c r="C78" s="1">
        <v>33502</v>
      </c>
    </row>
    <row r="79" spans="1:3" x14ac:dyDescent="0.3">
      <c r="A79" t="s">
        <v>89</v>
      </c>
      <c r="B79" t="s">
        <v>12</v>
      </c>
      <c r="C79" s="1">
        <v>35015</v>
      </c>
    </row>
    <row r="80" spans="1:3" x14ac:dyDescent="0.3">
      <c r="A80" t="s">
        <v>90</v>
      </c>
      <c r="B80" t="s">
        <v>6</v>
      </c>
      <c r="C80" s="1">
        <v>30471</v>
      </c>
    </row>
    <row r="81" spans="1:3" x14ac:dyDescent="0.3">
      <c r="A81" t="s">
        <v>91</v>
      </c>
      <c r="B81" t="s">
        <v>4</v>
      </c>
      <c r="C81" s="1">
        <v>27140</v>
      </c>
    </row>
    <row r="82" spans="1:3" x14ac:dyDescent="0.3">
      <c r="A82" t="s">
        <v>92</v>
      </c>
      <c r="B82" t="s">
        <v>22</v>
      </c>
      <c r="C82" s="1">
        <v>26743</v>
      </c>
    </row>
    <row r="83" spans="1:3" x14ac:dyDescent="0.3">
      <c r="A83" t="s">
        <v>93</v>
      </c>
      <c r="B83" t="s">
        <v>24</v>
      </c>
      <c r="C83" s="1">
        <v>29076</v>
      </c>
    </row>
    <row r="84" spans="1:3" x14ac:dyDescent="0.3">
      <c r="A84" t="s">
        <v>94</v>
      </c>
      <c r="B84" t="s">
        <v>19</v>
      </c>
      <c r="C84" s="1">
        <v>28903</v>
      </c>
    </row>
    <row r="85" spans="1:3" x14ac:dyDescent="0.3">
      <c r="A85" t="s">
        <v>95</v>
      </c>
      <c r="B85" t="s">
        <v>8</v>
      </c>
      <c r="C85" s="1">
        <v>22432</v>
      </c>
    </row>
    <row r="86" spans="1:3" x14ac:dyDescent="0.3">
      <c r="A86" t="s">
        <v>96</v>
      </c>
      <c r="B86" t="s">
        <v>22</v>
      </c>
      <c r="C86" s="1">
        <v>25590</v>
      </c>
    </row>
    <row r="87" spans="1:3" x14ac:dyDescent="0.3">
      <c r="A87" t="s">
        <v>97</v>
      </c>
      <c r="B87" t="s">
        <v>24</v>
      </c>
      <c r="C87" s="1">
        <v>27219</v>
      </c>
    </row>
    <row r="88" spans="1:3" x14ac:dyDescent="0.3">
      <c r="A88" t="s">
        <v>98</v>
      </c>
      <c r="B88" t="s">
        <v>14</v>
      </c>
      <c r="C88" s="1">
        <v>23720</v>
      </c>
    </row>
    <row r="89" spans="1:3" x14ac:dyDescent="0.3">
      <c r="A89" t="s">
        <v>99</v>
      </c>
      <c r="B89" t="s">
        <v>12</v>
      </c>
      <c r="C89" s="1">
        <v>30146</v>
      </c>
    </row>
    <row r="90" spans="1:3" x14ac:dyDescent="0.3">
      <c r="A90" t="s">
        <v>100</v>
      </c>
      <c r="B90" t="s">
        <v>8</v>
      </c>
      <c r="C90" s="1">
        <v>30484</v>
      </c>
    </row>
    <row r="91" spans="1:3" x14ac:dyDescent="0.3">
      <c r="A91" t="s">
        <v>101</v>
      </c>
      <c r="B91" t="s">
        <v>14</v>
      </c>
      <c r="C91" s="1">
        <v>25720</v>
      </c>
    </row>
    <row r="92" spans="1:3" x14ac:dyDescent="0.3">
      <c r="A92" t="s">
        <v>102</v>
      </c>
      <c r="B92" t="s">
        <v>6</v>
      </c>
      <c r="C92" s="1">
        <v>29158</v>
      </c>
    </row>
    <row r="93" spans="1:3" x14ac:dyDescent="0.3">
      <c r="A93" t="s">
        <v>103</v>
      </c>
      <c r="B93" t="s">
        <v>24</v>
      </c>
      <c r="C93" s="1">
        <v>32482</v>
      </c>
    </row>
    <row r="94" spans="1:3" x14ac:dyDescent="0.3">
      <c r="A94" t="s">
        <v>104</v>
      </c>
      <c r="B94" t="s">
        <v>19</v>
      </c>
      <c r="C94" s="1">
        <v>22668</v>
      </c>
    </row>
    <row r="95" spans="1:3" x14ac:dyDescent="0.3">
      <c r="A95" t="s">
        <v>105</v>
      </c>
      <c r="B95" t="s">
        <v>8</v>
      </c>
      <c r="C95" s="1">
        <v>33096</v>
      </c>
    </row>
    <row r="96" spans="1:3" x14ac:dyDescent="0.3">
      <c r="A96" t="s">
        <v>106</v>
      </c>
      <c r="B96" t="s">
        <v>6</v>
      </c>
      <c r="C96" s="1">
        <v>22244</v>
      </c>
    </row>
    <row r="97" spans="1:3" x14ac:dyDescent="0.3">
      <c r="A97" t="s">
        <v>107</v>
      </c>
      <c r="B97" t="s">
        <v>17</v>
      </c>
      <c r="C97" s="1">
        <v>34981</v>
      </c>
    </row>
    <row r="98" spans="1:3" x14ac:dyDescent="0.3">
      <c r="A98" t="s">
        <v>108</v>
      </c>
      <c r="B98" t="s">
        <v>12</v>
      </c>
      <c r="C98" s="1">
        <v>31867</v>
      </c>
    </row>
    <row r="99" spans="1:3" x14ac:dyDescent="0.3">
      <c r="A99" t="s">
        <v>109</v>
      </c>
      <c r="B99" t="s">
        <v>19</v>
      </c>
      <c r="C99" s="1">
        <v>31330</v>
      </c>
    </row>
    <row r="100" spans="1:3" x14ac:dyDescent="0.3">
      <c r="A100" t="s">
        <v>110</v>
      </c>
      <c r="B100" t="s">
        <v>12</v>
      </c>
      <c r="C100" s="1">
        <v>23863</v>
      </c>
    </row>
    <row r="101" spans="1:3" x14ac:dyDescent="0.3">
      <c r="A101" t="s">
        <v>111</v>
      </c>
      <c r="B101" t="s">
        <v>17</v>
      </c>
      <c r="C101" s="1">
        <v>26287</v>
      </c>
    </row>
  </sheetData>
  <conditionalFormatting sqref="A2:A101">
    <cfRule type="expression" dxfId="26" priority="1">
      <formula>B2="Администрация"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B9C6-A2D7-429E-9CE1-4439BF1C8202}">
  <dimension ref="A1:F101"/>
  <sheetViews>
    <sheetView workbookViewId="0">
      <pane ySplit="1" topLeftCell="A2" activePane="bottomLeft" state="frozen"/>
      <selection pane="bottomLeft" activeCell="B20" sqref="B20"/>
    </sheetView>
  </sheetViews>
  <sheetFormatPr defaultRowHeight="14.4" x14ac:dyDescent="0.3"/>
  <cols>
    <col min="1" max="1" width="35.6640625" bestFit="1" customWidth="1"/>
    <col min="2" max="2" width="15.5546875" bestFit="1" customWidth="1"/>
    <col min="3" max="3" width="21.109375" bestFit="1" customWidth="1"/>
    <col min="6" max="6" width="69.109375" customWidth="1"/>
  </cols>
  <sheetData>
    <row r="1" spans="1:6" ht="38.25" customHeight="1" thickBot="1" x14ac:dyDescent="0.35">
      <c r="A1" s="3" t="s">
        <v>0</v>
      </c>
      <c r="B1" s="3" t="s">
        <v>1</v>
      </c>
      <c r="C1" s="3" t="s">
        <v>2</v>
      </c>
      <c r="F1" s="2" t="s">
        <v>214</v>
      </c>
    </row>
    <row r="2" spans="1:6" ht="15" thickTop="1" x14ac:dyDescent="0.3">
      <c r="A2" t="s">
        <v>3</v>
      </c>
      <c r="B2" t="s">
        <v>4</v>
      </c>
      <c r="C2" s="1">
        <v>31011</v>
      </c>
    </row>
    <row r="3" spans="1:6" x14ac:dyDescent="0.3">
      <c r="A3" t="s">
        <v>5</v>
      </c>
      <c r="B3" t="s">
        <v>6</v>
      </c>
      <c r="C3" s="1">
        <v>27138</v>
      </c>
    </row>
    <row r="4" spans="1:6" x14ac:dyDescent="0.3">
      <c r="A4" t="s">
        <v>7</v>
      </c>
      <c r="B4" t="s">
        <v>8</v>
      </c>
      <c r="C4" s="1">
        <v>24057</v>
      </c>
    </row>
    <row r="5" spans="1:6" x14ac:dyDescent="0.3">
      <c r="A5" t="s">
        <v>9</v>
      </c>
      <c r="B5" t="s">
        <v>6</v>
      </c>
      <c r="C5" s="1">
        <v>24667</v>
      </c>
    </row>
    <row r="6" spans="1:6" x14ac:dyDescent="0.3">
      <c r="A6" t="s">
        <v>10</v>
      </c>
      <c r="B6" t="s">
        <v>8</v>
      </c>
      <c r="C6" s="1">
        <v>29545</v>
      </c>
    </row>
    <row r="7" spans="1:6" x14ac:dyDescent="0.3">
      <c r="A7" t="s">
        <v>11</v>
      </c>
      <c r="B7" t="s">
        <v>12</v>
      </c>
      <c r="C7" s="1">
        <v>24447</v>
      </c>
    </row>
    <row r="8" spans="1:6" x14ac:dyDescent="0.3">
      <c r="A8" t="s">
        <v>13</v>
      </c>
      <c r="B8" t="s">
        <v>14</v>
      </c>
      <c r="C8" s="1">
        <v>32500</v>
      </c>
    </row>
    <row r="9" spans="1:6" x14ac:dyDescent="0.3">
      <c r="A9" t="s">
        <v>15</v>
      </c>
      <c r="B9" t="s">
        <v>8</v>
      </c>
      <c r="C9" s="1">
        <v>30346</v>
      </c>
    </row>
    <row r="10" spans="1:6" x14ac:dyDescent="0.3">
      <c r="A10" t="s">
        <v>16</v>
      </c>
      <c r="B10" t="s">
        <v>17</v>
      </c>
      <c r="C10" s="1">
        <v>28965</v>
      </c>
    </row>
    <row r="11" spans="1:6" x14ac:dyDescent="0.3">
      <c r="A11" t="s">
        <v>18</v>
      </c>
      <c r="B11" t="s">
        <v>19</v>
      </c>
      <c r="C11" s="1">
        <v>26279</v>
      </c>
    </row>
    <row r="12" spans="1:6" x14ac:dyDescent="0.3">
      <c r="A12" t="s">
        <v>20</v>
      </c>
      <c r="B12" t="s">
        <v>8</v>
      </c>
      <c r="C12" s="1">
        <v>23401</v>
      </c>
    </row>
    <row r="13" spans="1:6" x14ac:dyDescent="0.3">
      <c r="A13" t="s">
        <v>21</v>
      </c>
      <c r="B13" t="s">
        <v>22</v>
      </c>
      <c r="C13" s="1">
        <v>30683</v>
      </c>
    </row>
    <row r="14" spans="1:6" x14ac:dyDescent="0.3">
      <c r="A14" t="s">
        <v>23</v>
      </c>
      <c r="B14" t="s">
        <v>24</v>
      </c>
      <c r="C14" s="1">
        <v>33633</v>
      </c>
    </row>
    <row r="15" spans="1:6" x14ac:dyDescent="0.3">
      <c r="A15" t="s">
        <v>25</v>
      </c>
      <c r="B15" t="s">
        <v>19</v>
      </c>
      <c r="C15" s="1">
        <v>32667</v>
      </c>
    </row>
    <row r="16" spans="1:6" x14ac:dyDescent="0.3">
      <c r="A16" t="s">
        <v>26</v>
      </c>
      <c r="B16" t="s">
        <v>8</v>
      </c>
      <c r="C16" s="1">
        <v>29967</v>
      </c>
    </row>
    <row r="17" spans="1:3" x14ac:dyDescent="0.3">
      <c r="A17" t="s">
        <v>27</v>
      </c>
      <c r="B17" t="s">
        <v>12</v>
      </c>
      <c r="C17" s="1">
        <v>31537</v>
      </c>
    </row>
    <row r="18" spans="1:3" x14ac:dyDescent="0.3">
      <c r="A18" t="s">
        <v>28</v>
      </c>
      <c r="B18" t="s">
        <v>17</v>
      </c>
      <c r="C18" s="1">
        <v>31792</v>
      </c>
    </row>
    <row r="19" spans="1:3" x14ac:dyDescent="0.3">
      <c r="A19" t="s">
        <v>29</v>
      </c>
      <c r="B19" t="s">
        <v>8</v>
      </c>
      <c r="C19" s="1">
        <v>28774</v>
      </c>
    </row>
    <row r="20" spans="1:3" x14ac:dyDescent="0.3">
      <c r="A20" t="s">
        <v>30</v>
      </c>
      <c r="B20" t="s">
        <v>6</v>
      </c>
      <c r="C20" s="1">
        <v>33996</v>
      </c>
    </row>
    <row r="21" spans="1:3" x14ac:dyDescent="0.3">
      <c r="A21" t="s">
        <v>31</v>
      </c>
      <c r="B21" t="s">
        <v>22</v>
      </c>
      <c r="C21" s="1">
        <v>23913</v>
      </c>
    </row>
    <row r="22" spans="1:3" x14ac:dyDescent="0.3">
      <c r="A22" t="s">
        <v>32</v>
      </c>
      <c r="B22" t="s">
        <v>17</v>
      </c>
      <c r="C22" s="1">
        <v>32473</v>
      </c>
    </row>
    <row r="23" spans="1:3" x14ac:dyDescent="0.3">
      <c r="A23" t="s">
        <v>33</v>
      </c>
      <c r="B23" t="s">
        <v>4</v>
      </c>
      <c r="C23" s="1">
        <v>22349</v>
      </c>
    </row>
    <row r="24" spans="1:3" x14ac:dyDescent="0.3">
      <c r="A24" t="s">
        <v>34</v>
      </c>
      <c r="B24" t="s">
        <v>14</v>
      </c>
      <c r="C24" s="1">
        <v>23770</v>
      </c>
    </row>
    <row r="25" spans="1:3" x14ac:dyDescent="0.3">
      <c r="A25" t="s">
        <v>35</v>
      </c>
      <c r="B25" t="s">
        <v>24</v>
      </c>
      <c r="C25" s="1">
        <v>22525</v>
      </c>
    </row>
    <row r="26" spans="1:3" x14ac:dyDescent="0.3">
      <c r="A26" t="s">
        <v>36</v>
      </c>
      <c r="B26" t="s">
        <v>8</v>
      </c>
      <c r="C26" s="1">
        <v>34320</v>
      </c>
    </row>
    <row r="27" spans="1:3" x14ac:dyDescent="0.3">
      <c r="A27" t="s">
        <v>37</v>
      </c>
      <c r="B27" t="s">
        <v>19</v>
      </c>
      <c r="C27" s="1">
        <v>32265</v>
      </c>
    </row>
    <row r="28" spans="1:3" x14ac:dyDescent="0.3">
      <c r="A28" t="s">
        <v>38</v>
      </c>
      <c r="B28" t="s">
        <v>22</v>
      </c>
      <c r="C28" s="1">
        <v>32388</v>
      </c>
    </row>
    <row r="29" spans="1:3" x14ac:dyDescent="0.3">
      <c r="A29" t="s">
        <v>39</v>
      </c>
      <c r="B29" t="s">
        <v>4</v>
      </c>
      <c r="C29" s="1">
        <v>24183</v>
      </c>
    </row>
    <row r="30" spans="1:3" x14ac:dyDescent="0.3">
      <c r="A30" t="s">
        <v>40</v>
      </c>
      <c r="B30" t="s">
        <v>14</v>
      </c>
      <c r="C30" s="1">
        <v>25304</v>
      </c>
    </row>
    <row r="31" spans="1:3" x14ac:dyDescent="0.3">
      <c r="A31" t="s">
        <v>41</v>
      </c>
      <c r="B31" t="s">
        <v>22</v>
      </c>
      <c r="C31" s="1">
        <v>34127</v>
      </c>
    </row>
    <row r="32" spans="1:3" x14ac:dyDescent="0.3">
      <c r="A32" t="s">
        <v>42</v>
      </c>
      <c r="B32" t="s">
        <v>12</v>
      </c>
      <c r="C32" s="1">
        <v>32342</v>
      </c>
    </row>
    <row r="33" spans="1:3" x14ac:dyDescent="0.3">
      <c r="A33" t="s">
        <v>43</v>
      </c>
      <c r="B33" t="s">
        <v>19</v>
      </c>
      <c r="C33" s="1">
        <v>30828</v>
      </c>
    </row>
    <row r="34" spans="1:3" x14ac:dyDescent="0.3">
      <c r="A34" t="s">
        <v>44</v>
      </c>
      <c r="B34" t="s">
        <v>6</v>
      </c>
      <c r="C34" s="1">
        <v>26195</v>
      </c>
    </row>
    <row r="35" spans="1:3" x14ac:dyDescent="0.3">
      <c r="A35" t="s">
        <v>45</v>
      </c>
      <c r="B35" t="s">
        <v>6</v>
      </c>
      <c r="C35" s="1">
        <v>34485</v>
      </c>
    </row>
    <row r="36" spans="1:3" x14ac:dyDescent="0.3">
      <c r="A36" t="s">
        <v>46</v>
      </c>
      <c r="B36" t="s">
        <v>24</v>
      </c>
      <c r="C36" s="1">
        <v>34585</v>
      </c>
    </row>
    <row r="37" spans="1:3" x14ac:dyDescent="0.3">
      <c r="A37" t="s">
        <v>47</v>
      </c>
      <c r="B37" t="s">
        <v>24</v>
      </c>
      <c r="C37" s="1">
        <v>29375</v>
      </c>
    </row>
    <row r="38" spans="1:3" x14ac:dyDescent="0.3">
      <c r="A38" t="s">
        <v>48</v>
      </c>
      <c r="B38" t="s">
        <v>8</v>
      </c>
      <c r="C38" s="1">
        <v>22566</v>
      </c>
    </row>
    <row r="39" spans="1:3" x14ac:dyDescent="0.3">
      <c r="A39" t="s">
        <v>49</v>
      </c>
      <c r="B39" t="s">
        <v>14</v>
      </c>
      <c r="C39" s="1">
        <v>22136</v>
      </c>
    </row>
    <row r="40" spans="1:3" x14ac:dyDescent="0.3">
      <c r="A40" t="s">
        <v>50</v>
      </c>
      <c r="B40" t="s">
        <v>4</v>
      </c>
      <c r="C40" s="1">
        <v>26650</v>
      </c>
    </row>
    <row r="41" spans="1:3" x14ac:dyDescent="0.3">
      <c r="A41" t="s">
        <v>51</v>
      </c>
      <c r="B41" t="s">
        <v>14</v>
      </c>
      <c r="C41" s="1">
        <v>32410</v>
      </c>
    </row>
    <row r="42" spans="1:3" x14ac:dyDescent="0.3">
      <c r="A42" t="s">
        <v>52</v>
      </c>
      <c r="B42" t="s">
        <v>19</v>
      </c>
      <c r="C42" s="1">
        <v>25424</v>
      </c>
    </row>
    <row r="43" spans="1:3" x14ac:dyDescent="0.3">
      <c r="A43" t="s">
        <v>53</v>
      </c>
      <c r="B43" t="s">
        <v>19</v>
      </c>
      <c r="C43" s="1">
        <v>31288</v>
      </c>
    </row>
    <row r="44" spans="1:3" x14ac:dyDescent="0.3">
      <c r="A44" t="s">
        <v>54</v>
      </c>
      <c r="B44" t="s">
        <v>6</v>
      </c>
      <c r="C44" s="1">
        <v>22321</v>
      </c>
    </row>
    <row r="45" spans="1:3" x14ac:dyDescent="0.3">
      <c r="A45" t="s">
        <v>55</v>
      </c>
      <c r="B45" t="s">
        <v>19</v>
      </c>
      <c r="C45" s="1">
        <v>32532</v>
      </c>
    </row>
    <row r="46" spans="1:3" x14ac:dyDescent="0.3">
      <c r="A46" t="s">
        <v>56</v>
      </c>
      <c r="B46" t="s">
        <v>22</v>
      </c>
      <c r="C46" s="1">
        <v>34662</v>
      </c>
    </row>
    <row r="47" spans="1:3" x14ac:dyDescent="0.3">
      <c r="A47" t="s">
        <v>57</v>
      </c>
      <c r="B47" t="s">
        <v>12</v>
      </c>
      <c r="C47" s="1">
        <v>24268</v>
      </c>
    </row>
    <row r="48" spans="1:3" x14ac:dyDescent="0.3">
      <c r="A48" t="s">
        <v>58</v>
      </c>
      <c r="B48" t="s">
        <v>14</v>
      </c>
      <c r="C48" s="1">
        <v>23199</v>
      </c>
    </row>
    <row r="49" spans="1:3" x14ac:dyDescent="0.3">
      <c r="A49" t="s">
        <v>59</v>
      </c>
      <c r="B49" t="s">
        <v>24</v>
      </c>
      <c r="C49" s="1">
        <v>30395</v>
      </c>
    </row>
    <row r="50" spans="1:3" x14ac:dyDescent="0.3">
      <c r="A50" t="s">
        <v>60</v>
      </c>
      <c r="B50" t="s">
        <v>6</v>
      </c>
      <c r="C50" s="1">
        <v>32277</v>
      </c>
    </row>
    <row r="51" spans="1:3" x14ac:dyDescent="0.3">
      <c r="A51" t="s">
        <v>61</v>
      </c>
      <c r="B51" t="s">
        <v>24</v>
      </c>
      <c r="C51" s="1">
        <v>23134</v>
      </c>
    </row>
    <row r="52" spans="1:3" x14ac:dyDescent="0.3">
      <c r="A52" t="s">
        <v>62</v>
      </c>
      <c r="B52" t="s">
        <v>17</v>
      </c>
      <c r="C52" s="1">
        <v>27066</v>
      </c>
    </row>
    <row r="53" spans="1:3" x14ac:dyDescent="0.3">
      <c r="A53" t="s">
        <v>63</v>
      </c>
      <c r="B53" t="s">
        <v>22</v>
      </c>
      <c r="C53" s="1">
        <v>23843</v>
      </c>
    </row>
    <row r="54" spans="1:3" x14ac:dyDescent="0.3">
      <c r="A54" t="s">
        <v>64</v>
      </c>
      <c r="B54" t="s">
        <v>17</v>
      </c>
      <c r="C54" s="1">
        <v>26377</v>
      </c>
    </row>
    <row r="55" spans="1:3" x14ac:dyDescent="0.3">
      <c r="A55" t="s">
        <v>65</v>
      </c>
      <c r="B55" t="s">
        <v>17</v>
      </c>
      <c r="C55" s="1">
        <v>25591</v>
      </c>
    </row>
    <row r="56" spans="1:3" x14ac:dyDescent="0.3">
      <c r="A56" t="s">
        <v>66</v>
      </c>
      <c r="B56" t="s">
        <v>8</v>
      </c>
      <c r="C56" s="1">
        <v>25075</v>
      </c>
    </row>
    <row r="57" spans="1:3" x14ac:dyDescent="0.3">
      <c r="A57" t="s">
        <v>67</v>
      </c>
      <c r="B57" t="s">
        <v>14</v>
      </c>
      <c r="C57" s="1">
        <v>25405</v>
      </c>
    </row>
    <row r="58" spans="1:3" x14ac:dyDescent="0.3">
      <c r="A58" t="s">
        <v>68</v>
      </c>
      <c r="B58" t="s">
        <v>22</v>
      </c>
      <c r="C58" s="1">
        <v>33638</v>
      </c>
    </row>
    <row r="59" spans="1:3" x14ac:dyDescent="0.3">
      <c r="A59" t="s">
        <v>69</v>
      </c>
      <c r="B59" t="s">
        <v>22</v>
      </c>
      <c r="C59" s="1">
        <v>26611</v>
      </c>
    </row>
    <row r="60" spans="1:3" x14ac:dyDescent="0.3">
      <c r="A60" t="s">
        <v>70</v>
      </c>
      <c r="B60" t="s">
        <v>12</v>
      </c>
      <c r="C60" s="1">
        <v>23758</v>
      </c>
    </row>
    <row r="61" spans="1:3" x14ac:dyDescent="0.3">
      <c r="A61" t="s">
        <v>71</v>
      </c>
      <c r="B61" t="s">
        <v>24</v>
      </c>
      <c r="C61" s="1">
        <v>27669</v>
      </c>
    </row>
    <row r="62" spans="1:3" x14ac:dyDescent="0.3">
      <c r="A62" t="s">
        <v>72</v>
      </c>
      <c r="B62" t="s">
        <v>17</v>
      </c>
      <c r="C62" s="1">
        <v>34638</v>
      </c>
    </row>
    <row r="63" spans="1:3" x14ac:dyDescent="0.3">
      <c r="A63" t="s">
        <v>73</v>
      </c>
      <c r="B63" t="s">
        <v>6</v>
      </c>
      <c r="C63" s="1">
        <v>33841</v>
      </c>
    </row>
    <row r="64" spans="1:3" x14ac:dyDescent="0.3">
      <c r="A64" t="s">
        <v>74</v>
      </c>
      <c r="B64" t="s">
        <v>22</v>
      </c>
      <c r="C64" s="1">
        <v>33743</v>
      </c>
    </row>
    <row r="65" spans="1:3" x14ac:dyDescent="0.3">
      <c r="A65" t="s">
        <v>75</v>
      </c>
      <c r="B65" t="s">
        <v>24</v>
      </c>
      <c r="C65" s="1">
        <v>32068</v>
      </c>
    </row>
    <row r="66" spans="1:3" x14ac:dyDescent="0.3">
      <c r="A66" t="s">
        <v>76</v>
      </c>
      <c r="B66" t="s">
        <v>6</v>
      </c>
      <c r="C66" s="1">
        <v>34259</v>
      </c>
    </row>
    <row r="67" spans="1:3" x14ac:dyDescent="0.3">
      <c r="A67" t="s">
        <v>77</v>
      </c>
      <c r="B67" t="s">
        <v>12</v>
      </c>
      <c r="C67" s="1">
        <v>35137</v>
      </c>
    </row>
    <row r="68" spans="1:3" x14ac:dyDescent="0.3">
      <c r="A68" t="s">
        <v>78</v>
      </c>
      <c r="B68" t="s">
        <v>8</v>
      </c>
      <c r="C68" s="1">
        <v>24889</v>
      </c>
    </row>
    <row r="69" spans="1:3" x14ac:dyDescent="0.3">
      <c r="A69" t="s">
        <v>79</v>
      </c>
      <c r="B69" t="s">
        <v>8</v>
      </c>
      <c r="C69" s="1">
        <v>28293</v>
      </c>
    </row>
    <row r="70" spans="1:3" x14ac:dyDescent="0.3">
      <c r="A70" t="s">
        <v>80</v>
      </c>
      <c r="B70" t="s">
        <v>8</v>
      </c>
      <c r="C70" s="1">
        <v>32981</v>
      </c>
    </row>
    <row r="71" spans="1:3" x14ac:dyDescent="0.3">
      <c r="A71" t="s">
        <v>81</v>
      </c>
      <c r="B71" t="s">
        <v>24</v>
      </c>
      <c r="C71" s="1">
        <v>33447</v>
      </c>
    </row>
    <row r="72" spans="1:3" x14ac:dyDescent="0.3">
      <c r="A72" t="s">
        <v>82</v>
      </c>
      <c r="B72" t="s">
        <v>22</v>
      </c>
      <c r="C72" s="1">
        <v>33566</v>
      </c>
    </row>
    <row r="73" spans="1:3" x14ac:dyDescent="0.3">
      <c r="A73" t="s">
        <v>83</v>
      </c>
      <c r="B73" t="s">
        <v>22</v>
      </c>
      <c r="C73" s="1">
        <v>30535</v>
      </c>
    </row>
    <row r="74" spans="1:3" x14ac:dyDescent="0.3">
      <c r="A74" t="s">
        <v>84</v>
      </c>
      <c r="B74" t="s">
        <v>24</v>
      </c>
      <c r="C74" s="1">
        <v>34042</v>
      </c>
    </row>
    <row r="75" spans="1:3" x14ac:dyDescent="0.3">
      <c r="A75" t="s">
        <v>85</v>
      </c>
      <c r="B75" t="s">
        <v>4</v>
      </c>
      <c r="C75" s="1">
        <v>31088</v>
      </c>
    </row>
    <row r="76" spans="1:3" x14ac:dyDescent="0.3">
      <c r="A76" t="s">
        <v>86</v>
      </c>
      <c r="B76" t="s">
        <v>12</v>
      </c>
      <c r="C76" s="1">
        <v>23106</v>
      </c>
    </row>
    <row r="77" spans="1:3" x14ac:dyDescent="0.3">
      <c r="A77" t="s">
        <v>87</v>
      </c>
      <c r="B77" t="s">
        <v>4</v>
      </c>
      <c r="C77" s="1">
        <v>23283</v>
      </c>
    </row>
    <row r="78" spans="1:3" x14ac:dyDescent="0.3">
      <c r="A78" t="s">
        <v>88</v>
      </c>
      <c r="B78" t="s">
        <v>14</v>
      </c>
      <c r="C78" s="1">
        <v>33502</v>
      </c>
    </row>
    <row r="79" spans="1:3" x14ac:dyDescent="0.3">
      <c r="A79" t="s">
        <v>89</v>
      </c>
      <c r="B79" t="s">
        <v>12</v>
      </c>
      <c r="C79" s="1">
        <v>35015</v>
      </c>
    </row>
    <row r="80" spans="1:3" x14ac:dyDescent="0.3">
      <c r="A80" t="s">
        <v>90</v>
      </c>
      <c r="B80" t="s">
        <v>6</v>
      </c>
      <c r="C80" s="1">
        <v>30471</v>
      </c>
    </row>
    <row r="81" spans="1:3" x14ac:dyDescent="0.3">
      <c r="A81" t="s">
        <v>91</v>
      </c>
      <c r="B81" t="s">
        <v>4</v>
      </c>
      <c r="C81" s="1">
        <v>27140</v>
      </c>
    </row>
    <row r="82" spans="1:3" x14ac:dyDescent="0.3">
      <c r="A82" t="s">
        <v>92</v>
      </c>
      <c r="B82" t="s">
        <v>22</v>
      </c>
      <c r="C82" s="1">
        <v>26743</v>
      </c>
    </row>
    <row r="83" spans="1:3" x14ac:dyDescent="0.3">
      <c r="A83" t="s">
        <v>93</v>
      </c>
      <c r="B83" t="s">
        <v>24</v>
      </c>
      <c r="C83" s="1">
        <v>29076</v>
      </c>
    </row>
    <row r="84" spans="1:3" x14ac:dyDescent="0.3">
      <c r="A84" t="s">
        <v>94</v>
      </c>
      <c r="B84" t="s">
        <v>19</v>
      </c>
      <c r="C84" s="1">
        <v>28903</v>
      </c>
    </row>
    <row r="85" spans="1:3" x14ac:dyDescent="0.3">
      <c r="A85" t="s">
        <v>95</v>
      </c>
      <c r="B85" t="s">
        <v>8</v>
      </c>
      <c r="C85" s="1">
        <v>22432</v>
      </c>
    </row>
    <row r="86" spans="1:3" x14ac:dyDescent="0.3">
      <c r="A86" t="s">
        <v>96</v>
      </c>
      <c r="B86" t="s">
        <v>22</v>
      </c>
      <c r="C86" s="1">
        <v>25590</v>
      </c>
    </row>
    <row r="87" spans="1:3" x14ac:dyDescent="0.3">
      <c r="A87" t="s">
        <v>97</v>
      </c>
      <c r="B87" t="s">
        <v>24</v>
      </c>
      <c r="C87" s="1">
        <v>27219</v>
      </c>
    </row>
    <row r="88" spans="1:3" x14ac:dyDescent="0.3">
      <c r="A88" t="s">
        <v>98</v>
      </c>
      <c r="B88" t="s">
        <v>14</v>
      </c>
      <c r="C88" s="1">
        <v>23720</v>
      </c>
    </row>
    <row r="89" spans="1:3" x14ac:dyDescent="0.3">
      <c r="A89" t="s">
        <v>99</v>
      </c>
      <c r="B89" t="s">
        <v>12</v>
      </c>
      <c r="C89" s="1">
        <v>30146</v>
      </c>
    </row>
    <row r="90" spans="1:3" x14ac:dyDescent="0.3">
      <c r="A90" t="s">
        <v>100</v>
      </c>
      <c r="B90" t="s">
        <v>8</v>
      </c>
      <c r="C90" s="1">
        <v>30484</v>
      </c>
    </row>
    <row r="91" spans="1:3" x14ac:dyDescent="0.3">
      <c r="A91" t="s">
        <v>101</v>
      </c>
      <c r="B91" t="s">
        <v>14</v>
      </c>
      <c r="C91" s="1">
        <v>25720</v>
      </c>
    </row>
    <row r="92" spans="1:3" x14ac:dyDescent="0.3">
      <c r="A92" t="s">
        <v>102</v>
      </c>
      <c r="B92" t="s">
        <v>6</v>
      </c>
      <c r="C92" s="1">
        <v>29158</v>
      </c>
    </row>
    <row r="93" spans="1:3" x14ac:dyDescent="0.3">
      <c r="A93" t="s">
        <v>103</v>
      </c>
      <c r="B93" t="s">
        <v>24</v>
      </c>
      <c r="C93" s="1">
        <v>32482</v>
      </c>
    </row>
    <row r="94" spans="1:3" x14ac:dyDescent="0.3">
      <c r="A94" t="s">
        <v>104</v>
      </c>
      <c r="B94" t="s">
        <v>19</v>
      </c>
      <c r="C94" s="1">
        <v>22668</v>
      </c>
    </row>
    <row r="95" spans="1:3" x14ac:dyDescent="0.3">
      <c r="A95" t="s">
        <v>105</v>
      </c>
      <c r="B95" t="s">
        <v>8</v>
      </c>
      <c r="C95" s="1">
        <v>33096</v>
      </c>
    </row>
    <row r="96" spans="1:3" x14ac:dyDescent="0.3">
      <c r="A96" t="s">
        <v>106</v>
      </c>
      <c r="B96" t="s">
        <v>6</v>
      </c>
      <c r="C96" s="1">
        <v>22244</v>
      </c>
    </row>
    <row r="97" spans="1:3" x14ac:dyDescent="0.3">
      <c r="A97" t="s">
        <v>107</v>
      </c>
      <c r="B97" t="s">
        <v>17</v>
      </c>
      <c r="C97" s="1">
        <v>34981</v>
      </c>
    </row>
    <row r="98" spans="1:3" x14ac:dyDescent="0.3">
      <c r="A98" t="s">
        <v>108</v>
      </c>
      <c r="B98" t="s">
        <v>12</v>
      </c>
      <c r="C98" s="1">
        <v>31867</v>
      </c>
    </row>
    <row r="99" spans="1:3" x14ac:dyDescent="0.3">
      <c r="A99" t="s">
        <v>109</v>
      </c>
      <c r="B99" t="s">
        <v>19</v>
      </c>
      <c r="C99" s="1">
        <v>31330</v>
      </c>
    </row>
    <row r="100" spans="1:3" x14ac:dyDescent="0.3">
      <c r="A100" t="s">
        <v>110</v>
      </c>
      <c r="B100" t="s">
        <v>12</v>
      </c>
      <c r="C100" s="1">
        <v>23863</v>
      </c>
    </row>
    <row r="101" spans="1:3" x14ac:dyDescent="0.3">
      <c r="A101" t="s">
        <v>111</v>
      </c>
      <c r="B101" t="s">
        <v>17</v>
      </c>
      <c r="C101" s="1">
        <v>26287</v>
      </c>
    </row>
  </sheetData>
  <conditionalFormatting sqref="F8">
    <cfRule type="expression" dxfId="24" priority="2">
      <formula>$C2&gt;DATE(1990,1,1)</formula>
    </cfRule>
  </conditionalFormatting>
  <conditionalFormatting sqref="A2:C101">
    <cfRule type="expression" dxfId="23" priority="1">
      <formula>$C2&gt;DATE(1990,1,1)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BD8B-CAD8-4E3E-AA83-67DDFF00489C}">
  <dimension ref="A1:D13"/>
  <sheetViews>
    <sheetView workbookViewId="0">
      <selection activeCell="A2" sqref="A2"/>
    </sheetView>
  </sheetViews>
  <sheetFormatPr defaultRowHeight="14.4" x14ac:dyDescent="0.3"/>
  <sheetData>
    <row r="1" spans="1:4" ht="20.399999999999999" thickBot="1" x14ac:dyDescent="0.35">
      <c r="A1" s="3" t="s">
        <v>113</v>
      </c>
      <c r="B1" s="3" t="s">
        <v>114</v>
      </c>
      <c r="C1" s="3" t="s">
        <v>115</v>
      </c>
    </row>
    <row r="2" spans="1:4" ht="15" thickTop="1" x14ac:dyDescent="0.3">
      <c r="A2" t="s">
        <v>116</v>
      </c>
      <c r="B2" s="4">
        <v>20000</v>
      </c>
      <c r="C2" s="4">
        <v>22834</v>
      </c>
      <c r="D2" t="b">
        <f>C2&gt;B2</f>
        <v>1</v>
      </c>
    </row>
    <row r="3" spans="1:4" x14ac:dyDescent="0.3">
      <c r="A3" t="s">
        <v>117</v>
      </c>
      <c r="B3" s="4">
        <v>20000</v>
      </c>
      <c r="C3" s="4">
        <v>20897</v>
      </c>
      <c r="D3" t="b">
        <f t="shared" ref="D3:D13" si="0">C3&gt;B3</f>
        <v>1</v>
      </c>
    </row>
    <row r="4" spans="1:4" x14ac:dyDescent="0.3">
      <c r="A4" t="s">
        <v>118</v>
      </c>
      <c r="B4" s="4">
        <v>25000</v>
      </c>
      <c r="C4" s="4">
        <v>21177</v>
      </c>
      <c r="D4" t="b">
        <f t="shared" si="0"/>
        <v>0</v>
      </c>
    </row>
    <row r="5" spans="1:4" x14ac:dyDescent="0.3">
      <c r="A5" t="s">
        <v>119</v>
      </c>
      <c r="B5" s="4">
        <v>30000</v>
      </c>
      <c r="C5" s="4">
        <v>28610</v>
      </c>
      <c r="D5" t="b">
        <f t="shared" si="0"/>
        <v>0</v>
      </c>
    </row>
    <row r="6" spans="1:4" x14ac:dyDescent="0.3">
      <c r="A6" t="s">
        <v>120</v>
      </c>
      <c r="B6" s="4">
        <v>30000</v>
      </c>
      <c r="C6" s="4">
        <v>29355</v>
      </c>
      <c r="D6" t="b">
        <f t="shared" si="0"/>
        <v>0</v>
      </c>
    </row>
    <row r="7" spans="1:4" x14ac:dyDescent="0.3">
      <c r="A7" t="s">
        <v>121</v>
      </c>
      <c r="B7" s="4">
        <v>25000</v>
      </c>
      <c r="C7" s="4">
        <v>22589</v>
      </c>
      <c r="D7" t="b">
        <f t="shared" si="0"/>
        <v>0</v>
      </c>
    </row>
    <row r="8" spans="1:4" x14ac:dyDescent="0.3">
      <c r="A8" t="s">
        <v>122</v>
      </c>
      <c r="B8" s="4">
        <v>25000</v>
      </c>
      <c r="C8" s="4">
        <v>28084</v>
      </c>
      <c r="D8" t="b">
        <f t="shared" si="0"/>
        <v>1</v>
      </c>
    </row>
    <row r="9" spans="1:4" x14ac:dyDescent="0.3">
      <c r="A9" t="s">
        <v>123</v>
      </c>
      <c r="B9" s="4">
        <v>30000</v>
      </c>
      <c r="C9" s="4">
        <v>31857</v>
      </c>
      <c r="D9" t="b">
        <f t="shared" si="0"/>
        <v>1</v>
      </c>
    </row>
    <row r="10" spans="1:4" x14ac:dyDescent="0.3">
      <c r="A10" t="s">
        <v>124</v>
      </c>
      <c r="B10" s="4">
        <v>45000</v>
      </c>
      <c r="C10" s="4">
        <v>43288</v>
      </c>
      <c r="D10" t="b">
        <f t="shared" si="0"/>
        <v>0</v>
      </c>
    </row>
    <row r="11" spans="1:4" x14ac:dyDescent="0.3">
      <c r="A11" t="s">
        <v>125</v>
      </c>
      <c r="B11" s="4">
        <v>45000</v>
      </c>
      <c r="C11" s="4">
        <v>48352</v>
      </c>
      <c r="D11" t="b">
        <f t="shared" si="0"/>
        <v>1</v>
      </c>
    </row>
    <row r="12" spans="1:4" x14ac:dyDescent="0.3">
      <c r="A12" t="s">
        <v>126</v>
      </c>
      <c r="B12" s="4">
        <v>50000</v>
      </c>
      <c r="C12" s="4">
        <v>53224</v>
      </c>
      <c r="D12" t="b">
        <f t="shared" si="0"/>
        <v>1</v>
      </c>
    </row>
    <row r="13" spans="1:4" x14ac:dyDescent="0.3">
      <c r="A13" t="s">
        <v>127</v>
      </c>
      <c r="B13" s="4">
        <v>40000</v>
      </c>
      <c r="C13" s="4">
        <v>38485</v>
      </c>
      <c r="D13" t="b">
        <f t="shared" si="0"/>
        <v>0</v>
      </c>
    </row>
  </sheetData>
  <conditionalFormatting sqref="A2:A13">
    <cfRule type="expression" dxfId="19" priority="1">
      <formula>$C2&gt;$B2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7B95-BD0B-4703-9738-1102DC0340F5}">
  <dimension ref="A1:E74"/>
  <sheetViews>
    <sheetView workbookViewId="0">
      <pane ySplit="2" topLeftCell="A3" activePane="bottomLeft" state="frozen"/>
      <selection pane="bottomLeft" activeCell="E3" sqref="E3"/>
    </sheetView>
  </sheetViews>
  <sheetFormatPr defaultRowHeight="14.4" x14ac:dyDescent="0.3"/>
  <cols>
    <col min="1" max="1" width="25.6640625" customWidth="1"/>
    <col min="3" max="3" width="24.6640625" bestFit="1" customWidth="1"/>
    <col min="5" max="5" width="13.6640625" bestFit="1" customWidth="1"/>
  </cols>
  <sheetData>
    <row r="1" spans="1:5" x14ac:dyDescent="0.3">
      <c r="A1" s="11">
        <v>2019</v>
      </c>
      <c r="B1" s="11"/>
      <c r="C1" s="12">
        <v>2020</v>
      </c>
      <c r="D1" s="12"/>
    </row>
    <row r="2" spans="1:5" x14ac:dyDescent="0.3">
      <c r="A2" s="5" t="s">
        <v>128</v>
      </c>
      <c r="B2" s="5" t="s">
        <v>201</v>
      </c>
      <c r="C2" s="5" t="s">
        <v>128</v>
      </c>
      <c r="D2" s="5" t="s">
        <v>201</v>
      </c>
    </row>
    <row r="3" spans="1:5" x14ac:dyDescent="0.3">
      <c r="A3" t="s">
        <v>193</v>
      </c>
      <c r="B3">
        <v>91</v>
      </c>
      <c r="C3" t="s">
        <v>193</v>
      </c>
      <c r="D3">
        <v>82</v>
      </c>
      <c r="E3" t="str">
        <f>IF(COUNTIF(A:B,C3)=0,"Новый клиент","Старый клиент")</f>
        <v>Старый клиент</v>
      </c>
    </row>
    <row r="4" spans="1:5" x14ac:dyDescent="0.3">
      <c r="A4" t="s">
        <v>165</v>
      </c>
      <c r="B4">
        <v>29</v>
      </c>
      <c r="C4" t="s">
        <v>165</v>
      </c>
      <c r="D4">
        <v>58</v>
      </c>
      <c r="E4" t="str">
        <f t="shared" ref="E4:E67" si="0">IF(COUNTIF(A:B,C4)=0,"Новый клиент","Старый клиент")</f>
        <v>Старый клиент</v>
      </c>
    </row>
    <row r="5" spans="1:5" x14ac:dyDescent="0.3">
      <c r="A5" t="s">
        <v>137</v>
      </c>
      <c r="B5">
        <v>58</v>
      </c>
      <c r="C5" t="s">
        <v>137</v>
      </c>
      <c r="D5">
        <v>14</v>
      </c>
      <c r="E5" t="str">
        <f t="shared" si="0"/>
        <v>Старый клиент</v>
      </c>
    </row>
    <row r="6" spans="1:5" x14ac:dyDescent="0.3">
      <c r="A6" t="s">
        <v>157</v>
      </c>
      <c r="B6">
        <v>58</v>
      </c>
      <c r="C6" t="s">
        <v>157</v>
      </c>
      <c r="D6">
        <v>36</v>
      </c>
      <c r="E6" t="str">
        <f t="shared" si="0"/>
        <v>Старый клиент</v>
      </c>
    </row>
    <row r="7" spans="1:5" x14ac:dyDescent="0.3">
      <c r="A7" t="s">
        <v>156</v>
      </c>
      <c r="B7">
        <v>49</v>
      </c>
      <c r="C7" t="s">
        <v>156</v>
      </c>
      <c r="D7">
        <v>68</v>
      </c>
      <c r="E7" t="str">
        <f t="shared" si="0"/>
        <v>Старый клиент</v>
      </c>
    </row>
    <row r="8" spans="1:5" x14ac:dyDescent="0.3">
      <c r="A8" t="s">
        <v>181</v>
      </c>
      <c r="B8">
        <v>44</v>
      </c>
      <c r="C8" t="s">
        <v>181</v>
      </c>
      <c r="D8">
        <v>61</v>
      </c>
      <c r="E8" t="str">
        <f t="shared" si="0"/>
        <v>Старый клиент</v>
      </c>
    </row>
    <row r="9" spans="1:5" x14ac:dyDescent="0.3">
      <c r="A9" t="s">
        <v>139</v>
      </c>
      <c r="B9">
        <v>23</v>
      </c>
      <c r="C9" t="s">
        <v>139</v>
      </c>
      <c r="D9">
        <v>29</v>
      </c>
      <c r="E9" t="str">
        <f t="shared" si="0"/>
        <v>Старый клиент</v>
      </c>
    </row>
    <row r="10" spans="1:5" x14ac:dyDescent="0.3">
      <c r="A10" t="s">
        <v>180</v>
      </c>
      <c r="B10">
        <v>54</v>
      </c>
      <c r="C10" t="s">
        <v>180</v>
      </c>
      <c r="D10">
        <v>74</v>
      </c>
      <c r="E10" t="str">
        <f t="shared" si="0"/>
        <v>Старый клиент</v>
      </c>
    </row>
    <row r="11" spans="1:5" x14ac:dyDescent="0.3">
      <c r="A11" t="s">
        <v>134</v>
      </c>
      <c r="B11">
        <v>89</v>
      </c>
      <c r="C11" t="s">
        <v>134</v>
      </c>
      <c r="D11">
        <v>37</v>
      </c>
      <c r="E11" t="str">
        <f t="shared" si="0"/>
        <v>Старый клиент</v>
      </c>
    </row>
    <row r="12" spans="1:5" x14ac:dyDescent="0.3">
      <c r="A12" t="s">
        <v>155</v>
      </c>
      <c r="B12">
        <v>98</v>
      </c>
      <c r="C12" t="s">
        <v>155</v>
      </c>
      <c r="D12">
        <v>28</v>
      </c>
      <c r="E12" t="str">
        <f t="shared" si="0"/>
        <v>Старый клиент</v>
      </c>
    </row>
    <row r="13" spans="1:5" x14ac:dyDescent="0.3">
      <c r="A13" t="s">
        <v>135</v>
      </c>
      <c r="B13">
        <v>78</v>
      </c>
      <c r="C13" t="s">
        <v>135</v>
      </c>
      <c r="D13">
        <v>84</v>
      </c>
      <c r="E13" t="str">
        <f t="shared" si="0"/>
        <v>Старый клиент</v>
      </c>
    </row>
    <row r="14" spans="1:5" x14ac:dyDescent="0.3">
      <c r="A14" t="s">
        <v>145</v>
      </c>
      <c r="B14">
        <v>21</v>
      </c>
      <c r="C14" t="s">
        <v>145</v>
      </c>
      <c r="D14">
        <v>38</v>
      </c>
      <c r="E14" t="str">
        <f t="shared" si="0"/>
        <v>Старый клиент</v>
      </c>
    </row>
    <row r="15" spans="1:5" x14ac:dyDescent="0.3">
      <c r="A15" t="s">
        <v>182</v>
      </c>
      <c r="B15">
        <v>29</v>
      </c>
      <c r="C15" t="s">
        <v>182</v>
      </c>
      <c r="D15">
        <v>46</v>
      </c>
      <c r="E15" t="str">
        <f t="shared" si="0"/>
        <v>Старый клиент</v>
      </c>
    </row>
    <row r="16" spans="1:5" x14ac:dyDescent="0.3">
      <c r="A16" t="s">
        <v>159</v>
      </c>
      <c r="B16">
        <v>7</v>
      </c>
      <c r="C16" t="s">
        <v>195</v>
      </c>
      <c r="D16">
        <v>84</v>
      </c>
      <c r="E16" t="str">
        <f t="shared" si="0"/>
        <v>Новый клиент</v>
      </c>
    </row>
    <row r="17" spans="1:5" x14ac:dyDescent="0.3">
      <c r="A17" t="s">
        <v>166</v>
      </c>
      <c r="B17">
        <v>8</v>
      </c>
      <c r="C17" t="s">
        <v>159</v>
      </c>
      <c r="D17">
        <v>22</v>
      </c>
      <c r="E17" t="str">
        <f t="shared" si="0"/>
        <v>Старый клиент</v>
      </c>
    </row>
    <row r="18" spans="1:5" x14ac:dyDescent="0.3">
      <c r="A18" t="s">
        <v>175</v>
      </c>
      <c r="B18">
        <v>93</v>
      </c>
      <c r="C18" t="s">
        <v>166</v>
      </c>
      <c r="D18">
        <v>95</v>
      </c>
      <c r="E18" t="str">
        <f t="shared" si="0"/>
        <v>Старый клиент</v>
      </c>
    </row>
    <row r="19" spans="1:5" x14ac:dyDescent="0.3">
      <c r="A19" t="s">
        <v>136</v>
      </c>
      <c r="B19">
        <v>90</v>
      </c>
      <c r="C19" t="s">
        <v>175</v>
      </c>
      <c r="D19">
        <v>74</v>
      </c>
      <c r="E19" t="str">
        <f t="shared" si="0"/>
        <v>Старый клиент</v>
      </c>
    </row>
    <row r="20" spans="1:5" x14ac:dyDescent="0.3">
      <c r="A20" t="s">
        <v>167</v>
      </c>
      <c r="B20">
        <v>34</v>
      </c>
      <c r="C20" t="s">
        <v>136</v>
      </c>
      <c r="D20">
        <v>38</v>
      </c>
      <c r="E20" t="str">
        <f t="shared" si="0"/>
        <v>Старый клиент</v>
      </c>
    </row>
    <row r="21" spans="1:5" x14ac:dyDescent="0.3">
      <c r="A21" t="s">
        <v>132</v>
      </c>
      <c r="B21">
        <v>10</v>
      </c>
      <c r="C21" t="s">
        <v>167</v>
      </c>
      <c r="D21">
        <v>36</v>
      </c>
      <c r="E21" t="str">
        <f t="shared" si="0"/>
        <v>Старый клиент</v>
      </c>
    </row>
    <row r="22" spans="1:5" x14ac:dyDescent="0.3">
      <c r="A22" t="s">
        <v>140</v>
      </c>
      <c r="B22">
        <v>42</v>
      </c>
      <c r="C22" t="s">
        <v>196</v>
      </c>
      <c r="D22">
        <v>36</v>
      </c>
      <c r="E22" t="str">
        <f t="shared" si="0"/>
        <v>Новый клиент</v>
      </c>
    </row>
    <row r="23" spans="1:5" x14ac:dyDescent="0.3">
      <c r="A23" t="s">
        <v>170</v>
      </c>
      <c r="B23">
        <v>18</v>
      </c>
      <c r="C23" t="s">
        <v>132</v>
      </c>
      <c r="D23">
        <v>33</v>
      </c>
      <c r="E23" t="str">
        <f t="shared" si="0"/>
        <v>Старый клиент</v>
      </c>
    </row>
    <row r="24" spans="1:5" x14ac:dyDescent="0.3">
      <c r="A24" t="s">
        <v>173</v>
      </c>
      <c r="B24">
        <v>15</v>
      </c>
      <c r="C24" t="s">
        <v>140</v>
      </c>
      <c r="D24">
        <v>37</v>
      </c>
      <c r="E24" t="str">
        <f t="shared" si="0"/>
        <v>Старый клиент</v>
      </c>
    </row>
    <row r="25" spans="1:5" x14ac:dyDescent="0.3">
      <c r="A25" t="s">
        <v>174</v>
      </c>
      <c r="B25">
        <v>35</v>
      </c>
      <c r="C25" t="s">
        <v>170</v>
      </c>
      <c r="D25">
        <v>78</v>
      </c>
      <c r="E25" t="str">
        <f t="shared" si="0"/>
        <v>Старый клиент</v>
      </c>
    </row>
    <row r="26" spans="1:5" x14ac:dyDescent="0.3">
      <c r="A26" t="s">
        <v>168</v>
      </c>
      <c r="B26">
        <v>46</v>
      </c>
      <c r="C26" t="s">
        <v>173</v>
      </c>
      <c r="D26">
        <v>65</v>
      </c>
      <c r="E26" t="str">
        <f t="shared" si="0"/>
        <v>Старый клиент</v>
      </c>
    </row>
    <row r="27" spans="1:5" x14ac:dyDescent="0.3">
      <c r="A27" t="s">
        <v>162</v>
      </c>
      <c r="B27">
        <v>83</v>
      </c>
      <c r="C27" t="s">
        <v>174</v>
      </c>
      <c r="D27">
        <v>26</v>
      </c>
      <c r="E27" t="str">
        <f t="shared" si="0"/>
        <v>Старый клиент</v>
      </c>
    </row>
    <row r="28" spans="1:5" x14ac:dyDescent="0.3">
      <c r="A28" t="s">
        <v>143</v>
      </c>
      <c r="B28">
        <v>2</v>
      </c>
      <c r="C28" t="s">
        <v>168</v>
      </c>
      <c r="D28">
        <v>48</v>
      </c>
      <c r="E28" t="str">
        <f t="shared" si="0"/>
        <v>Старый клиент</v>
      </c>
    </row>
    <row r="29" spans="1:5" x14ac:dyDescent="0.3">
      <c r="A29" t="s">
        <v>161</v>
      </c>
      <c r="B29">
        <v>7</v>
      </c>
      <c r="C29" t="s">
        <v>162</v>
      </c>
      <c r="D29">
        <v>14</v>
      </c>
      <c r="E29" t="str">
        <f t="shared" si="0"/>
        <v>Старый клиент</v>
      </c>
    </row>
    <row r="30" spans="1:5" x14ac:dyDescent="0.3">
      <c r="A30" t="s">
        <v>146</v>
      </c>
      <c r="B30">
        <v>20</v>
      </c>
      <c r="C30" t="s">
        <v>143</v>
      </c>
      <c r="D30">
        <v>64</v>
      </c>
      <c r="E30" t="str">
        <f t="shared" si="0"/>
        <v>Старый клиент</v>
      </c>
    </row>
    <row r="31" spans="1:5" x14ac:dyDescent="0.3">
      <c r="A31" t="s">
        <v>177</v>
      </c>
      <c r="B31">
        <v>56</v>
      </c>
      <c r="C31" t="s">
        <v>161</v>
      </c>
      <c r="D31">
        <v>56</v>
      </c>
      <c r="E31" t="str">
        <f t="shared" si="0"/>
        <v>Старый клиент</v>
      </c>
    </row>
    <row r="32" spans="1:5" x14ac:dyDescent="0.3">
      <c r="A32" t="s">
        <v>189</v>
      </c>
      <c r="B32">
        <v>57</v>
      </c>
      <c r="C32" t="s">
        <v>146</v>
      </c>
      <c r="D32">
        <v>7</v>
      </c>
      <c r="E32" t="str">
        <f t="shared" si="0"/>
        <v>Старый клиент</v>
      </c>
    </row>
    <row r="33" spans="1:5" x14ac:dyDescent="0.3">
      <c r="A33" t="s">
        <v>178</v>
      </c>
      <c r="B33">
        <v>87</v>
      </c>
      <c r="C33" t="s">
        <v>177</v>
      </c>
      <c r="D33">
        <v>4</v>
      </c>
      <c r="E33" t="str">
        <f t="shared" si="0"/>
        <v>Старый клиент</v>
      </c>
    </row>
    <row r="34" spans="1:5" x14ac:dyDescent="0.3">
      <c r="A34" t="s">
        <v>150</v>
      </c>
      <c r="B34">
        <v>24</v>
      </c>
      <c r="C34" t="s">
        <v>189</v>
      </c>
      <c r="D34">
        <v>37</v>
      </c>
      <c r="E34" t="str">
        <f t="shared" si="0"/>
        <v>Старый клиент</v>
      </c>
    </row>
    <row r="35" spans="1:5" x14ac:dyDescent="0.3">
      <c r="A35" t="s">
        <v>190</v>
      </c>
      <c r="B35">
        <v>21</v>
      </c>
      <c r="C35" t="s">
        <v>198</v>
      </c>
      <c r="D35">
        <v>19</v>
      </c>
      <c r="E35" t="str">
        <f t="shared" si="0"/>
        <v>Новый клиент</v>
      </c>
    </row>
    <row r="36" spans="1:5" x14ac:dyDescent="0.3">
      <c r="A36" t="s">
        <v>191</v>
      </c>
      <c r="B36">
        <v>92</v>
      </c>
      <c r="C36" t="s">
        <v>178</v>
      </c>
      <c r="D36">
        <v>12</v>
      </c>
      <c r="E36" t="str">
        <f t="shared" si="0"/>
        <v>Старый клиент</v>
      </c>
    </row>
    <row r="37" spans="1:5" x14ac:dyDescent="0.3">
      <c r="A37" t="s">
        <v>183</v>
      </c>
      <c r="B37">
        <v>30</v>
      </c>
      <c r="C37" t="s">
        <v>150</v>
      </c>
      <c r="D37">
        <v>43</v>
      </c>
      <c r="E37" t="str">
        <f t="shared" si="0"/>
        <v>Старый клиент</v>
      </c>
    </row>
    <row r="38" spans="1:5" x14ac:dyDescent="0.3">
      <c r="A38" t="s">
        <v>179</v>
      </c>
      <c r="B38">
        <v>4</v>
      </c>
      <c r="C38" t="s">
        <v>190</v>
      </c>
      <c r="D38">
        <v>35</v>
      </c>
      <c r="E38" t="str">
        <f t="shared" si="0"/>
        <v>Старый клиент</v>
      </c>
    </row>
    <row r="39" spans="1:5" x14ac:dyDescent="0.3">
      <c r="A39" t="s">
        <v>138</v>
      </c>
      <c r="B39">
        <v>65</v>
      </c>
      <c r="C39" t="s">
        <v>191</v>
      </c>
      <c r="D39">
        <v>73</v>
      </c>
      <c r="E39" t="str">
        <f t="shared" si="0"/>
        <v>Старый клиент</v>
      </c>
    </row>
    <row r="40" spans="1:5" x14ac:dyDescent="0.3">
      <c r="A40" t="s">
        <v>187</v>
      </c>
      <c r="B40">
        <v>86</v>
      </c>
      <c r="C40" t="s">
        <v>183</v>
      </c>
      <c r="D40">
        <v>62</v>
      </c>
      <c r="E40" t="str">
        <f t="shared" si="0"/>
        <v>Старый клиент</v>
      </c>
    </row>
    <row r="41" spans="1:5" x14ac:dyDescent="0.3">
      <c r="A41" t="s">
        <v>141</v>
      </c>
      <c r="B41">
        <v>73</v>
      </c>
      <c r="C41" t="s">
        <v>179</v>
      </c>
      <c r="D41">
        <v>69</v>
      </c>
      <c r="E41" t="str">
        <f t="shared" si="0"/>
        <v>Старый клиент</v>
      </c>
    </row>
    <row r="42" spans="1:5" x14ac:dyDescent="0.3">
      <c r="A42" t="s">
        <v>142</v>
      </c>
      <c r="B42">
        <v>26</v>
      </c>
      <c r="C42" t="s">
        <v>138</v>
      </c>
      <c r="D42">
        <v>84</v>
      </c>
      <c r="E42" t="str">
        <f t="shared" si="0"/>
        <v>Старый клиент</v>
      </c>
    </row>
    <row r="43" spans="1:5" x14ac:dyDescent="0.3">
      <c r="A43" t="s">
        <v>176</v>
      </c>
      <c r="B43">
        <v>93</v>
      </c>
      <c r="C43" t="s">
        <v>187</v>
      </c>
      <c r="D43">
        <v>61</v>
      </c>
      <c r="E43" t="str">
        <f t="shared" si="0"/>
        <v>Старый клиент</v>
      </c>
    </row>
    <row r="44" spans="1:5" x14ac:dyDescent="0.3">
      <c r="A44" t="s">
        <v>151</v>
      </c>
      <c r="B44">
        <v>77</v>
      </c>
      <c r="C44" t="s">
        <v>141</v>
      </c>
      <c r="D44">
        <v>63</v>
      </c>
      <c r="E44" t="str">
        <f t="shared" si="0"/>
        <v>Старый клиент</v>
      </c>
    </row>
    <row r="45" spans="1:5" x14ac:dyDescent="0.3">
      <c r="A45" t="s">
        <v>154</v>
      </c>
      <c r="B45">
        <v>93</v>
      </c>
      <c r="C45" t="s">
        <v>142</v>
      </c>
      <c r="D45">
        <v>25</v>
      </c>
      <c r="E45" t="str">
        <f t="shared" si="0"/>
        <v>Старый клиент</v>
      </c>
    </row>
    <row r="46" spans="1:5" x14ac:dyDescent="0.3">
      <c r="A46" t="s">
        <v>188</v>
      </c>
      <c r="B46">
        <v>25</v>
      </c>
      <c r="C46" t="s">
        <v>176</v>
      </c>
      <c r="D46">
        <v>42</v>
      </c>
      <c r="E46" t="str">
        <f t="shared" si="0"/>
        <v>Старый клиент</v>
      </c>
    </row>
    <row r="47" spans="1:5" x14ac:dyDescent="0.3">
      <c r="A47" t="s">
        <v>133</v>
      </c>
      <c r="B47">
        <v>76</v>
      </c>
      <c r="C47" t="s">
        <v>200</v>
      </c>
      <c r="D47">
        <v>58</v>
      </c>
      <c r="E47" t="str">
        <f t="shared" si="0"/>
        <v>Новый клиент</v>
      </c>
    </row>
    <row r="48" spans="1:5" x14ac:dyDescent="0.3">
      <c r="A48" t="s">
        <v>164</v>
      </c>
      <c r="B48">
        <v>26</v>
      </c>
      <c r="C48" t="s">
        <v>151</v>
      </c>
      <c r="D48">
        <v>17</v>
      </c>
      <c r="E48" t="str">
        <f t="shared" si="0"/>
        <v>Старый клиент</v>
      </c>
    </row>
    <row r="49" spans="1:5" x14ac:dyDescent="0.3">
      <c r="A49" t="s">
        <v>184</v>
      </c>
      <c r="B49">
        <v>65</v>
      </c>
      <c r="C49" t="s">
        <v>154</v>
      </c>
      <c r="D49">
        <v>73</v>
      </c>
      <c r="E49" t="str">
        <f t="shared" si="0"/>
        <v>Старый клиент</v>
      </c>
    </row>
    <row r="50" spans="1:5" x14ac:dyDescent="0.3">
      <c r="A50" t="s">
        <v>130</v>
      </c>
      <c r="B50">
        <v>84</v>
      </c>
      <c r="C50" t="s">
        <v>188</v>
      </c>
      <c r="D50">
        <v>43</v>
      </c>
      <c r="E50" t="str">
        <f t="shared" si="0"/>
        <v>Старый клиент</v>
      </c>
    </row>
    <row r="51" spans="1:5" x14ac:dyDescent="0.3">
      <c r="A51" t="s">
        <v>192</v>
      </c>
      <c r="B51">
        <v>91</v>
      </c>
      <c r="C51" t="s">
        <v>133</v>
      </c>
      <c r="D51">
        <v>63</v>
      </c>
      <c r="E51" t="str">
        <f t="shared" si="0"/>
        <v>Старый клиент</v>
      </c>
    </row>
    <row r="52" spans="1:5" x14ac:dyDescent="0.3">
      <c r="A52" t="s">
        <v>131</v>
      </c>
      <c r="B52">
        <v>63</v>
      </c>
      <c r="C52" t="s">
        <v>164</v>
      </c>
      <c r="D52">
        <v>24</v>
      </c>
      <c r="E52" t="str">
        <f t="shared" si="0"/>
        <v>Старый клиент</v>
      </c>
    </row>
    <row r="53" spans="1:5" x14ac:dyDescent="0.3">
      <c r="A53" t="s">
        <v>147</v>
      </c>
      <c r="B53">
        <v>75</v>
      </c>
      <c r="C53" t="s">
        <v>184</v>
      </c>
      <c r="D53">
        <v>81</v>
      </c>
      <c r="E53" t="str">
        <f t="shared" si="0"/>
        <v>Старый клиент</v>
      </c>
    </row>
    <row r="54" spans="1:5" x14ac:dyDescent="0.3">
      <c r="A54" t="s">
        <v>172</v>
      </c>
      <c r="B54">
        <v>99</v>
      </c>
      <c r="C54" t="s">
        <v>130</v>
      </c>
      <c r="D54">
        <v>81</v>
      </c>
      <c r="E54" t="str">
        <f t="shared" si="0"/>
        <v>Старый клиент</v>
      </c>
    </row>
    <row r="55" spans="1:5" x14ac:dyDescent="0.3">
      <c r="A55" t="s">
        <v>160</v>
      </c>
      <c r="B55">
        <v>10</v>
      </c>
      <c r="C55" t="s">
        <v>192</v>
      </c>
      <c r="D55">
        <v>27</v>
      </c>
      <c r="E55" t="str">
        <f t="shared" si="0"/>
        <v>Старый клиент</v>
      </c>
    </row>
    <row r="56" spans="1:5" x14ac:dyDescent="0.3">
      <c r="A56" t="s">
        <v>148</v>
      </c>
      <c r="B56">
        <v>5</v>
      </c>
      <c r="C56" t="s">
        <v>131</v>
      </c>
      <c r="D56">
        <v>6</v>
      </c>
      <c r="E56" t="str">
        <f t="shared" si="0"/>
        <v>Старый клиент</v>
      </c>
    </row>
    <row r="57" spans="1:5" x14ac:dyDescent="0.3">
      <c r="A57" t="s">
        <v>149</v>
      </c>
      <c r="B57">
        <v>19</v>
      </c>
      <c r="C57" t="s">
        <v>197</v>
      </c>
      <c r="D57">
        <v>6</v>
      </c>
      <c r="E57" t="str">
        <f t="shared" si="0"/>
        <v>Новый клиент</v>
      </c>
    </row>
    <row r="58" spans="1:5" x14ac:dyDescent="0.3">
      <c r="A58" t="s">
        <v>152</v>
      </c>
      <c r="B58">
        <v>65</v>
      </c>
      <c r="C58" t="s">
        <v>147</v>
      </c>
      <c r="D58">
        <v>7</v>
      </c>
      <c r="E58" t="str">
        <f t="shared" si="0"/>
        <v>Старый клиент</v>
      </c>
    </row>
    <row r="59" spans="1:5" x14ac:dyDescent="0.3">
      <c r="A59" t="s">
        <v>169</v>
      </c>
      <c r="B59">
        <v>55</v>
      </c>
      <c r="C59" t="s">
        <v>172</v>
      </c>
      <c r="D59">
        <v>74</v>
      </c>
      <c r="E59" t="str">
        <f t="shared" si="0"/>
        <v>Старый клиент</v>
      </c>
    </row>
    <row r="60" spans="1:5" x14ac:dyDescent="0.3">
      <c r="A60" t="s">
        <v>186</v>
      </c>
      <c r="B60">
        <v>97</v>
      </c>
      <c r="C60" t="s">
        <v>160</v>
      </c>
      <c r="D60">
        <v>73</v>
      </c>
      <c r="E60" t="str">
        <f t="shared" si="0"/>
        <v>Старый клиент</v>
      </c>
    </row>
    <row r="61" spans="1:5" x14ac:dyDescent="0.3">
      <c r="A61" t="s">
        <v>194</v>
      </c>
      <c r="B61">
        <v>97</v>
      </c>
      <c r="C61" t="s">
        <v>148</v>
      </c>
      <c r="D61">
        <v>85</v>
      </c>
      <c r="E61" t="str">
        <f t="shared" si="0"/>
        <v>Старый клиент</v>
      </c>
    </row>
    <row r="62" spans="1:5" x14ac:dyDescent="0.3">
      <c r="A62" t="s">
        <v>185</v>
      </c>
      <c r="B62">
        <v>40</v>
      </c>
      <c r="C62" t="s">
        <v>149</v>
      </c>
      <c r="D62">
        <v>37</v>
      </c>
      <c r="E62" t="str">
        <f t="shared" si="0"/>
        <v>Старый клиент</v>
      </c>
    </row>
    <row r="63" spans="1:5" x14ac:dyDescent="0.3">
      <c r="A63" t="s">
        <v>153</v>
      </c>
      <c r="B63">
        <v>24</v>
      </c>
      <c r="C63" t="s">
        <v>152</v>
      </c>
      <c r="D63">
        <v>27</v>
      </c>
      <c r="E63" t="str">
        <f t="shared" si="0"/>
        <v>Старый клиент</v>
      </c>
    </row>
    <row r="64" spans="1:5" x14ac:dyDescent="0.3">
      <c r="A64" t="s">
        <v>171</v>
      </c>
      <c r="B64">
        <v>28</v>
      </c>
      <c r="C64" t="s">
        <v>169</v>
      </c>
      <c r="D64">
        <v>84</v>
      </c>
      <c r="E64" t="str">
        <f t="shared" si="0"/>
        <v>Старый клиент</v>
      </c>
    </row>
    <row r="65" spans="1:5" x14ac:dyDescent="0.3">
      <c r="A65" t="s">
        <v>144</v>
      </c>
      <c r="B65">
        <v>47</v>
      </c>
      <c r="C65" t="s">
        <v>186</v>
      </c>
      <c r="D65">
        <v>75</v>
      </c>
      <c r="E65" t="str">
        <f t="shared" si="0"/>
        <v>Старый клиент</v>
      </c>
    </row>
    <row r="66" spans="1:5" x14ac:dyDescent="0.3">
      <c r="A66" t="s">
        <v>129</v>
      </c>
      <c r="B66">
        <v>46</v>
      </c>
      <c r="C66" t="s">
        <v>194</v>
      </c>
      <c r="D66">
        <v>84</v>
      </c>
      <c r="E66" t="str">
        <f t="shared" si="0"/>
        <v>Старый клиент</v>
      </c>
    </row>
    <row r="67" spans="1:5" x14ac:dyDescent="0.3">
      <c r="A67" t="s">
        <v>163</v>
      </c>
      <c r="B67">
        <v>69</v>
      </c>
      <c r="C67" t="s">
        <v>185</v>
      </c>
      <c r="D67">
        <v>15</v>
      </c>
      <c r="E67" t="str">
        <f t="shared" si="0"/>
        <v>Старый клиент</v>
      </c>
    </row>
    <row r="68" spans="1:5" x14ac:dyDescent="0.3">
      <c r="A68" t="s">
        <v>158</v>
      </c>
      <c r="B68">
        <v>11</v>
      </c>
      <c r="C68" t="s">
        <v>153</v>
      </c>
      <c r="D68">
        <v>62</v>
      </c>
      <c r="E68" t="str">
        <f t="shared" ref="E68:E74" si="1">IF(COUNTIF(A:B,C68)=0,"Новый клиент","Старый клиент")</f>
        <v>Старый клиент</v>
      </c>
    </row>
    <row r="69" spans="1:5" x14ac:dyDescent="0.3">
      <c r="C69" t="s">
        <v>171</v>
      </c>
      <c r="D69">
        <v>60</v>
      </c>
      <c r="E69" t="str">
        <f t="shared" si="1"/>
        <v>Старый клиент</v>
      </c>
    </row>
    <row r="70" spans="1:5" x14ac:dyDescent="0.3">
      <c r="C70" t="s">
        <v>199</v>
      </c>
      <c r="D70">
        <v>26</v>
      </c>
      <c r="E70" t="str">
        <f t="shared" si="1"/>
        <v>Новый клиент</v>
      </c>
    </row>
    <row r="71" spans="1:5" x14ac:dyDescent="0.3">
      <c r="C71" t="s">
        <v>144</v>
      </c>
      <c r="D71">
        <v>99</v>
      </c>
      <c r="E71" t="str">
        <f t="shared" si="1"/>
        <v>Старый клиент</v>
      </c>
    </row>
    <row r="72" spans="1:5" x14ac:dyDescent="0.3">
      <c r="C72" t="s">
        <v>129</v>
      </c>
      <c r="D72">
        <v>41</v>
      </c>
      <c r="E72" t="str">
        <f t="shared" si="1"/>
        <v>Старый клиент</v>
      </c>
    </row>
    <row r="73" spans="1:5" x14ac:dyDescent="0.3">
      <c r="C73" t="s">
        <v>163</v>
      </c>
      <c r="D73">
        <v>75</v>
      </c>
      <c r="E73" t="str">
        <f t="shared" si="1"/>
        <v>Старый клиент</v>
      </c>
    </row>
    <row r="74" spans="1:5" x14ac:dyDescent="0.3">
      <c r="C74" t="s">
        <v>158</v>
      </c>
      <c r="D74">
        <v>37</v>
      </c>
      <c r="E74" t="str">
        <f t="shared" si="1"/>
        <v>Старый клиент</v>
      </c>
    </row>
  </sheetData>
  <sortState xmlns:xlrd2="http://schemas.microsoft.com/office/spreadsheetml/2017/richdata2" ref="A3:A68">
    <sortCondition ref="A3:A68"/>
  </sortState>
  <mergeCells count="2">
    <mergeCell ref="A1:B1"/>
    <mergeCell ref="C1:D1"/>
  </mergeCells>
  <conditionalFormatting sqref="C3:C74">
    <cfRule type="expression" dxfId="10" priority="3">
      <formula>COUNTIF(A:B,C3)=0</formula>
    </cfRule>
  </conditionalFormatting>
  <conditionalFormatting sqref="E3:E74">
    <cfRule type="expression" dxfId="7" priority="1">
      <formula>$E3="Новый клиент"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I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A17" sqref="AA17"/>
    </sheetView>
  </sheetViews>
  <sheetFormatPr defaultRowHeight="14.4" x14ac:dyDescent="0.3"/>
  <cols>
    <col min="1" max="1" width="50" customWidth="1"/>
    <col min="2" max="2" width="10.5546875" customWidth="1"/>
    <col min="3" max="3" width="11.109375" bestFit="1" customWidth="1"/>
    <col min="4" max="217" width="2.44140625" customWidth="1"/>
  </cols>
  <sheetData>
    <row r="1" spans="1:217" ht="38.4" x14ac:dyDescent="0.3">
      <c r="A1" s="7" t="s">
        <v>211</v>
      </c>
      <c r="B1" s="7" t="s">
        <v>209</v>
      </c>
      <c r="C1" s="7" t="s">
        <v>210</v>
      </c>
      <c r="D1" s="6">
        <v>43983</v>
      </c>
      <c r="E1" s="6">
        <v>43984</v>
      </c>
      <c r="F1" s="6">
        <v>43985</v>
      </c>
      <c r="G1" s="6">
        <v>43986</v>
      </c>
      <c r="H1" s="6">
        <v>43987</v>
      </c>
      <c r="I1" s="6">
        <v>43988</v>
      </c>
      <c r="J1" s="6">
        <v>43989</v>
      </c>
      <c r="K1" s="6">
        <v>43990</v>
      </c>
      <c r="L1" s="6">
        <v>43991</v>
      </c>
      <c r="M1" s="6">
        <v>43992</v>
      </c>
      <c r="N1" s="6">
        <v>43993</v>
      </c>
      <c r="O1" s="6">
        <v>43994</v>
      </c>
      <c r="P1" s="6">
        <v>43995</v>
      </c>
      <c r="Q1" s="6">
        <v>43996</v>
      </c>
      <c r="R1" s="6">
        <v>43997</v>
      </c>
      <c r="S1" s="6">
        <v>43998</v>
      </c>
      <c r="T1" s="6">
        <v>43999</v>
      </c>
      <c r="U1" s="6">
        <v>44000</v>
      </c>
      <c r="V1" s="6">
        <v>44001</v>
      </c>
      <c r="W1" s="6">
        <v>44002</v>
      </c>
      <c r="X1" s="6">
        <v>44003</v>
      </c>
      <c r="Y1" s="6">
        <v>44004</v>
      </c>
      <c r="Z1" s="6">
        <v>44005</v>
      </c>
      <c r="AA1" s="6">
        <v>44006</v>
      </c>
      <c r="AB1" s="6">
        <v>44007</v>
      </c>
      <c r="AC1" s="6">
        <v>44008</v>
      </c>
      <c r="AD1" s="6">
        <v>44009</v>
      </c>
      <c r="AE1" s="6">
        <v>44010</v>
      </c>
      <c r="AF1" s="6">
        <v>44011</v>
      </c>
      <c r="AG1" s="6">
        <v>44012</v>
      </c>
      <c r="AH1" s="6">
        <v>44013</v>
      </c>
      <c r="AI1" s="6">
        <v>44014</v>
      </c>
      <c r="AJ1" s="6">
        <v>44015</v>
      </c>
      <c r="AK1" s="6">
        <v>44016</v>
      </c>
      <c r="AL1" s="6">
        <v>44017</v>
      </c>
      <c r="AM1" s="6">
        <v>44018</v>
      </c>
      <c r="AN1" s="6">
        <v>44019</v>
      </c>
      <c r="AO1" s="6">
        <v>44020</v>
      </c>
      <c r="AP1" s="6">
        <v>44021</v>
      </c>
      <c r="AQ1" s="6">
        <v>44022</v>
      </c>
      <c r="AR1" s="6">
        <v>44023</v>
      </c>
      <c r="AS1" s="6">
        <v>44024</v>
      </c>
      <c r="AT1" s="6">
        <v>44025</v>
      </c>
      <c r="AU1" s="6">
        <v>44026</v>
      </c>
      <c r="AV1" s="6">
        <v>44027</v>
      </c>
      <c r="AW1" s="6">
        <v>44028</v>
      </c>
      <c r="AX1" s="6">
        <v>44029</v>
      </c>
      <c r="AY1" s="6">
        <v>44030</v>
      </c>
      <c r="AZ1" s="6">
        <v>44031</v>
      </c>
      <c r="BA1" s="6">
        <v>44032</v>
      </c>
      <c r="BB1" s="6">
        <v>44033</v>
      </c>
      <c r="BC1" s="6">
        <v>44034</v>
      </c>
      <c r="BD1" s="6">
        <v>44035</v>
      </c>
      <c r="BE1" s="6">
        <v>44036</v>
      </c>
      <c r="BF1" s="6">
        <v>44037</v>
      </c>
      <c r="BG1" s="6">
        <v>44038</v>
      </c>
      <c r="BH1" s="6">
        <v>44039</v>
      </c>
      <c r="BI1" s="6">
        <v>44040</v>
      </c>
      <c r="BJ1" s="6">
        <v>44041</v>
      </c>
      <c r="BK1" s="6">
        <v>44042</v>
      </c>
      <c r="BL1" s="6">
        <v>44043</v>
      </c>
      <c r="BM1" s="6">
        <v>44044</v>
      </c>
      <c r="BN1" s="6">
        <v>44045</v>
      </c>
      <c r="BO1" s="6">
        <v>44046</v>
      </c>
      <c r="BP1" s="6">
        <v>44047</v>
      </c>
      <c r="BQ1" s="6">
        <v>44048</v>
      </c>
      <c r="BR1" s="6">
        <v>44049</v>
      </c>
      <c r="BS1" s="6">
        <v>44050</v>
      </c>
      <c r="BT1" s="6">
        <v>44051</v>
      </c>
      <c r="BU1" s="6">
        <v>44052</v>
      </c>
      <c r="BV1" s="6">
        <v>44053</v>
      </c>
      <c r="BW1" s="6">
        <v>44054</v>
      </c>
      <c r="BX1" s="6">
        <v>44055</v>
      </c>
      <c r="BY1" s="6">
        <v>44056</v>
      </c>
      <c r="BZ1" s="6">
        <v>44057</v>
      </c>
      <c r="CA1" s="6">
        <v>44058</v>
      </c>
      <c r="CB1" s="6">
        <v>44059</v>
      </c>
      <c r="CC1" s="6">
        <v>44060</v>
      </c>
      <c r="CD1" s="6">
        <v>44061</v>
      </c>
      <c r="CE1" s="6">
        <v>44062</v>
      </c>
      <c r="CF1" s="6">
        <v>44063</v>
      </c>
      <c r="CG1" s="6">
        <v>44064</v>
      </c>
      <c r="CH1" s="6">
        <v>44065</v>
      </c>
      <c r="CI1" s="6">
        <v>44066</v>
      </c>
      <c r="CJ1" s="6">
        <v>44067</v>
      </c>
      <c r="CK1" s="6">
        <v>44068</v>
      </c>
      <c r="CL1" s="6">
        <v>44069</v>
      </c>
      <c r="CM1" s="6">
        <v>44070</v>
      </c>
      <c r="CN1" s="6">
        <v>44071</v>
      </c>
      <c r="CO1" s="6">
        <v>44072</v>
      </c>
      <c r="CP1" s="6">
        <v>44073</v>
      </c>
      <c r="CQ1" s="6">
        <v>44074</v>
      </c>
      <c r="CR1" s="6">
        <v>44075</v>
      </c>
      <c r="CS1" s="6">
        <v>44076</v>
      </c>
      <c r="CT1" s="6">
        <v>44077</v>
      </c>
      <c r="CU1" s="6">
        <v>44078</v>
      </c>
      <c r="CV1" s="6">
        <v>44079</v>
      </c>
      <c r="CW1" s="6">
        <v>44080</v>
      </c>
      <c r="CX1" s="6">
        <v>44081</v>
      </c>
      <c r="CY1" s="6">
        <v>44082</v>
      </c>
      <c r="CZ1" s="6">
        <v>44083</v>
      </c>
      <c r="DA1" s="6">
        <v>44084</v>
      </c>
      <c r="DB1" s="6">
        <v>44085</v>
      </c>
      <c r="DC1" s="6">
        <v>44086</v>
      </c>
      <c r="DD1" s="6">
        <v>44087</v>
      </c>
      <c r="DE1" s="6">
        <v>44088</v>
      </c>
      <c r="DF1" s="6">
        <v>44089</v>
      </c>
      <c r="DG1" s="6">
        <v>44090</v>
      </c>
      <c r="DH1" s="6">
        <v>44091</v>
      </c>
      <c r="DI1" s="6">
        <v>44092</v>
      </c>
      <c r="DJ1" s="6">
        <v>44093</v>
      </c>
      <c r="DK1" s="6">
        <v>44094</v>
      </c>
      <c r="DL1" s="6">
        <v>44095</v>
      </c>
      <c r="DM1" s="6">
        <v>44096</v>
      </c>
      <c r="DN1" s="6">
        <v>44097</v>
      </c>
      <c r="DO1" s="6">
        <v>44098</v>
      </c>
      <c r="DP1" s="6">
        <v>44099</v>
      </c>
      <c r="DQ1" s="6">
        <v>44100</v>
      </c>
      <c r="DR1" s="6">
        <v>44101</v>
      </c>
      <c r="DS1" s="6">
        <v>44102</v>
      </c>
      <c r="DT1" s="6">
        <v>44103</v>
      </c>
      <c r="DU1" s="6">
        <v>44104</v>
      </c>
      <c r="DV1" s="6">
        <v>44105</v>
      </c>
      <c r="DW1" s="6">
        <v>44106</v>
      </c>
      <c r="DX1" s="6">
        <v>44107</v>
      </c>
      <c r="DY1" s="6">
        <v>44108</v>
      </c>
      <c r="DZ1" s="6">
        <v>44109</v>
      </c>
      <c r="EA1" s="6">
        <v>44110</v>
      </c>
      <c r="EB1" s="6">
        <v>44111</v>
      </c>
      <c r="EC1" s="6">
        <v>44112</v>
      </c>
      <c r="ED1" s="6">
        <v>44113</v>
      </c>
      <c r="EE1" s="6">
        <v>44114</v>
      </c>
      <c r="EF1" s="6">
        <v>44115</v>
      </c>
      <c r="EG1" s="6">
        <v>44116</v>
      </c>
      <c r="EH1" s="6">
        <v>44117</v>
      </c>
      <c r="EI1" s="6">
        <v>44118</v>
      </c>
      <c r="EJ1" s="6">
        <v>44119</v>
      </c>
      <c r="EK1" s="6">
        <v>44120</v>
      </c>
      <c r="EL1" s="6">
        <v>44121</v>
      </c>
      <c r="EM1" s="6">
        <v>44122</v>
      </c>
      <c r="EN1" s="6">
        <v>44123</v>
      </c>
      <c r="EO1" s="6">
        <v>44124</v>
      </c>
      <c r="EP1" s="6">
        <v>44125</v>
      </c>
      <c r="EQ1" s="6">
        <v>44126</v>
      </c>
      <c r="ER1" s="6">
        <v>44127</v>
      </c>
      <c r="ES1" s="6">
        <v>44128</v>
      </c>
      <c r="ET1" s="6">
        <v>44129</v>
      </c>
      <c r="EU1" s="6">
        <v>44130</v>
      </c>
      <c r="EV1" s="6">
        <v>44131</v>
      </c>
      <c r="EW1" s="6">
        <v>44132</v>
      </c>
      <c r="EX1" s="6">
        <v>44133</v>
      </c>
      <c r="EY1" s="6">
        <v>44134</v>
      </c>
      <c r="EZ1" s="6">
        <v>44135</v>
      </c>
      <c r="FA1" s="6">
        <v>44136</v>
      </c>
      <c r="FB1" s="6">
        <v>44137</v>
      </c>
      <c r="FC1" s="6">
        <v>44138</v>
      </c>
      <c r="FD1" s="6">
        <v>44139</v>
      </c>
      <c r="FE1" s="6">
        <v>44140</v>
      </c>
      <c r="FF1" s="6">
        <v>44141</v>
      </c>
      <c r="FG1" s="6">
        <v>44142</v>
      </c>
      <c r="FH1" s="6">
        <v>44143</v>
      </c>
      <c r="FI1" s="6">
        <v>44144</v>
      </c>
      <c r="FJ1" s="6">
        <v>44145</v>
      </c>
      <c r="FK1" s="6">
        <v>44146</v>
      </c>
      <c r="FL1" s="6">
        <v>44147</v>
      </c>
      <c r="FM1" s="6">
        <v>44148</v>
      </c>
      <c r="FN1" s="6">
        <v>44149</v>
      </c>
      <c r="FO1" s="6">
        <v>44150</v>
      </c>
      <c r="FP1" s="6">
        <v>44151</v>
      </c>
      <c r="FQ1" s="6">
        <v>44152</v>
      </c>
      <c r="FR1" s="6">
        <v>44153</v>
      </c>
      <c r="FS1" s="6">
        <v>44154</v>
      </c>
      <c r="FT1" s="6">
        <v>44155</v>
      </c>
      <c r="FU1" s="6">
        <v>44156</v>
      </c>
      <c r="FV1" s="6">
        <v>44157</v>
      </c>
      <c r="FW1" s="6">
        <v>44158</v>
      </c>
      <c r="FX1" s="6">
        <v>44159</v>
      </c>
      <c r="FY1" s="6">
        <v>44160</v>
      </c>
      <c r="FZ1" s="6">
        <v>44161</v>
      </c>
      <c r="GA1" s="6">
        <v>44162</v>
      </c>
      <c r="GB1" s="6">
        <v>44163</v>
      </c>
      <c r="GC1" s="6">
        <v>44164</v>
      </c>
      <c r="GD1" s="6">
        <v>44165</v>
      </c>
      <c r="GE1" s="6">
        <v>44166</v>
      </c>
      <c r="GF1" s="6">
        <v>44167</v>
      </c>
      <c r="GG1" s="6">
        <v>44168</v>
      </c>
      <c r="GH1" s="6">
        <v>44169</v>
      </c>
      <c r="GI1" s="6">
        <v>44170</v>
      </c>
      <c r="GJ1" s="6">
        <v>44171</v>
      </c>
      <c r="GK1" s="6">
        <v>44172</v>
      </c>
      <c r="GL1" s="6">
        <v>44173</v>
      </c>
      <c r="GM1" s="6">
        <v>44174</v>
      </c>
      <c r="GN1" s="6">
        <v>44175</v>
      </c>
      <c r="GO1" s="6">
        <v>44176</v>
      </c>
      <c r="GP1" s="6">
        <v>44177</v>
      </c>
      <c r="GQ1" s="6">
        <v>44178</v>
      </c>
      <c r="GR1" s="6">
        <v>44179</v>
      </c>
      <c r="GS1" s="6">
        <v>44180</v>
      </c>
      <c r="GT1" s="6">
        <v>44181</v>
      </c>
      <c r="GU1" s="6">
        <v>44182</v>
      </c>
      <c r="GV1" s="6">
        <v>44183</v>
      </c>
      <c r="GW1" s="6">
        <v>44184</v>
      </c>
      <c r="GX1" s="6">
        <v>44185</v>
      </c>
      <c r="GY1" s="6">
        <v>44186</v>
      </c>
      <c r="GZ1" s="6">
        <v>44187</v>
      </c>
      <c r="HA1" s="6">
        <v>44188</v>
      </c>
      <c r="HB1" s="6">
        <v>44189</v>
      </c>
      <c r="HC1" s="6">
        <v>44190</v>
      </c>
      <c r="HD1" s="6">
        <v>44191</v>
      </c>
      <c r="HE1" s="6">
        <v>44192</v>
      </c>
      <c r="HF1" s="6">
        <v>44193</v>
      </c>
      <c r="HG1" s="6">
        <v>44194</v>
      </c>
      <c r="HH1" s="6">
        <v>44195</v>
      </c>
      <c r="HI1" s="6">
        <v>44196</v>
      </c>
    </row>
    <row r="2" spans="1:217" x14ac:dyDescent="0.3">
      <c r="A2" t="s">
        <v>202</v>
      </c>
      <c r="B2" s="8">
        <v>43983</v>
      </c>
      <c r="C2" s="8">
        <v>44027</v>
      </c>
    </row>
    <row r="3" spans="1:217" x14ac:dyDescent="0.3">
      <c r="A3" t="s">
        <v>203</v>
      </c>
      <c r="B3" s="8">
        <v>44027</v>
      </c>
      <c r="C3" s="8">
        <v>44044</v>
      </c>
    </row>
    <row r="4" spans="1:217" x14ac:dyDescent="0.3">
      <c r="A4" t="s">
        <v>204</v>
      </c>
      <c r="B4" s="8">
        <v>44027</v>
      </c>
      <c r="C4" s="8">
        <v>44075</v>
      </c>
    </row>
    <row r="5" spans="1:217" x14ac:dyDescent="0.3">
      <c r="A5" t="s">
        <v>205</v>
      </c>
      <c r="B5" s="8">
        <v>44053</v>
      </c>
      <c r="C5" s="8">
        <v>44089</v>
      </c>
    </row>
    <row r="6" spans="1:217" x14ac:dyDescent="0.3">
      <c r="A6" t="s">
        <v>206</v>
      </c>
      <c r="B6" s="8">
        <v>44082</v>
      </c>
      <c r="C6" s="8">
        <v>44145</v>
      </c>
    </row>
    <row r="7" spans="1:217" x14ac:dyDescent="0.3">
      <c r="A7" t="s">
        <v>207</v>
      </c>
      <c r="B7" s="8">
        <v>44089</v>
      </c>
      <c r="C7" s="8">
        <v>44155</v>
      </c>
    </row>
    <row r="8" spans="1:217" x14ac:dyDescent="0.3">
      <c r="A8" t="s">
        <v>212</v>
      </c>
      <c r="B8" s="8">
        <v>44145</v>
      </c>
      <c r="C8" s="8">
        <v>44166</v>
      </c>
    </row>
    <row r="9" spans="1:217" x14ac:dyDescent="0.3">
      <c r="A9" t="s">
        <v>208</v>
      </c>
      <c r="B9" s="8">
        <v>44166</v>
      </c>
      <c r="C9" s="8">
        <v>44195</v>
      </c>
    </row>
  </sheetData>
  <conditionalFormatting sqref="D2:HI9">
    <cfRule type="expression" dxfId="6" priority="1">
      <formula>AND(D$1&gt;=$B2,D$1&lt;=$C2)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B4F5-8664-4BAA-9755-3520269FF9F3}">
  <dimension ref="A1:C12"/>
  <sheetViews>
    <sheetView tabSelected="1" workbookViewId="0">
      <selection activeCell="F11" sqref="F11"/>
    </sheetView>
  </sheetViews>
  <sheetFormatPr defaultRowHeight="14.4" x14ac:dyDescent="0.3"/>
  <sheetData>
    <row r="1" spans="1:3" x14ac:dyDescent="0.3">
      <c r="B1" s="9">
        <v>2019</v>
      </c>
      <c r="C1" s="9">
        <v>2020</v>
      </c>
    </row>
    <row r="2" spans="1:3" x14ac:dyDescent="0.3">
      <c r="A2" t="s">
        <v>116</v>
      </c>
      <c r="B2" s="10">
        <v>965</v>
      </c>
      <c r="C2" s="10">
        <v>184</v>
      </c>
    </row>
    <row r="3" spans="1:3" x14ac:dyDescent="0.3">
      <c r="A3" t="s">
        <v>117</v>
      </c>
      <c r="B3" s="10">
        <v>103</v>
      </c>
      <c r="C3" s="10">
        <v>519</v>
      </c>
    </row>
    <row r="4" spans="1:3" x14ac:dyDescent="0.3">
      <c r="A4" t="s">
        <v>118</v>
      </c>
      <c r="B4" s="10">
        <v>456</v>
      </c>
      <c r="C4" s="10">
        <v>963</v>
      </c>
    </row>
    <row r="5" spans="1:3" x14ac:dyDescent="0.3">
      <c r="A5" t="s">
        <v>119</v>
      </c>
      <c r="B5" s="10">
        <v>30</v>
      </c>
      <c r="C5" s="10">
        <v>414</v>
      </c>
    </row>
    <row r="6" spans="1:3" x14ac:dyDescent="0.3">
      <c r="A6" t="s">
        <v>120</v>
      </c>
      <c r="B6" s="10"/>
      <c r="C6" s="10">
        <v>823</v>
      </c>
    </row>
    <row r="7" spans="1:3" x14ac:dyDescent="0.3">
      <c r="A7" t="s">
        <v>121</v>
      </c>
      <c r="B7" s="10">
        <v>958</v>
      </c>
      <c r="C7" s="10">
        <v>527</v>
      </c>
    </row>
    <row r="8" spans="1:3" x14ac:dyDescent="0.3">
      <c r="A8" t="s">
        <v>122</v>
      </c>
      <c r="B8" s="10">
        <v>551</v>
      </c>
      <c r="C8" s="10">
        <v>459</v>
      </c>
    </row>
    <row r="9" spans="1:3" x14ac:dyDescent="0.3">
      <c r="A9" t="s">
        <v>124</v>
      </c>
      <c r="B9" s="10"/>
      <c r="C9" s="10">
        <v>439</v>
      </c>
    </row>
    <row r="10" spans="1:3" x14ac:dyDescent="0.3">
      <c r="A10" t="s">
        <v>125</v>
      </c>
      <c r="B10" s="10">
        <v>532</v>
      </c>
      <c r="C10" s="10">
        <v>395</v>
      </c>
    </row>
    <row r="11" spans="1:3" x14ac:dyDescent="0.3">
      <c r="A11" t="s">
        <v>126</v>
      </c>
      <c r="B11" s="10">
        <v>592</v>
      </c>
      <c r="C11" s="10">
        <v>113</v>
      </c>
    </row>
    <row r="12" spans="1:3" x14ac:dyDescent="0.3">
      <c r="A12" t="s">
        <v>127</v>
      </c>
      <c r="B12" s="10" t="s">
        <v>213</v>
      </c>
      <c r="C12" s="10">
        <v>765</v>
      </c>
    </row>
  </sheetData>
  <conditionalFormatting sqref="B2:B12">
    <cfRule type="expression" dxfId="3" priority="2">
      <formula>ISNUMBER(B2)</formula>
    </cfRule>
    <cfRule type="expression" dxfId="2" priority="1">
      <formula>NOT(ISNUMBER(B2))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ФИО_программное форм.</vt:lpstr>
      <vt:lpstr>ФИО_формульное форм.(1зад)</vt:lpstr>
      <vt:lpstr>ФИО_формульное форм. (2зад)</vt:lpstr>
      <vt:lpstr>Прирост</vt:lpstr>
      <vt:lpstr>Сравнение списков</vt:lpstr>
      <vt:lpstr>Проектная диаграмма</vt:lpstr>
      <vt:lpstr>Числа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2023-12-13T15:07:46Z</dcterms:modified>
</cp:coreProperties>
</file>