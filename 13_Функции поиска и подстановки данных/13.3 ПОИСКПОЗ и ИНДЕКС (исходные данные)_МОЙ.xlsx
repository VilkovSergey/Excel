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УЧЁБА\EXCEL\Excel\13_Функции поиска и подстановки данных\"/>
    </mc:Choice>
  </mc:AlternateContent>
  <xr:revisionPtr revIDLastSave="0" documentId="13_ncr:1_{D88426D8-40D0-4C76-A85D-0616B5D5E0F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Списки" sheetId="1" r:id="rId1"/>
    <sheet name="Индек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2" l="1"/>
  <c r="B9" i="2"/>
  <c r="D3" i="2"/>
  <c r="F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2" i="1"/>
  <c r="E2" i="1"/>
  <c r="D2" i="1"/>
</calcChain>
</file>

<file path=xl/sharedStrings.xml><?xml version="1.0" encoding="utf-8"?>
<sst xmlns="http://schemas.openxmlformats.org/spreadsheetml/2006/main" count="78" uniqueCount="45">
  <si>
    <t>Зарегистрированы</t>
  </si>
  <si>
    <t>Оплатили</t>
  </si>
  <si>
    <t>Бычкова</t>
  </si>
  <si>
    <t>Тимирязев</t>
  </si>
  <si>
    <t>Тамаркина</t>
  </si>
  <si>
    <t>Васнецов</t>
  </si>
  <si>
    <t>Кочубей</t>
  </si>
  <si>
    <t>Черников</t>
  </si>
  <si>
    <t>Логвинов</t>
  </si>
  <si>
    <t>Куняев</t>
  </si>
  <si>
    <t>Капица</t>
  </si>
  <si>
    <t>Воропаева</t>
  </si>
  <si>
    <t>Малахов</t>
  </si>
  <si>
    <t>Болдырев</t>
  </si>
  <si>
    <t>Бутылина</t>
  </si>
  <si>
    <t>Кабалкин</t>
  </si>
  <si>
    <t>Кваскова</t>
  </si>
  <si>
    <t>Созонтова</t>
  </si>
  <si>
    <t>Чикунова</t>
  </si>
  <si>
    <t>Кугушев</t>
  </si>
  <si>
    <t>Масмехова</t>
  </si>
  <si>
    <t>Кутякова</t>
  </si>
  <si>
    <t>Садовский</t>
  </si>
  <si>
    <t>Оболенский</t>
  </si>
  <si>
    <t>Афонин</t>
  </si>
  <si>
    <t>Хомичев</t>
  </si>
  <si>
    <t>Татауров</t>
  </si>
  <si>
    <t>Петухов</t>
  </si>
  <si>
    <t>Комзина</t>
  </si>
  <si>
    <t>Терехова</t>
  </si>
  <si>
    <t>Курдикова</t>
  </si>
  <si>
    <t>Колбенева</t>
  </si>
  <si>
    <t>Жолдина</t>
  </si>
  <si>
    <t>Бруевич</t>
  </si>
  <si>
    <t>Панфёрова</t>
  </si>
  <si>
    <t>Яклашкин</t>
  </si>
  <si>
    <t>Худякова</t>
  </si>
  <si>
    <t>Юбкин</t>
  </si>
  <si>
    <t>Иканова</t>
  </si>
  <si>
    <t>Серпионов</t>
  </si>
  <si>
    <t>Чичерин</t>
  </si>
  <si>
    <t>Рашет</t>
  </si>
  <si>
    <t>Не оплатили</t>
  </si>
  <si>
    <t>=ПОИСКПОЗ</t>
  </si>
  <si>
    <t>=ИНДЕКС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</si>
</sst>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Alignment="1"/>
    <xf numFmtId="0" fontId="0" fillId="3" borderId="0" xfId="0" applyFill="1" applyAlignment="1">
      <alignment horizontal="center" vertical="center"/>
    </xf>
    <xf numFmtId="0" fontId="0" fillId="3" borderId="0" xfId="0" applyFill="1"/>
  </cellXfs>
  <cellStyles count="2">
    <cellStyle name="Акцент5" xfId="1" builtinId="4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zoomScale="130" zoomScaleNormal="130" workbookViewId="0">
      <pane ySplit="1" topLeftCell="A2" activePane="bottomLeft" state="frozen"/>
      <selection pane="bottomLeft" activeCell="G8" sqref="G8"/>
    </sheetView>
  </sheetViews>
  <sheetFormatPr defaultRowHeight="14.4" x14ac:dyDescent="0.3"/>
  <cols>
    <col min="1" max="1" width="25.21875" customWidth="1"/>
    <col min="2" max="2" width="11.77734375" bestFit="1" customWidth="1"/>
    <col min="3" max="3" width="31.44140625" customWidth="1"/>
    <col min="6" max="6" width="9.33203125" bestFit="1" customWidth="1"/>
  </cols>
  <sheetData>
    <row r="1" spans="1:7" x14ac:dyDescent="0.3">
      <c r="A1" s="1" t="s">
        <v>0</v>
      </c>
      <c r="B1" s="1" t="s">
        <v>42</v>
      </c>
      <c r="C1" s="1" t="s">
        <v>1</v>
      </c>
      <c r="D1" s="5" t="s">
        <v>43</v>
      </c>
      <c r="E1" s="4"/>
      <c r="F1" s="6" t="s">
        <v>44</v>
      </c>
      <c r="G1" s="3"/>
    </row>
    <row r="2" spans="1:7" x14ac:dyDescent="0.3">
      <c r="A2" t="s">
        <v>2</v>
      </c>
      <c r="B2" s="2">
        <f>IFERROR(MATCH(A2,C:C,0),"Не оплатил")</f>
        <v>2</v>
      </c>
      <c r="C2" t="s">
        <v>2</v>
      </c>
      <c r="D2">
        <f>MATCH(A14,A:A,0)</f>
        <v>14</v>
      </c>
      <c r="E2">
        <f>MATCH("Бутылина",A:A,0)</f>
        <v>14</v>
      </c>
      <c r="F2" t="str">
        <f>INDEX(A:A,14)</f>
        <v>Бутылина</v>
      </c>
    </row>
    <row r="3" spans="1:7" x14ac:dyDescent="0.3">
      <c r="A3" t="s">
        <v>3</v>
      </c>
      <c r="B3" s="2">
        <f t="shared" ref="B3:B41" si="0">IFERROR(MATCH(A3,C:C,0),"Не оплатил")</f>
        <v>3</v>
      </c>
      <c r="C3" t="s">
        <v>3</v>
      </c>
    </row>
    <row r="4" spans="1:7" x14ac:dyDescent="0.3">
      <c r="A4" t="s">
        <v>4</v>
      </c>
      <c r="B4" s="2">
        <f t="shared" si="0"/>
        <v>4</v>
      </c>
      <c r="C4" t="s">
        <v>4</v>
      </c>
    </row>
    <row r="5" spans="1:7" x14ac:dyDescent="0.3">
      <c r="A5" t="s">
        <v>5</v>
      </c>
      <c r="B5" s="2">
        <f t="shared" si="0"/>
        <v>5</v>
      </c>
      <c r="C5" t="s">
        <v>5</v>
      </c>
    </row>
    <row r="6" spans="1:7" x14ac:dyDescent="0.3">
      <c r="A6" t="s">
        <v>6</v>
      </c>
      <c r="B6" s="2" t="str">
        <f t="shared" si="0"/>
        <v>Не оплатил</v>
      </c>
      <c r="C6" t="s">
        <v>7</v>
      </c>
    </row>
    <row r="7" spans="1:7" x14ac:dyDescent="0.3">
      <c r="A7" t="s">
        <v>7</v>
      </c>
      <c r="B7" s="2">
        <f t="shared" si="0"/>
        <v>6</v>
      </c>
      <c r="C7" t="s">
        <v>8</v>
      </c>
    </row>
    <row r="8" spans="1:7" x14ac:dyDescent="0.3">
      <c r="A8" t="s">
        <v>8</v>
      </c>
      <c r="B8" s="2">
        <f t="shared" si="0"/>
        <v>7</v>
      </c>
      <c r="C8" t="s">
        <v>9</v>
      </c>
    </row>
    <row r="9" spans="1:7" x14ac:dyDescent="0.3">
      <c r="A9" t="s">
        <v>9</v>
      </c>
      <c r="B9" s="2">
        <f t="shared" si="0"/>
        <v>8</v>
      </c>
      <c r="C9" t="s">
        <v>10</v>
      </c>
    </row>
    <row r="10" spans="1:7" x14ac:dyDescent="0.3">
      <c r="A10" t="s">
        <v>10</v>
      </c>
      <c r="B10" s="2">
        <f t="shared" si="0"/>
        <v>9</v>
      </c>
      <c r="C10" t="s">
        <v>12</v>
      </c>
    </row>
    <row r="11" spans="1:7" x14ac:dyDescent="0.3">
      <c r="A11" t="s">
        <v>11</v>
      </c>
      <c r="B11" s="2" t="str">
        <f t="shared" si="0"/>
        <v>Не оплатил</v>
      </c>
      <c r="C11" t="s">
        <v>13</v>
      </c>
    </row>
    <row r="12" spans="1:7" x14ac:dyDescent="0.3">
      <c r="A12" t="s">
        <v>12</v>
      </c>
      <c r="B12" s="2">
        <f t="shared" si="0"/>
        <v>10</v>
      </c>
      <c r="C12" t="s">
        <v>14</v>
      </c>
    </row>
    <row r="13" spans="1:7" x14ac:dyDescent="0.3">
      <c r="A13" t="s">
        <v>13</v>
      </c>
      <c r="B13" s="2">
        <f t="shared" si="0"/>
        <v>11</v>
      </c>
      <c r="C13" t="s">
        <v>15</v>
      </c>
    </row>
    <row r="14" spans="1:7" x14ac:dyDescent="0.3">
      <c r="A14" t="s">
        <v>14</v>
      </c>
      <c r="B14" s="2">
        <f t="shared" si="0"/>
        <v>12</v>
      </c>
      <c r="C14" t="s">
        <v>16</v>
      </c>
    </row>
    <row r="15" spans="1:7" x14ac:dyDescent="0.3">
      <c r="A15" t="s">
        <v>15</v>
      </c>
      <c r="B15" s="2">
        <f t="shared" si="0"/>
        <v>13</v>
      </c>
      <c r="C15" t="s">
        <v>17</v>
      </c>
    </row>
    <row r="16" spans="1:7" x14ac:dyDescent="0.3">
      <c r="A16" t="s">
        <v>16</v>
      </c>
      <c r="B16" s="2">
        <f t="shared" si="0"/>
        <v>14</v>
      </c>
      <c r="C16" t="s">
        <v>18</v>
      </c>
    </row>
    <row r="17" spans="1:3" x14ac:dyDescent="0.3">
      <c r="A17" t="s">
        <v>17</v>
      </c>
      <c r="B17" s="2">
        <f t="shared" si="0"/>
        <v>15</v>
      </c>
      <c r="C17" t="s">
        <v>19</v>
      </c>
    </row>
    <row r="18" spans="1:3" x14ac:dyDescent="0.3">
      <c r="A18" t="s">
        <v>18</v>
      </c>
      <c r="B18" s="2">
        <f t="shared" si="0"/>
        <v>16</v>
      </c>
      <c r="C18" t="s">
        <v>20</v>
      </c>
    </row>
    <row r="19" spans="1:3" x14ac:dyDescent="0.3">
      <c r="A19" t="s">
        <v>19</v>
      </c>
      <c r="B19" s="2">
        <f t="shared" si="0"/>
        <v>17</v>
      </c>
      <c r="C19" t="s">
        <v>21</v>
      </c>
    </row>
    <row r="20" spans="1:3" x14ac:dyDescent="0.3">
      <c r="A20" t="s">
        <v>20</v>
      </c>
      <c r="B20" s="2">
        <f t="shared" si="0"/>
        <v>18</v>
      </c>
      <c r="C20" t="s">
        <v>22</v>
      </c>
    </row>
    <row r="21" spans="1:3" x14ac:dyDescent="0.3">
      <c r="A21" t="s">
        <v>21</v>
      </c>
      <c r="B21" s="2">
        <f t="shared" si="0"/>
        <v>19</v>
      </c>
      <c r="C21" t="s">
        <v>23</v>
      </c>
    </row>
    <row r="22" spans="1:3" x14ac:dyDescent="0.3">
      <c r="A22" t="s">
        <v>22</v>
      </c>
      <c r="B22" s="2">
        <f t="shared" si="0"/>
        <v>20</v>
      </c>
      <c r="C22" t="s">
        <v>24</v>
      </c>
    </row>
    <row r="23" spans="1:3" x14ac:dyDescent="0.3">
      <c r="A23" t="s">
        <v>23</v>
      </c>
      <c r="B23" s="2">
        <f t="shared" si="0"/>
        <v>21</v>
      </c>
      <c r="C23" t="s">
        <v>25</v>
      </c>
    </row>
    <row r="24" spans="1:3" x14ac:dyDescent="0.3">
      <c r="A24" t="s">
        <v>24</v>
      </c>
      <c r="B24" s="2">
        <f t="shared" si="0"/>
        <v>22</v>
      </c>
      <c r="C24" t="s">
        <v>26</v>
      </c>
    </row>
    <row r="25" spans="1:3" x14ac:dyDescent="0.3">
      <c r="A25" t="s">
        <v>25</v>
      </c>
      <c r="B25" s="2">
        <f t="shared" si="0"/>
        <v>23</v>
      </c>
      <c r="C25" t="s">
        <v>28</v>
      </c>
    </row>
    <row r="26" spans="1:3" x14ac:dyDescent="0.3">
      <c r="A26" t="s">
        <v>26</v>
      </c>
      <c r="B26" s="2">
        <f t="shared" si="0"/>
        <v>24</v>
      </c>
      <c r="C26" t="s">
        <v>29</v>
      </c>
    </row>
    <row r="27" spans="1:3" x14ac:dyDescent="0.3">
      <c r="A27" t="s">
        <v>27</v>
      </c>
      <c r="B27" s="2" t="str">
        <f t="shared" si="0"/>
        <v>Не оплатил</v>
      </c>
      <c r="C27" t="s">
        <v>30</v>
      </c>
    </row>
    <row r="28" spans="1:3" x14ac:dyDescent="0.3">
      <c r="A28" t="s">
        <v>28</v>
      </c>
      <c r="B28" s="2">
        <f t="shared" si="0"/>
        <v>25</v>
      </c>
      <c r="C28" t="s">
        <v>32</v>
      </c>
    </row>
    <row r="29" spans="1:3" x14ac:dyDescent="0.3">
      <c r="A29" t="s">
        <v>29</v>
      </c>
      <c r="B29" s="2">
        <f t="shared" si="0"/>
        <v>26</v>
      </c>
      <c r="C29" t="s">
        <v>34</v>
      </c>
    </row>
    <row r="30" spans="1:3" x14ac:dyDescent="0.3">
      <c r="A30" t="s">
        <v>30</v>
      </c>
      <c r="B30" s="2">
        <f t="shared" si="0"/>
        <v>27</v>
      </c>
      <c r="C30" t="s">
        <v>35</v>
      </c>
    </row>
    <row r="31" spans="1:3" x14ac:dyDescent="0.3">
      <c r="A31" t="s">
        <v>31</v>
      </c>
      <c r="B31" s="2" t="str">
        <f t="shared" si="0"/>
        <v>Не оплатил</v>
      </c>
      <c r="C31" t="s">
        <v>36</v>
      </c>
    </row>
    <row r="32" spans="1:3" x14ac:dyDescent="0.3">
      <c r="A32" t="s">
        <v>32</v>
      </c>
      <c r="B32" s="2">
        <f t="shared" si="0"/>
        <v>28</v>
      </c>
      <c r="C32" t="s">
        <v>38</v>
      </c>
    </row>
    <row r="33" spans="1:3" x14ac:dyDescent="0.3">
      <c r="A33" t="s">
        <v>33</v>
      </c>
      <c r="B33" s="2" t="str">
        <f t="shared" si="0"/>
        <v>Не оплатил</v>
      </c>
      <c r="C33" t="s">
        <v>39</v>
      </c>
    </row>
    <row r="34" spans="1:3" x14ac:dyDescent="0.3">
      <c r="A34" t="s">
        <v>34</v>
      </c>
      <c r="B34" s="2">
        <f t="shared" si="0"/>
        <v>29</v>
      </c>
      <c r="C34" t="s">
        <v>40</v>
      </c>
    </row>
    <row r="35" spans="1:3" x14ac:dyDescent="0.3">
      <c r="A35" t="s">
        <v>35</v>
      </c>
      <c r="B35" s="2">
        <f t="shared" si="0"/>
        <v>30</v>
      </c>
    </row>
    <row r="36" spans="1:3" x14ac:dyDescent="0.3">
      <c r="A36" t="s">
        <v>36</v>
      </c>
      <c r="B36" s="2">
        <f t="shared" si="0"/>
        <v>31</v>
      </c>
    </row>
    <row r="37" spans="1:3" x14ac:dyDescent="0.3">
      <c r="A37" t="s">
        <v>37</v>
      </c>
      <c r="B37" s="2" t="str">
        <f t="shared" si="0"/>
        <v>Не оплатил</v>
      </c>
    </row>
    <row r="38" spans="1:3" x14ac:dyDescent="0.3">
      <c r="A38" t="s">
        <v>38</v>
      </c>
      <c r="B38" s="2">
        <f t="shared" si="0"/>
        <v>32</v>
      </c>
    </row>
    <row r="39" spans="1:3" x14ac:dyDescent="0.3">
      <c r="A39" t="s">
        <v>39</v>
      </c>
      <c r="B39" s="2">
        <f t="shared" si="0"/>
        <v>33</v>
      </c>
    </row>
    <row r="40" spans="1:3" x14ac:dyDescent="0.3">
      <c r="A40" t="s">
        <v>40</v>
      </c>
      <c r="B40" s="2">
        <f t="shared" si="0"/>
        <v>34</v>
      </c>
    </row>
    <row r="41" spans="1:3" x14ac:dyDescent="0.3">
      <c r="A41" t="s">
        <v>41</v>
      </c>
      <c r="B41" s="2" t="str">
        <f t="shared" si="0"/>
        <v>Не оплатил</v>
      </c>
    </row>
  </sheetData>
  <mergeCells count="1">
    <mergeCell ref="D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87D4-27CD-4A14-94C4-C15703E5C831}">
  <dimension ref="A1:K9"/>
  <sheetViews>
    <sheetView tabSelected="1" workbookViewId="0">
      <selection activeCell="K17" sqref="K17"/>
    </sheetView>
  </sheetViews>
  <sheetFormatPr defaultRowHeight="14.4" x14ac:dyDescent="0.3"/>
  <cols>
    <col min="2" max="2" width="9.88671875" bestFit="1" customWidth="1"/>
  </cols>
  <sheetData>
    <row r="1" spans="1:11" x14ac:dyDescent="0.3">
      <c r="A1" s="2">
        <v>1</v>
      </c>
      <c r="B1" s="2">
        <v>2</v>
      </c>
      <c r="C1" s="2">
        <v>3</v>
      </c>
      <c r="D1" s="2">
        <v>4</v>
      </c>
      <c r="E1" s="2"/>
      <c r="F1" s="2"/>
      <c r="G1" s="2"/>
      <c r="H1" s="2"/>
      <c r="I1" s="2"/>
      <c r="J1" s="2"/>
      <c r="K1" s="2"/>
    </row>
    <row r="2" spans="1:1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2"/>
      <c r="B3" s="2"/>
      <c r="C3" s="2"/>
      <c r="D3" s="7">
        <f>INDEX(A1:D1,4)</f>
        <v>4</v>
      </c>
      <c r="E3" s="2"/>
      <c r="F3" s="2"/>
      <c r="G3" s="2"/>
      <c r="H3" s="2"/>
      <c r="I3" s="2"/>
      <c r="J3" s="2"/>
      <c r="K3" s="2"/>
    </row>
    <row r="4" spans="1:11" x14ac:dyDescent="0.3">
      <c r="A4" s="2">
        <v>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">
      <c r="A5" s="2">
        <v>2</v>
      </c>
      <c r="B5" s="2"/>
      <c r="C5" s="2"/>
      <c r="D5" s="2"/>
      <c r="E5" s="2"/>
      <c r="F5" s="2"/>
      <c r="G5" s="2"/>
      <c r="H5" s="2">
        <v>1</v>
      </c>
      <c r="I5" s="2">
        <v>2</v>
      </c>
      <c r="J5" s="2">
        <v>3</v>
      </c>
      <c r="K5" s="2">
        <v>4</v>
      </c>
    </row>
    <row r="6" spans="1:11" x14ac:dyDescent="0.3">
      <c r="A6" s="2">
        <v>3</v>
      </c>
      <c r="B6" s="2"/>
      <c r="C6" s="2"/>
      <c r="D6" s="2"/>
      <c r="E6" s="2"/>
      <c r="F6" s="2"/>
      <c r="G6" s="2"/>
      <c r="H6" s="2">
        <v>5</v>
      </c>
      <c r="I6" s="2">
        <v>6</v>
      </c>
      <c r="J6" s="2">
        <v>7</v>
      </c>
      <c r="K6" s="2">
        <v>8</v>
      </c>
    </row>
    <row r="7" spans="1:11" x14ac:dyDescent="0.3">
      <c r="A7" s="2">
        <v>4</v>
      </c>
      <c r="B7" s="2"/>
      <c r="C7" s="2"/>
      <c r="D7" s="2"/>
      <c r="E7" s="2"/>
      <c r="F7" s="2"/>
      <c r="G7" s="2"/>
      <c r="H7" s="2"/>
      <c r="I7" s="2"/>
      <c r="J7" s="2"/>
      <c r="K7" s="2"/>
    </row>
    <row r="9" spans="1:11" x14ac:dyDescent="0.3">
      <c r="B9" s="8">
        <f>INDEX(A4:A7,3)</f>
        <v>3</v>
      </c>
      <c r="H9" s="8">
        <f>INDEX(H5:K6,2,3)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Списки</vt:lpstr>
      <vt:lpstr>Индекс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2023-12-15T11:35:19Z</dcterms:modified>
</cp:coreProperties>
</file>