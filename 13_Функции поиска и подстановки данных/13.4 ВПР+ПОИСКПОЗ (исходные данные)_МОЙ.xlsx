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3_Функции поиска и подстановки данных\"/>
    </mc:Choice>
  </mc:AlternateContent>
  <xr:revisionPtr revIDLastSave="0" documentId="13_ncr:1_{F94A86E7-7A31-4AF9-9EB0-4A8F72FF7D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ВПР" sheetId="1" r:id="rId1"/>
    <sheet name="Данны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2" i="1"/>
  <c r="C2" i="1"/>
  <c r="E2" i="1" l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<sst xmlns="http://schemas.openxmlformats.org/spreadsheetml/2006/main" count="17" uniqueCount="16">
  <si>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</si>
  <si>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</si>
  <si>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</si>
  <si>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</si>
  <si>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</si>
  <si>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</si>
  <si>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</si>
  <si>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</si>
  <si>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</si>
  <si>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</si>
  <si>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</si>
  <si>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</si>
  <si>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ВПР + ПОИСКПОЗ</t>
  </si>
  <si>
    <t>ИНДЕКС</t>
  </si>
  <si>
    <t>Номер столбца (по году)</t>
  </si>
  <si>
    <t>Номер строки (по месяцу)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</si>
</sst>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2" applyAlignment="1">
      <alignment horizontal="center"/>
    </xf>
    <xf numFmtId="0" fontId="2" fillId="2" borderId="0" xfId="2"/>
    <xf numFmtId="164" fontId="0" fillId="0" borderId="0" xfId="1" applyNumberFormat="1" applyFont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0" sqref="D10"/>
    </sheetView>
  </sheetViews>
  <sheetFormatPr defaultRowHeight="14.4" x14ac:dyDescent="0.3"/>
  <cols>
    <col min="2" max="2" width="16" bestFit="1" customWidth="1"/>
    <col min="3" max="3" width="24.77734375" bestFit="1" customWidth="1"/>
    <col min="4" max="4" width="22.33203125" bestFit="1" customWidth="1"/>
  </cols>
  <sheetData>
    <row r="1" spans="1:5" x14ac:dyDescent="0.3">
      <c r="B1" t="s">
        <v>12</v>
      </c>
      <c r="C1" t="s">
        <v>15</v>
      </c>
      <c r="D1" t="s">
        <v>14</v>
      </c>
      <c r="E1" t="s">
        <v>13</v>
      </c>
    </row>
    <row r="2" spans="1:5" x14ac:dyDescent="0.3">
      <c r="A2" s="2" t="s">
        <v>2</v>
      </c>
      <c r="B2">
        <f>VLOOKUP(A2,Данные!A1:L13,MATCH(A3,Данные!A1:L1),0)</f>
        <v>3565</v>
      </c>
      <c r="C2">
        <f>MATCH(A2,Данные!A1:A13,0)</f>
        <v>4</v>
      </c>
      <c r="D2">
        <f>MATCH(A3,Данные!A1:L1,0)</f>
        <v>6</v>
      </c>
      <c r="E2" cm="1">
        <f t="array" ref="E2">INDEX(Данные!A1:L13,ВПР!C2,ВПР!D2)</f>
        <v>3565</v>
      </c>
    </row>
    <row r="3" spans="1:5" x14ac:dyDescent="0.3">
      <c r="A3" s="1">
        <v>2014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0A0644-FED5-4ED8-AAA2-092F0E81926C}">
          <x14:formula1>
            <xm:f>Данные!$A$2:$A$13</xm:f>
          </x14:formula1>
          <xm:sqref>A2</xm:sqref>
        </x14:dataValidation>
        <x14:dataValidation type="list" allowBlank="1" showInputMessage="1" showErrorMessage="1" xr:uid="{69D0C78D-0BBD-4751-85B5-BE076099E926}">
          <x14:formula1>
            <xm:f>Данные!$B$1:$L$1</xm:f>
          </x14:formula1>
          <xm:sqref>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15EB-8D11-4990-BB4B-8E7718846652}">
  <dimension ref="A1:L13"/>
  <sheetViews>
    <sheetView zoomScale="130" zoomScaleNormal="130" workbookViewId="0">
      <selection activeCell="L13" sqref="L13"/>
    </sheetView>
  </sheetViews>
  <sheetFormatPr defaultRowHeight="14.4" x14ac:dyDescent="0.3"/>
  <cols>
    <col min="1" max="1" width="10.109375" customWidth="1"/>
    <col min="2" max="12" width="9.44140625" bestFit="1" customWidth="1"/>
  </cols>
  <sheetData>
    <row r="1" spans="1:12" x14ac:dyDescent="0.3"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x14ac:dyDescent="0.3">
      <c r="A2" s="2" t="s">
        <v>0</v>
      </c>
      <c r="B2" s="3">
        <v>2711</v>
      </c>
      <c r="C2" s="3">
        <v>1247</v>
      </c>
      <c r="D2" s="3">
        <v>3268</v>
      </c>
      <c r="E2" s="3">
        <v>2667</v>
      </c>
      <c r="F2" s="3">
        <v>2286</v>
      </c>
      <c r="G2" s="3">
        <v>2964</v>
      </c>
      <c r="H2" s="3">
        <v>2816</v>
      </c>
      <c r="I2" s="3">
        <v>1131</v>
      </c>
      <c r="J2" s="3">
        <v>1413</v>
      </c>
      <c r="K2" s="3">
        <v>3707</v>
      </c>
      <c r="L2" s="3">
        <v>1112</v>
      </c>
    </row>
    <row r="3" spans="1:12" x14ac:dyDescent="0.3">
      <c r="A3" s="2" t="s">
        <v>1</v>
      </c>
      <c r="B3" s="3">
        <v>1842</v>
      </c>
      <c r="C3" s="3">
        <v>1050</v>
      </c>
      <c r="D3" s="3">
        <v>1958</v>
      </c>
      <c r="E3" s="3">
        <v>3768</v>
      </c>
      <c r="F3" s="3">
        <v>4471</v>
      </c>
      <c r="G3" s="3">
        <v>4922</v>
      </c>
      <c r="H3" s="3">
        <v>2969</v>
      </c>
      <c r="I3" s="3">
        <v>3149</v>
      </c>
      <c r="J3" s="3">
        <v>3899</v>
      </c>
      <c r="K3" s="3">
        <v>2903</v>
      </c>
      <c r="L3" s="3">
        <v>1987</v>
      </c>
    </row>
    <row r="4" spans="1:12" x14ac:dyDescent="0.3">
      <c r="A4" s="2" t="s">
        <v>2</v>
      </c>
      <c r="B4" s="3">
        <v>2848</v>
      </c>
      <c r="C4" s="3">
        <v>4812</v>
      </c>
      <c r="D4" s="3">
        <v>1663</v>
      </c>
      <c r="E4" s="3">
        <v>4969</v>
      </c>
      <c r="F4" s="3">
        <v>3565</v>
      </c>
      <c r="G4" s="3">
        <v>1085</v>
      </c>
      <c r="H4" s="3">
        <v>2401</v>
      </c>
      <c r="I4" s="3">
        <v>2896</v>
      </c>
      <c r="J4" s="3">
        <v>2832</v>
      </c>
      <c r="K4" s="3">
        <v>2923</v>
      </c>
      <c r="L4" s="3">
        <v>4448</v>
      </c>
    </row>
    <row r="5" spans="1:12" x14ac:dyDescent="0.3">
      <c r="A5" s="2" t="s">
        <v>3</v>
      </c>
      <c r="B5" s="3">
        <v>2584</v>
      </c>
      <c r="C5" s="3">
        <v>3698</v>
      </c>
      <c r="D5" s="3">
        <v>1257</v>
      </c>
      <c r="E5" s="3">
        <v>3022</v>
      </c>
      <c r="F5" s="3">
        <v>3611</v>
      </c>
      <c r="G5" s="3">
        <v>3863</v>
      </c>
      <c r="H5" s="3">
        <v>2869</v>
      </c>
      <c r="I5" s="3">
        <v>4470</v>
      </c>
      <c r="J5" s="3">
        <v>3285</v>
      </c>
      <c r="K5" s="3">
        <v>1626</v>
      </c>
      <c r="L5" s="3">
        <v>3153</v>
      </c>
    </row>
    <row r="6" spans="1:12" x14ac:dyDescent="0.3">
      <c r="A6" s="2" t="s">
        <v>4</v>
      </c>
      <c r="B6" s="3">
        <v>4257</v>
      </c>
      <c r="C6" s="3">
        <v>4229</v>
      </c>
      <c r="D6" s="3">
        <v>1747</v>
      </c>
      <c r="E6" s="3">
        <v>4972</v>
      </c>
      <c r="F6" s="3">
        <v>1234</v>
      </c>
      <c r="G6" s="3">
        <v>1173</v>
      </c>
      <c r="H6" s="3">
        <v>1023</v>
      </c>
      <c r="I6" s="3">
        <v>4408</v>
      </c>
      <c r="J6" s="3">
        <v>2770</v>
      </c>
      <c r="K6" s="3">
        <v>4374</v>
      </c>
      <c r="L6" s="3">
        <v>1470</v>
      </c>
    </row>
    <row r="7" spans="1:12" x14ac:dyDescent="0.3">
      <c r="A7" s="2" t="s">
        <v>5</v>
      </c>
      <c r="B7" s="3">
        <v>4288</v>
      </c>
      <c r="C7" s="3">
        <v>4159</v>
      </c>
      <c r="D7" s="3">
        <v>1623</v>
      </c>
      <c r="E7" s="3">
        <v>3469</v>
      </c>
      <c r="F7" s="3">
        <v>1649</v>
      </c>
      <c r="G7" s="3">
        <v>3502</v>
      </c>
      <c r="H7" s="3">
        <v>3506</v>
      </c>
      <c r="I7" s="3">
        <v>1423</v>
      </c>
      <c r="J7" s="3">
        <v>3395</v>
      </c>
      <c r="K7" s="3">
        <v>4113</v>
      </c>
      <c r="L7" s="3">
        <v>4974</v>
      </c>
    </row>
    <row r="8" spans="1:12" x14ac:dyDescent="0.3">
      <c r="A8" s="2" t="s">
        <v>6</v>
      </c>
      <c r="B8" s="3">
        <v>3072</v>
      </c>
      <c r="C8" s="3">
        <v>1016</v>
      </c>
      <c r="D8" s="3">
        <v>1490</v>
      </c>
      <c r="E8" s="3">
        <v>4076</v>
      </c>
      <c r="F8" s="3">
        <v>3063</v>
      </c>
      <c r="G8" s="3">
        <v>1993</v>
      </c>
      <c r="H8" s="3">
        <v>4428</v>
      </c>
      <c r="I8" s="3">
        <v>2338</v>
      </c>
      <c r="J8" s="3">
        <v>2658</v>
      </c>
      <c r="K8" s="3">
        <v>1461</v>
      </c>
      <c r="L8" s="3">
        <v>1317</v>
      </c>
    </row>
    <row r="9" spans="1:12" x14ac:dyDescent="0.3">
      <c r="A9" s="2" t="s">
        <v>7</v>
      </c>
      <c r="B9" s="3">
        <v>4093</v>
      </c>
      <c r="C9" s="3">
        <v>4076</v>
      </c>
      <c r="D9" s="3">
        <v>4386</v>
      </c>
      <c r="E9" s="3">
        <v>2841</v>
      </c>
      <c r="F9" s="3">
        <v>1720</v>
      </c>
      <c r="G9" s="3">
        <v>4834</v>
      </c>
      <c r="H9" s="3">
        <v>1231</v>
      </c>
      <c r="I9" s="3">
        <v>2367</v>
      </c>
      <c r="J9" s="3">
        <v>2330</v>
      </c>
      <c r="K9" s="3">
        <v>4342</v>
      </c>
      <c r="L9" s="3">
        <v>4683</v>
      </c>
    </row>
    <row r="10" spans="1:12" x14ac:dyDescent="0.3">
      <c r="A10" s="2" t="s">
        <v>8</v>
      </c>
      <c r="B10" s="3">
        <v>4445</v>
      </c>
      <c r="C10" s="3">
        <v>3851</v>
      </c>
      <c r="D10" s="3">
        <v>4115</v>
      </c>
      <c r="E10" s="3">
        <v>1066</v>
      </c>
      <c r="F10" s="3">
        <v>2069</v>
      </c>
      <c r="G10" s="3">
        <v>4191</v>
      </c>
      <c r="H10" s="3">
        <v>3069</v>
      </c>
      <c r="I10" s="3">
        <v>4515</v>
      </c>
      <c r="J10" s="3">
        <v>4826</v>
      </c>
      <c r="K10" s="3">
        <v>2592</v>
      </c>
      <c r="L10" s="3">
        <v>2160</v>
      </c>
    </row>
    <row r="11" spans="1:12" x14ac:dyDescent="0.3">
      <c r="A11" s="2" t="s">
        <v>9</v>
      </c>
      <c r="B11" s="3">
        <v>1006</v>
      </c>
      <c r="C11" s="3">
        <v>3940</v>
      </c>
      <c r="D11" s="3">
        <v>1094</v>
      </c>
      <c r="E11" s="3">
        <v>2346</v>
      </c>
      <c r="F11" s="3">
        <v>1952</v>
      </c>
      <c r="G11" s="3">
        <v>3343</v>
      </c>
      <c r="H11" s="3">
        <v>3418</v>
      </c>
      <c r="I11" s="3">
        <v>1790</v>
      </c>
      <c r="J11" s="3">
        <v>3921</v>
      </c>
      <c r="K11" s="3">
        <v>4785</v>
      </c>
      <c r="L11" s="3">
        <v>1408</v>
      </c>
    </row>
    <row r="12" spans="1:12" x14ac:dyDescent="0.3">
      <c r="A12" s="2" t="s">
        <v>10</v>
      </c>
      <c r="B12" s="3">
        <v>1837</v>
      </c>
      <c r="C12" s="3">
        <v>3536</v>
      </c>
      <c r="D12" s="3">
        <v>2965</v>
      </c>
      <c r="E12" s="3">
        <v>1649</v>
      </c>
      <c r="F12" s="3">
        <v>3297</v>
      </c>
      <c r="G12" s="3">
        <v>1934</v>
      </c>
      <c r="H12" s="3">
        <v>1768</v>
      </c>
      <c r="I12" s="3">
        <v>4221</v>
      </c>
      <c r="J12" s="3">
        <v>4289</v>
      </c>
      <c r="K12" s="3">
        <v>3166</v>
      </c>
      <c r="L12" s="3">
        <v>4559</v>
      </c>
    </row>
    <row r="13" spans="1:12" x14ac:dyDescent="0.3">
      <c r="A13" s="2" t="s">
        <v>11</v>
      </c>
      <c r="B13" s="3">
        <v>4447</v>
      </c>
      <c r="C13" s="3">
        <v>4092</v>
      </c>
      <c r="D13" s="3">
        <v>4930</v>
      </c>
      <c r="E13" s="3">
        <v>1884</v>
      </c>
      <c r="F13" s="3">
        <v>3099</v>
      </c>
      <c r="G13" s="3">
        <v>2354</v>
      </c>
      <c r="H13" s="3">
        <v>4598</v>
      </c>
      <c r="I13" s="3">
        <v>3134</v>
      </c>
      <c r="J13" s="3">
        <v>2352</v>
      </c>
      <c r="K13" s="3">
        <v>3298</v>
      </c>
      <c r="L13" s="3">
        <v>4224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ВПР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2023-12-15T15:23:14Z</dcterms:modified>
</cp:coreProperties>
</file>