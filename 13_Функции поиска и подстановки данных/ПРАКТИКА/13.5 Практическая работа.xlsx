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E:\УЧЁБА\EXCEL\Excel\13_Функции поиска и подстановки данных\ПРАКТИКА\"/>
    </mc:Choice>
  </mc:AlternateContent>
  <xr:revisionPtr revIDLastSave="0" documentId="13_ncr:1_{944DCD4F-7182-4314-81E9-5BB29FF26A59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Задание 1" sheetId="1" r:id="rId1"/>
    <sheet name="Прайс-лист" sheetId="2" r:id="rId2"/>
    <sheet name="Задание 2" sheetId="3" r:id="rId3"/>
    <sheet name="Задание 3" sheetId="4" r:id="rId4"/>
    <sheet name="Валюты" sheetId="5" r:id="rId5"/>
  </sheets>
  <definedNames>
    <definedName name="_xlnm._FilterDatabase" localSheetId="1" hidden="1">'Прайс-лист'!$B$1:$C$1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4" l="1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4" i="3"/>
  <c r="D3" i="1"/>
  <c r="D4" i="1"/>
  <c r="D5" i="1"/>
  <c r="D6" i="1"/>
  <c r="E6" i="1" s="1"/>
  <c r="D7" i="1"/>
  <c r="E7" i="1" s="1"/>
  <c r="D8" i="1"/>
  <c r="D9" i="1"/>
  <c r="E9" i="1" s="1"/>
  <c r="D10" i="1"/>
  <c r="D11" i="1"/>
  <c r="D12" i="1"/>
  <c r="D13" i="1"/>
  <c r="D14" i="1"/>
  <c r="D15" i="1"/>
  <c r="E15" i="1" s="1"/>
  <c r="D16" i="1"/>
  <c r="E16" i="1" s="1"/>
  <c r="D17" i="1"/>
  <c r="E17" i="1" s="1"/>
  <c r="D18" i="1"/>
  <c r="D19" i="1"/>
  <c r="D20" i="1"/>
  <c r="D21" i="1"/>
  <c r="D22" i="1"/>
  <c r="E22" i="1" s="1"/>
  <c r="D23" i="1"/>
  <c r="E23" i="1" s="1"/>
  <c r="D24" i="1"/>
  <c r="E24" i="1" s="1"/>
  <c r="D25" i="1"/>
  <c r="E25" i="1" s="1"/>
  <c r="D26" i="1"/>
  <c r="D27" i="1"/>
  <c r="E27" i="1" s="1"/>
  <c r="D28" i="1"/>
  <c r="E28" i="1" s="1"/>
  <c r="D29" i="1"/>
  <c r="E29" i="1" s="1"/>
  <c r="D2" i="1"/>
  <c r="E2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2" i="1"/>
  <c r="E10" i="1"/>
  <c r="E18" i="1"/>
  <c r="E26" i="1"/>
  <c r="E3" i="1"/>
  <c r="E4" i="1"/>
  <c r="E5" i="1"/>
  <c r="E8" i="1"/>
  <c r="E11" i="1"/>
  <c r="E12" i="1"/>
  <c r="E13" i="1"/>
  <c r="E14" i="1"/>
  <c r="E19" i="1"/>
  <c r="E20" i="1"/>
  <c r="E21" i="1"/>
</calcChain>
</file>

<file path=xl/sharedStrings.xml><?xml version="1.0" encoding="utf-8"?>
<sst xmlns="http://schemas.openxmlformats.org/spreadsheetml/2006/main" count="753" uniqueCount="371">
  <si>
    <t>Наименование</t>
  </si>
  <si>
    <t>Количество</t>
  </si>
  <si>
    <t>Цена</t>
  </si>
  <si>
    <t>Стоимость</t>
  </si>
  <si>
    <t>Био-климатизатор Vitesse VS-867</t>
  </si>
  <si>
    <t>Боковые щётки RX1-SB2 для робота-пылесоса Miele SCOUT RX1</t>
  </si>
  <si>
    <t>Вентилятор настольный Irit IRV-029, акккумуляторно - сетевой, 3Вт. С фонариком.</t>
  </si>
  <si>
    <t>Вентилятор Irit IRV-004 напольный (пульт)</t>
  </si>
  <si>
    <t>Вентилятор Mystery MSF-2411</t>
  </si>
  <si>
    <t>Гибкий удлинитель шланга Miele SFS 10</t>
  </si>
  <si>
    <t>Гигиенический затвор для пылесосов Miele SHV 10</t>
  </si>
  <si>
    <t>Гладильная доска Ника 3М Н3М</t>
  </si>
  <si>
    <t>Гладильная доска Ника 7 автомат H7</t>
  </si>
  <si>
    <t>Гладильная система Laurastar S4A Коричневый</t>
  </si>
  <si>
    <t>Губчатый фильтр Komforter FSM-15</t>
  </si>
  <si>
    <t>Доска гладильная Dogrul INCI</t>
  </si>
  <si>
    <t>Доска гладильная Dogrular Адриана (Adriana)</t>
  </si>
  <si>
    <t>Доска гладильная Dogrular Лиана серая</t>
  </si>
  <si>
    <t>Доска гладильная Dogrular Сабина</t>
  </si>
  <si>
    <t>Доска гладильная Dogrular Сити (City) серая</t>
  </si>
  <si>
    <t>Доска гладильная Dogrular Элона (Elona) белая</t>
  </si>
  <si>
    <t>Доска гладильная Dogrular Present (Презент)</t>
  </si>
  <si>
    <t>Доска гладильная Slavno SL 409 дсп</t>
  </si>
  <si>
    <t>Климатический комплекс Boneco H680</t>
  </si>
  <si>
    <t>Климатический комплекс Boneco W1355A</t>
  </si>
  <si>
    <t>Климатический комплекс Philips HU 4813</t>
  </si>
  <si>
    <t>Комплект насадок Miele HOMECARE SHC10</t>
  </si>
  <si>
    <t>Комплект ножек для обогревателя Timberk TMS 02.WO</t>
  </si>
  <si>
    <t>Комплект фильтров для пылесоса Zanussi ZF132</t>
  </si>
  <si>
    <t>Комплект фильтров Комфортер HLG-69</t>
  </si>
  <si>
    <t>Комплект фильтров Комфортер HLG-75</t>
  </si>
  <si>
    <t>Комплект фильтров Комфортер HSM 09 для пылесов Samsung</t>
  </si>
  <si>
    <t>Комплект фильтров Komforter HVX 01 для пылесосов Vax</t>
  </si>
  <si>
    <t>Комплект фильтров VESTA FSM 88 для Samsung</t>
  </si>
  <si>
    <t>Конвектор Элтерм Кром-0,75/220</t>
  </si>
  <si>
    <t>Конвектор Ballu BEC/EVM-2000</t>
  </si>
  <si>
    <t>Конвектор REDMOND SkyHeat RCH-4529S</t>
  </si>
  <si>
    <t>Конвектор ZENCHA ЭВУБ-1,5/220 Teplon Air</t>
  </si>
  <si>
    <t>Масляный радиатор General Climate NY12LA</t>
  </si>
  <si>
    <t>Масляный радиатор General Climate NY15AR7</t>
  </si>
  <si>
    <t>Масляный радиатор General Climate NY15J</t>
  </si>
  <si>
    <t>Масляный радиатор General Climate NY15LA</t>
  </si>
  <si>
    <t>Масляный радиатор General Climate NY17LF</t>
  </si>
  <si>
    <t>Машинка для удаления катышков HOTTER HX-8841</t>
  </si>
  <si>
    <t>Мешки-пылесборники для пылесоса Miele HyClean GN 3D Efficiency</t>
  </si>
  <si>
    <t>Микрофильтр Комфортер HBS-06 для пылесосов Bosh, Siemens</t>
  </si>
  <si>
    <t>Микрофильтр Electrolux EF75C моющийся</t>
  </si>
  <si>
    <t>Мобильный кондиционер Ballu BPAC-18CE</t>
  </si>
  <si>
    <t>Мобильный кондиционер Ballu BPHS-12H</t>
  </si>
  <si>
    <t>Мобильный кондиционер Ballu BPHS-13H</t>
  </si>
  <si>
    <t>Мобильный кондиционер Electrolux EACM-10HR/N3</t>
  </si>
  <si>
    <t>Мобильный кондиционер Electrolux EACM-16EZ/N3</t>
  </si>
  <si>
    <t>Мобильный кондиционер General Climate GCP-09ERC1N1</t>
  </si>
  <si>
    <t>Мобильный кондиционер Korting KACM115HC-W</t>
  </si>
  <si>
    <t>Мобильный кондиционер MDV MPGi-09ERN1</t>
  </si>
  <si>
    <t>Мобильный кондиционер Mr.Cool YPN-12C</t>
  </si>
  <si>
    <t>Мобильный кондиционер Zanussi ZACM-09 MS/N1</t>
  </si>
  <si>
    <t>Мобильный кондиционер Zanussi ZACM-09 MS/N1 Black</t>
  </si>
  <si>
    <t>Мойка воздуха REDMOND RAW-3501</t>
  </si>
  <si>
    <t>Мойка воздуха Venta LW15</t>
  </si>
  <si>
    <t>Мойка воздуха Venta LW25</t>
  </si>
  <si>
    <t>Моторный фильтр Комфортер FSM-21 для пылесоса Samsung</t>
  </si>
  <si>
    <t>Моторный фильтр FBS-09 (00577814) для пылесосов Bosch серий BGB2, BGL2, BGN2</t>
  </si>
  <si>
    <t>Мульти сплит-система Наружный блок Dantex RK-3M27HME-W + Внутренний блок Dantex RK-M07GC</t>
  </si>
  <si>
    <t>Мульти сплит-система Ballu B2OI-FM/out-20HN1/EU + BSEI-09HN1</t>
  </si>
  <si>
    <t>Набор фильтров для пылесосов KOMFORTER HTS-01 для пылесоса Tomas</t>
  </si>
  <si>
    <t>Набор фильтров Комфортер HSM 43 для пылесосов Samsung</t>
  </si>
  <si>
    <t>Набор фильтров Комфортер HSM 65 для пылесосов Samsung</t>
  </si>
  <si>
    <t>Набор фильтров Комфортер HSM 88 для пылесосов Samsung</t>
  </si>
  <si>
    <t>Набор фильтров Komforter HTS-02 для пылесосов Thomas</t>
  </si>
  <si>
    <t>Напольный вентилятор MAGNIT ROF-4340</t>
  </si>
  <si>
    <t>Напольный вентилятор Tefal VF4110F0</t>
  </si>
  <si>
    <t>Насадка (щётка) мебельная с длинным ворсом для пылесосов (NBM-02)</t>
  </si>
  <si>
    <t>Насадка для мягкой мебели Miele SPD10 190 ММ</t>
  </si>
  <si>
    <t>Насадка для радиаторов отопления Miele SHB30</t>
  </si>
  <si>
    <t>Насадка для чистки матрасов Miele SMD 10 для S 4001/S5001</t>
  </si>
  <si>
    <t>Насадка для щадящей уборки Miele SSP 10</t>
  </si>
  <si>
    <t>Насадка щелевая Комфортер NSH-32/35 щелевая</t>
  </si>
  <si>
    <t>Насадка-щетка Electrolux SpeedyClean ZE-065 для пола</t>
  </si>
  <si>
    <t>Настенная сплит-система Cooper &amp; Hunter CH-S12FTXN</t>
  </si>
  <si>
    <t>Настенная сплит-система Electrolux EACS-07HO2/N3</t>
  </si>
  <si>
    <t>Настенная сплит-система Electrolux EACS-12HN/N3</t>
  </si>
  <si>
    <t>Настенная сплит-система Gree GWH12MB-K3NNA4A</t>
  </si>
  <si>
    <t>Настенная сплит-система Kentatsu KSGH26HFAN1 / KSRH26HFAN1</t>
  </si>
  <si>
    <t>Настенная сплит-система Panasonic CS-E7MKD / CU-E7MKD</t>
  </si>
  <si>
    <t>Настенная сплит-система Samsung AR09RSFHMWQNER</t>
  </si>
  <si>
    <t>Настенная сплит-система Whirlpool SPIW WH409</t>
  </si>
  <si>
    <t>Настенная сплит-система Zanussi Superiore ZACS/I-09SPR/A18/N1</t>
  </si>
  <si>
    <t>Настенная сплит-система Zanussi ZACS-12 HPF/A17/N1</t>
  </si>
  <si>
    <t>Настенная сплит-система Zanussi ZACS-12 HPR/A18/N1</t>
  </si>
  <si>
    <t>Настенная сплит-система Zanussi ZACS-30 HPR/A18/N1</t>
  </si>
  <si>
    <t>Настенный кондиционер Electrolux EACS-07HG-B/N3</t>
  </si>
  <si>
    <t>Настольный вентилятор Energy EN-0601</t>
  </si>
  <si>
    <t>Ножка-подставка к обогревателям Dantex</t>
  </si>
  <si>
    <t>Оконный кондиционер Gree GJC09AA-E3MNC1A</t>
  </si>
  <si>
    <t>Оконный кондиционер Gree GJC12AB-E3MNC1A</t>
  </si>
  <si>
    <t>Отпариватель Philips GC300/20</t>
  </si>
  <si>
    <t>Отпариватель Philips GC361/20 Steam&amp;Go</t>
  </si>
  <si>
    <t>Отпариватель Philips GC502/30 Daily Touch</t>
  </si>
  <si>
    <t>Отпариватель Philips GC516/20 EasyTouch Plus</t>
  </si>
  <si>
    <t>Отпариватель Philips GC524/60 EasyTouch Plus</t>
  </si>
  <si>
    <t>Отпариватель Philips GC529/60 EasyTouch Plus</t>
  </si>
  <si>
    <t>Отпариватель Rowenta IS 9100</t>
  </si>
  <si>
    <t>Отпариватель Tefal DT9100 Access Steam Care</t>
  </si>
  <si>
    <t>Отпариватель Tefal IS8360E1</t>
  </si>
  <si>
    <t>Отпариватель Tefal IS8380E1</t>
  </si>
  <si>
    <t>Паровая швабра Tefal VP6557</t>
  </si>
  <si>
    <t>Парогенератор Bosch TDS 2170</t>
  </si>
  <si>
    <t>Парогенератор Bosch TDS 8060DE Serie I8 VarioComfort</t>
  </si>
  <si>
    <t>Парогенератор Braun IS 2043 CareStyle</t>
  </si>
  <si>
    <t>Парогенератор Braun IS 2044 CareStyle</t>
  </si>
  <si>
    <t>Парогенератор Braun IS 3041</t>
  </si>
  <si>
    <t>Парогенератор Braun IS 3042 WH</t>
  </si>
  <si>
    <t>Парогенератор Braun IS 5043WH</t>
  </si>
  <si>
    <t>Парогенератор Philips GC6709/20 FastCare Compact</t>
  </si>
  <si>
    <t>Парогенератор Philips GC7805/20 PerfectCare Compact</t>
  </si>
  <si>
    <t>Парогенератор Philips GC7920/20 PerfectCare Compact Plus</t>
  </si>
  <si>
    <t>Парогенератор Philips GC8750/60 PerfectCare Performer</t>
  </si>
  <si>
    <t>Парогенератор Philips GC8930/10 PerfectCare Expert Plus</t>
  </si>
  <si>
    <t>Парогенератор Philips GC8962/40 PerfectCare Expert Plus</t>
  </si>
  <si>
    <t>Парогенератор Philips GC9315 PerfectCare Aqua Pro</t>
  </si>
  <si>
    <t>Парогенератор Philips GC9670/50 PerfectCare Elite Plus</t>
  </si>
  <si>
    <t>Парогенератор Rowenta DG 9268</t>
  </si>
  <si>
    <t>Парогенератор Tefal GV9562 Pro Express Ultimate</t>
  </si>
  <si>
    <t>Парогенератор Tefal GV9563</t>
  </si>
  <si>
    <t>Парогенератор Tefal GV9570 Pro Express Ultimate Care</t>
  </si>
  <si>
    <t>Парогенератор Tefal GV9581 Pro Express Ultimate</t>
  </si>
  <si>
    <t>Парогенератор Tefal GV9591 Pro Express Ultimate Care</t>
  </si>
  <si>
    <t>Парогенератор Tefal Pro Express Ultimate GV9610</t>
  </si>
  <si>
    <t>Пароочиститель-отпариватель Magnit RMS-2000 вертикальный</t>
  </si>
  <si>
    <t>Пылесборник Комфортер BK3</t>
  </si>
  <si>
    <t>Пылесборник Комфортер ML1 (для Miele)</t>
  </si>
  <si>
    <t>Пылесборник Комфортер TF1 для пылесосов Tefal, Rowenta серии TW64</t>
  </si>
  <si>
    <t>Пылесборник KS ML01</t>
  </si>
  <si>
    <t>Пылесборник KS BS 02</t>
  </si>
  <si>
    <t>Пылесборник KS EO 04</t>
  </si>
  <si>
    <t>Пылесборник KS LG 02</t>
  </si>
  <si>
    <t>Пылесборник KS LG 03</t>
  </si>
  <si>
    <t>Пылесборник KS RW 08</t>
  </si>
  <si>
    <t>Пылесборник KS SM 09</t>
  </si>
  <si>
    <t>Пылесборник KS VX 05</t>
  </si>
  <si>
    <t>Пылесборник KS-BS 03 (для Bosch)</t>
  </si>
  <si>
    <t>Пылесборник Menalux 4600</t>
  </si>
  <si>
    <t>Пылесборник Vesta AG 02</t>
  </si>
  <si>
    <t>Пылесборник Vesta AG 03</t>
  </si>
  <si>
    <t>Пылесборник Vesta BS 01</t>
  </si>
  <si>
    <t>Пылесборник Vesta BS 02</t>
  </si>
  <si>
    <t>Пылесборник Vesta BS 03</t>
  </si>
  <si>
    <t>Пылесборник Vesta DW 03</t>
  </si>
  <si>
    <t>Пылесборник Vesta DW 05</t>
  </si>
  <si>
    <t>Пылесборник Vesta EO 04</t>
  </si>
  <si>
    <t>Пылесборник Vesta ER 02</t>
  </si>
  <si>
    <t>Пылесборник Vesta ER 03</t>
  </si>
  <si>
    <t>Пылесборник Vesta EX 01</t>
  </si>
  <si>
    <t>Пылесборник Vesta EX 02</t>
  </si>
  <si>
    <t>Пылесборник Vesta EX 03</t>
  </si>
  <si>
    <t>Пылесборник Vesta HR 07</t>
  </si>
  <si>
    <t>Пылесборник Vesta HR 30</t>
  </si>
  <si>
    <t>Пылесборник Vesta LG 02</t>
  </si>
  <si>
    <t>Пылесборник Vesta LG 03</t>
  </si>
  <si>
    <t>Пылесборник Vesta LG 05</t>
  </si>
  <si>
    <t>Пылесборник Vesta MX 03</t>
  </si>
  <si>
    <t>Пылесборник Vesta MX 04</t>
  </si>
  <si>
    <t>Пылесборник Vesta MX 09</t>
  </si>
  <si>
    <t>Пылесборник Vesta MX 10</t>
  </si>
  <si>
    <t>Пылесборник Vesta OM 05</t>
  </si>
  <si>
    <t>Пылесборник Vesta PH 01</t>
  </si>
  <si>
    <t>Пылесборник Vesta PH 03</t>
  </si>
  <si>
    <t>Пылесборник Vesta PN 06</t>
  </si>
  <si>
    <t>Пылесборник Vesta RW 02</t>
  </si>
  <si>
    <t>Пылесборник Vesta RW 06</t>
  </si>
  <si>
    <t>Пылесборник Vesta RW 07</t>
  </si>
  <si>
    <t>Пылесборник Vesta RW 08</t>
  </si>
  <si>
    <t>Пылесборник Vesta RW 08s</t>
  </si>
  <si>
    <t>Пылесборник Vesta RW 09</t>
  </si>
  <si>
    <t>Пылесборник Vesta SM 04</t>
  </si>
  <si>
    <t>Пылесборник Vesta SM 05</t>
  </si>
  <si>
    <t>Пылесборник Vesta SM 07</t>
  </si>
  <si>
    <t>Пылесборник Vesta SM 09</t>
  </si>
  <si>
    <t>Пылесборник Vesta TS 05</t>
  </si>
  <si>
    <t>Пылесборник Vesta UN 01 Универсальный</t>
  </si>
  <si>
    <t>Пылесборник Vesta VX 05</t>
  </si>
  <si>
    <t>Пылесборник Vesta ZR 01</t>
  </si>
  <si>
    <t>Пылесборник Vesta ZR 02</t>
  </si>
  <si>
    <t>Пылесборник Worwo E416</t>
  </si>
  <si>
    <t>Пылесборник Worwo P01</t>
  </si>
  <si>
    <t>Пылесос Bissell MultiReach Ion XL 36V 2166N</t>
  </si>
  <si>
    <t>Пылесос Bosch BGLS 42055</t>
  </si>
  <si>
    <t>Пылесос Bosch BGS 1U1805</t>
  </si>
  <si>
    <t>Пылесос Bosch BSGL 32500</t>
  </si>
  <si>
    <t>Пылесос Bosch BSGL3MULT2</t>
  </si>
  <si>
    <t>Пылесос De'Longhi XLR18LM.Y</t>
  </si>
  <si>
    <t>Пылесос Dyson V7 Parquet Extra</t>
  </si>
  <si>
    <t>Пылесос LG V-C33100NND</t>
  </si>
  <si>
    <t>Пылесос LG V-C53001MRNT</t>
  </si>
  <si>
    <t>Пылесос LG V-C73181NHAB</t>
  </si>
  <si>
    <t>Пылесос MIELE SGEA3 Complete C3 Cat&amp;Dog PowerLine ежевичный красный</t>
  </si>
  <si>
    <t>Пылесос MIELE SGMA3 Complete C3 Comfort PowerLine петроль</t>
  </si>
  <si>
    <t>Пылесос MIELE SKRR3 Blizzard CX1 Jubilee PowerLine белый лотос</t>
  </si>
  <si>
    <t>Пылесос Philips FC6172 PowerPro Duo</t>
  </si>
  <si>
    <t>Пылесос Philips FC6408</t>
  </si>
  <si>
    <t>Пылесос Philips FC8297 PowerGo</t>
  </si>
  <si>
    <t>Пылесос Philips FC8385 Performer Compact</t>
  </si>
  <si>
    <t>Пылесос Philips FC8470</t>
  </si>
  <si>
    <t>Пылесос Philips FC8776 SmartPro Compact</t>
  </si>
  <si>
    <t>Пылесос Philips FC8924 Performer Ultimate</t>
  </si>
  <si>
    <t>Пылесос Philips FC9352 PowerPro Compact</t>
  </si>
  <si>
    <t>Пылесос Philips FC9732 PowerPro Expert</t>
  </si>
  <si>
    <t>Пылесос Philips FC9733 PowerPro Expert</t>
  </si>
  <si>
    <t>Пылесос Philips FC9735 PowerPro Expert</t>
  </si>
  <si>
    <t>Пылесос Philips FC9911/01 PowerPro Ultimate</t>
  </si>
  <si>
    <t>Пылесос REDMOND RV UR 355</t>
  </si>
  <si>
    <t>Пылесос Tefal TW2523RA</t>
  </si>
  <si>
    <t>Пылесос Tefal TW6383EA</t>
  </si>
  <si>
    <t>Пылесос Tefal TW7647</t>
  </si>
  <si>
    <t>Пылесос Tefal TW7783EA</t>
  </si>
  <si>
    <t>Пылесос Tefal TY6543RH</t>
  </si>
  <si>
    <t>Пылесос Tefal TY7324WO</t>
  </si>
  <si>
    <t>Пылесос Tefal TY8911</t>
  </si>
  <si>
    <t>Пылесос Tefal VP7545RH</t>
  </si>
  <si>
    <t>Пылесос Thomas Quick Stick Tempo</t>
  </si>
  <si>
    <t>Пылесос Xiaomi Roidmi F8S</t>
  </si>
  <si>
    <t>Пылесос Zanussi ZAN2020</t>
  </si>
  <si>
    <t>Пылесос ZiPOWER PM-6704</t>
  </si>
  <si>
    <t>Робот-пылесос iRobot Braava 390T</t>
  </si>
  <si>
    <t>Робот-пылесос iRobot Roomba</t>
  </si>
  <si>
    <t>Робот-пылесос iRobot Roomba 676</t>
  </si>
  <si>
    <t>Робот-пылесос Polaris PVCR 0930 SmartGo</t>
  </si>
  <si>
    <t>Робот-пылесос REDMOND RV-R300</t>
  </si>
  <si>
    <t>Робот-стеклоочиститель REDMOND RV-RW001S</t>
  </si>
  <si>
    <t>Сплит-система Dantex RK-36SDM2N</t>
  </si>
  <si>
    <t>Сплит-система Hitachi RAS-24EH4 / RAC-24EH4</t>
  </si>
  <si>
    <t>Сушилка для белья Ника СБ1 18 м (серебристая)</t>
  </si>
  <si>
    <t>Сушилка для белья НИКА СБ1Г бело-голубая</t>
  </si>
  <si>
    <t>Сушилка для белья Ника СБ2 серебро</t>
  </si>
  <si>
    <t>Сушилка для белья Ника СБ2Г бело/синий</t>
  </si>
  <si>
    <t>Сушилка для белья НИКА СБ8А аквамарин</t>
  </si>
  <si>
    <t>Сушилка для белья НИКА СБ9/Б белая</t>
  </si>
  <si>
    <t>Сушилка для белья Dogrular Макси Эко напольная</t>
  </si>
  <si>
    <t>Сушилка для белья Dogrular Сп 1505 потолочная</t>
  </si>
  <si>
    <t>Сушилка для белья Dogrular СТАР напольная</t>
  </si>
  <si>
    <t>Сушилка для белья Dogrular ФЛАЙ напольная</t>
  </si>
  <si>
    <t>Сушилка для белья Miolla 2504001U</t>
  </si>
  <si>
    <t>Сушилка для обуви коврик ТК-1 черный, электрический, 40Вт, размер 66*36 см</t>
  </si>
  <si>
    <t>Сушилка коврик для балкона Русская зима ТК-3б (серый)</t>
  </si>
  <si>
    <t>Сушилка напольная Ника СБ9/А Аквамарин/белый</t>
  </si>
  <si>
    <t>Тепловентилятор De'Longhi HVA 3220</t>
  </si>
  <si>
    <t>Термовентилятор General Climate KRP-4</t>
  </si>
  <si>
    <t>Труба для кондиционера медная Muelle 3/4" (L=15m)</t>
  </si>
  <si>
    <t>Труба телескопическая Electrolux ZE040</t>
  </si>
  <si>
    <t>Увлажнитель воздуха Ballu UHB-260 Hello Kitty Aroma</t>
  </si>
  <si>
    <t>Увлажнитель воздуха Boneco S450</t>
  </si>
  <si>
    <t>Увлажнитель воздуха Boneco U700</t>
  </si>
  <si>
    <t>Увлажнитель воздуха Galaxy GL-8004 (2015)</t>
  </si>
  <si>
    <t>Универсальный микрофильтр Electrolux EF2</t>
  </si>
  <si>
    <t>Утюг Bosch TDA 2329</t>
  </si>
  <si>
    <t>Утюг Bosch TDA 3024110</t>
  </si>
  <si>
    <t>Утюг Bosch TDA30EASY</t>
  </si>
  <si>
    <t>Утюг Braun TexStyle TS525A</t>
  </si>
  <si>
    <t>Утюг Braun TexStyle TS725</t>
  </si>
  <si>
    <t>Утюг Philips GC 4924/20 PerfectCare Azur</t>
  </si>
  <si>
    <t>Утюг Philips GC1741/70 EasySpeed</t>
  </si>
  <si>
    <t>Утюг Philips GC2148/30 EasySpeed Plus</t>
  </si>
  <si>
    <t>Утюг Philips GC2672/40 EasySpeed Advanced</t>
  </si>
  <si>
    <t>Утюг Philips GC2676/20 EasySpeed Advanced</t>
  </si>
  <si>
    <t>Утюг Philips GC2678/30 EasySpeed Advanced</t>
  </si>
  <si>
    <t>Утюг Philips GC2992/70 PowerLife</t>
  </si>
  <si>
    <t>Утюг Philips GC3584/30 SmoothCare</t>
  </si>
  <si>
    <t>Утюг Philips GC3675/30 EasySpeed Advanced</t>
  </si>
  <si>
    <t>Утюг Philips GC4537/70</t>
  </si>
  <si>
    <t>Утюг Philips GC4543/30 Azur</t>
  </si>
  <si>
    <t>Утюг Philips GC4556/20 Azur</t>
  </si>
  <si>
    <t>Утюг Philips GC4902/20 Azur</t>
  </si>
  <si>
    <t>Утюг REDMOND RI-C255S</t>
  </si>
  <si>
    <t>Утюг Rowenta DW 9220</t>
  </si>
  <si>
    <t>Утюг Rowenta DW 9226D1</t>
  </si>
  <si>
    <t>Утюг Russell Hobbs 20551-56</t>
  </si>
  <si>
    <t>Утюг Russell Hobbs 21530-56</t>
  </si>
  <si>
    <t>Утюг Russell Hobbs 22523-56</t>
  </si>
  <si>
    <t>Утюг Tefal FV3826</t>
  </si>
  <si>
    <t>Утюг Tefal FV4850</t>
  </si>
  <si>
    <t>Утюг Tefal FV4912EO</t>
  </si>
  <si>
    <t>Утюг Tefal FV4950</t>
  </si>
  <si>
    <t>Утюг Tefal FV4952</t>
  </si>
  <si>
    <t>Утюг Tefal FV4960</t>
  </si>
  <si>
    <t>Утюг Tefal FV4970</t>
  </si>
  <si>
    <t>Утюг Tefal FV9657</t>
  </si>
  <si>
    <t>Утюг Tefal FV9710 Ultimate</t>
  </si>
  <si>
    <t>Утюг Tefal FV9785</t>
  </si>
  <si>
    <t>Утюг Tefal Ultimate Anti-calc FV9727</t>
  </si>
  <si>
    <t>Утюг Tefal Ultimate Anti-calc FV9736</t>
  </si>
  <si>
    <t>Фильр хепа Комфортер HBK-03</t>
  </si>
  <si>
    <t>Фильр хепа Комфортер HBS-03 для пылесосов Bosch 6,3,4 серии</t>
  </si>
  <si>
    <t>Фильр хепа Комфортер HBS-04 для пылесосов Bosch 7 серий</t>
  </si>
  <si>
    <t>Фильр хепа Комфортер HBS-05 для пылесосов Bosch 5 серии</t>
  </si>
  <si>
    <t>Фильр хепа Комфортер HLG-01 для пылесосов LG</t>
  </si>
  <si>
    <t>Фильр хепа Комфортер HLG-02 для пылесосов LG</t>
  </si>
  <si>
    <t>Фильр хепа Комфортер HLG-69H</t>
  </si>
  <si>
    <t>Фильр хепа Комфортер HLG-70 для пылесосов LG</t>
  </si>
  <si>
    <t>Фильр хепа Комфортер HLG-73</t>
  </si>
  <si>
    <t>Фильр хепа Комфортер HLG-75H</t>
  </si>
  <si>
    <t>Фильр хепа Комфортер HLG-89</t>
  </si>
  <si>
    <t>Фильр хепа Комфортер HML-01 для пылесосов Miele сер 2,3,7,8</t>
  </si>
  <si>
    <t>Фильр хепа Комфортер HML-02 для пылесосов Miele сер 2,3,7,8</t>
  </si>
  <si>
    <t>Фильр хепа Комфортер HML-03 для пылесосов Miele сер 4,5,6</t>
  </si>
  <si>
    <t>Фильр хепа Electrolux HEL 01 для пылесосов Electrolux</t>
  </si>
  <si>
    <t>Фильр хепа Electrolux HEL 02 для пылесосов Electrolux</t>
  </si>
  <si>
    <t>Фильр хепа Komforter HBS 01</t>
  </si>
  <si>
    <t>Фильр хепа NEOLUX HSM-08 для Samsung</t>
  </si>
  <si>
    <t>Фильтр для пылесоса Zelmer A6012010111.0</t>
  </si>
  <si>
    <t>Фильтр хепа Комфортер HSM 85H для пылесосов Samsung</t>
  </si>
  <si>
    <t>Фильтр хепа Electrolux EFS1W</t>
  </si>
  <si>
    <t>Фильтр хепа HSM 01 для пылесосов Samsung 65 сер</t>
  </si>
  <si>
    <t>Фильтр хепа HSM 02 для пылесосов Samsung Samsung 84 серии</t>
  </si>
  <si>
    <t>Фильтр хепа HSM 45H для пылесосов Samsung</t>
  </si>
  <si>
    <t>Фильтр хепа Komforter HTS 11 для пылесов Tomas Tvin</t>
  </si>
  <si>
    <t>Фильтр Royal Clima RWF-A350/5.5E-BL</t>
  </si>
  <si>
    <t>Чехол для гладильной доски DOGRULAR UAB54003</t>
  </si>
  <si>
    <t>Чехол термостойкий для гладильной доски Gimi 130х54</t>
  </si>
  <si>
    <t>Швабра разборная с распылителем DUX DTB-03 70-0373 зеленый</t>
  </si>
  <si>
    <t>Швабра разборная с распылителем DUX DTB-03 70-0374 красный</t>
  </si>
  <si>
    <t>Швабра с распылителем KEYA 016Q</t>
  </si>
  <si>
    <t>Шланг наливной (заливной) с аквастопом для стиральной машины Electrolux (Электролюкс) 2.5м 50284342008</t>
  </si>
  <si>
    <t>Шланг Komforter SHU180 универсальный черный ко всем бытовым пылесосам</t>
  </si>
  <si>
    <t>Щетка для пылесоса Комфортер NEU 01 для животных универсальная</t>
  </si>
  <si>
    <t>Щетка для пылесоса Комфортер NK-01 для паркета 32/35мм</t>
  </si>
  <si>
    <t>Щетка для пылесоса Комфортер NS32/35</t>
  </si>
  <si>
    <t>Щетка для пылесоса Комфортер NT1 турбо универсальная для ковров и ковровых покрытий</t>
  </si>
  <si>
    <t>Щетка для пылесоса Комфортер NT32 турбо</t>
  </si>
  <si>
    <t>Щетка для пылесоса Комфортер NU1 универсальная пол/ковер</t>
  </si>
  <si>
    <t>Щетка для пылесоса Electrolux ZE011 универсальная, пол/ковёр</t>
  </si>
  <si>
    <t>Щетка для пылесоса Philips Triatlon для мытья окон</t>
  </si>
  <si>
    <t>Электросушилка для белья Hotter HX-120</t>
  </si>
  <si>
    <t>Электросушилка для белья Hotter HX-230</t>
  </si>
  <si>
    <t>Miele Комплект U HyClean 3D</t>
  </si>
  <si>
    <t>Miele Фильтр AirClean SF HA 30</t>
  </si>
  <si>
    <t>Miele Электрощётка SEB 216-3</t>
  </si>
  <si>
    <t>Miele Электрощётка SEB 217-3</t>
  </si>
  <si>
    <t>Philips FC8077/01 Насадка TriActive Z</t>
  </si>
  <si>
    <t>Склад</t>
  </si>
  <si>
    <t>Москва</t>
  </si>
  <si>
    <t>Подольск</t>
  </si>
  <si>
    <t>Чехов</t>
  </si>
  <si>
    <t>Королев</t>
  </si>
  <si>
    <t>Остатки</t>
  </si>
  <si>
    <t>Склады</t>
  </si>
  <si>
    <t>Саратов</t>
  </si>
  <si>
    <t>Рязань</t>
  </si>
  <si>
    <t>Иваново</t>
  </si>
  <si>
    <t>Санкт-Петербург</t>
  </si>
  <si>
    <t>Калининград</t>
  </si>
  <si>
    <t>Нижний Новгород</t>
  </si>
  <si>
    <t>Владимир</t>
  </si>
  <si>
    <t>Новосибирск</t>
  </si>
  <si>
    <t>Самара</t>
  </si>
  <si>
    <t>Казань</t>
  </si>
  <si>
    <t>Тула</t>
  </si>
  <si>
    <t>Саранск</t>
  </si>
  <si>
    <t>Смоленск</t>
  </si>
  <si>
    <t>Псков</t>
  </si>
  <si>
    <t>Липецк</t>
  </si>
  <si>
    <t>Екатеринбург</t>
  </si>
  <si>
    <t>Тверь</t>
  </si>
  <si>
    <t>USD</t>
  </si>
  <si>
    <t>EUR</t>
  </si>
  <si>
    <t>GBP</t>
  </si>
  <si>
    <t>Инвентаризация проведена</t>
  </si>
  <si>
    <t>Отметка о проведении инвентаризации</t>
  </si>
  <si>
    <t>Валюты</t>
  </si>
  <si>
    <t>Года</t>
  </si>
  <si>
    <t>Курс валют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</si>
</sst>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9">
    <xf numFmtId="0" fontId="0" fillId="0" borderId="0" xfId="0"/>
    <xf numFmtId="0" fontId="1" fillId="3" borderId="0" xfId="2" applyAlignment="1">
      <alignment wrapText="1"/>
    </xf>
    <xf numFmtId="0" fontId="1" fillId="3" borderId="0" xfId="2"/>
    <xf numFmtId="0" fontId="0" fillId="0" borderId="0" xfId="0" applyAlignment="1">
      <alignment horizontal="center"/>
    </xf>
    <xf numFmtId="0" fontId="1" fillId="2" borderId="0" xfId="1" applyAlignment="1">
      <alignment horizontal="center"/>
    </xf>
    <xf numFmtId="0" fontId="0" fillId="0" borderId="1" xfId="0" applyFont="1" applyBorder="1"/>
    <xf numFmtId="0" fontId="0" fillId="0" borderId="2" xfId="0" applyFont="1" applyBorder="1"/>
    <xf numFmtId="0" fontId="2" fillId="4" borderId="0" xfId="0" applyFont="1" applyFill="1" applyBorder="1"/>
    <xf numFmtId="0" fontId="0" fillId="5" borderId="0" xfId="0" applyFill="1"/>
  </cellXfs>
  <cellStyles count="3">
    <cellStyle name="20% — акцент4" xfId="1" builtinId="42"/>
    <cellStyle name="60% — акцент6" xfId="2" builtinId="52"/>
    <cellStyle name="Обычный" xfId="0" builtinId="0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64770</xdr:colOff>
      <xdr:row>1</xdr:row>
      <xdr:rowOff>1</xdr:rowOff>
    </xdr:from>
    <xdr:ext cx="6229350" cy="157353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7A63D8-712D-40CF-BFA5-A214AAD8B453}"/>
            </a:ext>
          </a:extLst>
        </xdr:cNvPr>
        <xdr:cNvSpPr txBox="1"/>
      </xdr:nvSpPr>
      <xdr:spPr>
        <a:xfrm>
          <a:off x="7936230" y="182881"/>
          <a:ext cx="6229350" cy="1573530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Базовый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</a:t>
          </a:r>
          <a:r>
            <a:rPr kumimoji="0" lang="en-US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3</a:t>
          </a: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. Функции поиска и подстановки данных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r>
            <a:rPr lang="ru-RU" sz="1100" b="1"/>
            <a:t>Задание 1.</a:t>
          </a:r>
          <a:r>
            <a:rPr lang="ru-RU" sz="1100" b="1" baseline="0"/>
            <a:t> </a:t>
          </a:r>
          <a:r>
            <a:rPr lang="ru-RU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Сделайте из формы заказа на этом листе «умную» таблицу («Форматировать как таблицу»). Подтяните формулой данные по складу и цене каждого товара из листа «Прайс-лист» в эту таблицу. Добавьте формулу для расчёта стоимости (цена </a:t>
          </a:r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  <a:r>
            <a:rPr lang="ru-RU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количество).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514350</xdr:colOff>
      <xdr:row>2</xdr:row>
      <xdr:rowOff>133350</xdr:rowOff>
    </xdr:from>
    <xdr:ext cx="5916930" cy="15621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7D61A0-3CFE-42C3-B593-9606309C1E96}"/>
            </a:ext>
          </a:extLst>
        </xdr:cNvPr>
        <xdr:cNvSpPr txBox="1"/>
      </xdr:nvSpPr>
      <xdr:spPr>
        <a:xfrm>
          <a:off x="6244590" y="499110"/>
          <a:ext cx="5916930" cy="1562100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Базовый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</a:t>
          </a:r>
          <a:r>
            <a:rPr kumimoji="0" lang="en-US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3</a:t>
          </a: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. Функции поиска и подстановки данных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r>
            <a:rPr lang="ru-RU" sz="1100" b="1"/>
            <a:t>Задание 2.</a:t>
          </a:r>
          <a:r>
            <a:rPr lang="ru-RU" sz="1100" b="1" baseline="0"/>
            <a:t> </a:t>
          </a:r>
          <a:r>
            <a:rPr lang="ru-RU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С помощью формул определите, на каких складах ещё не прошла инвентаризация (напротив каждого склада должна быть видна пометка «Инвентаризация проведена» / «Инвентаризация не проведена»).</a:t>
          </a:r>
          <a:endParaRPr lang="ru-RU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118110</xdr:colOff>
      <xdr:row>2</xdr:row>
      <xdr:rowOff>15240</xdr:rowOff>
    </xdr:from>
    <xdr:ext cx="5916930" cy="15621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E36E421-D7F8-4124-888B-720CB970A5A0}"/>
            </a:ext>
          </a:extLst>
        </xdr:cNvPr>
        <xdr:cNvSpPr txBox="1"/>
      </xdr:nvSpPr>
      <xdr:spPr>
        <a:xfrm>
          <a:off x="3729990" y="381000"/>
          <a:ext cx="5916930" cy="1562100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Базовый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</a:t>
          </a:r>
          <a:r>
            <a:rPr kumimoji="0" lang="en-US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3</a:t>
          </a: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. Функции поиска и подстановки данных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r>
            <a:rPr lang="ru-RU" sz="1100" b="1"/>
            <a:t>Задание 3.</a:t>
          </a:r>
          <a:r>
            <a:rPr lang="ru-RU" sz="1100" b="1" baseline="0"/>
            <a:t> </a:t>
          </a:r>
          <a:r>
            <a:rPr lang="ru-RU" sz="1100" b="0" baseline="0"/>
            <a:t>Создайте на этом листе два выпадающих списка: со всеми валютами и годами из листа «Валюты». Создайте формулу, которая будет возвращать курс выбранной валюты за выбранный год.</a:t>
          </a:r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5E0940-BCDC-438F-A1F0-1941142E2F75}" name="Таблица2" displayName="Таблица2" ref="A1:E29" totalsRowShown="0" headerRowDxfId="0" dataDxfId="1" tableBorderDxfId="7">
  <autoFilter ref="A1:E29" xr:uid="{0C5E0940-BCDC-438F-A1F0-1941142E2F75}"/>
  <tableColumns count="5">
    <tableColumn id="1" xr3:uid="{A2CC503F-8688-4E17-99EB-29848512766D}" name="Наименование" dataDxfId="6"/>
    <tableColumn id="2" xr3:uid="{C88CD648-1493-4D68-A42E-DB9073C14941}" name="Количество" dataDxfId="5"/>
    <tableColumn id="3" xr3:uid="{70B8542C-46E0-42E9-B6C7-09AB313F7409}" name="Склад" dataDxfId="4">
      <calculatedColumnFormula>INDEX('Прайс-лист'!A:B,MATCH(A2,'Прайс-лист'!B:B,0),1)</calculatedColumnFormula>
    </tableColumn>
    <tableColumn id="4" xr3:uid="{1831473B-1660-41D5-B547-A640C6C549E0}" name="Цена" dataDxfId="3">
      <calculatedColumnFormula>INDEX('Прайс-лист'!B:C,MATCH(A2,'Прайс-лист'!B:B,0),2)</calculatedColumnFormula>
    </tableColumn>
    <tableColumn id="5" xr3:uid="{DABD7CD9-2D58-4762-AF8A-82F049CE2D75}" name="Стоимость" dataDxfId="2">
      <calculatedColumnFormula>'Задание 1'!$D2*'Задание 1'!$B2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workbookViewId="0">
      <selection activeCell="H16" sqref="H16"/>
    </sheetView>
  </sheetViews>
  <sheetFormatPr defaultColWidth="8.77734375" defaultRowHeight="14.4" x14ac:dyDescent="0.3"/>
  <cols>
    <col min="1" max="1" width="59.77734375" bestFit="1" customWidth="1"/>
    <col min="2" max="3" width="13.77734375" customWidth="1"/>
    <col min="4" max="4" width="14" customWidth="1"/>
    <col min="5" max="5" width="13.44140625" customWidth="1"/>
    <col min="8" max="8" width="10.5546875" bestFit="1" customWidth="1"/>
  </cols>
  <sheetData>
    <row r="1" spans="1:5" x14ac:dyDescent="0.3">
      <c r="A1" s="7" t="s">
        <v>0</v>
      </c>
      <c r="B1" s="7" t="s">
        <v>1</v>
      </c>
      <c r="C1" s="7" t="s">
        <v>339</v>
      </c>
      <c r="D1" s="7" t="s">
        <v>2</v>
      </c>
      <c r="E1" s="7" t="s">
        <v>3</v>
      </c>
    </row>
    <row r="2" spans="1:5" x14ac:dyDescent="0.3">
      <c r="A2" s="5" t="s">
        <v>144</v>
      </c>
      <c r="B2" s="5">
        <v>10</v>
      </c>
      <c r="C2" s="5" t="str">
        <f>INDEX('Прайс-лист'!A:B,MATCH(A2,'Прайс-лист'!B:B,0),1)</f>
        <v>Королев</v>
      </c>
      <c r="D2" s="5">
        <f>INDEX('Прайс-лист'!B:C,MATCH(A2,'Прайс-лист'!B:B,0),2)</f>
        <v>140</v>
      </c>
      <c r="E2" s="5">
        <f>'Задание 1'!$D2*'Задание 1'!$B2</f>
        <v>1400</v>
      </c>
    </row>
    <row r="3" spans="1:5" x14ac:dyDescent="0.3">
      <c r="A3" s="5" t="s">
        <v>137</v>
      </c>
      <c r="B3" s="5">
        <v>8</v>
      </c>
      <c r="C3" s="5" t="str">
        <f>INDEX('Прайс-лист'!A:B,MATCH(A3,'Прайс-лист'!B:B,0),1)</f>
        <v>Королев</v>
      </c>
      <c r="D3" s="5">
        <f>INDEX('Прайс-лист'!B:C,MATCH(A3,'Прайс-лист'!B:B,0),2)</f>
        <v>5194</v>
      </c>
      <c r="E3" s="5">
        <f>'Задание 1'!$D3*'Задание 1'!$B3</f>
        <v>41552</v>
      </c>
    </row>
    <row r="4" spans="1:5" x14ac:dyDescent="0.3">
      <c r="A4" s="5" t="s">
        <v>325</v>
      </c>
      <c r="B4" s="5">
        <v>12</v>
      </c>
      <c r="C4" s="5" t="str">
        <f>INDEX('Прайс-лист'!A:B,MATCH(A4,'Прайс-лист'!B:B,0),1)</f>
        <v>Москва</v>
      </c>
      <c r="D4" s="5">
        <f>INDEX('Прайс-лист'!B:C,MATCH(A4,'Прайс-лист'!B:B,0),2)</f>
        <v>6620</v>
      </c>
      <c r="E4" s="5">
        <f>'Задание 1'!$D4*'Задание 1'!$B4</f>
        <v>79440</v>
      </c>
    </row>
    <row r="5" spans="1:5" x14ac:dyDescent="0.3">
      <c r="A5" s="5" t="s">
        <v>313</v>
      </c>
      <c r="B5" s="5">
        <v>3</v>
      </c>
      <c r="C5" s="5" t="str">
        <f>INDEX('Прайс-лист'!A:B,MATCH(A5,'Прайс-лист'!B:B,0),1)</f>
        <v>Королев</v>
      </c>
      <c r="D5" s="5">
        <f>INDEX('Прайс-лист'!B:C,MATCH(A5,'Прайс-лист'!B:B,0),2)</f>
        <v>1277</v>
      </c>
      <c r="E5" s="5">
        <f>'Задание 1'!$D5*'Задание 1'!$B5</f>
        <v>3831</v>
      </c>
    </row>
    <row r="6" spans="1:5" x14ac:dyDescent="0.3">
      <c r="A6" s="5" t="s">
        <v>218</v>
      </c>
      <c r="B6" s="5">
        <v>9</v>
      </c>
      <c r="C6" s="5" t="str">
        <f>INDEX('Прайс-лист'!A:B,MATCH(A6,'Прайс-лист'!B:B,0),1)</f>
        <v>Чехов</v>
      </c>
      <c r="D6" s="5">
        <f>INDEX('Прайс-лист'!B:C,MATCH(A6,'Прайс-лист'!B:B,0),2)</f>
        <v>13218</v>
      </c>
      <c r="E6" s="5">
        <f>'Задание 1'!$D6*'Задание 1'!$B6</f>
        <v>118962</v>
      </c>
    </row>
    <row r="7" spans="1:5" x14ac:dyDescent="0.3">
      <c r="A7" s="5" t="s">
        <v>257</v>
      </c>
      <c r="B7" s="5">
        <v>1</v>
      </c>
      <c r="C7" s="5" t="str">
        <f>INDEX('Прайс-лист'!A:B,MATCH(A7,'Прайс-лист'!B:B,0),1)</f>
        <v>Москва</v>
      </c>
      <c r="D7" s="5">
        <f>INDEX('Прайс-лист'!B:C,MATCH(A7,'Прайс-лист'!B:B,0),2)</f>
        <v>7223</v>
      </c>
      <c r="E7" s="5">
        <f>'Задание 1'!$D7*'Задание 1'!$B7</f>
        <v>7223</v>
      </c>
    </row>
    <row r="8" spans="1:5" x14ac:dyDescent="0.3">
      <c r="A8" s="5" t="s">
        <v>223</v>
      </c>
      <c r="B8" s="5">
        <v>3</v>
      </c>
      <c r="C8" s="5" t="str">
        <f>INDEX('Прайс-лист'!A:B,MATCH(A8,'Прайс-лист'!B:B,0),1)</f>
        <v>Королев</v>
      </c>
      <c r="D8" s="5">
        <f>INDEX('Прайс-лист'!B:C,MATCH(A8,'Прайс-лист'!B:B,0),2)</f>
        <v>620</v>
      </c>
      <c r="E8" s="5">
        <f>'Задание 1'!$D8*'Задание 1'!$B8</f>
        <v>1860</v>
      </c>
    </row>
    <row r="9" spans="1:5" x14ac:dyDescent="0.3">
      <c r="A9" s="5" t="s">
        <v>226</v>
      </c>
      <c r="B9" s="5">
        <v>11</v>
      </c>
      <c r="C9" s="5" t="str">
        <f>INDEX('Прайс-лист'!A:B,MATCH(A9,'Прайс-лист'!B:B,0),1)</f>
        <v>Подольск</v>
      </c>
      <c r="D9" s="5">
        <f>INDEX('Прайс-лист'!B:C,MATCH(A9,'Прайс-лист'!B:B,0),2)</f>
        <v>23581</v>
      </c>
      <c r="E9" s="5">
        <f>'Задание 1'!$D9*'Задание 1'!$B9</f>
        <v>259391</v>
      </c>
    </row>
    <row r="10" spans="1:5" x14ac:dyDescent="0.3">
      <c r="A10" s="5" t="s">
        <v>264</v>
      </c>
      <c r="B10" s="5">
        <v>4</v>
      </c>
      <c r="C10" s="5" t="str">
        <f>INDEX('Прайс-лист'!A:B,MATCH(A10,'Прайс-лист'!B:B,0),1)</f>
        <v>Королев</v>
      </c>
      <c r="D10" s="5">
        <f>INDEX('Прайс-лист'!B:C,MATCH(A10,'Прайс-лист'!B:B,0),2)</f>
        <v>2970</v>
      </c>
      <c r="E10" s="5">
        <f>'Задание 1'!$D10*'Задание 1'!$B10</f>
        <v>11880</v>
      </c>
    </row>
    <row r="11" spans="1:5" x14ac:dyDescent="0.3">
      <c r="A11" s="5" t="s">
        <v>193</v>
      </c>
      <c r="B11" s="5">
        <v>4</v>
      </c>
      <c r="C11" s="5" t="str">
        <f>INDEX('Прайс-лист'!A:B,MATCH(A11,'Прайс-лист'!B:B,0),1)</f>
        <v>Чехов</v>
      </c>
      <c r="D11" s="5">
        <f>INDEX('Прайс-лист'!B:C,MATCH(A11,'Прайс-лист'!B:B,0),2)</f>
        <v>7239</v>
      </c>
      <c r="E11" s="5">
        <f>'Задание 1'!$D11*'Задание 1'!$B11</f>
        <v>28956</v>
      </c>
    </row>
    <row r="12" spans="1:5" x14ac:dyDescent="0.3">
      <c r="A12" s="5" t="s">
        <v>81</v>
      </c>
      <c r="B12" s="5">
        <v>11</v>
      </c>
      <c r="C12" s="5" t="str">
        <f>INDEX('Прайс-лист'!A:B,MATCH(A12,'Прайс-лист'!B:B,0),1)</f>
        <v>Королев</v>
      </c>
      <c r="D12" s="5">
        <f>INDEX('Прайс-лист'!B:C,MATCH(A12,'Прайс-лист'!B:B,0),2)</f>
        <v>25282</v>
      </c>
      <c r="E12" s="5">
        <f>'Задание 1'!$D12*'Задание 1'!$B12</f>
        <v>278102</v>
      </c>
    </row>
    <row r="13" spans="1:5" x14ac:dyDescent="0.3">
      <c r="A13" s="5" t="s">
        <v>202</v>
      </c>
      <c r="B13" s="5">
        <v>4</v>
      </c>
      <c r="C13" s="5" t="str">
        <f>INDEX('Прайс-лист'!A:B,MATCH(A13,'Прайс-лист'!B:B,0),1)</f>
        <v>Королев</v>
      </c>
      <c r="D13" s="5">
        <f>INDEX('Прайс-лист'!B:C,MATCH(A13,'Прайс-лист'!B:B,0),2)</f>
        <v>11482</v>
      </c>
      <c r="E13" s="5">
        <f>'Задание 1'!$D13*'Задание 1'!$B13</f>
        <v>45928</v>
      </c>
    </row>
    <row r="14" spans="1:5" x14ac:dyDescent="0.3">
      <c r="A14" s="5" t="s">
        <v>104</v>
      </c>
      <c r="B14" s="5">
        <v>11</v>
      </c>
      <c r="C14" s="5" t="str">
        <f>INDEX('Прайс-лист'!A:B,MATCH(A14,'Прайс-лист'!B:B,0),1)</f>
        <v>Королев</v>
      </c>
      <c r="D14" s="5">
        <f>INDEX('Прайс-лист'!B:C,MATCH(A14,'Прайс-лист'!B:B,0),2)</f>
        <v>11344</v>
      </c>
      <c r="E14" s="5">
        <f>'Задание 1'!$D14*'Задание 1'!$B14</f>
        <v>124784</v>
      </c>
    </row>
    <row r="15" spans="1:5" x14ac:dyDescent="0.3">
      <c r="A15" s="5" t="s">
        <v>190</v>
      </c>
      <c r="B15" s="5">
        <v>4</v>
      </c>
      <c r="C15" s="5" t="str">
        <f>INDEX('Прайс-лист'!A:B,MATCH(A15,'Прайс-лист'!B:B,0),1)</f>
        <v>Чехов</v>
      </c>
      <c r="D15" s="5">
        <f>INDEX('Прайс-лист'!B:C,MATCH(A15,'Прайс-лист'!B:B,0),2)</f>
        <v>5286</v>
      </c>
      <c r="E15" s="5">
        <f>'Задание 1'!$D15*'Задание 1'!$B15</f>
        <v>21144</v>
      </c>
    </row>
    <row r="16" spans="1:5" x14ac:dyDescent="0.3">
      <c r="A16" s="5" t="s">
        <v>213</v>
      </c>
      <c r="B16" s="5">
        <v>1</v>
      </c>
      <c r="C16" s="5" t="str">
        <f>INDEX('Прайс-лист'!A:B,MATCH(A16,'Прайс-лист'!B:B,0),1)</f>
        <v>Королев</v>
      </c>
      <c r="D16" s="5">
        <f>INDEX('Прайс-лист'!B:C,MATCH(A16,'Прайс-лист'!B:B,0),2)</f>
        <v>12140</v>
      </c>
      <c r="E16" s="5">
        <f>'Задание 1'!$D16*'Задание 1'!$B16</f>
        <v>12140</v>
      </c>
    </row>
    <row r="17" spans="1:5" x14ac:dyDescent="0.3">
      <c r="A17" s="5" t="s">
        <v>20</v>
      </c>
      <c r="B17" s="5">
        <v>11</v>
      </c>
      <c r="C17" s="5" t="str">
        <f>INDEX('Прайс-лист'!A:B,MATCH(A17,'Прайс-лист'!B:B,0),1)</f>
        <v>Королев</v>
      </c>
      <c r="D17" s="5">
        <f>INDEX('Прайс-лист'!B:C,MATCH(A17,'Прайс-лист'!B:B,0),2)</f>
        <v>4523</v>
      </c>
      <c r="E17" s="5">
        <f>'Задание 1'!$D17*'Задание 1'!$B17</f>
        <v>49753</v>
      </c>
    </row>
    <row r="18" spans="1:5" x14ac:dyDescent="0.3">
      <c r="A18" s="5" t="s">
        <v>32</v>
      </c>
      <c r="B18" s="5">
        <v>10</v>
      </c>
      <c r="C18" s="5" t="str">
        <f>INDEX('Прайс-лист'!A:B,MATCH(A18,'Прайс-лист'!B:B,0),1)</f>
        <v>Чехов</v>
      </c>
      <c r="D18" s="5">
        <f>INDEX('Прайс-лист'!B:C,MATCH(A18,'Прайс-лист'!B:B,0),2)</f>
        <v>1919</v>
      </c>
      <c r="E18" s="5">
        <f>'Задание 1'!$D18*'Задание 1'!$B18</f>
        <v>19190</v>
      </c>
    </row>
    <row r="19" spans="1:5" x14ac:dyDescent="0.3">
      <c r="A19" s="5" t="s">
        <v>64</v>
      </c>
      <c r="B19" s="5">
        <v>10</v>
      </c>
      <c r="C19" s="5" t="str">
        <f>INDEX('Прайс-лист'!A:B,MATCH(A19,'Прайс-лист'!B:B,0),1)</f>
        <v>Подольск</v>
      </c>
      <c r="D19" s="5">
        <f>INDEX('Прайс-лист'!B:C,MATCH(A19,'Прайс-лист'!B:B,0),2)</f>
        <v>107534</v>
      </c>
      <c r="E19" s="5">
        <f>'Задание 1'!$D19*'Задание 1'!$B19</f>
        <v>1075340</v>
      </c>
    </row>
    <row r="20" spans="1:5" x14ac:dyDescent="0.3">
      <c r="A20" s="5" t="s">
        <v>233</v>
      </c>
      <c r="B20" s="5">
        <v>8</v>
      </c>
      <c r="C20" s="5" t="str">
        <f>INDEX('Прайс-лист'!A:B,MATCH(A20,'Прайс-лист'!B:B,0),1)</f>
        <v>Москва</v>
      </c>
      <c r="D20" s="5">
        <f>INDEX('Прайс-лист'!B:C,MATCH(A20,'Прайс-лист'!B:B,0),2)</f>
        <v>1324</v>
      </c>
      <c r="E20" s="5">
        <f>'Задание 1'!$D20*'Задание 1'!$B20</f>
        <v>10592</v>
      </c>
    </row>
    <row r="21" spans="1:5" x14ac:dyDescent="0.3">
      <c r="A21" s="5" t="s">
        <v>52</v>
      </c>
      <c r="B21" s="5">
        <v>6</v>
      </c>
      <c r="C21" s="5" t="str">
        <f>INDEX('Прайс-лист'!A:B,MATCH(A21,'Прайс-лист'!B:B,0),1)</f>
        <v>Королев</v>
      </c>
      <c r="D21" s="5">
        <f>INDEX('Прайс-лист'!B:C,MATCH(A21,'Прайс-лист'!B:B,0),2)</f>
        <v>21786</v>
      </c>
      <c r="E21" s="5">
        <f>'Задание 1'!$D21*'Задание 1'!$B21</f>
        <v>130716</v>
      </c>
    </row>
    <row r="22" spans="1:5" x14ac:dyDescent="0.3">
      <c r="A22" s="5" t="s">
        <v>101</v>
      </c>
      <c r="B22" s="5">
        <v>10</v>
      </c>
      <c r="C22" s="5" t="str">
        <f>INDEX('Прайс-лист'!A:B,MATCH(A22,'Прайс-лист'!B:B,0),1)</f>
        <v>Королев</v>
      </c>
      <c r="D22" s="5">
        <f>INDEX('Прайс-лист'!B:C,MATCH(A22,'Прайс-лист'!B:B,0),2)</f>
        <v>14391</v>
      </c>
      <c r="E22" s="5">
        <f>'Задание 1'!$D22*'Задание 1'!$B22</f>
        <v>143910</v>
      </c>
    </row>
    <row r="23" spans="1:5" x14ac:dyDescent="0.3">
      <c r="A23" s="5" t="s">
        <v>40</v>
      </c>
      <c r="B23" s="5">
        <v>13</v>
      </c>
      <c r="C23" s="5" t="str">
        <f>INDEX('Прайс-лист'!A:B,MATCH(A23,'Прайс-лист'!B:B,0),1)</f>
        <v>Подольск</v>
      </c>
      <c r="D23" s="5">
        <f>INDEX('Прайс-лист'!B:C,MATCH(A23,'Прайс-лист'!B:B,0),2)</f>
        <v>8419</v>
      </c>
      <c r="E23" s="5">
        <f>'Задание 1'!$D23*'Задание 1'!$B23</f>
        <v>109447</v>
      </c>
    </row>
    <row r="24" spans="1:5" x14ac:dyDescent="0.3">
      <c r="A24" s="5" t="s">
        <v>89</v>
      </c>
      <c r="B24" s="5">
        <v>6</v>
      </c>
      <c r="C24" s="5" t="str">
        <f>INDEX('Прайс-лист'!A:B,MATCH(A24,'Прайс-лист'!B:B,0),1)</f>
        <v>Королев</v>
      </c>
      <c r="D24" s="5">
        <f>INDEX('Прайс-лист'!B:C,MATCH(A24,'Прайс-лист'!B:B,0),2)</f>
        <v>34513</v>
      </c>
      <c r="E24" s="5">
        <f>'Задание 1'!$D24*'Задание 1'!$B24</f>
        <v>207078</v>
      </c>
    </row>
    <row r="25" spans="1:5" x14ac:dyDescent="0.3">
      <c r="A25" s="5" t="s">
        <v>181</v>
      </c>
      <c r="B25" s="5">
        <v>6</v>
      </c>
      <c r="C25" s="5" t="str">
        <f>INDEX('Прайс-лист'!A:B,MATCH(A25,'Прайс-лист'!B:B,0),1)</f>
        <v>Подольск</v>
      </c>
      <c r="D25" s="5">
        <f>INDEX('Прайс-лист'!B:C,MATCH(A25,'Прайс-лист'!B:B,0),2)</f>
        <v>1147</v>
      </c>
      <c r="E25" s="5">
        <f>'Задание 1'!$D25*'Задание 1'!$B25</f>
        <v>6882</v>
      </c>
    </row>
    <row r="26" spans="1:5" x14ac:dyDescent="0.3">
      <c r="A26" s="5" t="s">
        <v>38</v>
      </c>
      <c r="B26" s="5">
        <v>2</v>
      </c>
      <c r="C26" s="5" t="str">
        <f>INDEX('Прайс-лист'!A:B,MATCH(A26,'Прайс-лист'!B:B,0),1)</f>
        <v>Подольск</v>
      </c>
      <c r="D26" s="5">
        <f>INDEX('Прайс-лист'!B:C,MATCH(A26,'Прайс-лист'!B:B,0),2)</f>
        <v>1764</v>
      </c>
      <c r="E26" s="5">
        <f>'Задание 1'!$D26*'Задание 1'!$B26</f>
        <v>3528</v>
      </c>
    </row>
    <row r="27" spans="1:5" x14ac:dyDescent="0.3">
      <c r="A27" s="5" t="s">
        <v>25</v>
      </c>
      <c r="B27" s="5">
        <v>11</v>
      </c>
      <c r="C27" s="5" t="str">
        <f>INDEX('Прайс-лист'!A:B,MATCH(A27,'Прайс-лист'!B:B,0),1)</f>
        <v>Королев</v>
      </c>
      <c r="D27" s="5">
        <f>INDEX('Прайс-лист'!B:C,MATCH(A27,'Прайс-лист'!B:B,0),2)</f>
        <v>14631</v>
      </c>
      <c r="E27" s="5">
        <f>'Задание 1'!$D27*'Задание 1'!$B27</f>
        <v>160941</v>
      </c>
    </row>
    <row r="28" spans="1:5" x14ac:dyDescent="0.3">
      <c r="A28" s="5" t="s">
        <v>198</v>
      </c>
      <c r="B28" s="5">
        <v>6</v>
      </c>
      <c r="C28" s="5" t="str">
        <f>INDEX('Прайс-лист'!A:B,MATCH(A28,'Прайс-лист'!B:B,0),1)</f>
        <v>Москва</v>
      </c>
      <c r="D28" s="5">
        <f>INDEX('Прайс-лист'!B:C,MATCH(A28,'Прайс-лист'!B:B,0),2)</f>
        <v>33928</v>
      </c>
      <c r="E28" s="5">
        <f>'Задание 1'!$D28*'Задание 1'!$B28</f>
        <v>203568</v>
      </c>
    </row>
    <row r="29" spans="1:5" x14ac:dyDescent="0.3">
      <c r="A29" s="6" t="s">
        <v>217</v>
      </c>
      <c r="B29" s="6">
        <v>7</v>
      </c>
      <c r="C29" s="5" t="str">
        <f>INDEX('Прайс-лист'!A:B,MATCH(A29,'Прайс-лист'!B:B,0),1)</f>
        <v>Королев</v>
      </c>
      <c r="D29" s="5">
        <f>INDEX('Прайс-лист'!B:C,MATCH(A29,'Прайс-лист'!B:B,0),2)</f>
        <v>14834</v>
      </c>
      <c r="E29" s="6">
        <f>'Задание 1'!$D29*'Задание 1'!$B29</f>
        <v>103838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C28D1-EE41-408A-A7E5-8EC87A7C6FDD}">
  <dimension ref="A1:D339"/>
  <sheetViews>
    <sheetView workbookViewId="0">
      <pane ySplit="1" topLeftCell="A2" activePane="bottomLeft" state="frozen"/>
      <selection pane="bottomLeft" activeCell="B3" sqref="B3"/>
    </sheetView>
  </sheetViews>
  <sheetFormatPr defaultColWidth="8.77734375" defaultRowHeight="14.4" x14ac:dyDescent="0.3"/>
  <cols>
    <col min="1" max="1" width="9.6640625" bestFit="1" customWidth="1"/>
    <col min="2" max="2" width="104" bestFit="1" customWidth="1"/>
  </cols>
  <sheetData>
    <row r="1" spans="1:4" x14ac:dyDescent="0.3">
      <c r="A1" t="s">
        <v>339</v>
      </c>
      <c r="B1" t="s">
        <v>0</v>
      </c>
      <c r="C1" t="s">
        <v>2</v>
      </c>
      <c r="D1" t="s">
        <v>344</v>
      </c>
    </row>
    <row r="2" spans="1:4" x14ac:dyDescent="0.3">
      <c r="A2" t="s">
        <v>341</v>
      </c>
      <c r="B2" t="s">
        <v>146</v>
      </c>
      <c r="C2">
        <v>137</v>
      </c>
      <c r="D2">
        <v>52</v>
      </c>
    </row>
    <row r="3" spans="1:4" x14ac:dyDescent="0.3">
      <c r="A3" t="s">
        <v>343</v>
      </c>
      <c r="B3" t="s">
        <v>144</v>
      </c>
      <c r="C3">
        <v>140</v>
      </c>
      <c r="D3">
        <v>82</v>
      </c>
    </row>
    <row r="4" spans="1:4" x14ac:dyDescent="0.3">
      <c r="A4" t="s">
        <v>340</v>
      </c>
      <c r="B4" t="s">
        <v>138</v>
      </c>
      <c r="C4">
        <v>195</v>
      </c>
      <c r="D4">
        <v>15</v>
      </c>
    </row>
    <row r="5" spans="1:4" x14ac:dyDescent="0.3">
      <c r="A5" t="s">
        <v>342</v>
      </c>
      <c r="B5" t="s">
        <v>153</v>
      </c>
      <c r="C5">
        <v>222</v>
      </c>
      <c r="D5">
        <v>5</v>
      </c>
    </row>
    <row r="6" spans="1:4" x14ac:dyDescent="0.3">
      <c r="A6" t="s">
        <v>342</v>
      </c>
      <c r="B6" t="s">
        <v>177</v>
      </c>
      <c r="C6">
        <v>253</v>
      </c>
      <c r="D6">
        <v>92</v>
      </c>
    </row>
    <row r="7" spans="1:4" x14ac:dyDescent="0.3">
      <c r="A7" t="s">
        <v>340</v>
      </c>
      <c r="B7" t="s">
        <v>158</v>
      </c>
      <c r="C7">
        <v>261</v>
      </c>
      <c r="D7">
        <v>36</v>
      </c>
    </row>
    <row r="8" spans="1:4" x14ac:dyDescent="0.3">
      <c r="A8" t="s">
        <v>342</v>
      </c>
      <c r="B8" t="s">
        <v>67</v>
      </c>
      <c r="C8">
        <v>264</v>
      </c>
      <c r="D8">
        <v>97</v>
      </c>
    </row>
    <row r="9" spans="1:4" x14ac:dyDescent="0.3">
      <c r="A9" t="s">
        <v>341</v>
      </c>
      <c r="B9" t="s">
        <v>327</v>
      </c>
      <c r="C9">
        <v>402</v>
      </c>
      <c r="D9">
        <v>20</v>
      </c>
    </row>
    <row r="10" spans="1:4" x14ac:dyDescent="0.3">
      <c r="A10" t="s">
        <v>342</v>
      </c>
      <c r="B10" t="s">
        <v>184</v>
      </c>
      <c r="C10">
        <v>470</v>
      </c>
      <c r="D10">
        <v>22</v>
      </c>
    </row>
    <row r="11" spans="1:4" x14ac:dyDescent="0.3">
      <c r="A11" t="s">
        <v>343</v>
      </c>
      <c r="B11" t="s">
        <v>235</v>
      </c>
      <c r="C11">
        <v>482</v>
      </c>
      <c r="D11">
        <v>46</v>
      </c>
    </row>
    <row r="12" spans="1:4" x14ac:dyDescent="0.3">
      <c r="A12" t="s">
        <v>343</v>
      </c>
      <c r="B12" t="s">
        <v>223</v>
      </c>
      <c r="C12">
        <v>620</v>
      </c>
      <c r="D12">
        <v>84</v>
      </c>
    </row>
    <row r="13" spans="1:4" x14ac:dyDescent="0.3">
      <c r="A13" t="s">
        <v>341</v>
      </c>
      <c r="B13" t="s">
        <v>249</v>
      </c>
      <c r="C13">
        <v>715</v>
      </c>
      <c r="D13">
        <v>44</v>
      </c>
    </row>
    <row r="14" spans="1:4" x14ac:dyDescent="0.3">
      <c r="A14" t="s">
        <v>343</v>
      </c>
      <c r="B14" t="s">
        <v>7</v>
      </c>
      <c r="C14">
        <v>729</v>
      </c>
      <c r="D14">
        <v>80</v>
      </c>
    </row>
    <row r="15" spans="1:4" x14ac:dyDescent="0.3">
      <c r="A15" t="s">
        <v>340</v>
      </c>
      <c r="B15" t="s">
        <v>245</v>
      </c>
      <c r="C15">
        <v>756</v>
      </c>
      <c r="D15">
        <v>33</v>
      </c>
    </row>
    <row r="16" spans="1:4" x14ac:dyDescent="0.3">
      <c r="A16" t="s">
        <v>340</v>
      </c>
      <c r="B16" t="s">
        <v>299</v>
      </c>
      <c r="C16">
        <v>784</v>
      </c>
      <c r="D16">
        <v>62</v>
      </c>
    </row>
    <row r="17" spans="1:4" x14ac:dyDescent="0.3">
      <c r="A17" t="s">
        <v>341</v>
      </c>
      <c r="B17" t="s">
        <v>77</v>
      </c>
      <c r="C17">
        <v>875</v>
      </c>
      <c r="D17">
        <v>66</v>
      </c>
    </row>
    <row r="18" spans="1:4" x14ac:dyDescent="0.3">
      <c r="A18" t="s">
        <v>340</v>
      </c>
      <c r="B18" t="s">
        <v>308</v>
      </c>
      <c r="C18">
        <v>886</v>
      </c>
      <c r="D18">
        <v>79</v>
      </c>
    </row>
    <row r="19" spans="1:4" x14ac:dyDescent="0.3">
      <c r="A19" t="s">
        <v>343</v>
      </c>
      <c r="B19" t="s">
        <v>242</v>
      </c>
      <c r="C19">
        <v>901</v>
      </c>
      <c r="D19">
        <v>77</v>
      </c>
    </row>
    <row r="20" spans="1:4" x14ac:dyDescent="0.3">
      <c r="A20" t="s">
        <v>343</v>
      </c>
      <c r="B20" t="s">
        <v>314</v>
      </c>
      <c r="C20">
        <v>916</v>
      </c>
      <c r="D20">
        <v>89</v>
      </c>
    </row>
    <row r="21" spans="1:4" x14ac:dyDescent="0.3">
      <c r="A21" t="s">
        <v>340</v>
      </c>
      <c r="B21" t="s">
        <v>147</v>
      </c>
      <c r="C21">
        <v>921</v>
      </c>
      <c r="D21">
        <v>24</v>
      </c>
    </row>
    <row r="22" spans="1:4" x14ac:dyDescent="0.3">
      <c r="A22" t="s">
        <v>343</v>
      </c>
      <c r="B22" t="s">
        <v>180</v>
      </c>
      <c r="C22">
        <v>1034</v>
      </c>
      <c r="D22">
        <v>45</v>
      </c>
    </row>
    <row r="23" spans="1:4" x14ac:dyDescent="0.3">
      <c r="A23" t="s">
        <v>341</v>
      </c>
      <c r="B23" t="s">
        <v>44</v>
      </c>
      <c r="C23">
        <v>1040</v>
      </c>
      <c r="D23">
        <v>23</v>
      </c>
    </row>
    <row r="24" spans="1:4" x14ac:dyDescent="0.3">
      <c r="A24" t="s">
        <v>342</v>
      </c>
      <c r="B24" t="s">
        <v>142</v>
      </c>
      <c r="C24">
        <v>1054</v>
      </c>
      <c r="D24">
        <v>60</v>
      </c>
    </row>
    <row r="25" spans="1:4" x14ac:dyDescent="0.3">
      <c r="A25" t="s">
        <v>341</v>
      </c>
      <c r="B25" t="s">
        <v>182</v>
      </c>
      <c r="C25">
        <v>1065</v>
      </c>
      <c r="D25">
        <v>84</v>
      </c>
    </row>
    <row r="26" spans="1:4" x14ac:dyDescent="0.3">
      <c r="A26" t="s">
        <v>341</v>
      </c>
      <c r="B26" t="s">
        <v>62</v>
      </c>
      <c r="C26">
        <v>1081</v>
      </c>
      <c r="D26">
        <v>58</v>
      </c>
    </row>
    <row r="27" spans="1:4" x14ac:dyDescent="0.3">
      <c r="A27" t="s">
        <v>341</v>
      </c>
      <c r="B27" t="s">
        <v>326</v>
      </c>
      <c r="C27">
        <v>1144</v>
      </c>
      <c r="D27">
        <v>64</v>
      </c>
    </row>
    <row r="28" spans="1:4" x14ac:dyDescent="0.3">
      <c r="A28" t="s">
        <v>341</v>
      </c>
      <c r="B28" t="s">
        <v>181</v>
      </c>
      <c r="C28">
        <v>1147</v>
      </c>
      <c r="D28">
        <v>91</v>
      </c>
    </row>
    <row r="29" spans="1:4" x14ac:dyDescent="0.3">
      <c r="A29" t="s">
        <v>342</v>
      </c>
      <c r="B29" t="s">
        <v>46</v>
      </c>
      <c r="C29">
        <v>1263</v>
      </c>
      <c r="D29">
        <v>36</v>
      </c>
    </row>
    <row r="30" spans="1:4" x14ac:dyDescent="0.3">
      <c r="A30" t="s">
        <v>343</v>
      </c>
      <c r="B30" t="s">
        <v>313</v>
      </c>
      <c r="C30">
        <v>1277</v>
      </c>
      <c r="D30">
        <v>64</v>
      </c>
    </row>
    <row r="31" spans="1:4" x14ac:dyDescent="0.3">
      <c r="A31" t="s">
        <v>342</v>
      </c>
      <c r="B31" t="s">
        <v>171</v>
      </c>
      <c r="C31">
        <v>1296</v>
      </c>
      <c r="D31">
        <v>34</v>
      </c>
    </row>
    <row r="32" spans="1:4" x14ac:dyDescent="0.3">
      <c r="A32" t="s">
        <v>340</v>
      </c>
      <c r="B32" t="s">
        <v>233</v>
      </c>
      <c r="C32">
        <v>1324</v>
      </c>
      <c r="D32">
        <v>75</v>
      </c>
    </row>
    <row r="33" spans="1:4" x14ac:dyDescent="0.3">
      <c r="A33" t="s">
        <v>343</v>
      </c>
      <c r="B33" t="s">
        <v>168</v>
      </c>
      <c r="C33">
        <v>1367</v>
      </c>
      <c r="D33">
        <v>53</v>
      </c>
    </row>
    <row r="34" spans="1:4" x14ac:dyDescent="0.3">
      <c r="A34" t="s">
        <v>340</v>
      </c>
      <c r="B34" t="s">
        <v>75</v>
      </c>
      <c r="C34">
        <v>1445</v>
      </c>
      <c r="D34">
        <v>15</v>
      </c>
    </row>
    <row r="35" spans="1:4" x14ac:dyDescent="0.3">
      <c r="A35" t="s">
        <v>341</v>
      </c>
      <c r="B35" t="s">
        <v>247</v>
      </c>
      <c r="C35">
        <v>1525</v>
      </c>
      <c r="D35">
        <v>46</v>
      </c>
    </row>
    <row r="36" spans="1:4" x14ac:dyDescent="0.3">
      <c r="A36" t="s">
        <v>342</v>
      </c>
      <c r="B36" t="s">
        <v>312</v>
      </c>
      <c r="C36">
        <v>1528</v>
      </c>
      <c r="D36">
        <v>100</v>
      </c>
    </row>
    <row r="37" spans="1:4" x14ac:dyDescent="0.3">
      <c r="A37" t="s">
        <v>343</v>
      </c>
      <c r="B37" t="s">
        <v>156</v>
      </c>
      <c r="C37">
        <v>1546</v>
      </c>
      <c r="D37">
        <v>69</v>
      </c>
    </row>
    <row r="38" spans="1:4" x14ac:dyDescent="0.3">
      <c r="A38" t="s">
        <v>341</v>
      </c>
      <c r="B38" t="s">
        <v>323</v>
      </c>
      <c r="C38">
        <v>1557</v>
      </c>
      <c r="D38">
        <v>38</v>
      </c>
    </row>
    <row r="39" spans="1:4" x14ac:dyDescent="0.3">
      <c r="A39" t="s">
        <v>341</v>
      </c>
      <c r="B39" t="s">
        <v>34</v>
      </c>
      <c r="C39">
        <v>1649</v>
      </c>
      <c r="D39">
        <v>69</v>
      </c>
    </row>
    <row r="40" spans="1:4" x14ac:dyDescent="0.3">
      <c r="A40" t="s">
        <v>343</v>
      </c>
      <c r="B40" t="s">
        <v>66</v>
      </c>
      <c r="C40">
        <v>1668</v>
      </c>
      <c r="D40">
        <v>36</v>
      </c>
    </row>
    <row r="41" spans="1:4" x14ac:dyDescent="0.3">
      <c r="A41" t="s">
        <v>343</v>
      </c>
      <c r="B41" t="s">
        <v>164</v>
      </c>
      <c r="C41">
        <v>1676</v>
      </c>
      <c r="D41">
        <v>22</v>
      </c>
    </row>
    <row r="42" spans="1:4" x14ac:dyDescent="0.3">
      <c r="A42" t="s">
        <v>342</v>
      </c>
      <c r="B42" t="s">
        <v>300</v>
      </c>
      <c r="C42">
        <v>1685</v>
      </c>
      <c r="D42">
        <v>20</v>
      </c>
    </row>
    <row r="43" spans="1:4" x14ac:dyDescent="0.3">
      <c r="A43" t="s">
        <v>340</v>
      </c>
      <c r="B43" t="s">
        <v>28</v>
      </c>
      <c r="C43">
        <v>1710</v>
      </c>
      <c r="D43">
        <v>27</v>
      </c>
    </row>
    <row r="44" spans="1:4" x14ac:dyDescent="0.3">
      <c r="A44" t="s">
        <v>341</v>
      </c>
      <c r="B44" t="s">
        <v>38</v>
      </c>
      <c r="C44">
        <v>1764</v>
      </c>
      <c r="D44">
        <v>57</v>
      </c>
    </row>
    <row r="45" spans="1:4" x14ac:dyDescent="0.3">
      <c r="A45" t="s">
        <v>340</v>
      </c>
      <c r="B45" t="s">
        <v>151</v>
      </c>
      <c r="C45">
        <v>1818</v>
      </c>
      <c r="D45">
        <v>42</v>
      </c>
    </row>
    <row r="46" spans="1:4" x14ac:dyDescent="0.3">
      <c r="A46" t="s">
        <v>341</v>
      </c>
      <c r="B46" t="s">
        <v>170</v>
      </c>
      <c r="C46">
        <v>1905</v>
      </c>
      <c r="D46">
        <v>70</v>
      </c>
    </row>
    <row r="47" spans="1:4" x14ac:dyDescent="0.3">
      <c r="A47" t="s">
        <v>342</v>
      </c>
      <c r="B47" t="s">
        <v>32</v>
      </c>
      <c r="C47">
        <v>1919</v>
      </c>
      <c r="D47">
        <v>6</v>
      </c>
    </row>
    <row r="48" spans="1:4" x14ac:dyDescent="0.3">
      <c r="A48" t="s">
        <v>341</v>
      </c>
      <c r="B48" t="s">
        <v>154</v>
      </c>
      <c r="C48">
        <v>2007</v>
      </c>
      <c r="D48">
        <v>94</v>
      </c>
    </row>
    <row r="49" spans="1:4" x14ac:dyDescent="0.3">
      <c r="A49" t="s">
        <v>341</v>
      </c>
      <c r="B49" t="s">
        <v>306</v>
      </c>
      <c r="C49">
        <v>2027</v>
      </c>
      <c r="D49">
        <v>36</v>
      </c>
    </row>
    <row r="50" spans="1:4" x14ac:dyDescent="0.3">
      <c r="A50" t="s">
        <v>341</v>
      </c>
      <c r="B50" t="s">
        <v>12</v>
      </c>
      <c r="C50">
        <v>2029</v>
      </c>
      <c r="D50">
        <v>30</v>
      </c>
    </row>
    <row r="51" spans="1:4" x14ac:dyDescent="0.3">
      <c r="A51" t="s">
        <v>341</v>
      </c>
      <c r="B51" t="s">
        <v>232</v>
      </c>
      <c r="C51">
        <v>2089</v>
      </c>
      <c r="D51">
        <v>26</v>
      </c>
    </row>
    <row r="52" spans="1:4" x14ac:dyDescent="0.3">
      <c r="A52" t="s">
        <v>341</v>
      </c>
      <c r="B52" t="s">
        <v>297</v>
      </c>
      <c r="C52">
        <v>2095</v>
      </c>
      <c r="D52">
        <v>99</v>
      </c>
    </row>
    <row r="53" spans="1:4" x14ac:dyDescent="0.3">
      <c r="A53" t="s">
        <v>340</v>
      </c>
      <c r="B53" t="s">
        <v>61</v>
      </c>
      <c r="C53">
        <v>2122</v>
      </c>
      <c r="D53">
        <v>32</v>
      </c>
    </row>
    <row r="54" spans="1:4" x14ac:dyDescent="0.3">
      <c r="A54" t="s">
        <v>341</v>
      </c>
      <c r="B54" t="s">
        <v>45</v>
      </c>
      <c r="C54">
        <v>2127</v>
      </c>
      <c r="D54">
        <v>6</v>
      </c>
    </row>
    <row r="55" spans="1:4" x14ac:dyDescent="0.3">
      <c r="A55" t="s">
        <v>342</v>
      </c>
      <c r="B55" t="s">
        <v>140</v>
      </c>
      <c r="C55">
        <v>2138</v>
      </c>
      <c r="D55">
        <v>36</v>
      </c>
    </row>
    <row r="56" spans="1:4" x14ac:dyDescent="0.3">
      <c r="A56" t="s">
        <v>341</v>
      </c>
      <c r="B56" t="s">
        <v>179</v>
      </c>
      <c r="C56">
        <v>2193</v>
      </c>
      <c r="D56">
        <v>4</v>
      </c>
    </row>
    <row r="57" spans="1:4" x14ac:dyDescent="0.3">
      <c r="A57" t="s">
        <v>343</v>
      </c>
      <c r="B57" t="s">
        <v>301</v>
      </c>
      <c r="C57">
        <v>2243</v>
      </c>
      <c r="D57">
        <v>80</v>
      </c>
    </row>
    <row r="58" spans="1:4" x14ac:dyDescent="0.3">
      <c r="A58" t="s">
        <v>340</v>
      </c>
      <c r="B58" t="s">
        <v>319</v>
      </c>
      <c r="C58">
        <v>2279</v>
      </c>
      <c r="D58">
        <v>48</v>
      </c>
    </row>
    <row r="59" spans="1:4" x14ac:dyDescent="0.3">
      <c r="A59" t="s">
        <v>340</v>
      </c>
      <c r="B59" t="s">
        <v>5</v>
      </c>
      <c r="C59">
        <v>2285</v>
      </c>
      <c r="D59">
        <v>82</v>
      </c>
    </row>
    <row r="60" spans="1:4" x14ac:dyDescent="0.3">
      <c r="A60" t="s">
        <v>340</v>
      </c>
      <c r="B60" t="s">
        <v>22</v>
      </c>
      <c r="C60">
        <v>2296</v>
      </c>
      <c r="D60">
        <v>100</v>
      </c>
    </row>
    <row r="61" spans="1:4" x14ac:dyDescent="0.3">
      <c r="A61" t="s">
        <v>343</v>
      </c>
      <c r="B61" t="s">
        <v>31</v>
      </c>
      <c r="C61">
        <v>2344</v>
      </c>
      <c r="D61">
        <v>54</v>
      </c>
    </row>
    <row r="62" spans="1:4" x14ac:dyDescent="0.3">
      <c r="A62" t="s">
        <v>343</v>
      </c>
      <c r="B62" t="s">
        <v>166</v>
      </c>
      <c r="C62">
        <v>2497</v>
      </c>
      <c r="D62">
        <v>32</v>
      </c>
    </row>
    <row r="63" spans="1:4" x14ac:dyDescent="0.3">
      <c r="A63" t="s">
        <v>341</v>
      </c>
      <c r="B63" t="s">
        <v>172</v>
      </c>
      <c r="C63">
        <v>2573</v>
      </c>
      <c r="D63">
        <v>42</v>
      </c>
    </row>
    <row r="64" spans="1:4" x14ac:dyDescent="0.3">
      <c r="A64" t="s">
        <v>340</v>
      </c>
      <c r="B64" t="s">
        <v>307</v>
      </c>
      <c r="C64">
        <v>2592</v>
      </c>
      <c r="D64">
        <v>2</v>
      </c>
    </row>
    <row r="65" spans="1:4" x14ac:dyDescent="0.3">
      <c r="A65" t="s">
        <v>341</v>
      </c>
      <c r="B65" t="s">
        <v>238</v>
      </c>
      <c r="C65">
        <v>2596</v>
      </c>
      <c r="D65">
        <v>66</v>
      </c>
    </row>
    <row r="66" spans="1:4" x14ac:dyDescent="0.3">
      <c r="A66" t="s">
        <v>340</v>
      </c>
      <c r="B66" t="s">
        <v>145</v>
      </c>
      <c r="C66">
        <v>2627</v>
      </c>
      <c r="D66">
        <v>21</v>
      </c>
    </row>
    <row r="67" spans="1:4" x14ac:dyDescent="0.3">
      <c r="A67" t="s">
        <v>342</v>
      </c>
      <c r="B67" t="s">
        <v>6</v>
      </c>
      <c r="C67">
        <v>2628</v>
      </c>
      <c r="D67">
        <v>83</v>
      </c>
    </row>
    <row r="68" spans="1:4" x14ac:dyDescent="0.3">
      <c r="A68" t="s">
        <v>342</v>
      </c>
      <c r="B68" t="s">
        <v>139</v>
      </c>
      <c r="C68">
        <v>2756</v>
      </c>
      <c r="D68">
        <v>69</v>
      </c>
    </row>
    <row r="69" spans="1:4" x14ac:dyDescent="0.3">
      <c r="A69" t="s">
        <v>341</v>
      </c>
      <c r="B69" t="s">
        <v>37</v>
      </c>
      <c r="C69">
        <v>2819</v>
      </c>
      <c r="D69">
        <v>7</v>
      </c>
    </row>
    <row r="70" spans="1:4" x14ac:dyDescent="0.3">
      <c r="A70" t="s">
        <v>342</v>
      </c>
      <c r="B70" t="s">
        <v>136</v>
      </c>
      <c r="C70">
        <v>2889</v>
      </c>
      <c r="D70">
        <v>29</v>
      </c>
    </row>
    <row r="71" spans="1:4" x14ac:dyDescent="0.3">
      <c r="A71" t="s">
        <v>340</v>
      </c>
      <c r="B71" t="s">
        <v>330</v>
      </c>
      <c r="C71">
        <v>2890</v>
      </c>
      <c r="D71">
        <v>72</v>
      </c>
    </row>
    <row r="72" spans="1:4" x14ac:dyDescent="0.3">
      <c r="A72" t="s">
        <v>341</v>
      </c>
      <c r="B72" t="s">
        <v>295</v>
      </c>
      <c r="C72">
        <v>2954</v>
      </c>
      <c r="D72">
        <v>73</v>
      </c>
    </row>
    <row r="73" spans="1:4" x14ac:dyDescent="0.3">
      <c r="A73" t="s">
        <v>340</v>
      </c>
      <c r="B73" t="s">
        <v>92</v>
      </c>
      <c r="C73">
        <v>2961</v>
      </c>
      <c r="D73">
        <v>30</v>
      </c>
    </row>
    <row r="74" spans="1:4" x14ac:dyDescent="0.3">
      <c r="A74" t="s">
        <v>343</v>
      </c>
      <c r="B74" t="s">
        <v>264</v>
      </c>
      <c r="C74">
        <v>2970</v>
      </c>
      <c r="D74">
        <v>53</v>
      </c>
    </row>
    <row r="75" spans="1:4" x14ac:dyDescent="0.3">
      <c r="A75" t="s">
        <v>342</v>
      </c>
      <c r="B75" t="s">
        <v>41</v>
      </c>
      <c r="C75">
        <v>3000</v>
      </c>
      <c r="D75">
        <v>54</v>
      </c>
    </row>
    <row r="76" spans="1:4" x14ac:dyDescent="0.3">
      <c r="A76" t="s">
        <v>341</v>
      </c>
      <c r="B76" t="s">
        <v>157</v>
      </c>
      <c r="C76">
        <v>3060</v>
      </c>
      <c r="D76">
        <v>93</v>
      </c>
    </row>
    <row r="77" spans="1:4" x14ac:dyDescent="0.3">
      <c r="A77" t="s">
        <v>343</v>
      </c>
      <c r="B77" t="s">
        <v>317</v>
      </c>
      <c r="C77">
        <v>3069</v>
      </c>
      <c r="D77">
        <v>47</v>
      </c>
    </row>
    <row r="78" spans="1:4" x14ac:dyDescent="0.3">
      <c r="A78" t="s">
        <v>341</v>
      </c>
      <c r="B78" t="s">
        <v>152</v>
      </c>
      <c r="C78">
        <v>3094</v>
      </c>
      <c r="D78">
        <v>17</v>
      </c>
    </row>
    <row r="79" spans="1:4" x14ac:dyDescent="0.3">
      <c r="A79" t="s">
        <v>341</v>
      </c>
      <c r="B79" t="s">
        <v>256</v>
      </c>
      <c r="C79">
        <v>3136</v>
      </c>
      <c r="D79">
        <v>68</v>
      </c>
    </row>
    <row r="80" spans="1:4" x14ac:dyDescent="0.3">
      <c r="A80" t="s">
        <v>342</v>
      </c>
      <c r="B80" t="s">
        <v>292</v>
      </c>
      <c r="C80">
        <v>3141</v>
      </c>
      <c r="D80">
        <v>57</v>
      </c>
    </row>
    <row r="81" spans="1:4" x14ac:dyDescent="0.3">
      <c r="A81" t="s">
        <v>340</v>
      </c>
      <c r="B81" t="s">
        <v>310</v>
      </c>
      <c r="C81">
        <v>3177</v>
      </c>
      <c r="D81">
        <v>13</v>
      </c>
    </row>
    <row r="82" spans="1:4" x14ac:dyDescent="0.3">
      <c r="A82" t="s">
        <v>343</v>
      </c>
      <c r="B82" t="s">
        <v>241</v>
      </c>
      <c r="C82">
        <v>3190</v>
      </c>
      <c r="D82">
        <v>60</v>
      </c>
    </row>
    <row r="83" spans="1:4" x14ac:dyDescent="0.3">
      <c r="A83" t="s">
        <v>341</v>
      </c>
      <c r="B83" t="s">
        <v>246</v>
      </c>
      <c r="C83">
        <v>3216</v>
      </c>
      <c r="D83">
        <v>43</v>
      </c>
    </row>
    <row r="84" spans="1:4" x14ac:dyDescent="0.3">
      <c r="A84" t="s">
        <v>343</v>
      </c>
      <c r="B84" t="s">
        <v>29</v>
      </c>
      <c r="C84">
        <v>3225</v>
      </c>
      <c r="D84">
        <v>41</v>
      </c>
    </row>
    <row r="85" spans="1:4" x14ac:dyDescent="0.3">
      <c r="A85" t="s">
        <v>341</v>
      </c>
      <c r="B85" t="s">
        <v>165</v>
      </c>
      <c r="C85">
        <v>3227</v>
      </c>
      <c r="D85">
        <v>72</v>
      </c>
    </row>
    <row r="86" spans="1:4" x14ac:dyDescent="0.3">
      <c r="A86" t="s">
        <v>341</v>
      </c>
      <c r="B86" t="s">
        <v>143</v>
      </c>
      <c r="C86">
        <v>3242</v>
      </c>
      <c r="D86">
        <v>14</v>
      </c>
    </row>
    <row r="87" spans="1:4" x14ac:dyDescent="0.3">
      <c r="A87" t="s">
        <v>340</v>
      </c>
      <c r="B87" t="s">
        <v>178</v>
      </c>
      <c r="C87">
        <v>3243</v>
      </c>
      <c r="D87">
        <v>20</v>
      </c>
    </row>
    <row r="88" spans="1:4" x14ac:dyDescent="0.3">
      <c r="A88" t="s">
        <v>342</v>
      </c>
      <c r="B88" t="s">
        <v>132</v>
      </c>
      <c r="C88">
        <v>3255</v>
      </c>
      <c r="D88">
        <v>50</v>
      </c>
    </row>
    <row r="89" spans="1:4" x14ac:dyDescent="0.3">
      <c r="A89" t="s">
        <v>341</v>
      </c>
      <c r="B89" t="s">
        <v>27</v>
      </c>
      <c r="C89">
        <v>3312</v>
      </c>
      <c r="D89">
        <v>68</v>
      </c>
    </row>
    <row r="90" spans="1:4" x14ac:dyDescent="0.3">
      <c r="A90" t="s">
        <v>342</v>
      </c>
      <c r="B90" t="s">
        <v>9</v>
      </c>
      <c r="C90">
        <v>3326</v>
      </c>
      <c r="D90">
        <v>95</v>
      </c>
    </row>
    <row r="91" spans="1:4" x14ac:dyDescent="0.3">
      <c r="A91" t="s">
        <v>343</v>
      </c>
      <c r="B91" t="s">
        <v>320</v>
      </c>
      <c r="C91">
        <v>3347</v>
      </c>
      <c r="D91">
        <v>86</v>
      </c>
    </row>
    <row r="92" spans="1:4" x14ac:dyDescent="0.3">
      <c r="A92" t="s">
        <v>343</v>
      </c>
      <c r="B92" t="s">
        <v>302</v>
      </c>
      <c r="C92">
        <v>3350</v>
      </c>
      <c r="D92">
        <v>44</v>
      </c>
    </row>
    <row r="93" spans="1:4" x14ac:dyDescent="0.3">
      <c r="A93" t="s">
        <v>343</v>
      </c>
      <c r="B93" t="s">
        <v>234</v>
      </c>
      <c r="C93">
        <v>3371</v>
      </c>
      <c r="D93">
        <v>34</v>
      </c>
    </row>
    <row r="94" spans="1:4" x14ac:dyDescent="0.3">
      <c r="A94" t="s">
        <v>343</v>
      </c>
      <c r="B94" t="s">
        <v>239</v>
      </c>
      <c r="C94">
        <v>3379</v>
      </c>
      <c r="D94">
        <v>26</v>
      </c>
    </row>
    <row r="95" spans="1:4" x14ac:dyDescent="0.3">
      <c r="A95" t="s">
        <v>342</v>
      </c>
      <c r="B95" t="s">
        <v>253</v>
      </c>
      <c r="C95">
        <v>3405</v>
      </c>
      <c r="D95">
        <v>17</v>
      </c>
    </row>
    <row r="96" spans="1:4" x14ac:dyDescent="0.3">
      <c r="A96" t="s">
        <v>342</v>
      </c>
      <c r="B96" t="s">
        <v>76</v>
      </c>
      <c r="C96">
        <v>3450</v>
      </c>
      <c r="D96">
        <v>45</v>
      </c>
    </row>
    <row r="97" spans="1:4" x14ac:dyDescent="0.3">
      <c r="A97" t="s">
        <v>341</v>
      </c>
      <c r="B97" t="s">
        <v>335</v>
      </c>
      <c r="C97">
        <v>3453</v>
      </c>
      <c r="D97">
        <v>78</v>
      </c>
    </row>
    <row r="98" spans="1:4" x14ac:dyDescent="0.3">
      <c r="A98" t="s">
        <v>342</v>
      </c>
      <c r="B98" t="s">
        <v>73</v>
      </c>
      <c r="C98">
        <v>3465</v>
      </c>
      <c r="D98">
        <v>14</v>
      </c>
    </row>
    <row r="99" spans="1:4" x14ac:dyDescent="0.3">
      <c r="A99" t="s">
        <v>341</v>
      </c>
      <c r="B99" t="s">
        <v>263</v>
      </c>
      <c r="C99">
        <v>3468</v>
      </c>
      <c r="D99">
        <v>23</v>
      </c>
    </row>
    <row r="100" spans="1:4" x14ac:dyDescent="0.3">
      <c r="A100" t="s">
        <v>343</v>
      </c>
      <c r="B100" t="s">
        <v>15</v>
      </c>
      <c r="C100">
        <v>3496</v>
      </c>
      <c r="D100">
        <v>25</v>
      </c>
    </row>
    <row r="101" spans="1:4" x14ac:dyDescent="0.3">
      <c r="A101" t="s">
        <v>341</v>
      </c>
      <c r="B101" t="s">
        <v>130</v>
      </c>
      <c r="C101">
        <v>3544</v>
      </c>
      <c r="D101">
        <v>99</v>
      </c>
    </row>
    <row r="102" spans="1:4" x14ac:dyDescent="0.3">
      <c r="A102" t="s">
        <v>342</v>
      </c>
      <c r="B102" t="s">
        <v>255</v>
      </c>
      <c r="C102">
        <v>3630</v>
      </c>
      <c r="D102">
        <v>72</v>
      </c>
    </row>
    <row r="103" spans="1:4" x14ac:dyDescent="0.3">
      <c r="A103" t="s">
        <v>342</v>
      </c>
      <c r="B103" t="s">
        <v>69</v>
      </c>
      <c r="C103">
        <v>3750</v>
      </c>
      <c r="D103">
        <v>30</v>
      </c>
    </row>
    <row r="104" spans="1:4" x14ac:dyDescent="0.3">
      <c r="A104" t="s">
        <v>341</v>
      </c>
      <c r="B104" t="s">
        <v>305</v>
      </c>
      <c r="C104">
        <v>3800</v>
      </c>
      <c r="D104">
        <v>61</v>
      </c>
    </row>
    <row r="105" spans="1:4" x14ac:dyDescent="0.3">
      <c r="A105" t="s">
        <v>341</v>
      </c>
      <c r="B105" t="s">
        <v>129</v>
      </c>
      <c r="C105">
        <v>3996</v>
      </c>
      <c r="D105">
        <v>17</v>
      </c>
    </row>
    <row r="106" spans="1:4" x14ac:dyDescent="0.3">
      <c r="A106" t="s">
        <v>343</v>
      </c>
      <c r="B106" t="s">
        <v>236</v>
      </c>
      <c r="C106">
        <v>4010</v>
      </c>
      <c r="D106">
        <v>27</v>
      </c>
    </row>
    <row r="107" spans="1:4" x14ac:dyDescent="0.3">
      <c r="A107" t="s">
        <v>340</v>
      </c>
      <c r="B107" t="s">
        <v>285</v>
      </c>
      <c r="C107">
        <v>4025</v>
      </c>
      <c r="D107">
        <v>42</v>
      </c>
    </row>
    <row r="108" spans="1:4" x14ac:dyDescent="0.3">
      <c r="A108" t="s">
        <v>341</v>
      </c>
      <c r="B108" t="s">
        <v>21</v>
      </c>
      <c r="C108">
        <v>4059</v>
      </c>
      <c r="D108">
        <v>83</v>
      </c>
    </row>
    <row r="109" spans="1:4" x14ac:dyDescent="0.3">
      <c r="A109" t="s">
        <v>343</v>
      </c>
      <c r="B109" t="s">
        <v>311</v>
      </c>
      <c r="C109">
        <v>4090</v>
      </c>
      <c r="D109">
        <v>70</v>
      </c>
    </row>
    <row r="110" spans="1:4" x14ac:dyDescent="0.3">
      <c r="A110" t="s">
        <v>341</v>
      </c>
      <c r="B110" t="s">
        <v>334</v>
      </c>
      <c r="C110">
        <v>4118</v>
      </c>
      <c r="D110">
        <v>82</v>
      </c>
    </row>
    <row r="111" spans="1:4" x14ac:dyDescent="0.3">
      <c r="A111" t="s">
        <v>342</v>
      </c>
      <c r="B111" t="s">
        <v>298</v>
      </c>
      <c r="C111">
        <v>4129</v>
      </c>
      <c r="D111">
        <v>7</v>
      </c>
    </row>
    <row r="112" spans="1:4" x14ac:dyDescent="0.3">
      <c r="A112" t="s">
        <v>341</v>
      </c>
      <c r="B112" t="s">
        <v>316</v>
      </c>
      <c r="C112">
        <v>4130</v>
      </c>
      <c r="D112">
        <v>33</v>
      </c>
    </row>
    <row r="113" spans="1:4" x14ac:dyDescent="0.3">
      <c r="A113" t="s">
        <v>343</v>
      </c>
      <c r="B113" t="s">
        <v>18</v>
      </c>
      <c r="C113">
        <v>4143</v>
      </c>
      <c r="D113">
        <v>42</v>
      </c>
    </row>
    <row r="114" spans="1:4" x14ac:dyDescent="0.3">
      <c r="A114" t="s">
        <v>342</v>
      </c>
      <c r="B114" t="s">
        <v>173</v>
      </c>
      <c r="C114">
        <v>4143</v>
      </c>
      <c r="D114">
        <v>58</v>
      </c>
    </row>
    <row r="115" spans="1:4" x14ac:dyDescent="0.3">
      <c r="A115" t="s">
        <v>342</v>
      </c>
      <c r="B115" t="s">
        <v>10</v>
      </c>
      <c r="C115">
        <v>4160</v>
      </c>
      <c r="D115">
        <v>66</v>
      </c>
    </row>
    <row r="116" spans="1:4" x14ac:dyDescent="0.3">
      <c r="A116" t="s">
        <v>341</v>
      </c>
      <c r="B116" t="s">
        <v>183</v>
      </c>
      <c r="C116">
        <v>4161</v>
      </c>
      <c r="D116">
        <v>66</v>
      </c>
    </row>
    <row r="117" spans="1:4" x14ac:dyDescent="0.3">
      <c r="A117" t="s">
        <v>343</v>
      </c>
      <c r="B117" t="s">
        <v>329</v>
      </c>
      <c r="C117">
        <v>4308</v>
      </c>
      <c r="D117">
        <v>28</v>
      </c>
    </row>
    <row r="118" spans="1:4" x14ac:dyDescent="0.3">
      <c r="A118" t="s">
        <v>340</v>
      </c>
      <c r="B118" t="s">
        <v>65</v>
      </c>
      <c r="C118">
        <v>4322</v>
      </c>
      <c r="D118">
        <v>80</v>
      </c>
    </row>
    <row r="119" spans="1:4" x14ac:dyDescent="0.3">
      <c r="A119" t="s">
        <v>342</v>
      </c>
      <c r="B119" t="s">
        <v>174</v>
      </c>
      <c r="C119">
        <v>4436</v>
      </c>
      <c r="D119">
        <v>12</v>
      </c>
    </row>
    <row r="120" spans="1:4" x14ac:dyDescent="0.3">
      <c r="A120" t="s">
        <v>340</v>
      </c>
      <c r="B120" t="s">
        <v>278</v>
      </c>
      <c r="C120">
        <v>4445</v>
      </c>
      <c r="D120">
        <v>87</v>
      </c>
    </row>
    <row r="121" spans="1:4" x14ac:dyDescent="0.3">
      <c r="A121" t="s">
        <v>342</v>
      </c>
      <c r="B121" t="s">
        <v>338</v>
      </c>
      <c r="C121">
        <v>4446</v>
      </c>
      <c r="D121">
        <v>23</v>
      </c>
    </row>
    <row r="122" spans="1:4" x14ac:dyDescent="0.3">
      <c r="A122" t="s">
        <v>341</v>
      </c>
      <c r="B122" t="s">
        <v>33</v>
      </c>
      <c r="C122">
        <v>4474</v>
      </c>
      <c r="D122">
        <v>74</v>
      </c>
    </row>
    <row r="123" spans="1:4" x14ac:dyDescent="0.3">
      <c r="A123" t="s">
        <v>342</v>
      </c>
      <c r="B123" t="s">
        <v>304</v>
      </c>
      <c r="C123">
        <v>4481</v>
      </c>
      <c r="D123">
        <v>19</v>
      </c>
    </row>
    <row r="124" spans="1:4" x14ac:dyDescent="0.3">
      <c r="A124" t="s">
        <v>343</v>
      </c>
      <c r="B124" t="s">
        <v>19</v>
      </c>
      <c r="C124">
        <v>4504</v>
      </c>
      <c r="D124">
        <v>33</v>
      </c>
    </row>
    <row r="125" spans="1:4" x14ac:dyDescent="0.3">
      <c r="A125" t="s">
        <v>343</v>
      </c>
      <c r="B125" t="s">
        <v>20</v>
      </c>
      <c r="C125">
        <v>4523</v>
      </c>
      <c r="D125">
        <v>71</v>
      </c>
    </row>
    <row r="126" spans="1:4" x14ac:dyDescent="0.3">
      <c r="A126" t="s">
        <v>341</v>
      </c>
      <c r="B126" t="s">
        <v>93</v>
      </c>
      <c r="C126">
        <v>4543</v>
      </c>
      <c r="D126">
        <v>51</v>
      </c>
    </row>
    <row r="127" spans="1:4" x14ac:dyDescent="0.3">
      <c r="A127" t="s">
        <v>342</v>
      </c>
      <c r="B127" t="s">
        <v>282</v>
      </c>
      <c r="C127">
        <v>4557</v>
      </c>
      <c r="D127">
        <v>49</v>
      </c>
    </row>
    <row r="128" spans="1:4" x14ac:dyDescent="0.3">
      <c r="A128" t="s">
        <v>340</v>
      </c>
      <c r="B128" t="s">
        <v>328</v>
      </c>
      <c r="C128">
        <v>4631</v>
      </c>
      <c r="D128">
        <v>31</v>
      </c>
    </row>
    <row r="129" spans="1:4" x14ac:dyDescent="0.3">
      <c r="A129" t="s">
        <v>343</v>
      </c>
      <c r="B129" t="s">
        <v>259</v>
      </c>
      <c r="C129">
        <v>4698</v>
      </c>
      <c r="D129">
        <v>94</v>
      </c>
    </row>
    <row r="130" spans="1:4" x14ac:dyDescent="0.3">
      <c r="A130" t="s">
        <v>342</v>
      </c>
      <c r="B130" t="s">
        <v>258</v>
      </c>
      <c r="C130">
        <v>4702</v>
      </c>
      <c r="D130">
        <v>89</v>
      </c>
    </row>
    <row r="131" spans="1:4" x14ac:dyDescent="0.3">
      <c r="A131" t="s">
        <v>340</v>
      </c>
      <c r="B131" t="s">
        <v>155</v>
      </c>
      <c r="C131">
        <v>4752</v>
      </c>
      <c r="D131">
        <v>45</v>
      </c>
    </row>
    <row r="132" spans="1:4" x14ac:dyDescent="0.3">
      <c r="A132" t="s">
        <v>342</v>
      </c>
      <c r="B132" t="s">
        <v>240</v>
      </c>
      <c r="C132">
        <v>4777</v>
      </c>
      <c r="D132">
        <v>44</v>
      </c>
    </row>
    <row r="133" spans="1:4" x14ac:dyDescent="0.3">
      <c r="A133" t="s">
        <v>341</v>
      </c>
      <c r="B133" t="s">
        <v>254</v>
      </c>
      <c r="C133">
        <v>4777</v>
      </c>
      <c r="D133">
        <v>95</v>
      </c>
    </row>
    <row r="134" spans="1:4" x14ac:dyDescent="0.3">
      <c r="A134" t="s">
        <v>341</v>
      </c>
      <c r="B134" t="s">
        <v>96</v>
      </c>
      <c r="C134">
        <v>4928</v>
      </c>
      <c r="D134">
        <v>27</v>
      </c>
    </row>
    <row r="135" spans="1:4" x14ac:dyDescent="0.3">
      <c r="A135" t="s">
        <v>343</v>
      </c>
      <c r="B135" t="s">
        <v>97</v>
      </c>
      <c r="C135">
        <v>4971</v>
      </c>
      <c r="D135">
        <v>32</v>
      </c>
    </row>
    <row r="136" spans="1:4" x14ac:dyDescent="0.3">
      <c r="A136" t="s">
        <v>340</v>
      </c>
      <c r="B136" t="s">
        <v>260</v>
      </c>
      <c r="C136">
        <v>4974</v>
      </c>
      <c r="D136">
        <v>58</v>
      </c>
    </row>
    <row r="137" spans="1:4" x14ac:dyDescent="0.3">
      <c r="A137" t="s">
        <v>340</v>
      </c>
      <c r="B137" t="s">
        <v>159</v>
      </c>
      <c r="C137">
        <v>5100</v>
      </c>
      <c r="D137">
        <v>29</v>
      </c>
    </row>
    <row r="138" spans="1:4" x14ac:dyDescent="0.3">
      <c r="A138" t="s">
        <v>340</v>
      </c>
      <c r="B138" t="s">
        <v>324</v>
      </c>
      <c r="C138">
        <v>5107</v>
      </c>
      <c r="D138">
        <v>26</v>
      </c>
    </row>
    <row r="139" spans="1:4" x14ac:dyDescent="0.3">
      <c r="A139" t="s">
        <v>341</v>
      </c>
      <c r="B139" t="s">
        <v>169</v>
      </c>
      <c r="C139">
        <v>5123</v>
      </c>
      <c r="D139">
        <v>67</v>
      </c>
    </row>
    <row r="140" spans="1:4" x14ac:dyDescent="0.3">
      <c r="A140" t="s">
        <v>341</v>
      </c>
      <c r="B140" t="s">
        <v>175</v>
      </c>
      <c r="C140">
        <v>5144</v>
      </c>
      <c r="D140">
        <v>82</v>
      </c>
    </row>
    <row r="141" spans="1:4" x14ac:dyDescent="0.3">
      <c r="A141" t="s">
        <v>343</v>
      </c>
      <c r="B141" t="s">
        <v>137</v>
      </c>
      <c r="C141">
        <v>5194</v>
      </c>
      <c r="D141">
        <v>90</v>
      </c>
    </row>
    <row r="142" spans="1:4" x14ac:dyDescent="0.3">
      <c r="A142" t="s">
        <v>340</v>
      </c>
      <c r="B142" t="s">
        <v>135</v>
      </c>
      <c r="C142">
        <v>5205</v>
      </c>
      <c r="D142">
        <v>95</v>
      </c>
    </row>
    <row r="143" spans="1:4" x14ac:dyDescent="0.3">
      <c r="A143" t="s">
        <v>342</v>
      </c>
      <c r="B143" t="s">
        <v>190</v>
      </c>
      <c r="C143">
        <v>5286</v>
      </c>
      <c r="D143">
        <v>42</v>
      </c>
    </row>
    <row r="144" spans="1:4" x14ac:dyDescent="0.3">
      <c r="A144" t="s">
        <v>342</v>
      </c>
      <c r="B144" t="s">
        <v>315</v>
      </c>
      <c r="C144">
        <v>5378</v>
      </c>
      <c r="D144">
        <v>83</v>
      </c>
    </row>
    <row r="145" spans="1:4" x14ac:dyDescent="0.3">
      <c r="A145" t="s">
        <v>342</v>
      </c>
      <c r="B145" t="s">
        <v>276</v>
      </c>
      <c r="C145">
        <v>5379</v>
      </c>
      <c r="D145">
        <v>34</v>
      </c>
    </row>
    <row r="146" spans="1:4" x14ac:dyDescent="0.3">
      <c r="A146" t="s">
        <v>340</v>
      </c>
      <c r="B146" t="s">
        <v>321</v>
      </c>
      <c r="C146">
        <v>5397</v>
      </c>
      <c r="D146">
        <v>53</v>
      </c>
    </row>
    <row r="147" spans="1:4" x14ac:dyDescent="0.3">
      <c r="A147" t="s">
        <v>341</v>
      </c>
      <c r="B147" t="s">
        <v>262</v>
      </c>
      <c r="C147">
        <v>5451</v>
      </c>
      <c r="D147">
        <v>49</v>
      </c>
    </row>
    <row r="148" spans="1:4" x14ac:dyDescent="0.3">
      <c r="A148" t="s">
        <v>340</v>
      </c>
      <c r="B148" t="s">
        <v>134</v>
      </c>
      <c r="C148">
        <v>5529</v>
      </c>
      <c r="D148">
        <v>48</v>
      </c>
    </row>
    <row r="149" spans="1:4" x14ac:dyDescent="0.3">
      <c r="A149" t="s">
        <v>343</v>
      </c>
      <c r="B149" t="s">
        <v>284</v>
      </c>
      <c r="C149">
        <v>5544</v>
      </c>
      <c r="D149">
        <v>25</v>
      </c>
    </row>
    <row r="150" spans="1:4" x14ac:dyDescent="0.3">
      <c r="A150" t="s">
        <v>342</v>
      </c>
      <c r="B150" t="s">
        <v>309</v>
      </c>
      <c r="C150">
        <v>5589</v>
      </c>
      <c r="D150">
        <v>44</v>
      </c>
    </row>
    <row r="151" spans="1:4" x14ac:dyDescent="0.3">
      <c r="A151" t="s">
        <v>341</v>
      </c>
      <c r="B151" t="s">
        <v>294</v>
      </c>
      <c r="C151">
        <v>5596</v>
      </c>
      <c r="D151">
        <v>54</v>
      </c>
    </row>
    <row r="152" spans="1:4" x14ac:dyDescent="0.3">
      <c r="A152" t="s">
        <v>340</v>
      </c>
      <c r="B152" t="s">
        <v>185</v>
      </c>
      <c r="C152">
        <v>5600</v>
      </c>
      <c r="D152">
        <v>93</v>
      </c>
    </row>
    <row r="153" spans="1:4" x14ac:dyDescent="0.3">
      <c r="A153" t="s">
        <v>341</v>
      </c>
      <c r="B153" t="s">
        <v>148</v>
      </c>
      <c r="C153">
        <v>5627</v>
      </c>
      <c r="D153">
        <v>50</v>
      </c>
    </row>
    <row r="154" spans="1:4" x14ac:dyDescent="0.3">
      <c r="A154" t="s">
        <v>341</v>
      </c>
      <c r="B154" t="s">
        <v>70</v>
      </c>
      <c r="C154">
        <v>5640</v>
      </c>
      <c r="D154">
        <v>44</v>
      </c>
    </row>
    <row r="155" spans="1:4" x14ac:dyDescent="0.3">
      <c r="A155" t="s">
        <v>341</v>
      </c>
      <c r="B155" t="s">
        <v>333</v>
      </c>
      <c r="C155">
        <v>5697</v>
      </c>
      <c r="D155">
        <v>90</v>
      </c>
    </row>
    <row r="156" spans="1:4" x14ac:dyDescent="0.3">
      <c r="A156" t="s">
        <v>340</v>
      </c>
      <c r="B156" t="s">
        <v>322</v>
      </c>
      <c r="C156">
        <v>5719</v>
      </c>
      <c r="D156">
        <v>68</v>
      </c>
    </row>
    <row r="157" spans="1:4" x14ac:dyDescent="0.3">
      <c r="A157" t="s">
        <v>343</v>
      </c>
      <c r="B157" t="s">
        <v>74</v>
      </c>
      <c r="C157">
        <v>5751</v>
      </c>
      <c r="D157">
        <v>90</v>
      </c>
    </row>
    <row r="158" spans="1:4" x14ac:dyDescent="0.3">
      <c r="A158" t="s">
        <v>341</v>
      </c>
      <c r="B158" t="s">
        <v>287</v>
      </c>
      <c r="C158">
        <v>5761</v>
      </c>
      <c r="D158">
        <v>23</v>
      </c>
    </row>
    <row r="159" spans="1:4" x14ac:dyDescent="0.3">
      <c r="A159" t="s">
        <v>343</v>
      </c>
      <c r="B159" t="s">
        <v>161</v>
      </c>
      <c r="C159">
        <v>5805</v>
      </c>
      <c r="D159">
        <v>3</v>
      </c>
    </row>
    <row r="160" spans="1:4" x14ac:dyDescent="0.3">
      <c r="A160" t="s">
        <v>342</v>
      </c>
      <c r="B160" t="s">
        <v>39</v>
      </c>
      <c r="C160">
        <v>5828</v>
      </c>
      <c r="D160">
        <v>11</v>
      </c>
    </row>
    <row r="161" spans="1:4" x14ac:dyDescent="0.3">
      <c r="A161" t="s">
        <v>343</v>
      </c>
      <c r="B161" t="s">
        <v>176</v>
      </c>
      <c r="C161">
        <v>5842</v>
      </c>
      <c r="D161">
        <v>61</v>
      </c>
    </row>
    <row r="162" spans="1:4" x14ac:dyDescent="0.3">
      <c r="A162" t="s">
        <v>341</v>
      </c>
      <c r="B162" t="s">
        <v>68</v>
      </c>
      <c r="C162">
        <v>5860</v>
      </c>
      <c r="D162">
        <v>25</v>
      </c>
    </row>
    <row r="163" spans="1:4" x14ac:dyDescent="0.3">
      <c r="A163" t="s">
        <v>340</v>
      </c>
      <c r="B163" t="s">
        <v>149</v>
      </c>
      <c r="C163">
        <v>5876</v>
      </c>
      <c r="D163">
        <v>35</v>
      </c>
    </row>
    <row r="164" spans="1:4" x14ac:dyDescent="0.3">
      <c r="A164" t="s">
        <v>342</v>
      </c>
      <c r="B164" t="s">
        <v>160</v>
      </c>
      <c r="C164">
        <v>5886</v>
      </c>
      <c r="D164">
        <v>79</v>
      </c>
    </row>
    <row r="165" spans="1:4" x14ac:dyDescent="0.3">
      <c r="A165" t="s">
        <v>340</v>
      </c>
      <c r="B165" t="s">
        <v>331</v>
      </c>
      <c r="C165">
        <v>5898</v>
      </c>
      <c r="D165">
        <v>74</v>
      </c>
    </row>
    <row r="166" spans="1:4" x14ac:dyDescent="0.3">
      <c r="A166" t="s">
        <v>340</v>
      </c>
      <c r="B166" t="s">
        <v>43</v>
      </c>
      <c r="C166">
        <v>5903</v>
      </c>
      <c r="D166">
        <v>88</v>
      </c>
    </row>
    <row r="167" spans="1:4" x14ac:dyDescent="0.3">
      <c r="A167" t="s">
        <v>342</v>
      </c>
      <c r="B167" t="s">
        <v>318</v>
      </c>
      <c r="C167">
        <v>5942</v>
      </c>
      <c r="D167">
        <v>65</v>
      </c>
    </row>
    <row r="168" spans="1:4" x14ac:dyDescent="0.3">
      <c r="A168" t="s">
        <v>340</v>
      </c>
      <c r="B168" t="s">
        <v>291</v>
      </c>
      <c r="C168">
        <v>5990</v>
      </c>
      <c r="D168">
        <v>62</v>
      </c>
    </row>
    <row r="169" spans="1:4" x14ac:dyDescent="0.3">
      <c r="A169" t="s">
        <v>341</v>
      </c>
      <c r="B169" t="s">
        <v>216</v>
      </c>
      <c r="C169">
        <v>5991</v>
      </c>
      <c r="D169">
        <v>100</v>
      </c>
    </row>
    <row r="170" spans="1:4" x14ac:dyDescent="0.3">
      <c r="A170" t="s">
        <v>343</v>
      </c>
      <c r="B170" t="s">
        <v>212</v>
      </c>
      <c r="C170">
        <v>6049</v>
      </c>
      <c r="D170">
        <v>42</v>
      </c>
    </row>
    <row r="171" spans="1:4" x14ac:dyDescent="0.3">
      <c r="A171" t="s">
        <v>340</v>
      </c>
      <c r="B171" t="s">
        <v>72</v>
      </c>
      <c r="C171">
        <v>6061</v>
      </c>
      <c r="D171">
        <v>77</v>
      </c>
    </row>
    <row r="172" spans="1:4" x14ac:dyDescent="0.3">
      <c r="A172" t="s">
        <v>343</v>
      </c>
      <c r="B172" t="s">
        <v>14</v>
      </c>
      <c r="C172">
        <v>6073</v>
      </c>
      <c r="D172">
        <v>99</v>
      </c>
    </row>
    <row r="173" spans="1:4" x14ac:dyDescent="0.3">
      <c r="A173" t="s">
        <v>340</v>
      </c>
      <c r="B173" t="s">
        <v>293</v>
      </c>
      <c r="C173">
        <v>6075</v>
      </c>
      <c r="D173">
        <v>54</v>
      </c>
    </row>
    <row r="174" spans="1:4" x14ac:dyDescent="0.3">
      <c r="A174" t="s">
        <v>342</v>
      </c>
      <c r="B174" t="s">
        <v>11</v>
      </c>
      <c r="C174">
        <v>6147</v>
      </c>
      <c r="D174">
        <v>4</v>
      </c>
    </row>
    <row r="175" spans="1:4" x14ac:dyDescent="0.3">
      <c r="A175" t="s">
        <v>341</v>
      </c>
      <c r="B175" t="s">
        <v>243</v>
      </c>
      <c r="C175">
        <v>6165</v>
      </c>
      <c r="D175">
        <v>26</v>
      </c>
    </row>
    <row r="176" spans="1:4" x14ac:dyDescent="0.3">
      <c r="A176" t="s">
        <v>342</v>
      </c>
      <c r="B176" t="s">
        <v>303</v>
      </c>
      <c r="C176">
        <v>6172</v>
      </c>
      <c r="D176">
        <v>27</v>
      </c>
    </row>
    <row r="177" spans="1:4" x14ac:dyDescent="0.3">
      <c r="A177" t="s">
        <v>341</v>
      </c>
      <c r="B177" t="s">
        <v>296</v>
      </c>
      <c r="C177">
        <v>6222</v>
      </c>
      <c r="D177">
        <v>26</v>
      </c>
    </row>
    <row r="178" spans="1:4" x14ac:dyDescent="0.3">
      <c r="A178" t="s">
        <v>343</v>
      </c>
      <c r="B178" t="s">
        <v>269</v>
      </c>
      <c r="C178">
        <v>6244</v>
      </c>
      <c r="D178">
        <v>22</v>
      </c>
    </row>
    <row r="179" spans="1:4" x14ac:dyDescent="0.3">
      <c r="A179" t="s">
        <v>341</v>
      </c>
      <c r="B179" t="s">
        <v>133</v>
      </c>
      <c r="C179">
        <v>6271</v>
      </c>
      <c r="D179">
        <v>93</v>
      </c>
    </row>
    <row r="180" spans="1:4" x14ac:dyDescent="0.3">
      <c r="A180" t="s">
        <v>340</v>
      </c>
      <c r="B180" t="s">
        <v>201</v>
      </c>
      <c r="C180">
        <v>6274</v>
      </c>
      <c r="D180">
        <v>73</v>
      </c>
    </row>
    <row r="181" spans="1:4" x14ac:dyDescent="0.3">
      <c r="A181" t="s">
        <v>343</v>
      </c>
      <c r="B181" t="s">
        <v>17</v>
      </c>
      <c r="C181">
        <v>6276</v>
      </c>
      <c r="D181">
        <v>20</v>
      </c>
    </row>
    <row r="182" spans="1:4" x14ac:dyDescent="0.3">
      <c r="A182" t="s">
        <v>340</v>
      </c>
      <c r="B182" t="s">
        <v>131</v>
      </c>
      <c r="C182">
        <v>6301</v>
      </c>
      <c r="D182">
        <v>95</v>
      </c>
    </row>
    <row r="183" spans="1:4" x14ac:dyDescent="0.3">
      <c r="A183" t="s">
        <v>343</v>
      </c>
      <c r="B183" t="s">
        <v>250</v>
      </c>
      <c r="C183">
        <v>6302</v>
      </c>
      <c r="D183">
        <v>25</v>
      </c>
    </row>
    <row r="184" spans="1:4" x14ac:dyDescent="0.3">
      <c r="A184" t="s">
        <v>340</v>
      </c>
      <c r="B184" t="s">
        <v>150</v>
      </c>
      <c r="C184">
        <v>6306</v>
      </c>
      <c r="D184">
        <v>80</v>
      </c>
    </row>
    <row r="185" spans="1:4" x14ac:dyDescent="0.3">
      <c r="A185" t="s">
        <v>340</v>
      </c>
      <c r="B185" t="s">
        <v>167</v>
      </c>
      <c r="C185">
        <v>6309</v>
      </c>
      <c r="D185">
        <v>66</v>
      </c>
    </row>
    <row r="186" spans="1:4" x14ac:dyDescent="0.3">
      <c r="A186" t="s">
        <v>341</v>
      </c>
      <c r="B186" t="s">
        <v>162</v>
      </c>
      <c r="C186">
        <v>6351</v>
      </c>
      <c r="D186">
        <v>19</v>
      </c>
    </row>
    <row r="187" spans="1:4" x14ac:dyDescent="0.3">
      <c r="A187" t="s">
        <v>340</v>
      </c>
      <c r="B187" t="s">
        <v>163</v>
      </c>
      <c r="C187">
        <v>6398</v>
      </c>
      <c r="D187">
        <v>81</v>
      </c>
    </row>
    <row r="188" spans="1:4" x14ac:dyDescent="0.3">
      <c r="A188" t="s">
        <v>340</v>
      </c>
      <c r="B188" t="s">
        <v>237</v>
      </c>
      <c r="C188">
        <v>6405</v>
      </c>
      <c r="D188">
        <v>7</v>
      </c>
    </row>
    <row r="189" spans="1:4" x14ac:dyDescent="0.3">
      <c r="A189" t="s">
        <v>341</v>
      </c>
      <c r="B189" t="s">
        <v>141</v>
      </c>
      <c r="C189">
        <v>6410</v>
      </c>
      <c r="D189">
        <v>47</v>
      </c>
    </row>
    <row r="190" spans="1:4" x14ac:dyDescent="0.3">
      <c r="A190" t="s">
        <v>341</v>
      </c>
      <c r="B190" t="s">
        <v>107</v>
      </c>
      <c r="C190">
        <v>6474</v>
      </c>
      <c r="D190">
        <v>86</v>
      </c>
    </row>
    <row r="191" spans="1:4" x14ac:dyDescent="0.3">
      <c r="A191" t="s">
        <v>341</v>
      </c>
      <c r="B191" t="s">
        <v>30</v>
      </c>
      <c r="C191">
        <v>6618</v>
      </c>
      <c r="D191">
        <v>70</v>
      </c>
    </row>
    <row r="192" spans="1:4" x14ac:dyDescent="0.3">
      <c r="A192" t="s">
        <v>340</v>
      </c>
      <c r="B192" t="s">
        <v>325</v>
      </c>
      <c r="C192">
        <v>6620</v>
      </c>
      <c r="D192">
        <v>66</v>
      </c>
    </row>
    <row r="193" spans="1:4" x14ac:dyDescent="0.3">
      <c r="A193" t="s">
        <v>343</v>
      </c>
      <c r="B193" t="s">
        <v>261</v>
      </c>
      <c r="C193">
        <v>6693</v>
      </c>
      <c r="D193">
        <v>90</v>
      </c>
    </row>
    <row r="194" spans="1:4" x14ac:dyDescent="0.3">
      <c r="A194" t="s">
        <v>341</v>
      </c>
      <c r="B194" t="s">
        <v>114</v>
      </c>
      <c r="C194">
        <v>6707</v>
      </c>
      <c r="D194">
        <v>84</v>
      </c>
    </row>
    <row r="195" spans="1:4" x14ac:dyDescent="0.3">
      <c r="A195" t="s">
        <v>342</v>
      </c>
      <c r="B195" t="s">
        <v>266</v>
      </c>
      <c r="C195">
        <v>6792</v>
      </c>
      <c r="D195">
        <v>1</v>
      </c>
    </row>
    <row r="196" spans="1:4" x14ac:dyDescent="0.3">
      <c r="A196" t="s">
        <v>343</v>
      </c>
      <c r="B196" t="s">
        <v>273</v>
      </c>
      <c r="C196">
        <v>6847</v>
      </c>
      <c r="D196">
        <v>35</v>
      </c>
    </row>
    <row r="197" spans="1:4" x14ac:dyDescent="0.3">
      <c r="A197" t="s">
        <v>341</v>
      </c>
      <c r="B197" t="s">
        <v>78</v>
      </c>
      <c r="C197">
        <v>6855</v>
      </c>
      <c r="D197">
        <v>94</v>
      </c>
    </row>
    <row r="198" spans="1:4" x14ac:dyDescent="0.3">
      <c r="A198" t="s">
        <v>343</v>
      </c>
      <c r="B198" t="s">
        <v>211</v>
      </c>
      <c r="C198">
        <v>6890</v>
      </c>
      <c r="D198">
        <v>98</v>
      </c>
    </row>
    <row r="199" spans="1:4" x14ac:dyDescent="0.3">
      <c r="A199" t="s">
        <v>341</v>
      </c>
      <c r="B199" t="s">
        <v>35</v>
      </c>
      <c r="C199">
        <v>6939</v>
      </c>
      <c r="D199">
        <v>77</v>
      </c>
    </row>
    <row r="200" spans="1:4" x14ac:dyDescent="0.3">
      <c r="A200" t="s">
        <v>341</v>
      </c>
      <c r="B200" t="s">
        <v>244</v>
      </c>
      <c r="C200">
        <v>7036</v>
      </c>
      <c r="D200">
        <v>25</v>
      </c>
    </row>
    <row r="201" spans="1:4" x14ac:dyDescent="0.3">
      <c r="A201" t="s">
        <v>342</v>
      </c>
      <c r="B201" t="s">
        <v>203</v>
      </c>
      <c r="C201">
        <v>7121</v>
      </c>
      <c r="D201">
        <v>42</v>
      </c>
    </row>
    <row r="202" spans="1:4" x14ac:dyDescent="0.3">
      <c r="A202" t="s">
        <v>342</v>
      </c>
      <c r="B202" t="s">
        <v>222</v>
      </c>
      <c r="C202">
        <v>7163</v>
      </c>
      <c r="D202">
        <v>59</v>
      </c>
    </row>
    <row r="203" spans="1:4" x14ac:dyDescent="0.3">
      <c r="A203" t="s">
        <v>341</v>
      </c>
      <c r="B203" t="s">
        <v>332</v>
      </c>
      <c r="C203">
        <v>7171</v>
      </c>
      <c r="D203">
        <v>12</v>
      </c>
    </row>
    <row r="204" spans="1:4" x14ac:dyDescent="0.3">
      <c r="A204" t="s">
        <v>340</v>
      </c>
      <c r="B204" t="s">
        <v>257</v>
      </c>
      <c r="C204">
        <v>7223</v>
      </c>
      <c r="D204">
        <v>10</v>
      </c>
    </row>
    <row r="205" spans="1:4" x14ac:dyDescent="0.3">
      <c r="A205" t="s">
        <v>342</v>
      </c>
      <c r="B205" t="s">
        <v>193</v>
      </c>
      <c r="C205">
        <v>7239</v>
      </c>
      <c r="D205">
        <v>93</v>
      </c>
    </row>
    <row r="206" spans="1:4" x14ac:dyDescent="0.3">
      <c r="A206" t="s">
        <v>340</v>
      </c>
      <c r="B206" t="s">
        <v>268</v>
      </c>
      <c r="C206">
        <v>7293</v>
      </c>
      <c r="D206">
        <v>51</v>
      </c>
    </row>
    <row r="207" spans="1:4" x14ac:dyDescent="0.3">
      <c r="A207" t="s">
        <v>340</v>
      </c>
      <c r="B207" t="s">
        <v>36</v>
      </c>
      <c r="C207">
        <v>7295</v>
      </c>
      <c r="D207">
        <v>87</v>
      </c>
    </row>
    <row r="208" spans="1:4" x14ac:dyDescent="0.3">
      <c r="A208" t="s">
        <v>340</v>
      </c>
      <c r="B208" t="s">
        <v>99</v>
      </c>
      <c r="C208">
        <v>7440</v>
      </c>
      <c r="D208">
        <v>45</v>
      </c>
    </row>
    <row r="209" spans="1:4" x14ac:dyDescent="0.3">
      <c r="A209" t="s">
        <v>342</v>
      </c>
      <c r="B209" t="s">
        <v>248</v>
      </c>
      <c r="C209">
        <v>7644</v>
      </c>
      <c r="D209">
        <v>48</v>
      </c>
    </row>
    <row r="210" spans="1:4" x14ac:dyDescent="0.3">
      <c r="A210" t="s">
        <v>340</v>
      </c>
      <c r="B210" t="s">
        <v>188</v>
      </c>
      <c r="C210">
        <v>7998</v>
      </c>
      <c r="D210">
        <v>73</v>
      </c>
    </row>
    <row r="211" spans="1:4" x14ac:dyDescent="0.3">
      <c r="A211" t="s">
        <v>340</v>
      </c>
      <c r="B211" t="s">
        <v>288</v>
      </c>
      <c r="C211">
        <v>8002</v>
      </c>
      <c r="D211">
        <v>97</v>
      </c>
    </row>
    <row r="212" spans="1:4" x14ac:dyDescent="0.3">
      <c r="A212" t="s">
        <v>340</v>
      </c>
      <c r="B212" t="s">
        <v>8</v>
      </c>
      <c r="C212">
        <v>8028</v>
      </c>
      <c r="D212">
        <v>19</v>
      </c>
    </row>
    <row r="213" spans="1:4" x14ac:dyDescent="0.3">
      <c r="A213" t="s">
        <v>341</v>
      </c>
      <c r="B213" t="s">
        <v>280</v>
      </c>
      <c r="C213">
        <v>8204</v>
      </c>
      <c r="D213">
        <v>59</v>
      </c>
    </row>
    <row r="214" spans="1:4" x14ac:dyDescent="0.3">
      <c r="A214" t="s">
        <v>342</v>
      </c>
      <c r="B214" t="s">
        <v>279</v>
      </c>
      <c r="C214">
        <v>8270</v>
      </c>
      <c r="D214">
        <v>84</v>
      </c>
    </row>
    <row r="215" spans="1:4" x14ac:dyDescent="0.3">
      <c r="A215" t="s">
        <v>340</v>
      </c>
      <c r="B215" t="s">
        <v>290</v>
      </c>
      <c r="C215">
        <v>8311</v>
      </c>
      <c r="D215">
        <v>60</v>
      </c>
    </row>
    <row r="216" spans="1:4" x14ac:dyDescent="0.3">
      <c r="A216" t="s">
        <v>342</v>
      </c>
      <c r="B216" t="s">
        <v>42</v>
      </c>
      <c r="C216">
        <v>8327</v>
      </c>
      <c r="D216">
        <v>18</v>
      </c>
    </row>
    <row r="217" spans="1:4" x14ac:dyDescent="0.3">
      <c r="A217" t="s">
        <v>341</v>
      </c>
      <c r="B217" t="s">
        <v>40</v>
      </c>
      <c r="C217">
        <v>8419</v>
      </c>
      <c r="D217">
        <v>16</v>
      </c>
    </row>
    <row r="218" spans="1:4" x14ac:dyDescent="0.3">
      <c r="A218" t="s">
        <v>340</v>
      </c>
      <c r="B218" t="s">
        <v>277</v>
      </c>
      <c r="C218">
        <v>8492</v>
      </c>
      <c r="D218">
        <v>1</v>
      </c>
    </row>
    <row r="219" spans="1:4" x14ac:dyDescent="0.3">
      <c r="A219" t="s">
        <v>342</v>
      </c>
      <c r="B219" t="s">
        <v>191</v>
      </c>
      <c r="C219">
        <v>8500</v>
      </c>
      <c r="D219">
        <v>35</v>
      </c>
    </row>
    <row r="220" spans="1:4" x14ac:dyDescent="0.3">
      <c r="A220" t="s">
        <v>343</v>
      </c>
      <c r="B220" t="s">
        <v>283</v>
      </c>
      <c r="C220">
        <v>8561</v>
      </c>
      <c r="D220">
        <v>45</v>
      </c>
    </row>
    <row r="221" spans="1:4" x14ac:dyDescent="0.3">
      <c r="A221" t="s">
        <v>341</v>
      </c>
      <c r="B221" t="s">
        <v>16</v>
      </c>
      <c r="C221">
        <v>8783</v>
      </c>
      <c r="D221">
        <v>22</v>
      </c>
    </row>
    <row r="222" spans="1:4" x14ac:dyDescent="0.3">
      <c r="A222" t="s">
        <v>340</v>
      </c>
      <c r="B222" t="s">
        <v>274</v>
      </c>
      <c r="C222">
        <v>8878</v>
      </c>
      <c r="D222">
        <v>38</v>
      </c>
    </row>
    <row r="223" spans="1:4" x14ac:dyDescent="0.3">
      <c r="A223" t="s">
        <v>342</v>
      </c>
      <c r="B223" t="s">
        <v>71</v>
      </c>
      <c r="C223">
        <v>8914</v>
      </c>
      <c r="D223">
        <v>26</v>
      </c>
    </row>
    <row r="224" spans="1:4" x14ac:dyDescent="0.3">
      <c r="A224" t="s">
        <v>342</v>
      </c>
      <c r="B224" t="s">
        <v>110</v>
      </c>
      <c r="C224">
        <v>9156</v>
      </c>
      <c r="D224">
        <v>59</v>
      </c>
    </row>
    <row r="225" spans="1:4" x14ac:dyDescent="0.3">
      <c r="A225" t="s">
        <v>340</v>
      </c>
      <c r="B225" t="s">
        <v>270</v>
      </c>
      <c r="C225">
        <v>9349</v>
      </c>
      <c r="D225">
        <v>58</v>
      </c>
    </row>
    <row r="226" spans="1:4" x14ac:dyDescent="0.3">
      <c r="A226" t="s">
        <v>343</v>
      </c>
      <c r="B226" t="s">
        <v>281</v>
      </c>
      <c r="C226">
        <v>9646</v>
      </c>
      <c r="D226">
        <v>19</v>
      </c>
    </row>
    <row r="227" spans="1:4" x14ac:dyDescent="0.3">
      <c r="A227" t="s">
        <v>341</v>
      </c>
      <c r="B227" t="s">
        <v>206</v>
      </c>
      <c r="C227">
        <v>10149</v>
      </c>
      <c r="D227">
        <v>8</v>
      </c>
    </row>
    <row r="228" spans="1:4" x14ac:dyDescent="0.3">
      <c r="A228" t="s">
        <v>340</v>
      </c>
      <c r="B228" t="s">
        <v>275</v>
      </c>
      <c r="C228">
        <v>10170</v>
      </c>
      <c r="D228">
        <v>80</v>
      </c>
    </row>
    <row r="229" spans="1:4" x14ac:dyDescent="0.3">
      <c r="A229" t="s">
        <v>343</v>
      </c>
      <c r="B229" t="s">
        <v>265</v>
      </c>
      <c r="C229">
        <v>10321</v>
      </c>
      <c r="D229">
        <v>59</v>
      </c>
    </row>
    <row r="230" spans="1:4" x14ac:dyDescent="0.3">
      <c r="A230" t="s">
        <v>340</v>
      </c>
      <c r="B230" t="s">
        <v>267</v>
      </c>
      <c r="C230">
        <v>10637</v>
      </c>
      <c r="D230">
        <v>54</v>
      </c>
    </row>
    <row r="231" spans="1:4" x14ac:dyDescent="0.3">
      <c r="A231" t="s">
        <v>342</v>
      </c>
      <c r="B231" t="s">
        <v>102</v>
      </c>
      <c r="C231">
        <v>10790</v>
      </c>
      <c r="D231">
        <v>51</v>
      </c>
    </row>
    <row r="232" spans="1:4" x14ac:dyDescent="0.3">
      <c r="A232" t="s">
        <v>341</v>
      </c>
      <c r="B232" t="s">
        <v>220</v>
      </c>
      <c r="C232">
        <v>10835</v>
      </c>
      <c r="D232">
        <v>92</v>
      </c>
    </row>
    <row r="233" spans="1:4" x14ac:dyDescent="0.3">
      <c r="A233" t="s">
        <v>343</v>
      </c>
      <c r="B233" t="s">
        <v>104</v>
      </c>
      <c r="C233">
        <v>11344</v>
      </c>
      <c r="D233">
        <v>71</v>
      </c>
    </row>
    <row r="234" spans="1:4" x14ac:dyDescent="0.3">
      <c r="A234" t="s">
        <v>343</v>
      </c>
      <c r="B234" t="s">
        <v>4</v>
      </c>
      <c r="C234">
        <v>11399</v>
      </c>
      <c r="D234">
        <v>47</v>
      </c>
    </row>
    <row r="235" spans="1:4" x14ac:dyDescent="0.3">
      <c r="A235" t="s">
        <v>340</v>
      </c>
      <c r="B235" t="s">
        <v>271</v>
      </c>
      <c r="C235">
        <v>11458</v>
      </c>
      <c r="D235">
        <v>75</v>
      </c>
    </row>
    <row r="236" spans="1:4" x14ac:dyDescent="0.3">
      <c r="A236" t="s">
        <v>343</v>
      </c>
      <c r="B236" t="s">
        <v>100</v>
      </c>
      <c r="C236">
        <v>11477</v>
      </c>
      <c r="D236">
        <v>94</v>
      </c>
    </row>
    <row r="237" spans="1:4" x14ac:dyDescent="0.3">
      <c r="A237" t="s">
        <v>343</v>
      </c>
      <c r="B237" t="s">
        <v>202</v>
      </c>
      <c r="C237">
        <v>11482</v>
      </c>
      <c r="D237">
        <v>18</v>
      </c>
    </row>
    <row r="238" spans="1:4" x14ac:dyDescent="0.3">
      <c r="A238" t="s">
        <v>342</v>
      </c>
      <c r="B238" t="s">
        <v>272</v>
      </c>
      <c r="C238">
        <v>11639</v>
      </c>
      <c r="D238">
        <v>32</v>
      </c>
    </row>
    <row r="239" spans="1:4" x14ac:dyDescent="0.3">
      <c r="A239" t="s">
        <v>341</v>
      </c>
      <c r="B239" t="s">
        <v>103</v>
      </c>
      <c r="C239">
        <v>11865</v>
      </c>
      <c r="D239">
        <v>97</v>
      </c>
    </row>
    <row r="240" spans="1:4" x14ac:dyDescent="0.3">
      <c r="A240" t="s">
        <v>340</v>
      </c>
      <c r="B240" t="s">
        <v>194</v>
      </c>
      <c r="C240">
        <v>11990</v>
      </c>
      <c r="D240">
        <v>46</v>
      </c>
    </row>
    <row r="241" spans="1:4" x14ac:dyDescent="0.3">
      <c r="A241" t="s">
        <v>340</v>
      </c>
      <c r="B241" t="s">
        <v>289</v>
      </c>
      <c r="C241">
        <v>12070</v>
      </c>
      <c r="D241">
        <v>70</v>
      </c>
    </row>
    <row r="242" spans="1:4" x14ac:dyDescent="0.3">
      <c r="A242" t="s">
        <v>342</v>
      </c>
      <c r="B242" t="s">
        <v>105</v>
      </c>
      <c r="C242">
        <v>12103</v>
      </c>
      <c r="D242">
        <v>83</v>
      </c>
    </row>
    <row r="243" spans="1:4" x14ac:dyDescent="0.3">
      <c r="A243" t="s">
        <v>343</v>
      </c>
      <c r="B243" t="s">
        <v>213</v>
      </c>
      <c r="C243">
        <v>12140</v>
      </c>
      <c r="D243">
        <v>41</v>
      </c>
    </row>
    <row r="244" spans="1:4" x14ac:dyDescent="0.3">
      <c r="A244" t="s">
        <v>340</v>
      </c>
      <c r="B244" t="s">
        <v>189</v>
      </c>
      <c r="C244">
        <v>12237</v>
      </c>
      <c r="D244">
        <v>22</v>
      </c>
    </row>
    <row r="245" spans="1:4" x14ac:dyDescent="0.3">
      <c r="A245" t="s">
        <v>343</v>
      </c>
      <c r="B245" t="s">
        <v>98</v>
      </c>
      <c r="C245">
        <v>12297</v>
      </c>
      <c r="D245">
        <v>69</v>
      </c>
    </row>
    <row r="246" spans="1:4" x14ac:dyDescent="0.3">
      <c r="A246" t="s">
        <v>342</v>
      </c>
      <c r="B246" t="s">
        <v>26</v>
      </c>
      <c r="C246">
        <v>12407</v>
      </c>
      <c r="D246">
        <v>23</v>
      </c>
    </row>
    <row r="247" spans="1:4" x14ac:dyDescent="0.3">
      <c r="A247" t="s">
        <v>342</v>
      </c>
      <c r="B247" t="s">
        <v>106</v>
      </c>
      <c r="C247">
        <v>12493</v>
      </c>
      <c r="D247">
        <v>55</v>
      </c>
    </row>
    <row r="248" spans="1:4" x14ac:dyDescent="0.3">
      <c r="A248" t="s">
        <v>342</v>
      </c>
      <c r="B248" t="s">
        <v>218</v>
      </c>
      <c r="C248">
        <v>13218</v>
      </c>
      <c r="D248">
        <v>12</v>
      </c>
    </row>
    <row r="249" spans="1:4" x14ac:dyDescent="0.3">
      <c r="A249" t="s">
        <v>340</v>
      </c>
      <c r="B249" t="s">
        <v>109</v>
      </c>
      <c r="C249">
        <v>13344</v>
      </c>
      <c r="D249">
        <v>84</v>
      </c>
    </row>
    <row r="250" spans="1:4" x14ac:dyDescent="0.3">
      <c r="A250" t="s">
        <v>342</v>
      </c>
      <c r="B250" t="s">
        <v>111</v>
      </c>
      <c r="C250">
        <v>13469</v>
      </c>
      <c r="D250">
        <v>1</v>
      </c>
    </row>
    <row r="251" spans="1:4" x14ac:dyDescent="0.3">
      <c r="A251" t="s">
        <v>340</v>
      </c>
      <c r="B251" t="s">
        <v>286</v>
      </c>
      <c r="C251">
        <v>13615</v>
      </c>
      <c r="D251">
        <v>19</v>
      </c>
    </row>
    <row r="252" spans="1:4" x14ac:dyDescent="0.3">
      <c r="A252" t="s">
        <v>342</v>
      </c>
      <c r="B252" t="s">
        <v>116</v>
      </c>
      <c r="C252">
        <v>14035</v>
      </c>
      <c r="D252">
        <v>29</v>
      </c>
    </row>
    <row r="253" spans="1:4" x14ac:dyDescent="0.3">
      <c r="A253" t="s">
        <v>341</v>
      </c>
      <c r="B253" t="s">
        <v>228</v>
      </c>
      <c r="C253">
        <v>14322</v>
      </c>
      <c r="D253">
        <v>52</v>
      </c>
    </row>
    <row r="254" spans="1:4" x14ac:dyDescent="0.3">
      <c r="A254" t="s">
        <v>340</v>
      </c>
      <c r="B254" t="s">
        <v>195</v>
      </c>
      <c r="C254">
        <v>14351</v>
      </c>
      <c r="D254">
        <v>68</v>
      </c>
    </row>
    <row r="255" spans="1:4" x14ac:dyDescent="0.3">
      <c r="A255" t="s">
        <v>343</v>
      </c>
      <c r="B255" t="s">
        <v>101</v>
      </c>
      <c r="C255">
        <v>14391</v>
      </c>
      <c r="D255">
        <v>74</v>
      </c>
    </row>
    <row r="256" spans="1:4" x14ac:dyDescent="0.3">
      <c r="A256" t="s">
        <v>341</v>
      </c>
      <c r="B256" t="s">
        <v>115</v>
      </c>
      <c r="C256">
        <v>14440</v>
      </c>
      <c r="D256">
        <v>61</v>
      </c>
    </row>
    <row r="257" spans="1:4" x14ac:dyDescent="0.3">
      <c r="A257" t="s">
        <v>343</v>
      </c>
      <c r="B257" t="s">
        <v>25</v>
      </c>
      <c r="C257">
        <v>14631</v>
      </c>
      <c r="D257">
        <v>8</v>
      </c>
    </row>
    <row r="258" spans="1:4" x14ac:dyDescent="0.3">
      <c r="A258" t="s">
        <v>343</v>
      </c>
      <c r="B258" t="s">
        <v>207</v>
      </c>
      <c r="C258">
        <v>14722</v>
      </c>
      <c r="D258">
        <v>20</v>
      </c>
    </row>
    <row r="259" spans="1:4" x14ac:dyDescent="0.3">
      <c r="A259" t="s">
        <v>343</v>
      </c>
      <c r="B259" t="s">
        <v>217</v>
      </c>
      <c r="C259">
        <v>14834</v>
      </c>
      <c r="D259">
        <v>47</v>
      </c>
    </row>
    <row r="260" spans="1:4" x14ac:dyDescent="0.3">
      <c r="A260" t="s">
        <v>343</v>
      </c>
      <c r="B260" t="s">
        <v>112</v>
      </c>
      <c r="C260">
        <v>16014</v>
      </c>
      <c r="D260">
        <v>23</v>
      </c>
    </row>
    <row r="261" spans="1:4" x14ac:dyDescent="0.3">
      <c r="A261" t="s">
        <v>343</v>
      </c>
      <c r="B261" t="s">
        <v>336</v>
      </c>
      <c r="C261">
        <v>16017</v>
      </c>
      <c r="D261">
        <v>29</v>
      </c>
    </row>
    <row r="262" spans="1:4" x14ac:dyDescent="0.3">
      <c r="A262" t="s">
        <v>342</v>
      </c>
      <c r="B262" t="s">
        <v>187</v>
      </c>
      <c r="C262">
        <v>16213</v>
      </c>
      <c r="D262">
        <v>43</v>
      </c>
    </row>
    <row r="263" spans="1:4" x14ac:dyDescent="0.3">
      <c r="A263" t="s">
        <v>342</v>
      </c>
      <c r="B263" t="s">
        <v>113</v>
      </c>
      <c r="C263">
        <v>16605</v>
      </c>
      <c r="D263">
        <v>13</v>
      </c>
    </row>
    <row r="264" spans="1:4" x14ac:dyDescent="0.3">
      <c r="A264" t="s">
        <v>343</v>
      </c>
      <c r="B264" t="s">
        <v>58</v>
      </c>
      <c r="C264">
        <v>16809</v>
      </c>
      <c r="D264">
        <v>25</v>
      </c>
    </row>
    <row r="265" spans="1:4" x14ac:dyDescent="0.3">
      <c r="A265" t="s">
        <v>341</v>
      </c>
      <c r="B265" t="s">
        <v>117</v>
      </c>
      <c r="C265">
        <v>17225</v>
      </c>
      <c r="D265">
        <v>69</v>
      </c>
    </row>
    <row r="266" spans="1:4" x14ac:dyDescent="0.3">
      <c r="A266" t="s">
        <v>343</v>
      </c>
      <c r="B266" t="s">
        <v>24</v>
      </c>
      <c r="C266">
        <v>17448</v>
      </c>
      <c r="D266">
        <v>88</v>
      </c>
    </row>
    <row r="267" spans="1:4" x14ac:dyDescent="0.3">
      <c r="A267" t="s">
        <v>343</v>
      </c>
      <c r="B267" t="s">
        <v>59</v>
      </c>
      <c r="C267">
        <v>17548</v>
      </c>
      <c r="D267">
        <v>29</v>
      </c>
    </row>
    <row r="268" spans="1:4" x14ac:dyDescent="0.3">
      <c r="A268" t="s">
        <v>341</v>
      </c>
      <c r="B268" t="s">
        <v>120</v>
      </c>
      <c r="C268">
        <v>18082</v>
      </c>
      <c r="D268">
        <v>49</v>
      </c>
    </row>
    <row r="269" spans="1:4" x14ac:dyDescent="0.3">
      <c r="A269" t="s">
        <v>342</v>
      </c>
      <c r="B269" t="s">
        <v>210</v>
      </c>
      <c r="C269">
        <v>18231</v>
      </c>
      <c r="D269">
        <v>50</v>
      </c>
    </row>
    <row r="270" spans="1:4" x14ac:dyDescent="0.3">
      <c r="A270" t="s">
        <v>343</v>
      </c>
      <c r="B270" t="s">
        <v>219</v>
      </c>
      <c r="C270">
        <v>18658</v>
      </c>
      <c r="D270">
        <v>48</v>
      </c>
    </row>
    <row r="271" spans="1:4" x14ac:dyDescent="0.3">
      <c r="A271" t="s">
        <v>342</v>
      </c>
      <c r="B271" t="s">
        <v>118</v>
      </c>
      <c r="C271">
        <v>18683</v>
      </c>
      <c r="D271">
        <v>99</v>
      </c>
    </row>
    <row r="272" spans="1:4" x14ac:dyDescent="0.3">
      <c r="A272" t="s">
        <v>342</v>
      </c>
      <c r="B272" t="s">
        <v>221</v>
      </c>
      <c r="C272">
        <v>19894</v>
      </c>
      <c r="D272">
        <v>81</v>
      </c>
    </row>
    <row r="273" spans="1:4" x14ac:dyDescent="0.3">
      <c r="A273" t="s">
        <v>341</v>
      </c>
      <c r="B273" t="s">
        <v>199</v>
      </c>
      <c r="C273">
        <v>20032</v>
      </c>
      <c r="D273">
        <v>48</v>
      </c>
    </row>
    <row r="274" spans="1:4" x14ac:dyDescent="0.3">
      <c r="A274" t="s">
        <v>343</v>
      </c>
      <c r="B274" t="s">
        <v>209</v>
      </c>
      <c r="C274">
        <v>20111</v>
      </c>
      <c r="D274">
        <v>100</v>
      </c>
    </row>
    <row r="275" spans="1:4" x14ac:dyDescent="0.3">
      <c r="A275" t="s">
        <v>340</v>
      </c>
      <c r="B275" t="s">
        <v>119</v>
      </c>
      <c r="C275">
        <v>20123</v>
      </c>
      <c r="D275">
        <v>30</v>
      </c>
    </row>
    <row r="276" spans="1:4" x14ac:dyDescent="0.3">
      <c r="A276" t="s">
        <v>341</v>
      </c>
      <c r="B276" t="s">
        <v>252</v>
      </c>
      <c r="C276">
        <v>20201</v>
      </c>
      <c r="D276">
        <v>34</v>
      </c>
    </row>
    <row r="277" spans="1:4" x14ac:dyDescent="0.3">
      <c r="A277" t="s">
        <v>343</v>
      </c>
      <c r="B277" t="s">
        <v>214</v>
      </c>
      <c r="C277">
        <v>20682</v>
      </c>
      <c r="D277">
        <v>58</v>
      </c>
    </row>
    <row r="278" spans="1:4" x14ac:dyDescent="0.3">
      <c r="A278" t="s">
        <v>343</v>
      </c>
      <c r="B278" t="s">
        <v>215</v>
      </c>
      <c r="C278">
        <v>20949</v>
      </c>
      <c r="D278">
        <v>53</v>
      </c>
    </row>
    <row r="279" spans="1:4" x14ac:dyDescent="0.3">
      <c r="A279" t="s">
        <v>341</v>
      </c>
      <c r="B279" t="s">
        <v>208</v>
      </c>
      <c r="C279">
        <v>20953</v>
      </c>
      <c r="D279">
        <v>59</v>
      </c>
    </row>
    <row r="280" spans="1:4" x14ac:dyDescent="0.3">
      <c r="A280" t="s">
        <v>341</v>
      </c>
      <c r="B280" t="s">
        <v>337</v>
      </c>
      <c r="C280">
        <v>21297</v>
      </c>
      <c r="D280">
        <v>100</v>
      </c>
    </row>
    <row r="281" spans="1:4" x14ac:dyDescent="0.3">
      <c r="A281" t="s">
        <v>342</v>
      </c>
      <c r="B281" t="s">
        <v>229</v>
      </c>
      <c r="C281">
        <v>21508</v>
      </c>
      <c r="D281">
        <v>90</v>
      </c>
    </row>
    <row r="282" spans="1:4" x14ac:dyDescent="0.3">
      <c r="A282" t="s">
        <v>342</v>
      </c>
      <c r="B282" t="s">
        <v>251</v>
      </c>
      <c r="C282">
        <v>21674</v>
      </c>
      <c r="D282">
        <v>27</v>
      </c>
    </row>
    <row r="283" spans="1:4" x14ac:dyDescent="0.3">
      <c r="A283" t="s">
        <v>343</v>
      </c>
      <c r="B283" t="s">
        <v>52</v>
      </c>
      <c r="C283">
        <v>21786</v>
      </c>
      <c r="D283">
        <v>84</v>
      </c>
    </row>
    <row r="284" spans="1:4" x14ac:dyDescent="0.3">
      <c r="A284" t="s">
        <v>341</v>
      </c>
      <c r="B284" t="s">
        <v>204</v>
      </c>
      <c r="C284">
        <v>22445</v>
      </c>
      <c r="D284">
        <v>82</v>
      </c>
    </row>
    <row r="285" spans="1:4" x14ac:dyDescent="0.3">
      <c r="A285" t="s">
        <v>343</v>
      </c>
      <c r="B285" t="s">
        <v>200</v>
      </c>
      <c r="C285">
        <v>23018</v>
      </c>
      <c r="D285">
        <v>75</v>
      </c>
    </row>
    <row r="286" spans="1:4" x14ac:dyDescent="0.3">
      <c r="A286" t="s">
        <v>340</v>
      </c>
      <c r="B286" t="s">
        <v>192</v>
      </c>
      <c r="C286">
        <v>23309</v>
      </c>
      <c r="D286">
        <v>82</v>
      </c>
    </row>
    <row r="287" spans="1:4" x14ac:dyDescent="0.3">
      <c r="A287" t="s">
        <v>341</v>
      </c>
      <c r="B287" t="s">
        <v>224</v>
      </c>
      <c r="C287">
        <v>23394</v>
      </c>
      <c r="D287">
        <v>30</v>
      </c>
    </row>
    <row r="288" spans="1:4" x14ac:dyDescent="0.3">
      <c r="A288" t="s">
        <v>341</v>
      </c>
      <c r="B288" t="s">
        <v>226</v>
      </c>
      <c r="C288">
        <v>23581</v>
      </c>
      <c r="D288">
        <v>3</v>
      </c>
    </row>
    <row r="289" spans="1:4" x14ac:dyDescent="0.3">
      <c r="A289" t="s">
        <v>341</v>
      </c>
      <c r="B289" t="s">
        <v>123</v>
      </c>
      <c r="C289">
        <v>23612</v>
      </c>
      <c r="D289">
        <v>78</v>
      </c>
    </row>
    <row r="290" spans="1:4" x14ac:dyDescent="0.3">
      <c r="A290" t="s">
        <v>340</v>
      </c>
      <c r="B290" t="s">
        <v>56</v>
      </c>
      <c r="C290">
        <v>23966</v>
      </c>
      <c r="D290">
        <v>100</v>
      </c>
    </row>
    <row r="291" spans="1:4" x14ac:dyDescent="0.3">
      <c r="A291" t="s">
        <v>343</v>
      </c>
      <c r="B291" t="s">
        <v>205</v>
      </c>
      <c r="C291">
        <v>24041</v>
      </c>
      <c r="D291">
        <v>61</v>
      </c>
    </row>
    <row r="292" spans="1:4" x14ac:dyDescent="0.3">
      <c r="A292" t="s">
        <v>342</v>
      </c>
      <c r="B292" t="s">
        <v>60</v>
      </c>
      <c r="C292">
        <v>24163</v>
      </c>
      <c r="D292">
        <v>36</v>
      </c>
    </row>
    <row r="293" spans="1:4" x14ac:dyDescent="0.3">
      <c r="A293" t="s">
        <v>342</v>
      </c>
      <c r="B293" t="s">
        <v>50</v>
      </c>
      <c r="C293">
        <v>25147</v>
      </c>
      <c r="D293">
        <v>67</v>
      </c>
    </row>
    <row r="294" spans="1:4" x14ac:dyDescent="0.3">
      <c r="A294" t="s">
        <v>343</v>
      </c>
      <c r="B294" t="s">
        <v>81</v>
      </c>
      <c r="C294">
        <v>25282</v>
      </c>
      <c r="D294">
        <v>11</v>
      </c>
    </row>
    <row r="295" spans="1:4" x14ac:dyDescent="0.3">
      <c r="A295" t="s">
        <v>341</v>
      </c>
      <c r="B295" t="s">
        <v>55</v>
      </c>
      <c r="C295">
        <v>25332</v>
      </c>
      <c r="D295">
        <v>53</v>
      </c>
    </row>
    <row r="296" spans="1:4" x14ac:dyDescent="0.3">
      <c r="A296" t="s">
        <v>343</v>
      </c>
      <c r="B296" t="s">
        <v>57</v>
      </c>
      <c r="C296">
        <v>25351</v>
      </c>
      <c r="D296">
        <v>35</v>
      </c>
    </row>
    <row r="297" spans="1:4" x14ac:dyDescent="0.3">
      <c r="A297" t="s">
        <v>342</v>
      </c>
      <c r="B297" t="s">
        <v>227</v>
      </c>
      <c r="C297">
        <v>25701</v>
      </c>
      <c r="D297">
        <v>36</v>
      </c>
    </row>
    <row r="298" spans="1:4" x14ac:dyDescent="0.3">
      <c r="A298" t="s">
        <v>340</v>
      </c>
      <c r="B298" t="s">
        <v>80</v>
      </c>
      <c r="C298">
        <v>26128</v>
      </c>
      <c r="D298">
        <v>92</v>
      </c>
    </row>
    <row r="299" spans="1:4" x14ac:dyDescent="0.3">
      <c r="A299" t="s">
        <v>342</v>
      </c>
      <c r="B299" t="s">
        <v>126</v>
      </c>
      <c r="C299">
        <v>26264</v>
      </c>
      <c r="D299">
        <v>97</v>
      </c>
    </row>
    <row r="300" spans="1:4" x14ac:dyDescent="0.3">
      <c r="A300" t="s">
        <v>343</v>
      </c>
      <c r="B300" t="s">
        <v>125</v>
      </c>
      <c r="C300">
        <v>27620</v>
      </c>
      <c r="D300">
        <v>85</v>
      </c>
    </row>
    <row r="301" spans="1:4" x14ac:dyDescent="0.3">
      <c r="A301" t="s">
        <v>340</v>
      </c>
      <c r="B301" t="s">
        <v>91</v>
      </c>
      <c r="C301">
        <v>28251</v>
      </c>
      <c r="D301">
        <v>96</v>
      </c>
    </row>
    <row r="302" spans="1:4" x14ac:dyDescent="0.3">
      <c r="A302" t="s">
        <v>343</v>
      </c>
      <c r="B302" t="s">
        <v>186</v>
      </c>
      <c r="C302">
        <v>28399</v>
      </c>
      <c r="D302">
        <v>97</v>
      </c>
    </row>
    <row r="303" spans="1:4" x14ac:dyDescent="0.3">
      <c r="A303" t="s">
        <v>340</v>
      </c>
      <c r="B303" t="s">
        <v>225</v>
      </c>
      <c r="C303">
        <v>28941</v>
      </c>
      <c r="D303">
        <v>91</v>
      </c>
    </row>
    <row r="304" spans="1:4" x14ac:dyDescent="0.3">
      <c r="A304" t="s">
        <v>340</v>
      </c>
      <c r="B304" t="s">
        <v>88</v>
      </c>
      <c r="C304">
        <v>28968</v>
      </c>
      <c r="D304">
        <v>64</v>
      </c>
    </row>
    <row r="305" spans="1:4" x14ac:dyDescent="0.3">
      <c r="A305" t="s">
        <v>340</v>
      </c>
      <c r="B305" t="s">
        <v>49</v>
      </c>
      <c r="C305">
        <v>29444</v>
      </c>
      <c r="D305">
        <v>2</v>
      </c>
    </row>
    <row r="306" spans="1:4" x14ac:dyDescent="0.3">
      <c r="A306" t="s">
        <v>341</v>
      </c>
      <c r="B306" t="s">
        <v>108</v>
      </c>
      <c r="C306">
        <v>29851</v>
      </c>
      <c r="D306">
        <v>62</v>
      </c>
    </row>
    <row r="307" spans="1:4" x14ac:dyDescent="0.3">
      <c r="A307" t="s">
        <v>342</v>
      </c>
      <c r="B307" t="s">
        <v>127</v>
      </c>
      <c r="C307">
        <v>31230</v>
      </c>
      <c r="D307">
        <v>61</v>
      </c>
    </row>
    <row r="308" spans="1:4" x14ac:dyDescent="0.3">
      <c r="A308" t="s">
        <v>343</v>
      </c>
      <c r="B308" t="s">
        <v>124</v>
      </c>
      <c r="C308">
        <v>31498</v>
      </c>
      <c r="D308">
        <v>48</v>
      </c>
    </row>
    <row r="309" spans="1:4" x14ac:dyDescent="0.3">
      <c r="A309" t="s">
        <v>342</v>
      </c>
      <c r="B309" t="s">
        <v>196</v>
      </c>
      <c r="C309">
        <v>31620</v>
      </c>
      <c r="D309">
        <v>1</v>
      </c>
    </row>
    <row r="310" spans="1:4" x14ac:dyDescent="0.3">
      <c r="A310" t="s">
        <v>342</v>
      </c>
      <c r="B310" t="s">
        <v>48</v>
      </c>
      <c r="C310">
        <v>32125</v>
      </c>
      <c r="D310">
        <v>8</v>
      </c>
    </row>
    <row r="311" spans="1:4" x14ac:dyDescent="0.3">
      <c r="A311" t="s">
        <v>340</v>
      </c>
      <c r="B311" t="s">
        <v>94</v>
      </c>
      <c r="C311">
        <v>32948</v>
      </c>
      <c r="D311">
        <v>44</v>
      </c>
    </row>
    <row r="312" spans="1:4" x14ac:dyDescent="0.3">
      <c r="A312" t="s">
        <v>343</v>
      </c>
      <c r="B312" t="s">
        <v>54</v>
      </c>
      <c r="C312">
        <v>32995</v>
      </c>
      <c r="D312">
        <v>48</v>
      </c>
    </row>
    <row r="313" spans="1:4" x14ac:dyDescent="0.3">
      <c r="A313" t="s">
        <v>340</v>
      </c>
      <c r="B313" t="s">
        <v>122</v>
      </c>
      <c r="C313">
        <v>33443</v>
      </c>
      <c r="D313">
        <v>98</v>
      </c>
    </row>
    <row r="314" spans="1:4" x14ac:dyDescent="0.3">
      <c r="A314" t="s">
        <v>340</v>
      </c>
      <c r="B314" t="s">
        <v>198</v>
      </c>
      <c r="C314">
        <v>33928</v>
      </c>
      <c r="D314">
        <v>24</v>
      </c>
    </row>
    <row r="315" spans="1:4" x14ac:dyDescent="0.3">
      <c r="A315" t="s">
        <v>341</v>
      </c>
      <c r="B315" t="s">
        <v>53</v>
      </c>
      <c r="C315">
        <v>34206</v>
      </c>
      <c r="D315">
        <v>17</v>
      </c>
    </row>
    <row r="316" spans="1:4" x14ac:dyDescent="0.3">
      <c r="A316" t="s">
        <v>340</v>
      </c>
      <c r="B316" t="s">
        <v>86</v>
      </c>
      <c r="C316">
        <v>34248</v>
      </c>
      <c r="D316">
        <v>22</v>
      </c>
    </row>
    <row r="317" spans="1:4" x14ac:dyDescent="0.3">
      <c r="A317" t="s">
        <v>340</v>
      </c>
      <c r="B317" t="s">
        <v>128</v>
      </c>
      <c r="C317">
        <v>34411</v>
      </c>
      <c r="D317">
        <v>8</v>
      </c>
    </row>
    <row r="318" spans="1:4" x14ac:dyDescent="0.3">
      <c r="A318" t="s">
        <v>341</v>
      </c>
      <c r="B318" t="s">
        <v>83</v>
      </c>
      <c r="C318">
        <v>34484</v>
      </c>
      <c r="D318">
        <v>9</v>
      </c>
    </row>
    <row r="319" spans="1:4" x14ac:dyDescent="0.3">
      <c r="A319" t="s">
        <v>343</v>
      </c>
      <c r="B319" t="s">
        <v>89</v>
      </c>
      <c r="C319">
        <v>34513</v>
      </c>
      <c r="D319">
        <v>43</v>
      </c>
    </row>
    <row r="320" spans="1:4" x14ac:dyDescent="0.3">
      <c r="A320" t="s">
        <v>343</v>
      </c>
      <c r="B320" t="s">
        <v>196</v>
      </c>
      <c r="C320">
        <v>35359</v>
      </c>
      <c r="D320">
        <v>87</v>
      </c>
    </row>
    <row r="321" spans="1:4" x14ac:dyDescent="0.3">
      <c r="A321" t="s">
        <v>343</v>
      </c>
      <c r="B321" t="s">
        <v>87</v>
      </c>
      <c r="C321">
        <v>36455</v>
      </c>
      <c r="D321">
        <v>83</v>
      </c>
    </row>
    <row r="322" spans="1:4" x14ac:dyDescent="0.3">
      <c r="A322" t="s">
        <v>343</v>
      </c>
      <c r="B322" t="s">
        <v>85</v>
      </c>
      <c r="C322">
        <v>36976</v>
      </c>
      <c r="D322">
        <v>67</v>
      </c>
    </row>
    <row r="323" spans="1:4" x14ac:dyDescent="0.3">
      <c r="A323" t="s">
        <v>341</v>
      </c>
      <c r="B323" t="s">
        <v>121</v>
      </c>
      <c r="C323">
        <v>37026</v>
      </c>
      <c r="D323">
        <v>62</v>
      </c>
    </row>
    <row r="324" spans="1:4" x14ac:dyDescent="0.3">
      <c r="A324" t="s">
        <v>341</v>
      </c>
      <c r="B324" t="s">
        <v>198</v>
      </c>
      <c r="C324">
        <v>37248</v>
      </c>
      <c r="D324">
        <v>61</v>
      </c>
    </row>
    <row r="325" spans="1:4" x14ac:dyDescent="0.3">
      <c r="A325" t="s">
        <v>341</v>
      </c>
      <c r="B325" t="s">
        <v>82</v>
      </c>
      <c r="C325">
        <v>38894</v>
      </c>
      <c r="D325">
        <v>61</v>
      </c>
    </row>
    <row r="326" spans="1:4" x14ac:dyDescent="0.3">
      <c r="A326" t="s">
        <v>341</v>
      </c>
      <c r="B326" t="s">
        <v>84</v>
      </c>
      <c r="C326">
        <v>39306</v>
      </c>
      <c r="D326">
        <v>97</v>
      </c>
    </row>
    <row r="327" spans="1:4" x14ac:dyDescent="0.3">
      <c r="A327" t="s">
        <v>341</v>
      </c>
      <c r="B327" t="s">
        <v>47</v>
      </c>
      <c r="C327">
        <v>41228</v>
      </c>
      <c r="D327">
        <v>99</v>
      </c>
    </row>
    <row r="328" spans="1:4" x14ac:dyDescent="0.3">
      <c r="A328" t="s">
        <v>341</v>
      </c>
      <c r="B328" t="s">
        <v>197</v>
      </c>
      <c r="C328">
        <v>43133</v>
      </c>
      <c r="D328">
        <v>13</v>
      </c>
    </row>
    <row r="329" spans="1:4" x14ac:dyDescent="0.3">
      <c r="A329" t="s">
        <v>343</v>
      </c>
      <c r="B329" t="s">
        <v>197</v>
      </c>
      <c r="C329">
        <v>45482</v>
      </c>
      <c r="D329">
        <v>83</v>
      </c>
    </row>
    <row r="330" spans="1:4" x14ac:dyDescent="0.3">
      <c r="A330" t="s">
        <v>343</v>
      </c>
      <c r="B330" t="s">
        <v>95</v>
      </c>
      <c r="C330">
        <v>46743</v>
      </c>
      <c r="D330">
        <v>88</v>
      </c>
    </row>
    <row r="331" spans="1:4" x14ac:dyDescent="0.3">
      <c r="A331" t="s">
        <v>342</v>
      </c>
      <c r="B331" t="s">
        <v>51</v>
      </c>
      <c r="C331">
        <v>49876</v>
      </c>
      <c r="D331">
        <v>21</v>
      </c>
    </row>
    <row r="332" spans="1:4" x14ac:dyDescent="0.3">
      <c r="A332" t="s">
        <v>340</v>
      </c>
      <c r="B332" t="s">
        <v>23</v>
      </c>
      <c r="C332">
        <v>69583</v>
      </c>
      <c r="D332">
        <v>47</v>
      </c>
    </row>
    <row r="333" spans="1:4" x14ac:dyDescent="0.3">
      <c r="A333" t="s">
        <v>341</v>
      </c>
      <c r="B333" t="s">
        <v>231</v>
      </c>
      <c r="C333">
        <v>70471</v>
      </c>
      <c r="D333">
        <v>20</v>
      </c>
    </row>
    <row r="334" spans="1:4" x14ac:dyDescent="0.3">
      <c r="A334" t="s">
        <v>343</v>
      </c>
      <c r="B334" t="s">
        <v>79</v>
      </c>
      <c r="C334">
        <v>80054</v>
      </c>
      <c r="D334">
        <v>58</v>
      </c>
    </row>
    <row r="335" spans="1:4" x14ac:dyDescent="0.3">
      <c r="A335" t="s">
        <v>341</v>
      </c>
      <c r="B335" t="s">
        <v>90</v>
      </c>
      <c r="C335">
        <v>86361</v>
      </c>
      <c r="D335">
        <v>70</v>
      </c>
    </row>
    <row r="336" spans="1:4" x14ac:dyDescent="0.3">
      <c r="A336" t="s">
        <v>340</v>
      </c>
      <c r="B336" t="s">
        <v>230</v>
      </c>
      <c r="C336">
        <v>100274</v>
      </c>
      <c r="D336">
        <v>84</v>
      </c>
    </row>
    <row r="337" spans="1:4" x14ac:dyDescent="0.3">
      <c r="A337" t="s">
        <v>341</v>
      </c>
      <c r="B337" t="s">
        <v>64</v>
      </c>
      <c r="C337">
        <v>107534</v>
      </c>
      <c r="D337">
        <v>55</v>
      </c>
    </row>
    <row r="338" spans="1:4" x14ac:dyDescent="0.3">
      <c r="A338" t="s">
        <v>343</v>
      </c>
      <c r="B338" t="s">
        <v>13</v>
      </c>
      <c r="C338">
        <v>110301</v>
      </c>
      <c r="D338">
        <v>23</v>
      </c>
    </row>
    <row r="339" spans="1:4" x14ac:dyDescent="0.3">
      <c r="A339" t="s">
        <v>341</v>
      </c>
      <c r="B339" t="s">
        <v>63</v>
      </c>
      <c r="C339">
        <v>140699</v>
      </c>
      <c r="D339">
        <v>68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A8DDF-86C3-4061-91E8-03951722711B}">
  <dimension ref="A3:D21"/>
  <sheetViews>
    <sheetView workbookViewId="0">
      <selection activeCell="B15" sqref="B15"/>
    </sheetView>
  </sheetViews>
  <sheetFormatPr defaultColWidth="8.77734375" defaultRowHeight="14.4" x14ac:dyDescent="0.3"/>
  <cols>
    <col min="1" max="1" width="21.44140625" customWidth="1"/>
    <col min="2" max="2" width="36.21875" bestFit="1" customWidth="1"/>
    <col min="4" max="4" width="17.109375" customWidth="1"/>
  </cols>
  <sheetData>
    <row r="3" spans="1:4" ht="28.8" x14ac:dyDescent="0.3">
      <c r="A3" s="2" t="s">
        <v>345</v>
      </c>
      <c r="B3" s="2" t="s">
        <v>367</v>
      </c>
      <c r="D3" s="1" t="s">
        <v>366</v>
      </c>
    </row>
    <row r="4" spans="1:4" x14ac:dyDescent="0.3">
      <c r="A4" t="s">
        <v>346</v>
      </c>
      <c r="B4" t="str">
        <f>IFERROR(IF(MATCH(A4,D:D,0),"Инвентаризация проведена"),"Инвентаризация не проведена")</f>
        <v>Инвентаризация не проведена</v>
      </c>
      <c r="D4" t="s">
        <v>347</v>
      </c>
    </row>
    <row r="5" spans="1:4" x14ac:dyDescent="0.3">
      <c r="A5" t="s">
        <v>347</v>
      </c>
      <c r="B5" t="str">
        <f t="shared" ref="B5:B21" si="0">IFERROR(IF(MATCH(A5,D:D,0),"Инвентаризация проведена"),"Инвентаризация не проведена")</f>
        <v>Инвентаризация проведена</v>
      </c>
      <c r="D5" t="s">
        <v>348</v>
      </c>
    </row>
    <row r="6" spans="1:4" x14ac:dyDescent="0.3">
      <c r="A6" t="s">
        <v>348</v>
      </c>
      <c r="B6" t="str">
        <f t="shared" si="0"/>
        <v>Инвентаризация проведена</v>
      </c>
      <c r="D6" t="s">
        <v>350</v>
      </c>
    </row>
    <row r="7" spans="1:4" x14ac:dyDescent="0.3">
      <c r="A7" t="s">
        <v>349</v>
      </c>
      <c r="B7" t="str">
        <f t="shared" si="0"/>
        <v>Инвентаризация не проведена</v>
      </c>
      <c r="D7" t="s">
        <v>351</v>
      </c>
    </row>
    <row r="8" spans="1:4" x14ac:dyDescent="0.3">
      <c r="A8" t="s">
        <v>350</v>
      </c>
      <c r="B8" t="str">
        <f t="shared" si="0"/>
        <v>Инвентаризация проведена</v>
      </c>
      <c r="D8" t="s">
        <v>352</v>
      </c>
    </row>
    <row r="9" spans="1:4" x14ac:dyDescent="0.3">
      <c r="A9" t="s">
        <v>351</v>
      </c>
      <c r="B9" t="str">
        <f t="shared" si="0"/>
        <v>Инвентаризация проведена</v>
      </c>
      <c r="D9" t="s">
        <v>354</v>
      </c>
    </row>
    <row r="10" spans="1:4" x14ac:dyDescent="0.3">
      <c r="A10" t="s">
        <v>352</v>
      </c>
      <c r="B10" t="str">
        <f t="shared" si="0"/>
        <v>Инвентаризация проведена</v>
      </c>
      <c r="D10" t="s">
        <v>355</v>
      </c>
    </row>
    <row r="11" spans="1:4" x14ac:dyDescent="0.3">
      <c r="A11" t="s">
        <v>353</v>
      </c>
      <c r="B11" t="str">
        <f t="shared" si="0"/>
        <v>Инвентаризация не проведена</v>
      </c>
      <c r="D11" t="s">
        <v>357</v>
      </c>
    </row>
    <row r="12" spans="1:4" x14ac:dyDescent="0.3">
      <c r="A12" t="s">
        <v>354</v>
      </c>
      <c r="B12" t="str">
        <f t="shared" si="0"/>
        <v>Инвентаризация проведена</v>
      </c>
      <c r="D12" t="s">
        <v>340</v>
      </c>
    </row>
    <row r="13" spans="1:4" x14ac:dyDescent="0.3">
      <c r="A13" t="s">
        <v>355</v>
      </c>
      <c r="B13" t="str">
        <f t="shared" si="0"/>
        <v>Инвентаризация проведена</v>
      </c>
      <c r="D13" t="s">
        <v>358</v>
      </c>
    </row>
    <row r="14" spans="1:4" x14ac:dyDescent="0.3">
      <c r="A14" t="s">
        <v>356</v>
      </c>
      <c r="B14" t="str">
        <f t="shared" si="0"/>
        <v>Инвентаризация не проведена</v>
      </c>
      <c r="D14" t="s">
        <v>360</v>
      </c>
    </row>
    <row r="15" spans="1:4" x14ac:dyDescent="0.3">
      <c r="A15" t="s">
        <v>357</v>
      </c>
      <c r="B15" t="str">
        <f t="shared" si="0"/>
        <v>Инвентаризация проведена</v>
      </c>
      <c r="D15" t="s">
        <v>362</v>
      </c>
    </row>
    <row r="16" spans="1:4" x14ac:dyDescent="0.3">
      <c r="A16" t="s">
        <v>340</v>
      </c>
      <c r="B16" t="str">
        <f t="shared" si="0"/>
        <v>Инвентаризация проведена</v>
      </c>
    </row>
    <row r="17" spans="1:2" x14ac:dyDescent="0.3">
      <c r="A17" t="s">
        <v>358</v>
      </c>
      <c r="B17" t="str">
        <f t="shared" si="0"/>
        <v>Инвентаризация проведена</v>
      </c>
    </row>
    <row r="18" spans="1:2" x14ac:dyDescent="0.3">
      <c r="A18" t="s">
        <v>359</v>
      </c>
      <c r="B18" t="str">
        <f t="shared" si="0"/>
        <v>Инвентаризация не проведена</v>
      </c>
    </row>
    <row r="19" spans="1:2" x14ac:dyDescent="0.3">
      <c r="A19" t="s">
        <v>360</v>
      </c>
      <c r="B19" t="str">
        <f t="shared" si="0"/>
        <v>Инвентаризация проведена</v>
      </c>
    </row>
    <row r="20" spans="1:2" x14ac:dyDescent="0.3">
      <c r="A20" t="s">
        <v>361</v>
      </c>
      <c r="B20" t="str">
        <f t="shared" si="0"/>
        <v>Инвентаризация не проведена</v>
      </c>
    </row>
    <row r="21" spans="1:2" x14ac:dyDescent="0.3">
      <c r="A21" t="s">
        <v>362</v>
      </c>
      <c r="B21" t="str">
        <f t="shared" si="0"/>
        <v>Инвентаризация проведена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65AF9-4550-4F3C-B44B-1494B95FDDCA}">
  <dimension ref="A1:E2"/>
  <sheetViews>
    <sheetView tabSelected="1" workbookViewId="0">
      <selection activeCell="D18" sqref="D18"/>
    </sheetView>
  </sheetViews>
  <sheetFormatPr defaultColWidth="8.77734375" defaultRowHeight="14.4" x14ac:dyDescent="0.3"/>
  <cols>
    <col min="5" max="5" width="10.5546875" bestFit="1" customWidth="1"/>
  </cols>
  <sheetData>
    <row r="1" spans="1:5" x14ac:dyDescent="0.3">
      <c r="A1" t="s">
        <v>368</v>
      </c>
      <c r="C1" t="s">
        <v>369</v>
      </c>
      <c r="E1" t="s">
        <v>370</v>
      </c>
    </row>
    <row r="2" spans="1:5" x14ac:dyDescent="0.3">
      <c r="A2" s="8" t="s">
        <v>363</v>
      </c>
      <c r="C2" s="8">
        <v>2010</v>
      </c>
      <c r="E2" s="8">
        <f>INDEX(Валюты!B2:D12,MATCH(C2,Валюты!A2:A12,0),MATCH(A2,Валюты!B1:D1,0))</f>
        <v>30</v>
      </c>
    </row>
  </sheetData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8D9075-8A28-475A-8DFB-EE84D5E3C27A}">
          <x14:formula1>
            <xm:f>Валюты!$A$1:$D$1</xm:f>
          </x14:formula1>
          <xm:sqref>A2</xm:sqref>
        </x14:dataValidation>
        <x14:dataValidation type="list" allowBlank="1" showInputMessage="1" showErrorMessage="1" xr:uid="{79B52BC8-EF4F-47AA-9415-0D873CDD200C}">
          <x14:formula1>
            <xm:f>Валюты!$A$1:$A$12</xm:f>
          </x14:formula1>
          <xm:sqref>C2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89CA7-287F-4341-916D-DF17785266EA}">
  <dimension ref="A1:D12"/>
  <sheetViews>
    <sheetView workbookViewId="0">
      <selection activeCell="E2" sqref="E2"/>
    </sheetView>
  </sheetViews>
  <sheetFormatPr defaultColWidth="8.77734375" defaultRowHeight="14.4" x14ac:dyDescent="0.3"/>
  <sheetData>
    <row r="1" spans="1:4" x14ac:dyDescent="0.3">
      <c r="B1" s="4" t="s">
        <v>363</v>
      </c>
      <c r="C1" s="4" t="s">
        <v>364</v>
      </c>
      <c r="D1" s="4" t="s">
        <v>365</v>
      </c>
    </row>
    <row r="2" spans="1:4" x14ac:dyDescent="0.3">
      <c r="A2" s="4">
        <v>2010</v>
      </c>
      <c r="B2" s="3">
        <v>30</v>
      </c>
      <c r="C2" s="3">
        <v>40</v>
      </c>
      <c r="D2" s="3">
        <v>47</v>
      </c>
    </row>
    <row r="3" spans="1:4" x14ac:dyDescent="0.3">
      <c r="A3" s="4">
        <v>2011</v>
      </c>
      <c r="B3" s="3">
        <v>29</v>
      </c>
      <c r="C3" s="3">
        <v>40</v>
      </c>
      <c r="D3" s="3">
        <v>47</v>
      </c>
    </row>
    <row r="4" spans="1:4" x14ac:dyDescent="0.3">
      <c r="A4" s="4">
        <v>2012</v>
      </c>
      <c r="B4" s="3">
        <v>31</v>
      </c>
      <c r="C4" s="3">
        <v>40</v>
      </c>
      <c r="D4" s="3">
        <v>49</v>
      </c>
    </row>
    <row r="5" spans="1:4" x14ac:dyDescent="0.3">
      <c r="A5" s="4">
        <v>2013</v>
      </c>
      <c r="B5" s="3">
        <v>32</v>
      </c>
      <c r="C5" s="3">
        <v>42</v>
      </c>
      <c r="D5" s="3">
        <v>50</v>
      </c>
    </row>
    <row r="6" spans="1:4" x14ac:dyDescent="0.3">
      <c r="A6" s="4">
        <v>2014</v>
      </c>
      <c r="B6" s="3">
        <v>38</v>
      </c>
      <c r="C6" s="3">
        <v>51</v>
      </c>
      <c r="D6" s="3">
        <v>63</v>
      </c>
    </row>
    <row r="7" spans="1:4" x14ac:dyDescent="0.3">
      <c r="A7" s="4">
        <v>2015</v>
      </c>
      <c r="B7" s="3">
        <v>61</v>
      </c>
      <c r="C7" s="3">
        <v>68</v>
      </c>
      <c r="D7" s="3">
        <v>94</v>
      </c>
    </row>
    <row r="8" spans="1:4" x14ac:dyDescent="0.3">
      <c r="A8" s="4">
        <v>2016</v>
      </c>
      <c r="B8" s="3">
        <v>67</v>
      </c>
      <c r="C8" s="3">
        <v>74</v>
      </c>
      <c r="D8" s="3">
        <v>91</v>
      </c>
    </row>
    <row r="9" spans="1:4" x14ac:dyDescent="0.3">
      <c r="A9" s="4">
        <v>2017</v>
      </c>
      <c r="B9" s="3">
        <v>58</v>
      </c>
      <c r="C9" s="3">
        <v>66</v>
      </c>
      <c r="D9" s="3">
        <v>75</v>
      </c>
    </row>
    <row r="10" spans="1:4" x14ac:dyDescent="0.3">
      <c r="A10" s="4">
        <v>2018</v>
      </c>
      <c r="B10" s="3">
        <v>63</v>
      </c>
      <c r="C10" s="3">
        <v>74</v>
      </c>
      <c r="D10" s="3">
        <v>84</v>
      </c>
    </row>
    <row r="11" spans="1:4" x14ac:dyDescent="0.3">
      <c r="A11" s="4">
        <v>2019</v>
      </c>
      <c r="B11" s="3">
        <v>64</v>
      </c>
      <c r="C11" s="3">
        <v>72</v>
      </c>
      <c r="D11" s="3">
        <v>83</v>
      </c>
    </row>
    <row r="12" spans="1:4" x14ac:dyDescent="0.3">
      <c r="A12" s="4">
        <v>2020</v>
      </c>
      <c r="B12" s="3">
        <v>72</v>
      </c>
      <c r="C12" s="3">
        <v>82</v>
      </c>
      <c r="D12" s="3">
        <v>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42A6449-8F64-4376-BD67-7D99707FC3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Задание 1</vt:lpstr>
      <vt:lpstr>Прайс-лист</vt:lpstr>
      <vt:lpstr>Задание 2</vt:lpstr>
      <vt:lpstr>Задание 3</vt:lpstr>
      <vt:lpstr>Валюты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Ренат Шагабутдинов</dc:creator>
  <cp:lastModifiedBy>Sergey Vilkov</cp:lastModifiedBy>
  <dcterms:created xsi:type="dcterms:W3CDTF">2015-06-05T18:17:20Z</dcterms:created>
  <dcterms:modified xsi:type="dcterms:W3CDTF">2023-12-15T15:23:04Z</dcterms:modified>
</cp:coreProperties>
</file>