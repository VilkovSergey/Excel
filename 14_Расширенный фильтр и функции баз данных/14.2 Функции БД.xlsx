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14\"/>
    </mc:Choice>
  </mc:AlternateContent>
  <xr:revisionPtr revIDLastSave="0" documentId="13_ncr:1_{32025A35-9F32-43A5-B644-743A055C2D8F}" xr6:coauthVersionLast="45" xr6:coauthVersionMax="45" xr10:uidLastSave="{00000000-0000-0000-0000-000000000000}"/>
  <bookViews>
    <workbookView xWindow="-96" yWindow="-96" windowWidth="23232" windowHeight="13152" activeTab="1" xr2:uid="{00000000-000D-0000-FFFF-FFFF00000000}"/>
  </bookViews>
  <sheets>
    <sheet name="Функции БД" sheetId="1" r:id="rId1"/>
    <sheet name="Филиал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2" l="1"/>
  <c r="H5" i="2"/>
  <c r="K24" i="1"/>
  <c r="K23" i="1"/>
  <c r="J24" i="1"/>
  <c r="J23" i="1"/>
  <c r="J26" i="1"/>
  <c r="J17" i="1"/>
  <c r="J9" i="1"/>
  <c r="A119" i="1" l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<sst xmlns="http://schemas.openxmlformats.org/spreadsheetml/2006/main" count="1286" uniqueCount="523">
  <si>
    <t>Номер недели</t>
  </si>
  <si>
    <t>Название</t>
  </si>
  <si>
    <t>Канал</t>
  </si>
  <si>
    <t>Дата</t>
  </si>
  <si>
    <t>Показы</t>
  </si>
  <si>
    <t>Клики</t>
  </si>
  <si>
    <t>Стоимость</t>
  </si>
  <si>
    <t>ЯД Поиск</t>
  </si>
  <si>
    <t>Яндекс Директ</t>
  </si>
  <si>
    <t>Средние клики по 3 каналам</t>
  </si>
  <si>
    <t>Google Adwords</t>
  </si>
  <si>
    <t>VK</t>
  </si>
  <si>
    <t>Суммарная стоимость по Facebook в целом и только по GA Поиску канала Google Adwords</t>
  </si>
  <si>
    <t>Facebook</t>
  </si>
  <si>
    <t>GA Поиск</t>
  </si>
  <si>
    <t>БДСУММ/DSUM</t>
  </si>
  <si>
    <t>ЯД Ретаргет</t>
  </si>
  <si>
    <t>Количество строк с числом показов более 10 000 и числом кликов более 50. В столбце "Название" встречается ЯД или GA</t>
  </si>
  <si>
    <t>БСЧЁТ/DCOUNT</t>
  </si>
  <si>
    <t>ЯД РСЯ</t>
  </si>
  <si>
    <t>FB Интересы</t>
  </si>
  <si>
    <t>FB Интересы Look Alike</t>
  </si>
  <si>
    <t>GA Ретаргетинг</t>
  </si>
  <si>
    <t>VK  Интересы</t>
  </si>
  <si>
    <t>Филиал</t>
  </si>
  <si>
    <t>Товар</t>
  </si>
  <si>
    <t>Остаток, шт.</t>
  </si>
  <si>
    <t>XJ6672139</t>
  </si>
  <si>
    <t>Lenovo ThinkPad Edge E590 (20NB002ART)</t>
  </si>
  <si>
    <t>VH9675161</t>
  </si>
  <si>
    <t>Lenovo ThinkPad T580 (20L90023RT)</t>
  </si>
  <si>
    <t>KU3352318</t>
  </si>
  <si>
    <t>Lenovo IdeaPad 330-15 (81D1003PRU)</t>
  </si>
  <si>
    <t>Сумма остатков по указанным филиалам</t>
  </si>
  <si>
    <t>ZJ4429137</t>
  </si>
  <si>
    <t>Телевизор LG 55 LED, UHD, IPS, Smart TV (webOS 3.5) Звук (20 Вт (2x10 Вт)), 
3xHDMI, 2xUSB, Черный, 55UK6300PLB</t>
  </si>
  <si>
    <t>AL1781745</t>
  </si>
  <si>
    <t>UK9677216</t>
  </si>
  <si>
    <t>Смартфон Xiaomi Mi 8 DS 6,21(2248x1080)LTE Cam (12d/20) SDM845 2.8ГГц(8) 
(6/128)Гб A8.1 3400мАч Белый X19964</t>
  </si>
  <si>
    <t>EW4171466</t>
  </si>
  <si>
    <t>Acer Swift SF515-51T-773Q (NX.H69ER.005)</t>
  </si>
  <si>
    <t>IS1853225</t>
  </si>
  <si>
    <t>ASUS ROG SCAR Edition GL703GM-EE225 (90NR00G1-M04520)</t>
  </si>
  <si>
    <t>ID4219632</t>
  </si>
  <si>
    <t>HP Probook 470 G5 (2UB73EA)</t>
  </si>
  <si>
    <t>UD8947688</t>
  </si>
  <si>
    <t>Prestigio SmartBook 141 C2 (PSB141C02ZFH_BK_CIS)</t>
  </si>
  <si>
    <t>Acer Swift SF314-55-53M4 (NX.H5WER.002)</t>
  </si>
  <si>
    <t>FP1648642</t>
  </si>
  <si>
    <t>LN8816334</t>
  </si>
  <si>
    <t>Acer Swift SF314-56G-53PN (NX.H4XER.003)</t>
  </si>
  <si>
    <t>SX6969592</t>
  </si>
  <si>
    <t>VP1524254</t>
  </si>
  <si>
    <t>Смартфон Apple iPhone 8 Plus 64Gb Gold Золотистый MQ8N2RU/A</t>
  </si>
  <si>
    <t>ZF7832271</t>
  </si>
  <si>
    <t>SB7471212</t>
  </si>
  <si>
    <t>ASUS ROG SCAR II Edition GL704GM-EV006T (90NR00N1-M00080)</t>
  </si>
  <si>
    <t>RJ6889777</t>
  </si>
  <si>
    <t>ASUS ROG ZEPHYRUS S GX531GM-ES021T (90NR0101-M00470)</t>
  </si>
  <si>
    <t>UV1863623</t>
  </si>
  <si>
    <t>FZ6531168</t>
  </si>
  <si>
    <t>HP 17-by0038ur (4KH02EA)</t>
  </si>
  <si>
    <t>CP7419264</t>
  </si>
  <si>
    <t>HP 15-da0062ur (4JR13EA)</t>
  </si>
  <si>
    <t>KG1133597</t>
  </si>
  <si>
    <t>Acer Swift SF514-53T-7852 (NX.H7KER.007)</t>
  </si>
  <si>
    <t>KT5319551</t>
  </si>
  <si>
    <t>HP 15-da0033ur (4GL91EA)</t>
  </si>
  <si>
    <t>Телевизор LG 55 55LV640S LED, Full HD, Smart TV (webOS 3.0), Черный</t>
  </si>
  <si>
    <t>LP3148297</t>
  </si>
  <si>
    <t>Lenovo V330-15 (81AX00QBRU)</t>
  </si>
  <si>
    <t>ASUS Zenbook Flip RX562FD-EZ068R (90NB0JS1-M01100)</t>
  </si>
  <si>
    <t>ZK8267154</t>
  </si>
  <si>
    <t>Acer Swift SF314-56-77Y6 (NX.H4JER.006)</t>
  </si>
  <si>
    <t>MM1629935</t>
  </si>
  <si>
    <t>Acer Nitro 5 AN515-42-R0HW (NH.Q3RER.006)</t>
  </si>
  <si>
    <t>Dell Alienware 15 M15 (M15-5591)</t>
  </si>
  <si>
    <t>Dell Vostro 3578 (3578-5987)</t>
  </si>
  <si>
    <t>RH7469897</t>
  </si>
  <si>
    <t>ASUS ROG SCAR II Edition GL704GW-EV021T (90NR00M1-M01540)</t>
  </si>
  <si>
    <t>BR9326486</t>
  </si>
  <si>
    <t>Lenovo IdeaPad 330-17 (81DM0095RU)</t>
  </si>
  <si>
    <t>HP 15-db0096ur (4KC91EA)</t>
  </si>
  <si>
    <t>Acer Aspire 3 A315-51-51JF (NX.GNPER.049)</t>
  </si>
  <si>
    <t>NB2471813</t>
  </si>
  <si>
    <t>HP Envy x360 13-ag0004ur (4GQ74EA)</t>
  </si>
  <si>
    <t>HP 17-by0002ur (4JS65EA)</t>
  </si>
  <si>
    <t>Смартфон Apple iPhone 6s 128Gb Space Gray Серый космос MKQT2RU/A</t>
  </si>
  <si>
    <t>Смартфон Samsung Galaxy S9 SM-G960FZ 5,8 DS (2960х1440) LTE Cam (12/8) 
Exynos 9810 2,7ГГц(4)+1,8ГГц(4) (4/64)Гб A8.0 3000мАч Серый(Титан) 
SM-G960FZADS</t>
  </si>
  <si>
    <t>Планшет Apple iPad Mini 4 128Gb Wi-Fi, Silver Серебристый MK9P2RU/A</t>
  </si>
  <si>
    <t>Dell Latitude 5590 (5590-1580)</t>
  </si>
  <si>
    <t>Lenovo ThinkPad X280 (20KF001QRT)</t>
  </si>
  <si>
    <t>Смартфон Sony Xperia L1 Dual 5,5(1280x720)IPS LTE Cam(13/5) MT6737T 
1.45ГГц(4) (2/16)Гб microSD до 256Гб A7.0 2620мАч Черный G3312 Black 
1308-0785</t>
  </si>
  <si>
    <t>Смартфон Apple iPhone 6s 128Gb Silver Серебристый MKQU2RU/A</t>
  </si>
  <si>
    <t>HP Envy x360 13-ag0003ur (4GQ75EA)</t>
  </si>
  <si>
    <t>HP Omen 15-ce022ur (2FP26EA)</t>
  </si>
  <si>
    <t>VK4948826</t>
  </si>
  <si>
    <t>Lenovo Yoga 530-14 (81EK008VRU)</t>
  </si>
  <si>
    <t>ASUS Zenbook Flip UX362FA-EL215T (90NB0JC1-M03330)</t>
  </si>
  <si>
    <t>HP ProBook 440 G5 (2RS37EA)</t>
  </si>
  <si>
    <t>Acer Extensa EX2519-C08K (NX.EFAER.050)</t>
  </si>
  <si>
    <t>Acer Predator Helios 500 PH517-61-R9MZ (NH.Q3GER.009)</t>
  </si>
  <si>
    <t>HP Pavilion x360 14-cd1003ur (5CR28EA)</t>
  </si>
  <si>
    <t>Смартфон Huawei Y6 Prime 2018 DS 5,7(1440х720)IPS LTE Cam(13/5) MSM8917 
1.4ГГц(4) (2/16)Гб microSD до 256Гб A8.0 3000мАч Синий 51092KQE</t>
  </si>
  <si>
    <t>Смартфон Xiaomi Redmi 6 Note Pro DS 6.26(2280x1080)IPS LTE Cam (12+5/20+2) 
SDM636 1.8ГГц(8) (4/64)Гб microSD до 256Гб A8.1 4000мАч Синий X20338</t>
  </si>
  <si>
    <t>Смартфон OnePlus 6 DS 6,28(2280х1080) LTE Cam (16+20d/16) SDM845 2,8ГГц(8) 
(6/64)Гб A8.1 3300мАч Mirror Black Зеркальный Черный 5011100385</t>
  </si>
  <si>
    <t>Смартфон Samsung Galaxy A7 2018 SM-A750F DS 6,0(2220x1080) LTE 
Cam((24/8/5)/24) Exynos 7885 2,2ГГц(8) (4/64)Гб A8.0 3300мАч Синий 
SM-A750FZBUSER</t>
  </si>
  <si>
    <t>HP 15-da0074ur (4KH10EA)</t>
  </si>
  <si>
    <t>Acer Spin SP513-53N-57K4 (NX.H62ER.003)</t>
  </si>
  <si>
    <t>ASUS ROG ZEPHYRUS S GX701GV-EV006 (90NR0201-M00380)</t>
  </si>
  <si>
    <t>Планшет Apple iPad Pro 11 512Gb Wi-Fi + Cellular Silver Серебристый 
MU1M2RU/A</t>
  </si>
  <si>
    <t>MSI GT63 8SG-030RU Titan (9S7-16L511-030)</t>
  </si>
  <si>
    <t>Монитор 21,5" Acer K222HQLCbid, FHD, IPS, HDMI, DVI, VGA, Черный 
UM.WX2EE.C02</t>
  </si>
  <si>
    <t>Apple MacBook Air 2018 MREF2RU/A (MREF2RU/A)</t>
  </si>
  <si>
    <t>Смартфон Motorola Moto E5 Plus XT1924-1 6,0(1440x720)IPS LTE Cam(12/8) 
MSM8917 1.4ГГц(4) (3/32)Гб microSD 256Гб A8.0 5000мАч Серый PABA0023RU</t>
  </si>
  <si>
    <t>Смартфон Apple iPhone XR 64Gb White Белый MRY52RU/A</t>
  </si>
  <si>
    <t>Acer Swift SF314-54G-82LL (NX.GY0ER.004)</t>
  </si>
  <si>
    <t>Планшет Apple iPad Pro 11 512Gb Wi-Fi + Cellular Space Gray Серый космос 
MU1F2RU/A</t>
  </si>
  <si>
    <t>Lenovo IdeaPad 330-17 (81FL004BRU)</t>
  </si>
  <si>
    <t>Lenovo ThinkPad L480 (20LS0022RT)</t>
  </si>
  <si>
    <t>Dell Latitude 5290 (5290-2332)</t>
  </si>
  <si>
    <t>Apple MacBook Air 2018 MRE92RU/A (MRE92RU/A)</t>
  </si>
  <si>
    <t>Dell Latitude 5490 (5490-1511)</t>
  </si>
  <si>
    <t>ASUS TUF Gaming FX505GE-BQ165 (90NR00S1-M09310)</t>
  </si>
  <si>
    <t>Телевизор LG 49 LED, UHD, IPS, Smart TV (webOS) Звук (20 Вт (2x10 Вт)), 
4xHDMI, 2xUSB, 1xRJ-45, Серый, 49SK8000PLB</t>
  </si>
  <si>
    <t>ASUS Zenbook 13 UX331FAL-EG017R (90NB0KD3-M00770)</t>
  </si>
  <si>
    <t>Монитор 24" Acer V246HLbd, FHD, TN, VGA, DVI, Черный UM.FV6EE.001</t>
  </si>
  <si>
    <t>Dell Inspiron 5570 (5570-5358)</t>
  </si>
  <si>
    <t>MSI WS63 8SK-053RU (9S7-16K722-053)</t>
  </si>
  <si>
    <t>Lenovo IdeaPad 720S-13 (81A8000SRK)</t>
  </si>
  <si>
    <t>Смартфон LG Q Stylus+ Q710NA DS 6,2(2160x1080)IPS LTE Cam (16/8) MT6750S 
1500МГц(8) (4/64)Гб microSD до 2Тб A8.1 3300мАч Черный LMQ710NAW.ACISBK</t>
  </si>
  <si>
    <t>Dell G5 5587 (G515-7473)</t>
  </si>
  <si>
    <t>Планшет Apple iPad Pro 12.9 (2018) 1Tb Wi-Fi Space Gray Серый космос 
MTFR2RU/A</t>
  </si>
  <si>
    <t>HP 15-da0112ur (4KA20EA)</t>
  </si>
  <si>
    <t>HP 17-ca0053ur (4MH88EA)</t>
  </si>
  <si>
    <t>ASUS VivoBook Pro 17 N705UN-GC109 (90NB0GV1-M02270)</t>
  </si>
  <si>
    <t>Dell Latitude 5490 (5490-0816)</t>
  </si>
  <si>
    <t>Acer TravelMate P259-G2-M-32MT (NX.VEPER.032)</t>
  </si>
  <si>
    <t>Dell Latitude 3490 (3490-4063)</t>
  </si>
  <si>
    <t>Lenovo IdeaPad 330s-15 (81F50176RU)</t>
  </si>
  <si>
    <t>Планшет Lenovo TAB M10 TB-X605L 10,1(1920x1200)IPS LTE Cam (5/2) SDM450 
1.8МГц(8) (3/32)Гб microSD до 256Гб A8.1 4850мАч Черный ZA490052RU</t>
  </si>
  <si>
    <t>Монитор 18,5" Acer V196HQLAb, WXGA ,TN, VGA, Черный UM.XV6EE.A04</t>
  </si>
  <si>
    <t>HP Pavilion 15-cw0008ur (4HA55EA)</t>
  </si>
  <si>
    <t>Смартфон Xiaomi Mi A2 DS 5,99(2160x1080)IPS LTE Cam (12+20/20) SDM660 
2.2ГГц(8) (4/64)Гб A8.1 3000мАч Золотистый X19247</t>
  </si>
  <si>
    <t>MSI GL73 8RC-447RU (9S7-17C612-447)</t>
  </si>
  <si>
    <t>Lenovo ThinkPad X1 Extreme (20MF000TRT)</t>
  </si>
  <si>
    <t>Планшет Apple iPad Pro 12.9 (2017) 512Gb Wi-Fi Gold Золотистый MPL12RU/A</t>
  </si>
  <si>
    <t>Телевизор LG 49 LED, FHD, Звук (10 Вт (2x5 Вт)), 2xHDMI, 1xUSB, 
Серебристый/Черный, 49LF551C</t>
  </si>
  <si>
    <t>HP Pavilion x360 14-cd0013ur (4GP75EA)</t>
  </si>
  <si>
    <t>Dell Latitude 3490 (3490-5751)</t>
  </si>
  <si>
    <t>Планшет Apple iPad Pro 10.5 512Gb Wi-Fi Rose Gold Розовый MPGL2RU/A</t>
  </si>
  <si>
    <t>HP Probook 455 G5 (3KY25EA)</t>
  </si>
  <si>
    <t>Dell Inspiron 3565 (3565-5966)</t>
  </si>
  <si>
    <t>Lenovo IdeaPad 330-17 (81DM00D7RU)</t>
  </si>
  <si>
    <t>HP Omen 15-dc0006ur (4GV58EA)</t>
  </si>
  <si>
    <t>Dell G3 3779 (G317-7619)</t>
  </si>
  <si>
    <t>Планшет Apple iPad Pro 10.5 64Gb Wi-Fi + Cellular Silver Серебристый 
MQF02RU/A</t>
  </si>
  <si>
    <t>ASUS Zenbook Flip UX561UN-BO029T (90NB0G31-M00930)</t>
  </si>
  <si>
    <t>Lenovo IdeaPad 330s-15 (81F90002RU)</t>
  </si>
  <si>
    <t>Dell Inspiron 5370 (5370-5980)</t>
  </si>
  <si>
    <t>Смартфон Xiaomi Redmi 6A DS 5,45(1440x720)IPS LTE Cam (13/5) MT6762M 
2.0ГГц(4) (2/32)Гб microSD до 128Гб A8.1 3000мАч Голубой X18991</t>
  </si>
  <si>
    <t>Lenovo Yoga S730-13 (81J0002LRU)</t>
  </si>
  <si>
    <t>HP 14-cm0005ur (4JT82EA)</t>
  </si>
  <si>
    <t>Телевизор LG 55 LED, UHD, IPS, Smart TV (webOS), Звук (20 Вт (2x10 Вт)) , 
4xHDMI, 2xUSB, 1xRJ-45, Титан(Серый) 55UK6710PLB</t>
  </si>
  <si>
    <t>Планшет Apple iPad Pro 12.9 (2018) 512Gb Wi-Fi Space Gray Серый космос 
MTFP2RU/A</t>
  </si>
  <si>
    <t>Смартфон Sony Xperia XZ1 Dual 5.2(1920x1080)IPS LTE Cam(19/13) MSM8998 
2,35ГГц(8) (4/64)Гб A8.0 2700мАч Черный Black G8342 1310-7524</t>
  </si>
  <si>
    <t>Смартфон ASUS Zenfone 5 Lite ZC600KL DS 6(2160x1080)IPS LTE Cam (16d/20d) 
SDM630 2.2ГГц(8) (4/64)Гб A8.0 3300мАчЧерный ZC600KL-5A023RU 90AX0171-M00320</t>
  </si>
  <si>
    <t>ASUS X540LA-DM1255 (90NB0B01-M24400)</t>
  </si>
  <si>
    <t>OU1496381</t>
  </si>
  <si>
    <t>Смартфон Samsung Galaxy S9 SM-G960FZ 5,8 DS (2960х1440) LTE Cam (12/8) 
Exynos 9810 2,7ГГц(4)+1,8ГГц(4) (4/64)Гб A8.0 3000мАч Золотистый 
SM-G960FZDDSER</t>
  </si>
  <si>
    <t>HP 15-da1023ur (5SV62EA)</t>
  </si>
  <si>
    <t>Acer Nitro 5 AN515-52-74NJ (NH.Q3LER.006)</t>
  </si>
  <si>
    <t>ASUS Zenbook UX410UA-GV601T (90NB0DL3-M12850)</t>
  </si>
  <si>
    <t>Смартфон Samsung Galaxy J2 2018 SM-J250F DS 5(960x540)LTE Cam(8/5) MSM8917 
1.4ГГц(4) (1,5/16)Гб microSD 256Гб A7.1 2600мАч Черный SM-J250FZKDSER</t>
  </si>
  <si>
    <t>HU8191678</t>
  </si>
  <si>
    <t>Lenovo IdeaPad 330-15 (81DE01YSRU)</t>
  </si>
  <si>
    <t>Смартфон ASUS Zenfone 5Z ZS620KL DS 6.2(2246x1080)IPS LTE Cam (12+8d/8) 
SDM845 2,7ГГц(8) (6/64)Гб A8.0 3300мАч Черный ZS620KL-2A031RU 
90AZ01R1-M00490</t>
  </si>
  <si>
    <t>MSI P65 8RE-076XRU Creator (9S7-16Q312-076)</t>
  </si>
  <si>
    <t>Acer Predator Helios 500 PH517-61-R28C (NH.Q3GER.006)</t>
  </si>
  <si>
    <t>HP Pavilion x360 14-ba021ur (1ZC90EA)</t>
  </si>
  <si>
    <t>Телевизор LG 43 LED, FHD, Smart TV (webOS), Звук (10 Вт (2x5 Вт)) , 2xHDMI, 
1xUSB, 1xRJ-45, Черный 43LK6000PLF</t>
  </si>
  <si>
    <t>Смартфон Meizu M6s 32Gb DS 5,7(1440x720)IPS LTE Cam(16/8) Exynos 7872 
2,0ГГц(6) (3/32)Гб microSD 128Гб A7.0 3000мАч Черный M712H-32-BK</t>
  </si>
  <si>
    <t>Acer Extensa EX2540-32NQ (NX.EFHER.027)</t>
  </si>
  <si>
    <t>Acer Swift SF314-54-8456 (NX.GXZER.010)</t>
  </si>
  <si>
    <t>Lenovo ThinkPad P52 (20M9001JRT)</t>
  </si>
  <si>
    <t>Смартфон Apple iPhone 7 32Gb Black Черный MN8X2RU/A</t>
  </si>
  <si>
    <t>Lenovo ThinkPad T580 (20L90026RT)</t>
  </si>
  <si>
    <t>Acer TravelMate P259-G2-M-5180 (NX.VEPER.042)</t>
  </si>
  <si>
    <t>MSI P65 8RE-078RU Creator (9S7-16Q312-078)</t>
  </si>
  <si>
    <t>Смартфон OnePlus 6 DS 6,28(2280х1080) LTE Cam (16+20d/16) SDM845 2,8ГГц(8) 
(8/128)Гб A8.1 3300мАч Midnight Black Черный 5011100387</t>
  </si>
  <si>
    <t>Dell Inspiron 5570 (5570-3793)</t>
  </si>
  <si>
    <t>HP Pavilion x360 14-cd0017ur (4HA89EA)</t>
  </si>
  <si>
    <t>Dell Vostro 5481 (5481-7402)</t>
  </si>
  <si>
    <t>Dell G5 5587 (G515-7305)</t>
  </si>
  <si>
    <t>ASUS Zenbook Pro UX580GD-E2019R (90NB0I73-M02290)</t>
  </si>
  <si>
    <t>Lenovo V330-15 (81AX0136RU)</t>
  </si>
  <si>
    <t>ASUS ROG SCAR II Edition GL704GV-EV007 (90NR01Y1-M00740)</t>
  </si>
  <si>
    <t>HP 15-da0085ur (4JW63EA)</t>
  </si>
  <si>
    <t>Acer TravelMate P259-MG-339Z (NX.VE2ER.008)</t>
  </si>
  <si>
    <t>HP Envy x360 15-cp0010ur (4TT99EA)</t>
  </si>
  <si>
    <t>Телевизор LG 49 LED, Full HD, Smart TV (webOS), Звук (20 Вт (2x10 Вт)), 
3xHDMI, 2xUSB, 1xRJ-45, PMI 100 Черный/Серебристый, 49LK6100PLA</t>
  </si>
  <si>
    <t>Dell Inspiron 5570 (5570-5857)</t>
  </si>
  <si>
    <t>Lenovo IdeaPad 720S-13 (81A8000WRK)</t>
  </si>
  <si>
    <t>Планшет Apple iPad Air 10.5 2019 256Gb Wi-Fi + Cellular Space Gray Серый 
космос MV0N2RU/A</t>
  </si>
  <si>
    <t>HP Pavilion 15-cw0026ur (4MP38EA)</t>
  </si>
  <si>
    <t>Acer Aspire E5-576G-34ZA (NX.GSBER.014)</t>
  </si>
  <si>
    <t>Dell Latitude 7390 2-in-1 (7390-6971)</t>
  </si>
  <si>
    <t>Монитор 24.1" Dell U2415, WUXGA, IPS, 2xDP, 2xHDMI, 1xMiniDP VGA. 5xUSB 3.0 
Черный 2415-0869</t>
  </si>
  <si>
    <t>Планшет Lenovo Miix 520-12 12.2(1920x1200) IPS LTE Cam(8/5) i5-8250U 
1,6ГГц(4) (8/256)Гб Win10 4955мАч Серебристый(Платина) 81CG01NERU + Dock</t>
  </si>
  <si>
    <t>Dell Latitude 5490 (5490-2721)</t>
  </si>
  <si>
    <t>Dell Alienware 17 R5 (A17-7855)</t>
  </si>
  <si>
    <t>HP 15-db0113ur (4KA72EA)</t>
  </si>
  <si>
    <t>Планшет Huawei MediaPad M5 10 10,8(2560x1600)IPS LTE Cam(13/8) Kirin 960s 
2.1ГГц(8) (4/64)Гб A8.0 7500мАч Темно-серый CMR-AL09 53010BLL</t>
  </si>
  <si>
    <t>HP 15-db0098ur (4KG98EA )</t>
  </si>
  <si>
    <t>Dell Alienware 15 M15 (M15-5560)</t>
  </si>
  <si>
    <t>Монитор 23,8" Lenovo ThinkVision E24-10, FHD, IPS, DP, VGA, Черный 
61B7JAT6EU</t>
  </si>
  <si>
    <t>Acer Predator Helios 300 PH315-51-78CC (NH.Q3FER.003)</t>
  </si>
  <si>
    <t>Acer Predator Helios 300 PH315-51-7441 (NH.Q3FER.001)</t>
  </si>
  <si>
    <t>Acer TravelMate P259-MG-52SF (NX.VE2ER.030)</t>
  </si>
  <si>
    <t>Lenovo ThinkPad L580 (20LW000XRT)</t>
  </si>
  <si>
    <t>Планшет Apple iPad Air 10.5 2019 64Gb Wi-Fi Gold Золотистый MUUL2RU/A</t>
  </si>
  <si>
    <t>Lenovo ThinkPad T480s (20L7001VRT)</t>
  </si>
  <si>
    <t>Смартфон Meizu M5s 32Gb DS 5.2(1280x720)IPS LTE Cam(13/5) MT6753 1,3ГГц(8) 
(3/32)Гб microSD 128Гб A6.0 3000мАч Серебристый/Белый M612H-32-SW</t>
  </si>
  <si>
    <t>Смартфон Meizu M8с 16Gb DS 5.45(1440x720)IPS LTE Cam(13/5) MSM8917 
1,4ГГц(4) (2/16)Гб microSD 128Гб A7.0 3070мАч Черный M810H-16-BK</t>
  </si>
  <si>
    <t>Dell Vostro 5581 (5581-7433)</t>
  </si>
  <si>
    <t>Acer Extensa EX2540-33A0 (NX.EFHER.065)</t>
  </si>
  <si>
    <t>ASUS TUF Gaming FX705GE-EW238 (90NR00Z1-M05300)</t>
  </si>
  <si>
    <t>HP Envy 13-ah1012ur (5CV21EA)</t>
  </si>
  <si>
    <t>Смартфон Sony Xperia XA2 Dual 5,2(1920x1080)IPS LTE Cam(23/8) Snapdragon 
630 2.4ГГц(8) (3/32)Гб A8.0 3300мАч Розовый H4113 1312-7685</t>
  </si>
  <si>
    <t>HP Pavilion 14-ce0005ur (4GY05EA)</t>
  </si>
  <si>
    <t>MSI GP63 8RE-676XRU Leopard (9S7-16P522-676)</t>
  </si>
  <si>
    <t>Lenovo ThinkPad P52s (20LB000JRT)</t>
  </si>
  <si>
    <t>Lenovo IdeaPad 330-17 (81D7003NRU)</t>
  </si>
  <si>
    <t>Dell Inspiron 5570 (5570-7864)</t>
  </si>
  <si>
    <t>Dell Latitude 5590 (5590-1597)</t>
  </si>
  <si>
    <t>Acer Swift SF315-52G-50UB (NX.GZAER.001)</t>
  </si>
  <si>
    <t>Lenovo V130-14 (81HQ00FXRU)</t>
  </si>
  <si>
    <t>Монитор 35" Acer Predator Z35P, UWQHD, VA, Curved, HDMI, DP, 2xUSB 3.0 
Черный UM.CZ1EE.P01</t>
  </si>
  <si>
    <t>Lenovo IdeaPad 330-15 (81FK00GCRU)</t>
  </si>
  <si>
    <t>Планшет Apple iPad Pro 12.9 (2017) 512Gb Wi-Fi Space Gray Серый космос 
MPKY2RU/A</t>
  </si>
  <si>
    <t>ASUS TUF Gaming FX705GE-EW134 (90NR00Z2-M05700)</t>
  </si>
  <si>
    <t>Смартфон Apple iPhone XS 256Gb Gold Золотистый MT9K2RU/A</t>
  </si>
  <si>
    <t>ASUS VivoBook 15 X540UB-DM264 (90NB0IM1-M03610)</t>
  </si>
  <si>
    <t>Dell G5 5587 (G515-7398)</t>
  </si>
  <si>
    <t>MSI GS63 8RE-021RU Stealth (9S7-16K512-021)</t>
  </si>
  <si>
    <t>HP 14-ck0008ur (4KH01EA)</t>
  </si>
  <si>
    <t>Планшет Apple iPad 9.7 (2018) 32Gb Wi-Fi + Cellular Space Gray Серый космос 
MR6N2RU/A</t>
  </si>
  <si>
    <t>Acer Predator Helios 300 PH317-52-73CM (NH.Q3DER.016)</t>
  </si>
  <si>
    <t>ASUS Zenbook 14 UX433FA-A5093T (90NB0JR1-M01380)</t>
  </si>
  <si>
    <t>Lenovo ThinkPad X390 (20Q0000LRT)</t>
  </si>
  <si>
    <t>Dell Latitude 5491 (5491-1059)</t>
  </si>
  <si>
    <t>Dell G3 3579 (G315-7220)</t>
  </si>
  <si>
    <t>Планшет Lenovo TAB 4 7 Essential TB-7304I 16Gb 7,0(1024x600)IPS 3G Cam(2/2) 
MT8735D 1100МГц(4) (1/16)Гб A7.0 3450мАч Черный ZA310031RU</t>
  </si>
  <si>
    <t>Acer Aspire 3 A315-21G-66WX (NX.GQ4ER.072)</t>
  </si>
  <si>
    <t>Lenovo ThinkPad T490 (20N2000KRT)</t>
  </si>
  <si>
    <t>Смартфон Samsung Galaxy A9 SM-A920F DS 6,3(2220x1080) LTE 
Cam(24/8/10/5)/24) SDM660 2,2ГГц(8) (6/128)Гб A8.0 3800мАч Розовый 
SM-A920FZIDSER</t>
  </si>
  <si>
    <t>Lenovo IdeaPad 330-15 (81D6001QRU)</t>
  </si>
  <si>
    <t>Acer Aspire 3 A315-21-95XU (NX.GNVER.071)</t>
  </si>
  <si>
    <t>Планшет HP x2 Z8350 2Gb SSD 32Gb Intel HD Graphics 400 10,1 HD 
TouchScreen(Mlt) IPS BT Cam 3900мАч Win10 Серебристый 10-p000ur Y3W57EA</t>
  </si>
  <si>
    <t>Lenovo IdeaPad 330-15 (81D600LJRU)</t>
  </si>
  <si>
    <t>HP 15-bs087ur (1VH81EA)</t>
  </si>
  <si>
    <t>Монитор 24.5" Dell Alienware AW2518HF, FHD, TN, HDMI, DP, 4xUSB 3.0, Серый 
2518-7049</t>
  </si>
  <si>
    <t>HP 15-bw040ur (2BT60EA)</t>
  </si>
  <si>
    <t>Dell Vostro 5471 (5471-5690)</t>
  </si>
  <si>
    <t>Монитор 23" Lenovo ThinkVision T23i, FHD, IPS, HDMI, DP, VGA, 4xUSB 3.0, 
Черный 61ABMAT1EU</t>
  </si>
  <si>
    <t>Dell XPS 13 Ultrabook (9360-9737)</t>
  </si>
  <si>
    <t>Смартфон Xiaomi Redmi 6A DS 5,45(1440x720)IPS LTE Cam (13/5) MT6762M 
2.0ГГц(4) (2/16)Гб microSD до 128Гб A8.1 3000мАч Золотистый X18988</t>
  </si>
  <si>
    <t>Panasonic TB CF-54mk3 (CF-54J0479T9)</t>
  </si>
  <si>
    <t>Монитор 23" HP EliteDisplay E233, FHD, IPS, VGA, HDMI, DP, 3xUSB 3.0, 
Серебристый/Черный 1FH46AA</t>
  </si>
  <si>
    <t>Acer Extensa EX2540-55HQ (NX.EFHER.016)</t>
  </si>
  <si>
    <t>Монитор 21,5" Acer K222HQLDb, FHD, TN, VGA, Черный UM.WX2EE.D09</t>
  </si>
  <si>
    <t>Lenovo IdeaPad 330-15 (81DE029HRU)</t>
  </si>
  <si>
    <t>HP Probook 470 G5 (2XZ76ES)</t>
  </si>
  <si>
    <t>HP 15-da1030ur (5TA97EA)</t>
  </si>
  <si>
    <t>HP Pavilion 15-cs1025ur (5VZ45EA)</t>
  </si>
  <si>
    <t>HP Pavilion x360 14-cd0010ur (4GU34EA)</t>
  </si>
  <si>
    <t>Dell Vostro 3481 (3481-4110)</t>
  </si>
  <si>
    <t>MSI GS73 8RF-029RU Stealth (9S7-17B712-029)</t>
  </si>
  <si>
    <t>Lenovo ThinkPad X1 Carbon 6 (20KH003BRT)</t>
  </si>
  <si>
    <t>Монитор 23" HP EliteDisplay S231d, FHD, IPS, VGA, DP, 2xUSB 2.0, 2xUSB 3.0 
Черный F3J72AA</t>
  </si>
  <si>
    <t>Dell Vostro 5568 (5568-7226)</t>
  </si>
  <si>
    <t>MSI WE63 8SJ-687RU (9S7-16P632-687)</t>
  </si>
  <si>
    <t>ASUS Zenbook UX310UA-FC1115 (90NB0CJ1-M18840)</t>
  </si>
  <si>
    <t>Монитор 17" HP ProDisplay P17a, SXGA, TN, VGA, Черный F4M97AA</t>
  </si>
  <si>
    <t>Dell Alienware 17 R5 (A17-7794)</t>
  </si>
  <si>
    <t>HP 14-cm0015ur (4JU51EA)</t>
  </si>
  <si>
    <t>Lenovo ThinkPad Edge E480 (20KN0075RT)</t>
  </si>
  <si>
    <t>Смартфон Samsung Galaxy J2 Core SM-J260F DS 5(960x540) PLS LTE Cam(8/5) 
Exynos 7570 1.4ГГц(4) (1/8)Гб A8.1 2600мАч Золотистый SM-J260FZDRSER</t>
  </si>
  <si>
    <t>Acer Swift SF515-51T-7337 (NX.H7QER.001)</t>
  </si>
  <si>
    <t>Dell Vostro 5471 (5471-7444)</t>
  </si>
  <si>
    <t>HP Pavilion 14-ce0014ur (4GY49EA)</t>
  </si>
  <si>
    <t>Lenovo ThinkPad E490 (20N8005HRT)</t>
  </si>
  <si>
    <t>Acer Swift SF314-55G-772L (NX.H5UER.004)</t>
  </si>
  <si>
    <t>Panasonic TB CF-54mk3 (CF-54H2273T9)</t>
  </si>
  <si>
    <t>Dell Vostro 3578 (3578-5994)</t>
  </si>
  <si>
    <t>Lenovo ThinkPad T580 (20L9004GRT)</t>
  </si>
  <si>
    <t>Acer TravelMate P259-MG-38SX (NX.VE2ER.042)</t>
  </si>
  <si>
    <t>Acer TravelMate P259-G2-M-37JK (NX.VEPER.035)</t>
  </si>
  <si>
    <t>HP 14-cm0014ur (4JU85EA)</t>
  </si>
  <si>
    <t>Lenovo ThinkPad T590 (20N4000FRT)</t>
  </si>
  <si>
    <t>Планшет Apple iPad Mini 2019 64Gb Wi-Fi Silver Серебристый MUQX2RU/A</t>
  </si>
  <si>
    <t>Lenovo Legion Y530-15 (81FV0029RU)</t>
  </si>
  <si>
    <t>Смартфон Apple iPhone 6s 128Gb Gold Золотистый MKQV2RU/A</t>
  </si>
  <si>
    <t>Планшет Apple iPad Pro 10.5 64Gb Wi-Fi + Cellular Space Gray Серый космос 
MQEY2RU/A</t>
  </si>
  <si>
    <t>Lenovo ThinkPad X1 Carbon 6 (20KH006LRT)</t>
  </si>
  <si>
    <t>Acer Swift SF314-56G-53KG (NX.H4LER.001)</t>
  </si>
  <si>
    <t>Lenovo V330-15 (81AX00JGRU)</t>
  </si>
  <si>
    <t>Acer Swift SF314-54G-81B6 (NX.H07ER.002)</t>
  </si>
  <si>
    <t>HP Omen 15-ce072ur (4US30EA)</t>
  </si>
  <si>
    <t>ASUS Zenbook 3 Deluxe UX490UA-BE054R (90NB0EI3-M07030)</t>
  </si>
  <si>
    <t>Монитор 21,5" Acer V226HQLAb, FHD, VA, VGA, Черный UM.WV6EE.A06</t>
  </si>
  <si>
    <t>Acer Extensa EX2519-P79W (NX.EFAER.025)</t>
  </si>
  <si>
    <t>HP Pavilion x360 14-cd0005ur (4HA99EA)</t>
  </si>
  <si>
    <t>Acer Extensa EX2519-C0T2 (NX.EFAER.088)</t>
  </si>
  <si>
    <t>Acer Extensa EX2540-578E (NX.EFHER.082)</t>
  </si>
  <si>
    <t>HP Pavilion 13-an0031ur (5CS36EA)</t>
  </si>
  <si>
    <t>Смартфон Samsung Galaxy S10+ SM-G975F 6,4 DS (3040х1440) LTE Cam 
(16+12+12/10+8) Exynos 9820 2,7ГГц(8) (12/1024)Гб A9.0 4100мАч Черный 
SM-G975FCKHSER</t>
  </si>
  <si>
    <t>HP Spectre 13-af002ur (2PQ00EA)</t>
  </si>
  <si>
    <t>HP ProBook 440 G5 (3BZ53ES)</t>
  </si>
  <si>
    <t>ASUS VivoBook Pro 15 M580GD-FI495T (90NB0HX4-M07790)</t>
  </si>
  <si>
    <t>HP Envy 13-ah0001ur (4GU40EA)</t>
  </si>
  <si>
    <t>HP 15-bw016ur (1ZK05EA)</t>
  </si>
  <si>
    <t>HP 15-bw533ur (2FQ70EA)</t>
  </si>
  <si>
    <t>Смартфон ASUS Zenfone 5Z ZS620KL DS 6.2(2246x1080)IPS LTE Cam (12+8d/8) 
SDM845 2,7ГГц(8) (8/256)Гб A8.0 3300мАч Черный ZS620KL-2A059RU 
90AZ01R1-M00850</t>
  </si>
  <si>
    <t>Планшет Apple iPad Mini 4 128Gb Wi-Fi + Cellular Золотистый MK782RU/A</t>
  </si>
  <si>
    <t>HP 14-cf0009ur (4JU58EA)</t>
  </si>
  <si>
    <t>Lenovo IdeaPad 330-15 (81D600LGRU)</t>
  </si>
  <si>
    <t>Монитор 25" Dell U2518D, WQXGA, IPS, DP, 2xminiDP, HDMI, 4xUSB 3.0 Черный 
2518-6806</t>
  </si>
  <si>
    <t>Планшет Huawei MediaPad M3 Lite 8(1920x1200)IPS LTE Cam(8/8) MSM8940 
1.4ГГц(8) (3/32)Гб microSD 128Гб A7.0 4800мАч Золотистый CPN-L09 GOLD 
53019448</t>
  </si>
  <si>
    <t>Монитор 23.8" Dell S2419HM, FHD, IPS, 2xHDMI, Серебристый 2419-4883</t>
  </si>
  <si>
    <t>Смартфон Sony Xperia XA2 Plus Dual 6,0(2160x1080)IPS LTE Cam(23/8) SDM630 
2.2ГГц(8) (4/32)Гб A8.0 3580мАч Зеленый H4413 1316-3867</t>
  </si>
  <si>
    <t>Dell XPS 13 9365 (9365-2516)</t>
  </si>
  <si>
    <t>Lenovo ThinkPad T480s (20L7004NRT)</t>
  </si>
  <si>
    <t>Планшет Samsung Galaxy TAB S3 9.7(2048x1536) Cam(13/5) LTE MSM8996 
2150МГц(4) (4/32)Гб microSD до 256Гб A7.0 6000мАч Серебристый SM-T825NZSASER</t>
  </si>
  <si>
    <t>Lenovo Legion Y730-15 (81HD0047RU)</t>
  </si>
  <si>
    <t>Монитор 27" Acer XF270HUAbmiidprzx, WQXGA, IPS, 2xHDMI, DVI, DP, 4xUSB 3.0 
Черный UM.HX0EE.A01</t>
  </si>
  <si>
    <t>Смартфон Xiaomi Mi 8 DS 6,21(2248x1080)LTE Cam (12d/20) SDM845 2.8ГГц(8) 
(6/64)Гб A8.1 3400мАч Белый MI8WH64GB</t>
  </si>
  <si>
    <t>Смартфон Apple iPhone 8 256Gb Gold Золотистый MQ7E2RU/A</t>
  </si>
  <si>
    <t>Монитор 31,5" Acer EB321HQUAwidp, WQXGA, IPS, DP, HDMI, DVI, Белый/Черный 
UM.JE1EE.A01</t>
  </si>
  <si>
    <t>Lenovo IdeaPad S530-13 (81J7001ARU)</t>
  </si>
  <si>
    <t>Монитор 21,5" Lenovo ThinkVision T22i-10, FHD, IPS, VGA, HDMI, DP, 5xUSB 
3.0 Черный 61A9MAT1EU</t>
  </si>
  <si>
    <t>HP 15-rb017ur (3QU52EA)</t>
  </si>
  <si>
    <t>HP Omen 17-an109ur (4HA26EA)</t>
  </si>
  <si>
    <t>Lenovo Legion Y530-15 (81FV0021RU)</t>
  </si>
  <si>
    <t>HP Pavilion x360 14-cd1016ur (5SU58EA)</t>
  </si>
  <si>
    <t>Lenovo IdeaPad S530-13 (81J70009RU)</t>
  </si>
  <si>
    <t>Телевизор LG 43 LED, UHD, IPS, Smart TV (webOS), Звук (20 Вт (2x10 Вт)) , 
3xHDMI, 2xUSB, 1xRJ-45, PMI 100, Черный 43UK6200PLA</t>
  </si>
  <si>
    <t>HP Pavilion 14-ce0037ur (4MG25EA)</t>
  </si>
  <si>
    <t>Dell XPS 13 Ultrabook (9360-5556)</t>
  </si>
  <si>
    <t>Dell Inspiron 3576 (3576-5270)</t>
  </si>
  <si>
    <t>ASUS VivoBook 15 X505BA-EJ151 (90NB0G12-M02540)</t>
  </si>
  <si>
    <t>Lenovo ThinkPad L580 (20LW003FRT)</t>
  </si>
  <si>
    <t>Lenovo IdeaPad 330s-15 (81F5016XRU)</t>
  </si>
  <si>
    <t>Acer Swift SF314-54-56CU (NX.GYQER.006)</t>
  </si>
  <si>
    <t>Dell G3 3779 (G317-7657)</t>
  </si>
  <si>
    <t>Монитор 27" Acer XZ271Abmiiphzx, FHD, VA, Curved, 2xHDMI, DP, 4xUSB 3.0 
Черный UM.HX1EE.A12</t>
  </si>
  <si>
    <t>Смартфон Motorola Moto E5 Plus XT1924-1 6,0(1440x720)IPS LTE Cam(12/8) 
MSM8917 1.4ГГц(4) (3/32)Гб microSD 256Гб A8.0 5000мАч Золотистый PABA0021RU</t>
  </si>
  <si>
    <t>Lenovo IdeaPad 330s-14 (81F4004XRU)</t>
  </si>
  <si>
    <t>Смартфон Samsung Galaxy A6 2018 SM-A600F DS 5,6(1480x720) LTE Cam(16/16) 
Exynos 7870 1,6ГГц(8) (3/32)Гб A8.0 3000мАч Золотистый SM-A600FZDNSER</t>
  </si>
  <si>
    <t>Планшет Samsung Galaxy TAB A 10.1(1920x1200)LTE Cam(8/2) Exynos 7870 
1600МГц(8) (2/16Гб) microSD до 200Гб A6.0 GPS 7300мАч Синий SM-T585NZBASER</t>
  </si>
  <si>
    <t>Acer Aspire 3 A315-53G-50RF (NX.H1AER.008)</t>
  </si>
  <si>
    <t>Lenovo Yoga S730-13 (81J0000CRU)</t>
  </si>
  <si>
    <t>Acer TravelMate P259-G2-M-3138 (NX.VEPER.034)</t>
  </si>
  <si>
    <t>ASUS TUF Gaming FX505DY-BQ024T (90NR01A2-M02100)</t>
  </si>
  <si>
    <t>Dell Inspiron 5570 (5570-5342)</t>
  </si>
  <si>
    <t>Dell Inspiron 3573 (3573-6014)</t>
  </si>
  <si>
    <t>Acer Aspire 5 A517-51G-56LL (NX.GSXER.005)</t>
  </si>
  <si>
    <t>ASUS VivoBook S13 S330UA-EY027 (90NB0JF2-M02420)</t>
  </si>
  <si>
    <t>Lenovo ThinkPad Edge E590 (20NB002BRT)</t>
  </si>
  <si>
    <t>Смартфон Motorola Moto G6 XT1925-5 DS 5,7(2160x1080)IPS LTE Cam(12+5/8) 
SDM450 1.8ГГц(8) (3/32)Гб microSD 128Гб A8.0 3000мАч Синий PAAL0020RU</t>
  </si>
  <si>
    <t>Монитор 27" Dell UP2716D, WQXGA, IPS, DP, 2xHDMI, 1xMiniDP, 4xUSB 3.0 
Серебристый/Черный 716D-2054</t>
  </si>
  <si>
    <t>HP Envy 13-ah1005ur (5CU69EA)</t>
  </si>
  <si>
    <t>Dell Inspiron 5570 (5570-3953)</t>
  </si>
  <si>
    <t>Dell Latitude 7490 (7490-6849)</t>
  </si>
  <si>
    <t>Lenovo V110-15 (80TG00BDRK)</t>
  </si>
  <si>
    <t>Lenovo ThinkPad Yoga L390 (20NT0015RT)</t>
  </si>
  <si>
    <t>HP 17-by0163ur (5CS79EA)</t>
  </si>
  <si>
    <t>Lenovo IdeaPad 330-15 (81DE01DMRU)</t>
  </si>
  <si>
    <t>Планшет Dell Latitude 5290 i7-8650U 16Gb SSD 512Gb UHD Graphics 620 12.3 
WUXGA IPS BT Cam 5250мАч Win10Pro Черный 5290-6276</t>
  </si>
  <si>
    <t>Acer Predator Helios 300 PH317-52-779K (NH.Q3EER.007)</t>
  </si>
  <si>
    <t>HP 14-cf0004ur (4KB45EA)</t>
  </si>
  <si>
    <t>ASUS VivoBook S15 S510UN-BQ019T (90NB0GS1-M00420)</t>
  </si>
  <si>
    <t>Dell Inspiron 3180 (3180-7703)</t>
  </si>
  <si>
    <t>HP 17-by0010ur (4KF37EA)</t>
  </si>
  <si>
    <t>MSI PS63 8RC-053RU Modern (9S7-16S111-053)</t>
  </si>
  <si>
    <t>Dell Vostro 5370 (5370-7189)</t>
  </si>
  <si>
    <t>Lenovo IdeaPad 330s-14 (81F4013SRU)</t>
  </si>
  <si>
    <t>HP 250 G6 (1XN54ES)</t>
  </si>
  <si>
    <t>ASUS Zenbook Flip UX561UA-BO051T (90NB0G41-M00770)</t>
  </si>
  <si>
    <t>Dell XPS 13 9365 (9365-5492)</t>
  </si>
  <si>
    <t>Lenovo IdeaPad 330-17 (81DM000SRU)</t>
  </si>
  <si>
    <t>HP 15-db0175ur (4MW65EA)</t>
  </si>
  <si>
    <t>Acer Extensa EX2540-34D1 (NX.EFHER.064)</t>
  </si>
  <si>
    <t>Планшет Apple iPad Pro 10.5 512Gb Wi-Fi + Cellular Rose Gold Розовый 
MPMH2RU/A</t>
  </si>
  <si>
    <t>Lenovo IdeaPad 530s-15 (81EV003YRU)</t>
  </si>
  <si>
    <t>HP 15-db0122ur (4KC07EA)</t>
  </si>
  <si>
    <t>Монитор 27" Acer K272HULDbmidpx, WQXGA, IPS, HDMI, DVI, DP, Черный 
UM.HX2EE.D01</t>
  </si>
  <si>
    <t>HP 17-by0165ur (5CU79EA)</t>
  </si>
  <si>
    <t>HP Envy x360 15-bq007ur (1ZA55EA)</t>
  </si>
  <si>
    <t>Lenovo IdeaPad 330-17 (81DK003TRU)</t>
  </si>
  <si>
    <t>Dell Inspiron 5570 (5570-7826)</t>
  </si>
  <si>
    <t>Lenovo IdeaPad 330s-15 (81F50180RU)</t>
  </si>
  <si>
    <t>Dell Latitude 3590 (3590-5775)</t>
  </si>
  <si>
    <t>Смартфон Xiaomi Redmi 6 DS 5,45(1440x720)IPS LTE Cam (12+5/5) MT6762 
2.0ГГц(8) (4/64)Гб microSD до 128Гб A8.1 3000мАч Черный X19854</t>
  </si>
  <si>
    <t>Смартфон Sony Xperia XZ2 Premium Dual 5.8(3840x2160)IPS LTE Cam(19+12/13) 
SDM845 2,7ГГц(8) (6/64)Гб A8.0 3540мАч Черный Chrome Black H8166 1316-5195</t>
  </si>
  <si>
    <t>Lenovo IdeaPad 330-15 (81DE00W3RU)</t>
  </si>
  <si>
    <t>Планшет Lenovo TAB 4 7 Essential TB-7304F 7,0(1024x600)IPS Cam(2/2) MT8167D 
1300МГц(4) (1/8)Гб microSD до 128Гб A7.0 3450мАч Черный ZA300211RU</t>
  </si>
  <si>
    <t>Монитор 31,5" Acer ED322Qwmidx, FHD, VA, Curved, VGA, HDMI, DVI Белый 
UM.JE2EE.009</t>
  </si>
  <si>
    <t>HP 14-cm0001ur (4JT87EA)</t>
  </si>
  <si>
    <t>HP Envy 13-ad115ur (3QR75EA)</t>
  </si>
  <si>
    <t>Телевизор LG 22 22MT58VF-PZ, IPS, Full HD, Черный</t>
  </si>
  <si>
    <t>HP Probook 450 G5 (2RS20EA)</t>
  </si>
  <si>
    <t>HP Envy x360 13-ag0001ur (4GQ80EA)</t>
  </si>
  <si>
    <t>Lenovo IdeaPad S530-13 (81J7007URU)</t>
  </si>
  <si>
    <t>Телевизор Samsung 32 HD, Smart TV, Звук (10 Вт (2x5 Вт)), 2xHDMI, 1xUSB, 
1xRJ-45, PQI 400, Белый UE32N4510AUXRU</t>
  </si>
  <si>
    <t>Монитор 14" HP EliteDisplay S140u, WXGA++, TN, 1xUSB 3.0, Черный G8R65AA</t>
  </si>
  <si>
    <t>Смартфон Xiaomi Redmi 6 DS 5,45(1440x720)IPS LTE Cam (12+5/5) MT6762 
2.0ГГц(8) (4/64)Гб microSD до 128Гб A8.1 3000мАч Голубой X19627</t>
  </si>
  <si>
    <t>Dell Inspiron 5482 (5482-5447)</t>
  </si>
  <si>
    <t>Монитор 27" Dell P2719H, FHD, IPS, HDMI, DP, VGA, 5xUSB, Черный 2719-2422</t>
  </si>
  <si>
    <t>Lenovo IdeaPad 330-17 (81DM005ERU)</t>
  </si>
  <si>
    <t>Dell Inspiron 5570 (5570-3809)</t>
  </si>
  <si>
    <t>ASUS Zenbook 13 UX331UN-EA065T (90NB0GY1-M04250)</t>
  </si>
  <si>
    <t>Acer Spin SP513-53N-75EX (NX.H62ER.001)</t>
  </si>
  <si>
    <t>Lenovo IdeaPad 330s-14 (81F4013RRU)</t>
  </si>
  <si>
    <t>Монитор 24" Acer Predator XB241Hbmipr, FHD, TN, HDMI, DP, Черный 
UM.FX1EE.001</t>
  </si>
  <si>
    <t>Acer Predator Helios 300 PH315-51-545M (NH.Q3FER.008)</t>
  </si>
  <si>
    <t>Panasonic TB CF-54mk3 (CF-54H2029T9)</t>
  </si>
  <si>
    <t>Lenovo V130-15 (81HN00KRRU)</t>
  </si>
  <si>
    <t>Смартфон Samsung Galaxy A9 SM-A920F DS 6,3(2220x1080) LTE 
Cam(24/8/10/5)/24) SDM660 2,2ГГц(8) (6/128)Гб A8.0 3800мАч Черный 
SM-A920FZKDSER</t>
  </si>
  <si>
    <t>Lenovo ThinkPad L480 (20LS002KRT)</t>
  </si>
  <si>
    <t>Монитор 27" Acer ED273Awidpx, FHD, VA, Curved, DP, HDMI, DVI, Белый 
UM.HE3EE.A01</t>
  </si>
  <si>
    <t>HP 14-bp014ur (1ZJ50EA)</t>
  </si>
  <si>
    <t>Dell G5 5587 (G515-7459)</t>
  </si>
  <si>
    <t>Смартфон Apple iPhone XR 64Gb Black Черный MRY42RU/A</t>
  </si>
  <si>
    <t>Acer Swift SF314-55G-74ZE (NX.H3UER.004)</t>
  </si>
  <si>
    <t>Lenovo IdeaPad 720S-13 (81BV0006RK)</t>
  </si>
  <si>
    <t>ASUS Zenbook 14 UX433FA-A5046T (90NB0JR1-M04280)</t>
  </si>
  <si>
    <t>Lenovo ThinkPad Edge E590 (20NB0012RT)</t>
  </si>
  <si>
    <t>MSI GL63 8SE-421RU (9S7-16P732-421)</t>
  </si>
  <si>
    <t>Apple MacBook Pro 2018 MR9V2RU/A (MR9V2RU/A)</t>
  </si>
  <si>
    <t>Lenovo IdeaPad 530s-15 (81EV00D8RU)</t>
  </si>
  <si>
    <t>HP Envy x360 13-ag0000ur (4GQ85EA)</t>
  </si>
  <si>
    <t>Lenovo ThinkPad T480 (20L50000RT)</t>
  </si>
  <si>
    <t>Acer Aspire 3 A315-51-35BG (NX.GNPER.046)</t>
  </si>
  <si>
    <t>Монитор 23,8" Acer SA240YAbi, FHD, IPS, HDMI, DVI, VGA, Черный UM.QS0EE.A01</t>
  </si>
  <si>
    <t>Монитор 23,8" HP ProDisplay P240va, FHD, VA, HDMI, VGA, DP, Черный N3H14AA</t>
  </si>
  <si>
    <t>Dell XPS 13 Ultrabook (9365-6232)</t>
  </si>
  <si>
    <t>Acer Aspire 3 A315-53-37WA (NX.H2BER.011)</t>
  </si>
  <si>
    <t>Lenovo IdeaPad 330-17 (81D7001LRU)</t>
  </si>
  <si>
    <t>Смартфон Huawei Y6 Prime 2018 DS 5,7(1440х720)IPS LTE Cam(13/5) MSM8917 
1.4ГГц(4) (2/16)Гб microSD до 256Гб A8.0 3000мАч Черный 51092KQF</t>
  </si>
  <si>
    <t>Смартфон Apple iPhone XS 512Gb Gold Золотистый MT9N2RU/A</t>
  </si>
  <si>
    <t>Lenovo ThinkPad L390 (20NR001JRT)</t>
  </si>
  <si>
    <t>Lenovo IdeaPad 330s-14 (81F80036RU)</t>
  </si>
  <si>
    <t>MSI GE63 8SE-235RU Raider RGB Edition (9S7-16P722-235)</t>
  </si>
  <si>
    <t>Dell Inspiron 5570 (5570-7857)</t>
  </si>
  <si>
    <t>HP Spectre x360 13-ae013ur (2VZ73EA)</t>
  </si>
  <si>
    <t>Смартфон Samsung Galaxy J3 2017 SM-J330F DS 5(1280x720) LTE Cam(13/5) 
Exynos 7570 1.4ГГц(4) (2/16)Гб A7.0 2400мАч Золотистый SM-J330FZDDSER</t>
  </si>
  <si>
    <t>Смартфон ASUS Zenfone Lite L1 G553KL DS 5,5(1440x720)IPS LTE Cam (13/5) 
MSM8937 1.4ГГц(8) (2/32)Гб A8.0 3000мАч Черный 90AX00R1-M01630</t>
  </si>
  <si>
    <t>HP 240 G6 (4BD04EA)</t>
  </si>
  <si>
    <t>ASUS Zenbook UX410UA-GV503T (90NB0DL3-M10950)</t>
  </si>
  <si>
    <t>Планшет Xiaomi Mi Pad 4 8,0(1920x1200)IPS Cam (13/5) SDM660 2.2ГГц(8) 
(3/32)Гб microSD до 256Гб A8.1 6000мАч Золотистый 1101208</t>
  </si>
  <si>
    <t>Lenovo Yoga 730-15 (81JS000QRU)</t>
  </si>
  <si>
    <t>Acer Aspire 7 A717-72G-54W4 (NH.GXDER.001)</t>
  </si>
  <si>
    <t>Dell Inspiron 5570 (5570-9164)</t>
  </si>
  <si>
    <t>HP Pavilion 13-an0041ur (5CR58EA)</t>
  </si>
  <si>
    <t>ASUS X540MA-GQ064 (90NB0IR1-M00820)</t>
  </si>
  <si>
    <t>Acer Swift SF314-56G-71YC (NX.H4XER.004)</t>
  </si>
  <si>
    <t>HP 250 G6 (1XN73EA)</t>
  </si>
  <si>
    <t>Acer Swift SF314-54G-5201 (NX.GY0ER.005)</t>
  </si>
  <si>
    <t>MSI GL73 8RD-248XRU (9S7-17C612-248)</t>
  </si>
  <si>
    <t>HP Stream 14-ax014ur (2EQ31EA)</t>
  </si>
  <si>
    <t>Планшет Samsung Galaxy TAB S2 9.7(2048x1536) LTE Cam(8/2.1) Exynos 5433 
1900МГц(8) (3/32)Гб microSD до 128Гб A6.0 GPS 5870мАч Черный SM-T819NZKESER</t>
  </si>
  <si>
    <t>HP Pavilion 13-an0030ur (5CV30EA)</t>
  </si>
  <si>
    <t>Lenovo IdeaPad 330-15 (81D10087RU)</t>
  </si>
  <si>
    <t>ASUS VivoBook 15 X542UN-DM163T (90NB0G82-M02680)</t>
  </si>
  <si>
    <t>Apple MacBook Air 2018 MREA2RU/A (MREA2RU/A)</t>
  </si>
  <si>
    <t>Acer Extensa EX2519-C5G3 (NX.EFAER.071)</t>
  </si>
  <si>
    <t>HP 15-da0173ur (4MY55EA)</t>
  </si>
  <si>
    <t>HP 17-ca0030ur (4JV93EA)</t>
  </si>
  <si>
    <t>Acer Aspire 3 A315-51-541Z (NX.GNPER.039)</t>
  </si>
  <si>
    <t>Lenovo IdeaPad 720S-14 (81BD000CRK)</t>
  </si>
  <si>
    <t>ASUS X507MA-EJ056 (90NB0HL1-M02580)</t>
  </si>
  <si>
    <t>HP EliteBook x360 1030 G2 (Z2W63EA)</t>
  </si>
  <si>
    <t>Lenovo IdeaPad 530s-14 (81H10022RU)</t>
  </si>
  <si>
    <t>ASUS Zenbook S UX391UA-EG024R (90NB0D91-M02850)</t>
  </si>
  <si>
    <t>Dell Vostro 5581 (5581-7501)</t>
  </si>
  <si>
    <t>Смартфон HTC U Ultra DS 5,7(2560x1440) LTE Cam(12/16) MSM8996 2.15ГГц(4) 
(4/64)Гб microSD до 2Тб A7.0 3000мАч Белый 99HALU071-00</t>
  </si>
  <si>
    <t>Lenovo IdeaPad 330-17 (81DM000RRU)</t>
  </si>
  <si>
    <t>Apple MacBook Air 2018 MRE82RU/A (MRE82RU/A)</t>
  </si>
  <si>
    <t>Acer Aspire 3 A315-51-58YD (NX.GNPER.016)</t>
  </si>
  <si>
    <t>Монитор 24" Acer K242HLbid, FHD, TN, HDMI, DVI, VGA, Черный UM.FX3EE.002</t>
  </si>
  <si>
    <t>Монитор 21,5" Acer K222HQLbid, FHD, TN, HDMI, DVI, VGA, Черный UM.WW3EE.006</t>
  </si>
  <si>
    <t>HP 15-db0116ur (4JW58EA)</t>
  </si>
  <si>
    <t>Lenovo IdeaPad 330-15 (81D600FRRU)</t>
  </si>
  <si>
    <t>Dell G3 3579 (G315-7275)</t>
  </si>
  <si>
    <t>Смартфон Apple iPhone XR 64Gb Coral Коралловый MRY82RU/A</t>
  </si>
  <si>
    <t>Смартфон Meizu 15 Plus 64Gb DS 5.95(2560x1440) LTE Cam(12d/20) Exynos 8895 
2,5ГГц(8) (6/64)Гб A7.1 3500мАч Черный M891H-64-BK</t>
  </si>
  <si>
    <t>Acer Swift SF515-51T-7749 (NX.H7QER.003)</t>
  </si>
  <si>
    <t>Смартфон Motorola Moto G5S XT1794 DS 5,2(1920x1080)IPS LTE Cam(16/5) 
MSM8937 1.4ГГц(8) (3/32)Гб microSD 128Гб A7.0 3000мАч Золотистый PA7W0022RU</t>
  </si>
  <si>
    <t>Dell Inspiron 3576 (3576-5232)</t>
  </si>
  <si>
    <t>Смартфон Sony Xperia XA1 Plus Dual 5.5(1920x1080)IPS LTE Cam(23/8) MT6757 
2.3ГГц(8) (4/32)Гб microSD до 256Гб A7.0 3430мАч Синий G3412Blue</t>
  </si>
  <si>
    <t>Смартфон Nokia 5.1 Plus DS 5,86(1520x720)IPS LTE Cam(13+5/8) MT6771 
1800МГц(8) (3/32)Гб A8.0 3060мАч Белый 11PDAW01A01</t>
  </si>
  <si>
    <t>Dell Alienware 15 R4 (A15-7749)</t>
  </si>
  <si>
    <t>Смартфон LG G7 ThinQ G710E 6,1(3120x1440) LTE Cam (16d/8) SDM845 2800MГц(8) 
(4/64)Гб A8.0 3000мАч Синий LMG710EMW.ACISBL</t>
  </si>
  <si>
    <t>Смартфон Samsung Galaxy J2 Prime SM-G532F DS 5(960х540)LTE Cam(8/5) MT6737T 
1.4ГГц(4) (1,5/8)Гб A6.0 2600мАч Золотистый металлик SM-G532FMDDSER</t>
  </si>
  <si>
    <t>Acer Swift SF515-51T-79UF (NX.H69ER.003)</t>
  </si>
  <si>
    <t>Dell Latitude 7390 (7390-8157)</t>
  </si>
  <si>
    <t>Lenovo V130-15 (81HN00KSRU)</t>
  </si>
  <si>
    <t>Lenovo IdeaPad 330-15 (81D200KWRU)</t>
  </si>
  <si>
    <t>Acer Aspire 3 A315-41G-R07E (NX.GYBER.025)</t>
  </si>
  <si>
    <t>HP Envy 13-ah0006ur (4GS55EA)</t>
  </si>
  <si>
    <t>Lenovo IdeaPad 330-17 (81D7001JRU)</t>
  </si>
  <si>
    <t>HP 15-da1012ur (5SW27EA)</t>
  </si>
  <si>
    <t>Acer Aspire 3 A315-41G-R210 (NX.GYBER.024)</t>
  </si>
  <si>
    <t>Acer Aspire 3 A315-51-54GL (NX.GNPER.037)</t>
  </si>
  <si>
    <t>HP Envy x360 15-cp0009ur (4TT97EA)</t>
  </si>
  <si>
    <t>Dell Vostro 5568 (5568-7257)</t>
  </si>
  <si>
    <t>Acer Swift SF314-52G-56CD (NX.GQWER.005)</t>
  </si>
  <si>
    <t>HP 15-bw058ur (2CQ06EA)</t>
  </si>
  <si>
    <t>Средний остаток по указанным филиалам</t>
  </si>
  <si>
    <t>ДСРЗНАЧ/DAVERAGE</t>
  </si>
  <si>
    <t>*ЯД*</t>
  </si>
  <si>
    <t>*GA*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</si>
</sst>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0.0"/>
    <numFmt numFmtId="166" formatCode="d\.m\.yyyy"/>
  </numFmts>
  <fonts count="4" x14ac:knownFonts="1">
    <font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</fills>
  <borders count="7">
    <border>
      <left/>
      <right/>
      <top/>
      <bottom/>
      <diagonal/>
    </border>
    <border>
      <left style="medium">
        <color rgb="FF4A86E8"/>
      </left>
      <right style="medium">
        <color rgb="FF4A86E8"/>
      </right>
      <top style="medium">
        <color rgb="FF4A86E8"/>
      </top>
      <bottom/>
      <diagonal/>
    </border>
    <border>
      <left style="medium">
        <color rgb="FF4A86E8"/>
      </left>
      <right style="medium">
        <color rgb="FF4A86E8"/>
      </right>
      <top/>
      <bottom/>
      <diagonal/>
    </border>
    <border>
      <left style="medium">
        <color rgb="FF4A86E8"/>
      </left>
      <right style="medium">
        <color rgb="FF4A86E8"/>
      </right>
      <top/>
      <bottom style="medium">
        <color rgb="FF4A86E8"/>
      </bottom>
      <diagonal/>
    </border>
    <border>
      <left style="medium">
        <color rgb="FF4A86E8"/>
      </left>
      <right/>
      <top/>
      <bottom/>
      <diagonal/>
    </border>
    <border>
      <left/>
      <right style="medium">
        <color rgb="FF4A86E8"/>
      </right>
      <top/>
      <bottom/>
      <diagonal/>
    </border>
    <border>
      <left style="medium">
        <color rgb="FF4A86E8"/>
      </left>
      <right/>
      <top/>
      <bottom style="medium">
        <color rgb="FF4A86E8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 applyAlignment="1"/>
    <xf numFmtId="3" fontId="1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/>
    <xf numFmtId="0" fontId="3" fillId="2" borderId="0" xfId="0" applyFont="1" applyFill="1" applyAlignment="1"/>
    <xf numFmtId="164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2" borderId="2" xfId="0" applyFont="1" applyFill="1" applyBorder="1" applyAlignment="1"/>
    <xf numFmtId="0" fontId="2" fillId="0" borderId="2" xfId="0" applyFont="1" applyBorder="1"/>
    <xf numFmtId="0" fontId="2" fillId="0" borderId="3" xfId="0" applyFont="1" applyBorder="1"/>
    <xf numFmtId="0" fontId="2" fillId="0" borderId="0" xfId="0" applyFont="1" applyAlignment="1"/>
    <xf numFmtId="165" fontId="2" fillId="4" borderId="0" xfId="0" applyNumberFormat="1" applyFont="1" applyFill="1" applyAlignment="1">
      <alignment horizontal="center"/>
    </xf>
    <xf numFmtId="166" fontId="2" fillId="0" borderId="0" xfId="0" applyNumberFormat="1" applyFont="1" applyAlignment="1">
      <alignment horizontal="right"/>
    </xf>
    <xf numFmtId="3" fontId="2" fillId="4" borderId="0" xfId="0" applyNumberFormat="1" applyFont="1" applyFill="1" applyAlignment="1">
      <alignment horizontal="center"/>
    </xf>
    <xf numFmtId="0" fontId="2" fillId="0" borderId="4" xfId="0" applyFont="1" applyBorder="1" applyAlignment="1"/>
    <xf numFmtId="0" fontId="2" fillId="0" borderId="5" xfId="0" applyFont="1" applyBorder="1" applyAlignment="1"/>
    <xf numFmtId="0" fontId="2" fillId="0" borderId="6" xfId="0" applyFont="1" applyBorder="1" applyAlignment="1"/>
    <xf numFmtId="0" fontId="2" fillId="0" borderId="0" xfId="0" applyFont="1" applyAlignment="1"/>
    <xf numFmtId="0" fontId="2" fillId="4" borderId="0" xfId="0" applyFont="1" applyFill="1" applyAlignment="1"/>
    <xf numFmtId="0" fontId="2" fillId="0" borderId="0" xfId="0" applyFont="1" applyAlignment="1">
      <alignment horizontal="center"/>
    </xf>
    <xf numFmtId="0" fontId="2" fillId="0" borderId="1" xfId="0" applyFont="1" applyBorder="1" applyAlignment="1"/>
    <xf numFmtId="3" fontId="2" fillId="4" borderId="0" xfId="0" applyNumberFormat="1" applyFont="1" applyFill="1" applyAlignment="1">
      <alignment horizontal="center" vertical="center"/>
    </xf>
    <xf numFmtId="3" fontId="2" fillId="0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0" fillId="0" borderId="0" xfId="0" applyFont="1" applyAlignment="1"/>
    <xf numFmtId="0" fontId="2" fillId="3" borderId="0" xfId="0" applyFont="1" applyFill="1" applyAlignment="1">
      <alignment horizontal="center" vertical="center" wrapText="1"/>
    </xf>
    <xf numFmtId="0" fontId="2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19"/>
  <sheetViews>
    <sheetView topLeftCell="B1" workbookViewId="0">
      <pane ySplit="1" topLeftCell="A10" activePane="bottomLeft" state="frozen"/>
      <selection pane="bottomLeft" activeCell="J26" sqref="J26"/>
    </sheetView>
  </sheetViews>
  <sheetFormatPr defaultColWidth="14.44140625" defaultRowHeight="15.75" customHeight="1" x14ac:dyDescent="0.4"/>
  <cols>
    <col min="9" max="9" width="23.5546875" customWidth="1"/>
  </cols>
  <sheetData>
    <row r="1" spans="1:11" ht="15.75" customHeight="1" x14ac:dyDescent="0.4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</row>
    <row r="2" spans="1:11" ht="15.75" customHeight="1" x14ac:dyDescent="0.4">
      <c r="A2" s="4">
        <f t="shared" ref="A2:A119" si="0">WEEKNUM(D2)</f>
        <v>40</v>
      </c>
      <c r="B2" s="5" t="s">
        <v>7</v>
      </c>
      <c r="C2" s="6" t="s">
        <v>8</v>
      </c>
      <c r="D2" s="7">
        <v>44106</v>
      </c>
      <c r="E2" s="4">
        <v>208</v>
      </c>
      <c r="F2" s="4">
        <v>17</v>
      </c>
      <c r="G2" s="8">
        <v>688</v>
      </c>
    </row>
    <row r="3" spans="1:11" ht="15.75" customHeight="1" x14ac:dyDescent="0.4">
      <c r="A3" s="4">
        <f t="shared" si="0"/>
        <v>40</v>
      </c>
      <c r="B3" s="5" t="s">
        <v>7</v>
      </c>
      <c r="C3" s="6" t="s">
        <v>8</v>
      </c>
      <c r="D3" s="7">
        <v>44107</v>
      </c>
      <c r="E3" s="4">
        <v>338</v>
      </c>
      <c r="F3" s="4">
        <v>61</v>
      </c>
      <c r="G3" s="8">
        <v>4206</v>
      </c>
      <c r="I3" s="25" t="s">
        <v>9</v>
      </c>
      <c r="J3" s="26"/>
      <c r="K3" s="26"/>
    </row>
    <row r="4" spans="1:11" ht="15.75" customHeight="1" x14ac:dyDescent="0.4">
      <c r="A4" s="4">
        <f t="shared" si="0"/>
        <v>41</v>
      </c>
      <c r="B4" s="5" t="s">
        <v>7</v>
      </c>
      <c r="C4" s="6" t="s">
        <v>8</v>
      </c>
      <c r="D4" s="7">
        <v>44108</v>
      </c>
      <c r="E4" s="4">
        <v>405</v>
      </c>
      <c r="F4" s="4">
        <v>55</v>
      </c>
      <c r="G4" s="8">
        <v>966</v>
      </c>
      <c r="I4" s="2" t="s">
        <v>2</v>
      </c>
    </row>
    <row r="5" spans="1:11" ht="15.75" customHeight="1" x14ac:dyDescent="0.4">
      <c r="A5" s="4">
        <f t="shared" si="0"/>
        <v>41</v>
      </c>
      <c r="B5" s="5" t="s">
        <v>7</v>
      </c>
      <c r="C5" s="6" t="s">
        <v>8</v>
      </c>
      <c r="D5" s="7">
        <v>44109</v>
      </c>
      <c r="E5" s="4">
        <v>215</v>
      </c>
      <c r="F5" s="4">
        <v>65</v>
      </c>
      <c r="G5" s="8">
        <v>4725</v>
      </c>
      <c r="I5" s="9" t="s">
        <v>8</v>
      </c>
    </row>
    <row r="6" spans="1:11" ht="15.75" customHeight="1" x14ac:dyDescent="0.4">
      <c r="A6" s="4">
        <f t="shared" si="0"/>
        <v>41</v>
      </c>
      <c r="B6" s="5" t="s">
        <v>7</v>
      </c>
      <c r="C6" s="6" t="s">
        <v>8</v>
      </c>
      <c r="D6" s="7">
        <v>44110</v>
      </c>
      <c r="E6" s="4">
        <v>194</v>
      </c>
      <c r="F6" s="4">
        <v>80</v>
      </c>
      <c r="G6" s="8">
        <v>3291</v>
      </c>
      <c r="I6" s="10" t="s">
        <v>10</v>
      </c>
    </row>
    <row r="7" spans="1:11" ht="15.75" customHeight="1" x14ac:dyDescent="0.4">
      <c r="A7" s="4">
        <f t="shared" si="0"/>
        <v>41</v>
      </c>
      <c r="B7" s="5" t="s">
        <v>7</v>
      </c>
      <c r="C7" s="6" t="s">
        <v>8</v>
      </c>
      <c r="D7" s="7">
        <v>44111</v>
      </c>
      <c r="E7" s="4">
        <v>266</v>
      </c>
      <c r="F7" s="4">
        <v>98</v>
      </c>
      <c r="G7" s="8">
        <v>5329</v>
      </c>
      <c r="I7" s="11" t="s">
        <v>13</v>
      </c>
    </row>
    <row r="8" spans="1:11" ht="15.75" customHeight="1" x14ac:dyDescent="0.4">
      <c r="A8" s="4">
        <f t="shared" si="0"/>
        <v>41</v>
      </c>
      <c r="B8" s="5" t="s">
        <v>7</v>
      </c>
      <c r="C8" s="6" t="s">
        <v>8</v>
      </c>
      <c r="D8" s="7">
        <v>44112</v>
      </c>
      <c r="E8" s="4">
        <v>135</v>
      </c>
      <c r="F8" s="4">
        <v>55</v>
      </c>
      <c r="G8" s="8">
        <v>1932</v>
      </c>
    </row>
    <row r="9" spans="1:11" ht="15.75" customHeight="1" x14ac:dyDescent="0.4">
      <c r="A9" s="4">
        <f t="shared" si="0"/>
        <v>41</v>
      </c>
      <c r="B9" s="5" t="s">
        <v>7</v>
      </c>
      <c r="C9" s="6" t="s">
        <v>8</v>
      </c>
      <c r="D9" s="7">
        <v>44113</v>
      </c>
      <c r="E9" s="4">
        <v>149</v>
      </c>
      <c r="F9" s="4">
        <v>29</v>
      </c>
      <c r="G9" s="8">
        <v>1447</v>
      </c>
      <c r="I9" s="12"/>
      <c r="J9" s="13">
        <f>DAVERAGE(A1:G119,F1,I4:I7)</f>
        <v>232.86138613861385</v>
      </c>
    </row>
    <row r="10" spans="1:11" ht="15.75" customHeight="1" x14ac:dyDescent="0.4">
      <c r="A10" s="4">
        <f t="shared" si="0"/>
        <v>41</v>
      </c>
      <c r="B10" s="5" t="s">
        <v>7</v>
      </c>
      <c r="C10" s="6" t="s">
        <v>8</v>
      </c>
      <c r="D10" s="14">
        <v>44114</v>
      </c>
      <c r="E10" s="4">
        <v>297</v>
      </c>
      <c r="F10" s="4">
        <v>41</v>
      </c>
      <c r="G10" s="8">
        <v>1617</v>
      </c>
    </row>
    <row r="11" spans="1:11" ht="15.75" customHeight="1" x14ac:dyDescent="0.4">
      <c r="A11" s="4">
        <f t="shared" si="0"/>
        <v>42</v>
      </c>
      <c r="B11" s="5" t="s">
        <v>7</v>
      </c>
      <c r="C11" s="6" t="s">
        <v>8</v>
      </c>
      <c r="D11" s="14">
        <v>44115</v>
      </c>
      <c r="E11" s="4">
        <v>12</v>
      </c>
      <c r="F11" s="4">
        <v>7</v>
      </c>
      <c r="G11" s="8">
        <v>4</v>
      </c>
      <c r="I11" s="27" t="s">
        <v>12</v>
      </c>
      <c r="J11" s="26"/>
      <c r="K11" s="26"/>
    </row>
    <row r="12" spans="1:11" ht="15.75" customHeight="1" x14ac:dyDescent="0.4">
      <c r="A12" s="4">
        <f t="shared" si="0"/>
        <v>42</v>
      </c>
      <c r="B12" s="5" t="s">
        <v>7</v>
      </c>
      <c r="C12" s="6" t="s">
        <v>8</v>
      </c>
      <c r="D12" s="14">
        <v>44116</v>
      </c>
      <c r="E12" s="4">
        <v>185</v>
      </c>
      <c r="F12" s="4">
        <v>45</v>
      </c>
      <c r="G12" s="8">
        <v>2952</v>
      </c>
      <c r="I12" s="26"/>
      <c r="J12" s="26"/>
      <c r="K12" s="26"/>
    </row>
    <row r="13" spans="1:11" ht="15.75" customHeight="1" x14ac:dyDescent="0.4">
      <c r="A13" s="4">
        <f t="shared" si="0"/>
        <v>42</v>
      </c>
      <c r="B13" s="5" t="s">
        <v>7</v>
      </c>
      <c r="C13" s="6" t="s">
        <v>8</v>
      </c>
      <c r="D13" s="14">
        <v>44117</v>
      </c>
      <c r="E13" s="4">
        <v>193</v>
      </c>
      <c r="F13" s="4">
        <v>48</v>
      </c>
      <c r="G13" s="8">
        <v>959</v>
      </c>
      <c r="I13" s="2" t="s">
        <v>1</v>
      </c>
      <c r="J13" s="2" t="s">
        <v>2</v>
      </c>
    </row>
    <row r="14" spans="1:11" ht="15.75" customHeight="1" x14ac:dyDescent="0.4">
      <c r="A14" s="4">
        <f t="shared" si="0"/>
        <v>42</v>
      </c>
      <c r="B14" s="5" t="s">
        <v>7</v>
      </c>
      <c r="C14" s="6" t="s">
        <v>8</v>
      </c>
      <c r="D14" s="14">
        <v>44118</v>
      </c>
      <c r="E14" s="4">
        <v>223</v>
      </c>
      <c r="F14" s="4">
        <v>156</v>
      </c>
      <c r="G14" s="8">
        <v>10105</v>
      </c>
      <c r="I14" s="19" t="s">
        <v>21</v>
      </c>
      <c r="J14" s="6" t="s">
        <v>13</v>
      </c>
    </row>
    <row r="15" spans="1:11" ht="15.75" customHeight="1" x14ac:dyDescent="0.4">
      <c r="A15" s="4">
        <f t="shared" si="0"/>
        <v>42</v>
      </c>
      <c r="B15" s="5" t="s">
        <v>7</v>
      </c>
      <c r="C15" s="6" t="s">
        <v>8</v>
      </c>
      <c r="D15" s="14">
        <v>44119</v>
      </c>
      <c r="E15" s="4">
        <v>41</v>
      </c>
      <c r="F15" s="4">
        <v>6</v>
      </c>
      <c r="G15" s="8">
        <v>3</v>
      </c>
      <c r="I15" s="19" t="s">
        <v>14</v>
      </c>
      <c r="J15" s="6" t="s">
        <v>10</v>
      </c>
    </row>
    <row r="16" spans="1:11" ht="15.75" customHeight="1" x14ac:dyDescent="0.4">
      <c r="A16" s="4">
        <f t="shared" si="0"/>
        <v>40</v>
      </c>
      <c r="B16" s="5" t="s">
        <v>7</v>
      </c>
      <c r="C16" s="6" t="s">
        <v>8</v>
      </c>
      <c r="D16" s="7">
        <v>44103</v>
      </c>
      <c r="E16" s="4">
        <v>353</v>
      </c>
      <c r="F16" s="4">
        <v>25</v>
      </c>
      <c r="G16" s="8">
        <v>1799</v>
      </c>
    </row>
    <row r="17" spans="1:13" ht="15.75" customHeight="1" x14ac:dyDescent="0.4">
      <c r="A17" s="4">
        <f t="shared" si="0"/>
        <v>40</v>
      </c>
      <c r="B17" s="5" t="s">
        <v>7</v>
      </c>
      <c r="C17" s="6" t="s">
        <v>8</v>
      </c>
      <c r="D17" s="7">
        <v>44104</v>
      </c>
      <c r="E17" s="4">
        <v>183</v>
      </c>
      <c r="F17" s="4">
        <v>33</v>
      </c>
      <c r="G17" s="8">
        <v>2142</v>
      </c>
      <c r="I17" s="12" t="s">
        <v>15</v>
      </c>
      <c r="J17" s="15">
        <f>DSUM(A1:G119,G1,I13:J15)</f>
        <v>132244</v>
      </c>
    </row>
    <row r="18" spans="1:13" ht="15.75" customHeight="1" x14ac:dyDescent="0.4">
      <c r="A18" s="4">
        <f t="shared" si="0"/>
        <v>40</v>
      </c>
      <c r="B18" s="5" t="s">
        <v>16</v>
      </c>
      <c r="C18" s="6" t="s">
        <v>8</v>
      </c>
      <c r="D18" s="7">
        <v>44106</v>
      </c>
      <c r="E18" s="4">
        <v>10867</v>
      </c>
      <c r="F18" s="4">
        <v>17</v>
      </c>
      <c r="G18" s="8">
        <v>1161</v>
      </c>
    </row>
    <row r="19" spans="1:13" ht="15.75" customHeight="1" x14ac:dyDescent="0.4">
      <c r="A19" s="4">
        <f t="shared" si="0"/>
        <v>40</v>
      </c>
      <c r="B19" s="5" t="s">
        <v>16</v>
      </c>
      <c r="C19" s="6" t="s">
        <v>8</v>
      </c>
      <c r="D19" s="7">
        <v>44107</v>
      </c>
      <c r="E19" s="4">
        <v>13016</v>
      </c>
      <c r="F19" s="4">
        <v>32</v>
      </c>
      <c r="G19" s="8">
        <v>946</v>
      </c>
      <c r="I19" s="27" t="s">
        <v>17</v>
      </c>
      <c r="J19" s="26"/>
      <c r="K19" s="26"/>
      <c r="L19" s="1" t="s">
        <v>5</v>
      </c>
      <c r="M19">
        <v>20</v>
      </c>
    </row>
    <row r="20" spans="1:13" ht="15.75" customHeight="1" x14ac:dyDescent="0.4">
      <c r="A20" s="4">
        <f t="shared" si="0"/>
        <v>41</v>
      </c>
      <c r="B20" s="5" t="s">
        <v>16</v>
      </c>
      <c r="C20" s="6" t="s">
        <v>8</v>
      </c>
      <c r="D20" s="7">
        <v>44108</v>
      </c>
      <c r="E20" s="4">
        <v>22332</v>
      </c>
      <c r="F20" s="4">
        <v>38</v>
      </c>
      <c r="G20" s="8">
        <v>994</v>
      </c>
      <c r="I20" s="26"/>
      <c r="J20" s="26"/>
      <c r="K20" s="26"/>
      <c r="L20" s="1" t="s">
        <v>4</v>
      </c>
      <c r="M20">
        <v>7000</v>
      </c>
    </row>
    <row r="21" spans="1:13" ht="15.75" customHeight="1" x14ac:dyDescent="0.4">
      <c r="A21" s="4">
        <f t="shared" si="0"/>
        <v>41</v>
      </c>
      <c r="B21" s="5" t="s">
        <v>16</v>
      </c>
      <c r="C21" s="6" t="s">
        <v>8</v>
      </c>
      <c r="D21" s="7">
        <v>44109</v>
      </c>
      <c r="E21" s="4">
        <v>20681</v>
      </c>
      <c r="F21" s="4">
        <v>20</v>
      </c>
      <c r="G21" s="8">
        <v>644</v>
      </c>
      <c r="I21" s="26"/>
      <c r="J21" s="26"/>
      <c r="K21" s="26"/>
    </row>
    <row r="22" spans="1:13" ht="15.75" customHeight="1" x14ac:dyDescent="0.4">
      <c r="A22" s="4">
        <f t="shared" si="0"/>
        <v>41</v>
      </c>
      <c r="B22" s="5" t="s">
        <v>16</v>
      </c>
      <c r="C22" s="6" t="s">
        <v>8</v>
      </c>
      <c r="D22" s="7">
        <v>44110</v>
      </c>
      <c r="E22" s="4">
        <v>26061</v>
      </c>
      <c r="F22" s="4">
        <v>31</v>
      </c>
      <c r="G22" s="8">
        <v>1237</v>
      </c>
      <c r="I22" s="2" t="s">
        <v>1</v>
      </c>
      <c r="J22" s="1" t="s">
        <v>4</v>
      </c>
      <c r="K22" s="1" t="s">
        <v>5</v>
      </c>
    </row>
    <row r="23" spans="1:13" ht="15.75" customHeight="1" x14ac:dyDescent="0.4">
      <c r="A23" s="4">
        <f t="shared" si="0"/>
        <v>41</v>
      </c>
      <c r="B23" s="5" t="s">
        <v>16</v>
      </c>
      <c r="C23" s="6" t="s">
        <v>8</v>
      </c>
      <c r="D23" s="7">
        <v>44111</v>
      </c>
      <c r="E23" s="4">
        <v>19190</v>
      </c>
      <c r="F23" s="4">
        <v>16</v>
      </c>
      <c r="G23" s="8">
        <v>666</v>
      </c>
      <c r="I23" s="16" t="s">
        <v>521</v>
      </c>
      <c r="J23" s="12" t="str">
        <f>"&gt;"&amp;$M$20</f>
        <v>&gt;7000</v>
      </c>
      <c r="K23" s="17" t="str">
        <f>"&gt;"&amp;$M$19</f>
        <v>&gt;20</v>
      </c>
    </row>
    <row r="24" spans="1:13" ht="15.75" customHeight="1" x14ac:dyDescent="0.4">
      <c r="A24" s="4">
        <f t="shared" si="0"/>
        <v>41</v>
      </c>
      <c r="B24" s="5" t="s">
        <v>16</v>
      </c>
      <c r="C24" s="6" t="s">
        <v>8</v>
      </c>
      <c r="D24" s="7">
        <v>44112</v>
      </c>
      <c r="E24" s="4">
        <v>18741</v>
      </c>
      <c r="F24" s="4">
        <v>11</v>
      </c>
      <c r="G24" s="8">
        <v>566</v>
      </c>
      <c r="I24" s="18" t="s">
        <v>522</v>
      </c>
      <c r="J24" s="19" t="str">
        <f>"&gt;"&amp;$M$20</f>
        <v>&gt;7000</v>
      </c>
      <c r="K24" s="17" t="str">
        <f>"&gt;"&amp;$M$19</f>
        <v>&gt;20</v>
      </c>
    </row>
    <row r="25" spans="1:13" ht="15.75" customHeight="1" x14ac:dyDescent="0.4">
      <c r="A25" s="4">
        <f t="shared" si="0"/>
        <v>41</v>
      </c>
      <c r="B25" s="5" t="s">
        <v>16</v>
      </c>
      <c r="C25" s="6" t="s">
        <v>8</v>
      </c>
      <c r="D25" s="7">
        <v>44113</v>
      </c>
      <c r="E25" s="4">
        <v>26314</v>
      </c>
      <c r="F25" s="4">
        <v>35</v>
      </c>
      <c r="G25" s="8">
        <v>1269</v>
      </c>
    </row>
    <row r="26" spans="1:13" ht="15.75" customHeight="1" x14ac:dyDescent="0.4">
      <c r="A26" s="4">
        <f t="shared" si="0"/>
        <v>41</v>
      </c>
      <c r="B26" s="5" t="s">
        <v>16</v>
      </c>
      <c r="C26" s="6" t="s">
        <v>8</v>
      </c>
      <c r="D26" s="14">
        <v>44114</v>
      </c>
      <c r="E26" s="4">
        <v>7521</v>
      </c>
      <c r="F26" s="4">
        <v>11</v>
      </c>
      <c r="G26" s="8">
        <v>198</v>
      </c>
      <c r="I26" s="12" t="s">
        <v>18</v>
      </c>
      <c r="J26" s="15">
        <f>DCOUNT(A1:G119,A1,I22:K24)</f>
        <v>39</v>
      </c>
    </row>
    <row r="27" spans="1:13" ht="15.75" customHeight="1" x14ac:dyDescent="0.4">
      <c r="A27" s="4">
        <f t="shared" si="0"/>
        <v>42</v>
      </c>
      <c r="B27" s="5" t="s">
        <v>16</v>
      </c>
      <c r="C27" s="6" t="s">
        <v>8</v>
      </c>
      <c r="D27" s="14">
        <v>44116</v>
      </c>
      <c r="E27" s="4">
        <v>1221</v>
      </c>
      <c r="F27" s="4">
        <v>9</v>
      </c>
      <c r="G27" s="8">
        <v>8</v>
      </c>
      <c r="I27" s="12"/>
    </row>
    <row r="28" spans="1:13" ht="15.75" customHeight="1" x14ac:dyDescent="0.4">
      <c r="A28" s="4">
        <f t="shared" si="0"/>
        <v>42</v>
      </c>
      <c r="B28" s="5" t="s">
        <v>16</v>
      </c>
      <c r="C28" s="6" t="s">
        <v>8</v>
      </c>
      <c r="D28" s="14">
        <v>44117</v>
      </c>
      <c r="E28" s="4">
        <v>10832</v>
      </c>
      <c r="F28" s="4">
        <v>50</v>
      </c>
      <c r="G28" s="8">
        <v>1441</v>
      </c>
    </row>
    <row r="29" spans="1:13" ht="12.3" x14ac:dyDescent="0.4">
      <c r="A29" s="4">
        <f t="shared" si="0"/>
        <v>42</v>
      </c>
      <c r="B29" s="5" t="s">
        <v>16</v>
      </c>
      <c r="C29" s="6" t="s">
        <v>8</v>
      </c>
      <c r="D29" s="14">
        <v>44118</v>
      </c>
      <c r="E29" s="4">
        <v>13427</v>
      </c>
      <c r="F29" s="4">
        <v>31</v>
      </c>
      <c r="G29" s="8">
        <v>2072</v>
      </c>
      <c r="I29" s="28"/>
      <c r="J29" s="24"/>
    </row>
    <row r="30" spans="1:13" ht="12.3" x14ac:dyDescent="0.4">
      <c r="A30" s="4">
        <f t="shared" si="0"/>
        <v>42</v>
      </c>
      <c r="B30" s="5" t="s">
        <v>16</v>
      </c>
      <c r="C30" s="6" t="s">
        <v>8</v>
      </c>
      <c r="D30" s="14">
        <v>44119</v>
      </c>
      <c r="E30" s="4">
        <v>9505</v>
      </c>
      <c r="F30" s="4">
        <v>16</v>
      </c>
      <c r="G30" s="8">
        <v>1076</v>
      </c>
      <c r="I30" s="26"/>
    </row>
    <row r="31" spans="1:13" ht="12.3" x14ac:dyDescent="0.4">
      <c r="A31" s="4">
        <f t="shared" si="0"/>
        <v>40</v>
      </c>
      <c r="B31" s="5" t="s">
        <v>16</v>
      </c>
      <c r="C31" s="6" t="s">
        <v>8</v>
      </c>
      <c r="D31" s="7">
        <v>44103</v>
      </c>
      <c r="E31" s="4">
        <v>11814</v>
      </c>
      <c r="F31" s="4">
        <v>23</v>
      </c>
      <c r="G31" s="8">
        <v>826</v>
      </c>
    </row>
    <row r="32" spans="1:13" ht="12.3" x14ac:dyDescent="0.4">
      <c r="A32" s="4">
        <f t="shared" si="0"/>
        <v>40</v>
      </c>
      <c r="B32" s="5" t="s">
        <v>16</v>
      </c>
      <c r="C32" s="6" t="s">
        <v>8</v>
      </c>
      <c r="D32" s="7">
        <v>44104</v>
      </c>
      <c r="E32" s="4">
        <v>6721</v>
      </c>
      <c r="F32" s="4">
        <v>8</v>
      </c>
      <c r="G32" s="8">
        <v>235</v>
      </c>
    </row>
    <row r="33" spans="1:7" ht="12.3" x14ac:dyDescent="0.4">
      <c r="A33" s="4">
        <f t="shared" si="0"/>
        <v>40</v>
      </c>
      <c r="B33" s="5" t="s">
        <v>19</v>
      </c>
      <c r="C33" s="6" t="s">
        <v>8</v>
      </c>
      <c r="D33" s="7">
        <v>44105</v>
      </c>
      <c r="E33" s="4">
        <v>2000</v>
      </c>
      <c r="F33" s="4">
        <v>11</v>
      </c>
      <c r="G33" s="8">
        <v>155</v>
      </c>
    </row>
    <row r="34" spans="1:7" ht="12.3" x14ac:dyDescent="0.4">
      <c r="A34" s="4">
        <f t="shared" si="0"/>
        <v>40</v>
      </c>
      <c r="B34" s="5" t="s">
        <v>19</v>
      </c>
      <c r="C34" s="6" t="s">
        <v>8</v>
      </c>
      <c r="D34" s="7">
        <v>44106</v>
      </c>
      <c r="E34" s="4">
        <v>65230</v>
      </c>
      <c r="F34" s="4">
        <v>123</v>
      </c>
      <c r="G34" s="8">
        <v>1740</v>
      </c>
    </row>
    <row r="35" spans="1:7" ht="12.3" x14ac:dyDescent="0.4">
      <c r="A35" s="4">
        <f t="shared" si="0"/>
        <v>40</v>
      </c>
      <c r="B35" s="5" t="s">
        <v>19</v>
      </c>
      <c r="C35" s="6" t="s">
        <v>8</v>
      </c>
      <c r="D35" s="7">
        <v>44107</v>
      </c>
      <c r="E35" s="4">
        <v>79477</v>
      </c>
      <c r="F35" s="4">
        <v>62</v>
      </c>
      <c r="G35" s="8">
        <v>2287</v>
      </c>
    </row>
    <row r="36" spans="1:7" ht="12.3" x14ac:dyDescent="0.4">
      <c r="A36" s="4">
        <f t="shared" si="0"/>
        <v>41</v>
      </c>
      <c r="B36" s="5" t="s">
        <v>19</v>
      </c>
      <c r="C36" s="6" t="s">
        <v>8</v>
      </c>
      <c r="D36" s="7">
        <v>44108</v>
      </c>
      <c r="E36" s="4">
        <v>49270</v>
      </c>
      <c r="F36" s="4">
        <v>76</v>
      </c>
      <c r="G36" s="8">
        <v>1273</v>
      </c>
    </row>
    <row r="37" spans="1:7" ht="12.3" x14ac:dyDescent="0.4">
      <c r="A37" s="4">
        <f t="shared" si="0"/>
        <v>41</v>
      </c>
      <c r="B37" s="5" t="s">
        <v>19</v>
      </c>
      <c r="C37" s="6" t="s">
        <v>8</v>
      </c>
      <c r="D37" s="7">
        <v>44109</v>
      </c>
      <c r="E37" s="4">
        <v>41098</v>
      </c>
      <c r="F37" s="4">
        <v>66</v>
      </c>
      <c r="G37" s="8">
        <v>1408</v>
      </c>
    </row>
    <row r="38" spans="1:7" ht="12.3" x14ac:dyDescent="0.4">
      <c r="A38" s="4">
        <f t="shared" si="0"/>
        <v>41</v>
      </c>
      <c r="B38" s="5" t="s">
        <v>19</v>
      </c>
      <c r="C38" s="6" t="s">
        <v>8</v>
      </c>
      <c r="D38" s="7">
        <v>44110</v>
      </c>
      <c r="E38" s="4">
        <v>46243</v>
      </c>
      <c r="F38" s="4">
        <v>70</v>
      </c>
      <c r="G38" s="8">
        <v>1837</v>
      </c>
    </row>
    <row r="39" spans="1:7" ht="12.3" x14ac:dyDescent="0.4">
      <c r="A39" s="4">
        <f t="shared" si="0"/>
        <v>41</v>
      </c>
      <c r="B39" s="5" t="s">
        <v>19</v>
      </c>
      <c r="C39" s="6" t="s">
        <v>8</v>
      </c>
      <c r="D39" s="7">
        <v>44111</v>
      </c>
      <c r="E39" s="4">
        <v>57735</v>
      </c>
      <c r="F39" s="4">
        <v>85</v>
      </c>
      <c r="G39" s="8">
        <v>2286</v>
      </c>
    </row>
    <row r="40" spans="1:7" ht="12.3" x14ac:dyDescent="0.4">
      <c r="A40" s="4">
        <f t="shared" si="0"/>
        <v>41</v>
      </c>
      <c r="B40" s="5" t="s">
        <v>19</v>
      </c>
      <c r="C40" s="6" t="s">
        <v>8</v>
      </c>
      <c r="D40" s="7">
        <v>44112</v>
      </c>
      <c r="E40" s="4">
        <v>56264</v>
      </c>
      <c r="F40" s="4">
        <v>55</v>
      </c>
      <c r="G40" s="8">
        <v>1312</v>
      </c>
    </row>
    <row r="41" spans="1:7" ht="12.3" x14ac:dyDescent="0.4">
      <c r="A41" s="4">
        <f t="shared" si="0"/>
        <v>41</v>
      </c>
      <c r="B41" s="5" t="s">
        <v>19</v>
      </c>
      <c r="C41" s="6" t="s">
        <v>8</v>
      </c>
      <c r="D41" s="7">
        <v>44113</v>
      </c>
      <c r="E41" s="4">
        <v>43716</v>
      </c>
      <c r="F41" s="4">
        <v>46</v>
      </c>
      <c r="G41" s="8">
        <v>1578</v>
      </c>
    </row>
    <row r="42" spans="1:7" ht="12.3" x14ac:dyDescent="0.4">
      <c r="A42" s="4">
        <f t="shared" si="0"/>
        <v>41</v>
      </c>
      <c r="B42" s="5" t="s">
        <v>19</v>
      </c>
      <c r="C42" s="6" t="s">
        <v>8</v>
      </c>
      <c r="D42" s="14">
        <v>44114</v>
      </c>
      <c r="E42" s="4">
        <v>38244</v>
      </c>
      <c r="F42" s="4">
        <v>48</v>
      </c>
      <c r="G42" s="8">
        <v>2184</v>
      </c>
    </row>
    <row r="43" spans="1:7" ht="12.3" x14ac:dyDescent="0.4">
      <c r="A43" s="4">
        <f t="shared" si="0"/>
        <v>42</v>
      </c>
      <c r="B43" s="5" t="s">
        <v>19</v>
      </c>
      <c r="C43" s="6" t="s">
        <v>8</v>
      </c>
      <c r="D43" s="14">
        <v>44115</v>
      </c>
      <c r="E43" s="4">
        <v>1362</v>
      </c>
      <c r="F43" s="4">
        <v>12</v>
      </c>
      <c r="G43" s="8">
        <v>97</v>
      </c>
    </row>
    <row r="44" spans="1:7" ht="12.3" x14ac:dyDescent="0.4">
      <c r="A44" s="4">
        <f t="shared" si="0"/>
        <v>42</v>
      </c>
      <c r="B44" s="5" t="s">
        <v>19</v>
      </c>
      <c r="C44" s="6" t="s">
        <v>8</v>
      </c>
      <c r="D44" s="14">
        <v>44116</v>
      </c>
      <c r="E44" s="4">
        <v>43807</v>
      </c>
      <c r="F44" s="4">
        <v>34</v>
      </c>
      <c r="G44" s="8">
        <v>1281</v>
      </c>
    </row>
    <row r="45" spans="1:7" ht="12.3" x14ac:dyDescent="0.4">
      <c r="A45" s="4">
        <f t="shared" si="0"/>
        <v>42</v>
      </c>
      <c r="B45" s="5" t="s">
        <v>19</v>
      </c>
      <c r="C45" s="6" t="s">
        <v>8</v>
      </c>
      <c r="D45" s="14">
        <v>44117</v>
      </c>
      <c r="E45" s="4">
        <v>53588</v>
      </c>
      <c r="F45" s="4">
        <v>45</v>
      </c>
      <c r="G45" s="8">
        <v>2137</v>
      </c>
    </row>
    <row r="46" spans="1:7" ht="12.3" x14ac:dyDescent="0.4">
      <c r="A46" s="4">
        <f t="shared" si="0"/>
        <v>42</v>
      </c>
      <c r="B46" s="5" t="s">
        <v>19</v>
      </c>
      <c r="C46" s="6" t="s">
        <v>8</v>
      </c>
      <c r="D46" s="14">
        <v>44118</v>
      </c>
      <c r="E46" s="4">
        <v>44457</v>
      </c>
      <c r="F46" s="4">
        <v>60</v>
      </c>
      <c r="G46" s="8">
        <v>1254</v>
      </c>
    </row>
    <row r="47" spans="1:7" ht="12.3" x14ac:dyDescent="0.4">
      <c r="A47" s="4">
        <f t="shared" si="0"/>
        <v>42</v>
      </c>
      <c r="B47" s="5" t="s">
        <v>19</v>
      </c>
      <c r="C47" s="6" t="s">
        <v>8</v>
      </c>
      <c r="D47" s="14">
        <v>44119</v>
      </c>
      <c r="E47" s="4">
        <v>15032</v>
      </c>
      <c r="F47" s="4">
        <v>30</v>
      </c>
      <c r="G47" s="8">
        <v>809</v>
      </c>
    </row>
    <row r="48" spans="1:7" ht="12.3" x14ac:dyDescent="0.4">
      <c r="A48" s="4">
        <f t="shared" si="0"/>
        <v>40</v>
      </c>
      <c r="B48" s="5" t="s">
        <v>19</v>
      </c>
      <c r="C48" s="6" t="s">
        <v>8</v>
      </c>
      <c r="D48" s="7">
        <v>44103</v>
      </c>
      <c r="E48" s="4">
        <v>120555</v>
      </c>
      <c r="F48" s="4">
        <v>67</v>
      </c>
      <c r="G48" s="8">
        <v>2058</v>
      </c>
    </row>
    <row r="49" spans="1:7" ht="12.3" x14ac:dyDescent="0.4">
      <c r="A49" s="4">
        <f t="shared" si="0"/>
        <v>40</v>
      </c>
      <c r="B49" s="5" t="s">
        <v>19</v>
      </c>
      <c r="C49" s="6" t="s">
        <v>8</v>
      </c>
      <c r="D49" s="7">
        <v>44104</v>
      </c>
      <c r="E49" s="4">
        <v>38609</v>
      </c>
      <c r="F49" s="4">
        <v>31</v>
      </c>
      <c r="G49" s="8">
        <v>1052</v>
      </c>
    </row>
    <row r="50" spans="1:7" ht="12.3" x14ac:dyDescent="0.4">
      <c r="A50" s="4">
        <f t="shared" si="0"/>
        <v>40</v>
      </c>
      <c r="B50" s="5" t="s">
        <v>20</v>
      </c>
      <c r="C50" s="6" t="s">
        <v>13</v>
      </c>
      <c r="D50" s="7">
        <v>44106</v>
      </c>
      <c r="E50" s="4">
        <v>285659</v>
      </c>
      <c r="F50" s="4">
        <v>194</v>
      </c>
      <c r="G50" s="8">
        <v>5156</v>
      </c>
    </row>
    <row r="51" spans="1:7" ht="12.3" x14ac:dyDescent="0.4">
      <c r="A51" s="4">
        <f t="shared" si="0"/>
        <v>40</v>
      </c>
      <c r="B51" s="5" t="s">
        <v>20</v>
      </c>
      <c r="C51" s="6" t="s">
        <v>13</v>
      </c>
      <c r="D51" s="7">
        <v>44107</v>
      </c>
      <c r="E51" s="4">
        <v>222248</v>
      </c>
      <c r="F51" s="4">
        <v>260</v>
      </c>
      <c r="G51" s="8">
        <v>3128</v>
      </c>
    </row>
    <row r="52" spans="1:7" ht="12.3" x14ac:dyDescent="0.4">
      <c r="A52" s="4">
        <f t="shared" si="0"/>
        <v>41</v>
      </c>
      <c r="B52" s="5" t="s">
        <v>20</v>
      </c>
      <c r="C52" s="6" t="s">
        <v>13</v>
      </c>
      <c r="D52" s="7">
        <v>44108</v>
      </c>
      <c r="E52" s="4">
        <v>1020082</v>
      </c>
      <c r="F52" s="4">
        <v>518</v>
      </c>
      <c r="G52" s="8">
        <v>9596</v>
      </c>
    </row>
    <row r="53" spans="1:7" ht="12.3" x14ac:dyDescent="0.4">
      <c r="A53" s="4">
        <f t="shared" si="0"/>
        <v>41</v>
      </c>
      <c r="B53" s="5" t="s">
        <v>20</v>
      </c>
      <c r="C53" s="6" t="s">
        <v>13</v>
      </c>
      <c r="D53" s="7">
        <v>44109</v>
      </c>
      <c r="E53" s="4">
        <v>685675</v>
      </c>
      <c r="F53" s="4">
        <v>1752</v>
      </c>
      <c r="G53" s="8">
        <v>4445</v>
      </c>
    </row>
    <row r="54" spans="1:7" ht="12.3" x14ac:dyDescent="0.4">
      <c r="A54" s="4">
        <f t="shared" si="0"/>
        <v>41</v>
      </c>
      <c r="B54" s="5" t="s">
        <v>20</v>
      </c>
      <c r="C54" s="6" t="s">
        <v>13</v>
      </c>
      <c r="D54" s="7">
        <v>44110</v>
      </c>
      <c r="E54" s="4">
        <v>952186</v>
      </c>
      <c r="F54" s="4">
        <v>130</v>
      </c>
      <c r="G54" s="8">
        <v>5911</v>
      </c>
    </row>
    <row r="55" spans="1:7" ht="12.3" x14ac:dyDescent="0.4">
      <c r="A55" s="4">
        <f t="shared" si="0"/>
        <v>41</v>
      </c>
      <c r="B55" s="5" t="s">
        <v>20</v>
      </c>
      <c r="C55" s="6" t="s">
        <v>13</v>
      </c>
      <c r="D55" s="7">
        <v>44111</v>
      </c>
      <c r="E55" s="4">
        <v>507707</v>
      </c>
      <c r="F55" s="4">
        <v>184</v>
      </c>
      <c r="G55" s="8">
        <v>3945</v>
      </c>
    </row>
    <row r="56" spans="1:7" ht="12.3" x14ac:dyDescent="0.4">
      <c r="A56" s="4">
        <f t="shared" si="0"/>
        <v>41</v>
      </c>
      <c r="B56" s="5" t="s">
        <v>20</v>
      </c>
      <c r="C56" s="6" t="s">
        <v>13</v>
      </c>
      <c r="D56" s="7">
        <v>44112</v>
      </c>
      <c r="E56" s="4">
        <v>1242361</v>
      </c>
      <c r="F56" s="4">
        <v>982</v>
      </c>
      <c r="G56" s="8">
        <v>10904</v>
      </c>
    </row>
    <row r="57" spans="1:7" ht="12.3" x14ac:dyDescent="0.4">
      <c r="A57" s="4">
        <f t="shared" si="0"/>
        <v>41</v>
      </c>
      <c r="B57" s="5" t="s">
        <v>20</v>
      </c>
      <c r="C57" s="6" t="s">
        <v>13</v>
      </c>
      <c r="D57" s="7">
        <v>44113</v>
      </c>
      <c r="E57" s="4">
        <v>877567</v>
      </c>
      <c r="F57" s="4">
        <v>2329</v>
      </c>
      <c r="G57" s="8">
        <v>6980</v>
      </c>
    </row>
    <row r="58" spans="1:7" ht="12.3" x14ac:dyDescent="0.4">
      <c r="A58" s="4">
        <f t="shared" si="0"/>
        <v>41</v>
      </c>
      <c r="B58" s="5" t="s">
        <v>20</v>
      </c>
      <c r="C58" s="6" t="s">
        <v>13</v>
      </c>
      <c r="D58" s="14">
        <v>44114</v>
      </c>
      <c r="E58" s="4">
        <v>741182</v>
      </c>
      <c r="F58" s="4">
        <v>1133</v>
      </c>
      <c r="G58" s="8">
        <v>4110</v>
      </c>
    </row>
    <row r="59" spans="1:7" ht="12.3" x14ac:dyDescent="0.4">
      <c r="A59" s="4">
        <f t="shared" si="0"/>
        <v>42</v>
      </c>
      <c r="B59" s="5" t="s">
        <v>20</v>
      </c>
      <c r="C59" s="6" t="s">
        <v>13</v>
      </c>
      <c r="D59" s="14">
        <v>44115</v>
      </c>
      <c r="E59" s="4">
        <v>661808</v>
      </c>
      <c r="F59" s="4">
        <v>709</v>
      </c>
      <c r="G59" s="8">
        <v>8663</v>
      </c>
    </row>
    <row r="60" spans="1:7" ht="12.3" x14ac:dyDescent="0.4">
      <c r="A60" s="4">
        <f t="shared" si="0"/>
        <v>42</v>
      </c>
      <c r="B60" s="5" t="s">
        <v>20</v>
      </c>
      <c r="C60" s="6" t="s">
        <v>13</v>
      </c>
      <c r="D60" s="14">
        <v>44116</v>
      </c>
      <c r="E60" s="4">
        <v>1045303</v>
      </c>
      <c r="F60" s="4">
        <v>111</v>
      </c>
      <c r="G60" s="8">
        <v>3364</v>
      </c>
    </row>
    <row r="61" spans="1:7" ht="12.3" x14ac:dyDescent="0.4">
      <c r="A61" s="4">
        <f t="shared" si="0"/>
        <v>42</v>
      </c>
      <c r="B61" s="5" t="s">
        <v>20</v>
      </c>
      <c r="C61" s="6" t="s">
        <v>13</v>
      </c>
      <c r="D61" s="14">
        <v>44117</v>
      </c>
      <c r="E61" s="4">
        <v>514487</v>
      </c>
      <c r="F61" s="4">
        <v>403</v>
      </c>
      <c r="G61" s="8">
        <v>10213</v>
      </c>
    </row>
    <row r="62" spans="1:7" ht="12.3" x14ac:dyDescent="0.4">
      <c r="A62" s="4">
        <f t="shared" si="0"/>
        <v>42</v>
      </c>
      <c r="B62" s="5" t="s">
        <v>20</v>
      </c>
      <c r="C62" s="6" t="s">
        <v>13</v>
      </c>
      <c r="D62" s="14">
        <v>44118</v>
      </c>
      <c r="E62" s="4">
        <v>470382</v>
      </c>
      <c r="F62" s="4">
        <v>1572</v>
      </c>
      <c r="G62" s="8">
        <v>7006</v>
      </c>
    </row>
    <row r="63" spans="1:7" ht="12.3" x14ac:dyDescent="0.4">
      <c r="A63" s="4">
        <f t="shared" si="0"/>
        <v>42</v>
      </c>
      <c r="B63" s="5" t="s">
        <v>20</v>
      </c>
      <c r="C63" s="6" t="s">
        <v>13</v>
      </c>
      <c r="D63" s="14">
        <v>44119</v>
      </c>
      <c r="E63" s="4">
        <v>1321977</v>
      </c>
      <c r="F63" s="4">
        <v>1095</v>
      </c>
      <c r="G63" s="8">
        <v>5986</v>
      </c>
    </row>
    <row r="64" spans="1:7" ht="12.3" x14ac:dyDescent="0.4">
      <c r="A64" s="4">
        <f t="shared" si="0"/>
        <v>40</v>
      </c>
      <c r="B64" s="5" t="s">
        <v>20</v>
      </c>
      <c r="C64" s="6" t="s">
        <v>13</v>
      </c>
      <c r="D64" s="7">
        <v>44103</v>
      </c>
      <c r="E64" s="4">
        <v>187165</v>
      </c>
      <c r="F64" s="4">
        <v>175</v>
      </c>
      <c r="G64" s="8">
        <v>8970</v>
      </c>
    </row>
    <row r="65" spans="1:7" ht="12.3" x14ac:dyDescent="0.4">
      <c r="A65" s="4">
        <f t="shared" si="0"/>
        <v>40</v>
      </c>
      <c r="B65" s="5" t="s">
        <v>20</v>
      </c>
      <c r="C65" s="6" t="s">
        <v>13</v>
      </c>
      <c r="D65" s="7">
        <v>44104</v>
      </c>
      <c r="E65" s="4">
        <v>300389</v>
      </c>
      <c r="F65" s="4">
        <v>1233</v>
      </c>
      <c r="G65" s="8">
        <v>7104</v>
      </c>
    </row>
    <row r="66" spans="1:7" ht="12.3" x14ac:dyDescent="0.4">
      <c r="A66" s="4">
        <f t="shared" si="0"/>
        <v>40</v>
      </c>
      <c r="B66" s="5" t="s">
        <v>21</v>
      </c>
      <c r="C66" s="6" t="s">
        <v>13</v>
      </c>
      <c r="D66" s="7">
        <v>44106</v>
      </c>
      <c r="E66" s="4">
        <v>335004</v>
      </c>
      <c r="F66" s="4">
        <v>291</v>
      </c>
      <c r="G66" s="8">
        <v>13777</v>
      </c>
    </row>
    <row r="67" spans="1:7" ht="12.3" x14ac:dyDescent="0.4">
      <c r="A67" s="4">
        <f t="shared" si="0"/>
        <v>40</v>
      </c>
      <c r="B67" s="5" t="s">
        <v>21</v>
      </c>
      <c r="C67" s="6" t="s">
        <v>13</v>
      </c>
      <c r="D67" s="7">
        <v>44107</v>
      </c>
      <c r="E67" s="4">
        <v>358602</v>
      </c>
      <c r="F67" s="4">
        <v>265</v>
      </c>
      <c r="G67" s="8">
        <v>9650</v>
      </c>
    </row>
    <row r="68" spans="1:7" ht="12.3" x14ac:dyDescent="0.4">
      <c r="A68" s="4">
        <f t="shared" si="0"/>
        <v>40</v>
      </c>
      <c r="B68" s="5" t="s">
        <v>21</v>
      </c>
      <c r="C68" s="6" t="s">
        <v>13</v>
      </c>
      <c r="D68" s="7">
        <v>44104</v>
      </c>
      <c r="E68" s="4">
        <v>236581</v>
      </c>
      <c r="F68" s="4">
        <v>726</v>
      </c>
      <c r="G68" s="8">
        <v>7902</v>
      </c>
    </row>
    <row r="69" spans="1:7" ht="12.3" x14ac:dyDescent="0.4">
      <c r="A69" s="4">
        <f t="shared" si="0"/>
        <v>40</v>
      </c>
      <c r="B69" s="5" t="s">
        <v>14</v>
      </c>
      <c r="C69" s="6" t="s">
        <v>10</v>
      </c>
      <c r="D69" s="7">
        <v>44106</v>
      </c>
      <c r="E69" s="4">
        <v>2802</v>
      </c>
      <c r="F69" s="4">
        <v>145</v>
      </c>
      <c r="G69" s="8">
        <v>9451</v>
      </c>
    </row>
    <row r="70" spans="1:7" ht="12.3" x14ac:dyDescent="0.4">
      <c r="A70" s="4">
        <f t="shared" si="0"/>
        <v>40</v>
      </c>
      <c r="B70" s="5" t="s">
        <v>14</v>
      </c>
      <c r="C70" s="6" t="s">
        <v>10</v>
      </c>
      <c r="D70" s="7">
        <v>44106</v>
      </c>
      <c r="E70" s="4">
        <v>5365</v>
      </c>
      <c r="F70" s="4">
        <v>175</v>
      </c>
      <c r="G70" s="8">
        <v>6038</v>
      </c>
    </row>
    <row r="71" spans="1:7" ht="12.3" x14ac:dyDescent="0.4">
      <c r="A71" s="4">
        <f t="shared" si="0"/>
        <v>40</v>
      </c>
      <c r="B71" s="5" t="s">
        <v>14</v>
      </c>
      <c r="C71" s="6" t="s">
        <v>10</v>
      </c>
      <c r="D71" s="7">
        <v>44107</v>
      </c>
      <c r="E71" s="4">
        <v>4327</v>
      </c>
      <c r="F71" s="4">
        <v>188</v>
      </c>
      <c r="G71" s="8">
        <v>5444</v>
      </c>
    </row>
    <row r="72" spans="1:7" ht="12.3" x14ac:dyDescent="0.4">
      <c r="A72" s="4">
        <f t="shared" si="0"/>
        <v>41</v>
      </c>
      <c r="B72" s="5" t="s">
        <v>14</v>
      </c>
      <c r="C72" s="6" t="s">
        <v>10</v>
      </c>
      <c r="D72" s="7">
        <v>44108</v>
      </c>
      <c r="E72" s="4">
        <v>5587</v>
      </c>
      <c r="F72" s="4">
        <v>129</v>
      </c>
      <c r="G72" s="8">
        <v>2399</v>
      </c>
    </row>
    <row r="73" spans="1:7" ht="12.3" x14ac:dyDescent="0.4">
      <c r="A73" s="4">
        <f t="shared" si="0"/>
        <v>41</v>
      </c>
      <c r="B73" s="5" t="s">
        <v>14</v>
      </c>
      <c r="C73" s="6" t="s">
        <v>10</v>
      </c>
      <c r="D73" s="7">
        <v>44109</v>
      </c>
      <c r="E73" s="4">
        <v>4018</v>
      </c>
      <c r="F73" s="4">
        <v>194</v>
      </c>
      <c r="G73" s="8">
        <v>12584</v>
      </c>
    </row>
    <row r="74" spans="1:7" ht="12.3" x14ac:dyDescent="0.4">
      <c r="A74" s="4">
        <f t="shared" si="0"/>
        <v>41</v>
      </c>
      <c r="B74" s="5" t="s">
        <v>14</v>
      </c>
      <c r="C74" s="6" t="s">
        <v>10</v>
      </c>
      <c r="D74" s="7">
        <v>44110</v>
      </c>
      <c r="E74" s="4">
        <v>2928</v>
      </c>
      <c r="F74" s="4">
        <v>119</v>
      </c>
      <c r="G74" s="8">
        <v>7130</v>
      </c>
    </row>
    <row r="75" spans="1:7" ht="12.3" x14ac:dyDescent="0.4">
      <c r="A75" s="4">
        <f t="shared" si="0"/>
        <v>41</v>
      </c>
      <c r="B75" s="5" t="s">
        <v>14</v>
      </c>
      <c r="C75" s="6" t="s">
        <v>10</v>
      </c>
      <c r="D75" s="7">
        <v>44111</v>
      </c>
      <c r="E75" s="4">
        <v>3063</v>
      </c>
      <c r="F75" s="4">
        <v>155</v>
      </c>
      <c r="G75" s="8">
        <v>9656</v>
      </c>
    </row>
    <row r="76" spans="1:7" ht="12.3" x14ac:dyDescent="0.4">
      <c r="A76" s="4">
        <f t="shared" si="0"/>
        <v>41</v>
      </c>
      <c r="B76" s="5" t="s">
        <v>14</v>
      </c>
      <c r="C76" s="6" t="s">
        <v>10</v>
      </c>
      <c r="D76" s="7">
        <v>44112</v>
      </c>
      <c r="E76" s="4">
        <v>3026</v>
      </c>
      <c r="F76" s="4">
        <v>174</v>
      </c>
      <c r="G76" s="8">
        <v>4355</v>
      </c>
    </row>
    <row r="77" spans="1:7" ht="12.3" x14ac:dyDescent="0.4">
      <c r="A77" s="4">
        <f t="shared" si="0"/>
        <v>41</v>
      </c>
      <c r="B77" s="5" t="s">
        <v>14</v>
      </c>
      <c r="C77" s="6" t="s">
        <v>10</v>
      </c>
      <c r="D77" s="7">
        <v>44113</v>
      </c>
      <c r="E77" s="4">
        <v>3891</v>
      </c>
      <c r="F77" s="4">
        <v>231</v>
      </c>
      <c r="G77" s="8">
        <v>1503</v>
      </c>
    </row>
    <row r="78" spans="1:7" ht="12.3" x14ac:dyDescent="0.4">
      <c r="A78" s="4">
        <f t="shared" si="0"/>
        <v>41</v>
      </c>
      <c r="B78" s="5" t="s">
        <v>14</v>
      </c>
      <c r="C78" s="6" t="s">
        <v>10</v>
      </c>
      <c r="D78" s="14">
        <v>44114</v>
      </c>
      <c r="E78" s="4">
        <v>3694</v>
      </c>
      <c r="F78" s="4">
        <v>221</v>
      </c>
      <c r="G78" s="8">
        <v>8397</v>
      </c>
    </row>
    <row r="79" spans="1:7" ht="12.3" x14ac:dyDescent="0.4">
      <c r="A79" s="4">
        <f t="shared" si="0"/>
        <v>42</v>
      </c>
      <c r="B79" s="5" t="s">
        <v>14</v>
      </c>
      <c r="C79" s="6" t="s">
        <v>10</v>
      </c>
      <c r="D79" s="14">
        <v>44115</v>
      </c>
      <c r="E79" s="4">
        <v>4742</v>
      </c>
      <c r="F79" s="4">
        <v>121</v>
      </c>
      <c r="G79" s="8">
        <v>5029</v>
      </c>
    </row>
    <row r="80" spans="1:7" ht="12.3" x14ac:dyDescent="0.4">
      <c r="A80" s="4">
        <f t="shared" si="0"/>
        <v>42</v>
      </c>
      <c r="B80" s="5" t="s">
        <v>14</v>
      </c>
      <c r="C80" s="6" t="s">
        <v>10</v>
      </c>
      <c r="D80" s="14">
        <v>44116</v>
      </c>
      <c r="E80" s="4">
        <v>3332</v>
      </c>
      <c r="F80" s="4">
        <v>146</v>
      </c>
      <c r="G80" s="8">
        <v>7255</v>
      </c>
    </row>
    <row r="81" spans="1:7" ht="12.3" x14ac:dyDescent="0.4">
      <c r="A81" s="4">
        <f t="shared" si="0"/>
        <v>42</v>
      </c>
      <c r="B81" s="5" t="s">
        <v>14</v>
      </c>
      <c r="C81" s="6" t="s">
        <v>10</v>
      </c>
      <c r="D81" s="14">
        <v>44117</v>
      </c>
      <c r="E81" s="4">
        <v>4751</v>
      </c>
      <c r="F81" s="4">
        <v>163</v>
      </c>
      <c r="G81" s="8">
        <v>1813</v>
      </c>
    </row>
    <row r="82" spans="1:7" ht="12.3" x14ac:dyDescent="0.4">
      <c r="A82" s="4">
        <f t="shared" si="0"/>
        <v>42</v>
      </c>
      <c r="B82" s="5" t="s">
        <v>14</v>
      </c>
      <c r="C82" s="6" t="s">
        <v>10</v>
      </c>
      <c r="D82" s="14">
        <v>44118</v>
      </c>
      <c r="E82" s="4">
        <v>5964</v>
      </c>
      <c r="F82" s="4">
        <v>164</v>
      </c>
      <c r="G82" s="8">
        <v>1943</v>
      </c>
    </row>
    <row r="83" spans="1:7" ht="12.3" x14ac:dyDescent="0.4">
      <c r="A83" s="4">
        <f t="shared" si="0"/>
        <v>42</v>
      </c>
      <c r="B83" s="5" t="s">
        <v>14</v>
      </c>
      <c r="C83" s="6" t="s">
        <v>10</v>
      </c>
      <c r="D83" s="14">
        <v>44119</v>
      </c>
      <c r="E83" s="4">
        <v>3283</v>
      </c>
      <c r="F83" s="4">
        <v>146</v>
      </c>
      <c r="G83" s="8">
        <v>8135</v>
      </c>
    </row>
    <row r="84" spans="1:7" ht="12.3" x14ac:dyDescent="0.4">
      <c r="A84" s="4">
        <f t="shared" si="0"/>
        <v>40</v>
      </c>
      <c r="B84" s="5" t="s">
        <v>14</v>
      </c>
      <c r="C84" s="6" t="s">
        <v>10</v>
      </c>
      <c r="D84" s="7">
        <v>44103</v>
      </c>
      <c r="E84" s="4">
        <v>6432</v>
      </c>
      <c r="F84" s="4">
        <v>147</v>
      </c>
      <c r="G84" s="8">
        <v>1672</v>
      </c>
    </row>
    <row r="85" spans="1:7" ht="12.3" x14ac:dyDescent="0.4">
      <c r="A85" s="4">
        <f t="shared" si="0"/>
        <v>40</v>
      </c>
      <c r="B85" s="5" t="s">
        <v>14</v>
      </c>
      <c r="C85" s="6" t="s">
        <v>10</v>
      </c>
      <c r="D85" s="7">
        <v>44104</v>
      </c>
      <c r="E85" s="4">
        <v>3271</v>
      </c>
      <c r="F85" s="4">
        <v>135</v>
      </c>
      <c r="G85" s="8">
        <v>8111</v>
      </c>
    </row>
    <row r="86" spans="1:7" ht="12.3" x14ac:dyDescent="0.4">
      <c r="A86" s="4">
        <f t="shared" si="0"/>
        <v>40</v>
      </c>
      <c r="B86" s="5" t="s">
        <v>22</v>
      </c>
      <c r="C86" s="6" t="s">
        <v>10</v>
      </c>
      <c r="D86" s="7">
        <v>44105</v>
      </c>
      <c r="E86" s="4">
        <v>168297</v>
      </c>
      <c r="F86" s="4">
        <v>165</v>
      </c>
      <c r="G86" s="8">
        <v>3588</v>
      </c>
    </row>
    <row r="87" spans="1:7" ht="12.3" x14ac:dyDescent="0.4">
      <c r="A87" s="4">
        <f t="shared" si="0"/>
        <v>40</v>
      </c>
      <c r="B87" s="19" t="s">
        <v>22</v>
      </c>
      <c r="C87" s="6" t="s">
        <v>10</v>
      </c>
      <c r="D87" s="7">
        <v>44106</v>
      </c>
      <c r="E87" s="4">
        <v>418230</v>
      </c>
      <c r="F87" s="4">
        <v>301</v>
      </c>
      <c r="G87" s="8">
        <v>14697</v>
      </c>
    </row>
    <row r="88" spans="1:7" ht="12.3" x14ac:dyDescent="0.4">
      <c r="A88" s="4">
        <f t="shared" si="0"/>
        <v>40</v>
      </c>
      <c r="B88" s="5" t="s">
        <v>22</v>
      </c>
      <c r="C88" s="6" t="s">
        <v>10</v>
      </c>
      <c r="D88" s="7">
        <v>44107</v>
      </c>
      <c r="E88" s="4">
        <v>19446</v>
      </c>
      <c r="F88" s="4">
        <v>274</v>
      </c>
      <c r="G88" s="8">
        <v>13243</v>
      </c>
    </row>
    <row r="89" spans="1:7" ht="12.3" x14ac:dyDescent="0.4">
      <c r="A89" s="4">
        <f t="shared" si="0"/>
        <v>41</v>
      </c>
      <c r="B89" s="5" t="s">
        <v>22</v>
      </c>
      <c r="C89" s="6" t="s">
        <v>10</v>
      </c>
      <c r="D89" s="7">
        <v>44108</v>
      </c>
      <c r="E89" s="4">
        <v>213098</v>
      </c>
      <c r="F89" s="4">
        <v>302</v>
      </c>
      <c r="G89" s="8">
        <v>12952</v>
      </c>
    </row>
    <row r="90" spans="1:7" ht="12.3" x14ac:dyDescent="0.4">
      <c r="A90" s="4">
        <f t="shared" si="0"/>
        <v>41</v>
      </c>
      <c r="B90" s="5" t="s">
        <v>22</v>
      </c>
      <c r="C90" s="6" t="s">
        <v>10</v>
      </c>
      <c r="D90" s="7">
        <v>44109</v>
      </c>
      <c r="E90" s="4">
        <v>267542</v>
      </c>
      <c r="F90" s="4">
        <v>250</v>
      </c>
      <c r="G90" s="8">
        <v>8470</v>
      </c>
    </row>
    <row r="91" spans="1:7" ht="12.3" x14ac:dyDescent="0.4">
      <c r="A91" s="4">
        <f t="shared" si="0"/>
        <v>41</v>
      </c>
      <c r="B91" s="5" t="s">
        <v>22</v>
      </c>
      <c r="C91" s="6" t="s">
        <v>10</v>
      </c>
      <c r="D91" s="7">
        <v>44110</v>
      </c>
      <c r="E91" s="4">
        <v>342326</v>
      </c>
      <c r="F91" s="4">
        <v>335</v>
      </c>
      <c r="G91" s="8">
        <v>12383</v>
      </c>
    </row>
    <row r="92" spans="1:7" ht="12.3" x14ac:dyDescent="0.4">
      <c r="A92" s="4">
        <f t="shared" si="0"/>
        <v>41</v>
      </c>
      <c r="B92" s="5" t="s">
        <v>22</v>
      </c>
      <c r="C92" s="6" t="s">
        <v>10</v>
      </c>
      <c r="D92" s="7">
        <v>44111</v>
      </c>
      <c r="E92" s="4">
        <v>302437</v>
      </c>
      <c r="F92" s="4">
        <v>65</v>
      </c>
      <c r="G92" s="8">
        <v>8633</v>
      </c>
    </row>
    <row r="93" spans="1:7" ht="12.3" x14ac:dyDescent="0.4">
      <c r="A93" s="4">
        <f t="shared" si="0"/>
        <v>41</v>
      </c>
      <c r="B93" s="5" t="s">
        <v>22</v>
      </c>
      <c r="C93" s="6" t="s">
        <v>10</v>
      </c>
      <c r="D93" s="7">
        <v>44112</v>
      </c>
      <c r="E93" s="4">
        <v>227834</v>
      </c>
      <c r="F93" s="4">
        <v>447</v>
      </c>
      <c r="G93" s="8">
        <v>8093</v>
      </c>
    </row>
    <row r="94" spans="1:7" ht="12.3" x14ac:dyDescent="0.4">
      <c r="A94" s="4">
        <f t="shared" si="0"/>
        <v>41</v>
      </c>
      <c r="B94" s="5" t="s">
        <v>22</v>
      </c>
      <c r="C94" s="6" t="s">
        <v>10</v>
      </c>
      <c r="D94" s="7">
        <v>44113</v>
      </c>
      <c r="E94" s="4">
        <v>320319</v>
      </c>
      <c r="F94" s="4">
        <v>299</v>
      </c>
      <c r="G94" s="8">
        <v>16236</v>
      </c>
    </row>
    <row r="95" spans="1:7" ht="12.3" x14ac:dyDescent="0.4">
      <c r="A95" s="4">
        <f t="shared" si="0"/>
        <v>41</v>
      </c>
      <c r="B95" s="5" t="s">
        <v>22</v>
      </c>
      <c r="C95" s="6" t="s">
        <v>10</v>
      </c>
      <c r="D95" s="14">
        <v>44114</v>
      </c>
      <c r="E95" s="4">
        <v>97417</v>
      </c>
      <c r="F95" s="4">
        <v>316</v>
      </c>
      <c r="G95" s="8">
        <v>2003</v>
      </c>
    </row>
    <row r="96" spans="1:7" ht="12.3" x14ac:dyDescent="0.4">
      <c r="A96" s="4">
        <f t="shared" si="0"/>
        <v>42</v>
      </c>
      <c r="B96" s="5" t="s">
        <v>22</v>
      </c>
      <c r="C96" s="6" t="s">
        <v>10</v>
      </c>
      <c r="D96" s="14">
        <v>44115</v>
      </c>
      <c r="E96" s="4">
        <v>250784</v>
      </c>
      <c r="F96" s="4">
        <v>352</v>
      </c>
      <c r="G96" s="8">
        <v>6498</v>
      </c>
    </row>
    <row r="97" spans="1:7" ht="12.3" x14ac:dyDescent="0.4">
      <c r="A97" s="4">
        <f t="shared" si="0"/>
        <v>42</v>
      </c>
      <c r="B97" s="5" t="s">
        <v>22</v>
      </c>
      <c r="C97" s="6" t="s">
        <v>10</v>
      </c>
      <c r="D97" s="14">
        <v>44116</v>
      </c>
      <c r="E97" s="4">
        <v>304736</v>
      </c>
      <c r="F97" s="4">
        <v>187</v>
      </c>
      <c r="G97" s="8">
        <v>17371</v>
      </c>
    </row>
    <row r="98" spans="1:7" ht="12.3" x14ac:dyDescent="0.4">
      <c r="A98" s="4">
        <f t="shared" si="0"/>
        <v>42</v>
      </c>
      <c r="B98" s="5" t="s">
        <v>22</v>
      </c>
      <c r="C98" s="6" t="s">
        <v>10</v>
      </c>
      <c r="D98" s="14">
        <v>44117</v>
      </c>
      <c r="E98" s="4">
        <v>292872</v>
      </c>
      <c r="F98" s="4">
        <v>158</v>
      </c>
      <c r="G98" s="8">
        <v>23690</v>
      </c>
    </row>
    <row r="99" spans="1:7" ht="12.3" x14ac:dyDescent="0.4">
      <c r="A99" s="4">
        <f t="shared" si="0"/>
        <v>42</v>
      </c>
      <c r="B99" s="5" t="s">
        <v>22</v>
      </c>
      <c r="C99" s="6" t="s">
        <v>10</v>
      </c>
      <c r="D99" s="14">
        <v>44118</v>
      </c>
      <c r="E99" s="4">
        <v>186833</v>
      </c>
      <c r="F99" s="4">
        <v>234</v>
      </c>
      <c r="G99" s="8">
        <v>12401</v>
      </c>
    </row>
    <row r="100" spans="1:7" ht="12.3" x14ac:dyDescent="0.4">
      <c r="A100" s="4">
        <f t="shared" si="0"/>
        <v>42</v>
      </c>
      <c r="B100" s="5" t="s">
        <v>22</v>
      </c>
      <c r="C100" s="6" t="s">
        <v>10</v>
      </c>
      <c r="D100" s="14">
        <v>44119</v>
      </c>
      <c r="E100" s="4">
        <v>148714</v>
      </c>
      <c r="F100" s="4">
        <v>382</v>
      </c>
      <c r="G100" s="8">
        <v>5528</v>
      </c>
    </row>
    <row r="101" spans="1:7" ht="12.3" x14ac:dyDescent="0.4">
      <c r="A101" s="4">
        <f t="shared" si="0"/>
        <v>40</v>
      </c>
      <c r="B101" s="5" t="s">
        <v>22</v>
      </c>
      <c r="C101" s="6" t="s">
        <v>10</v>
      </c>
      <c r="D101" s="7">
        <v>44103</v>
      </c>
      <c r="E101" s="4">
        <v>356727</v>
      </c>
      <c r="F101" s="4">
        <v>239</v>
      </c>
      <c r="G101" s="8">
        <v>5956</v>
      </c>
    </row>
    <row r="102" spans="1:7" ht="12.3" x14ac:dyDescent="0.4">
      <c r="A102" s="4">
        <f t="shared" si="0"/>
        <v>40</v>
      </c>
      <c r="B102" s="5" t="s">
        <v>22</v>
      </c>
      <c r="C102" s="6" t="s">
        <v>10</v>
      </c>
      <c r="D102" s="7">
        <v>44104</v>
      </c>
      <c r="E102" s="4">
        <v>303614</v>
      </c>
      <c r="F102" s="4">
        <v>308</v>
      </c>
      <c r="G102" s="8">
        <v>2093</v>
      </c>
    </row>
    <row r="103" spans="1:7" ht="12.3" x14ac:dyDescent="0.4">
      <c r="A103" s="4">
        <f t="shared" si="0"/>
        <v>40</v>
      </c>
      <c r="B103" s="5" t="s">
        <v>23</v>
      </c>
      <c r="C103" s="6" t="s">
        <v>11</v>
      </c>
      <c r="D103" s="7">
        <v>44105</v>
      </c>
      <c r="E103" s="4">
        <v>193371</v>
      </c>
      <c r="F103" s="4">
        <v>254</v>
      </c>
      <c r="G103" s="8">
        <v>5524</v>
      </c>
    </row>
    <row r="104" spans="1:7" ht="12.3" x14ac:dyDescent="0.4">
      <c r="A104" s="4">
        <f t="shared" si="0"/>
        <v>40</v>
      </c>
      <c r="B104" s="5" t="s">
        <v>23</v>
      </c>
      <c r="C104" s="6" t="s">
        <v>11</v>
      </c>
      <c r="D104" s="7">
        <v>44106</v>
      </c>
      <c r="E104" s="4">
        <v>258115</v>
      </c>
      <c r="F104" s="4">
        <v>102</v>
      </c>
      <c r="G104" s="8">
        <v>2312</v>
      </c>
    </row>
    <row r="105" spans="1:7" ht="12.3" x14ac:dyDescent="0.4">
      <c r="A105" s="4">
        <f t="shared" si="0"/>
        <v>40</v>
      </c>
      <c r="B105" s="5" t="s">
        <v>23</v>
      </c>
      <c r="C105" s="6" t="s">
        <v>11</v>
      </c>
      <c r="D105" s="7">
        <v>44107</v>
      </c>
      <c r="E105" s="4">
        <v>14547</v>
      </c>
      <c r="F105" s="4">
        <v>179</v>
      </c>
      <c r="G105" s="8">
        <v>41658</v>
      </c>
    </row>
    <row r="106" spans="1:7" ht="12.3" x14ac:dyDescent="0.4">
      <c r="A106" s="4">
        <f t="shared" si="0"/>
        <v>41</v>
      </c>
      <c r="B106" s="5" t="s">
        <v>23</v>
      </c>
      <c r="C106" s="6" t="s">
        <v>11</v>
      </c>
      <c r="D106" s="7">
        <v>44108</v>
      </c>
      <c r="E106" s="4">
        <v>354914</v>
      </c>
      <c r="F106" s="4">
        <v>158</v>
      </c>
      <c r="G106" s="8">
        <v>28869</v>
      </c>
    </row>
    <row r="107" spans="1:7" ht="12.3" x14ac:dyDescent="0.4">
      <c r="A107" s="4">
        <f t="shared" si="0"/>
        <v>41</v>
      </c>
      <c r="B107" s="5" t="s">
        <v>23</v>
      </c>
      <c r="C107" s="6" t="s">
        <v>11</v>
      </c>
      <c r="D107" s="7">
        <v>44109</v>
      </c>
      <c r="E107" s="4">
        <v>324899</v>
      </c>
      <c r="F107" s="4">
        <v>186</v>
      </c>
      <c r="G107" s="8">
        <v>9088</v>
      </c>
    </row>
    <row r="108" spans="1:7" ht="12.3" x14ac:dyDescent="0.4">
      <c r="A108" s="4">
        <f t="shared" si="0"/>
        <v>41</v>
      </c>
      <c r="B108" s="5" t="s">
        <v>23</v>
      </c>
      <c r="C108" s="6" t="s">
        <v>11</v>
      </c>
      <c r="D108" s="7">
        <v>44110</v>
      </c>
      <c r="E108" s="4">
        <v>254137</v>
      </c>
      <c r="F108" s="4">
        <v>142</v>
      </c>
      <c r="G108" s="8">
        <v>26279</v>
      </c>
    </row>
    <row r="109" spans="1:7" ht="12.3" x14ac:dyDescent="0.4">
      <c r="A109" s="4">
        <f t="shared" si="0"/>
        <v>41</v>
      </c>
      <c r="B109" s="5" t="s">
        <v>23</v>
      </c>
      <c r="C109" s="6" t="s">
        <v>11</v>
      </c>
      <c r="D109" s="7">
        <v>44111</v>
      </c>
      <c r="E109" s="4">
        <v>228304</v>
      </c>
      <c r="F109" s="4">
        <v>204</v>
      </c>
      <c r="G109" s="8">
        <v>16998</v>
      </c>
    </row>
    <row r="110" spans="1:7" ht="12.3" x14ac:dyDescent="0.4">
      <c r="A110" s="4">
        <f t="shared" si="0"/>
        <v>41</v>
      </c>
      <c r="B110" s="5" t="s">
        <v>23</v>
      </c>
      <c r="C110" s="6" t="s">
        <v>11</v>
      </c>
      <c r="D110" s="7">
        <v>44112</v>
      </c>
      <c r="E110" s="4">
        <v>225011</v>
      </c>
      <c r="F110" s="4">
        <v>91</v>
      </c>
      <c r="G110" s="8">
        <v>4980</v>
      </c>
    </row>
    <row r="111" spans="1:7" ht="12.3" x14ac:dyDescent="0.4">
      <c r="A111" s="4">
        <f t="shared" si="0"/>
        <v>41</v>
      </c>
      <c r="B111" s="5" t="s">
        <v>23</v>
      </c>
      <c r="C111" s="6" t="s">
        <v>11</v>
      </c>
      <c r="D111" s="7">
        <v>44113</v>
      </c>
      <c r="E111" s="4">
        <v>267719</v>
      </c>
      <c r="F111" s="4">
        <v>47</v>
      </c>
      <c r="G111" s="8">
        <v>20517</v>
      </c>
    </row>
    <row r="112" spans="1:7" ht="12.3" x14ac:dyDescent="0.4">
      <c r="A112" s="4">
        <f t="shared" si="0"/>
        <v>41</v>
      </c>
      <c r="B112" s="5" t="s">
        <v>23</v>
      </c>
      <c r="C112" s="6" t="s">
        <v>11</v>
      </c>
      <c r="D112" s="14">
        <v>44114</v>
      </c>
      <c r="E112" s="4">
        <v>249647</v>
      </c>
      <c r="F112" s="4">
        <v>91</v>
      </c>
      <c r="G112" s="8">
        <v>4571</v>
      </c>
    </row>
    <row r="113" spans="1:7" ht="12.3" x14ac:dyDescent="0.4">
      <c r="A113" s="4">
        <f t="shared" si="0"/>
        <v>42</v>
      </c>
      <c r="B113" s="5" t="s">
        <v>23</v>
      </c>
      <c r="C113" s="6" t="s">
        <v>11</v>
      </c>
      <c r="D113" s="14">
        <v>44115</v>
      </c>
      <c r="E113" s="4">
        <v>304322</v>
      </c>
      <c r="F113" s="4">
        <v>183</v>
      </c>
      <c r="G113" s="8">
        <v>884</v>
      </c>
    </row>
    <row r="114" spans="1:7" ht="12.3" x14ac:dyDescent="0.4">
      <c r="A114" s="4">
        <f t="shared" si="0"/>
        <v>42</v>
      </c>
      <c r="B114" s="5" t="s">
        <v>23</v>
      </c>
      <c r="C114" s="6" t="s">
        <v>11</v>
      </c>
      <c r="D114" s="14">
        <v>44116</v>
      </c>
      <c r="E114" s="4">
        <v>347138</v>
      </c>
      <c r="F114" s="4">
        <v>148</v>
      </c>
      <c r="G114" s="8">
        <v>1252</v>
      </c>
    </row>
    <row r="115" spans="1:7" ht="12.3" x14ac:dyDescent="0.4">
      <c r="A115" s="4">
        <f t="shared" si="0"/>
        <v>42</v>
      </c>
      <c r="B115" s="5" t="s">
        <v>23</v>
      </c>
      <c r="C115" s="6" t="s">
        <v>11</v>
      </c>
      <c r="D115" s="14">
        <v>44117</v>
      </c>
      <c r="E115" s="4">
        <v>358220</v>
      </c>
      <c r="F115" s="4">
        <v>69</v>
      </c>
      <c r="G115" s="8">
        <v>9157</v>
      </c>
    </row>
    <row r="116" spans="1:7" ht="12.3" x14ac:dyDescent="0.4">
      <c r="A116" s="4">
        <f t="shared" si="0"/>
        <v>42</v>
      </c>
      <c r="B116" s="5" t="s">
        <v>23</v>
      </c>
      <c r="C116" s="6" t="s">
        <v>11</v>
      </c>
      <c r="D116" s="14">
        <v>44118</v>
      </c>
      <c r="E116" s="4">
        <v>216110</v>
      </c>
      <c r="F116" s="4">
        <v>47</v>
      </c>
      <c r="G116" s="8">
        <v>3682</v>
      </c>
    </row>
    <row r="117" spans="1:7" ht="12.3" x14ac:dyDescent="0.4">
      <c r="A117" s="4">
        <f t="shared" si="0"/>
        <v>42</v>
      </c>
      <c r="B117" s="5" t="s">
        <v>23</v>
      </c>
      <c r="C117" s="6" t="s">
        <v>11</v>
      </c>
      <c r="D117" s="14">
        <v>44119</v>
      </c>
      <c r="E117" s="4">
        <v>357791</v>
      </c>
      <c r="F117" s="4">
        <v>66</v>
      </c>
      <c r="G117" s="8">
        <v>1141</v>
      </c>
    </row>
    <row r="118" spans="1:7" ht="12.3" x14ac:dyDescent="0.4">
      <c r="A118" s="4">
        <f t="shared" si="0"/>
        <v>40</v>
      </c>
      <c r="B118" s="5" t="s">
        <v>23</v>
      </c>
      <c r="C118" s="6" t="s">
        <v>11</v>
      </c>
      <c r="D118" s="7">
        <v>44103</v>
      </c>
      <c r="E118" s="4">
        <v>339776</v>
      </c>
      <c r="F118" s="4">
        <v>44</v>
      </c>
      <c r="G118" s="8">
        <v>4097</v>
      </c>
    </row>
    <row r="119" spans="1:7" ht="12.3" x14ac:dyDescent="0.4">
      <c r="A119" s="4">
        <f t="shared" si="0"/>
        <v>40</v>
      </c>
      <c r="B119" s="5" t="s">
        <v>23</v>
      </c>
      <c r="C119" s="6" t="s">
        <v>11</v>
      </c>
      <c r="D119" s="7">
        <v>44104</v>
      </c>
      <c r="E119" s="4">
        <v>304558</v>
      </c>
      <c r="F119" s="4">
        <v>149</v>
      </c>
      <c r="G119" s="8">
        <v>610</v>
      </c>
    </row>
  </sheetData>
  <mergeCells count="4">
    <mergeCell ref="I3:K3"/>
    <mergeCell ref="I11:K12"/>
    <mergeCell ref="I19:K21"/>
    <mergeCell ref="I29:I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500"/>
  <sheetViews>
    <sheetView tabSelected="1" workbookViewId="0">
      <pane ySplit="1" topLeftCell="A2" activePane="bottomLeft" state="frozen"/>
      <selection pane="bottomLeft" activeCell="H9" sqref="H9"/>
    </sheetView>
  </sheetViews>
  <sheetFormatPr defaultColWidth="14.44140625" defaultRowHeight="15.75" customHeight="1" x14ac:dyDescent="0.4"/>
  <cols>
    <col min="2" max="2" width="57.109375" customWidth="1"/>
    <col min="7" max="7" width="20" customWidth="1"/>
  </cols>
  <sheetData>
    <row r="1" spans="1:9" ht="15.75" customHeight="1" x14ac:dyDescent="0.4">
      <c r="A1" s="20" t="s">
        <v>24</v>
      </c>
      <c r="B1" s="20" t="s">
        <v>25</v>
      </c>
      <c r="C1" s="20" t="s">
        <v>26</v>
      </c>
    </row>
    <row r="2" spans="1:9" ht="15.75" customHeight="1" x14ac:dyDescent="0.4">
      <c r="A2" s="5" t="s">
        <v>27</v>
      </c>
      <c r="B2" s="5" t="s">
        <v>28</v>
      </c>
      <c r="C2" s="21">
        <v>2</v>
      </c>
    </row>
    <row r="3" spans="1:9" ht="15.75" customHeight="1" x14ac:dyDescent="0.4">
      <c r="A3" s="5" t="s">
        <v>29</v>
      </c>
      <c r="B3" s="5" t="s">
        <v>30</v>
      </c>
      <c r="C3" s="21">
        <v>44</v>
      </c>
    </row>
    <row r="4" spans="1:9" ht="15.75" customHeight="1" x14ac:dyDescent="0.4">
      <c r="A4" s="5" t="s">
        <v>31</v>
      </c>
      <c r="B4" s="5" t="s">
        <v>32</v>
      </c>
      <c r="C4" s="21">
        <v>45</v>
      </c>
      <c r="E4" s="22" t="s">
        <v>24</v>
      </c>
      <c r="G4" s="25" t="s">
        <v>33</v>
      </c>
      <c r="H4" s="26"/>
      <c r="I4" s="26"/>
    </row>
    <row r="5" spans="1:9" ht="15.75" customHeight="1" x14ac:dyDescent="0.4">
      <c r="A5" s="5" t="s">
        <v>34</v>
      </c>
      <c r="B5" s="5" t="s">
        <v>35</v>
      </c>
      <c r="C5" s="21">
        <v>1</v>
      </c>
      <c r="E5" s="10" t="s">
        <v>36</v>
      </c>
      <c r="G5" s="12" t="s">
        <v>15</v>
      </c>
      <c r="H5" s="23">
        <f>DSUM(A1:C500,C1,E4:E19)</f>
        <v>8393</v>
      </c>
    </row>
    <row r="6" spans="1:9" ht="15.75" customHeight="1" x14ac:dyDescent="0.4">
      <c r="A6" s="5" t="s">
        <v>37</v>
      </c>
      <c r="B6" s="5" t="s">
        <v>38</v>
      </c>
      <c r="C6" s="21">
        <v>58</v>
      </c>
      <c r="E6" s="10" t="s">
        <v>39</v>
      </c>
    </row>
    <row r="7" spans="1:9" ht="15.75" customHeight="1" x14ac:dyDescent="0.4">
      <c r="A7" s="5" t="s">
        <v>34</v>
      </c>
      <c r="B7" s="5" t="s">
        <v>40</v>
      </c>
      <c r="C7" s="21">
        <v>73</v>
      </c>
      <c r="E7" s="10" t="s">
        <v>29</v>
      </c>
      <c r="G7" s="25" t="s">
        <v>519</v>
      </c>
      <c r="H7" s="26"/>
      <c r="I7" s="26"/>
    </row>
    <row r="8" spans="1:9" ht="15.75" customHeight="1" x14ac:dyDescent="0.4">
      <c r="A8" s="5" t="s">
        <v>41</v>
      </c>
      <c r="B8" s="5" t="s">
        <v>42</v>
      </c>
      <c r="C8" s="21">
        <v>60</v>
      </c>
      <c r="E8" s="10" t="s">
        <v>43</v>
      </c>
      <c r="G8" s="19" t="s">
        <v>520</v>
      </c>
      <c r="H8" s="23">
        <f>DAVERAGE(A1:C500,C1,E4:E19)</f>
        <v>38.677419354838712</v>
      </c>
    </row>
    <row r="9" spans="1:9" ht="15.75" customHeight="1" x14ac:dyDescent="0.4">
      <c r="A9" s="5" t="s">
        <v>37</v>
      </c>
      <c r="B9" s="5" t="s">
        <v>44</v>
      </c>
      <c r="C9" s="21">
        <v>43</v>
      </c>
      <c r="E9" s="10" t="s">
        <v>45</v>
      </c>
    </row>
    <row r="10" spans="1:9" ht="15.75" customHeight="1" x14ac:dyDescent="0.4">
      <c r="A10" s="5" t="s">
        <v>43</v>
      </c>
      <c r="B10" s="5" t="s">
        <v>46</v>
      </c>
      <c r="C10" s="21">
        <v>13</v>
      </c>
      <c r="E10" s="10" t="s">
        <v>41</v>
      </c>
    </row>
    <row r="11" spans="1:9" ht="15.75" customHeight="1" x14ac:dyDescent="0.4">
      <c r="A11" s="5" t="s">
        <v>34</v>
      </c>
      <c r="B11" s="5" t="s">
        <v>47</v>
      </c>
      <c r="C11" s="21">
        <v>41</v>
      </c>
      <c r="E11" s="10" t="s">
        <v>48</v>
      </c>
    </row>
    <row r="12" spans="1:9" ht="15.75" customHeight="1" x14ac:dyDescent="0.4">
      <c r="A12" s="5" t="s">
        <v>49</v>
      </c>
      <c r="B12" s="5" t="s">
        <v>50</v>
      </c>
      <c r="C12" s="21">
        <v>56</v>
      </c>
      <c r="E12" s="10" t="s">
        <v>51</v>
      </c>
    </row>
    <row r="13" spans="1:9" ht="15.75" customHeight="1" x14ac:dyDescent="0.4">
      <c r="A13" s="5" t="s">
        <v>52</v>
      </c>
      <c r="B13" s="5" t="s">
        <v>53</v>
      </c>
      <c r="C13" s="21">
        <v>71</v>
      </c>
      <c r="E13" s="10" t="s">
        <v>54</v>
      </c>
    </row>
    <row r="14" spans="1:9" ht="15.75" customHeight="1" x14ac:dyDescent="0.4">
      <c r="A14" s="5" t="s">
        <v>55</v>
      </c>
      <c r="B14" s="5" t="s">
        <v>56</v>
      </c>
      <c r="C14" s="21">
        <v>2</v>
      </c>
      <c r="E14" s="10" t="s">
        <v>57</v>
      </c>
    </row>
    <row r="15" spans="1:9" ht="15.75" customHeight="1" x14ac:dyDescent="0.4">
      <c r="A15" s="5" t="s">
        <v>31</v>
      </c>
      <c r="B15" s="5" t="s">
        <v>58</v>
      </c>
      <c r="C15" s="21">
        <v>74</v>
      </c>
      <c r="E15" s="10" t="s">
        <v>59</v>
      </c>
    </row>
    <row r="16" spans="1:9" ht="15.75" customHeight="1" x14ac:dyDescent="0.4">
      <c r="A16" s="5" t="s">
        <v>60</v>
      </c>
      <c r="B16" s="5" t="s">
        <v>61</v>
      </c>
      <c r="C16" s="21">
        <v>48</v>
      </c>
      <c r="E16" s="10" t="s">
        <v>62</v>
      </c>
    </row>
    <row r="17" spans="1:5" ht="15.75" customHeight="1" x14ac:dyDescent="0.4">
      <c r="A17" s="5" t="s">
        <v>60</v>
      </c>
      <c r="B17" s="5" t="s">
        <v>63</v>
      </c>
      <c r="C17" s="21">
        <v>19</v>
      </c>
      <c r="E17" s="10" t="s">
        <v>64</v>
      </c>
    </row>
    <row r="18" spans="1:5" ht="15.75" customHeight="1" x14ac:dyDescent="0.4">
      <c r="A18" s="5" t="s">
        <v>39</v>
      </c>
      <c r="B18" s="5" t="s">
        <v>65</v>
      </c>
      <c r="C18" s="21">
        <v>45</v>
      </c>
      <c r="E18" s="10" t="s">
        <v>66</v>
      </c>
    </row>
    <row r="19" spans="1:5" ht="15.75" customHeight="1" x14ac:dyDescent="0.4">
      <c r="A19" s="5" t="s">
        <v>37</v>
      </c>
      <c r="B19" s="5" t="s">
        <v>67</v>
      </c>
      <c r="C19" s="21">
        <v>73</v>
      </c>
      <c r="E19" s="11" t="s">
        <v>52</v>
      </c>
    </row>
    <row r="20" spans="1:5" ht="15.75" customHeight="1" x14ac:dyDescent="0.4">
      <c r="A20" s="5" t="s">
        <v>60</v>
      </c>
      <c r="B20" s="5" t="s">
        <v>68</v>
      </c>
      <c r="C20" s="21">
        <v>21</v>
      </c>
    </row>
    <row r="21" spans="1:5" ht="15.75" customHeight="1" x14ac:dyDescent="0.4">
      <c r="A21" s="5" t="s">
        <v>69</v>
      </c>
      <c r="B21" s="5" t="s">
        <v>70</v>
      </c>
      <c r="C21" s="21">
        <v>63</v>
      </c>
    </row>
    <row r="22" spans="1:5" ht="15.75" customHeight="1" x14ac:dyDescent="0.4">
      <c r="A22" s="5" t="s">
        <v>29</v>
      </c>
      <c r="B22" s="5" t="s">
        <v>71</v>
      </c>
      <c r="C22" s="21">
        <v>61</v>
      </c>
    </row>
    <row r="23" spans="1:5" ht="15.75" customHeight="1" x14ac:dyDescent="0.4">
      <c r="A23" s="5" t="s">
        <v>72</v>
      </c>
      <c r="B23" s="5" t="s">
        <v>73</v>
      </c>
      <c r="C23" s="21">
        <v>19</v>
      </c>
    </row>
    <row r="24" spans="1:5" ht="15.75" customHeight="1" x14ac:dyDescent="0.4">
      <c r="A24" s="5" t="s">
        <v>74</v>
      </c>
      <c r="B24" s="5" t="s">
        <v>75</v>
      </c>
      <c r="C24" s="21">
        <v>3</v>
      </c>
    </row>
    <row r="25" spans="1:5" ht="15.75" customHeight="1" x14ac:dyDescent="0.4">
      <c r="A25" s="5" t="s">
        <v>36</v>
      </c>
      <c r="B25" s="5" t="s">
        <v>76</v>
      </c>
      <c r="C25" s="21">
        <v>5</v>
      </c>
    </row>
    <row r="26" spans="1:5" ht="15.75" customHeight="1" x14ac:dyDescent="0.4">
      <c r="A26" s="5" t="s">
        <v>55</v>
      </c>
      <c r="B26" s="5" t="s">
        <v>77</v>
      </c>
      <c r="C26" s="21">
        <v>45</v>
      </c>
    </row>
    <row r="27" spans="1:5" ht="15.75" customHeight="1" x14ac:dyDescent="0.4">
      <c r="A27" s="5" t="s">
        <v>78</v>
      </c>
      <c r="B27" s="5" t="s">
        <v>79</v>
      </c>
      <c r="C27" s="21">
        <v>3</v>
      </c>
    </row>
    <row r="28" spans="1:5" ht="15.75" customHeight="1" x14ac:dyDescent="0.4">
      <c r="A28" s="5" t="s">
        <v>80</v>
      </c>
      <c r="B28" s="5" t="s">
        <v>81</v>
      </c>
      <c r="C28" s="21">
        <v>7</v>
      </c>
    </row>
    <row r="29" spans="1:5" ht="12.3" x14ac:dyDescent="0.4">
      <c r="A29" s="5" t="s">
        <v>34</v>
      </c>
      <c r="B29" s="5" t="s">
        <v>82</v>
      </c>
      <c r="C29" s="21">
        <v>61</v>
      </c>
    </row>
    <row r="30" spans="1:5" ht="12.3" x14ac:dyDescent="0.4">
      <c r="A30" s="5" t="s">
        <v>52</v>
      </c>
      <c r="B30" s="5" t="s">
        <v>83</v>
      </c>
      <c r="C30" s="21">
        <v>31</v>
      </c>
    </row>
    <row r="31" spans="1:5" ht="12.3" x14ac:dyDescent="0.4">
      <c r="A31" s="5" t="s">
        <v>84</v>
      </c>
      <c r="B31" s="5" t="s">
        <v>85</v>
      </c>
      <c r="C31" s="21">
        <v>2</v>
      </c>
    </row>
    <row r="32" spans="1:5" ht="12.3" x14ac:dyDescent="0.4">
      <c r="A32" s="5" t="s">
        <v>49</v>
      </c>
      <c r="B32" s="5" t="s">
        <v>86</v>
      </c>
      <c r="C32" s="21">
        <v>50</v>
      </c>
    </row>
    <row r="33" spans="1:3" ht="12.3" x14ac:dyDescent="0.4">
      <c r="A33" s="5" t="s">
        <v>31</v>
      </c>
      <c r="B33" s="5" t="s">
        <v>87</v>
      </c>
      <c r="C33" s="21">
        <v>62</v>
      </c>
    </row>
    <row r="34" spans="1:3" ht="12.3" x14ac:dyDescent="0.4">
      <c r="A34" s="5" t="s">
        <v>84</v>
      </c>
      <c r="B34" s="5" t="s">
        <v>88</v>
      </c>
      <c r="C34" s="21">
        <v>20</v>
      </c>
    </row>
    <row r="35" spans="1:3" ht="12.3" x14ac:dyDescent="0.4">
      <c r="A35" s="5" t="s">
        <v>36</v>
      </c>
      <c r="B35" s="5" t="s">
        <v>89</v>
      </c>
      <c r="C35" s="21">
        <v>15</v>
      </c>
    </row>
    <row r="36" spans="1:3" ht="12.3" x14ac:dyDescent="0.4">
      <c r="A36" s="5" t="s">
        <v>52</v>
      </c>
      <c r="B36" s="5" t="s">
        <v>90</v>
      </c>
      <c r="C36" s="21">
        <v>57</v>
      </c>
    </row>
    <row r="37" spans="1:3" ht="12.3" x14ac:dyDescent="0.4">
      <c r="A37" s="5" t="s">
        <v>41</v>
      </c>
      <c r="B37" s="5" t="s">
        <v>91</v>
      </c>
      <c r="C37" s="21">
        <v>68</v>
      </c>
    </row>
    <row r="38" spans="1:3" ht="12.3" x14ac:dyDescent="0.4">
      <c r="A38" s="5" t="s">
        <v>69</v>
      </c>
      <c r="B38" s="5" t="s">
        <v>92</v>
      </c>
      <c r="C38" s="21">
        <v>35</v>
      </c>
    </row>
    <row r="39" spans="1:3" ht="12.3" x14ac:dyDescent="0.4">
      <c r="A39" s="5" t="s">
        <v>36</v>
      </c>
      <c r="B39" s="5" t="s">
        <v>93</v>
      </c>
      <c r="C39" s="21">
        <v>2</v>
      </c>
    </row>
    <row r="40" spans="1:3" ht="12.3" x14ac:dyDescent="0.4">
      <c r="A40" s="5" t="s">
        <v>60</v>
      </c>
      <c r="B40" s="5" t="s">
        <v>94</v>
      </c>
      <c r="C40" s="21">
        <v>69</v>
      </c>
    </row>
    <row r="41" spans="1:3" ht="12.3" x14ac:dyDescent="0.4">
      <c r="A41" s="5" t="s">
        <v>57</v>
      </c>
      <c r="B41" s="5" t="s">
        <v>95</v>
      </c>
      <c r="C41" s="21">
        <v>44</v>
      </c>
    </row>
    <row r="42" spans="1:3" ht="12.3" x14ac:dyDescent="0.4">
      <c r="A42" s="5" t="s">
        <v>96</v>
      </c>
      <c r="B42" s="5" t="s">
        <v>97</v>
      </c>
      <c r="C42" s="21">
        <v>70</v>
      </c>
    </row>
    <row r="43" spans="1:3" ht="12.3" x14ac:dyDescent="0.4">
      <c r="A43" s="5" t="s">
        <v>51</v>
      </c>
      <c r="B43" s="5" t="s">
        <v>98</v>
      </c>
      <c r="C43" s="21">
        <v>32</v>
      </c>
    </row>
    <row r="44" spans="1:3" ht="12.3" x14ac:dyDescent="0.4">
      <c r="A44" s="5" t="s">
        <v>64</v>
      </c>
      <c r="B44" s="5" t="s">
        <v>99</v>
      </c>
      <c r="C44" s="21">
        <v>74</v>
      </c>
    </row>
    <row r="45" spans="1:3" ht="12.3" x14ac:dyDescent="0.4">
      <c r="A45" s="5" t="s">
        <v>27</v>
      </c>
      <c r="B45" s="5" t="s">
        <v>100</v>
      </c>
      <c r="C45" s="21">
        <v>49</v>
      </c>
    </row>
    <row r="46" spans="1:3" ht="12.3" x14ac:dyDescent="0.4">
      <c r="A46" s="5" t="s">
        <v>60</v>
      </c>
      <c r="B46" s="5" t="s">
        <v>101</v>
      </c>
      <c r="C46" s="21">
        <v>22</v>
      </c>
    </row>
    <row r="47" spans="1:3" ht="12.3" x14ac:dyDescent="0.4">
      <c r="A47" s="5" t="s">
        <v>31</v>
      </c>
      <c r="B47" s="5" t="s">
        <v>102</v>
      </c>
      <c r="C47" s="21">
        <v>16</v>
      </c>
    </row>
    <row r="48" spans="1:3" ht="12.3" x14ac:dyDescent="0.4">
      <c r="A48" s="5" t="s">
        <v>51</v>
      </c>
      <c r="B48" s="5" t="s">
        <v>103</v>
      </c>
      <c r="C48" s="21">
        <v>56</v>
      </c>
    </row>
    <row r="49" spans="1:3" ht="12.3" x14ac:dyDescent="0.4">
      <c r="A49" s="5" t="s">
        <v>74</v>
      </c>
      <c r="B49" s="5" t="s">
        <v>104</v>
      </c>
      <c r="C49" s="21">
        <v>46</v>
      </c>
    </row>
    <row r="50" spans="1:3" ht="12.3" x14ac:dyDescent="0.4">
      <c r="A50" s="5" t="s">
        <v>52</v>
      </c>
      <c r="B50" s="5" t="s">
        <v>105</v>
      </c>
      <c r="C50" s="21">
        <v>69</v>
      </c>
    </row>
    <row r="51" spans="1:3" ht="12.3" x14ac:dyDescent="0.4">
      <c r="A51" s="5" t="s">
        <v>49</v>
      </c>
      <c r="B51" s="5" t="s">
        <v>106</v>
      </c>
      <c r="C51" s="21">
        <v>38</v>
      </c>
    </row>
    <row r="52" spans="1:3" ht="12.3" x14ac:dyDescent="0.4">
      <c r="A52" s="5" t="s">
        <v>66</v>
      </c>
      <c r="B52" s="5" t="s">
        <v>107</v>
      </c>
      <c r="C52" s="21">
        <v>14</v>
      </c>
    </row>
    <row r="53" spans="1:3" ht="12.3" x14ac:dyDescent="0.4">
      <c r="A53" s="5" t="s">
        <v>69</v>
      </c>
      <c r="B53" s="5" t="s">
        <v>108</v>
      </c>
      <c r="C53" s="21">
        <v>51</v>
      </c>
    </row>
    <row r="54" spans="1:3" ht="12.3" x14ac:dyDescent="0.4">
      <c r="A54" s="5" t="s">
        <v>27</v>
      </c>
      <c r="B54" s="5" t="s">
        <v>109</v>
      </c>
      <c r="C54" s="21">
        <v>11</v>
      </c>
    </row>
    <row r="55" spans="1:3" ht="12.3" x14ac:dyDescent="0.4">
      <c r="A55" s="5" t="s">
        <v>27</v>
      </c>
      <c r="B55" s="5" t="s">
        <v>110</v>
      </c>
      <c r="C55" s="21">
        <v>60</v>
      </c>
    </row>
    <row r="56" spans="1:3" ht="12.3" x14ac:dyDescent="0.4">
      <c r="A56" s="5" t="s">
        <v>96</v>
      </c>
      <c r="B56" s="5" t="s">
        <v>111</v>
      </c>
      <c r="C56" s="21">
        <v>46</v>
      </c>
    </row>
    <row r="57" spans="1:3" ht="12.3" x14ac:dyDescent="0.4">
      <c r="A57" s="5" t="s">
        <v>31</v>
      </c>
      <c r="B57" s="5" t="s">
        <v>112</v>
      </c>
      <c r="C57" s="21">
        <v>53</v>
      </c>
    </row>
    <row r="58" spans="1:3" ht="12.3" x14ac:dyDescent="0.4">
      <c r="A58" s="5" t="s">
        <v>69</v>
      </c>
      <c r="B58" s="5" t="s">
        <v>113</v>
      </c>
      <c r="C58" s="21">
        <v>74</v>
      </c>
    </row>
    <row r="59" spans="1:3" ht="12.3" x14ac:dyDescent="0.4">
      <c r="A59" s="5" t="s">
        <v>29</v>
      </c>
      <c r="B59" s="5" t="s">
        <v>114</v>
      </c>
      <c r="C59" s="21">
        <v>28</v>
      </c>
    </row>
    <row r="60" spans="1:3" ht="12.3" x14ac:dyDescent="0.4">
      <c r="A60" s="5" t="s">
        <v>69</v>
      </c>
      <c r="B60" s="5" t="s">
        <v>115</v>
      </c>
      <c r="C60" s="21">
        <v>32</v>
      </c>
    </row>
    <row r="61" spans="1:3" ht="12.3" x14ac:dyDescent="0.4">
      <c r="A61" s="5" t="s">
        <v>49</v>
      </c>
      <c r="B61" s="5" t="s">
        <v>116</v>
      </c>
      <c r="C61" s="21">
        <v>61</v>
      </c>
    </row>
    <row r="62" spans="1:3" ht="12.3" x14ac:dyDescent="0.4">
      <c r="A62" s="5" t="s">
        <v>96</v>
      </c>
      <c r="B62" s="5" t="s">
        <v>117</v>
      </c>
      <c r="C62" s="21">
        <v>23</v>
      </c>
    </row>
    <row r="63" spans="1:3" ht="12.3" x14ac:dyDescent="0.4">
      <c r="A63" s="5" t="s">
        <v>64</v>
      </c>
      <c r="B63" s="5" t="s">
        <v>118</v>
      </c>
      <c r="C63" s="21">
        <v>20</v>
      </c>
    </row>
    <row r="64" spans="1:3" ht="12.3" x14ac:dyDescent="0.4">
      <c r="A64" s="5" t="s">
        <v>27</v>
      </c>
      <c r="B64" s="5" t="s">
        <v>119</v>
      </c>
      <c r="C64" s="21">
        <v>25</v>
      </c>
    </row>
    <row r="65" spans="1:3" ht="12.3" x14ac:dyDescent="0.4">
      <c r="A65" s="5" t="s">
        <v>84</v>
      </c>
      <c r="B65" s="5" t="s">
        <v>120</v>
      </c>
      <c r="C65" s="21">
        <v>12</v>
      </c>
    </row>
    <row r="66" spans="1:3" ht="12.3" x14ac:dyDescent="0.4">
      <c r="A66" s="5" t="s">
        <v>37</v>
      </c>
      <c r="B66" s="5" t="s">
        <v>121</v>
      </c>
      <c r="C66" s="21">
        <v>7</v>
      </c>
    </row>
    <row r="67" spans="1:3" ht="12.3" x14ac:dyDescent="0.4">
      <c r="A67" s="5" t="s">
        <v>39</v>
      </c>
      <c r="B67" s="5" t="s">
        <v>122</v>
      </c>
      <c r="C67" s="21">
        <v>42</v>
      </c>
    </row>
    <row r="68" spans="1:3" ht="12.3" x14ac:dyDescent="0.4">
      <c r="A68" s="5" t="s">
        <v>34</v>
      </c>
      <c r="B68" s="5" t="s">
        <v>123</v>
      </c>
      <c r="C68" s="21">
        <v>16</v>
      </c>
    </row>
    <row r="69" spans="1:3" ht="12.3" x14ac:dyDescent="0.4">
      <c r="A69" s="5" t="s">
        <v>55</v>
      </c>
      <c r="B69" s="5" t="s">
        <v>124</v>
      </c>
      <c r="C69" s="21">
        <v>59</v>
      </c>
    </row>
    <row r="70" spans="1:3" ht="12.3" x14ac:dyDescent="0.4">
      <c r="A70" s="5" t="s">
        <v>59</v>
      </c>
      <c r="B70" s="5" t="s">
        <v>125</v>
      </c>
      <c r="C70" s="21">
        <v>15</v>
      </c>
    </row>
    <row r="71" spans="1:3" ht="12.3" x14ac:dyDescent="0.4">
      <c r="A71" s="5" t="s">
        <v>78</v>
      </c>
      <c r="B71" s="5" t="s">
        <v>126</v>
      </c>
      <c r="C71" s="21">
        <v>73</v>
      </c>
    </row>
    <row r="72" spans="1:3" ht="12.3" x14ac:dyDescent="0.4">
      <c r="A72" s="5" t="s">
        <v>29</v>
      </c>
      <c r="B72" s="5" t="s">
        <v>127</v>
      </c>
      <c r="C72" s="21">
        <v>64</v>
      </c>
    </row>
    <row r="73" spans="1:3" ht="12.3" x14ac:dyDescent="0.4">
      <c r="A73" s="5" t="s">
        <v>27</v>
      </c>
      <c r="B73" s="5" t="s">
        <v>128</v>
      </c>
      <c r="C73" s="21">
        <v>73</v>
      </c>
    </row>
    <row r="74" spans="1:3" ht="12.3" x14ac:dyDescent="0.4">
      <c r="A74" s="5" t="s">
        <v>55</v>
      </c>
      <c r="B74" s="5" t="s">
        <v>129</v>
      </c>
      <c r="C74" s="21">
        <v>26</v>
      </c>
    </row>
    <row r="75" spans="1:3" ht="12.3" x14ac:dyDescent="0.4">
      <c r="A75" s="5" t="s">
        <v>45</v>
      </c>
      <c r="B75" s="5" t="s">
        <v>130</v>
      </c>
      <c r="C75" s="21">
        <v>17</v>
      </c>
    </row>
    <row r="76" spans="1:3" ht="12.3" x14ac:dyDescent="0.4">
      <c r="A76" s="5" t="s">
        <v>49</v>
      </c>
      <c r="B76" s="5" t="s">
        <v>131</v>
      </c>
      <c r="C76" s="21">
        <v>54</v>
      </c>
    </row>
    <row r="77" spans="1:3" ht="12.3" x14ac:dyDescent="0.4">
      <c r="A77" s="5" t="s">
        <v>54</v>
      </c>
      <c r="B77" s="5" t="s">
        <v>132</v>
      </c>
      <c r="C77" s="21">
        <v>58</v>
      </c>
    </row>
    <row r="78" spans="1:3" ht="12.3" x14ac:dyDescent="0.4">
      <c r="A78" s="5" t="s">
        <v>96</v>
      </c>
      <c r="B78" s="5" t="s">
        <v>133</v>
      </c>
      <c r="C78" s="21">
        <v>17</v>
      </c>
    </row>
    <row r="79" spans="1:3" ht="12.3" x14ac:dyDescent="0.4">
      <c r="A79" s="5" t="s">
        <v>29</v>
      </c>
      <c r="B79" s="5" t="s">
        <v>134</v>
      </c>
      <c r="C79" s="21">
        <v>50</v>
      </c>
    </row>
    <row r="80" spans="1:3" ht="12.3" x14ac:dyDescent="0.4">
      <c r="A80" s="5" t="s">
        <v>57</v>
      </c>
      <c r="B80" s="5" t="s">
        <v>135</v>
      </c>
      <c r="C80" s="21">
        <v>34</v>
      </c>
    </row>
    <row r="81" spans="1:3" ht="12.3" x14ac:dyDescent="0.4">
      <c r="A81" s="5" t="s">
        <v>78</v>
      </c>
      <c r="B81" s="5" t="s">
        <v>136</v>
      </c>
      <c r="C81" s="21">
        <v>23</v>
      </c>
    </row>
    <row r="82" spans="1:3" ht="12.3" x14ac:dyDescent="0.4">
      <c r="A82" s="5" t="s">
        <v>52</v>
      </c>
      <c r="B82" s="5" t="s">
        <v>137</v>
      </c>
      <c r="C82" s="21">
        <v>22</v>
      </c>
    </row>
    <row r="83" spans="1:3" ht="12.3" x14ac:dyDescent="0.4">
      <c r="A83" s="5" t="s">
        <v>74</v>
      </c>
      <c r="B83" s="5" t="s">
        <v>138</v>
      </c>
      <c r="C83" s="21">
        <v>28</v>
      </c>
    </row>
    <row r="84" spans="1:3" ht="12.3" x14ac:dyDescent="0.4">
      <c r="A84" s="5" t="s">
        <v>57</v>
      </c>
      <c r="B84" s="5" t="s">
        <v>139</v>
      </c>
      <c r="C84" s="21">
        <v>28</v>
      </c>
    </row>
    <row r="85" spans="1:3" ht="12.3" x14ac:dyDescent="0.4">
      <c r="A85" s="5" t="s">
        <v>78</v>
      </c>
      <c r="B85" s="5" t="s">
        <v>140</v>
      </c>
      <c r="C85" s="21">
        <v>9</v>
      </c>
    </row>
    <row r="86" spans="1:3" ht="12.3" x14ac:dyDescent="0.4">
      <c r="A86" s="5" t="s">
        <v>29</v>
      </c>
      <c r="B86" s="5" t="s">
        <v>101</v>
      </c>
      <c r="C86" s="21">
        <v>58</v>
      </c>
    </row>
    <row r="87" spans="1:3" ht="12.3" x14ac:dyDescent="0.4">
      <c r="A87" s="5" t="s">
        <v>51</v>
      </c>
      <c r="B87" s="5" t="s">
        <v>141</v>
      </c>
      <c r="C87" s="21">
        <v>58</v>
      </c>
    </row>
    <row r="88" spans="1:3" ht="12.3" x14ac:dyDescent="0.4">
      <c r="A88" s="5" t="s">
        <v>80</v>
      </c>
      <c r="B88" s="5" t="s">
        <v>142</v>
      </c>
      <c r="C88" s="21">
        <v>46</v>
      </c>
    </row>
    <row r="89" spans="1:3" ht="12.3" x14ac:dyDescent="0.4">
      <c r="A89" s="5" t="s">
        <v>36</v>
      </c>
      <c r="B89" s="5" t="s">
        <v>143</v>
      </c>
      <c r="C89" s="21">
        <v>74</v>
      </c>
    </row>
    <row r="90" spans="1:3" ht="12.3" x14ac:dyDescent="0.4">
      <c r="A90" s="5" t="s">
        <v>78</v>
      </c>
      <c r="B90" s="5" t="s">
        <v>144</v>
      </c>
      <c r="C90" s="21">
        <v>60</v>
      </c>
    </row>
    <row r="91" spans="1:3" ht="12.3" x14ac:dyDescent="0.4">
      <c r="A91" s="5" t="s">
        <v>37</v>
      </c>
      <c r="B91" s="5" t="s">
        <v>145</v>
      </c>
      <c r="C91" s="21">
        <v>19</v>
      </c>
    </row>
    <row r="92" spans="1:3" ht="12.3" x14ac:dyDescent="0.4">
      <c r="A92" s="5" t="s">
        <v>69</v>
      </c>
      <c r="B92" s="5" t="s">
        <v>146</v>
      </c>
      <c r="C92" s="21">
        <v>12</v>
      </c>
    </row>
    <row r="93" spans="1:3" ht="12.3" x14ac:dyDescent="0.4">
      <c r="A93" s="5" t="s">
        <v>72</v>
      </c>
      <c r="B93" s="5" t="s">
        <v>147</v>
      </c>
      <c r="C93" s="21">
        <v>7</v>
      </c>
    </row>
    <row r="94" spans="1:3" ht="12.3" x14ac:dyDescent="0.4">
      <c r="A94" s="5" t="s">
        <v>84</v>
      </c>
      <c r="B94" s="5" t="s">
        <v>148</v>
      </c>
      <c r="C94" s="21">
        <v>57</v>
      </c>
    </row>
    <row r="95" spans="1:3" ht="12.3" x14ac:dyDescent="0.4">
      <c r="A95" s="5" t="s">
        <v>80</v>
      </c>
      <c r="B95" s="5" t="s">
        <v>138</v>
      </c>
      <c r="C95" s="21">
        <v>35</v>
      </c>
    </row>
    <row r="96" spans="1:3" ht="12.3" x14ac:dyDescent="0.4">
      <c r="A96" s="5" t="s">
        <v>69</v>
      </c>
      <c r="B96" s="5" t="s">
        <v>149</v>
      </c>
      <c r="C96" s="21">
        <v>51</v>
      </c>
    </row>
    <row r="97" spans="1:3" ht="12.3" x14ac:dyDescent="0.4">
      <c r="A97" s="5" t="s">
        <v>80</v>
      </c>
      <c r="B97" s="5" t="s">
        <v>150</v>
      </c>
      <c r="C97" s="21">
        <v>50</v>
      </c>
    </row>
    <row r="98" spans="1:3" ht="12.3" x14ac:dyDescent="0.4">
      <c r="A98" s="5" t="s">
        <v>52</v>
      </c>
      <c r="B98" s="5" t="s">
        <v>151</v>
      </c>
      <c r="C98" s="21">
        <v>28</v>
      </c>
    </row>
    <row r="99" spans="1:3" ht="12.3" x14ac:dyDescent="0.4">
      <c r="A99" s="5" t="s">
        <v>43</v>
      </c>
      <c r="B99" s="5" t="s">
        <v>152</v>
      </c>
      <c r="C99" s="21">
        <v>66</v>
      </c>
    </row>
    <row r="100" spans="1:3" ht="12.3" x14ac:dyDescent="0.4">
      <c r="A100" s="5" t="s">
        <v>45</v>
      </c>
      <c r="B100" s="5" t="s">
        <v>153</v>
      </c>
      <c r="C100" s="21">
        <v>61</v>
      </c>
    </row>
    <row r="101" spans="1:3" ht="12.3" x14ac:dyDescent="0.4">
      <c r="A101" s="5" t="s">
        <v>36</v>
      </c>
      <c r="B101" s="5" t="s">
        <v>154</v>
      </c>
      <c r="C101" s="21">
        <v>40</v>
      </c>
    </row>
    <row r="102" spans="1:3" ht="12.3" x14ac:dyDescent="0.4">
      <c r="A102" s="5" t="s">
        <v>31</v>
      </c>
      <c r="B102" s="5" t="s">
        <v>155</v>
      </c>
      <c r="C102" s="21">
        <v>44</v>
      </c>
    </row>
    <row r="103" spans="1:3" ht="12.3" x14ac:dyDescent="0.4">
      <c r="A103" s="5" t="s">
        <v>36</v>
      </c>
      <c r="B103" s="5" t="s">
        <v>156</v>
      </c>
      <c r="C103" s="21">
        <v>59</v>
      </c>
    </row>
    <row r="104" spans="1:3" ht="12.3" x14ac:dyDescent="0.4">
      <c r="A104" s="5" t="s">
        <v>69</v>
      </c>
      <c r="B104" s="5" t="s">
        <v>157</v>
      </c>
      <c r="C104" s="21">
        <v>12</v>
      </c>
    </row>
    <row r="105" spans="1:3" ht="12.3" x14ac:dyDescent="0.4">
      <c r="A105" s="5" t="s">
        <v>36</v>
      </c>
      <c r="B105" s="5" t="s">
        <v>158</v>
      </c>
      <c r="C105" s="21">
        <v>6</v>
      </c>
    </row>
    <row r="106" spans="1:3" ht="12.3" x14ac:dyDescent="0.4">
      <c r="A106" s="5" t="s">
        <v>39</v>
      </c>
      <c r="B106" s="5" t="s">
        <v>159</v>
      </c>
      <c r="C106" s="21">
        <v>38</v>
      </c>
    </row>
    <row r="107" spans="1:3" ht="12.3" x14ac:dyDescent="0.4">
      <c r="A107" s="5" t="s">
        <v>78</v>
      </c>
      <c r="B107" s="5" t="s">
        <v>160</v>
      </c>
      <c r="C107" s="21">
        <v>30</v>
      </c>
    </row>
    <row r="108" spans="1:3" ht="12.3" x14ac:dyDescent="0.4">
      <c r="A108" s="5" t="s">
        <v>74</v>
      </c>
      <c r="B108" s="5" t="s">
        <v>161</v>
      </c>
      <c r="C108" s="21">
        <v>63</v>
      </c>
    </row>
    <row r="109" spans="1:3" ht="12.3" x14ac:dyDescent="0.4">
      <c r="A109" s="5" t="s">
        <v>66</v>
      </c>
      <c r="B109" s="5" t="s">
        <v>162</v>
      </c>
      <c r="C109" s="21">
        <v>51</v>
      </c>
    </row>
    <row r="110" spans="1:3" ht="12.3" x14ac:dyDescent="0.4">
      <c r="A110" s="5" t="s">
        <v>80</v>
      </c>
      <c r="B110" s="5" t="s">
        <v>163</v>
      </c>
      <c r="C110" s="21">
        <v>17</v>
      </c>
    </row>
    <row r="111" spans="1:3" ht="12.3" x14ac:dyDescent="0.4">
      <c r="A111" s="5" t="s">
        <v>69</v>
      </c>
      <c r="B111" s="5" t="s">
        <v>164</v>
      </c>
      <c r="C111" s="21">
        <v>28</v>
      </c>
    </row>
    <row r="112" spans="1:3" ht="12.3" x14ac:dyDescent="0.4">
      <c r="A112" s="5" t="s">
        <v>31</v>
      </c>
      <c r="B112" s="5" t="s">
        <v>165</v>
      </c>
      <c r="C112" s="21">
        <v>8</v>
      </c>
    </row>
    <row r="113" spans="1:3" ht="12.3" x14ac:dyDescent="0.4">
      <c r="A113" s="5" t="s">
        <v>41</v>
      </c>
      <c r="B113" s="5" t="s">
        <v>166</v>
      </c>
      <c r="C113" s="21">
        <v>20</v>
      </c>
    </row>
    <row r="114" spans="1:3" ht="12.3" x14ac:dyDescent="0.4">
      <c r="A114" s="5" t="s">
        <v>45</v>
      </c>
      <c r="B114" s="5" t="s">
        <v>167</v>
      </c>
      <c r="C114" s="21">
        <v>33</v>
      </c>
    </row>
    <row r="115" spans="1:3" ht="12.3" x14ac:dyDescent="0.4">
      <c r="A115" s="5" t="s">
        <v>168</v>
      </c>
      <c r="B115" s="5" t="s">
        <v>169</v>
      </c>
      <c r="C115" s="21">
        <v>45</v>
      </c>
    </row>
    <row r="116" spans="1:3" ht="12.3" x14ac:dyDescent="0.4">
      <c r="A116" s="5" t="s">
        <v>31</v>
      </c>
      <c r="B116" s="5" t="s">
        <v>170</v>
      </c>
      <c r="C116" s="21">
        <v>7</v>
      </c>
    </row>
    <row r="117" spans="1:3" ht="12.3" x14ac:dyDescent="0.4">
      <c r="A117" s="5" t="s">
        <v>27</v>
      </c>
      <c r="B117" s="5" t="s">
        <v>171</v>
      </c>
      <c r="C117" s="21">
        <v>45</v>
      </c>
    </row>
    <row r="118" spans="1:3" ht="12.3" x14ac:dyDescent="0.4">
      <c r="A118" s="5" t="s">
        <v>54</v>
      </c>
      <c r="B118" s="5" t="s">
        <v>172</v>
      </c>
      <c r="C118" s="21">
        <v>16</v>
      </c>
    </row>
    <row r="119" spans="1:3" ht="12.3" x14ac:dyDescent="0.4">
      <c r="A119" s="5" t="s">
        <v>168</v>
      </c>
      <c r="B119" s="5" t="s">
        <v>173</v>
      </c>
      <c r="C119" s="21">
        <v>38</v>
      </c>
    </row>
    <row r="120" spans="1:3" ht="12.3" x14ac:dyDescent="0.4">
      <c r="A120" s="5" t="s">
        <v>174</v>
      </c>
      <c r="B120" s="5" t="s">
        <v>175</v>
      </c>
      <c r="C120" s="21">
        <v>1</v>
      </c>
    </row>
    <row r="121" spans="1:3" ht="12.3" x14ac:dyDescent="0.4">
      <c r="A121" s="5" t="s">
        <v>66</v>
      </c>
      <c r="B121" s="5" t="s">
        <v>176</v>
      </c>
      <c r="C121" s="21">
        <v>69</v>
      </c>
    </row>
    <row r="122" spans="1:3" ht="12.3" x14ac:dyDescent="0.4">
      <c r="A122" s="5" t="s">
        <v>55</v>
      </c>
      <c r="B122" s="5" t="s">
        <v>177</v>
      </c>
      <c r="C122" s="21">
        <v>38</v>
      </c>
    </row>
    <row r="123" spans="1:3" ht="12.3" x14ac:dyDescent="0.4">
      <c r="A123" s="5" t="s">
        <v>80</v>
      </c>
      <c r="B123" s="5" t="s">
        <v>178</v>
      </c>
      <c r="C123" s="21">
        <v>60</v>
      </c>
    </row>
    <row r="124" spans="1:3" ht="12.3" x14ac:dyDescent="0.4">
      <c r="A124" s="5" t="s">
        <v>174</v>
      </c>
      <c r="B124" s="5" t="s">
        <v>179</v>
      </c>
      <c r="C124" s="21">
        <v>17</v>
      </c>
    </row>
    <row r="125" spans="1:3" ht="12.3" x14ac:dyDescent="0.4">
      <c r="A125" s="5" t="s">
        <v>48</v>
      </c>
      <c r="B125" s="5" t="s">
        <v>180</v>
      </c>
      <c r="C125" s="21">
        <v>71</v>
      </c>
    </row>
    <row r="126" spans="1:3" ht="12.3" x14ac:dyDescent="0.4">
      <c r="A126" s="5" t="s">
        <v>174</v>
      </c>
      <c r="B126" s="5" t="s">
        <v>181</v>
      </c>
      <c r="C126" s="21">
        <v>21</v>
      </c>
    </row>
    <row r="127" spans="1:3" ht="12.3" x14ac:dyDescent="0.4">
      <c r="A127" s="5" t="s">
        <v>29</v>
      </c>
      <c r="B127" s="5" t="s">
        <v>182</v>
      </c>
      <c r="C127" s="21">
        <v>47</v>
      </c>
    </row>
    <row r="128" spans="1:3" ht="12.3" x14ac:dyDescent="0.4">
      <c r="A128" s="5" t="s">
        <v>48</v>
      </c>
      <c r="B128" s="5" t="s">
        <v>183</v>
      </c>
      <c r="C128" s="21">
        <v>10</v>
      </c>
    </row>
    <row r="129" spans="1:3" ht="12.3" x14ac:dyDescent="0.4">
      <c r="A129" s="5" t="s">
        <v>43</v>
      </c>
      <c r="B129" s="5" t="s">
        <v>184</v>
      </c>
      <c r="C129" s="21">
        <v>1</v>
      </c>
    </row>
    <row r="130" spans="1:3" ht="12.3" x14ac:dyDescent="0.4">
      <c r="A130" s="5" t="s">
        <v>55</v>
      </c>
      <c r="B130" s="5" t="s">
        <v>185</v>
      </c>
      <c r="C130" s="21">
        <v>63</v>
      </c>
    </row>
    <row r="131" spans="1:3" ht="12.3" x14ac:dyDescent="0.4">
      <c r="A131" s="5" t="s">
        <v>37</v>
      </c>
      <c r="B131" s="5" t="s">
        <v>186</v>
      </c>
      <c r="C131" s="21">
        <v>74</v>
      </c>
    </row>
    <row r="132" spans="1:3" ht="12.3" x14ac:dyDescent="0.4">
      <c r="A132" s="5" t="s">
        <v>49</v>
      </c>
      <c r="B132" s="5" t="s">
        <v>187</v>
      </c>
      <c r="C132" s="21">
        <v>32</v>
      </c>
    </row>
    <row r="133" spans="1:3" ht="12.3" x14ac:dyDescent="0.4">
      <c r="A133" s="5" t="s">
        <v>96</v>
      </c>
      <c r="B133" s="5" t="s">
        <v>188</v>
      </c>
      <c r="C133" s="21">
        <v>2</v>
      </c>
    </row>
    <row r="134" spans="1:3" ht="12.3" x14ac:dyDescent="0.4">
      <c r="A134" s="5" t="s">
        <v>84</v>
      </c>
      <c r="B134" s="5" t="s">
        <v>189</v>
      </c>
      <c r="C134" s="21">
        <v>18</v>
      </c>
    </row>
    <row r="135" spans="1:3" ht="12.3" x14ac:dyDescent="0.4">
      <c r="A135" s="5" t="s">
        <v>52</v>
      </c>
      <c r="B135" s="5" t="s">
        <v>190</v>
      </c>
      <c r="C135" s="21">
        <v>29</v>
      </c>
    </row>
    <row r="136" spans="1:3" ht="12.3" x14ac:dyDescent="0.4">
      <c r="A136" s="5" t="s">
        <v>27</v>
      </c>
      <c r="B136" s="5" t="s">
        <v>191</v>
      </c>
      <c r="C136" s="21">
        <v>19</v>
      </c>
    </row>
    <row r="137" spans="1:3" ht="12.3" x14ac:dyDescent="0.4">
      <c r="A137" s="5" t="s">
        <v>48</v>
      </c>
      <c r="B137" s="5" t="s">
        <v>192</v>
      </c>
      <c r="C137" s="21">
        <v>42</v>
      </c>
    </row>
    <row r="138" spans="1:3" ht="12.3" x14ac:dyDescent="0.4">
      <c r="A138" s="5" t="s">
        <v>43</v>
      </c>
      <c r="B138" s="5" t="s">
        <v>193</v>
      </c>
      <c r="C138" s="21">
        <v>9</v>
      </c>
    </row>
    <row r="139" spans="1:3" ht="12.3" x14ac:dyDescent="0.4">
      <c r="A139" s="5" t="s">
        <v>84</v>
      </c>
      <c r="B139" s="5" t="s">
        <v>194</v>
      </c>
      <c r="C139" s="21">
        <v>63</v>
      </c>
    </row>
    <row r="140" spans="1:3" ht="12.3" x14ac:dyDescent="0.4">
      <c r="A140" s="5" t="s">
        <v>49</v>
      </c>
      <c r="B140" s="5" t="s">
        <v>195</v>
      </c>
      <c r="C140" s="21">
        <v>74</v>
      </c>
    </row>
    <row r="141" spans="1:3" ht="12.3" x14ac:dyDescent="0.4">
      <c r="A141" s="5" t="s">
        <v>59</v>
      </c>
      <c r="B141" s="5" t="s">
        <v>196</v>
      </c>
      <c r="C141" s="21">
        <v>24</v>
      </c>
    </row>
    <row r="142" spans="1:3" ht="12.3" x14ac:dyDescent="0.4">
      <c r="A142" s="5" t="s">
        <v>78</v>
      </c>
      <c r="B142" s="5" t="s">
        <v>197</v>
      </c>
      <c r="C142" s="21">
        <v>24</v>
      </c>
    </row>
    <row r="143" spans="1:3" ht="12.3" x14ac:dyDescent="0.4">
      <c r="A143" s="5" t="s">
        <v>96</v>
      </c>
      <c r="B143" s="5" t="s">
        <v>198</v>
      </c>
      <c r="C143" s="21">
        <v>7</v>
      </c>
    </row>
    <row r="144" spans="1:3" ht="12.3" x14ac:dyDescent="0.4">
      <c r="A144" s="5" t="s">
        <v>78</v>
      </c>
      <c r="B144" s="5" t="s">
        <v>63</v>
      </c>
      <c r="C144" s="21">
        <v>16</v>
      </c>
    </row>
    <row r="145" spans="1:3" ht="12.3" x14ac:dyDescent="0.4">
      <c r="A145" s="5" t="s">
        <v>60</v>
      </c>
      <c r="B145" s="5" t="s">
        <v>199</v>
      </c>
      <c r="C145" s="21">
        <v>13</v>
      </c>
    </row>
    <row r="146" spans="1:3" ht="12.3" x14ac:dyDescent="0.4">
      <c r="A146" s="5" t="s">
        <v>78</v>
      </c>
      <c r="B146" s="5" t="s">
        <v>200</v>
      </c>
      <c r="C146" s="21">
        <v>54</v>
      </c>
    </row>
    <row r="147" spans="1:3" ht="12.3" x14ac:dyDescent="0.4">
      <c r="A147" s="5" t="s">
        <v>55</v>
      </c>
      <c r="B147" s="5" t="s">
        <v>201</v>
      </c>
      <c r="C147" s="21">
        <v>74</v>
      </c>
    </row>
    <row r="148" spans="1:3" ht="12.3" x14ac:dyDescent="0.4">
      <c r="A148" s="5" t="s">
        <v>41</v>
      </c>
      <c r="B148" s="5" t="s">
        <v>202</v>
      </c>
      <c r="C148" s="21">
        <v>70</v>
      </c>
    </row>
    <row r="149" spans="1:3" ht="12.3" x14ac:dyDescent="0.4">
      <c r="A149" s="5" t="s">
        <v>36</v>
      </c>
      <c r="B149" s="5" t="s">
        <v>203</v>
      </c>
      <c r="C149" s="21">
        <v>5</v>
      </c>
    </row>
    <row r="150" spans="1:3" ht="12.3" x14ac:dyDescent="0.4">
      <c r="A150" s="5" t="s">
        <v>31</v>
      </c>
      <c r="B150" s="5" t="s">
        <v>204</v>
      </c>
      <c r="C150" s="21">
        <v>63</v>
      </c>
    </row>
    <row r="151" spans="1:3" ht="12.3" x14ac:dyDescent="0.4">
      <c r="A151" s="5" t="s">
        <v>74</v>
      </c>
      <c r="B151" s="5" t="s">
        <v>205</v>
      </c>
      <c r="C151" s="21">
        <v>68</v>
      </c>
    </row>
    <row r="152" spans="1:3" ht="12.3" x14ac:dyDescent="0.4">
      <c r="A152" s="5" t="s">
        <v>174</v>
      </c>
      <c r="B152" s="5" t="s">
        <v>206</v>
      </c>
      <c r="C152" s="21">
        <v>54</v>
      </c>
    </row>
    <row r="153" spans="1:3" ht="12.3" x14ac:dyDescent="0.4">
      <c r="A153" s="5" t="s">
        <v>34</v>
      </c>
      <c r="B153" s="5" t="s">
        <v>207</v>
      </c>
      <c r="C153" s="21">
        <v>34</v>
      </c>
    </row>
    <row r="154" spans="1:3" ht="12.3" x14ac:dyDescent="0.4">
      <c r="A154" s="5" t="s">
        <v>80</v>
      </c>
      <c r="B154" s="5" t="s">
        <v>208</v>
      </c>
      <c r="C154" s="21">
        <v>34</v>
      </c>
    </row>
    <row r="155" spans="1:3" ht="12.3" x14ac:dyDescent="0.4">
      <c r="A155" s="5" t="s">
        <v>54</v>
      </c>
      <c r="B155" s="5" t="s">
        <v>209</v>
      </c>
      <c r="C155" s="21">
        <v>70</v>
      </c>
    </row>
    <row r="156" spans="1:3" ht="12.3" x14ac:dyDescent="0.4">
      <c r="A156" s="5" t="s">
        <v>57</v>
      </c>
      <c r="B156" s="5" t="s">
        <v>210</v>
      </c>
      <c r="C156" s="21">
        <v>40</v>
      </c>
    </row>
    <row r="157" spans="1:3" ht="12.3" x14ac:dyDescent="0.4">
      <c r="A157" s="5" t="s">
        <v>168</v>
      </c>
      <c r="B157" s="5" t="s">
        <v>211</v>
      </c>
      <c r="C157" s="21">
        <v>33</v>
      </c>
    </row>
    <row r="158" spans="1:3" ht="12.3" x14ac:dyDescent="0.4">
      <c r="A158" s="5" t="s">
        <v>43</v>
      </c>
      <c r="B158" s="5" t="s">
        <v>101</v>
      </c>
      <c r="C158" s="21">
        <v>13</v>
      </c>
    </row>
    <row r="159" spans="1:3" ht="12.3" x14ac:dyDescent="0.4">
      <c r="A159" s="5" t="s">
        <v>27</v>
      </c>
      <c r="B159" s="5" t="s">
        <v>212</v>
      </c>
      <c r="C159" s="21">
        <v>15</v>
      </c>
    </row>
    <row r="160" spans="1:3" ht="12.3" x14ac:dyDescent="0.4">
      <c r="A160" s="5" t="s">
        <v>37</v>
      </c>
      <c r="B160" s="5" t="s">
        <v>213</v>
      </c>
      <c r="C160" s="21">
        <v>23</v>
      </c>
    </row>
    <row r="161" spans="1:3" ht="12.3" x14ac:dyDescent="0.4">
      <c r="A161" s="5" t="s">
        <v>31</v>
      </c>
      <c r="B161" s="5" t="s">
        <v>214</v>
      </c>
      <c r="C161" s="21">
        <v>59</v>
      </c>
    </row>
    <row r="162" spans="1:3" ht="12.3" x14ac:dyDescent="0.4">
      <c r="A162" s="5" t="s">
        <v>41</v>
      </c>
      <c r="B162" s="5" t="s">
        <v>215</v>
      </c>
      <c r="C162" s="21">
        <v>43</v>
      </c>
    </row>
    <row r="163" spans="1:3" ht="12.3" x14ac:dyDescent="0.4">
      <c r="A163" s="5" t="s">
        <v>57</v>
      </c>
      <c r="B163" s="5" t="s">
        <v>216</v>
      </c>
      <c r="C163" s="21">
        <v>6</v>
      </c>
    </row>
    <row r="164" spans="1:3" ht="12.3" x14ac:dyDescent="0.4">
      <c r="A164" s="5" t="s">
        <v>27</v>
      </c>
      <c r="B164" s="5" t="s">
        <v>217</v>
      </c>
      <c r="C164" s="21">
        <v>32</v>
      </c>
    </row>
    <row r="165" spans="1:3" ht="12.3" x14ac:dyDescent="0.4">
      <c r="A165" s="5" t="s">
        <v>72</v>
      </c>
      <c r="B165" s="5" t="s">
        <v>218</v>
      </c>
      <c r="C165" s="21">
        <v>38</v>
      </c>
    </row>
    <row r="166" spans="1:3" ht="12.3" x14ac:dyDescent="0.4">
      <c r="A166" s="5" t="s">
        <v>31</v>
      </c>
      <c r="B166" s="5" t="s">
        <v>219</v>
      </c>
      <c r="C166" s="21">
        <v>21</v>
      </c>
    </row>
    <row r="167" spans="1:3" ht="12.3" x14ac:dyDescent="0.4">
      <c r="A167" s="5" t="s">
        <v>64</v>
      </c>
      <c r="B167" s="5" t="s">
        <v>220</v>
      </c>
      <c r="C167" s="21">
        <v>12</v>
      </c>
    </row>
    <row r="168" spans="1:3" ht="12.3" x14ac:dyDescent="0.4">
      <c r="A168" s="5" t="s">
        <v>51</v>
      </c>
      <c r="B168" s="5" t="s">
        <v>221</v>
      </c>
      <c r="C168" s="21">
        <v>36</v>
      </c>
    </row>
    <row r="169" spans="1:3" ht="12.3" x14ac:dyDescent="0.4">
      <c r="A169" s="5" t="s">
        <v>52</v>
      </c>
      <c r="B169" s="5" t="s">
        <v>222</v>
      </c>
      <c r="C169" s="21">
        <v>66</v>
      </c>
    </row>
    <row r="170" spans="1:3" ht="12.3" x14ac:dyDescent="0.4">
      <c r="A170" s="5" t="s">
        <v>84</v>
      </c>
      <c r="B170" s="5" t="s">
        <v>223</v>
      </c>
      <c r="C170" s="21">
        <v>68</v>
      </c>
    </row>
    <row r="171" spans="1:3" ht="12.3" x14ac:dyDescent="0.4">
      <c r="A171" s="5" t="s">
        <v>57</v>
      </c>
      <c r="B171" s="5" t="s">
        <v>224</v>
      </c>
      <c r="C171" s="21">
        <v>69</v>
      </c>
    </row>
    <row r="172" spans="1:3" ht="12.3" x14ac:dyDescent="0.4">
      <c r="A172" s="5" t="s">
        <v>60</v>
      </c>
      <c r="B172" s="5" t="s">
        <v>225</v>
      </c>
      <c r="C172" s="21">
        <v>63</v>
      </c>
    </row>
    <row r="173" spans="1:3" ht="12.3" x14ac:dyDescent="0.4">
      <c r="A173" s="5" t="s">
        <v>66</v>
      </c>
      <c r="B173" s="5" t="s">
        <v>226</v>
      </c>
      <c r="C173" s="21">
        <v>66</v>
      </c>
    </row>
    <row r="174" spans="1:3" ht="12.3" x14ac:dyDescent="0.4">
      <c r="A174" s="5" t="s">
        <v>45</v>
      </c>
      <c r="B174" s="5" t="s">
        <v>227</v>
      </c>
      <c r="C174" s="21">
        <v>21</v>
      </c>
    </row>
    <row r="175" spans="1:3" ht="12.3" x14ac:dyDescent="0.4">
      <c r="A175" s="5" t="s">
        <v>27</v>
      </c>
      <c r="B175" s="5" t="s">
        <v>228</v>
      </c>
      <c r="C175" s="21">
        <v>6</v>
      </c>
    </row>
    <row r="176" spans="1:3" ht="12.3" x14ac:dyDescent="0.4">
      <c r="A176" s="5" t="s">
        <v>51</v>
      </c>
      <c r="B176" s="5" t="s">
        <v>153</v>
      </c>
      <c r="C176" s="21">
        <v>25</v>
      </c>
    </row>
    <row r="177" spans="1:3" ht="12.3" x14ac:dyDescent="0.4">
      <c r="A177" s="5" t="s">
        <v>66</v>
      </c>
      <c r="B177" s="5" t="s">
        <v>229</v>
      </c>
      <c r="C177" s="21">
        <v>7</v>
      </c>
    </row>
    <row r="178" spans="1:3" ht="12.3" x14ac:dyDescent="0.4">
      <c r="A178" s="5" t="s">
        <v>45</v>
      </c>
      <c r="B178" s="5" t="s">
        <v>230</v>
      </c>
      <c r="C178" s="21">
        <v>26</v>
      </c>
    </row>
    <row r="179" spans="1:3" ht="12.3" x14ac:dyDescent="0.4">
      <c r="A179" s="5" t="s">
        <v>48</v>
      </c>
      <c r="B179" s="5" t="s">
        <v>231</v>
      </c>
      <c r="C179" s="21">
        <v>46</v>
      </c>
    </row>
    <row r="180" spans="1:3" ht="12.3" x14ac:dyDescent="0.4">
      <c r="A180" s="5" t="s">
        <v>72</v>
      </c>
      <c r="B180" s="5" t="s">
        <v>232</v>
      </c>
      <c r="C180" s="21">
        <v>3</v>
      </c>
    </row>
    <row r="181" spans="1:3" ht="12.3" x14ac:dyDescent="0.4">
      <c r="A181" s="5" t="s">
        <v>69</v>
      </c>
      <c r="B181" s="5" t="s">
        <v>233</v>
      </c>
      <c r="C181" s="21">
        <v>64</v>
      </c>
    </row>
    <row r="182" spans="1:3" ht="12.3" x14ac:dyDescent="0.4">
      <c r="A182" s="5" t="s">
        <v>72</v>
      </c>
      <c r="B182" s="5" t="s">
        <v>234</v>
      </c>
      <c r="C182" s="21">
        <v>64</v>
      </c>
    </row>
    <row r="183" spans="1:3" ht="12.3" x14ac:dyDescent="0.4">
      <c r="A183" s="5" t="s">
        <v>78</v>
      </c>
      <c r="B183" s="5" t="s">
        <v>235</v>
      </c>
      <c r="C183" s="21">
        <v>35</v>
      </c>
    </row>
    <row r="184" spans="1:3" ht="12.3" x14ac:dyDescent="0.4">
      <c r="A184" s="5" t="s">
        <v>78</v>
      </c>
      <c r="B184" s="5" t="s">
        <v>236</v>
      </c>
      <c r="C184" s="21">
        <v>19</v>
      </c>
    </row>
    <row r="185" spans="1:3" ht="12.3" x14ac:dyDescent="0.4">
      <c r="A185" s="5" t="s">
        <v>27</v>
      </c>
      <c r="B185" s="5" t="s">
        <v>237</v>
      </c>
      <c r="C185" s="21">
        <v>33</v>
      </c>
    </row>
    <row r="186" spans="1:3" ht="12.3" x14ac:dyDescent="0.4">
      <c r="A186" s="5" t="s">
        <v>74</v>
      </c>
      <c r="B186" s="5" t="s">
        <v>238</v>
      </c>
      <c r="C186" s="21">
        <v>62</v>
      </c>
    </row>
    <row r="187" spans="1:3" ht="12.3" x14ac:dyDescent="0.4">
      <c r="A187" s="5" t="s">
        <v>51</v>
      </c>
      <c r="B187" s="5" t="s">
        <v>239</v>
      </c>
      <c r="C187" s="21">
        <v>8</v>
      </c>
    </row>
    <row r="188" spans="1:3" ht="12.3" x14ac:dyDescent="0.4">
      <c r="A188" s="5" t="s">
        <v>29</v>
      </c>
      <c r="B188" s="5" t="s">
        <v>240</v>
      </c>
      <c r="C188" s="21">
        <v>71</v>
      </c>
    </row>
    <row r="189" spans="1:3" ht="12.3" x14ac:dyDescent="0.4">
      <c r="A189" s="5" t="s">
        <v>60</v>
      </c>
      <c r="B189" s="5" t="s">
        <v>241</v>
      </c>
      <c r="C189" s="21">
        <v>40</v>
      </c>
    </row>
    <row r="190" spans="1:3" ht="12.3" x14ac:dyDescent="0.4">
      <c r="A190" s="5" t="s">
        <v>39</v>
      </c>
      <c r="B190" s="5" t="s">
        <v>242</v>
      </c>
      <c r="C190" s="21">
        <v>22</v>
      </c>
    </row>
    <row r="191" spans="1:3" ht="12.3" x14ac:dyDescent="0.4">
      <c r="A191" s="5" t="s">
        <v>174</v>
      </c>
      <c r="B191" s="5" t="s">
        <v>243</v>
      </c>
      <c r="C191" s="21">
        <v>38</v>
      </c>
    </row>
    <row r="192" spans="1:3" ht="12.3" x14ac:dyDescent="0.4">
      <c r="A192" s="5" t="s">
        <v>74</v>
      </c>
      <c r="B192" s="5" t="s">
        <v>244</v>
      </c>
      <c r="C192" s="21">
        <v>30</v>
      </c>
    </row>
    <row r="193" spans="1:3" ht="12.3" x14ac:dyDescent="0.4">
      <c r="A193" s="5" t="s">
        <v>74</v>
      </c>
      <c r="B193" s="5" t="s">
        <v>32</v>
      </c>
      <c r="C193" s="21">
        <v>62</v>
      </c>
    </row>
    <row r="194" spans="1:3" ht="12.3" x14ac:dyDescent="0.4">
      <c r="A194" s="5" t="s">
        <v>43</v>
      </c>
      <c r="B194" s="5" t="s">
        <v>245</v>
      </c>
      <c r="C194" s="21">
        <v>50</v>
      </c>
    </row>
    <row r="195" spans="1:3" ht="12.3" x14ac:dyDescent="0.4">
      <c r="A195" s="5" t="s">
        <v>57</v>
      </c>
      <c r="B195" s="5" t="s">
        <v>246</v>
      </c>
      <c r="C195" s="21">
        <v>54</v>
      </c>
    </row>
    <row r="196" spans="1:3" ht="12.3" x14ac:dyDescent="0.4">
      <c r="A196" s="5" t="s">
        <v>51</v>
      </c>
      <c r="B196" s="5" t="s">
        <v>247</v>
      </c>
      <c r="C196" s="21">
        <v>41</v>
      </c>
    </row>
    <row r="197" spans="1:3" ht="12.3" x14ac:dyDescent="0.4">
      <c r="A197" s="5" t="s">
        <v>80</v>
      </c>
      <c r="B197" s="5" t="s">
        <v>248</v>
      </c>
      <c r="C197" s="21">
        <v>71</v>
      </c>
    </row>
    <row r="198" spans="1:3" ht="12.3" x14ac:dyDescent="0.4">
      <c r="A198" s="5" t="s">
        <v>34</v>
      </c>
      <c r="B198" s="5" t="s">
        <v>249</v>
      </c>
      <c r="C198" s="21">
        <v>60</v>
      </c>
    </row>
    <row r="199" spans="1:3" ht="12.3" x14ac:dyDescent="0.4">
      <c r="A199" s="5" t="s">
        <v>59</v>
      </c>
      <c r="B199" s="5" t="s">
        <v>250</v>
      </c>
      <c r="C199" s="21">
        <v>42</v>
      </c>
    </row>
    <row r="200" spans="1:3" ht="12.3" x14ac:dyDescent="0.4">
      <c r="A200" s="5" t="s">
        <v>34</v>
      </c>
      <c r="B200" s="5" t="s">
        <v>251</v>
      </c>
      <c r="C200" s="21">
        <v>15</v>
      </c>
    </row>
    <row r="201" spans="1:3" ht="12.3" x14ac:dyDescent="0.4">
      <c r="A201" s="5" t="s">
        <v>52</v>
      </c>
      <c r="B201" s="5" t="s">
        <v>252</v>
      </c>
      <c r="C201" s="21">
        <v>66</v>
      </c>
    </row>
    <row r="202" spans="1:3" ht="12.3" x14ac:dyDescent="0.4">
      <c r="A202" s="5" t="s">
        <v>31</v>
      </c>
      <c r="B202" s="5" t="s">
        <v>253</v>
      </c>
      <c r="C202" s="21">
        <v>3</v>
      </c>
    </row>
    <row r="203" spans="1:3" ht="12.3" x14ac:dyDescent="0.4">
      <c r="A203" s="5" t="s">
        <v>69</v>
      </c>
      <c r="B203" s="5" t="s">
        <v>254</v>
      </c>
      <c r="C203" s="21">
        <v>68</v>
      </c>
    </row>
    <row r="204" spans="1:3" ht="12.3" x14ac:dyDescent="0.4">
      <c r="A204" s="5" t="s">
        <v>74</v>
      </c>
      <c r="B204" s="5" t="s">
        <v>255</v>
      </c>
      <c r="C204" s="21">
        <v>56</v>
      </c>
    </row>
    <row r="205" spans="1:3" ht="12.3" x14ac:dyDescent="0.4">
      <c r="A205" s="5" t="s">
        <v>54</v>
      </c>
      <c r="B205" s="5" t="s">
        <v>256</v>
      </c>
      <c r="C205" s="21">
        <v>35</v>
      </c>
    </row>
    <row r="206" spans="1:3" ht="12.3" x14ac:dyDescent="0.4">
      <c r="A206" s="5" t="s">
        <v>78</v>
      </c>
      <c r="B206" s="5" t="s">
        <v>257</v>
      </c>
      <c r="C206" s="21">
        <v>7</v>
      </c>
    </row>
    <row r="207" spans="1:3" ht="12.3" x14ac:dyDescent="0.4">
      <c r="A207" s="5" t="s">
        <v>62</v>
      </c>
      <c r="B207" s="5" t="s">
        <v>258</v>
      </c>
      <c r="C207" s="21">
        <v>6</v>
      </c>
    </row>
    <row r="208" spans="1:3" ht="12.3" x14ac:dyDescent="0.4">
      <c r="A208" s="5" t="s">
        <v>27</v>
      </c>
      <c r="B208" s="5" t="s">
        <v>259</v>
      </c>
      <c r="C208" s="21">
        <v>74</v>
      </c>
    </row>
    <row r="209" spans="1:3" ht="12.3" x14ac:dyDescent="0.4">
      <c r="A209" s="5" t="s">
        <v>55</v>
      </c>
      <c r="B209" s="5" t="s">
        <v>260</v>
      </c>
      <c r="C209" s="21">
        <v>39</v>
      </c>
    </row>
    <row r="210" spans="1:3" ht="12.3" x14ac:dyDescent="0.4">
      <c r="A210" s="5" t="s">
        <v>48</v>
      </c>
      <c r="B210" s="5" t="s">
        <v>261</v>
      </c>
      <c r="C210" s="21">
        <v>43</v>
      </c>
    </row>
    <row r="211" spans="1:3" ht="12.3" x14ac:dyDescent="0.4">
      <c r="A211" s="5" t="s">
        <v>49</v>
      </c>
      <c r="B211" s="5" t="s">
        <v>262</v>
      </c>
      <c r="C211" s="21">
        <v>30</v>
      </c>
    </row>
    <row r="212" spans="1:3" ht="12.3" x14ac:dyDescent="0.4">
      <c r="A212" s="5" t="s">
        <v>74</v>
      </c>
      <c r="B212" s="5" t="s">
        <v>263</v>
      </c>
      <c r="C212" s="21">
        <v>36</v>
      </c>
    </row>
    <row r="213" spans="1:3" ht="12.3" x14ac:dyDescent="0.4">
      <c r="A213" s="5" t="s">
        <v>39</v>
      </c>
      <c r="B213" s="5" t="s">
        <v>264</v>
      </c>
      <c r="C213" s="21">
        <v>60</v>
      </c>
    </row>
    <row r="214" spans="1:3" ht="12.3" x14ac:dyDescent="0.4">
      <c r="A214" s="5" t="s">
        <v>80</v>
      </c>
      <c r="B214" s="5" t="s">
        <v>265</v>
      </c>
      <c r="C214" s="21">
        <v>39</v>
      </c>
    </row>
    <row r="215" spans="1:3" ht="12.3" x14ac:dyDescent="0.4">
      <c r="A215" s="5" t="s">
        <v>29</v>
      </c>
      <c r="B215" s="5" t="s">
        <v>266</v>
      </c>
      <c r="C215" s="21">
        <v>49</v>
      </c>
    </row>
    <row r="216" spans="1:3" ht="12.3" x14ac:dyDescent="0.4">
      <c r="A216" s="5" t="s">
        <v>39</v>
      </c>
      <c r="B216" s="5" t="s">
        <v>267</v>
      </c>
      <c r="C216" s="21">
        <v>36</v>
      </c>
    </row>
    <row r="217" spans="1:3" ht="12.3" x14ac:dyDescent="0.4">
      <c r="A217" s="5" t="s">
        <v>57</v>
      </c>
      <c r="B217" s="5" t="s">
        <v>268</v>
      </c>
      <c r="C217" s="21">
        <v>71</v>
      </c>
    </row>
    <row r="218" spans="1:3" ht="12.3" x14ac:dyDescent="0.4">
      <c r="A218" s="5" t="s">
        <v>57</v>
      </c>
      <c r="B218" s="5" t="s">
        <v>233</v>
      </c>
      <c r="C218" s="21">
        <v>54</v>
      </c>
    </row>
    <row r="219" spans="1:3" ht="12.3" x14ac:dyDescent="0.4">
      <c r="A219" s="5" t="s">
        <v>45</v>
      </c>
      <c r="B219" s="5" t="s">
        <v>269</v>
      </c>
      <c r="C219" s="21">
        <v>19</v>
      </c>
    </row>
    <row r="220" spans="1:3" ht="12.3" x14ac:dyDescent="0.4">
      <c r="A220" s="5" t="s">
        <v>29</v>
      </c>
      <c r="B220" s="5" t="s">
        <v>270</v>
      </c>
      <c r="C220" s="21">
        <v>52</v>
      </c>
    </row>
    <row r="221" spans="1:3" ht="12.3" x14ac:dyDescent="0.4">
      <c r="A221" s="5" t="s">
        <v>80</v>
      </c>
      <c r="B221" s="5" t="s">
        <v>271</v>
      </c>
      <c r="C221" s="21">
        <v>66</v>
      </c>
    </row>
    <row r="222" spans="1:3" ht="12.3" x14ac:dyDescent="0.4">
      <c r="A222" s="5" t="s">
        <v>39</v>
      </c>
      <c r="B222" s="5" t="s">
        <v>272</v>
      </c>
      <c r="C222" s="21">
        <v>51</v>
      </c>
    </row>
    <row r="223" spans="1:3" ht="12.3" x14ac:dyDescent="0.4">
      <c r="A223" s="5" t="s">
        <v>49</v>
      </c>
      <c r="B223" s="5" t="s">
        <v>273</v>
      </c>
      <c r="C223" s="21">
        <v>7</v>
      </c>
    </row>
    <row r="224" spans="1:3" ht="12.3" x14ac:dyDescent="0.4">
      <c r="A224" s="5" t="s">
        <v>57</v>
      </c>
      <c r="B224" s="5" t="s">
        <v>274</v>
      </c>
      <c r="C224" s="21">
        <v>65</v>
      </c>
    </row>
    <row r="225" spans="1:3" ht="12.3" x14ac:dyDescent="0.4">
      <c r="A225" s="5" t="s">
        <v>52</v>
      </c>
      <c r="B225" s="5" t="s">
        <v>246</v>
      </c>
      <c r="C225" s="21">
        <v>25</v>
      </c>
    </row>
    <row r="226" spans="1:3" ht="12.3" x14ac:dyDescent="0.4">
      <c r="A226" s="5" t="s">
        <v>49</v>
      </c>
      <c r="B226" s="5" t="s">
        <v>275</v>
      </c>
      <c r="C226" s="21">
        <v>53</v>
      </c>
    </row>
    <row r="227" spans="1:3" ht="12.3" x14ac:dyDescent="0.4">
      <c r="A227" s="5" t="s">
        <v>174</v>
      </c>
      <c r="B227" s="5" t="s">
        <v>276</v>
      </c>
      <c r="C227" s="21">
        <v>35</v>
      </c>
    </row>
    <row r="228" spans="1:3" ht="12.3" x14ac:dyDescent="0.4">
      <c r="A228" s="5" t="s">
        <v>55</v>
      </c>
      <c r="B228" s="5" t="s">
        <v>277</v>
      </c>
      <c r="C228" s="21">
        <v>25</v>
      </c>
    </row>
    <row r="229" spans="1:3" ht="12.3" x14ac:dyDescent="0.4">
      <c r="A229" s="5" t="s">
        <v>60</v>
      </c>
      <c r="B229" s="5" t="s">
        <v>278</v>
      </c>
      <c r="C229" s="21">
        <v>28</v>
      </c>
    </row>
    <row r="230" spans="1:3" ht="12.3" x14ac:dyDescent="0.4">
      <c r="A230" s="5" t="s">
        <v>54</v>
      </c>
      <c r="B230" s="5" t="s">
        <v>279</v>
      </c>
      <c r="C230" s="21">
        <v>31</v>
      </c>
    </row>
    <row r="231" spans="1:3" ht="12.3" x14ac:dyDescent="0.4">
      <c r="A231" s="5" t="s">
        <v>43</v>
      </c>
      <c r="B231" s="5" t="s">
        <v>280</v>
      </c>
      <c r="C231" s="21">
        <v>66</v>
      </c>
    </row>
    <row r="232" spans="1:3" ht="12.3" x14ac:dyDescent="0.4">
      <c r="A232" s="5" t="s">
        <v>31</v>
      </c>
      <c r="B232" s="5" t="s">
        <v>281</v>
      </c>
      <c r="C232" s="21">
        <v>67</v>
      </c>
    </row>
    <row r="233" spans="1:3" ht="12.3" x14ac:dyDescent="0.4">
      <c r="A233" s="5" t="s">
        <v>60</v>
      </c>
      <c r="B233" s="5" t="s">
        <v>282</v>
      </c>
      <c r="C233" s="21">
        <v>59</v>
      </c>
    </row>
    <row r="234" spans="1:3" ht="12.3" x14ac:dyDescent="0.4">
      <c r="A234" s="5" t="s">
        <v>55</v>
      </c>
      <c r="B234" s="5" t="s">
        <v>283</v>
      </c>
      <c r="C234" s="21">
        <v>37</v>
      </c>
    </row>
    <row r="235" spans="1:3" ht="12.3" x14ac:dyDescent="0.4">
      <c r="A235" s="5" t="s">
        <v>69</v>
      </c>
      <c r="B235" s="5" t="s">
        <v>284</v>
      </c>
      <c r="C235" s="21">
        <v>62</v>
      </c>
    </row>
    <row r="236" spans="1:3" ht="12.3" x14ac:dyDescent="0.4">
      <c r="A236" s="5" t="s">
        <v>39</v>
      </c>
      <c r="B236" s="5" t="s">
        <v>285</v>
      </c>
      <c r="C236" s="21">
        <v>3</v>
      </c>
    </row>
    <row r="237" spans="1:3" ht="12.3" x14ac:dyDescent="0.4">
      <c r="A237" s="5" t="s">
        <v>168</v>
      </c>
      <c r="B237" s="5" t="s">
        <v>286</v>
      </c>
      <c r="C237" s="21">
        <v>28</v>
      </c>
    </row>
    <row r="238" spans="1:3" ht="12.3" x14ac:dyDescent="0.4">
      <c r="A238" s="5" t="s">
        <v>34</v>
      </c>
      <c r="B238" s="5" t="s">
        <v>287</v>
      </c>
      <c r="C238" s="21">
        <v>13</v>
      </c>
    </row>
    <row r="239" spans="1:3" ht="12.3" x14ac:dyDescent="0.4">
      <c r="A239" s="5" t="s">
        <v>27</v>
      </c>
      <c r="B239" s="5" t="s">
        <v>288</v>
      </c>
      <c r="C239" s="21">
        <v>73</v>
      </c>
    </row>
    <row r="240" spans="1:3" ht="12.3" x14ac:dyDescent="0.4">
      <c r="A240" s="5" t="s">
        <v>74</v>
      </c>
      <c r="B240" s="5" t="s">
        <v>225</v>
      </c>
      <c r="C240" s="21">
        <v>56</v>
      </c>
    </row>
    <row r="241" spans="1:3" ht="12.3" x14ac:dyDescent="0.4">
      <c r="A241" s="5" t="s">
        <v>72</v>
      </c>
      <c r="B241" s="5" t="s">
        <v>289</v>
      </c>
      <c r="C241" s="21">
        <v>39</v>
      </c>
    </row>
    <row r="242" spans="1:3" ht="12.3" x14ac:dyDescent="0.4">
      <c r="A242" s="5" t="s">
        <v>60</v>
      </c>
      <c r="B242" s="5" t="s">
        <v>290</v>
      </c>
      <c r="C242" s="21">
        <v>43</v>
      </c>
    </row>
    <row r="243" spans="1:3" ht="12.3" x14ac:dyDescent="0.4">
      <c r="A243" s="5" t="s">
        <v>64</v>
      </c>
      <c r="B243" s="5" t="s">
        <v>291</v>
      </c>
      <c r="C243" s="21">
        <v>73</v>
      </c>
    </row>
    <row r="244" spans="1:3" ht="12.3" x14ac:dyDescent="0.4">
      <c r="A244" s="5" t="s">
        <v>39</v>
      </c>
      <c r="B244" s="5" t="s">
        <v>292</v>
      </c>
      <c r="C244" s="21">
        <v>26</v>
      </c>
    </row>
    <row r="245" spans="1:3" ht="12.3" x14ac:dyDescent="0.4">
      <c r="A245" s="5" t="s">
        <v>34</v>
      </c>
      <c r="B245" s="5" t="s">
        <v>293</v>
      </c>
      <c r="C245" s="21">
        <v>66</v>
      </c>
    </row>
    <row r="246" spans="1:3" ht="12.3" x14ac:dyDescent="0.4">
      <c r="A246" s="5" t="s">
        <v>54</v>
      </c>
      <c r="B246" s="5" t="s">
        <v>294</v>
      </c>
      <c r="C246" s="21">
        <v>74</v>
      </c>
    </row>
    <row r="247" spans="1:3" ht="12.3" x14ac:dyDescent="0.4">
      <c r="A247" s="5" t="s">
        <v>37</v>
      </c>
      <c r="B247" s="5" t="s">
        <v>249</v>
      </c>
      <c r="C247" s="21">
        <v>28</v>
      </c>
    </row>
    <row r="248" spans="1:3" ht="12.3" x14ac:dyDescent="0.4">
      <c r="A248" s="5" t="s">
        <v>168</v>
      </c>
      <c r="B248" s="5" t="s">
        <v>295</v>
      </c>
      <c r="C248" s="21">
        <v>29</v>
      </c>
    </row>
    <row r="249" spans="1:3" ht="12.3" x14ac:dyDescent="0.4">
      <c r="A249" s="5" t="s">
        <v>55</v>
      </c>
      <c r="B249" s="5" t="s">
        <v>296</v>
      </c>
      <c r="C249" s="21">
        <v>69</v>
      </c>
    </row>
    <row r="250" spans="1:3" ht="12.3" x14ac:dyDescent="0.4">
      <c r="A250" s="5" t="s">
        <v>31</v>
      </c>
      <c r="B250" s="5" t="s">
        <v>297</v>
      </c>
      <c r="C250" s="21">
        <v>50</v>
      </c>
    </row>
    <row r="251" spans="1:3" ht="12.3" x14ac:dyDescent="0.4">
      <c r="A251" s="5" t="s">
        <v>66</v>
      </c>
      <c r="B251" s="5" t="s">
        <v>298</v>
      </c>
      <c r="C251" s="21">
        <v>27</v>
      </c>
    </row>
    <row r="252" spans="1:3" ht="12.3" x14ac:dyDescent="0.4">
      <c r="A252" s="5" t="s">
        <v>168</v>
      </c>
      <c r="B252" s="5" t="s">
        <v>299</v>
      </c>
      <c r="C252" s="21">
        <v>74</v>
      </c>
    </row>
    <row r="253" spans="1:3" ht="12.3" x14ac:dyDescent="0.4">
      <c r="A253" s="5" t="s">
        <v>64</v>
      </c>
      <c r="B253" s="5" t="s">
        <v>300</v>
      </c>
      <c r="C253" s="21">
        <v>72</v>
      </c>
    </row>
    <row r="254" spans="1:3" ht="12.3" x14ac:dyDescent="0.4">
      <c r="A254" s="5" t="s">
        <v>78</v>
      </c>
      <c r="B254" s="5" t="s">
        <v>301</v>
      </c>
      <c r="C254" s="21">
        <v>26</v>
      </c>
    </row>
    <row r="255" spans="1:3" ht="12.3" x14ac:dyDescent="0.4">
      <c r="A255" s="5" t="s">
        <v>43</v>
      </c>
      <c r="B255" s="5" t="s">
        <v>302</v>
      </c>
      <c r="C255" s="21">
        <v>58</v>
      </c>
    </row>
    <row r="256" spans="1:3" ht="12.3" x14ac:dyDescent="0.4">
      <c r="A256" s="5" t="s">
        <v>36</v>
      </c>
      <c r="B256" s="5" t="s">
        <v>303</v>
      </c>
      <c r="C256" s="21">
        <v>22</v>
      </c>
    </row>
    <row r="257" spans="1:3" ht="12.3" x14ac:dyDescent="0.4">
      <c r="A257" s="5" t="s">
        <v>69</v>
      </c>
      <c r="B257" s="5" t="s">
        <v>230</v>
      </c>
      <c r="C257" s="21">
        <v>4</v>
      </c>
    </row>
    <row r="258" spans="1:3" ht="12.3" x14ac:dyDescent="0.4">
      <c r="A258" s="5" t="s">
        <v>96</v>
      </c>
      <c r="B258" s="5" t="s">
        <v>304</v>
      </c>
      <c r="C258" s="21">
        <v>69</v>
      </c>
    </row>
    <row r="259" spans="1:3" ht="12.3" x14ac:dyDescent="0.4">
      <c r="A259" s="5" t="s">
        <v>37</v>
      </c>
      <c r="B259" s="5" t="s">
        <v>305</v>
      </c>
      <c r="C259" s="21">
        <v>45</v>
      </c>
    </row>
    <row r="260" spans="1:3" ht="12.3" x14ac:dyDescent="0.4">
      <c r="A260" s="5" t="s">
        <v>52</v>
      </c>
      <c r="B260" s="5" t="s">
        <v>306</v>
      </c>
      <c r="C260" s="21">
        <v>48</v>
      </c>
    </row>
    <row r="261" spans="1:3" ht="12.3" x14ac:dyDescent="0.4">
      <c r="A261" s="5" t="s">
        <v>72</v>
      </c>
      <c r="B261" s="5" t="s">
        <v>307</v>
      </c>
      <c r="C261" s="21">
        <v>74</v>
      </c>
    </row>
    <row r="262" spans="1:3" ht="12.3" x14ac:dyDescent="0.4">
      <c r="A262" s="5" t="s">
        <v>45</v>
      </c>
      <c r="B262" s="5" t="s">
        <v>308</v>
      </c>
      <c r="C262" s="21">
        <v>62</v>
      </c>
    </row>
    <row r="263" spans="1:3" ht="12.3" x14ac:dyDescent="0.4">
      <c r="A263" s="5" t="s">
        <v>64</v>
      </c>
      <c r="B263" s="5" t="s">
        <v>309</v>
      </c>
      <c r="C263" s="21">
        <v>6</v>
      </c>
    </row>
    <row r="264" spans="1:3" ht="12.3" x14ac:dyDescent="0.4">
      <c r="A264" s="5" t="s">
        <v>64</v>
      </c>
      <c r="B264" s="5" t="s">
        <v>310</v>
      </c>
      <c r="C264" s="21">
        <v>44</v>
      </c>
    </row>
    <row r="265" spans="1:3" ht="12.3" x14ac:dyDescent="0.4">
      <c r="A265" s="5" t="s">
        <v>27</v>
      </c>
      <c r="B265" s="5" t="s">
        <v>311</v>
      </c>
      <c r="C265" s="21">
        <v>17</v>
      </c>
    </row>
    <row r="266" spans="1:3" ht="12.3" x14ac:dyDescent="0.4">
      <c r="A266" s="5" t="s">
        <v>48</v>
      </c>
      <c r="B266" s="5" t="s">
        <v>312</v>
      </c>
      <c r="C266" s="21">
        <v>27</v>
      </c>
    </row>
    <row r="267" spans="1:3" ht="12.3" x14ac:dyDescent="0.4">
      <c r="A267" s="5" t="s">
        <v>80</v>
      </c>
      <c r="B267" s="5" t="s">
        <v>313</v>
      </c>
      <c r="C267" s="21">
        <v>23</v>
      </c>
    </row>
    <row r="268" spans="1:3" ht="12.3" x14ac:dyDescent="0.4">
      <c r="A268" s="5" t="s">
        <v>31</v>
      </c>
      <c r="B268" s="5" t="s">
        <v>314</v>
      </c>
      <c r="C268" s="21">
        <v>27</v>
      </c>
    </row>
    <row r="269" spans="1:3" ht="12.3" x14ac:dyDescent="0.4">
      <c r="A269" s="5" t="s">
        <v>54</v>
      </c>
      <c r="B269" s="5" t="s">
        <v>315</v>
      </c>
      <c r="C269" s="21">
        <v>67</v>
      </c>
    </row>
    <row r="270" spans="1:3" ht="12.3" x14ac:dyDescent="0.4">
      <c r="A270" s="5" t="s">
        <v>174</v>
      </c>
      <c r="B270" s="5" t="s">
        <v>316</v>
      </c>
      <c r="C270" s="21">
        <v>63</v>
      </c>
    </row>
    <row r="271" spans="1:3" ht="12.3" x14ac:dyDescent="0.4">
      <c r="A271" s="5" t="s">
        <v>29</v>
      </c>
      <c r="B271" s="5" t="s">
        <v>317</v>
      </c>
      <c r="C271" s="21">
        <v>74</v>
      </c>
    </row>
    <row r="272" spans="1:3" ht="12.3" x14ac:dyDescent="0.4">
      <c r="A272" s="5" t="s">
        <v>54</v>
      </c>
      <c r="B272" s="5" t="s">
        <v>318</v>
      </c>
      <c r="C272" s="21">
        <v>41</v>
      </c>
    </row>
    <row r="273" spans="1:3" ht="12.3" x14ac:dyDescent="0.4">
      <c r="A273" s="5" t="s">
        <v>49</v>
      </c>
      <c r="B273" s="5" t="s">
        <v>319</v>
      </c>
      <c r="C273" s="21">
        <v>66</v>
      </c>
    </row>
    <row r="274" spans="1:3" ht="12.3" x14ac:dyDescent="0.4">
      <c r="A274" s="5" t="s">
        <v>64</v>
      </c>
      <c r="B274" s="5" t="s">
        <v>320</v>
      </c>
      <c r="C274" s="21">
        <v>3</v>
      </c>
    </row>
    <row r="275" spans="1:3" ht="12.3" x14ac:dyDescent="0.4">
      <c r="A275" s="5" t="s">
        <v>168</v>
      </c>
      <c r="B275" s="5" t="s">
        <v>321</v>
      </c>
      <c r="C275" s="21">
        <v>20</v>
      </c>
    </row>
    <row r="276" spans="1:3" ht="12.3" x14ac:dyDescent="0.4">
      <c r="A276" s="5" t="s">
        <v>96</v>
      </c>
      <c r="B276" s="5" t="s">
        <v>322</v>
      </c>
      <c r="C276" s="21">
        <v>72</v>
      </c>
    </row>
    <row r="277" spans="1:3" ht="12.3" x14ac:dyDescent="0.4">
      <c r="A277" s="5" t="s">
        <v>29</v>
      </c>
      <c r="B277" s="5" t="s">
        <v>323</v>
      </c>
      <c r="C277" s="21">
        <v>54</v>
      </c>
    </row>
    <row r="278" spans="1:3" ht="12.3" x14ac:dyDescent="0.4">
      <c r="A278" s="5" t="s">
        <v>78</v>
      </c>
      <c r="B278" s="5" t="s">
        <v>324</v>
      </c>
      <c r="C278" s="21">
        <v>36</v>
      </c>
    </row>
    <row r="279" spans="1:3" ht="12.3" x14ac:dyDescent="0.4">
      <c r="A279" s="5" t="s">
        <v>48</v>
      </c>
      <c r="B279" s="5" t="s">
        <v>325</v>
      </c>
      <c r="C279" s="21">
        <v>32</v>
      </c>
    </row>
    <row r="280" spans="1:3" ht="12.3" x14ac:dyDescent="0.4">
      <c r="A280" s="5" t="s">
        <v>37</v>
      </c>
      <c r="B280" s="5" t="s">
        <v>44</v>
      </c>
      <c r="C280" s="21">
        <v>34</v>
      </c>
    </row>
    <row r="281" spans="1:3" ht="12.3" x14ac:dyDescent="0.4">
      <c r="A281" s="5" t="s">
        <v>74</v>
      </c>
      <c r="B281" s="5" t="s">
        <v>326</v>
      </c>
      <c r="C281" s="21">
        <v>32</v>
      </c>
    </row>
    <row r="282" spans="1:3" ht="12.3" x14ac:dyDescent="0.4">
      <c r="A282" s="5" t="s">
        <v>54</v>
      </c>
      <c r="B282" s="5" t="s">
        <v>327</v>
      </c>
      <c r="C282" s="21">
        <v>7</v>
      </c>
    </row>
    <row r="283" spans="1:3" ht="12.3" x14ac:dyDescent="0.4">
      <c r="A283" s="5" t="s">
        <v>34</v>
      </c>
      <c r="B283" s="5" t="s">
        <v>293</v>
      </c>
      <c r="C283" s="21">
        <v>70</v>
      </c>
    </row>
    <row r="284" spans="1:3" ht="12.3" x14ac:dyDescent="0.4">
      <c r="A284" s="5" t="s">
        <v>74</v>
      </c>
      <c r="B284" s="5" t="s">
        <v>328</v>
      </c>
      <c r="C284" s="21">
        <v>60</v>
      </c>
    </row>
    <row r="285" spans="1:3" ht="12.3" x14ac:dyDescent="0.4">
      <c r="A285" s="5" t="s">
        <v>78</v>
      </c>
      <c r="B285" s="5" t="s">
        <v>329</v>
      </c>
      <c r="C285" s="21">
        <v>49</v>
      </c>
    </row>
    <row r="286" spans="1:3" ht="12.3" x14ac:dyDescent="0.4">
      <c r="A286" s="5" t="s">
        <v>27</v>
      </c>
      <c r="B286" s="5" t="s">
        <v>330</v>
      </c>
      <c r="C286" s="21">
        <v>2</v>
      </c>
    </row>
    <row r="287" spans="1:3" ht="12.3" x14ac:dyDescent="0.4">
      <c r="A287" s="5" t="s">
        <v>66</v>
      </c>
      <c r="B287" s="5" t="s">
        <v>331</v>
      </c>
      <c r="C287" s="21">
        <v>25</v>
      </c>
    </row>
    <row r="288" spans="1:3" ht="12.3" x14ac:dyDescent="0.4">
      <c r="A288" s="5" t="s">
        <v>174</v>
      </c>
      <c r="B288" s="5" t="s">
        <v>332</v>
      </c>
      <c r="C288" s="21">
        <v>74</v>
      </c>
    </row>
    <row r="289" spans="1:3" ht="12.3" x14ac:dyDescent="0.4">
      <c r="A289" s="5" t="s">
        <v>72</v>
      </c>
      <c r="B289" s="5" t="s">
        <v>333</v>
      </c>
      <c r="C289" s="21">
        <v>13</v>
      </c>
    </row>
    <row r="290" spans="1:3" ht="12.3" x14ac:dyDescent="0.4">
      <c r="A290" s="5" t="s">
        <v>168</v>
      </c>
      <c r="B290" s="5" t="s">
        <v>288</v>
      </c>
      <c r="C290" s="21">
        <v>27</v>
      </c>
    </row>
    <row r="291" spans="1:3" ht="12.3" x14ac:dyDescent="0.4">
      <c r="A291" s="5" t="s">
        <v>64</v>
      </c>
      <c r="B291" s="5" t="s">
        <v>334</v>
      </c>
      <c r="C291" s="21">
        <v>46</v>
      </c>
    </row>
    <row r="292" spans="1:3" ht="12.3" x14ac:dyDescent="0.4">
      <c r="A292" s="5" t="s">
        <v>168</v>
      </c>
      <c r="B292" s="5" t="s">
        <v>335</v>
      </c>
      <c r="C292" s="21">
        <v>17</v>
      </c>
    </row>
    <row r="293" spans="1:3" ht="12.3" x14ac:dyDescent="0.4">
      <c r="A293" s="5" t="s">
        <v>31</v>
      </c>
      <c r="B293" s="5" t="s">
        <v>336</v>
      </c>
      <c r="C293" s="21">
        <v>33</v>
      </c>
    </row>
    <row r="294" spans="1:3" ht="12.3" x14ac:dyDescent="0.4">
      <c r="A294" s="5" t="s">
        <v>48</v>
      </c>
      <c r="B294" s="5" t="s">
        <v>337</v>
      </c>
      <c r="C294" s="21">
        <v>40</v>
      </c>
    </row>
    <row r="295" spans="1:3" ht="12.3" x14ac:dyDescent="0.4">
      <c r="A295" s="5" t="s">
        <v>55</v>
      </c>
      <c r="B295" s="5" t="s">
        <v>338</v>
      </c>
      <c r="C295" s="21">
        <v>44</v>
      </c>
    </row>
    <row r="296" spans="1:3" ht="12.3" x14ac:dyDescent="0.4">
      <c r="A296" s="5" t="s">
        <v>60</v>
      </c>
      <c r="B296" s="5" t="s">
        <v>339</v>
      </c>
      <c r="C296" s="21">
        <v>51</v>
      </c>
    </row>
    <row r="297" spans="1:3" ht="12.3" x14ac:dyDescent="0.4">
      <c r="A297" s="5" t="s">
        <v>51</v>
      </c>
      <c r="B297" s="5" t="s">
        <v>316</v>
      </c>
      <c r="C297" s="21">
        <v>21</v>
      </c>
    </row>
    <row r="298" spans="1:3" ht="12.3" x14ac:dyDescent="0.4">
      <c r="A298" s="5" t="s">
        <v>48</v>
      </c>
      <c r="B298" s="5" t="s">
        <v>340</v>
      </c>
      <c r="C298" s="21">
        <v>19</v>
      </c>
    </row>
    <row r="299" spans="1:3" ht="12.3" x14ac:dyDescent="0.4">
      <c r="A299" s="5" t="s">
        <v>31</v>
      </c>
      <c r="B299" s="5" t="s">
        <v>341</v>
      </c>
      <c r="C299" s="21">
        <v>70</v>
      </c>
    </row>
    <row r="300" spans="1:3" ht="12.3" x14ac:dyDescent="0.4">
      <c r="A300" s="5" t="s">
        <v>80</v>
      </c>
      <c r="B300" s="5" t="s">
        <v>342</v>
      </c>
      <c r="C300" s="21">
        <v>12</v>
      </c>
    </row>
    <row r="301" spans="1:3" ht="12.3" x14ac:dyDescent="0.4">
      <c r="A301" s="5" t="s">
        <v>55</v>
      </c>
      <c r="B301" s="5" t="s">
        <v>343</v>
      </c>
      <c r="C301" s="21">
        <v>41</v>
      </c>
    </row>
    <row r="302" spans="1:3" ht="12.3" x14ac:dyDescent="0.4">
      <c r="A302" s="5" t="s">
        <v>78</v>
      </c>
      <c r="B302" s="5" t="s">
        <v>344</v>
      </c>
      <c r="C302" s="21">
        <v>55</v>
      </c>
    </row>
    <row r="303" spans="1:3" ht="12.3" x14ac:dyDescent="0.4">
      <c r="A303" s="5" t="s">
        <v>74</v>
      </c>
      <c r="B303" s="5" t="s">
        <v>345</v>
      </c>
      <c r="C303" s="21">
        <v>48</v>
      </c>
    </row>
    <row r="304" spans="1:3" ht="12.3" x14ac:dyDescent="0.4">
      <c r="A304" s="5" t="s">
        <v>52</v>
      </c>
      <c r="B304" s="5" t="s">
        <v>346</v>
      </c>
      <c r="C304" s="21">
        <v>3</v>
      </c>
    </row>
    <row r="305" spans="1:3" ht="12.3" x14ac:dyDescent="0.4">
      <c r="A305" s="5" t="s">
        <v>48</v>
      </c>
      <c r="B305" s="5" t="s">
        <v>347</v>
      </c>
      <c r="C305" s="21">
        <v>49</v>
      </c>
    </row>
    <row r="306" spans="1:3" ht="12.3" x14ac:dyDescent="0.4">
      <c r="A306" s="5" t="s">
        <v>69</v>
      </c>
      <c r="B306" s="5" t="s">
        <v>348</v>
      </c>
      <c r="C306" s="21">
        <v>66</v>
      </c>
    </row>
    <row r="307" spans="1:3" ht="12.3" x14ac:dyDescent="0.4">
      <c r="A307" s="5" t="s">
        <v>43</v>
      </c>
      <c r="B307" s="5" t="s">
        <v>349</v>
      </c>
      <c r="C307" s="21">
        <v>22</v>
      </c>
    </row>
    <row r="308" spans="1:3" ht="12.3" x14ac:dyDescent="0.4">
      <c r="A308" s="5" t="s">
        <v>29</v>
      </c>
      <c r="B308" s="5" t="s">
        <v>350</v>
      </c>
      <c r="C308" s="21">
        <v>59</v>
      </c>
    </row>
    <row r="309" spans="1:3" ht="12.3" x14ac:dyDescent="0.4">
      <c r="A309" s="5" t="s">
        <v>69</v>
      </c>
      <c r="B309" s="5" t="s">
        <v>232</v>
      </c>
      <c r="C309" s="21">
        <v>68</v>
      </c>
    </row>
    <row r="310" spans="1:3" ht="12.3" x14ac:dyDescent="0.4">
      <c r="A310" s="5" t="s">
        <v>96</v>
      </c>
      <c r="B310" s="5" t="s">
        <v>286</v>
      </c>
      <c r="C310" s="21">
        <v>2</v>
      </c>
    </row>
    <row r="311" spans="1:3" ht="12.3" x14ac:dyDescent="0.4">
      <c r="A311" s="5" t="s">
        <v>45</v>
      </c>
      <c r="B311" s="5" t="s">
        <v>351</v>
      </c>
      <c r="C311" s="21">
        <v>68</v>
      </c>
    </row>
    <row r="312" spans="1:3" ht="12.3" x14ac:dyDescent="0.4">
      <c r="A312" s="5" t="s">
        <v>49</v>
      </c>
      <c r="B312" s="5" t="s">
        <v>352</v>
      </c>
      <c r="C312" s="21">
        <v>34</v>
      </c>
    </row>
    <row r="313" spans="1:3" ht="12.3" x14ac:dyDescent="0.4">
      <c r="A313" s="5" t="s">
        <v>72</v>
      </c>
      <c r="B313" s="5" t="s">
        <v>353</v>
      </c>
      <c r="C313" s="21">
        <v>13</v>
      </c>
    </row>
    <row r="314" spans="1:3" ht="12.3" x14ac:dyDescent="0.4">
      <c r="A314" s="5" t="s">
        <v>78</v>
      </c>
      <c r="B314" s="5" t="s">
        <v>354</v>
      </c>
      <c r="C314" s="21">
        <v>61</v>
      </c>
    </row>
    <row r="315" spans="1:3" ht="12.3" x14ac:dyDescent="0.4">
      <c r="A315" s="5" t="s">
        <v>55</v>
      </c>
      <c r="B315" s="5" t="s">
        <v>355</v>
      </c>
      <c r="C315" s="21">
        <v>35</v>
      </c>
    </row>
    <row r="316" spans="1:3" ht="12.3" x14ac:dyDescent="0.4">
      <c r="A316" s="5" t="s">
        <v>31</v>
      </c>
      <c r="B316" s="5" t="s">
        <v>356</v>
      </c>
      <c r="C316" s="21">
        <v>34</v>
      </c>
    </row>
    <row r="317" spans="1:3" ht="12.3" x14ac:dyDescent="0.4">
      <c r="A317" s="5" t="s">
        <v>66</v>
      </c>
      <c r="B317" s="5" t="s">
        <v>357</v>
      </c>
      <c r="C317" s="21">
        <v>67</v>
      </c>
    </row>
    <row r="318" spans="1:3" ht="12.3" x14ac:dyDescent="0.4">
      <c r="A318" s="5" t="s">
        <v>39</v>
      </c>
      <c r="B318" s="5" t="s">
        <v>358</v>
      </c>
      <c r="C318" s="21">
        <v>25</v>
      </c>
    </row>
    <row r="319" spans="1:3" ht="12.3" x14ac:dyDescent="0.4">
      <c r="A319" s="5" t="s">
        <v>60</v>
      </c>
      <c r="B319" s="5" t="s">
        <v>359</v>
      </c>
      <c r="C319" s="21">
        <v>63</v>
      </c>
    </row>
    <row r="320" spans="1:3" ht="12.3" x14ac:dyDescent="0.4">
      <c r="A320" s="5" t="s">
        <v>96</v>
      </c>
      <c r="B320" s="5" t="s">
        <v>360</v>
      </c>
      <c r="C320" s="21">
        <v>69</v>
      </c>
    </row>
    <row r="321" spans="1:3" ht="12.3" x14ac:dyDescent="0.4">
      <c r="A321" s="5" t="s">
        <v>31</v>
      </c>
      <c r="B321" s="5" t="s">
        <v>361</v>
      </c>
      <c r="C321" s="21">
        <v>34</v>
      </c>
    </row>
    <row r="322" spans="1:3" ht="12.3" x14ac:dyDescent="0.4">
      <c r="A322" s="5" t="s">
        <v>66</v>
      </c>
      <c r="B322" s="5" t="s">
        <v>362</v>
      </c>
      <c r="C322" s="21">
        <v>67</v>
      </c>
    </row>
    <row r="323" spans="1:3" ht="12.3" x14ac:dyDescent="0.4">
      <c r="A323" s="5" t="s">
        <v>168</v>
      </c>
      <c r="B323" s="5" t="s">
        <v>363</v>
      </c>
      <c r="C323" s="21">
        <v>45</v>
      </c>
    </row>
    <row r="324" spans="1:3" ht="12.3" x14ac:dyDescent="0.4">
      <c r="A324" s="5" t="s">
        <v>49</v>
      </c>
      <c r="B324" s="5" t="s">
        <v>364</v>
      </c>
      <c r="C324" s="21">
        <v>66</v>
      </c>
    </row>
    <row r="325" spans="1:3" ht="12.3" x14ac:dyDescent="0.4">
      <c r="A325" s="5" t="s">
        <v>62</v>
      </c>
      <c r="B325" s="5" t="s">
        <v>365</v>
      </c>
      <c r="C325" s="21">
        <v>55</v>
      </c>
    </row>
    <row r="326" spans="1:3" ht="12.3" x14ac:dyDescent="0.4">
      <c r="A326" s="5" t="s">
        <v>69</v>
      </c>
      <c r="B326" s="5" t="s">
        <v>366</v>
      </c>
      <c r="C326" s="21">
        <v>7</v>
      </c>
    </row>
    <row r="327" spans="1:3" ht="12.3" x14ac:dyDescent="0.4">
      <c r="A327" s="5" t="s">
        <v>174</v>
      </c>
      <c r="B327" s="5" t="s">
        <v>367</v>
      </c>
      <c r="C327" s="21">
        <v>35</v>
      </c>
    </row>
    <row r="328" spans="1:3" ht="12.3" x14ac:dyDescent="0.4">
      <c r="A328" s="5" t="s">
        <v>37</v>
      </c>
      <c r="B328" s="5" t="s">
        <v>368</v>
      </c>
      <c r="C328" s="21">
        <v>18</v>
      </c>
    </row>
    <row r="329" spans="1:3" ht="12.3" x14ac:dyDescent="0.4">
      <c r="A329" s="5" t="s">
        <v>49</v>
      </c>
      <c r="B329" s="5" t="s">
        <v>369</v>
      </c>
      <c r="C329" s="21">
        <v>19</v>
      </c>
    </row>
    <row r="330" spans="1:3" ht="12.3" x14ac:dyDescent="0.4">
      <c r="A330" s="5" t="s">
        <v>34</v>
      </c>
      <c r="B330" s="5" t="s">
        <v>370</v>
      </c>
      <c r="C330" s="21">
        <v>75</v>
      </c>
    </row>
    <row r="331" spans="1:3" ht="12.3" x14ac:dyDescent="0.4">
      <c r="A331" s="5" t="s">
        <v>43</v>
      </c>
      <c r="B331" s="5" t="s">
        <v>371</v>
      </c>
      <c r="C331" s="21">
        <v>9</v>
      </c>
    </row>
    <row r="332" spans="1:3" ht="12.3" x14ac:dyDescent="0.4">
      <c r="A332" s="5" t="s">
        <v>62</v>
      </c>
      <c r="B332" s="5" t="s">
        <v>372</v>
      </c>
      <c r="C332" s="21">
        <v>54</v>
      </c>
    </row>
    <row r="333" spans="1:3" ht="12.3" x14ac:dyDescent="0.4">
      <c r="A333" s="5" t="s">
        <v>78</v>
      </c>
      <c r="B333" s="5" t="s">
        <v>373</v>
      </c>
      <c r="C333" s="21">
        <v>54</v>
      </c>
    </row>
    <row r="334" spans="1:3" ht="12.3" x14ac:dyDescent="0.4">
      <c r="A334" s="5" t="s">
        <v>34</v>
      </c>
      <c r="B334" s="5" t="s">
        <v>374</v>
      </c>
      <c r="C334" s="21">
        <v>55</v>
      </c>
    </row>
    <row r="335" spans="1:3" ht="12.3" x14ac:dyDescent="0.4">
      <c r="A335" s="5" t="s">
        <v>168</v>
      </c>
      <c r="B335" s="5" t="s">
        <v>375</v>
      </c>
      <c r="C335" s="21">
        <v>57</v>
      </c>
    </row>
    <row r="336" spans="1:3" ht="12.3" x14ac:dyDescent="0.4">
      <c r="A336" s="5" t="s">
        <v>41</v>
      </c>
      <c r="B336" s="5" t="s">
        <v>376</v>
      </c>
      <c r="C336" s="21">
        <v>19</v>
      </c>
    </row>
    <row r="337" spans="1:3" ht="12.3" x14ac:dyDescent="0.4">
      <c r="A337" s="5" t="s">
        <v>49</v>
      </c>
      <c r="B337" s="5" t="s">
        <v>377</v>
      </c>
      <c r="C337" s="21">
        <v>17</v>
      </c>
    </row>
    <row r="338" spans="1:3" ht="12.3" x14ac:dyDescent="0.4">
      <c r="A338" s="5" t="s">
        <v>34</v>
      </c>
      <c r="B338" s="5" t="s">
        <v>378</v>
      </c>
      <c r="C338" s="21">
        <v>43</v>
      </c>
    </row>
    <row r="339" spans="1:3" ht="12.3" x14ac:dyDescent="0.4">
      <c r="A339" s="5" t="s">
        <v>66</v>
      </c>
      <c r="B339" s="5" t="s">
        <v>379</v>
      </c>
      <c r="C339" s="21">
        <v>43</v>
      </c>
    </row>
    <row r="340" spans="1:3" ht="12.3" x14ac:dyDescent="0.4">
      <c r="A340" s="5" t="s">
        <v>74</v>
      </c>
      <c r="B340" s="5" t="s">
        <v>380</v>
      </c>
      <c r="C340" s="21">
        <v>55</v>
      </c>
    </row>
    <row r="341" spans="1:3" ht="12.3" x14ac:dyDescent="0.4">
      <c r="A341" s="5" t="s">
        <v>48</v>
      </c>
      <c r="B341" s="5" t="s">
        <v>381</v>
      </c>
      <c r="C341" s="21">
        <v>69</v>
      </c>
    </row>
    <row r="342" spans="1:3" ht="12.3" x14ac:dyDescent="0.4">
      <c r="A342" s="5" t="s">
        <v>96</v>
      </c>
      <c r="B342" s="5" t="s">
        <v>382</v>
      </c>
      <c r="C342" s="21">
        <v>16</v>
      </c>
    </row>
    <row r="343" spans="1:3" ht="12.3" x14ac:dyDescent="0.4">
      <c r="A343" s="5" t="s">
        <v>41</v>
      </c>
      <c r="B343" s="5" t="s">
        <v>383</v>
      </c>
      <c r="C343" s="21">
        <v>2</v>
      </c>
    </row>
    <row r="344" spans="1:3" ht="12.3" x14ac:dyDescent="0.4">
      <c r="A344" s="5" t="s">
        <v>74</v>
      </c>
      <c r="B344" s="5" t="s">
        <v>384</v>
      </c>
      <c r="C344" s="21">
        <v>11</v>
      </c>
    </row>
    <row r="345" spans="1:3" ht="12.3" x14ac:dyDescent="0.4">
      <c r="A345" s="5" t="s">
        <v>174</v>
      </c>
      <c r="B345" s="5" t="s">
        <v>385</v>
      </c>
      <c r="C345" s="21">
        <v>31</v>
      </c>
    </row>
    <row r="346" spans="1:3" ht="12.3" x14ac:dyDescent="0.4">
      <c r="A346" s="5" t="s">
        <v>41</v>
      </c>
      <c r="B346" s="5" t="s">
        <v>386</v>
      </c>
      <c r="C346" s="21">
        <v>38</v>
      </c>
    </row>
    <row r="347" spans="1:3" ht="12.3" x14ac:dyDescent="0.4">
      <c r="A347" s="5" t="s">
        <v>66</v>
      </c>
      <c r="B347" s="5" t="s">
        <v>387</v>
      </c>
      <c r="C347" s="21">
        <v>8</v>
      </c>
    </row>
    <row r="348" spans="1:3" ht="12.3" x14ac:dyDescent="0.4">
      <c r="A348" s="5" t="s">
        <v>78</v>
      </c>
      <c r="B348" s="5" t="s">
        <v>388</v>
      </c>
      <c r="C348" s="21">
        <v>25</v>
      </c>
    </row>
    <row r="349" spans="1:3" ht="12.3" x14ac:dyDescent="0.4">
      <c r="A349" s="5" t="s">
        <v>64</v>
      </c>
      <c r="B349" s="5" t="s">
        <v>91</v>
      </c>
      <c r="C349" s="21">
        <v>7</v>
      </c>
    </row>
    <row r="350" spans="1:3" ht="12.3" x14ac:dyDescent="0.4">
      <c r="A350" s="5" t="s">
        <v>66</v>
      </c>
      <c r="B350" s="5" t="s">
        <v>389</v>
      </c>
      <c r="C350" s="21">
        <v>55</v>
      </c>
    </row>
    <row r="351" spans="1:3" ht="12.3" x14ac:dyDescent="0.4">
      <c r="A351" s="5" t="s">
        <v>27</v>
      </c>
      <c r="B351" s="5" t="s">
        <v>390</v>
      </c>
      <c r="C351" s="21">
        <v>15</v>
      </c>
    </row>
    <row r="352" spans="1:3" ht="12.3" x14ac:dyDescent="0.4">
      <c r="A352" s="5" t="s">
        <v>49</v>
      </c>
      <c r="B352" s="5" t="s">
        <v>391</v>
      </c>
      <c r="C352" s="21">
        <v>5</v>
      </c>
    </row>
    <row r="353" spans="1:3" ht="12.3" x14ac:dyDescent="0.4">
      <c r="A353" s="5" t="s">
        <v>74</v>
      </c>
      <c r="B353" s="5" t="s">
        <v>392</v>
      </c>
      <c r="C353" s="21">
        <v>70</v>
      </c>
    </row>
    <row r="354" spans="1:3" ht="12.3" x14ac:dyDescent="0.4">
      <c r="A354" s="5" t="s">
        <v>72</v>
      </c>
      <c r="B354" s="5" t="s">
        <v>393</v>
      </c>
      <c r="C354" s="21">
        <v>47</v>
      </c>
    </row>
    <row r="355" spans="1:3" ht="12.3" x14ac:dyDescent="0.4">
      <c r="A355" s="5" t="s">
        <v>54</v>
      </c>
      <c r="B355" s="5" t="s">
        <v>394</v>
      </c>
      <c r="C355" s="21">
        <v>21</v>
      </c>
    </row>
    <row r="356" spans="1:3" ht="12.3" x14ac:dyDescent="0.4">
      <c r="A356" s="5" t="s">
        <v>96</v>
      </c>
      <c r="B356" s="5" t="s">
        <v>395</v>
      </c>
      <c r="C356" s="21">
        <v>3</v>
      </c>
    </row>
    <row r="357" spans="1:3" ht="12.3" x14ac:dyDescent="0.4">
      <c r="A357" s="5" t="s">
        <v>36</v>
      </c>
      <c r="B357" s="5" t="s">
        <v>396</v>
      </c>
      <c r="C357" s="21">
        <v>4</v>
      </c>
    </row>
    <row r="358" spans="1:3" ht="12.3" x14ac:dyDescent="0.4">
      <c r="A358" s="5" t="s">
        <v>52</v>
      </c>
      <c r="B358" s="5" t="s">
        <v>79</v>
      </c>
      <c r="C358" s="21">
        <v>40</v>
      </c>
    </row>
    <row r="359" spans="1:3" ht="12.3" x14ac:dyDescent="0.4">
      <c r="A359" s="5" t="s">
        <v>69</v>
      </c>
      <c r="B359" s="5" t="s">
        <v>397</v>
      </c>
      <c r="C359" s="21">
        <v>70</v>
      </c>
    </row>
    <row r="360" spans="1:3" ht="12.3" x14ac:dyDescent="0.4">
      <c r="A360" s="5" t="s">
        <v>34</v>
      </c>
      <c r="B360" s="5" t="s">
        <v>229</v>
      </c>
      <c r="C360" s="21">
        <v>32</v>
      </c>
    </row>
    <row r="361" spans="1:3" ht="12.3" x14ac:dyDescent="0.4">
      <c r="A361" s="5" t="s">
        <v>34</v>
      </c>
      <c r="B361" s="5" t="s">
        <v>398</v>
      </c>
      <c r="C361" s="21">
        <v>49</v>
      </c>
    </row>
    <row r="362" spans="1:3" ht="12.3" x14ac:dyDescent="0.4">
      <c r="A362" s="5" t="s">
        <v>34</v>
      </c>
      <c r="B362" s="5" t="s">
        <v>399</v>
      </c>
      <c r="C362" s="21">
        <v>53</v>
      </c>
    </row>
    <row r="363" spans="1:3" ht="12.3" x14ac:dyDescent="0.4">
      <c r="A363" s="5" t="s">
        <v>31</v>
      </c>
      <c r="B363" s="5" t="s">
        <v>400</v>
      </c>
      <c r="C363" s="21">
        <v>33</v>
      </c>
    </row>
    <row r="364" spans="1:3" ht="12.3" x14ac:dyDescent="0.4">
      <c r="A364" s="5" t="s">
        <v>29</v>
      </c>
      <c r="B364" s="5" t="s">
        <v>211</v>
      </c>
      <c r="C364" s="21">
        <v>24</v>
      </c>
    </row>
    <row r="365" spans="1:3" ht="12.3" x14ac:dyDescent="0.4">
      <c r="A365" s="5" t="s">
        <v>49</v>
      </c>
      <c r="B365" s="5" t="s">
        <v>401</v>
      </c>
      <c r="C365" s="21">
        <v>65</v>
      </c>
    </row>
    <row r="366" spans="1:3" ht="12.3" x14ac:dyDescent="0.4">
      <c r="A366" s="5" t="s">
        <v>37</v>
      </c>
      <c r="B366" s="5" t="s">
        <v>128</v>
      </c>
      <c r="C366" s="21">
        <v>24</v>
      </c>
    </row>
    <row r="367" spans="1:3" ht="12.3" x14ac:dyDescent="0.4">
      <c r="A367" s="5" t="s">
        <v>66</v>
      </c>
      <c r="B367" s="5" t="s">
        <v>402</v>
      </c>
      <c r="C367" s="21">
        <v>46</v>
      </c>
    </row>
    <row r="368" spans="1:3" ht="12.3" x14ac:dyDescent="0.4">
      <c r="A368" s="5" t="s">
        <v>168</v>
      </c>
      <c r="B368" s="5" t="s">
        <v>403</v>
      </c>
      <c r="C368" s="21">
        <v>49</v>
      </c>
    </row>
    <row r="369" spans="1:3" ht="12.3" x14ac:dyDescent="0.4">
      <c r="A369" s="5" t="s">
        <v>48</v>
      </c>
      <c r="B369" s="5" t="s">
        <v>404</v>
      </c>
      <c r="C369" s="21">
        <v>57</v>
      </c>
    </row>
    <row r="370" spans="1:3" ht="12.3" x14ac:dyDescent="0.4">
      <c r="A370" s="5" t="s">
        <v>174</v>
      </c>
      <c r="B370" s="5" t="s">
        <v>405</v>
      </c>
      <c r="C370" s="21">
        <v>72</v>
      </c>
    </row>
    <row r="371" spans="1:3" ht="12.3" x14ac:dyDescent="0.4">
      <c r="A371" s="5" t="s">
        <v>54</v>
      </c>
      <c r="B371" s="5" t="s">
        <v>217</v>
      </c>
      <c r="C371" s="21">
        <v>51</v>
      </c>
    </row>
    <row r="372" spans="1:3" ht="12.3" x14ac:dyDescent="0.4">
      <c r="A372" s="5" t="s">
        <v>55</v>
      </c>
      <c r="B372" s="5" t="s">
        <v>406</v>
      </c>
      <c r="C372" s="21">
        <v>67</v>
      </c>
    </row>
    <row r="373" spans="1:3" ht="12.3" x14ac:dyDescent="0.4">
      <c r="A373" s="5" t="s">
        <v>27</v>
      </c>
      <c r="B373" s="5" t="s">
        <v>407</v>
      </c>
      <c r="C373" s="21">
        <v>29</v>
      </c>
    </row>
    <row r="374" spans="1:3" ht="12.3" x14ac:dyDescent="0.4">
      <c r="A374" s="5" t="s">
        <v>60</v>
      </c>
      <c r="B374" s="5" t="s">
        <v>408</v>
      </c>
      <c r="C374" s="21">
        <v>73</v>
      </c>
    </row>
    <row r="375" spans="1:3" ht="12.3" x14ac:dyDescent="0.4">
      <c r="A375" s="5" t="s">
        <v>69</v>
      </c>
      <c r="B375" s="5" t="s">
        <v>409</v>
      </c>
      <c r="C375" s="21">
        <v>51</v>
      </c>
    </row>
    <row r="376" spans="1:3" ht="12.3" x14ac:dyDescent="0.4">
      <c r="A376" s="5" t="s">
        <v>96</v>
      </c>
      <c r="B376" s="5" t="s">
        <v>410</v>
      </c>
      <c r="C376" s="21">
        <v>36</v>
      </c>
    </row>
    <row r="377" spans="1:3" ht="12.3" x14ac:dyDescent="0.4">
      <c r="A377" s="5" t="s">
        <v>54</v>
      </c>
      <c r="B377" s="5" t="s">
        <v>411</v>
      </c>
      <c r="C377" s="21">
        <v>39</v>
      </c>
    </row>
    <row r="378" spans="1:3" ht="12.3" x14ac:dyDescent="0.4">
      <c r="A378" s="5" t="s">
        <v>80</v>
      </c>
      <c r="B378" s="5" t="s">
        <v>412</v>
      </c>
      <c r="C378" s="21">
        <v>30</v>
      </c>
    </row>
    <row r="379" spans="1:3" ht="12.3" x14ac:dyDescent="0.4">
      <c r="A379" s="5" t="s">
        <v>37</v>
      </c>
      <c r="B379" s="5" t="s">
        <v>166</v>
      </c>
      <c r="C379" s="21">
        <v>28</v>
      </c>
    </row>
    <row r="380" spans="1:3" ht="12.3" x14ac:dyDescent="0.4">
      <c r="A380" s="5" t="s">
        <v>55</v>
      </c>
      <c r="B380" s="5" t="s">
        <v>413</v>
      </c>
      <c r="C380" s="21">
        <v>7</v>
      </c>
    </row>
    <row r="381" spans="1:3" ht="12.3" x14ac:dyDescent="0.4">
      <c r="A381" s="5" t="s">
        <v>31</v>
      </c>
      <c r="B381" s="5" t="s">
        <v>414</v>
      </c>
      <c r="C381" s="21">
        <v>11</v>
      </c>
    </row>
    <row r="382" spans="1:3" ht="12.3" x14ac:dyDescent="0.4">
      <c r="A382" s="5" t="s">
        <v>27</v>
      </c>
      <c r="B382" s="5" t="s">
        <v>415</v>
      </c>
      <c r="C382" s="21">
        <v>26</v>
      </c>
    </row>
    <row r="383" spans="1:3" ht="12.3" x14ac:dyDescent="0.4">
      <c r="A383" s="5" t="s">
        <v>174</v>
      </c>
      <c r="B383" s="5" t="s">
        <v>416</v>
      </c>
      <c r="C383" s="21">
        <v>15</v>
      </c>
    </row>
    <row r="384" spans="1:3" ht="12.3" x14ac:dyDescent="0.4">
      <c r="A384" s="5" t="s">
        <v>52</v>
      </c>
      <c r="B384" s="5" t="s">
        <v>417</v>
      </c>
      <c r="C384" s="21">
        <v>50</v>
      </c>
    </row>
    <row r="385" spans="1:3" ht="12.3" x14ac:dyDescent="0.4">
      <c r="A385" s="5" t="s">
        <v>62</v>
      </c>
      <c r="B385" s="5" t="s">
        <v>418</v>
      </c>
      <c r="C385" s="21">
        <v>59</v>
      </c>
    </row>
    <row r="386" spans="1:3" ht="12.3" x14ac:dyDescent="0.4">
      <c r="A386" s="5" t="s">
        <v>36</v>
      </c>
      <c r="B386" s="5" t="s">
        <v>419</v>
      </c>
      <c r="C386" s="21">
        <v>31</v>
      </c>
    </row>
    <row r="387" spans="1:3" ht="12.3" x14ac:dyDescent="0.4">
      <c r="A387" s="5" t="s">
        <v>39</v>
      </c>
      <c r="B387" s="5" t="s">
        <v>120</v>
      </c>
      <c r="C387" s="21">
        <v>44</v>
      </c>
    </row>
    <row r="388" spans="1:3" ht="12.3" x14ac:dyDescent="0.4">
      <c r="A388" s="5" t="s">
        <v>29</v>
      </c>
      <c r="B388" s="5" t="s">
        <v>420</v>
      </c>
      <c r="C388" s="21">
        <v>17</v>
      </c>
    </row>
    <row r="389" spans="1:3" ht="12.3" x14ac:dyDescent="0.4">
      <c r="A389" s="5" t="s">
        <v>43</v>
      </c>
      <c r="B389" s="5" t="s">
        <v>421</v>
      </c>
      <c r="C389" s="21">
        <v>45</v>
      </c>
    </row>
    <row r="390" spans="1:3" ht="12.3" x14ac:dyDescent="0.4">
      <c r="A390" s="5" t="s">
        <v>45</v>
      </c>
      <c r="B390" s="5" t="s">
        <v>422</v>
      </c>
      <c r="C390" s="21">
        <v>30</v>
      </c>
    </row>
    <row r="391" spans="1:3" ht="12.3" x14ac:dyDescent="0.4">
      <c r="A391" s="5" t="s">
        <v>41</v>
      </c>
      <c r="B391" s="5" t="s">
        <v>423</v>
      </c>
      <c r="C391" s="21">
        <v>18</v>
      </c>
    </row>
    <row r="392" spans="1:3" ht="12.3" x14ac:dyDescent="0.4">
      <c r="A392" s="5" t="s">
        <v>48</v>
      </c>
      <c r="B392" s="5" t="s">
        <v>424</v>
      </c>
      <c r="C392" s="21">
        <v>3</v>
      </c>
    </row>
    <row r="393" spans="1:3" ht="12.3" x14ac:dyDescent="0.4">
      <c r="A393" s="5" t="s">
        <v>29</v>
      </c>
      <c r="B393" s="5" t="s">
        <v>425</v>
      </c>
      <c r="C393" s="21">
        <v>63</v>
      </c>
    </row>
    <row r="394" spans="1:3" ht="12.3" x14ac:dyDescent="0.4">
      <c r="A394" s="5" t="s">
        <v>43</v>
      </c>
      <c r="B394" s="5" t="s">
        <v>426</v>
      </c>
      <c r="C394" s="21">
        <v>41</v>
      </c>
    </row>
    <row r="395" spans="1:3" ht="12.3" x14ac:dyDescent="0.4">
      <c r="A395" s="5" t="s">
        <v>51</v>
      </c>
      <c r="B395" s="5" t="s">
        <v>427</v>
      </c>
      <c r="C395" s="21">
        <v>63</v>
      </c>
    </row>
    <row r="396" spans="1:3" ht="12.3" x14ac:dyDescent="0.4">
      <c r="A396" s="5" t="s">
        <v>54</v>
      </c>
      <c r="B396" s="5" t="s">
        <v>428</v>
      </c>
      <c r="C396" s="21">
        <v>7</v>
      </c>
    </row>
    <row r="397" spans="1:3" ht="12.3" x14ac:dyDescent="0.4">
      <c r="A397" s="5" t="s">
        <v>57</v>
      </c>
      <c r="B397" s="5" t="s">
        <v>429</v>
      </c>
      <c r="C397" s="21">
        <v>12</v>
      </c>
    </row>
    <row r="398" spans="1:3" ht="12.3" x14ac:dyDescent="0.4">
      <c r="A398" s="5" t="s">
        <v>59</v>
      </c>
      <c r="B398" s="5" t="s">
        <v>430</v>
      </c>
      <c r="C398" s="21">
        <v>4</v>
      </c>
    </row>
    <row r="399" spans="1:3" ht="12.3" x14ac:dyDescent="0.4">
      <c r="A399" s="5" t="s">
        <v>45</v>
      </c>
      <c r="B399" s="5" t="s">
        <v>431</v>
      </c>
      <c r="C399" s="21">
        <v>45</v>
      </c>
    </row>
    <row r="400" spans="1:3" ht="12.3" x14ac:dyDescent="0.4">
      <c r="A400" s="5" t="s">
        <v>62</v>
      </c>
      <c r="B400" s="5" t="s">
        <v>432</v>
      </c>
      <c r="C400" s="21">
        <v>10</v>
      </c>
    </row>
    <row r="401" spans="1:3" ht="12.3" x14ac:dyDescent="0.4">
      <c r="A401" s="5" t="s">
        <v>29</v>
      </c>
      <c r="B401" s="5" t="s">
        <v>182</v>
      </c>
      <c r="C401" s="21">
        <v>57</v>
      </c>
    </row>
    <row r="402" spans="1:3" ht="12.3" x14ac:dyDescent="0.4">
      <c r="A402" s="5" t="s">
        <v>64</v>
      </c>
      <c r="B402" s="5" t="s">
        <v>433</v>
      </c>
      <c r="C402" s="21">
        <v>27</v>
      </c>
    </row>
    <row r="403" spans="1:3" ht="12.3" x14ac:dyDescent="0.4">
      <c r="A403" s="5" t="s">
        <v>54</v>
      </c>
      <c r="B403" s="5" t="s">
        <v>434</v>
      </c>
      <c r="C403" s="21">
        <v>23</v>
      </c>
    </row>
    <row r="404" spans="1:3" ht="12.3" x14ac:dyDescent="0.4">
      <c r="A404" s="5" t="s">
        <v>66</v>
      </c>
      <c r="B404" s="5" t="s">
        <v>435</v>
      </c>
      <c r="C404" s="21">
        <v>50</v>
      </c>
    </row>
    <row r="405" spans="1:3" ht="12.3" x14ac:dyDescent="0.4">
      <c r="A405" s="5" t="s">
        <v>52</v>
      </c>
      <c r="B405" s="5" t="s">
        <v>436</v>
      </c>
      <c r="C405" s="21">
        <v>44</v>
      </c>
    </row>
    <row r="406" spans="1:3" ht="12.3" x14ac:dyDescent="0.4">
      <c r="A406" s="5" t="s">
        <v>80</v>
      </c>
      <c r="B406" s="5" t="s">
        <v>437</v>
      </c>
      <c r="C406" s="21">
        <v>29</v>
      </c>
    </row>
    <row r="407" spans="1:3" ht="12.3" x14ac:dyDescent="0.4">
      <c r="A407" s="5" t="s">
        <v>57</v>
      </c>
      <c r="B407" s="5" t="s">
        <v>218</v>
      </c>
      <c r="C407" s="21">
        <v>3</v>
      </c>
    </row>
    <row r="408" spans="1:3" ht="12.3" x14ac:dyDescent="0.4">
      <c r="A408" s="5" t="s">
        <v>59</v>
      </c>
      <c r="B408" s="5" t="s">
        <v>438</v>
      </c>
      <c r="C408" s="21">
        <v>62</v>
      </c>
    </row>
    <row r="409" spans="1:3" ht="12.3" x14ac:dyDescent="0.4">
      <c r="A409" s="5" t="s">
        <v>72</v>
      </c>
      <c r="B409" s="5" t="s">
        <v>439</v>
      </c>
      <c r="C409" s="21">
        <v>30</v>
      </c>
    </row>
    <row r="410" spans="1:3" ht="12.3" x14ac:dyDescent="0.4">
      <c r="A410" s="5" t="s">
        <v>78</v>
      </c>
      <c r="B410" s="5" t="s">
        <v>440</v>
      </c>
      <c r="C410" s="21">
        <v>47</v>
      </c>
    </row>
    <row r="411" spans="1:3" ht="12.3" x14ac:dyDescent="0.4">
      <c r="A411" s="5" t="s">
        <v>80</v>
      </c>
      <c r="B411" s="5" t="s">
        <v>441</v>
      </c>
      <c r="C411" s="21">
        <v>8</v>
      </c>
    </row>
    <row r="412" spans="1:3" ht="12.3" x14ac:dyDescent="0.4">
      <c r="A412" s="5" t="s">
        <v>48</v>
      </c>
      <c r="B412" s="5" t="s">
        <v>442</v>
      </c>
      <c r="C412" s="21">
        <v>1</v>
      </c>
    </row>
    <row r="413" spans="1:3" ht="12.3" x14ac:dyDescent="0.4">
      <c r="A413" s="5" t="s">
        <v>60</v>
      </c>
      <c r="B413" s="5" t="s">
        <v>443</v>
      </c>
      <c r="C413" s="21">
        <v>57</v>
      </c>
    </row>
    <row r="414" spans="1:3" ht="12.3" x14ac:dyDescent="0.4">
      <c r="A414" s="5" t="s">
        <v>52</v>
      </c>
      <c r="B414" s="5" t="s">
        <v>444</v>
      </c>
      <c r="C414" s="21">
        <v>6</v>
      </c>
    </row>
    <row r="415" spans="1:3" ht="12.3" x14ac:dyDescent="0.4">
      <c r="A415" s="5" t="s">
        <v>174</v>
      </c>
      <c r="B415" s="5" t="s">
        <v>445</v>
      </c>
      <c r="C415" s="21">
        <v>67</v>
      </c>
    </row>
    <row r="416" spans="1:3" ht="12.3" x14ac:dyDescent="0.4">
      <c r="A416" s="5" t="s">
        <v>62</v>
      </c>
      <c r="B416" s="5" t="s">
        <v>446</v>
      </c>
      <c r="C416" s="21">
        <v>57</v>
      </c>
    </row>
    <row r="417" spans="1:3" ht="12.3" x14ac:dyDescent="0.4">
      <c r="A417" s="5" t="s">
        <v>45</v>
      </c>
      <c r="B417" s="5" t="s">
        <v>447</v>
      </c>
      <c r="C417" s="21">
        <v>43</v>
      </c>
    </row>
    <row r="418" spans="1:3" ht="12.3" x14ac:dyDescent="0.4">
      <c r="A418" s="5" t="s">
        <v>57</v>
      </c>
      <c r="B418" s="5" t="s">
        <v>448</v>
      </c>
      <c r="C418" s="21">
        <v>44</v>
      </c>
    </row>
    <row r="419" spans="1:3" ht="12.3" x14ac:dyDescent="0.4">
      <c r="A419" s="5" t="s">
        <v>84</v>
      </c>
      <c r="B419" s="5" t="s">
        <v>449</v>
      </c>
      <c r="C419" s="21">
        <v>26</v>
      </c>
    </row>
    <row r="420" spans="1:3" ht="12.3" x14ac:dyDescent="0.4">
      <c r="A420" s="5" t="s">
        <v>37</v>
      </c>
      <c r="B420" s="5" t="s">
        <v>450</v>
      </c>
      <c r="C420" s="21">
        <v>61</v>
      </c>
    </row>
    <row r="421" spans="1:3" ht="12.3" x14ac:dyDescent="0.4">
      <c r="A421" s="5" t="s">
        <v>39</v>
      </c>
      <c r="B421" s="5" t="s">
        <v>451</v>
      </c>
      <c r="C421" s="21">
        <v>53</v>
      </c>
    </row>
    <row r="422" spans="1:3" ht="12.3" x14ac:dyDescent="0.4">
      <c r="A422" s="5" t="s">
        <v>37</v>
      </c>
      <c r="B422" s="5" t="s">
        <v>452</v>
      </c>
      <c r="C422" s="21">
        <v>21</v>
      </c>
    </row>
    <row r="423" spans="1:3" ht="12.3" x14ac:dyDescent="0.4">
      <c r="A423" s="5" t="s">
        <v>74</v>
      </c>
      <c r="B423" s="5" t="s">
        <v>453</v>
      </c>
      <c r="C423" s="21">
        <v>65</v>
      </c>
    </row>
    <row r="424" spans="1:3" ht="12.3" x14ac:dyDescent="0.4">
      <c r="A424" s="5" t="s">
        <v>39</v>
      </c>
      <c r="B424" s="5" t="s">
        <v>454</v>
      </c>
      <c r="C424" s="21">
        <v>29</v>
      </c>
    </row>
    <row r="425" spans="1:3" ht="12.3" x14ac:dyDescent="0.4">
      <c r="A425" s="5" t="s">
        <v>66</v>
      </c>
      <c r="B425" s="5" t="s">
        <v>455</v>
      </c>
      <c r="C425" s="21">
        <v>9</v>
      </c>
    </row>
    <row r="426" spans="1:3" ht="12.3" x14ac:dyDescent="0.4">
      <c r="A426" s="5" t="s">
        <v>31</v>
      </c>
      <c r="B426" s="5" t="s">
        <v>456</v>
      </c>
      <c r="C426" s="21">
        <v>61</v>
      </c>
    </row>
    <row r="427" spans="1:3" ht="12.3" x14ac:dyDescent="0.4">
      <c r="A427" s="5" t="s">
        <v>66</v>
      </c>
      <c r="B427" s="5" t="s">
        <v>457</v>
      </c>
      <c r="C427" s="21">
        <v>25</v>
      </c>
    </row>
    <row r="428" spans="1:3" ht="12.3" x14ac:dyDescent="0.4">
      <c r="A428" s="5" t="s">
        <v>54</v>
      </c>
      <c r="B428" s="5" t="s">
        <v>458</v>
      </c>
      <c r="C428" s="21">
        <v>68</v>
      </c>
    </row>
    <row r="429" spans="1:3" ht="12.3" x14ac:dyDescent="0.4">
      <c r="A429" s="5" t="s">
        <v>74</v>
      </c>
      <c r="B429" s="5" t="s">
        <v>459</v>
      </c>
      <c r="C429" s="21">
        <v>32</v>
      </c>
    </row>
    <row r="430" spans="1:3" ht="12.3" x14ac:dyDescent="0.4">
      <c r="A430" s="5" t="s">
        <v>59</v>
      </c>
      <c r="B430" s="5" t="s">
        <v>460</v>
      </c>
      <c r="C430" s="21">
        <v>21</v>
      </c>
    </row>
    <row r="431" spans="1:3" ht="12.3" x14ac:dyDescent="0.4">
      <c r="A431" s="5" t="s">
        <v>49</v>
      </c>
      <c r="B431" s="5" t="s">
        <v>461</v>
      </c>
      <c r="C431" s="21">
        <v>23</v>
      </c>
    </row>
    <row r="432" spans="1:3" ht="12.3" x14ac:dyDescent="0.4">
      <c r="A432" s="5" t="s">
        <v>36</v>
      </c>
      <c r="B432" s="5" t="s">
        <v>462</v>
      </c>
      <c r="C432" s="21">
        <v>7</v>
      </c>
    </row>
    <row r="433" spans="1:3" ht="12.3" x14ac:dyDescent="0.4">
      <c r="A433" s="5" t="s">
        <v>66</v>
      </c>
      <c r="B433" s="5" t="s">
        <v>108</v>
      </c>
      <c r="C433" s="21">
        <v>69</v>
      </c>
    </row>
    <row r="434" spans="1:3" ht="12.3" x14ac:dyDescent="0.4">
      <c r="A434" s="5" t="s">
        <v>62</v>
      </c>
      <c r="B434" s="5" t="s">
        <v>463</v>
      </c>
      <c r="C434" s="21">
        <v>66</v>
      </c>
    </row>
    <row r="435" spans="1:3" ht="12.3" x14ac:dyDescent="0.4">
      <c r="A435" s="5" t="s">
        <v>80</v>
      </c>
      <c r="B435" s="5" t="s">
        <v>245</v>
      </c>
      <c r="C435" s="21">
        <v>53</v>
      </c>
    </row>
    <row r="436" spans="1:3" ht="12.3" x14ac:dyDescent="0.4">
      <c r="A436" s="5" t="s">
        <v>36</v>
      </c>
      <c r="B436" s="5" t="s">
        <v>464</v>
      </c>
      <c r="C436" s="21">
        <v>7</v>
      </c>
    </row>
    <row r="437" spans="1:3" ht="12.3" x14ac:dyDescent="0.4">
      <c r="A437" s="5" t="s">
        <v>52</v>
      </c>
      <c r="B437" s="5" t="s">
        <v>375</v>
      </c>
      <c r="C437" s="21">
        <v>14</v>
      </c>
    </row>
    <row r="438" spans="1:3" ht="12.3" x14ac:dyDescent="0.4">
      <c r="A438" s="5" t="s">
        <v>48</v>
      </c>
      <c r="B438" s="5" t="s">
        <v>465</v>
      </c>
      <c r="C438" s="21">
        <v>52</v>
      </c>
    </row>
    <row r="439" spans="1:3" ht="12.3" x14ac:dyDescent="0.4">
      <c r="A439" s="5" t="s">
        <v>96</v>
      </c>
      <c r="B439" s="5" t="s">
        <v>466</v>
      </c>
      <c r="C439" s="21">
        <v>20</v>
      </c>
    </row>
    <row r="440" spans="1:3" ht="12.3" x14ac:dyDescent="0.4">
      <c r="A440" s="5" t="s">
        <v>96</v>
      </c>
      <c r="B440" s="5" t="s">
        <v>467</v>
      </c>
      <c r="C440" s="21">
        <v>35</v>
      </c>
    </row>
    <row r="441" spans="1:3" ht="12.3" x14ac:dyDescent="0.4">
      <c r="A441" s="5" t="s">
        <v>41</v>
      </c>
      <c r="B441" s="5" t="s">
        <v>468</v>
      </c>
      <c r="C441" s="21">
        <v>5</v>
      </c>
    </row>
    <row r="442" spans="1:3" ht="12.3" x14ac:dyDescent="0.4">
      <c r="A442" s="5" t="s">
        <v>64</v>
      </c>
      <c r="B442" s="5" t="s">
        <v>351</v>
      </c>
      <c r="C442" s="21">
        <v>71</v>
      </c>
    </row>
    <row r="443" spans="1:3" ht="12.3" x14ac:dyDescent="0.4">
      <c r="A443" s="5" t="s">
        <v>62</v>
      </c>
      <c r="B443" s="5" t="s">
        <v>469</v>
      </c>
      <c r="C443" s="21">
        <v>46</v>
      </c>
    </row>
    <row r="444" spans="1:3" ht="12.3" x14ac:dyDescent="0.4">
      <c r="A444" s="5" t="s">
        <v>57</v>
      </c>
      <c r="B444" s="5" t="s">
        <v>470</v>
      </c>
      <c r="C444" s="21">
        <v>52</v>
      </c>
    </row>
    <row r="445" spans="1:3" ht="12.3" x14ac:dyDescent="0.4">
      <c r="A445" s="5" t="s">
        <v>29</v>
      </c>
      <c r="B445" s="5" t="s">
        <v>471</v>
      </c>
      <c r="C445" s="21">
        <v>69</v>
      </c>
    </row>
    <row r="446" spans="1:3" ht="12.3" x14ac:dyDescent="0.4">
      <c r="A446" s="5" t="s">
        <v>80</v>
      </c>
      <c r="B446" s="5" t="s">
        <v>472</v>
      </c>
      <c r="C446" s="21">
        <v>72</v>
      </c>
    </row>
    <row r="447" spans="1:3" ht="12.3" x14ac:dyDescent="0.4">
      <c r="A447" s="5" t="s">
        <v>36</v>
      </c>
      <c r="B447" s="5" t="s">
        <v>473</v>
      </c>
      <c r="C447" s="21">
        <v>13</v>
      </c>
    </row>
    <row r="448" spans="1:3" ht="12.3" x14ac:dyDescent="0.4">
      <c r="A448" s="5" t="s">
        <v>62</v>
      </c>
      <c r="B448" s="5" t="s">
        <v>474</v>
      </c>
      <c r="C448" s="21">
        <v>74</v>
      </c>
    </row>
    <row r="449" spans="1:3" ht="12.3" x14ac:dyDescent="0.4">
      <c r="A449" s="5" t="s">
        <v>52</v>
      </c>
      <c r="B449" s="5" t="s">
        <v>475</v>
      </c>
      <c r="C449" s="21">
        <v>47</v>
      </c>
    </row>
    <row r="450" spans="1:3" ht="12.3" x14ac:dyDescent="0.4">
      <c r="A450" s="5" t="s">
        <v>39</v>
      </c>
      <c r="B450" s="5" t="s">
        <v>476</v>
      </c>
      <c r="C450" s="21">
        <v>73</v>
      </c>
    </row>
    <row r="451" spans="1:3" ht="12.3" x14ac:dyDescent="0.4">
      <c r="A451" s="5" t="s">
        <v>69</v>
      </c>
      <c r="B451" s="5" t="s">
        <v>477</v>
      </c>
      <c r="C451" s="21">
        <v>26</v>
      </c>
    </row>
    <row r="452" spans="1:3" ht="12.3" x14ac:dyDescent="0.4">
      <c r="A452" s="5" t="s">
        <v>52</v>
      </c>
      <c r="B452" s="5" t="s">
        <v>478</v>
      </c>
      <c r="C452" s="21">
        <v>67</v>
      </c>
    </row>
    <row r="453" spans="1:3" ht="12.3" x14ac:dyDescent="0.4">
      <c r="A453" s="5" t="s">
        <v>55</v>
      </c>
      <c r="B453" s="5" t="s">
        <v>479</v>
      </c>
      <c r="C453" s="21">
        <v>6</v>
      </c>
    </row>
    <row r="454" spans="1:3" ht="12.3" x14ac:dyDescent="0.4">
      <c r="A454" s="5" t="s">
        <v>60</v>
      </c>
      <c r="B454" s="5" t="s">
        <v>466</v>
      </c>
      <c r="C454" s="21">
        <v>28</v>
      </c>
    </row>
    <row r="455" spans="1:3" ht="12.3" x14ac:dyDescent="0.4">
      <c r="A455" s="5" t="s">
        <v>43</v>
      </c>
      <c r="B455" s="5" t="s">
        <v>480</v>
      </c>
      <c r="C455" s="21">
        <v>70</v>
      </c>
    </row>
    <row r="456" spans="1:3" ht="12.3" x14ac:dyDescent="0.4">
      <c r="A456" s="5" t="s">
        <v>60</v>
      </c>
      <c r="B456" s="5" t="s">
        <v>481</v>
      </c>
      <c r="C456" s="21">
        <v>32</v>
      </c>
    </row>
    <row r="457" spans="1:3" ht="12.3" x14ac:dyDescent="0.4">
      <c r="A457" s="5" t="s">
        <v>80</v>
      </c>
      <c r="B457" s="5" t="s">
        <v>482</v>
      </c>
      <c r="C457" s="21">
        <v>70</v>
      </c>
    </row>
    <row r="458" spans="1:3" ht="12.3" x14ac:dyDescent="0.4">
      <c r="A458" s="5" t="s">
        <v>57</v>
      </c>
      <c r="B458" s="5" t="s">
        <v>483</v>
      </c>
      <c r="C458" s="21">
        <v>18</v>
      </c>
    </row>
    <row r="459" spans="1:3" ht="12.3" x14ac:dyDescent="0.4">
      <c r="A459" s="5" t="s">
        <v>54</v>
      </c>
      <c r="B459" s="5" t="s">
        <v>294</v>
      </c>
      <c r="C459" s="21">
        <v>53</v>
      </c>
    </row>
    <row r="460" spans="1:3" ht="12.3" x14ac:dyDescent="0.4">
      <c r="A460" s="5" t="s">
        <v>59</v>
      </c>
      <c r="B460" s="5" t="s">
        <v>484</v>
      </c>
      <c r="C460" s="21">
        <v>56</v>
      </c>
    </row>
    <row r="461" spans="1:3" ht="12.3" x14ac:dyDescent="0.4">
      <c r="A461" s="5" t="s">
        <v>41</v>
      </c>
      <c r="B461" s="5" t="s">
        <v>485</v>
      </c>
      <c r="C461" s="21">
        <v>21</v>
      </c>
    </row>
    <row r="462" spans="1:3" ht="12.3" x14ac:dyDescent="0.4">
      <c r="A462" s="5" t="s">
        <v>36</v>
      </c>
      <c r="B462" s="5" t="s">
        <v>107</v>
      </c>
      <c r="C462" s="21">
        <v>5</v>
      </c>
    </row>
    <row r="463" spans="1:3" ht="12.3" x14ac:dyDescent="0.4">
      <c r="A463" s="5" t="s">
        <v>34</v>
      </c>
      <c r="B463" s="5" t="s">
        <v>486</v>
      </c>
      <c r="C463" s="21">
        <v>50</v>
      </c>
    </row>
    <row r="464" spans="1:3" ht="12.3" x14ac:dyDescent="0.4">
      <c r="A464" s="5" t="s">
        <v>66</v>
      </c>
      <c r="B464" s="5" t="s">
        <v>473</v>
      </c>
      <c r="C464" s="21">
        <v>68</v>
      </c>
    </row>
    <row r="465" spans="1:3" ht="12.3" x14ac:dyDescent="0.4">
      <c r="A465" s="5" t="s">
        <v>74</v>
      </c>
      <c r="B465" s="5" t="s">
        <v>487</v>
      </c>
      <c r="C465" s="21">
        <v>10</v>
      </c>
    </row>
    <row r="466" spans="1:3" ht="12.3" x14ac:dyDescent="0.4">
      <c r="A466" s="5" t="s">
        <v>39</v>
      </c>
      <c r="B466" s="5" t="s">
        <v>110</v>
      </c>
      <c r="C466" s="21">
        <v>11</v>
      </c>
    </row>
    <row r="467" spans="1:3" ht="12.3" x14ac:dyDescent="0.4">
      <c r="A467" s="5" t="s">
        <v>69</v>
      </c>
      <c r="B467" s="5" t="s">
        <v>488</v>
      </c>
      <c r="C467" s="21">
        <v>18</v>
      </c>
    </row>
    <row r="468" spans="1:3" ht="12.3" x14ac:dyDescent="0.4">
      <c r="A468" s="5" t="s">
        <v>41</v>
      </c>
      <c r="B468" s="5" t="s">
        <v>489</v>
      </c>
      <c r="C468" s="21">
        <v>29</v>
      </c>
    </row>
    <row r="469" spans="1:3" ht="12.3" x14ac:dyDescent="0.4">
      <c r="A469" s="5" t="s">
        <v>54</v>
      </c>
      <c r="B469" s="5" t="s">
        <v>490</v>
      </c>
      <c r="C469" s="21">
        <v>12</v>
      </c>
    </row>
    <row r="470" spans="1:3" ht="12.3" x14ac:dyDescent="0.4">
      <c r="A470" s="5" t="s">
        <v>41</v>
      </c>
      <c r="B470" s="5" t="s">
        <v>491</v>
      </c>
      <c r="C470" s="21">
        <v>41</v>
      </c>
    </row>
    <row r="471" spans="1:3" ht="12.3" x14ac:dyDescent="0.4">
      <c r="A471" s="5" t="s">
        <v>31</v>
      </c>
      <c r="B471" s="5" t="s">
        <v>492</v>
      </c>
      <c r="C471" s="21">
        <v>44</v>
      </c>
    </row>
    <row r="472" spans="1:3" ht="12.3" x14ac:dyDescent="0.4">
      <c r="A472" s="5" t="s">
        <v>27</v>
      </c>
      <c r="B472" s="5" t="s">
        <v>186</v>
      </c>
      <c r="C472" s="21">
        <v>26</v>
      </c>
    </row>
    <row r="473" spans="1:3" ht="12.3" x14ac:dyDescent="0.4">
      <c r="A473" s="5" t="s">
        <v>48</v>
      </c>
      <c r="B473" s="5" t="s">
        <v>493</v>
      </c>
      <c r="C473" s="21">
        <v>37</v>
      </c>
    </row>
    <row r="474" spans="1:3" ht="12.3" x14ac:dyDescent="0.4">
      <c r="A474" s="5" t="s">
        <v>39</v>
      </c>
      <c r="B474" s="5" t="s">
        <v>494</v>
      </c>
      <c r="C474" s="21">
        <v>53</v>
      </c>
    </row>
    <row r="475" spans="1:3" ht="12.3" x14ac:dyDescent="0.4">
      <c r="A475" s="5" t="s">
        <v>55</v>
      </c>
      <c r="B475" s="5" t="s">
        <v>495</v>
      </c>
      <c r="C475" s="21">
        <v>15</v>
      </c>
    </row>
    <row r="476" spans="1:3" ht="12.3" x14ac:dyDescent="0.4">
      <c r="A476" s="5" t="s">
        <v>41</v>
      </c>
      <c r="B476" s="5" t="s">
        <v>496</v>
      </c>
      <c r="C476" s="21">
        <v>65</v>
      </c>
    </row>
    <row r="477" spans="1:3" ht="12.3" x14ac:dyDescent="0.4">
      <c r="A477" s="5" t="s">
        <v>80</v>
      </c>
      <c r="B477" s="5" t="s">
        <v>497</v>
      </c>
      <c r="C477" s="21">
        <v>50</v>
      </c>
    </row>
    <row r="478" spans="1:3" ht="12.3" x14ac:dyDescent="0.4">
      <c r="A478" s="5" t="s">
        <v>36</v>
      </c>
      <c r="B478" s="5" t="s">
        <v>498</v>
      </c>
      <c r="C478" s="21">
        <v>52</v>
      </c>
    </row>
    <row r="479" spans="1:3" ht="12.3" x14ac:dyDescent="0.4">
      <c r="A479" s="5" t="s">
        <v>57</v>
      </c>
      <c r="B479" s="5" t="s">
        <v>499</v>
      </c>
      <c r="C479" s="21">
        <v>49</v>
      </c>
    </row>
    <row r="480" spans="1:3" ht="12.3" x14ac:dyDescent="0.4">
      <c r="A480" s="5" t="s">
        <v>74</v>
      </c>
      <c r="B480" s="5" t="s">
        <v>500</v>
      </c>
      <c r="C480" s="21">
        <v>47</v>
      </c>
    </row>
    <row r="481" spans="1:3" ht="12.3" x14ac:dyDescent="0.4">
      <c r="A481" s="5" t="s">
        <v>37</v>
      </c>
      <c r="B481" s="5" t="s">
        <v>493</v>
      </c>
      <c r="C481" s="21">
        <v>54</v>
      </c>
    </row>
    <row r="482" spans="1:3" ht="12.3" x14ac:dyDescent="0.4">
      <c r="A482" s="5" t="s">
        <v>36</v>
      </c>
      <c r="B482" s="5" t="s">
        <v>501</v>
      </c>
      <c r="C482" s="21">
        <v>13</v>
      </c>
    </row>
    <row r="483" spans="1:3" ht="12.3" x14ac:dyDescent="0.4">
      <c r="A483" s="5" t="s">
        <v>31</v>
      </c>
      <c r="B483" s="5" t="s">
        <v>502</v>
      </c>
      <c r="C483" s="21">
        <v>41</v>
      </c>
    </row>
    <row r="484" spans="1:3" ht="12.3" x14ac:dyDescent="0.4">
      <c r="A484" s="5" t="s">
        <v>49</v>
      </c>
      <c r="B484" s="5" t="s">
        <v>503</v>
      </c>
      <c r="C484" s="21">
        <v>41</v>
      </c>
    </row>
    <row r="485" spans="1:3" ht="12.3" x14ac:dyDescent="0.4">
      <c r="A485" s="5" t="s">
        <v>168</v>
      </c>
      <c r="B485" s="5" t="s">
        <v>504</v>
      </c>
      <c r="C485" s="21">
        <v>38</v>
      </c>
    </row>
    <row r="486" spans="1:3" ht="12.3" x14ac:dyDescent="0.4">
      <c r="A486" s="5" t="s">
        <v>168</v>
      </c>
      <c r="B486" s="5" t="s">
        <v>505</v>
      </c>
      <c r="C486" s="21">
        <v>34</v>
      </c>
    </row>
    <row r="487" spans="1:3" ht="12.3" x14ac:dyDescent="0.4">
      <c r="A487" s="5" t="s">
        <v>36</v>
      </c>
      <c r="B487" s="5" t="s">
        <v>506</v>
      </c>
      <c r="C487" s="21">
        <v>65</v>
      </c>
    </row>
    <row r="488" spans="1:3" ht="12.3" x14ac:dyDescent="0.4">
      <c r="A488" s="5" t="s">
        <v>60</v>
      </c>
      <c r="B488" s="5" t="s">
        <v>507</v>
      </c>
      <c r="C488" s="21">
        <v>5</v>
      </c>
    </row>
    <row r="489" spans="1:3" ht="12.3" x14ac:dyDescent="0.4">
      <c r="A489" s="5" t="s">
        <v>36</v>
      </c>
      <c r="B489" s="5" t="s">
        <v>508</v>
      </c>
      <c r="C489" s="21">
        <v>26</v>
      </c>
    </row>
    <row r="490" spans="1:3" ht="12.3" x14ac:dyDescent="0.4">
      <c r="A490" s="5" t="s">
        <v>84</v>
      </c>
      <c r="B490" s="5" t="s">
        <v>509</v>
      </c>
      <c r="C490" s="21">
        <v>40</v>
      </c>
    </row>
    <row r="491" spans="1:3" ht="12.3" x14ac:dyDescent="0.4">
      <c r="A491" s="5" t="s">
        <v>37</v>
      </c>
      <c r="B491" s="5" t="s">
        <v>510</v>
      </c>
      <c r="C491" s="21">
        <v>48</v>
      </c>
    </row>
    <row r="492" spans="1:3" ht="12.3" x14ac:dyDescent="0.4">
      <c r="A492" s="5" t="s">
        <v>31</v>
      </c>
      <c r="B492" s="5" t="s">
        <v>511</v>
      </c>
      <c r="C492" s="21">
        <v>13</v>
      </c>
    </row>
    <row r="493" spans="1:3" ht="12.3" x14ac:dyDescent="0.4">
      <c r="A493" s="5" t="s">
        <v>55</v>
      </c>
      <c r="B493" s="5" t="s">
        <v>512</v>
      </c>
      <c r="C493" s="21">
        <v>35</v>
      </c>
    </row>
    <row r="494" spans="1:3" ht="12.3" x14ac:dyDescent="0.4">
      <c r="A494" s="5" t="s">
        <v>37</v>
      </c>
      <c r="B494" s="5" t="s">
        <v>513</v>
      </c>
      <c r="C494" s="21">
        <v>37</v>
      </c>
    </row>
    <row r="495" spans="1:3" ht="12.3" x14ac:dyDescent="0.4">
      <c r="A495" s="5" t="s">
        <v>80</v>
      </c>
      <c r="B495" s="5" t="s">
        <v>151</v>
      </c>
      <c r="C495" s="21">
        <v>35</v>
      </c>
    </row>
    <row r="496" spans="1:3" ht="12.3" x14ac:dyDescent="0.4">
      <c r="A496" s="5" t="s">
        <v>84</v>
      </c>
      <c r="B496" s="5" t="s">
        <v>514</v>
      </c>
      <c r="C496" s="21">
        <v>47</v>
      </c>
    </row>
    <row r="497" spans="1:3" ht="12.3" x14ac:dyDescent="0.4">
      <c r="A497" s="5" t="s">
        <v>69</v>
      </c>
      <c r="B497" s="5" t="s">
        <v>515</v>
      </c>
      <c r="C497" s="21">
        <v>61</v>
      </c>
    </row>
    <row r="498" spans="1:3" ht="12.3" x14ac:dyDescent="0.4">
      <c r="A498" s="5" t="s">
        <v>41</v>
      </c>
      <c r="B498" s="5" t="s">
        <v>516</v>
      </c>
      <c r="C498" s="21">
        <v>4</v>
      </c>
    </row>
    <row r="499" spans="1:3" ht="12.3" x14ac:dyDescent="0.4">
      <c r="A499" s="5" t="s">
        <v>43</v>
      </c>
      <c r="B499" s="5" t="s">
        <v>517</v>
      </c>
      <c r="C499" s="21">
        <v>27</v>
      </c>
    </row>
    <row r="500" spans="1:3" ht="12.3" x14ac:dyDescent="0.4">
      <c r="A500" s="5" t="s">
        <v>43</v>
      </c>
      <c r="B500" s="5" t="s">
        <v>518</v>
      </c>
      <c r="C500" s="21">
        <v>63</v>
      </c>
    </row>
  </sheetData>
  <mergeCells count="2">
    <mergeCell ref="G4:I4"/>
    <mergeCell ref="G7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Функции БД</vt:lpstr>
      <vt:lpstr>Филиалы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Ренат Шагабутдинов</cp:lastModifiedBy>
  <dcterms:created xsi:type="dcterms:W3CDTF">2020-12-10T06:31:38Z</dcterms:created>
  <dcterms:modified xsi:type="dcterms:W3CDTF">2020-12-10T17:18:21Z</dcterms:modified>
</cp:coreProperties>
</file>