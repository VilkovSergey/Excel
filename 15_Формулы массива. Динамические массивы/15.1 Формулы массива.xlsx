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ga\Desktop\Курсы и выступления\Курс Excel SKillbox\Файлы-примеры\M15\"/>
    </mc:Choice>
  </mc:AlternateContent>
  <xr:revisionPtr revIDLastSave="0" documentId="13_ncr:1_{74003BA0-B85E-4003-95CD-3D56AE2632B1}" xr6:coauthVersionLast="45" xr6:coauthVersionMax="45" xr10:uidLastSave="{00000000-0000-0000-0000-000000000000}"/>
  <bookViews>
    <workbookView xWindow="-96" yWindow="-96" windowWidth="23232" windowHeight="13152" activeTab="6" xr2:uid="{6A7F8978-6464-4874-B387-F953BB53C3C8}"/>
  </bookViews>
  <sheets>
    <sheet name="Таблица умножения" sheetId="3" r:id="rId1"/>
    <sheet name="Расчет ставки" sheetId="4" r:id="rId2"/>
    <sheet name="Макс отклонение" sheetId="7" r:id="rId3"/>
    <sheet name="ДЛСТР" sheetId="8" r:id="rId4"/>
    <sheet name="ТРАНСП" sheetId="1" r:id="rId5"/>
    <sheet name="ЧАСТОТА" sheetId="5" r:id="rId6"/>
    <sheet name="Ввод массива и имена" sheetId="6" r:id="rId7"/>
  </sheets>
  <definedNames>
    <definedName name="Категории">{"Маркетинг","Аналитика","Менеджмент","Программирование"}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6" l="1" a="1"/>
  <c r="C3" i="6" s="1"/>
  <c r="C4" i="6" a="1"/>
  <c r="C4" i="6" s="1"/>
  <c r="C5" i="6" a="1"/>
  <c r="C5" i="6"/>
  <c r="C6" i="6" a="1"/>
  <c r="C6" i="6"/>
  <c r="C7" i="6" a="1"/>
  <c r="C7" i="6" s="1"/>
  <c r="C8" i="6" a="1"/>
  <c r="C8" i="6" s="1"/>
  <c r="C9" i="6" a="1"/>
  <c r="C9" i="6"/>
  <c r="C10" i="6" a="1"/>
  <c r="C10" i="6"/>
  <c r="C11" i="6" a="1"/>
  <c r="C11" i="6" s="1"/>
  <c r="C12" i="6" a="1"/>
  <c r="C12" i="6" s="1"/>
  <c r="C13" i="6" a="1"/>
  <c r="C13" i="6"/>
  <c r="C2" i="6" a="1"/>
  <c r="C2" i="6" s="1"/>
  <c r="G9" i="5" a="1"/>
  <c r="G9" i="5" s="1"/>
  <c r="A5" i="1" a="1"/>
  <c r="A5" i="1" s="1"/>
  <c r="D2" i="8" a="1"/>
  <c r="D2" i="8" s="1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2" i="8"/>
  <c r="D17" i="7" a="1"/>
  <c r="D17" i="7" s="1"/>
  <c r="F3" i="4" a="1"/>
  <c r="F3" i="4" s="1"/>
  <c r="J9" i="3"/>
  <c r="H10" i="3"/>
  <c r="F11" i="3"/>
  <c r="B2" i="3" a="1"/>
  <c r="E2" i="3" s="1"/>
  <c r="G13" i="5" l="1"/>
  <c r="G12" i="5"/>
  <c r="G11" i="5"/>
  <c r="G10" i="5"/>
  <c r="B7" i="1"/>
  <c r="A7" i="1"/>
  <c r="B6" i="1"/>
  <c r="B5" i="1"/>
  <c r="A6" i="1"/>
  <c r="B9" i="3"/>
  <c r="D8" i="3"/>
  <c r="F7" i="3"/>
  <c r="H6" i="3"/>
  <c r="J5" i="3"/>
  <c r="B5" i="3"/>
  <c r="D4" i="3"/>
  <c r="F3" i="3"/>
  <c r="H2" i="3"/>
  <c r="E11" i="3"/>
  <c r="G10" i="3"/>
  <c r="I9" i="3"/>
  <c r="K8" i="3"/>
  <c r="C8" i="3"/>
  <c r="E7" i="3"/>
  <c r="G6" i="3"/>
  <c r="I5" i="3"/>
  <c r="K4" i="3"/>
  <c r="C4" i="3"/>
  <c r="E3" i="3"/>
  <c r="G2" i="3"/>
  <c r="K11" i="3"/>
  <c r="D11" i="3"/>
  <c r="F10" i="3"/>
  <c r="H9" i="3"/>
  <c r="J8" i="3"/>
  <c r="B8" i="3"/>
  <c r="D7" i="3"/>
  <c r="F6" i="3"/>
  <c r="H5" i="3"/>
  <c r="J4" i="3"/>
  <c r="B4" i="3"/>
  <c r="D3" i="3"/>
  <c r="F2" i="3"/>
  <c r="J11" i="3"/>
  <c r="B11" i="3"/>
  <c r="D10" i="3"/>
  <c r="F9" i="3"/>
  <c r="H8" i="3"/>
  <c r="J7" i="3"/>
  <c r="B7" i="3"/>
  <c r="D6" i="3"/>
  <c r="F5" i="3"/>
  <c r="H4" i="3"/>
  <c r="J3" i="3"/>
  <c r="B3" i="3"/>
  <c r="D2" i="3"/>
  <c r="I11" i="3"/>
  <c r="K10" i="3"/>
  <c r="C10" i="3"/>
  <c r="E9" i="3"/>
  <c r="G8" i="3"/>
  <c r="I7" i="3"/>
  <c r="K6" i="3"/>
  <c r="C6" i="3"/>
  <c r="E5" i="3"/>
  <c r="G4" i="3"/>
  <c r="I3" i="3"/>
  <c r="K2" i="3"/>
  <c r="C2" i="3"/>
  <c r="H11" i="3"/>
  <c r="J10" i="3"/>
  <c r="B10" i="3"/>
  <c r="D9" i="3"/>
  <c r="F8" i="3"/>
  <c r="H7" i="3"/>
  <c r="J6" i="3"/>
  <c r="B6" i="3"/>
  <c r="D5" i="3"/>
  <c r="F4" i="3"/>
  <c r="H3" i="3"/>
  <c r="J2" i="3"/>
  <c r="B2" i="3"/>
  <c r="G11" i="3"/>
  <c r="I10" i="3"/>
  <c r="K9" i="3"/>
  <c r="C9" i="3"/>
  <c r="E8" i="3"/>
  <c r="G7" i="3"/>
  <c r="I6" i="3"/>
  <c r="K5" i="3"/>
  <c r="C5" i="3"/>
  <c r="E4" i="3"/>
  <c r="G3" i="3"/>
  <c r="I2" i="3"/>
  <c r="C11" i="3"/>
  <c r="E10" i="3"/>
  <c r="G9" i="3"/>
  <c r="I8" i="3"/>
  <c r="K7" i="3"/>
  <c r="C7" i="3"/>
  <c r="E6" i="3"/>
  <c r="G5" i="3"/>
  <c r="I4" i="3"/>
  <c r="K3" i="3"/>
  <c r="C3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<sst xmlns="http://schemas.openxmlformats.org/spreadsheetml/2006/main" count="186" uniqueCount="186">
  <si>
    <t>УРОВЕНЬ ДЕНЕЖНЫХ ДОХОДОВ НАСЕЛЕНИЯ В ЦЕЛОМ ПО РОССИИ И ПО СУБЪЕКТАМ РОССИЙСКОЙ ФЕДЕРАЦИИ ЗА 2018 ГОД</t>
  </si>
  <si>
    <t>Денежные доходы в расчете на душу населения, рублей в месяц</t>
  </si>
  <si>
    <t xml:space="preserve">Белгородская область  </t>
  </si>
  <si>
    <t xml:space="preserve">Брянская область </t>
  </si>
  <si>
    <t>Владимирская область</t>
  </si>
  <si>
    <t>Воронежская область</t>
  </si>
  <si>
    <t>Ивановская область</t>
  </si>
  <si>
    <t>Калужская область</t>
  </si>
  <si>
    <t xml:space="preserve">Костромская область 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</si>
  <si>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</si>
  <si>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</si>
  <si>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</si>
  <si>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</si>
  <si>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</si>
  <si>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</si>
  <si>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 xml:space="preserve">Тамбовская область </t>
  </si>
  <si>
    <t>Тверская область</t>
  </si>
  <si>
    <t>Тульская область</t>
  </si>
  <si>
    <t xml:space="preserve">Ярославская область   </t>
  </si>
  <si>
    <t>г.Москва</t>
  </si>
  <si>
    <t>Республика Карелия</t>
  </si>
  <si>
    <t>Республика Коми</t>
  </si>
  <si>
    <t xml:space="preserve">Архангельская область </t>
  </si>
  <si>
    <t xml:space="preserve">    Ненецкий авт.округ</t>
  </si>
  <si>
    <t xml:space="preserve">Архангельская область (без НАО)  </t>
  </si>
  <si>
    <t>Вологодская область</t>
  </si>
  <si>
    <t>Калининградская область</t>
  </si>
  <si>
    <t xml:space="preserve">Ленинградская область </t>
  </si>
  <si>
    <t xml:space="preserve">Мурманская область   </t>
  </si>
  <si>
    <t>Новгородская область</t>
  </si>
  <si>
    <t xml:space="preserve">Псковская область   </t>
  </si>
  <si>
    <t>г.Санкт-Петербург</t>
  </si>
  <si>
    <t xml:space="preserve">Республика Адыгея  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</si>
  <si>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</si>
  <si>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</si>
  <si>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</si>
  <si>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</si>
  <si>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</si>
  <si>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 xml:space="preserve">Ростовская область </t>
  </si>
  <si>
    <t>г.Севастополь</t>
  </si>
  <si>
    <t>Республика Дагестан</t>
  </si>
  <si>
    <t>Республика Ингушетия</t>
  </si>
  <si>
    <t>Кабардино-Балкарская  Республика</t>
  </si>
  <si>
    <t>Карачаево-Черкесская  Республика</t>
  </si>
  <si>
    <t>Республика  Северная Осетия - Алания</t>
  </si>
  <si>
    <t>Чеченская Республика</t>
  </si>
  <si>
    <t>Ставропольский край</t>
  </si>
  <si>
    <t>Республика Башкортостан</t>
  </si>
  <si>
    <t xml:space="preserve">Республика Марий Эл  </t>
  </si>
  <si>
    <t>Республика Мордовия</t>
  </si>
  <si>
    <t>Республика Татарстан</t>
  </si>
  <si>
    <t>Удмуртская Республика</t>
  </si>
  <si>
    <t xml:space="preserve">Чувашская Республика </t>
  </si>
  <si>
    <t xml:space="preserve">Пермский край </t>
  </si>
  <si>
    <t>Кировская область</t>
  </si>
  <si>
    <t xml:space="preserve">Нижегородская область </t>
  </si>
  <si>
    <t>Оренбургская область</t>
  </si>
  <si>
    <t xml:space="preserve">Пензенская область </t>
  </si>
  <si>
    <t>Самарская область</t>
  </si>
  <si>
    <t>Саратовская область</t>
  </si>
  <si>
    <t>Ульяновская область</t>
  </si>
  <si>
    <t>Курганская область</t>
  </si>
  <si>
    <t>Свердловская область</t>
  </si>
  <si>
    <t xml:space="preserve">    Ханты-Мансийский авт.округ</t>
  </si>
  <si>
    <t xml:space="preserve">    Ямало-Ненецкий авт.округ</t>
  </si>
  <si>
    <t>Тюменская область (без авт.округов)</t>
  </si>
  <si>
    <t>Челябинская область</t>
  </si>
  <si>
    <t>Республика Алтай</t>
  </si>
  <si>
    <t>Республика Тыва</t>
  </si>
  <si>
    <t>Республика Хакасия</t>
  </si>
  <si>
    <t>Алтайский край</t>
  </si>
  <si>
    <t xml:space="preserve">Красноярский край   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</si>
  <si>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</si>
  <si>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</si>
  <si>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</si>
  <si>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</si>
  <si>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</si>
  <si>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Республика Бурятия</t>
  </si>
  <si>
    <t>Республика Саха (Якутия)</t>
  </si>
  <si>
    <t>Забайкальский край</t>
  </si>
  <si>
    <t xml:space="preserve">Камчатский край   </t>
  </si>
  <si>
    <t>Приморский край</t>
  </si>
  <si>
    <t xml:space="preserve">Хабаровский край </t>
  </si>
  <si>
    <t>Амурская область</t>
  </si>
  <si>
    <t xml:space="preserve">Магаданская область </t>
  </si>
  <si>
    <t xml:space="preserve">Сахалинская область   </t>
  </si>
  <si>
    <t>Еврейская  авт.область</t>
  </si>
  <si>
    <t>Чукотский  авт.округ</t>
  </si>
  <si>
    <t>Категория</t>
  </si>
  <si>
    <t>Студент</t>
  </si>
  <si>
    <t>Махов</t>
  </si>
  <si>
    <t>Полынов</t>
  </si>
  <si>
    <t>Характерова</t>
  </si>
  <si>
    <t>Бысов</t>
  </si>
  <si>
    <t>Яковцов</t>
  </si>
  <si>
    <t>Минаева</t>
  </si>
  <si>
    <t>Воликова</t>
  </si>
  <si>
    <t>Карманова</t>
  </si>
  <si>
    <t>Бояринов</t>
  </si>
  <si>
    <t>Яценко</t>
  </si>
  <si>
    <t>Эльмпта</t>
  </si>
  <si>
    <t>Пустохин</t>
  </si>
  <si>
    <t>Месяц</t>
  </si>
  <si>
    <t>План</t>
  </si>
  <si>
    <t>Факт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</si>
  <si>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</si>
  <si>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</si>
  <si>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</si>
  <si>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</si>
  <si>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</si>
  <si>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</si>
  <si>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</si>
  <si>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</si>
  <si>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</si>
  <si>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</si>
  <si>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</si>
  <si>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</si>
  <si>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Книга</t>
  </si>
  <si>
    <t>«Властелин колец» — Джон Р. Р. Толкин</t>
  </si>
  <si>
    <t>«Гордость и предубеждение» — Джейн Остин</t>
  </si>
  <si>
    <t>«Тёмные начала» — Филип Пулман</t>
  </si>
  <si>
    <t>«Автостопом по галактике» — Дуглас Адамс</t>
  </si>
  <si>
    <t>«Гарри Поттер и Кубок огня» — Джоан Роулинг</t>
  </si>
  <si>
    <t>«Убить пересмешника» — Харпер Ли</t>
  </si>
  <si>
    <t>«Винни Пух» — Алан Александр Милн</t>
  </si>
  <si>
    <t>«1984» — Джордж Оруэлл</t>
  </si>
  <si>
    <t>«Лев, колдунья и платяной шкаф» — Клайв Стэйплз Льюис</t>
  </si>
  <si>
    <t>«Джейн Эйр» — Шарлотта Бронте</t>
  </si>
  <si>
    <t>«Уловка-22» — Джозеф Хеллер</t>
  </si>
  <si>
    <t>«Грозовой перевал» — Эмили Бронте</t>
  </si>
  <si>
    <t>«Пение птиц» — Себастьян Фолкс</t>
  </si>
  <si>
    <t>«Ребекка» — Дафна Дюморье</t>
  </si>
  <si>
    <t>«Над пропастью во ржи» — Джером Сэлинджер</t>
  </si>
  <si>
    <t>«Ветер в ивах» — Кеннет Грэм</t>
  </si>
  <si>
    <t>«Большие надежды» — Чарльз Диккенс</t>
  </si>
  <si>
    <t>«Маленькие женщины» — Луиза Мэй Олкотт</t>
  </si>
  <si>
    <t>«Мандолина капитана Корелли» — Луи де Берньер</t>
  </si>
  <si>
    <t>«Война и мир» — Лев Толстой</t>
  </si>
  <si>
    <t>«Унесённые ветром» — Маргарет Митчелл</t>
  </si>
  <si>
    <t>«Гарри Поттер и философский камень» — Джоан Роулинг</t>
  </si>
  <si>
    <t>«Гарри Поттер и Тайная комната» — Джоан Роулинг</t>
  </si>
  <si>
    <t>«Гарри Поттер и узник Азкабана» — Джоан Роулинг</t>
  </si>
  <si>
    <t>«Хоббит, или Туда и обратно» — Джон Р. Р. Толкин</t>
  </si>
  <si>
    <t>«Тэсс из рода д’Эрбервиллей» — Томас Харди</t>
  </si>
  <si>
    <t>«Миддлмарч» — Джордж Элиот</t>
  </si>
  <si>
    <t>«Молитва об Оуэне Мини» — Джон Ирвинг</t>
  </si>
  <si>
    <t>«Гроздья гнева» — Джон Стейнбек</t>
  </si>
  <si>
    <t>Специалист</t>
  </si>
  <si>
    <t>Ставка</t>
  </si>
  <si>
    <t>Количество часов</t>
  </si>
  <si>
    <t>Фикс</t>
  </si>
  <si>
    <t>Бугакова</t>
  </si>
  <si>
    <t>Перевёртов</t>
  </si>
  <si>
    <t>Садовничий</t>
  </si>
  <si>
    <t>Палагута</t>
  </si>
  <si>
    <t>Тукай</t>
  </si>
  <si>
    <t>Янькова</t>
  </si>
  <si>
    <t>Кошелькова</t>
  </si>
  <si>
    <t>Ярыкина</t>
  </si>
  <si>
    <t>Витвинин</t>
  </si>
  <si>
    <t>Мясникова</t>
  </si>
  <si>
    <t>Буриличева</t>
  </si>
  <si>
    <t>Газинский</t>
  </si>
  <si>
    <t>Карчагина</t>
  </si>
  <si>
    <t>Кузуба</t>
  </si>
  <si>
    <t>Подколодный</t>
  </si>
  <si>
    <t>Мухова</t>
  </si>
  <si>
    <t>Жмылев</t>
  </si>
  <si>
    <t>Карамышев</t>
  </si>
  <si>
    <t>Веретёнова</t>
  </si>
  <si>
    <t>Янко</t>
  </si>
  <si>
    <t>Крылаева</t>
  </si>
  <si>
    <t>Яцков</t>
  </si>
  <si>
    <t>Фокин</t>
  </si>
  <si>
    <t>Цветкова</t>
  </si>
  <si>
    <t>Белоусов</t>
  </si>
  <si>
    <t>Тимашева</t>
  </si>
  <si>
    <t>Большова</t>
  </si>
  <si>
    <t>Копорикова</t>
  </si>
  <si>
    <t>Нечаев</t>
  </si>
  <si>
    <t>Тарин</t>
  </si>
  <si>
    <t>Митасов</t>
  </si>
  <si>
    <t>Красильников</t>
  </si>
  <si>
    <t>Пустохина</t>
  </si>
  <si>
    <t>Кузьмина</t>
  </si>
  <si>
    <t>Марьин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</si>
</sst>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5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b/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2" borderId="0" applyNumberFormat="0" applyBorder="0" applyAlignment="0" applyProtection="0"/>
  </cellStyleXfs>
  <cellXfs count="21">
    <xf numFmtId="0" fontId="0" fillId="0" borderId="0" xfId="0"/>
    <xf numFmtId="0" fontId="4" fillId="2" borderId="0" xfId="4" applyAlignment="1">
      <alignment horizontal="center"/>
    </xf>
    <xf numFmtId="0" fontId="6" fillId="3" borderId="3" xfId="0" applyFont="1" applyFill="1" applyBorder="1" applyAlignment="1">
      <alignment wrapText="1"/>
    </xf>
    <xf numFmtId="0" fontId="7" fillId="3" borderId="4" xfId="0" applyFont="1" applyFill="1" applyBorder="1" applyAlignment="1">
      <alignment wrapText="1"/>
    </xf>
    <xf numFmtId="0" fontId="9" fillId="3" borderId="6" xfId="0" applyFont="1" applyFill="1" applyBorder="1"/>
    <xf numFmtId="164" fontId="10" fillId="3" borderId="6" xfId="1" applyNumberFormat="1" applyFont="1" applyFill="1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1" xfId="2" applyAlignment="1">
      <alignment horizontal="center" vertical="center"/>
    </xf>
    <xf numFmtId="3" fontId="0" fillId="0" borderId="0" xfId="0" applyNumberFormat="1" applyAlignment="1">
      <alignment horizontal="center"/>
    </xf>
    <xf numFmtId="3" fontId="0" fillId="0" borderId="0" xfId="0" applyNumberFormat="1"/>
    <xf numFmtId="0" fontId="3" fillId="0" borderId="2" xfId="3" applyAlignment="1">
      <alignment horizontal="center"/>
    </xf>
    <xf numFmtId="0" fontId="11" fillId="0" borderId="0" xfId="0" applyFont="1"/>
    <xf numFmtId="0" fontId="3" fillId="0" borderId="2" xfId="3"/>
    <xf numFmtId="164" fontId="0" fillId="0" borderId="0" xfId="1" applyNumberFormat="1" applyFont="1"/>
    <xf numFmtId="0" fontId="8" fillId="4" borderId="5" xfId="0" applyFont="1" applyFill="1" applyBorder="1" applyAlignment="1">
      <alignment horizontal="center"/>
    </xf>
    <xf numFmtId="0" fontId="8" fillId="4" borderId="7" xfId="0" applyFont="1" applyFill="1" applyBorder="1" applyAlignment="1">
      <alignment horizontal="center"/>
    </xf>
    <xf numFmtId="0" fontId="8" fillId="4" borderId="8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 vertical="center" wrapText="1"/>
    </xf>
  </cellXfs>
  <cellStyles count="5">
    <cellStyle name="Заголовок 1" xfId="2" builtinId="16"/>
    <cellStyle name="Заголовок 3" xfId="3" builtinId="18"/>
    <cellStyle name="Обычный" xfId="0" builtinId="0"/>
    <cellStyle name="Финансовый" xfId="1" builtinId="3"/>
    <cellStyle name="Хороший" xfId="4" builtinId="26"/>
  </cellStyles>
  <dxfs count="4"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border outline="0">
        <bottom style="medium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85A654-19CB-4816-9578-C53177379E8F}" name="Таблица1" displayName="Таблица1" ref="A1:D36" totalsRowShown="0" headerRowBorderDxfId="3" headerRowCellStyle="Хороший">
  <autoFilter ref="A1:D36" xr:uid="{BD9255FD-DAA9-4C5D-B64B-7592DF7798BC}"/>
  <tableColumns count="4">
    <tableColumn id="1" xr3:uid="{42E4494C-B76E-46EA-BFEC-F90DB23C7857}" name="Специалист"/>
    <tableColumn id="2" xr3:uid="{B39A9E20-87C8-40EE-9AF6-5D19605894F0}" name="Ставка" dataDxfId="2" dataCellStyle="Финансовый"/>
    <tableColumn id="3" xr3:uid="{E6440FF3-9D6C-4FF1-9587-5A8FA5D7CBE2}" name="Количество часов" dataDxfId="1" dataCellStyle="Финансовый"/>
    <tableColumn id="4" xr3:uid="{5AAE900A-27B6-4E3F-B441-AC9B7C4D9979}" name="Фикс" dataDxfId="0" dataCellStyle="Финансовый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27288-2A76-4EF3-BABB-947EA051510B}">
  <dimension ref="A1:K11"/>
  <sheetViews>
    <sheetView zoomScale="115" zoomScaleNormal="115" workbookViewId="0">
      <selection activeCell="I10" sqref="I10"/>
    </sheetView>
  </sheetViews>
  <sheetFormatPr defaultRowHeight="14.4" x14ac:dyDescent="0.55000000000000004"/>
  <sheetData>
    <row r="1" spans="1:11" x14ac:dyDescent="0.55000000000000004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55000000000000004">
      <c r="A2" s="1">
        <v>1</v>
      </c>
      <c r="B2">
        <f t="array" ref="B2:K11">B1:K1*A2:A11</f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</row>
    <row r="3" spans="1:11" x14ac:dyDescent="0.55000000000000004">
      <c r="A3" s="1">
        <v>2</v>
      </c>
      <c r="B3">
        <v>2</v>
      </c>
      <c r="C3">
        <v>4</v>
      </c>
      <c r="D3">
        <v>6</v>
      </c>
      <c r="E3">
        <v>8</v>
      </c>
      <c r="F3">
        <v>10</v>
      </c>
      <c r="G3">
        <v>12</v>
      </c>
      <c r="H3">
        <v>14</v>
      </c>
      <c r="I3">
        <v>16</v>
      </c>
      <c r="J3">
        <v>18</v>
      </c>
      <c r="K3">
        <v>20</v>
      </c>
    </row>
    <row r="4" spans="1:11" x14ac:dyDescent="0.55000000000000004">
      <c r="A4" s="1">
        <v>3</v>
      </c>
      <c r="B4">
        <v>3</v>
      </c>
      <c r="C4">
        <v>6</v>
      </c>
      <c r="D4">
        <v>9</v>
      </c>
      <c r="E4">
        <v>12</v>
      </c>
      <c r="F4">
        <v>15</v>
      </c>
      <c r="G4">
        <v>18</v>
      </c>
      <c r="H4">
        <v>21</v>
      </c>
      <c r="I4">
        <v>24</v>
      </c>
      <c r="J4">
        <v>27</v>
      </c>
      <c r="K4">
        <v>30</v>
      </c>
    </row>
    <row r="5" spans="1:11" x14ac:dyDescent="0.55000000000000004">
      <c r="A5" s="1">
        <v>4</v>
      </c>
      <c r="B5">
        <v>4</v>
      </c>
      <c r="C5">
        <v>8</v>
      </c>
      <c r="D5">
        <v>12</v>
      </c>
      <c r="E5">
        <v>16</v>
      </c>
      <c r="F5">
        <v>20</v>
      </c>
      <c r="G5">
        <v>24</v>
      </c>
      <c r="H5">
        <v>28</v>
      </c>
      <c r="I5">
        <v>32</v>
      </c>
      <c r="J5">
        <v>36</v>
      </c>
      <c r="K5">
        <v>40</v>
      </c>
    </row>
    <row r="6" spans="1:11" x14ac:dyDescent="0.55000000000000004">
      <c r="A6" s="1">
        <v>5</v>
      </c>
      <c r="B6">
        <v>5</v>
      </c>
      <c r="C6">
        <v>10</v>
      </c>
      <c r="D6">
        <v>15</v>
      </c>
      <c r="E6">
        <v>20</v>
      </c>
      <c r="F6">
        <v>25</v>
      </c>
      <c r="G6">
        <v>30</v>
      </c>
      <c r="H6">
        <v>35</v>
      </c>
      <c r="I6">
        <v>40</v>
      </c>
      <c r="J6">
        <v>45</v>
      </c>
      <c r="K6">
        <v>50</v>
      </c>
    </row>
    <row r="7" spans="1:11" x14ac:dyDescent="0.55000000000000004">
      <c r="A7" s="1">
        <v>6</v>
      </c>
      <c r="B7">
        <v>6</v>
      </c>
      <c r="C7">
        <v>12</v>
      </c>
      <c r="D7">
        <v>18</v>
      </c>
      <c r="E7">
        <v>24</v>
      </c>
      <c r="F7">
        <v>30</v>
      </c>
      <c r="G7">
        <v>36</v>
      </c>
      <c r="H7">
        <v>42</v>
      </c>
      <c r="I7">
        <v>48</v>
      </c>
      <c r="J7">
        <v>54</v>
      </c>
      <c r="K7">
        <v>60</v>
      </c>
    </row>
    <row r="8" spans="1:11" x14ac:dyDescent="0.55000000000000004">
      <c r="A8" s="1">
        <v>7</v>
      </c>
      <c r="B8">
        <v>7</v>
      </c>
      <c r="C8">
        <v>14</v>
      </c>
      <c r="D8">
        <v>21</v>
      </c>
      <c r="E8">
        <v>28</v>
      </c>
      <c r="F8">
        <v>35</v>
      </c>
      <c r="G8">
        <v>42</v>
      </c>
      <c r="H8">
        <v>49</v>
      </c>
      <c r="I8">
        <v>56</v>
      </c>
      <c r="J8">
        <v>63</v>
      </c>
      <c r="K8">
        <v>70</v>
      </c>
    </row>
    <row r="9" spans="1:11" x14ac:dyDescent="0.55000000000000004">
      <c r="A9" s="1">
        <v>8</v>
      </c>
      <c r="B9">
        <v>8</v>
      </c>
      <c r="C9">
        <v>16</v>
      </c>
      <c r="D9">
        <v>24</v>
      </c>
      <c r="E9">
        <v>32</v>
      </c>
      <c r="F9">
        <v>40</v>
      </c>
      <c r="G9">
        <v>48</v>
      </c>
      <c r="H9">
        <v>56</v>
      </c>
      <c r="I9">
        <v>64</v>
      </c>
      <c r="J9">
        <v>72</v>
      </c>
      <c r="K9">
        <v>80</v>
      </c>
    </row>
    <row r="10" spans="1:11" x14ac:dyDescent="0.55000000000000004">
      <c r="A10" s="1">
        <v>9</v>
      </c>
      <c r="B10">
        <v>9</v>
      </c>
      <c r="C10">
        <v>18</v>
      </c>
      <c r="D10">
        <v>27</v>
      </c>
      <c r="E10">
        <v>36</v>
      </c>
      <c r="F10">
        <v>45</v>
      </c>
      <c r="G10">
        <v>54</v>
      </c>
      <c r="H10">
        <v>63</v>
      </c>
      <c r="I10">
        <v>72</v>
      </c>
      <c r="J10">
        <v>81</v>
      </c>
      <c r="K10">
        <v>90</v>
      </c>
    </row>
    <row r="11" spans="1:11" x14ac:dyDescent="0.55000000000000004">
      <c r="A11" s="1">
        <v>10</v>
      </c>
      <c r="B11">
        <v>10</v>
      </c>
      <c r="C11">
        <v>20</v>
      </c>
      <c r="D11">
        <v>30</v>
      </c>
      <c r="E11">
        <v>40</v>
      </c>
      <c r="F11">
        <v>50</v>
      </c>
      <c r="G11">
        <v>60</v>
      </c>
      <c r="H11">
        <v>70</v>
      </c>
      <c r="I11">
        <v>80</v>
      </c>
      <c r="J11">
        <v>90</v>
      </c>
      <c r="K11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50523-2502-47D6-BA7E-09982266684B}">
  <dimension ref="A1:F36"/>
  <sheetViews>
    <sheetView workbookViewId="0">
      <pane ySplit="1" topLeftCell="A2" activePane="bottomLeft" state="frozen"/>
      <selection pane="bottomLeft" activeCell="F3" sqref="F3"/>
    </sheetView>
  </sheetViews>
  <sheetFormatPr defaultRowHeight="14.4" x14ac:dyDescent="0.55000000000000004"/>
  <cols>
    <col min="1" max="1" width="14" bestFit="1" customWidth="1"/>
    <col min="2" max="2" width="8.47265625" bestFit="1" customWidth="1"/>
    <col min="3" max="3" width="17.7890625" bestFit="1" customWidth="1"/>
    <col min="4" max="4" width="7.26171875" bestFit="1" customWidth="1"/>
    <col min="6" max="6" width="12.83984375" bestFit="1" customWidth="1"/>
  </cols>
  <sheetData>
    <row r="1" spans="1:6" ht="14.7" thickBot="1" x14ac:dyDescent="0.6">
      <c r="A1" s="15" t="s">
        <v>147</v>
      </c>
      <c r="B1" s="15" t="s">
        <v>148</v>
      </c>
      <c r="C1" s="15" t="s">
        <v>149</v>
      </c>
      <c r="D1" s="15" t="s">
        <v>150</v>
      </c>
    </row>
    <row r="2" spans="1:6" x14ac:dyDescent="0.55000000000000004">
      <c r="A2" t="s">
        <v>151</v>
      </c>
      <c r="B2" s="16">
        <v>1600</v>
      </c>
      <c r="C2" s="16">
        <v>9</v>
      </c>
      <c r="D2" s="16">
        <v>28000</v>
      </c>
    </row>
    <row r="3" spans="1:6" x14ac:dyDescent="0.55000000000000004">
      <c r="A3" t="s">
        <v>152</v>
      </c>
      <c r="B3" s="16">
        <v>1600</v>
      </c>
      <c r="C3" s="16">
        <v>6</v>
      </c>
      <c r="D3" s="16">
        <v>13000</v>
      </c>
      <c r="F3" s="16">
        <f t="array" ref="F3">SUM(Таблица1[Ставка]*Таблица1[Количество часов]+Таблица1[Фикс])</f>
        <v>1180400</v>
      </c>
    </row>
    <row r="4" spans="1:6" x14ac:dyDescent="0.55000000000000004">
      <c r="A4" t="s">
        <v>153</v>
      </c>
      <c r="B4" s="16">
        <v>1200</v>
      </c>
      <c r="C4" s="16">
        <v>20</v>
      </c>
      <c r="D4" s="16">
        <v>14000</v>
      </c>
      <c r="F4" s="16"/>
    </row>
    <row r="5" spans="1:6" x14ac:dyDescent="0.55000000000000004">
      <c r="A5" t="s">
        <v>154</v>
      </c>
      <c r="B5" s="16">
        <v>1600</v>
      </c>
      <c r="C5" s="16">
        <v>10</v>
      </c>
      <c r="D5" s="16">
        <v>16000</v>
      </c>
    </row>
    <row r="6" spans="1:6" x14ac:dyDescent="0.55000000000000004">
      <c r="A6" t="s">
        <v>155</v>
      </c>
      <c r="B6" s="16">
        <v>1600</v>
      </c>
      <c r="C6" s="16">
        <v>27</v>
      </c>
      <c r="D6" s="16">
        <v>13000</v>
      </c>
    </row>
    <row r="7" spans="1:6" x14ac:dyDescent="0.55000000000000004">
      <c r="A7" t="s">
        <v>156</v>
      </c>
      <c r="B7" s="16">
        <v>400</v>
      </c>
      <c r="C7" s="16">
        <v>12</v>
      </c>
      <c r="D7" s="16">
        <v>25000</v>
      </c>
    </row>
    <row r="8" spans="1:6" x14ac:dyDescent="0.55000000000000004">
      <c r="A8" t="s">
        <v>157</v>
      </c>
      <c r="B8" s="16">
        <v>1200</v>
      </c>
      <c r="C8" s="16">
        <v>3</v>
      </c>
      <c r="D8" s="16">
        <v>27000</v>
      </c>
    </row>
    <row r="9" spans="1:6" x14ac:dyDescent="0.55000000000000004">
      <c r="A9" t="s">
        <v>158</v>
      </c>
      <c r="B9" s="16">
        <v>800</v>
      </c>
      <c r="C9" s="16">
        <v>6</v>
      </c>
      <c r="D9" s="16">
        <v>12000</v>
      </c>
    </row>
    <row r="10" spans="1:6" x14ac:dyDescent="0.55000000000000004">
      <c r="A10" t="s">
        <v>159</v>
      </c>
      <c r="B10" s="16">
        <v>1600</v>
      </c>
      <c r="C10" s="16">
        <v>3</v>
      </c>
      <c r="D10" s="16">
        <v>19000</v>
      </c>
    </row>
    <row r="11" spans="1:6" x14ac:dyDescent="0.55000000000000004">
      <c r="A11" t="s">
        <v>160</v>
      </c>
      <c r="B11" s="16">
        <v>800</v>
      </c>
      <c r="C11" s="16">
        <v>26</v>
      </c>
      <c r="D11" s="16">
        <v>18000</v>
      </c>
    </row>
    <row r="12" spans="1:6" x14ac:dyDescent="0.55000000000000004">
      <c r="A12" t="s">
        <v>161</v>
      </c>
      <c r="B12" s="16">
        <v>800</v>
      </c>
      <c r="C12" s="16">
        <v>28</v>
      </c>
      <c r="D12" s="16">
        <v>11000</v>
      </c>
    </row>
    <row r="13" spans="1:6" x14ac:dyDescent="0.55000000000000004">
      <c r="A13" t="s">
        <v>162</v>
      </c>
      <c r="B13" s="16">
        <v>400</v>
      </c>
      <c r="C13" s="16">
        <v>22</v>
      </c>
      <c r="D13" s="16">
        <v>17000</v>
      </c>
    </row>
    <row r="14" spans="1:6" x14ac:dyDescent="0.55000000000000004">
      <c r="A14" t="s">
        <v>163</v>
      </c>
      <c r="B14" s="16">
        <v>400</v>
      </c>
      <c r="C14" s="16">
        <v>5</v>
      </c>
      <c r="D14" s="16">
        <v>14000</v>
      </c>
    </row>
    <row r="15" spans="1:6" x14ac:dyDescent="0.55000000000000004">
      <c r="A15" t="s">
        <v>164</v>
      </c>
      <c r="B15" s="16">
        <v>1200</v>
      </c>
      <c r="C15" s="16">
        <v>12</v>
      </c>
      <c r="D15" s="16">
        <v>13000</v>
      </c>
    </row>
    <row r="16" spans="1:6" x14ac:dyDescent="0.55000000000000004">
      <c r="A16" t="s">
        <v>165</v>
      </c>
      <c r="B16" s="16">
        <v>1200</v>
      </c>
      <c r="C16" s="16">
        <v>28</v>
      </c>
      <c r="D16" s="16">
        <v>24000</v>
      </c>
    </row>
    <row r="17" spans="1:4" x14ac:dyDescent="0.55000000000000004">
      <c r="A17" t="s">
        <v>166</v>
      </c>
      <c r="B17" s="16">
        <v>1200</v>
      </c>
      <c r="C17" s="16">
        <v>6</v>
      </c>
      <c r="D17" s="16">
        <v>17000</v>
      </c>
    </row>
    <row r="18" spans="1:4" x14ac:dyDescent="0.55000000000000004">
      <c r="A18" t="s">
        <v>167</v>
      </c>
      <c r="B18" s="16">
        <v>400</v>
      </c>
      <c r="C18" s="16">
        <v>5</v>
      </c>
      <c r="D18" s="16">
        <v>12000</v>
      </c>
    </row>
    <row r="19" spans="1:4" x14ac:dyDescent="0.55000000000000004">
      <c r="A19" t="s">
        <v>168</v>
      </c>
      <c r="B19" s="16">
        <v>800</v>
      </c>
      <c r="C19" s="16">
        <v>12</v>
      </c>
      <c r="D19" s="16">
        <v>21000</v>
      </c>
    </row>
    <row r="20" spans="1:4" x14ac:dyDescent="0.55000000000000004">
      <c r="A20" t="s">
        <v>169</v>
      </c>
      <c r="B20" s="16">
        <v>800</v>
      </c>
      <c r="C20" s="16">
        <v>25</v>
      </c>
      <c r="D20" s="16">
        <v>23000</v>
      </c>
    </row>
    <row r="21" spans="1:4" x14ac:dyDescent="0.55000000000000004">
      <c r="A21" t="s">
        <v>170</v>
      </c>
      <c r="B21" s="16">
        <v>400</v>
      </c>
      <c r="C21" s="16">
        <v>27</v>
      </c>
      <c r="D21" s="16">
        <v>17000</v>
      </c>
    </row>
    <row r="22" spans="1:4" x14ac:dyDescent="0.55000000000000004">
      <c r="A22" t="s">
        <v>171</v>
      </c>
      <c r="B22" s="16">
        <v>800</v>
      </c>
      <c r="C22" s="16">
        <v>11</v>
      </c>
      <c r="D22" s="16">
        <v>25000</v>
      </c>
    </row>
    <row r="23" spans="1:4" x14ac:dyDescent="0.55000000000000004">
      <c r="A23" t="s">
        <v>172</v>
      </c>
      <c r="B23" s="16">
        <v>1200</v>
      </c>
      <c r="C23" s="16">
        <v>10</v>
      </c>
      <c r="D23" s="16">
        <v>18000</v>
      </c>
    </row>
    <row r="24" spans="1:4" x14ac:dyDescent="0.55000000000000004">
      <c r="A24" t="s">
        <v>173</v>
      </c>
      <c r="B24" s="16">
        <v>1200</v>
      </c>
      <c r="C24" s="16">
        <v>26</v>
      </c>
      <c r="D24" s="16">
        <v>23000</v>
      </c>
    </row>
    <row r="25" spans="1:4" x14ac:dyDescent="0.55000000000000004">
      <c r="A25" t="s">
        <v>174</v>
      </c>
      <c r="B25" s="16">
        <v>1200</v>
      </c>
      <c r="C25" s="16">
        <v>9</v>
      </c>
      <c r="D25" s="16">
        <v>21000</v>
      </c>
    </row>
    <row r="26" spans="1:4" x14ac:dyDescent="0.55000000000000004">
      <c r="A26" t="s">
        <v>175</v>
      </c>
      <c r="B26" s="16">
        <v>1600</v>
      </c>
      <c r="C26" s="16">
        <v>7</v>
      </c>
      <c r="D26" s="16">
        <v>26000</v>
      </c>
    </row>
    <row r="27" spans="1:4" x14ac:dyDescent="0.55000000000000004">
      <c r="A27" t="s">
        <v>176</v>
      </c>
      <c r="B27" s="16">
        <v>1600</v>
      </c>
      <c r="C27" s="16">
        <v>7</v>
      </c>
      <c r="D27" s="16">
        <v>23000</v>
      </c>
    </row>
    <row r="28" spans="1:4" x14ac:dyDescent="0.55000000000000004">
      <c r="A28" t="s">
        <v>177</v>
      </c>
      <c r="B28" s="16">
        <v>400</v>
      </c>
      <c r="C28" s="16">
        <v>10</v>
      </c>
      <c r="D28" s="16">
        <v>13000</v>
      </c>
    </row>
    <row r="29" spans="1:4" x14ac:dyDescent="0.55000000000000004">
      <c r="A29" t="s">
        <v>178</v>
      </c>
      <c r="B29" s="16">
        <v>800</v>
      </c>
      <c r="C29" s="16">
        <v>20</v>
      </c>
      <c r="D29" s="16">
        <v>30000</v>
      </c>
    </row>
    <row r="30" spans="1:4" x14ac:dyDescent="0.55000000000000004">
      <c r="A30" t="s">
        <v>179</v>
      </c>
      <c r="B30" s="16">
        <v>1600</v>
      </c>
      <c r="C30" s="16">
        <v>27</v>
      </c>
      <c r="D30" s="16">
        <v>25000</v>
      </c>
    </row>
    <row r="31" spans="1:4" x14ac:dyDescent="0.55000000000000004">
      <c r="A31" t="s">
        <v>180</v>
      </c>
      <c r="B31" s="16">
        <v>800</v>
      </c>
      <c r="C31" s="16">
        <v>12</v>
      </c>
      <c r="D31" s="16">
        <v>29000</v>
      </c>
    </row>
    <row r="32" spans="1:4" x14ac:dyDescent="0.55000000000000004">
      <c r="A32" t="s">
        <v>181</v>
      </c>
      <c r="B32" s="16">
        <v>800</v>
      </c>
      <c r="C32" s="16">
        <v>13</v>
      </c>
      <c r="D32" s="16">
        <v>19000</v>
      </c>
    </row>
    <row r="33" spans="1:4" x14ac:dyDescent="0.55000000000000004">
      <c r="A33" t="s">
        <v>182</v>
      </c>
      <c r="B33" s="16">
        <v>800</v>
      </c>
      <c r="C33" s="16">
        <v>11</v>
      </c>
      <c r="D33" s="16">
        <v>23000</v>
      </c>
    </row>
    <row r="34" spans="1:4" x14ac:dyDescent="0.55000000000000004">
      <c r="A34" t="s">
        <v>183</v>
      </c>
      <c r="B34" s="16">
        <v>1200</v>
      </c>
      <c r="C34" s="16">
        <v>23</v>
      </c>
      <c r="D34" s="16">
        <v>18000</v>
      </c>
    </row>
    <row r="35" spans="1:4" x14ac:dyDescent="0.55000000000000004">
      <c r="A35" t="s">
        <v>184</v>
      </c>
      <c r="B35" s="16">
        <v>800</v>
      </c>
      <c r="C35" s="16">
        <v>4</v>
      </c>
      <c r="D35" s="16">
        <v>10000</v>
      </c>
    </row>
    <row r="36" spans="1:4" x14ac:dyDescent="0.55000000000000004">
      <c r="A36" t="s">
        <v>185</v>
      </c>
      <c r="B36" s="16">
        <v>1600</v>
      </c>
      <c r="C36" s="16">
        <v>6</v>
      </c>
      <c r="D36" s="16">
        <v>29000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A711F-785F-4B35-A5EB-13A7592F4867}">
  <dimension ref="A1:E17"/>
  <sheetViews>
    <sheetView zoomScale="130" zoomScaleNormal="130" workbookViewId="0">
      <selection activeCell="E14" sqref="E14"/>
    </sheetView>
  </sheetViews>
  <sheetFormatPr defaultRowHeight="14.4" x14ac:dyDescent="0.55000000000000004"/>
  <cols>
    <col min="1" max="1" width="9.578125" bestFit="1" customWidth="1"/>
  </cols>
  <sheetData>
    <row r="1" spans="1:5" ht="19.5" thickBot="1" x14ac:dyDescent="0.6">
      <c r="A1" s="10" t="s">
        <v>102</v>
      </c>
      <c r="B1" s="10" t="s">
        <v>103</v>
      </c>
      <c r="C1" s="10" t="s">
        <v>104</v>
      </c>
    </row>
    <row r="2" spans="1:5" ht="14.7" thickTop="1" x14ac:dyDescent="0.55000000000000004">
      <c r="A2" t="s">
        <v>105</v>
      </c>
      <c r="B2" s="11">
        <v>20000</v>
      </c>
      <c r="C2" s="11">
        <v>22834</v>
      </c>
      <c r="D2" s="12"/>
    </row>
    <row r="3" spans="1:5" x14ac:dyDescent="0.55000000000000004">
      <c r="A3" t="s">
        <v>106</v>
      </c>
      <c r="B3" s="11">
        <v>20000</v>
      </c>
      <c r="C3" s="11">
        <v>20897</v>
      </c>
      <c r="D3" s="12"/>
    </row>
    <row r="4" spans="1:5" x14ac:dyDescent="0.55000000000000004">
      <c r="A4" t="s">
        <v>107</v>
      </c>
      <c r="B4" s="11">
        <v>25000</v>
      </c>
      <c r="C4" s="11">
        <v>21177</v>
      </c>
      <c r="D4" s="12"/>
    </row>
    <row r="5" spans="1:5" x14ac:dyDescent="0.55000000000000004">
      <c r="A5" t="s">
        <v>108</v>
      </c>
      <c r="B5" s="11">
        <v>30000</v>
      </c>
      <c r="C5" s="11">
        <v>28610</v>
      </c>
      <c r="D5" s="12"/>
    </row>
    <row r="6" spans="1:5" x14ac:dyDescent="0.55000000000000004">
      <c r="A6" t="s">
        <v>109</v>
      </c>
      <c r="B6" s="11">
        <v>30000</v>
      </c>
      <c r="C6" s="11">
        <v>29355</v>
      </c>
      <c r="D6" s="12"/>
    </row>
    <row r="7" spans="1:5" x14ac:dyDescent="0.55000000000000004">
      <c r="A7" t="s">
        <v>110</v>
      </c>
      <c r="B7" s="11">
        <v>25000</v>
      </c>
      <c r="C7" s="11">
        <v>22589</v>
      </c>
      <c r="D7" s="12"/>
    </row>
    <row r="8" spans="1:5" x14ac:dyDescent="0.55000000000000004">
      <c r="A8" t="s">
        <v>111</v>
      </c>
      <c r="B8" s="11">
        <v>25000</v>
      </c>
      <c r="C8" s="11">
        <v>28084</v>
      </c>
      <c r="D8" s="12"/>
    </row>
    <row r="9" spans="1:5" x14ac:dyDescent="0.55000000000000004">
      <c r="A9" t="s">
        <v>112</v>
      </c>
      <c r="B9" s="11">
        <v>30000</v>
      </c>
      <c r="C9" s="11">
        <v>31857</v>
      </c>
      <c r="D9" s="12"/>
    </row>
    <row r="10" spans="1:5" x14ac:dyDescent="0.55000000000000004">
      <c r="A10" t="s">
        <v>113</v>
      </c>
      <c r="B10" s="11">
        <v>45000</v>
      </c>
      <c r="C10" s="11">
        <v>43288</v>
      </c>
      <c r="D10" s="12"/>
    </row>
    <row r="11" spans="1:5" x14ac:dyDescent="0.55000000000000004">
      <c r="A11" t="s">
        <v>114</v>
      </c>
      <c r="B11" s="11">
        <v>45000</v>
      </c>
      <c r="C11" s="11">
        <v>48352</v>
      </c>
      <c r="D11" s="12"/>
    </row>
    <row r="12" spans="1:5" x14ac:dyDescent="0.55000000000000004">
      <c r="A12" t="s">
        <v>115</v>
      </c>
      <c r="B12" s="11">
        <v>50000</v>
      </c>
      <c r="C12" s="11">
        <v>53224</v>
      </c>
      <c r="D12" s="12"/>
    </row>
    <row r="13" spans="1:5" x14ac:dyDescent="0.55000000000000004">
      <c r="A13" t="s">
        <v>116</v>
      </c>
      <c r="B13" s="11">
        <v>40000</v>
      </c>
      <c r="C13" s="11">
        <v>38485</v>
      </c>
      <c r="D13" s="12"/>
    </row>
    <row r="14" spans="1:5" x14ac:dyDescent="0.55000000000000004">
      <c r="D14" s="12"/>
      <c r="E14" s="12"/>
    </row>
    <row r="17" spans="4:4" x14ac:dyDescent="0.55000000000000004">
      <c r="D17">
        <f t="array" ref="D17">MAX(C2:C13-B2:B13)</f>
        <v>3352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E75FB-AF99-4D72-A45C-B52D33BDD347}">
  <dimension ref="A1:D30"/>
  <sheetViews>
    <sheetView workbookViewId="0">
      <selection activeCell="D2" sqref="D2"/>
    </sheetView>
  </sheetViews>
  <sheetFormatPr defaultRowHeight="14.4" x14ac:dyDescent="0.55000000000000004"/>
  <cols>
    <col min="1" max="1" width="56" bestFit="1" customWidth="1"/>
  </cols>
  <sheetData>
    <row r="1" spans="1:4" ht="14.7" thickBot="1" x14ac:dyDescent="0.6">
      <c r="A1" s="13" t="s">
        <v>117</v>
      </c>
    </row>
    <row r="2" spans="1:4" x14ac:dyDescent="0.55000000000000004">
      <c r="A2" s="14" t="s">
        <v>118</v>
      </c>
      <c r="B2">
        <f>LEN(A2)</f>
        <v>37</v>
      </c>
      <c r="D2">
        <f t="array" ref="D2">SUM(LEN(A2:A30))</f>
        <v>1053</v>
      </c>
    </row>
    <row r="3" spans="1:4" x14ac:dyDescent="0.55000000000000004">
      <c r="A3" s="14" t="s">
        <v>119</v>
      </c>
      <c r="B3">
        <f t="shared" ref="B3:B30" si="0">LEN(A3)</f>
        <v>40</v>
      </c>
    </row>
    <row r="4" spans="1:4" x14ac:dyDescent="0.55000000000000004">
      <c r="A4" s="14" t="s">
        <v>120</v>
      </c>
      <c r="B4">
        <f t="shared" si="0"/>
        <v>30</v>
      </c>
    </row>
    <row r="5" spans="1:4" x14ac:dyDescent="0.55000000000000004">
      <c r="A5" s="14" t="s">
        <v>121</v>
      </c>
      <c r="B5">
        <f t="shared" si="0"/>
        <v>40</v>
      </c>
    </row>
    <row r="6" spans="1:4" x14ac:dyDescent="0.55000000000000004">
      <c r="A6" s="14" t="s">
        <v>122</v>
      </c>
      <c r="B6">
        <f t="shared" si="0"/>
        <v>43</v>
      </c>
    </row>
    <row r="7" spans="1:4" x14ac:dyDescent="0.55000000000000004">
      <c r="A7" s="14" t="s">
        <v>123</v>
      </c>
      <c r="B7">
        <f t="shared" si="0"/>
        <v>32</v>
      </c>
    </row>
    <row r="8" spans="1:4" x14ac:dyDescent="0.55000000000000004">
      <c r="A8" s="14" t="s">
        <v>124</v>
      </c>
      <c r="B8">
        <f t="shared" si="0"/>
        <v>33</v>
      </c>
    </row>
    <row r="9" spans="1:4" x14ac:dyDescent="0.55000000000000004">
      <c r="A9" s="14" t="s">
        <v>125</v>
      </c>
      <c r="B9">
        <f t="shared" si="0"/>
        <v>22</v>
      </c>
    </row>
    <row r="10" spans="1:4" x14ac:dyDescent="0.55000000000000004">
      <c r="A10" s="14" t="s">
        <v>126</v>
      </c>
      <c r="B10">
        <f t="shared" si="0"/>
        <v>53</v>
      </c>
    </row>
    <row r="11" spans="1:4" x14ac:dyDescent="0.55000000000000004">
      <c r="A11" s="14" t="s">
        <v>127</v>
      </c>
      <c r="B11">
        <f t="shared" si="0"/>
        <v>29</v>
      </c>
    </row>
    <row r="12" spans="1:4" x14ac:dyDescent="0.55000000000000004">
      <c r="A12" s="14" t="s">
        <v>128</v>
      </c>
      <c r="B12">
        <f t="shared" si="0"/>
        <v>27</v>
      </c>
    </row>
    <row r="13" spans="1:4" x14ac:dyDescent="0.55000000000000004">
      <c r="A13" s="14" t="s">
        <v>129</v>
      </c>
      <c r="B13">
        <f t="shared" si="0"/>
        <v>33</v>
      </c>
    </row>
    <row r="14" spans="1:4" x14ac:dyDescent="0.55000000000000004">
      <c r="A14" s="14" t="s">
        <v>130</v>
      </c>
      <c r="B14">
        <f t="shared" si="0"/>
        <v>30</v>
      </c>
    </row>
    <row r="15" spans="1:4" x14ac:dyDescent="0.55000000000000004">
      <c r="A15" s="14" t="s">
        <v>131</v>
      </c>
      <c r="B15">
        <f t="shared" si="0"/>
        <v>25</v>
      </c>
    </row>
    <row r="16" spans="1:4" x14ac:dyDescent="0.55000000000000004">
      <c r="A16" s="14" t="s">
        <v>132</v>
      </c>
      <c r="B16">
        <f t="shared" si="0"/>
        <v>41</v>
      </c>
    </row>
    <row r="17" spans="1:2" x14ac:dyDescent="0.55000000000000004">
      <c r="A17" s="14" t="s">
        <v>133</v>
      </c>
      <c r="B17">
        <f t="shared" si="0"/>
        <v>28</v>
      </c>
    </row>
    <row r="18" spans="1:2" x14ac:dyDescent="0.55000000000000004">
      <c r="A18" s="14" t="s">
        <v>134</v>
      </c>
      <c r="B18">
        <f t="shared" si="0"/>
        <v>34</v>
      </c>
    </row>
    <row r="19" spans="1:2" x14ac:dyDescent="0.55000000000000004">
      <c r="A19" s="14" t="s">
        <v>135</v>
      </c>
      <c r="B19">
        <f t="shared" si="0"/>
        <v>38</v>
      </c>
    </row>
    <row r="20" spans="1:2" x14ac:dyDescent="0.55000000000000004">
      <c r="A20" s="14" t="s">
        <v>136</v>
      </c>
      <c r="B20">
        <f t="shared" si="0"/>
        <v>45</v>
      </c>
    </row>
    <row r="21" spans="1:2" x14ac:dyDescent="0.55000000000000004">
      <c r="A21" s="14" t="s">
        <v>137</v>
      </c>
      <c r="B21">
        <f t="shared" si="0"/>
        <v>27</v>
      </c>
    </row>
    <row r="22" spans="1:2" x14ac:dyDescent="0.55000000000000004">
      <c r="A22" s="14" t="s">
        <v>138</v>
      </c>
      <c r="B22">
        <f t="shared" si="0"/>
        <v>37</v>
      </c>
    </row>
    <row r="23" spans="1:2" x14ac:dyDescent="0.55000000000000004">
      <c r="A23" s="14" t="s">
        <v>139</v>
      </c>
      <c r="B23">
        <f t="shared" si="0"/>
        <v>51</v>
      </c>
    </row>
    <row r="24" spans="1:2" x14ac:dyDescent="0.55000000000000004">
      <c r="A24" s="14" t="s">
        <v>140</v>
      </c>
      <c r="B24">
        <f t="shared" si="0"/>
        <v>47</v>
      </c>
    </row>
    <row r="25" spans="1:2" x14ac:dyDescent="0.55000000000000004">
      <c r="A25" s="14" t="s">
        <v>141</v>
      </c>
      <c r="B25">
        <f t="shared" si="0"/>
        <v>47</v>
      </c>
    </row>
    <row r="26" spans="1:2" x14ac:dyDescent="0.55000000000000004">
      <c r="A26" s="14" t="s">
        <v>142</v>
      </c>
      <c r="B26">
        <f t="shared" si="0"/>
        <v>48</v>
      </c>
    </row>
    <row r="27" spans="1:2" x14ac:dyDescent="0.55000000000000004">
      <c r="A27" s="14" t="s">
        <v>143</v>
      </c>
      <c r="B27">
        <f t="shared" si="0"/>
        <v>42</v>
      </c>
    </row>
    <row r="28" spans="1:2" x14ac:dyDescent="0.55000000000000004">
      <c r="A28" s="14" t="s">
        <v>144</v>
      </c>
      <c r="B28">
        <f t="shared" si="0"/>
        <v>26</v>
      </c>
    </row>
    <row r="29" spans="1:2" x14ac:dyDescent="0.55000000000000004">
      <c r="A29" s="14" t="s">
        <v>145</v>
      </c>
      <c r="B29">
        <f t="shared" si="0"/>
        <v>37</v>
      </c>
    </row>
    <row r="30" spans="1:2" x14ac:dyDescent="0.55000000000000004">
      <c r="A30" s="14" t="s">
        <v>146</v>
      </c>
      <c r="B30">
        <f t="shared" si="0"/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2C64F-E10D-4348-882D-1097AD844F06}">
  <dimension ref="A1:C7"/>
  <sheetViews>
    <sheetView workbookViewId="0">
      <selection activeCell="D7" sqref="D7"/>
    </sheetView>
  </sheetViews>
  <sheetFormatPr defaultRowHeight="14.4" x14ac:dyDescent="0.55000000000000004"/>
  <sheetData>
    <row r="1" spans="1:3" x14ac:dyDescent="0.55000000000000004">
      <c r="A1">
        <v>100</v>
      </c>
      <c r="B1">
        <v>2</v>
      </c>
      <c r="C1">
        <v>3</v>
      </c>
    </row>
    <row r="2" spans="1:3" x14ac:dyDescent="0.55000000000000004">
      <c r="A2">
        <v>4</v>
      </c>
      <c r="B2">
        <v>500</v>
      </c>
      <c r="C2">
        <v>6</v>
      </c>
    </row>
    <row r="5" spans="1:3" x14ac:dyDescent="0.55000000000000004">
      <c r="A5">
        <f t="array" ref="A5:B7">TRANSPOSE(A1:C2)</f>
        <v>100</v>
      </c>
      <c r="B5">
        <v>4</v>
      </c>
    </row>
    <row r="6" spans="1:3" x14ac:dyDescent="0.55000000000000004">
      <c r="A6">
        <v>2</v>
      </c>
      <c r="B6">
        <v>500</v>
      </c>
    </row>
    <row r="7" spans="1:3" x14ac:dyDescent="0.55000000000000004">
      <c r="A7">
        <v>3</v>
      </c>
      <c r="B7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5C409-D494-4AFC-8E90-A6CE705B86F0}">
  <dimension ref="A1:G107"/>
  <sheetViews>
    <sheetView workbookViewId="0">
      <pane ySplit="5" topLeftCell="A6" activePane="bottomLeft" state="frozen"/>
      <selection pane="bottomLeft" activeCell="G11" sqref="G11"/>
    </sheetView>
  </sheetViews>
  <sheetFormatPr defaultRowHeight="14.4" x14ac:dyDescent="0.55000000000000004"/>
  <cols>
    <col min="1" max="1" width="42.15625" customWidth="1"/>
    <col min="2" max="2" width="16.68359375" customWidth="1"/>
  </cols>
  <sheetData>
    <row r="1" spans="1:7" ht="50.1" x14ac:dyDescent="0.55000000000000004">
      <c r="A1" s="2" t="s">
        <v>0</v>
      </c>
      <c r="B1" s="3"/>
    </row>
    <row r="2" spans="1:7" x14ac:dyDescent="0.55000000000000004">
      <c r="A2" s="17"/>
      <c r="B2" s="20" t="s">
        <v>1</v>
      </c>
    </row>
    <row r="3" spans="1:7" x14ac:dyDescent="0.55000000000000004">
      <c r="A3" s="18"/>
      <c r="B3" s="20"/>
    </row>
    <row r="4" spans="1:7" x14ac:dyDescent="0.55000000000000004">
      <c r="A4" s="18"/>
      <c r="B4" s="20"/>
    </row>
    <row r="5" spans="1:7" x14ac:dyDescent="0.55000000000000004">
      <c r="A5" s="19"/>
      <c r="B5" s="20"/>
    </row>
    <row r="6" spans="1:7" ht="17.7" x14ac:dyDescent="0.6">
      <c r="A6" s="4" t="s">
        <v>2</v>
      </c>
      <c r="B6" s="5">
        <v>30878</v>
      </c>
    </row>
    <row r="7" spans="1:7" ht="17.7" x14ac:dyDescent="0.6">
      <c r="A7" s="4" t="s">
        <v>3</v>
      </c>
      <c r="B7" s="5">
        <v>27488</v>
      </c>
    </row>
    <row r="8" spans="1:7" ht="17.7" x14ac:dyDescent="0.6">
      <c r="A8" s="4" t="s">
        <v>4</v>
      </c>
      <c r="B8" s="5">
        <v>24185</v>
      </c>
    </row>
    <row r="9" spans="1:7" ht="17.7" x14ac:dyDescent="0.6">
      <c r="A9" s="4" t="s">
        <v>5</v>
      </c>
      <c r="B9" s="5">
        <v>30487</v>
      </c>
      <c r="E9">
        <v>20000</v>
      </c>
      <c r="G9">
        <f t="array" ref="G9:G13">FREQUENCY(B6:B91,E9:E12)</f>
        <v>8</v>
      </c>
    </row>
    <row r="10" spans="1:7" ht="17.7" x14ac:dyDescent="0.6">
      <c r="A10" s="4" t="s">
        <v>6</v>
      </c>
      <c r="B10" s="5">
        <v>24511</v>
      </c>
      <c r="E10">
        <v>30000</v>
      </c>
      <c r="G10">
        <v>54</v>
      </c>
    </row>
    <row r="11" spans="1:7" ht="17.7" x14ac:dyDescent="0.6">
      <c r="A11" s="4" t="s">
        <v>7</v>
      </c>
      <c r="B11" s="5">
        <v>28364</v>
      </c>
      <c r="E11">
        <v>45000</v>
      </c>
      <c r="G11">
        <v>16</v>
      </c>
    </row>
    <row r="12" spans="1:7" ht="17.7" x14ac:dyDescent="0.6">
      <c r="A12" s="4" t="s">
        <v>8</v>
      </c>
      <c r="B12" s="5">
        <v>23464</v>
      </c>
      <c r="E12">
        <v>55000</v>
      </c>
      <c r="G12">
        <v>4</v>
      </c>
    </row>
    <row r="13" spans="1:7" ht="17.7" x14ac:dyDescent="0.6">
      <c r="A13" s="4" t="s">
        <v>9</v>
      </c>
      <c r="B13" s="5">
        <v>27218</v>
      </c>
      <c r="G13">
        <v>4</v>
      </c>
    </row>
    <row r="14" spans="1:7" ht="17.7" x14ac:dyDescent="0.6">
      <c r="A14" s="4" t="s">
        <v>10</v>
      </c>
      <c r="B14" s="5">
        <v>29921</v>
      </c>
    </row>
    <row r="15" spans="1:7" ht="17.7" x14ac:dyDescent="0.6">
      <c r="A15" s="4" t="s">
        <v>11</v>
      </c>
      <c r="B15" s="5">
        <v>42814</v>
      </c>
    </row>
    <row r="16" spans="1:7" ht="17.7" x14ac:dyDescent="0.6">
      <c r="A16" s="4" t="s">
        <v>12</v>
      </c>
      <c r="B16" s="5">
        <v>24658</v>
      </c>
    </row>
    <row r="17" spans="1:2" ht="17.7" x14ac:dyDescent="0.6">
      <c r="A17" s="4" t="s">
        <v>13</v>
      </c>
      <c r="B17" s="5">
        <v>25751</v>
      </c>
    </row>
    <row r="18" spans="1:2" ht="17.7" x14ac:dyDescent="0.6">
      <c r="A18" s="4" t="s">
        <v>14</v>
      </c>
      <c r="B18" s="5">
        <v>26085</v>
      </c>
    </row>
    <row r="19" spans="1:2" ht="17.7" x14ac:dyDescent="0.6">
      <c r="A19" s="4" t="s">
        <v>15</v>
      </c>
      <c r="B19" s="5">
        <v>26233</v>
      </c>
    </row>
    <row r="20" spans="1:2" ht="17.7" x14ac:dyDescent="0.6">
      <c r="A20" s="4" t="s">
        <v>16</v>
      </c>
      <c r="B20" s="5">
        <v>25467</v>
      </c>
    </row>
    <row r="21" spans="1:2" ht="17.7" x14ac:dyDescent="0.6">
      <c r="A21" s="4" t="s">
        <v>17</v>
      </c>
      <c r="B21" s="5">
        <v>27775</v>
      </c>
    </row>
    <row r="22" spans="1:2" ht="17.7" x14ac:dyDescent="0.6">
      <c r="A22" s="4" t="s">
        <v>18</v>
      </c>
      <c r="B22" s="5">
        <v>26610</v>
      </c>
    </row>
    <row r="23" spans="1:2" ht="17.7" x14ac:dyDescent="0.6">
      <c r="A23" s="4" t="s">
        <v>19</v>
      </c>
      <c r="B23" s="5">
        <v>62481</v>
      </c>
    </row>
    <row r="24" spans="1:2" ht="17.7" x14ac:dyDescent="0.6">
      <c r="A24" s="4" t="s">
        <v>20</v>
      </c>
      <c r="B24" s="5">
        <v>27846</v>
      </c>
    </row>
    <row r="25" spans="1:2" ht="17.7" x14ac:dyDescent="0.6">
      <c r="A25" s="4" t="s">
        <v>21</v>
      </c>
      <c r="B25" s="5">
        <v>32125</v>
      </c>
    </row>
    <row r="26" spans="1:2" ht="17.7" x14ac:dyDescent="0.6">
      <c r="A26" s="4" t="s">
        <v>22</v>
      </c>
      <c r="B26" s="5">
        <v>33518</v>
      </c>
    </row>
    <row r="27" spans="1:2" ht="17.7" x14ac:dyDescent="0.6">
      <c r="A27" s="4" t="s">
        <v>23</v>
      </c>
      <c r="B27" s="5">
        <v>74559</v>
      </c>
    </row>
    <row r="28" spans="1:2" ht="17.7" x14ac:dyDescent="0.6">
      <c r="A28" s="4" t="s">
        <v>24</v>
      </c>
      <c r="B28" s="5">
        <v>31888</v>
      </c>
    </row>
    <row r="29" spans="1:2" ht="17.7" x14ac:dyDescent="0.6">
      <c r="A29" s="4" t="s">
        <v>25</v>
      </c>
      <c r="B29" s="5">
        <v>26730</v>
      </c>
    </row>
    <row r="30" spans="1:2" ht="17.7" x14ac:dyDescent="0.6">
      <c r="A30" s="4" t="s">
        <v>26</v>
      </c>
      <c r="B30" s="5">
        <v>27219</v>
      </c>
    </row>
    <row r="31" spans="1:2" ht="17.7" x14ac:dyDescent="0.6">
      <c r="A31" s="4" t="s">
        <v>27</v>
      </c>
      <c r="B31" s="5">
        <v>29532</v>
      </c>
    </row>
    <row r="32" spans="1:2" ht="17.7" x14ac:dyDescent="0.6">
      <c r="A32" s="4" t="s">
        <v>28</v>
      </c>
      <c r="B32" s="5">
        <v>37077</v>
      </c>
    </row>
    <row r="33" spans="1:2" ht="17.7" x14ac:dyDescent="0.6">
      <c r="A33" s="4" t="s">
        <v>29</v>
      </c>
      <c r="B33" s="5">
        <v>25198</v>
      </c>
    </row>
    <row r="34" spans="1:2" ht="17.7" x14ac:dyDescent="0.6">
      <c r="A34" s="4" t="s">
        <v>30</v>
      </c>
      <c r="B34" s="5">
        <v>23500</v>
      </c>
    </row>
    <row r="35" spans="1:2" ht="17.7" x14ac:dyDescent="0.6">
      <c r="A35" s="4" t="s">
        <v>31</v>
      </c>
      <c r="B35" s="5">
        <v>42823</v>
      </c>
    </row>
    <row r="36" spans="1:2" ht="17.7" x14ac:dyDescent="0.6">
      <c r="A36" s="4" t="s">
        <v>32</v>
      </c>
      <c r="B36" s="5">
        <v>26947</v>
      </c>
    </row>
    <row r="37" spans="1:2" ht="17.7" x14ac:dyDescent="0.6">
      <c r="A37" s="4" t="s">
        <v>33</v>
      </c>
      <c r="B37" s="5">
        <v>16837</v>
      </c>
    </row>
    <row r="38" spans="1:2" ht="17.7" x14ac:dyDescent="0.6">
      <c r="A38" s="4" t="s">
        <v>34</v>
      </c>
      <c r="B38" s="5">
        <v>22518</v>
      </c>
    </row>
    <row r="39" spans="1:2" ht="17.7" x14ac:dyDescent="0.6">
      <c r="A39" s="4" t="s">
        <v>35</v>
      </c>
      <c r="B39" s="5">
        <v>33698</v>
      </c>
    </row>
    <row r="40" spans="1:2" ht="17.7" x14ac:dyDescent="0.6">
      <c r="A40" s="4" t="s">
        <v>36</v>
      </c>
      <c r="B40" s="5">
        <v>23024</v>
      </c>
    </row>
    <row r="41" spans="1:2" ht="17.7" x14ac:dyDescent="0.6">
      <c r="A41" s="4" t="s">
        <v>37</v>
      </c>
      <c r="B41" s="5">
        <v>22341</v>
      </c>
    </row>
    <row r="42" spans="1:2" ht="17.7" x14ac:dyDescent="0.6">
      <c r="A42" s="4" t="s">
        <v>38</v>
      </c>
      <c r="B42" s="5">
        <v>28885</v>
      </c>
    </row>
    <row r="43" spans="1:2" ht="17.7" x14ac:dyDescent="0.6">
      <c r="A43" s="4" t="s">
        <v>39</v>
      </c>
      <c r="B43" s="5">
        <v>26193</v>
      </c>
    </row>
    <row r="44" spans="1:2" ht="17.7" x14ac:dyDescent="0.6">
      <c r="A44" s="4" t="s">
        <v>40</v>
      </c>
      <c r="B44" s="5">
        <v>24988</v>
      </c>
    </row>
    <row r="45" spans="1:2" ht="17.7" x14ac:dyDescent="0.6">
      <c r="A45" s="4" t="s">
        <v>41</v>
      </c>
      <c r="B45" s="5">
        <v>15751</v>
      </c>
    </row>
    <row r="46" spans="1:2" ht="17.7" x14ac:dyDescent="0.6">
      <c r="A46" s="4" t="s">
        <v>42</v>
      </c>
      <c r="B46" s="5">
        <v>21371</v>
      </c>
    </row>
    <row r="47" spans="1:2" ht="17.7" x14ac:dyDescent="0.6">
      <c r="A47" s="4" t="s">
        <v>43</v>
      </c>
      <c r="B47" s="5">
        <v>17397</v>
      </c>
    </row>
    <row r="48" spans="1:2" ht="17.7" x14ac:dyDescent="0.6">
      <c r="A48" s="4" t="s">
        <v>44</v>
      </c>
      <c r="B48" s="5">
        <v>23005</v>
      </c>
    </row>
    <row r="49" spans="1:2" ht="17.7" x14ac:dyDescent="0.6">
      <c r="A49" s="4" t="s">
        <v>45</v>
      </c>
      <c r="B49" s="5">
        <v>22802</v>
      </c>
    </row>
    <row r="50" spans="1:2" ht="17.7" x14ac:dyDescent="0.6">
      <c r="A50" s="4" t="s">
        <v>46</v>
      </c>
      <c r="B50" s="5">
        <v>24202</v>
      </c>
    </row>
    <row r="51" spans="1:2" ht="17.7" x14ac:dyDescent="0.6">
      <c r="A51" s="4" t="s">
        <v>47</v>
      </c>
      <c r="B51" s="5">
        <v>28727</v>
      </c>
    </row>
    <row r="52" spans="1:2" ht="17.7" x14ac:dyDescent="0.6">
      <c r="A52" s="4" t="s">
        <v>48</v>
      </c>
      <c r="B52" s="5">
        <v>19236</v>
      </c>
    </row>
    <row r="53" spans="1:2" ht="17.7" x14ac:dyDescent="0.6">
      <c r="A53" s="4" t="s">
        <v>49</v>
      </c>
      <c r="B53" s="5">
        <v>18039</v>
      </c>
    </row>
    <row r="54" spans="1:2" ht="17.7" x14ac:dyDescent="0.6">
      <c r="A54" s="4" t="s">
        <v>50</v>
      </c>
      <c r="B54" s="5">
        <v>33017</v>
      </c>
    </row>
    <row r="55" spans="1:2" ht="17.7" x14ac:dyDescent="0.6">
      <c r="A55" s="4" t="s">
        <v>51</v>
      </c>
      <c r="B55" s="5">
        <v>24631</v>
      </c>
    </row>
    <row r="56" spans="1:2" ht="17.7" x14ac:dyDescent="0.6">
      <c r="A56" s="4" t="s">
        <v>52</v>
      </c>
      <c r="B56" s="5">
        <v>18177</v>
      </c>
    </row>
    <row r="57" spans="1:2" ht="17.7" x14ac:dyDescent="0.6">
      <c r="A57" s="4" t="s">
        <v>53</v>
      </c>
      <c r="B57" s="5">
        <v>28849</v>
      </c>
    </row>
    <row r="58" spans="1:2" ht="17.7" x14ac:dyDescent="0.6">
      <c r="A58" s="4" t="s">
        <v>54</v>
      </c>
      <c r="B58" s="5">
        <v>22019</v>
      </c>
    </row>
    <row r="59" spans="1:2" ht="17.7" x14ac:dyDescent="0.6">
      <c r="A59" s="4" t="s">
        <v>55</v>
      </c>
      <c r="B59" s="5">
        <v>31700</v>
      </c>
    </row>
    <row r="60" spans="1:2" ht="17.7" x14ac:dyDescent="0.6">
      <c r="A60" s="4" t="s">
        <v>56</v>
      </c>
      <c r="B60" s="5">
        <v>23923</v>
      </c>
    </row>
    <row r="61" spans="1:2" ht="17.7" x14ac:dyDescent="0.6">
      <c r="A61" s="4" t="s">
        <v>57</v>
      </c>
      <c r="B61" s="5">
        <v>21549</v>
      </c>
    </row>
    <row r="62" spans="1:2" ht="17.7" x14ac:dyDescent="0.6">
      <c r="A62" s="4" t="s">
        <v>58</v>
      </c>
      <c r="B62" s="5">
        <v>27549</v>
      </c>
    </row>
    <row r="63" spans="1:2" ht="17.7" x14ac:dyDescent="0.6">
      <c r="A63" s="4" t="s">
        <v>59</v>
      </c>
      <c r="B63" s="5">
        <v>20634</v>
      </c>
    </row>
    <row r="64" spans="1:2" ht="17.7" x14ac:dyDescent="0.6">
      <c r="A64" s="4" t="s">
        <v>60</v>
      </c>
      <c r="B64" s="5">
        <v>23014</v>
      </c>
    </row>
    <row r="65" spans="1:2" ht="17.7" x14ac:dyDescent="0.6">
      <c r="A65" s="4" t="s">
        <v>61</v>
      </c>
      <c r="B65" s="5">
        <v>21006</v>
      </c>
    </row>
    <row r="66" spans="1:2" ht="17.7" x14ac:dyDescent="0.6">
      <c r="A66" s="4" t="s">
        <v>62</v>
      </c>
      <c r="B66" s="5">
        <v>36284</v>
      </c>
    </row>
    <row r="67" spans="1:2" ht="17.7" x14ac:dyDescent="0.6">
      <c r="A67" s="4" t="s">
        <v>63</v>
      </c>
      <c r="B67" s="5">
        <v>46258</v>
      </c>
    </row>
    <row r="68" spans="1:2" ht="17.7" x14ac:dyDescent="0.6">
      <c r="A68" s="4" t="s">
        <v>64</v>
      </c>
      <c r="B68" s="5">
        <v>74304</v>
      </c>
    </row>
    <row r="69" spans="1:2" ht="17.7" x14ac:dyDescent="0.6">
      <c r="A69" s="4" t="s">
        <v>65</v>
      </c>
      <c r="B69" s="5">
        <v>29460</v>
      </c>
    </row>
    <row r="70" spans="1:2" ht="17.7" x14ac:dyDescent="0.6">
      <c r="A70" s="4" t="s">
        <v>66</v>
      </c>
      <c r="B70" s="5">
        <v>23868</v>
      </c>
    </row>
    <row r="71" spans="1:2" ht="17.7" x14ac:dyDescent="0.6">
      <c r="A71" s="4" t="s">
        <v>67</v>
      </c>
      <c r="B71" s="5">
        <v>19412</v>
      </c>
    </row>
    <row r="72" spans="1:2" ht="17.7" x14ac:dyDescent="0.6">
      <c r="A72" s="4" t="s">
        <v>68</v>
      </c>
      <c r="B72" s="5">
        <v>14379</v>
      </c>
    </row>
    <row r="73" spans="1:2" ht="17.7" x14ac:dyDescent="0.6">
      <c r="A73" s="4" t="s">
        <v>69</v>
      </c>
      <c r="B73" s="5">
        <v>21826</v>
      </c>
    </row>
    <row r="74" spans="1:2" ht="17.7" x14ac:dyDescent="0.6">
      <c r="A74" s="4" t="s">
        <v>70</v>
      </c>
      <c r="B74" s="5">
        <v>22483</v>
      </c>
    </row>
    <row r="75" spans="1:2" ht="17.7" x14ac:dyDescent="0.6">
      <c r="A75" s="4" t="s">
        <v>71</v>
      </c>
      <c r="B75" s="5">
        <v>28561</v>
      </c>
    </row>
    <row r="76" spans="1:2" ht="17.7" x14ac:dyDescent="0.6">
      <c r="A76" s="4" t="s">
        <v>72</v>
      </c>
      <c r="B76" s="5">
        <v>22891</v>
      </c>
    </row>
    <row r="77" spans="1:2" ht="17.7" x14ac:dyDescent="0.6">
      <c r="A77" s="4" t="s">
        <v>73</v>
      </c>
      <c r="B77" s="5">
        <v>22208</v>
      </c>
    </row>
    <row r="78" spans="1:2" ht="17.7" x14ac:dyDescent="0.6">
      <c r="A78" s="4" t="s">
        <v>74</v>
      </c>
      <c r="B78" s="5">
        <v>25461</v>
      </c>
    </row>
    <row r="79" spans="1:2" ht="17.7" x14ac:dyDescent="0.6">
      <c r="A79" s="4" t="s">
        <v>75</v>
      </c>
      <c r="B79" s="5">
        <v>25268</v>
      </c>
    </row>
    <row r="80" spans="1:2" ht="17.7" x14ac:dyDescent="0.6">
      <c r="A80" s="4" t="s">
        <v>76</v>
      </c>
      <c r="B80" s="5">
        <v>26320</v>
      </c>
    </row>
    <row r="81" spans="1:2" ht="17.7" x14ac:dyDescent="0.6">
      <c r="A81" s="4" t="s">
        <v>77</v>
      </c>
      <c r="B81" s="5">
        <v>24837</v>
      </c>
    </row>
    <row r="82" spans="1:2" ht="17.7" x14ac:dyDescent="0.6">
      <c r="A82" s="4" t="s">
        <v>78</v>
      </c>
      <c r="B82" s="5">
        <v>42172</v>
      </c>
    </row>
    <row r="83" spans="1:2" ht="17.7" x14ac:dyDescent="0.6">
      <c r="A83" s="4" t="s">
        <v>79</v>
      </c>
      <c r="B83" s="5">
        <v>24220</v>
      </c>
    </row>
    <row r="84" spans="1:2" ht="17.7" x14ac:dyDescent="0.6">
      <c r="A84" s="4" t="s">
        <v>80</v>
      </c>
      <c r="B84" s="5">
        <v>45034</v>
      </c>
    </row>
    <row r="85" spans="1:2" ht="17.7" x14ac:dyDescent="0.6">
      <c r="A85" s="4" t="s">
        <v>81</v>
      </c>
      <c r="B85" s="5">
        <v>34620</v>
      </c>
    </row>
    <row r="86" spans="1:2" ht="17.7" x14ac:dyDescent="0.6">
      <c r="A86" s="4" t="s">
        <v>82</v>
      </c>
      <c r="B86" s="5">
        <v>39653</v>
      </c>
    </row>
    <row r="87" spans="1:2" ht="17.7" x14ac:dyDescent="0.6">
      <c r="A87" s="4" t="s">
        <v>83</v>
      </c>
      <c r="B87" s="5">
        <v>31883</v>
      </c>
    </row>
    <row r="88" spans="1:2" ht="17.7" x14ac:dyDescent="0.6">
      <c r="A88" s="4" t="s">
        <v>84</v>
      </c>
      <c r="B88" s="5">
        <v>53137</v>
      </c>
    </row>
    <row r="89" spans="1:2" ht="17.7" x14ac:dyDescent="0.6">
      <c r="A89" s="4" t="s">
        <v>85</v>
      </c>
      <c r="B89" s="5">
        <v>49543</v>
      </c>
    </row>
    <row r="90" spans="1:2" ht="17.7" x14ac:dyDescent="0.6">
      <c r="A90" s="4" t="s">
        <v>86</v>
      </c>
      <c r="B90" s="5">
        <v>23823</v>
      </c>
    </row>
    <row r="91" spans="1:2" ht="17.7" x14ac:dyDescent="0.6">
      <c r="A91" s="4" t="s">
        <v>87</v>
      </c>
      <c r="B91" s="5">
        <v>72716</v>
      </c>
    </row>
    <row r="99" spans="1:2" x14ac:dyDescent="0.55000000000000004">
      <c r="A99" s="6"/>
      <c r="B99" s="6"/>
    </row>
    <row r="100" spans="1:2" x14ac:dyDescent="0.55000000000000004">
      <c r="A100" s="6"/>
      <c r="B100" s="6"/>
    </row>
    <row r="101" spans="1:2" x14ac:dyDescent="0.55000000000000004">
      <c r="A101" s="6"/>
      <c r="B101" s="6"/>
    </row>
    <row r="102" spans="1:2" x14ac:dyDescent="0.55000000000000004">
      <c r="A102" s="6"/>
      <c r="B102" s="6"/>
    </row>
    <row r="103" spans="1:2" x14ac:dyDescent="0.55000000000000004">
      <c r="A103" s="6"/>
      <c r="B103" s="6"/>
    </row>
    <row r="104" spans="1:2" x14ac:dyDescent="0.55000000000000004">
      <c r="A104" s="6"/>
      <c r="B104" s="6"/>
    </row>
    <row r="105" spans="1:2" x14ac:dyDescent="0.55000000000000004">
      <c r="A105" s="6"/>
      <c r="B105" s="6"/>
    </row>
    <row r="106" spans="1:2" x14ac:dyDescent="0.55000000000000004">
      <c r="A106" s="6"/>
      <c r="B106" s="6"/>
    </row>
    <row r="107" spans="1:2" x14ac:dyDescent="0.55000000000000004">
      <c r="A107" s="6"/>
      <c r="B107" s="6"/>
    </row>
  </sheetData>
  <mergeCells count="2">
    <mergeCell ref="A2:A5"/>
    <mergeCell ref="B2:B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ED5A1-CC9E-4AFB-8E92-7F8FFC5BB47D}">
  <dimension ref="A1:C13"/>
  <sheetViews>
    <sheetView tabSelected="1" workbookViewId="0">
      <selection activeCell="C7" sqref="C7"/>
    </sheetView>
  </sheetViews>
  <sheetFormatPr defaultRowHeight="14.4" x14ac:dyDescent="0.55000000000000004"/>
  <cols>
    <col min="1" max="1" width="18.578125" customWidth="1"/>
    <col min="2" max="2" width="10.26171875" style="9" bestFit="1" customWidth="1"/>
    <col min="3" max="3" width="22.68359375" customWidth="1"/>
    <col min="6" max="6" width="19.41796875" bestFit="1" customWidth="1"/>
  </cols>
  <sheetData>
    <row r="1" spans="1:3" x14ac:dyDescent="0.55000000000000004">
      <c r="A1" s="7" t="s">
        <v>89</v>
      </c>
      <c r="B1" s="8" t="s">
        <v>88</v>
      </c>
    </row>
    <row r="2" spans="1:3" x14ac:dyDescent="0.55000000000000004">
      <c r="A2" t="s">
        <v>90</v>
      </c>
      <c r="B2" s="9">
        <v>1</v>
      </c>
      <c r="C2" t="str" cm="1">
        <f t="array" ref="C2">INDEX(Категории,B2)</f>
        <v>Маркетинг</v>
      </c>
    </row>
    <row r="3" spans="1:3" x14ac:dyDescent="0.55000000000000004">
      <c r="A3" t="s">
        <v>91</v>
      </c>
      <c r="B3" s="9">
        <v>2</v>
      </c>
      <c r="C3" t="str" cm="1">
        <f t="array" ref="C3">INDEX(Категории,B3)</f>
        <v>Аналитика</v>
      </c>
    </row>
    <row r="4" spans="1:3" x14ac:dyDescent="0.55000000000000004">
      <c r="A4" t="s">
        <v>92</v>
      </c>
      <c r="B4" s="9">
        <v>3</v>
      </c>
      <c r="C4" t="str" cm="1">
        <f t="array" ref="C4">INDEX(Категории,B4)</f>
        <v>Менеджмент</v>
      </c>
    </row>
    <row r="5" spans="1:3" x14ac:dyDescent="0.55000000000000004">
      <c r="A5" t="s">
        <v>93</v>
      </c>
      <c r="B5" s="9">
        <v>1</v>
      </c>
      <c r="C5" t="str" cm="1">
        <f t="array" ref="C5">INDEX(Категории,B5)</f>
        <v>Маркетинг</v>
      </c>
    </row>
    <row r="6" spans="1:3" x14ac:dyDescent="0.55000000000000004">
      <c r="A6" t="s">
        <v>94</v>
      </c>
      <c r="B6" s="9">
        <v>2</v>
      </c>
      <c r="C6" t="str" cm="1">
        <f t="array" ref="C6">INDEX(Категории,B6)</f>
        <v>Аналитика</v>
      </c>
    </row>
    <row r="7" spans="1:3" x14ac:dyDescent="0.55000000000000004">
      <c r="A7" t="s">
        <v>95</v>
      </c>
      <c r="B7" s="9">
        <v>1</v>
      </c>
      <c r="C7" t="str" cm="1">
        <f t="array" ref="C7">INDEX(Категории,B7)</f>
        <v>Маркетинг</v>
      </c>
    </row>
    <row r="8" spans="1:3" x14ac:dyDescent="0.55000000000000004">
      <c r="A8" t="s">
        <v>96</v>
      </c>
      <c r="B8" s="9">
        <v>4</v>
      </c>
      <c r="C8" t="str" cm="1">
        <f t="array" ref="C8">INDEX(Категории,B8)</f>
        <v>Программирование</v>
      </c>
    </row>
    <row r="9" spans="1:3" x14ac:dyDescent="0.55000000000000004">
      <c r="A9" t="s">
        <v>97</v>
      </c>
      <c r="B9" s="9">
        <v>4</v>
      </c>
      <c r="C9" t="str" cm="1">
        <f t="array" ref="C9">INDEX(Категории,B9)</f>
        <v>Программирование</v>
      </c>
    </row>
    <row r="10" spans="1:3" x14ac:dyDescent="0.55000000000000004">
      <c r="A10" t="s">
        <v>98</v>
      </c>
      <c r="B10" s="9">
        <v>2</v>
      </c>
      <c r="C10" t="str" cm="1">
        <f t="array" ref="C10">INDEX(Категории,B10)</f>
        <v>Аналитика</v>
      </c>
    </row>
    <row r="11" spans="1:3" x14ac:dyDescent="0.55000000000000004">
      <c r="A11" t="s">
        <v>99</v>
      </c>
      <c r="B11" s="9">
        <v>3</v>
      </c>
      <c r="C11" t="str" cm="1">
        <f t="array" ref="C11">INDEX(Категории,B11)</f>
        <v>Менеджмент</v>
      </c>
    </row>
    <row r="12" spans="1:3" x14ac:dyDescent="0.55000000000000004">
      <c r="A12" t="s">
        <v>100</v>
      </c>
      <c r="B12" s="9">
        <v>4</v>
      </c>
      <c r="C12" t="str" cm="1">
        <f t="array" ref="C12">INDEX(Категории,B12)</f>
        <v>Программирование</v>
      </c>
    </row>
    <row r="13" spans="1:3" x14ac:dyDescent="0.55000000000000004">
      <c r="A13" t="s">
        <v>101</v>
      </c>
      <c r="B13" s="9">
        <v>1</v>
      </c>
      <c r="C13" t="str" cm="1">
        <f t="array" ref="C13">INDEX(Категории,B13)</f>
        <v>Маркетинг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Таблица умножения</vt:lpstr>
      <vt:lpstr>Расчет ставки</vt:lpstr>
      <vt:lpstr>Макс отклонение</vt:lpstr>
      <vt:lpstr>ДЛСТР</vt:lpstr>
      <vt:lpstr>ТРАНСП</vt:lpstr>
      <vt:lpstr>ЧАСТОТА</vt:lpstr>
      <vt:lpstr>Ввод массива и имена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Ренат Шагабутдинов</dc:creator>
  <cp:lastModifiedBy>Ренат Шагабутдинов</cp:lastModifiedBy>
  <dcterms:created xsi:type="dcterms:W3CDTF">2020-12-11T06:34:20Z</dcterms:created>
  <dcterms:modified xsi:type="dcterms:W3CDTF">2020-12-11T15:25:27Z</dcterms:modified>
</cp:coreProperties>
</file>