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"/>
    </mc:Choice>
  </mc:AlternateContent>
  <xr:revisionPtr revIDLastSave="0" documentId="13_ncr:1_{D20821F6-615F-42D0-8251-04D30E2057D9}" xr6:coauthVersionLast="45" xr6:coauthVersionMax="45" xr10:uidLastSave="{00000000-0000-0000-0000-000000000000}"/>
  <bookViews>
    <workbookView xWindow="-96" yWindow="-96" windowWidth="23232" windowHeight="13152" firstSheet="1" activeTab="8" xr2:uid="{6A7F8978-6464-4874-B387-F953BB53C3C8}"/>
  </bookViews>
  <sheets>
    <sheet name="Таблица умножения" sheetId="3" r:id="rId1"/>
    <sheet name="ТРАНСП" sheetId="1" r:id="rId2"/>
    <sheet name="ЧАСТОТА и топ" sheetId="5" r:id="rId3"/>
    <sheet name="ВПР по нескольким ст" sheetId="9" r:id="rId4"/>
    <sheet name="1С" sheetId="10" r:id="rId5"/>
    <sheet name="УНИК + кол-во" sheetId="11" r:id="rId6"/>
    <sheet name="СОРТ" sheetId="12" r:id="rId7"/>
    <sheet name="СОРТПО (регионы)" sheetId="14" r:id="rId8"/>
    <sheet name="ФИЛЬТР" sheetId="13" r:id="rId9"/>
  </sheets>
  <definedNames>
    <definedName name="Дни_недели">{"ПН","ВТ","СР"}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" l="1" a="1"/>
  <c r="B2" i="13" s="1"/>
  <c r="B2" i="14" a="1"/>
  <c r="B2" i="14" s="1"/>
  <c r="D2" i="11" a="1"/>
  <c r="D2" i="11" s="1"/>
  <c r="A2" i="12" a="1"/>
  <c r="A2" i="12" s="1"/>
  <c r="A2" i="11"/>
  <c r="B6" i="9" a="1"/>
  <c r="B6" i="9" s="1"/>
  <c r="B7" i="9" a="1"/>
  <c r="B7" i="9" s="1"/>
  <c r="B5" i="9" a="1"/>
  <c r="B5" i="9" s="1"/>
  <c r="J6" i="5" a="1"/>
  <c r="J6" i="5" s="1"/>
  <c r="G8" i="5" a="1"/>
  <c r="G8" i="5" s="1"/>
  <c r="A5" i="1" a="1"/>
  <c r="A5" i="1" s="1"/>
  <c r="B2" i="3" a="1"/>
  <c r="B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<sst xmlns="http://schemas.openxmlformats.org/spreadsheetml/2006/main" count="3155" uniqueCount="543">
  <si>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</si>
  <si>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</si>
  <si>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</si>
  <si>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</si>
  <si>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</si>
  <si>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</si>
  <si>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</si>
  <si>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</si>
  <si>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</si>
  <si>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</si>
  <si>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</si>
  <si>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</si>
  <si>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</si>
  <si>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</si>
  <si>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</si>
  <si>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</si>
  <si>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</si>
  <si>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</si>
  <si>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</si>
  <si>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</si>
  <si>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</si>
  <si>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</si>
  <si>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</si>
  <si>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</si>
  <si>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</si>
  <si>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</si>
  <si>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</si>
  <si>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</si>
  <si>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</si>
  <si>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</si>
  <si>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</si>
  <si>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</si>
  <si>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</si>
  <si>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</si>
  <si>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</si>
  <si>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</si>
  <si>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</si>
  <si>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</si>
  <si>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</si>
  <si>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</si>
  <si>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</si>
  <si>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</si>
  <si>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</si>
  <si>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</si>
  <si>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</si>
  <si>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</si>
  <si>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</si>
  <si>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</si>
  <si>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</si>
  <si>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</si>
  <si>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</si>
  <si>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</si>
  <si>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</si>
  <si>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</si>
  <si>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</si>
  <si>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</si>
  <si>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</si>
  <si>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</si>
  <si>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</si>
  <si>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</si>
  <si>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</si>
  <si>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</si>
  <si>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</si>
  <si>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</si>
  <si>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</si>
  <si>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</si>
  <si>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</si>
  <si>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</si>
  <si>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</si>
  <si>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</si>
  <si>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</si>
  <si>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</si>
  <si>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</si>
  <si>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</si>
  <si>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</si>
  <si>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</si>
  <si>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</si>
  <si>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</si>
  <si>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</si>
  <si>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</si>
  <si>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</si>
  <si>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</si>
  <si>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</si>
  <si>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</si>
  <si>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</si>
  <si>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</si>
  <si>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</si>
  <si>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</si>
  <si>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</si>
  <si>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</si>
  <si>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</si>
  <si>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</si>
  <si>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</si>
  <si>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</si>
  <si>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</si>
  <si>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</si>
  <si>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</si>
  <si>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</si>
  <si>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</si>
  <si>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</si>
  <si>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</si>
  <si>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</si>
  <si>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</si>
  <si>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</si>
  <si>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</si>
  <si>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</si>
  <si>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</si>
  <si>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</si>
  <si>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</si>
  <si>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</si>
  <si>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</si>
  <si>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</si>
  <si>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</si>
  <si>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</si>
  <si>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</si>
  <si>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</si>
  <si>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</si>
  <si>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</si>
  <si>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</si>
  <si>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</si>
  <si>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</si>
  <si>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</si>
  <si>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</si>
  <si>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</si>
  <si>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</si>
  <si>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</si>
  <si>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</si>
  <si>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</si>
  <si>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</si>
  <si>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</si>
  <si>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</si>
  <si>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</si>
  <si>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</si>
  <si>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</si>
  <si>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</si>
  <si>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</si>
  <si>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</si>
  <si>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</si>
  <si>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</si>
  <si>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</si>
  <si>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</si>
  <si>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</si>
  <si>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</si>
  <si>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</si>
  <si>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</si>
  <si>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</si>
  <si>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</si>
  <si>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</si>
  <si>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</si>
  <si>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</si>
  <si>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</si>
  <si>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</si>
  <si>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</si>
  <si>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</si>
  <si>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</si>
  <si>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</si>
  <si>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</si>
  <si>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</si>
  <si>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</si>
  <si>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</si>
  <si>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</si>
  <si>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</si>
  <si>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</si>
  <si>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</si>
  <si>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</si>
  <si>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</si>
  <si>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Редакция №1</t>
  </si>
  <si>
    <t>Мягкая обложка</t>
  </si>
  <si>
    <t>Дистрибуция</t>
  </si>
  <si>
    <t>00001716</t>
  </si>
  <si>
    <t>Покетбук</t>
  </si>
  <si>
    <t>00003925</t>
  </si>
  <si>
    <t>00009579</t>
  </si>
  <si>
    <t>00002593</t>
  </si>
  <si>
    <t>Редакция №2</t>
  </si>
  <si>
    <t>Твердый переплет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</si>
  <si>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</si>
  <si>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</si>
  <si>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</si>
  <si>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</si>
  <si>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</si>
  <si>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</si>
  <si>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</si>
  <si>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</si>
  <si>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</si>
  <si>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</si>
  <si>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</si>
  <si>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</si>
  <si>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</si>
  <si>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</si>
  <si>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</si>
  <si>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</si>
  <si>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</si>
  <si>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</si>
  <si>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</si>
  <si>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</si>
  <si>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</si>
  <si>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</si>
  <si>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</si>
  <si>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</si>
  <si>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</si>
  <si>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</si>
  <si>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</si>
  <si>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</si>
  <si>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</si>
  <si>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</si>
  <si>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</si>
  <si>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</si>
  <si>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</si>
  <si>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</si>
  <si>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</si>
  <si>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</si>
  <si>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</si>
  <si>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</si>
  <si>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</si>
  <si>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</si>
  <si>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</si>
  <si>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</si>
  <si>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</si>
  <si>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</si>
  <si>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</si>
  <si>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</si>
  <si>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</si>
  <si>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</si>
  <si>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</si>
  <si>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</si>
  <si>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</si>
  <si>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</si>
  <si>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</si>
  <si>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</si>
  <si>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</si>
  <si>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</si>
  <si>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</si>
  <si>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</si>
  <si>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</si>
  <si>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</si>
  <si>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</si>
  <si>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</si>
  <si>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</si>
  <si>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</si>
  <si>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</si>
  <si>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</si>
  <si>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</si>
  <si>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</si>
  <si>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</si>
  <si>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</si>
  <si>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</si>
  <si>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</si>
  <si>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</si>
  <si>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</si>
  <si>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</si>
  <si>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</si>
  <si>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</si>
  <si>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</si>
  <si>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</si>
  <si>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</si>
  <si>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</si>
  <si>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</si>
  <si>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</si>
  <si>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</si>
  <si>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</si>
  <si>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</si>
  <si>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</si>
  <si>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</si>
  <si>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</si>
  <si>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</si>
  <si>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</si>
  <si>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</si>
  <si>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</si>
  <si>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</si>
  <si>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</si>
  <si>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</si>
  <si>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</si>
  <si>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</si>
  <si>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</si>
  <si>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</si>
  <si>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</si>
  <si>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</si>
  <si>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</si>
  <si>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</si>
  <si>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</si>
  <si>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</si>
  <si>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</si>
  <si>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</si>
  <si>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</si>
  <si>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</si>
  <si>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</si>
  <si>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</si>
  <si>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</si>
  <si>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</si>
  <si>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</si>
  <si>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</si>
  <si>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</si>
  <si>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</si>
  <si>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</si>
  <si>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</si>
  <si>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</si>
  <si>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</si>
  <si>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</si>
  <si>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</si>
  <si>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</si>
  <si>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</si>
  <si>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</si>
  <si>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</si>
  <si>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</si>
  <si>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</si>
  <si>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</si>
  <si>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</si>
  <si>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</si>
  <si>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</si>
  <si>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</si>
  <si>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</si>
  <si>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</si>
  <si>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</si>
  <si>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</si>
  <si>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</si>
  <si>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</si>
  <si>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</si>
  <si>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</si>
  <si>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</si>
  <si>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</si>
  <si>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</si>
  <si>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</si>
  <si>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</si>
  <si>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</si>
  <si>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</si>
  <si>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</si>
  <si>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</si>
  <si>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</si>
  <si>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</si>
  <si>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</si>
  <si>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</si>
  <si>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</si>
  <si>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</si>
  <si>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</si>
  <si>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</si>
  <si>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</si>
  <si>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</si>
  <si>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</si>
  <si>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</si>
  <si>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</si>
  <si>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</si>
  <si>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</si>
  <si>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</si>
  <si>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</si>
  <si>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</si>
  <si>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</si>
  <si>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</si>
  <si>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</si>
  <si>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</si>
  <si>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</si>
  <si>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</si>
  <si>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</si>
  <si>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</si>
  <si>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</si>
  <si>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</si>
  <si>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</si>
  <si>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</si>
  <si>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</si>
  <si>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</si>
  <si>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</si>
  <si>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</si>
  <si>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</si>
  <si>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</si>
  <si>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</si>
  <si>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</si>
  <si>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</si>
  <si>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</si>
  <si>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</si>
  <si>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</si>
  <si>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</si>
  <si>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</si>
  <si>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</si>
  <si>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</si>
  <si>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</si>
  <si>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</si>
  <si>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</si>
  <si>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</si>
  <si>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</si>
  <si>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</si>
  <si>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</si>
  <si>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</si>
  <si>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</si>
  <si>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</si>
  <si>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</si>
  <si>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</si>
  <si>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</si>
  <si>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</si>
  <si>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</si>
  <si>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</si>
  <si>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</si>
  <si>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</si>
  <si>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</si>
  <si>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</si>
  <si>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</si>
  <si>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</si>
  <si>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</si>
  <si>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</si>
  <si>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</si>
  <si>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</si>
  <si>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</si>
  <si>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</si>
  <si>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</si>
  <si>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</si>
  <si>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</si>
  <si>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</si>
  <si>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</si>
  <si>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</si>
  <si>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</si>
  <si>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</si>
  <si>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</si>
  <si>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</si>
  <si>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</si>
  <si>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</si>
  <si>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</si>
  <si>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</si>
  <si>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</si>
  <si>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</si>
  <si>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</si>
  <si>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</si>
  <si>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</si>
  <si>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</si>
  <si>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</si>
  <si>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</si>
  <si>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</si>
  <si>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</si>
  <si>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</si>
  <si>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</si>
  <si>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</si>
  <si>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</si>
  <si>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</si>
  <si>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</si>
  <si>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</si>
  <si>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</si>
  <si>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</si>
  <si>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</si>
  <si>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</si>
  <si>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</si>
  <si>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</si>
  <si>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</si>
  <si>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</si>
  <si>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</si>
  <si>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</si>
  <si>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</si>
  <si>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</si>
  <si>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</si>
  <si>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</si>
  <si>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</si>
  <si>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</si>
  <si>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</si>
  <si>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</si>
  <si>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</si>
  <si>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</si>
  <si>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</si>
  <si>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</si>
  <si>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</si>
  <si>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</si>
  <si>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</si>
  <si>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</si>
  <si>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</si>
  <si>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</si>
  <si>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</si>
  <si>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</si>
  <si>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</si>
  <si>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</si>
  <si>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</si>
  <si>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</si>
  <si>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</si>
  <si>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</si>
  <si>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</si>
  <si>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</si>
  <si>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</si>
  <si>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</si>
  <si>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</si>
  <si>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</si>
  <si>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</si>
  <si>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</si>
  <si>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</si>
  <si>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</si>
  <si>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</si>
  <si>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</si>
  <si>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</si>
  <si>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</si>
  <si>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</si>
  <si>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</si>
  <si>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</si>
  <si>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</si>
  <si>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</si>
  <si>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</si>
  <si>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</si>
  <si>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</si>
  <si>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</si>
  <si>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</si>
  <si>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</si>
  <si>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</si>
  <si>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</si>
  <si>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</si>
  <si>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</si>
  <si>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</si>
  <si>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</si>
  <si>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</si>
  <si>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</si>
  <si>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</si>
  <si>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</si>
  <si>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</si>
  <si>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</si>
  <si>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</si>
  <si>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</si>
  <si>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</si>
  <si>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</si>
  <si>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</si>
  <si>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</si>
  <si>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</si>
  <si>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</si>
  <si>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</si>
  <si>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</si>
  <si>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</si>
  <si>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</si>
  <si>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</si>
  <si>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</si>
  <si>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</si>
  <si>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</si>
  <si>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</si>
  <si>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</si>
  <si>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</si>
  <si>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</si>
  <si>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</si>
  <si>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</si>
  <si>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</si>
  <si>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</si>
  <si>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</si>
  <si>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</si>
  <si>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</si>
  <si>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</si>
  <si>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</si>
  <si>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</si>
  <si>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</si>
  <si>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</si>
  <si>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</si>
  <si>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</si>
  <si>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</si>
  <si>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</si>
  <si>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Топ-5 регионов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</si>
</sst>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0" fontId="2" fillId="2" borderId="0" xfId="2" applyAlignment="1">
      <alignment horizontal="center"/>
    </xf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7" fillId="3" borderId="4" xfId="0" applyFont="1" applyFill="1" applyBorder="1"/>
    <xf numFmtId="164" fontId="8" fillId="3" borderId="4" xfId="1" applyNumberFormat="1" applyFont="1" applyFill="1" applyBorder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4" fontId="0" fillId="0" borderId="0" xfId="0" applyNumberFormat="1"/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zoomScale="115" zoomScaleNormal="115" workbookViewId="0">
      <selection activeCell="B2" sqref="B2"/>
    </sheetView>
  </sheetViews>
  <sheetFormatPr defaultRowHeight="14.4" x14ac:dyDescent="0.55000000000000004"/>
  <cols>
    <col min="2" max="2" width="13.05078125" customWidth="1"/>
  </cols>
  <sheetData>
    <row r="1" spans="1:11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55000000000000004">
      <c r="A2" s="1">
        <v>1</v>
      </c>
      <c r="B2" cm="1">
        <f t="array" ref="B2:K11">B1:K1*A2:A11</f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55000000000000004">
      <c r="A3" s="1">
        <v>2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  <c r="I3">
        <v>16</v>
      </c>
      <c r="J3">
        <v>18</v>
      </c>
      <c r="K3">
        <v>20</v>
      </c>
    </row>
    <row r="4" spans="1:11" x14ac:dyDescent="0.55000000000000004">
      <c r="A4" s="1">
        <v>3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  <c r="I4">
        <v>24</v>
      </c>
      <c r="J4">
        <v>27</v>
      </c>
      <c r="K4">
        <v>30</v>
      </c>
    </row>
    <row r="5" spans="1:11" x14ac:dyDescent="0.55000000000000004">
      <c r="A5" s="1">
        <v>4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  <c r="I5">
        <v>32</v>
      </c>
      <c r="J5">
        <v>36</v>
      </c>
      <c r="K5">
        <v>40</v>
      </c>
    </row>
    <row r="6" spans="1:11" x14ac:dyDescent="0.55000000000000004">
      <c r="A6" s="1">
        <v>5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  <c r="I6">
        <v>40</v>
      </c>
      <c r="J6">
        <v>45</v>
      </c>
      <c r="K6">
        <v>50</v>
      </c>
    </row>
    <row r="7" spans="1:11" x14ac:dyDescent="0.55000000000000004">
      <c r="A7" s="1">
        <v>6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  <c r="I7">
        <v>48</v>
      </c>
      <c r="J7">
        <v>54</v>
      </c>
      <c r="K7">
        <v>60</v>
      </c>
    </row>
    <row r="8" spans="1:11" x14ac:dyDescent="0.55000000000000004">
      <c r="A8" s="1">
        <v>7</v>
      </c>
      <c r="B8">
        <v>7</v>
      </c>
      <c r="C8">
        <v>14</v>
      </c>
      <c r="D8">
        <v>21</v>
      </c>
      <c r="E8">
        <v>28</v>
      </c>
      <c r="F8">
        <v>35</v>
      </c>
      <c r="G8">
        <v>42</v>
      </c>
      <c r="H8">
        <v>49</v>
      </c>
      <c r="I8">
        <v>56</v>
      </c>
      <c r="J8">
        <v>63</v>
      </c>
      <c r="K8">
        <v>70</v>
      </c>
    </row>
    <row r="9" spans="1:11" x14ac:dyDescent="0.55000000000000004">
      <c r="A9" s="1">
        <v>8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  <c r="I9">
        <v>64</v>
      </c>
      <c r="J9">
        <v>72</v>
      </c>
      <c r="K9">
        <v>80</v>
      </c>
    </row>
    <row r="10" spans="1:11" x14ac:dyDescent="0.55000000000000004">
      <c r="A10" s="1">
        <v>9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  <c r="I10">
        <v>72</v>
      </c>
      <c r="J10">
        <v>81</v>
      </c>
      <c r="K10">
        <v>90</v>
      </c>
    </row>
    <row r="11" spans="1:11" x14ac:dyDescent="0.55000000000000004">
      <c r="A11" s="1">
        <v>10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  <c r="I11">
        <v>80</v>
      </c>
      <c r="J11">
        <v>90</v>
      </c>
      <c r="K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7"/>
  <sheetViews>
    <sheetView zoomScale="130" zoomScaleNormal="130" workbookViewId="0">
      <selection activeCell="A5" sqref="A5"/>
    </sheetView>
  </sheetViews>
  <sheetFormatPr defaultRowHeight="14.4" x14ac:dyDescent="0.55000000000000004"/>
  <sheetData>
    <row r="1" spans="1:3" x14ac:dyDescent="0.55000000000000004">
      <c r="A1">
        <v>1</v>
      </c>
      <c r="B1">
        <v>2</v>
      </c>
      <c r="C1">
        <v>3</v>
      </c>
    </row>
    <row r="2" spans="1:3" x14ac:dyDescent="0.55000000000000004">
      <c r="A2">
        <v>4</v>
      </c>
      <c r="B2">
        <v>5</v>
      </c>
      <c r="C2">
        <v>6</v>
      </c>
    </row>
    <row r="5" spans="1:3" x14ac:dyDescent="0.55000000000000004">
      <c r="A5" cm="1">
        <f t="array" ref="A5:B7">TRANSPOSE(A1:C2)</f>
        <v>1</v>
      </c>
      <c r="B5">
        <v>4</v>
      </c>
    </row>
    <row r="6" spans="1:3" x14ac:dyDescent="0.55000000000000004">
      <c r="A6">
        <v>2</v>
      </c>
      <c r="B6">
        <v>5</v>
      </c>
    </row>
    <row r="7" spans="1:3" x14ac:dyDescent="0.55000000000000004">
      <c r="A7">
        <v>3</v>
      </c>
      <c r="B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J107"/>
  <sheetViews>
    <sheetView workbookViewId="0">
      <pane ySplit="5" topLeftCell="A74" activePane="bottomLeft" state="frozen"/>
      <selection pane="bottomLeft" activeCell="A75" sqref="A75"/>
    </sheetView>
  </sheetViews>
  <sheetFormatPr defaultRowHeight="14.4" x14ac:dyDescent="0.55000000000000004"/>
  <cols>
    <col min="1" max="1" width="42.15625" customWidth="1"/>
    <col min="2" max="2" width="16.68359375" customWidth="1"/>
    <col min="10" max="10" width="21.578125" customWidth="1"/>
  </cols>
  <sheetData>
    <row r="1" spans="1:10" ht="50.1" x14ac:dyDescent="0.55000000000000004">
      <c r="A1" s="2" t="s">
        <v>0</v>
      </c>
      <c r="B1" s="3"/>
    </row>
    <row r="2" spans="1:10" x14ac:dyDescent="0.55000000000000004">
      <c r="A2" s="10"/>
      <c r="B2" s="13" t="s">
        <v>1</v>
      </c>
    </row>
    <row r="3" spans="1:10" x14ac:dyDescent="0.55000000000000004">
      <c r="A3" s="11"/>
      <c r="B3" s="13"/>
    </row>
    <row r="4" spans="1:10" x14ac:dyDescent="0.55000000000000004">
      <c r="A4" s="11"/>
      <c r="B4" s="13"/>
    </row>
    <row r="5" spans="1:10" x14ac:dyDescent="0.55000000000000004">
      <c r="A5" s="12"/>
      <c r="B5" s="13"/>
      <c r="J5" t="s">
        <v>542</v>
      </c>
    </row>
    <row r="6" spans="1:10" ht="17.7" x14ac:dyDescent="0.6">
      <c r="A6" s="4" t="s">
        <v>2</v>
      </c>
      <c r="B6" s="5">
        <v>30878</v>
      </c>
      <c r="J6" t="str" cm="1">
        <f t="array" ref="J6:J10">_xlfn.XLOOKUP(LARGE($B$6:$B$91,{1;2;3;4;5}),B6:B91,A6:A91)</f>
        <v xml:space="preserve">Красноярский край   </v>
      </c>
    </row>
    <row r="7" spans="1:10" ht="17.7" x14ac:dyDescent="0.6">
      <c r="A7" s="4" t="s">
        <v>3</v>
      </c>
      <c r="B7" s="5">
        <v>27488</v>
      </c>
      <c r="J7" t="str">
        <v xml:space="preserve">    Ненецкий авт.округ</v>
      </c>
    </row>
    <row r="8" spans="1:10" ht="17.7" x14ac:dyDescent="0.6">
      <c r="A8" s="4" t="s">
        <v>4</v>
      </c>
      <c r="B8" s="5">
        <v>24185</v>
      </c>
      <c r="F8">
        <v>20000</v>
      </c>
      <c r="G8" cm="1">
        <f t="array" ref="G8:G12">FREQUENCY(B6:B91,F8:F11)</f>
        <v>8</v>
      </c>
      <c r="J8" t="str">
        <v xml:space="preserve">    Ямало-Ненецкий авт.округ</v>
      </c>
    </row>
    <row r="9" spans="1:10" ht="17.7" x14ac:dyDescent="0.6">
      <c r="A9" s="4" t="s">
        <v>5</v>
      </c>
      <c r="B9" s="5">
        <v>30487</v>
      </c>
      <c r="F9">
        <v>30000</v>
      </c>
      <c r="G9">
        <v>53</v>
      </c>
      <c r="J9" t="str">
        <v>Чукотский  авт.округ</v>
      </c>
    </row>
    <row r="10" spans="1:10" ht="17.7" x14ac:dyDescent="0.6">
      <c r="A10" s="4" t="s">
        <v>6</v>
      </c>
      <c r="B10" s="5">
        <v>24511</v>
      </c>
      <c r="F10">
        <v>40000</v>
      </c>
      <c r="G10">
        <v>13</v>
      </c>
      <c r="J10" t="str">
        <v>г.Москва</v>
      </c>
    </row>
    <row r="11" spans="1:10" ht="17.7" x14ac:dyDescent="0.6">
      <c r="A11" s="4" t="s">
        <v>7</v>
      </c>
      <c r="B11" s="5">
        <v>28364</v>
      </c>
      <c r="F11">
        <v>50000</v>
      </c>
      <c r="G11">
        <v>6</v>
      </c>
    </row>
    <row r="12" spans="1:10" ht="17.7" x14ac:dyDescent="0.6">
      <c r="A12" s="4" t="s">
        <v>8</v>
      </c>
      <c r="B12" s="5">
        <v>23464</v>
      </c>
      <c r="G12">
        <v>6</v>
      </c>
    </row>
    <row r="13" spans="1:10" ht="17.7" x14ac:dyDescent="0.6">
      <c r="A13" s="4" t="s">
        <v>9</v>
      </c>
      <c r="B13" s="5">
        <v>27218</v>
      </c>
    </row>
    <row r="14" spans="1:10" ht="17.7" x14ac:dyDescent="0.6">
      <c r="A14" s="4" t="s">
        <v>10</v>
      </c>
      <c r="B14" s="5">
        <v>29921</v>
      </c>
    </row>
    <row r="15" spans="1:10" ht="17.7" x14ac:dyDescent="0.6">
      <c r="A15" s="4" t="s">
        <v>11</v>
      </c>
      <c r="B15" s="5">
        <v>42814</v>
      </c>
    </row>
    <row r="16" spans="1:10" ht="17.7" x14ac:dyDescent="0.6">
      <c r="A16" s="4" t="s">
        <v>12</v>
      </c>
      <c r="B16" s="5">
        <v>24658</v>
      </c>
    </row>
    <row r="17" spans="1:2" ht="17.7" x14ac:dyDescent="0.6">
      <c r="A17" s="4" t="s">
        <v>13</v>
      </c>
      <c r="B17" s="5">
        <v>25751</v>
      </c>
    </row>
    <row r="18" spans="1:2" ht="17.7" x14ac:dyDescent="0.6">
      <c r="A18" s="4" t="s">
        <v>14</v>
      </c>
      <c r="B18" s="5">
        <v>26085</v>
      </c>
    </row>
    <row r="19" spans="1:2" ht="17.7" x14ac:dyDescent="0.6">
      <c r="A19" s="4" t="s">
        <v>15</v>
      </c>
      <c r="B19" s="5">
        <v>26233</v>
      </c>
    </row>
    <row r="20" spans="1:2" ht="17.7" x14ac:dyDescent="0.6">
      <c r="A20" s="4" t="s">
        <v>16</v>
      </c>
      <c r="B20" s="5">
        <v>25467</v>
      </c>
    </row>
    <row r="21" spans="1:2" ht="17.7" x14ac:dyDescent="0.6">
      <c r="A21" s="4" t="s">
        <v>17</v>
      </c>
      <c r="B21" s="5">
        <v>27775</v>
      </c>
    </row>
    <row r="22" spans="1:2" ht="17.7" x14ac:dyDescent="0.6">
      <c r="A22" s="4" t="s">
        <v>18</v>
      </c>
      <c r="B22" s="5">
        <v>26610</v>
      </c>
    </row>
    <row r="23" spans="1:2" ht="17.7" x14ac:dyDescent="0.6">
      <c r="A23" s="4" t="s">
        <v>19</v>
      </c>
      <c r="B23" s="5">
        <v>62481</v>
      </c>
    </row>
    <row r="24" spans="1:2" ht="17.7" x14ac:dyDescent="0.6">
      <c r="A24" s="4" t="s">
        <v>20</v>
      </c>
      <c r="B24" s="5">
        <v>27846</v>
      </c>
    </row>
    <row r="25" spans="1:2" ht="17.7" x14ac:dyDescent="0.6">
      <c r="A25" s="4" t="s">
        <v>21</v>
      </c>
      <c r="B25" s="5">
        <v>32125</v>
      </c>
    </row>
    <row r="26" spans="1:2" ht="17.7" x14ac:dyDescent="0.6">
      <c r="A26" s="4" t="s">
        <v>22</v>
      </c>
      <c r="B26" s="5">
        <v>33518</v>
      </c>
    </row>
    <row r="27" spans="1:2" ht="17.7" x14ac:dyDescent="0.6">
      <c r="A27" s="4" t="s">
        <v>23</v>
      </c>
      <c r="B27" s="5">
        <v>74559</v>
      </c>
    </row>
    <row r="28" spans="1:2" ht="17.7" x14ac:dyDescent="0.6">
      <c r="A28" s="4" t="s">
        <v>24</v>
      </c>
      <c r="B28" s="5">
        <v>31888</v>
      </c>
    </row>
    <row r="29" spans="1:2" ht="17.7" x14ac:dyDescent="0.6">
      <c r="A29" s="4" t="s">
        <v>25</v>
      </c>
      <c r="B29" s="5">
        <v>26730</v>
      </c>
    </row>
    <row r="30" spans="1:2" ht="17.7" x14ac:dyDescent="0.6">
      <c r="A30" s="4" t="s">
        <v>26</v>
      </c>
      <c r="B30" s="5">
        <v>27219</v>
      </c>
    </row>
    <row r="31" spans="1:2" ht="17.7" x14ac:dyDescent="0.6">
      <c r="A31" s="4" t="s">
        <v>27</v>
      </c>
      <c r="B31" s="5">
        <v>29532</v>
      </c>
    </row>
    <row r="32" spans="1:2" ht="17.7" x14ac:dyDescent="0.6">
      <c r="A32" s="4" t="s">
        <v>28</v>
      </c>
      <c r="B32" s="5">
        <v>37077</v>
      </c>
    </row>
    <row r="33" spans="1:2" ht="17.7" x14ac:dyDescent="0.6">
      <c r="A33" s="4" t="s">
        <v>29</v>
      </c>
      <c r="B33" s="5">
        <v>25198</v>
      </c>
    </row>
    <row r="34" spans="1:2" ht="17.7" x14ac:dyDescent="0.6">
      <c r="A34" s="4" t="s">
        <v>30</v>
      </c>
      <c r="B34" s="5">
        <v>23500</v>
      </c>
    </row>
    <row r="35" spans="1:2" ht="17.7" x14ac:dyDescent="0.6">
      <c r="A35" s="4" t="s">
        <v>31</v>
      </c>
      <c r="B35" s="5">
        <v>42823</v>
      </c>
    </row>
    <row r="36" spans="1:2" ht="17.7" x14ac:dyDescent="0.6">
      <c r="A36" s="4" t="s">
        <v>32</v>
      </c>
      <c r="B36" s="5">
        <v>26947</v>
      </c>
    </row>
    <row r="37" spans="1:2" ht="17.7" x14ac:dyDescent="0.6">
      <c r="A37" s="4" t="s">
        <v>33</v>
      </c>
      <c r="B37" s="5">
        <v>16837</v>
      </c>
    </row>
    <row r="38" spans="1:2" ht="17.7" x14ac:dyDescent="0.6">
      <c r="A38" s="4" t="s">
        <v>34</v>
      </c>
      <c r="B38" s="5">
        <v>22518</v>
      </c>
    </row>
    <row r="39" spans="1:2" ht="17.7" x14ac:dyDescent="0.6">
      <c r="A39" s="4" t="s">
        <v>35</v>
      </c>
      <c r="B39" s="5">
        <v>33698</v>
      </c>
    </row>
    <row r="40" spans="1:2" ht="17.7" x14ac:dyDescent="0.6">
      <c r="A40" s="4" t="s">
        <v>36</v>
      </c>
      <c r="B40" s="5">
        <v>23024</v>
      </c>
    </row>
    <row r="41" spans="1:2" ht="17.7" x14ac:dyDescent="0.6">
      <c r="A41" s="4" t="s">
        <v>37</v>
      </c>
      <c r="B41" s="5">
        <v>22341</v>
      </c>
    </row>
    <row r="42" spans="1:2" ht="17.7" x14ac:dyDescent="0.6">
      <c r="A42" s="4" t="s">
        <v>38</v>
      </c>
      <c r="B42" s="5">
        <v>28885</v>
      </c>
    </row>
    <row r="43" spans="1:2" ht="17.7" x14ac:dyDescent="0.6">
      <c r="A43" s="4" t="s">
        <v>39</v>
      </c>
      <c r="B43" s="5">
        <v>26193</v>
      </c>
    </row>
    <row r="44" spans="1:2" ht="17.7" x14ac:dyDescent="0.6">
      <c r="A44" s="4" t="s">
        <v>40</v>
      </c>
      <c r="B44" s="5">
        <v>24988</v>
      </c>
    </row>
    <row r="45" spans="1:2" ht="17.7" x14ac:dyDescent="0.6">
      <c r="A45" s="4" t="s">
        <v>41</v>
      </c>
      <c r="B45" s="5">
        <v>15751</v>
      </c>
    </row>
    <row r="46" spans="1:2" ht="17.7" x14ac:dyDescent="0.6">
      <c r="A46" s="4" t="s">
        <v>42</v>
      </c>
      <c r="B46" s="5">
        <v>21371</v>
      </c>
    </row>
    <row r="47" spans="1:2" ht="17.7" x14ac:dyDescent="0.6">
      <c r="A47" s="4" t="s">
        <v>43</v>
      </c>
      <c r="B47" s="5">
        <v>17397</v>
      </c>
    </row>
    <row r="48" spans="1:2" ht="17.7" x14ac:dyDescent="0.6">
      <c r="A48" s="4" t="s">
        <v>44</v>
      </c>
      <c r="B48" s="5">
        <v>23005</v>
      </c>
    </row>
    <row r="49" spans="1:2" ht="17.7" x14ac:dyDescent="0.6">
      <c r="A49" s="4" t="s">
        <v>45</v>
      </c>
      <c r="B49" s="5">
        <v>22802</v>
      </c>
    </row>
    <row r="50" spans="1:2" ht="17.7" x14ac:dyDescent="0.6">
      <c r="A50" s="4" t="s">
        <v>46</v>
      </c>
      <c r="B50" s="5">
        <v>24202</v>
      </c>
    </row>
    <row r="51" spans="1:2" ht="17.7" x14ac:dyDescent="0.6">
      <c r="A51" s="4" t="s">
        <v>47</v>
      </c>
      <c r="B51" s="5">
        <v>28727</v>
      </c>
    </row>
    <row r="52" spans="1:2" ht="17.7" x14ac:dyDescent="0.6">
      <c r="A52" s="4" t="s">
        <v>48</v>
      </c>
      <c r="B52" s="5">
        <v>19236</v>
      </c>
    </row>
    <row r="53" spans="1:2" ht="17.7" x14ac:dyDescent="0.6">
      <c r="A53" s="4" t="s">
        <v>49</v>
      </c>
      <c r="B53" s="5">
        <v>18039</v>
      </c>
    </row>
    <row r="54" spans="1:2" ht="17.7" x14ac:dyDescent="0.6">
      <c r="A54" s="4" t="s">
        <v>50</v>
      </c>
      <c r="B54" s="5">
        <v>33017</v>
      </c>
    </row>
    <row r="55" spans="1:2" ht="17.7" x14ac:dyDescent="0.6">
      <c r="A55" s="4" t="s">
        <v>51</v>
      </c>
      <c r="B55" s="5">
        <v>24631</v>
      </c>
    </row>
    <row r="56" spans="1:2" ht="17.7" x14ac:dyDescent="0.6">
      <c r="A56" s="4" t="s">
        <v>52</v>
      </c>
      <c r="B56" s="5">
        <v>18177</v>
      </c>
    </row>
    <row r="57" spans="1:2" ht="17.7" x14ac:dyDescent="0.6">
      <c r="A57" s="4" t="s">
        <v>53</v>
      </c>
      <c r="B57" s="5">
        <v>28849</v>
      </c>
    </row>
    <row r="58" spans="1:2" ht="17.7" x14ac:dyDescent="0.6">
      <c r="A58" s="4" t="s">
        <v>54</v>
      </c>
      <c r="B58" s="5">
        <v>22019</v>
      </c>
    </row>
    <row r="59" spans="1:2" ht="17.7" x14ac:dyDescent="0.6">
      <c r="A59" s="4" t="s">
        <v>55</v>
      </c>
      <c r="B59" s="5">
        <v>31700</v>
      </c>
    </row>
    <row r="60" spans="1:2" ht="17.7" x14ac:dyDescent="0.6">
      <c r="A60" s="4" t="s">
        <v>56</v>
      </c>
      <c r="B60" s="5">
        <v>23923</v>
      </c>
    </row>
    <row r="61" spans="1:2" ht="17.7" x14ac:dyDescent="0.6">
      <c r="A61" s="4" t="s">
        <v>57</v>
      </c>
      <c r="B61" s="5">
        <v>21549</v>
      </c>
    </row>
    <row r="62" spans="1:2" ht="17.7" x14ac:dyDescent="0.6">
      <c r="A62" s="4" t="s">
        <v>58</v>
      </c>
      <c r="B62" s="5">
        <v>27549</v>
      </c>
    </row>
    <row r="63" spans="1:2" ht="17.7" x14ac:dyDescent="0.6">
      <c r="A63" s="4" t="s">
        <v>59</v>
      </c>
      <c r="B63" s="5">
        <v>20634</v>
      </c>
    </row>
    <row r="64" spans="1:2" ht="17.7" x14ac:dyDescent="0.6">
      <c r="A64" s="4" t="s">
        <v>60</v>
      </c>
      <c r="B64" s="5">
        <v>23014</v>
      </c>
    </row>
    <row r="65" spans="1:2" ht="17.7" x14ac:dyDescent="0.6">
      <c r="A65" s="4" t="s">
        <v>61</v>
      </c>
      <c r="B65" s="5">
        <v>21006</v>
      </c>
    </row>
    <row r="66" spans="1:2" ht="17.7" x14ac:dyDescent="0.6">
      <c r="A66" s="4" t="s">
        <v>62</v>
      </c>
      <c r="B66" s="5">
        <v>36284</v>
      </c>
    </row>
    <row r="67" spans="1:2" ht="17.7" x14ac:dyDescent="0.6">
      <c r="A67" s="4" t="s">
        <v>63</v>
      </c>
      <c r="B67" s="5">
        <v>46258</v>
      </c>
    </row>
    <row r="68" spans="1:2" ht="17.7" x14ac:dyDescent="0.6">
      <c r="A68" s="4" t="s">
        <v>64</v>
      </c>
      <c r="B68" s="5">
        <v>74304</v>
      </c>
    </row>
    <row r="69" spans="1:2" ht="17.7" x14ac:dyDescent="0.6">
      <c r="A69" s="4" t="s">
        <v>65</v>
      </c>
      <c r="B69" s="5">
        <v>29460</v>
      </c>
    </row>
    <row r="70" spans="1:2" ht="17.7" x14ac:dyDescent="0.6">
      <c r="A70" s="4" t="s">
        <v>66</v>
      </c>
      <c r="B70" s="5">
        <v>23868</v>
      </c>
    </row>
    <row r="71" spans="1:2" ht="17.7" x14ac:dyDescent="0.6">
      <c r="A71" s="4" t="s">
        <v>67</v>
      </c>
      <c r="B71" s="5">
        <v>19412</v>
      </c>
    </row>
    <row r="72" spans="1:2" ht="17.7" x14ac:dyDescent="0.6">
      <c r="A72" s="4" t="s">
        <v>68</v>
      </c>
      <c r="B72" s="5">
        <v>14379</v>
      </c>
    </row>
    <row r="73" spans="1:2" ht="17.7" x14ac:dyDescent="0.6">
      <c r="A73" s="4" t="s">
        <v>69</v>
      </c>
      <c r="B73" s="5">
        <v>21826</v>
      </c>
    </row>
    <row r="74" spans="1:2" ht="17.7" x14ac:dyDescent="0.6">
      <c r="A74" s="4" t="s">
        <v>70</v>
      </c>
      <c r="B74" s="5">
        <v>22483</v>
      </c>
    </row>
    <row r="75" spans="1:2" ht="17.7" x14ac:dyDescent="0.6">
      <c r="A75" s="4" t="s">
        <v>71</v>
      </c>
      <c r="B75" s="5">
        <v>100000</v>
      </c>
    </row>
    <row r="76" spans="1:2" ht="17.7" x14ac:dyDescent="0.6">
      <c r="A76" s="4" t="s">
        <v>72</v>
      </c>
      <c r="B76" s="5">
        <v>22891</v>
      </c>
    </row>
    <row r="77" spans="1:2" ht="17.7" x14ac:dyDescent="0.6">
      <c r="A77" s="4" t="s">
        <v>73</v>
      </c>
      <c r="B77" s="5">
        <v>22208</v>
      </c>
    </row>
    <row r="78" spans="1:2" ht="17.7" x14ac:dyDescent="0.6">
      <c r="A78" s="4" t="s">
        <v>74</v>
      </c>
      <c r="B78" s="5">
        <v>25461</v>
      </c>
    </row>
    <row r="79" spans="1:2" ht="17.7" x14ac:dyDescent="0.6">
      <c r="A79" s="4" t="s">
        <v>75</v>
      </c>
      <c r="B79" s="5">
        <v>25268</v>
      </c>
    </row>
    <row r="80" spans="1:2" ht="17.7" x14ac:dyDescent="0.6">
      <c r="A80" s="4" t="s">
        <v>76</v>
      </c>
      <c r="B80" s="5">
        <v>26320</v>
      </c>
    </row>
    <row r="81" spans="1:2" ht="17.7" x14ac:dyDescent="0.6">
      <c r="A81" s="4" t="s">
        <v>77</v>
      </c>
      <c r="B81" s="5">
        <v>24837</v>
      </c>
    </row>
    <row r="82" spans="1:2" ht="17.7" x14ac:dyDescent="0.6">
      <c r="A82" s="4" t="s">
        <v>78</v>
      </c>
      <c r="B82" s="5">
        <v>42172</v>
      </c>
    </row>
    <row r="83" spans="1:2" ht="17.7" x14ac:dyDescent="0.6">
      <c r="A83" s="4" t="s">
        <v>79</v>
      </c>
      <c r="B83" s="5">
        <v>24220</v>
      </c>
    </row>
    <row r="84" spans="1:2" ht="17.7" x14ac:dyDescent="0.6">
      <c r="A84" s="4" t="s">
        <v>80</v>
      </c>
      <c r="B84" s="5">
        <v>45034</v>
      </c>
    </row>
    <row r="85" spans="1:2" ht="17.7" x14ac:dyDescent="0.6">
      <c r="A85" s="4" t="s">
        <v>81</v>
      </c>
      <c r="B85" s="5">
        <v>34620</v>
      </c>
    </row>
    <row r="86" spans="1:2" ht="17.7" x14ac:dyDescent="0.6">
      <c r="A86" s="4" t="s">
        <v>82</v>
      </c>
      <c r="B86" s="5">
        <v>39653</v>
      </c>
    </row>
    <row r="87" spans="1:2" ht="17.7" x14ac:dyDescent="0.6">
      <c r="A87" s="4" t="s">
        <v>83</v>
      </c>
      <c r="B87" s="5">
        <v>31883</v>
      </c>
    </row>
    <row r="88" spans="1:2" ht="17.7" x14ac:dyDescent="0.6">
      <c r="A88" s="4" t="s">
        <v>84</v>
      </c>
      <c r="B88" s="5">
        <v>53137</v>
      </c>
    </row>
    <row r="89" spans="1:2" ht="17.7" x14ac:dyDescent="0.6">
      <c r="A89" s="4" t="s">
        <v>85</v>
      </c>
      <c r="B89" s="5">
        <v>49543</v>
      </c>
    </row>
    <row r="90" spans="1:2" ht="17.7" x14ac:dyDescent="0.6">
      <c r="A90" s="4" t="s">
        <v>86</v>
      </c>
      <c r="B90" s="5">
        <v>23823</v>
      </c>
    </row>
    <row r="91" spans="1:2" ht="17.7" x14ac:dyDescent="0.6">
      <c r="A91" s="4" t="s">
        <v>87</v>
      </c>
      <c r="B91" s="5">
        <v>72716</v>
      </c>
    </row>
    <row r="99" spans="1:2" x14ac:dyDescent="0.55000000000000004">
      <c r="A99" s="6"/>
      <c r="B99" s="6"/>
    </row>
    <row r="100" spans="1:2" x14ac:dyDescent="0.55000000000000004">
      <c r="A100" s="6"/>
      <c r="B100" s="6"/>
    </row>
    <row r="101" spans="1:2" x14ac:dyDescent="0.55000000000000004">
      <c r="A101" s="6"/>
      <c r="B101" s="6"/>
    </row>
    <row r="102" spans="1:2" x14ac:dyDescent="0.55000000000000004">
      <c r="A102" s="6"/>
      <c r="B102" s="6"/>
    </row>
    <row r="103" spans="1:2" x14ac:dyDescent="0.55000000000000004">
      <c r="A103" s="6"/>
      <c r="B103" s="6"/>
    </row>
    <row r="104" spans="1:2" x14ac:dyDescent="0.55000000000000004">
      <c r="A104" s="6"/>
      <c r="B104" s="6"/>
    </row>
    <row r="105" spans="1:2" x14ac:dyDescent="0.55000000000000004">
      <c r="A105" s="6"/>
      <c r="B105" s="6"/>
    </row>
    <row r="106" spans="1:2" x14ac:dyDescent="0.55000000000000004">
      <c r="A106" s="6"/>
      <c r="B106" s="6"/>
    </row>
    <row r="107" spans="1:2" x14ac:dyDescent="0.55000000000000004">
      <c r="A107" s="6"/>
      <c r="B107" s="6"/>
    </row>
  </sheetData>
  <mergeCells count="2">
    <mergeCell ref="A2:A5"/>
    <mergeCell ref="B2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5D63-091B-45B0-ABFE-13CB18AABD23}">
  <dimension ref="A4:D7"/>
  <sheetViews>
    <sheetView workbookViewId="0">
      <selection activeCell="B5" sqref="B5:B7"/>
    </sheetView>
  </sheetViews>
  <sheetFormatPr defaultRowHeight="14.4" x14ac:dyDescent="0.55000000000000004"/>
  <cols>
    <col min="1" max="1" width="49.578125" bestFit="1" customWidth="1"/>
    <col min="2" max="4" width="15.578125" customWidth="1"/>
  </cols>
  <sheetData>
    <row r="4" spans="1:4" x14ac:dyDescent="0.55000000000000004">
      <c r="B4" s="8" t="s">
        <v>120</v>
      </c>
      <c r="C4" s="8" t="s">
        <v>121</v>
      </c>
      <c r="D4" s="8" t="s">
        <v>122</v>
      </c>
    </row>
    <row r="5" spans="1:4" x14ac:dyDescent="0.55000000000000004">
      <c r="A5" t="s">
        <v>100</v>
      </c>
      <c r="B5" t="str" cm="1">
        <f t="array" ref="B5:D5">VLOOKUP(A5,'1С'!$B:$F,{3,4,5},0)</f>
        <v>Редакция №1</v>
      </c>
      <c r="C5" t="str">
        <v>Твердый переплет</v>
      </c>
      <c r="D5" t="str">
        <v>Дистрибуция</v>
      </c>
    </row>
    <row r="6" spans="1:4" x14ac:dyDescent="0.55000000000000004">
      <c r="A6" t="s">
        <v>106</v>
      </c>
      <c r="B6" t="str" cm="1">
        <f t="array" ref="B6:D6">VLOOKUP(A6,'1С'!$B:$F,{3,4,5},0)</f>
        <v>Редакция №1</v>
      </c>
      <c r="C6" t="str">
        <v>Покетбук</v>
      </c>
      <c r="D6" t="str">
        <v>Дистрибуция</v>
      </c>
    </row>
    <row r="7" spans="1:4" x14ac:dyDescent="0.55000000000000004">
      <c r="A7" t="s">
        <v>205</v>
      </c>
      <c r="B7" t="str" cm="1">
        <f t="array" ref="B7:D7">VLOOKUP(A7,'1С'!$B:$F,{3,4,5},0)</f>
        <v>Редакция №2</v>
      </c>
      <c r="C7" t="str">
        <v>Покетбук</v>
      </c>
      <c r="D7" t="str">
        <v>Дистрибуция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0D6B-E6FF-4B93-B2E0-7601F29E218C}">
  <dimension ref="A1:AV601"/>
  <sheetViews>
    <sheetView workbookViewId="0">
      <pane xSplit="2" ySplit="1" topLeftCell="C576" activePane="bottomRight" state="frozen"/>
      <selection pane="topRight" activeCell="C1" sqref="C1"/>
      <selection pane="bottomLeft" activeCell="A2" sqref="A2"/>
      <selection pane="bottomRight" activeCell="B1" sqref="B1:H1"/>
    </sheetView>
  </sheetViews>
  <sheetFormatPr defaultRowHeight="14.4" x14ac:dyDescent="0.55000000000000004"/>
  <cols>
    <col min="2" max="2" width="61.15625" bestFit="1" customWidth="1"/>
    <col min="3" max="3" width="10.15625" bestFit="1" customWidth="1"/>
    <col min="4" max="4" width="13.41796875" bestFit="1" customWidth="1"/>
    <col min="5" max="5" width="18.578125" bestFit="1" customWidth="1"/>
    <col min="6" max="6" width="18.15625" bestFit="1" customWidth="1"/>
  </cols>
  <sheetData>
    <row r="1" spans="1:48" ht="50.1" x14ac:dyDescent="0.55000000000000004">
      <c r="A1" s="7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  <c r="I1" s="8" t="s">
        <v>125</v>
      </c>
      <c r="J1" s="8" t="s">
        <v>126</v>
      </c>
      <c r="K1" s="8" t="s">
        <v>127</v>
      </c>
      <c r="L1" s="8" t="s">
        <v>128</v>
      </c>
      <c r="M1" s="8" t="s">
        <v>129</v>
      </c>
      <c r="N1" s="8" t="s">
        <v>130</v>
      </c>
      <c r="O1" s="8" t="s">
        <v>131</v>
      </c>
      <c r="P1" s="8" t="s">
        <v>132</v>
      </c>
      <c r="Q1" s="8" t="s">
        <v>133</v>
      </c>
      <c r="R1" s="8" t="s">
        <v>134</v>
      </c>
      <c r="S1" s="8" t="s">
        <v>135</v>
      </c>
      <c r="T1" s="8" t="s">
        <v>136</v>
      </c>
      <c r="U1" s="8" t="s">
        <v>137</v>
      </c>
      <c r="V1" s="8" t="s">
        <v>138</v>
      </c>
      <c r="W1" s="8" t="s">
        <v>139</v>
      </c>
      <c r="X1" s="8" t="s">
        <v>140</v>
      </c>
      <c r="Y1" s="8" t="s">
        <v>141</v>
      </c>
      <c r="Z1" s="8" t="s">
        <v>142</v>
      </c>
      <c r="AA1" s="8" t="s">
        <v>143</v>
      </c>
      <c r="AB1" s="8" t="s">
        <v>144</v>
      </c>
      <c r="AC1" s="8" t="s">
        <v>145</v>
      </c>
      <c r="AD1" s="8" t="s">
        <v>146</v>
      </c>
      <c r="AE1" s="8" t="s">
        <v>147</v>
      </c>
      <c r="AF1" s="8" t="s">
        <v>148</v>
      </c>
      <c r="AG1" s="8" t="s">
        <v>149</v>
      </c>
      <c r="AH1" s="8" t="s">
        <v>150</v>
      </c>
      <c r="AI1" s="8" t="s">
        <v>151</v>
      </c>
      <c r="AJ1" s="8" t="s">
        <v>152</v>
      </c>
      <c r="AK1" s="8" t="s">
        <v>153</v>
      </c>
      <c r="AL1" s="8" t="s">
        <v>154</v>
      </c>
      <c r="AM1" s="8" t="s">
        <v>155</v>
      </c>
      <c r="AN1" s="8" t="s">
        <v>156</v>
      </c>
      <c r="AO1" s="8" t="s">
        <v>157</v>
      </c>
      <c r="AP1" s="8" t="s">
        <v>158</v>
      </c>
      <c r="AQ1" s="8" t="s">
        <v>159</v>
      </c>
      <c r="AR1" s="8" t="s">
        <v>160</v>
      </c>
      <c r="AS1" s="8" t="s">
        <v>161</v>
      </c>
      <c r="AT1" s="8" t="s">
        <v>162</v>
      </c>
      <c r="AU1" s="8" t="s">
        <v>163</v>
      </c>
      <c r="AV1" s="8" t="s">
        <v>164</v>
      </c>
    </row>
    <row r="2" spans="1:48" x14ac:dyDescent="0.55000000000000004">
      <c r="A2" t="s">
        <v>165</v>
      </c>
      <c r="B2" t="s">
        <v>88</v>
      </c>
      <c r="C2" s="9">
        <v>42484</v>
      </c>
      <c r="D2" t="s">
        <v>166</v>
      </c>
      <c r="E2" t="s">
        <v>167</v>
      </c>
      <c r="F2" t="s">
        <v>168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48" x14ac:dyDescent="0.55000000000000004">
      <c r="A3" t="s">
        <v>169</v>
      </c>
      <c r="B3" t="s">
        <v>89</v>
      </c>
      <c r="C3" s="9">
        <v>42609</v>
      </c>
      <c r="D3" t="s">
        <v>166</v>
      </c>
      <c r="E3" t="s">
        <v>170</v>
      </c>
      <c r="F3" t="s">
        <v>168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48" x14ac:dyDescent="0.55000000000000004">
      <c r="A4" t="s">
        <v>171</v>
      </c>
      <c r="B4" t="s">
        <v>90</v>
      </c>
      <c r="C4" s="9">
        <v>43385</v>
      </c>
      <c r="D4" t="s">
        <v>166</v>
      </c>
      <c r="E4" t="s">
        <v>167</v>
      </c>
      <c r="F4" t="s">
        <v>168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48" x14ac:dyDescent="0.55000000000000004">
      <c r="A5" t="s">
        <v>172</v>
      </c>
      <c r="B5" t="s">
        <v>91</v>
      </c>
      <c r="C5" s="9">
        <v>42908</v>
      </c>
      <c r="D5" t="s">
        <v>166</v>
      </c>
      <c r="E5" t="s">
        <v>170</v>
      </c>
      <c r="F5" t="s">
        <v>168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48" x14ac:dyDescent="0.55000000000000004">
      <c r="A6" t="s">
        <v>173</v>
      </c>
      <c r="B6" t="s">
        <v>92</v>
      </c>
      <c r="C6" s="9">
        <v>42104</v>
      </c>
      <c r="D6" t="s">
        <v>174</v>
      </c>
      <c r="E6" t="s">
        <v>175</v>
      </c>
      <c r="F6" t="s">
        <v>168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48" x14ac:dyDescent="0.55000000000000004">
      <c r="A7" t="s">
        <v>176</v>
      </c>
      <c r="B7" t="s">
        <v>93</v>
      </c>
      <c r="C7" s="9">
        <v>44108</v>
      </c>
      <c r="D7" t="s">
        <v>174</v>
      </c>
      <c r="E7" t="s">
        <v>175</v>
      </c>
      <c r="F7" t="s">
        <v>168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48" x14ac:dyDescent="0.55000000000000004">
      <c r="A8" t="s">
        <v>177</v>
      </c>
      <c r="B8" t="s">
        <v>94</v>
      </c>
      <c r="C8" s="9">
        <v>42806</v>
      </c>
      <c r="D8" t="s">
        <v>174</v>
      </c>
      <c r="E8" t="s">
        <v>175</v>
      </c>
      <c r="F8" t="s">
        <v>168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48" x14ac:dyDescent="0.55000000000000004">
      <c r="A9" t="s">
        <v>178</v>
      </c>
      <c r="B9" t="s">
        <v>95</v>
      </c>
      <c r="C9" s="9">
        <v>42736</v>
      </c>
      <c r="D9" t="s">
        <v>166</v>
      </c>
      <c r="E9" t="s">
        <v>167</v>
      </c>
      <c r="F9" t="s">
        <v>168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48" x14ac:dyDescent="0.55000000000000004">
      <c r="A10" t="s">
        <v>179</v>
      </c>
      <c r="B10" t="s">
        <v>96</v>
      </c>
      <c r="C10" s="9">
        <v>43556</v>
      </c>
      <c r="D10" t="s">
        <v>166</v>
      </c>
      <c r="E10" t="s">
        <v>170</v>
      </c>
      <c r="F10" t="s">
        <v>168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48" x14ac:dyDescent="0.55000000000000004">
      <c r="A11" t="s">
        <v>180</v>
      </c>
      <c r="B11" t="s">
        <v>97</v>
      </c>
      <c r="C11" s="9">
        <v>43747</v>
      </c>
      <c r="D11" t="s">
        <v>174</v>
      </c>
      <c r="E11" t="s">
        <v>167</v>
      </c>
      <c r="F11" t="s">
        <v>168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48" x14ac:dyDescent="0.55000000000000004">
      <c r="A12" t="s">
        <v>181</v>
      </c>
      <c r="B12" t="s">
        <v>98</v>
      </c>
      <c r="C12" s="9">
        <v>44073</v>
      </c>
      <c r="D12" t="s">
        <v>174</v>
      </c>
      <c r="E12" t="s">
        <v>167</v>
      </c>
      <c r="F12" t="s">
        <v>168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48" x14ac:dyDescent="0.55000000000000004">
      <c r="A13" t="s">
        <v>182</v>
      </c>
      <c r="B13" t="s">
        <v>99</v>
      </c>
      <c r="C13" s="9">
        <v>43435</v>
      </c>
      <c r="D13" t="s">
        <v>174</v>
      </c>
      <c r="E13" t="s">
        <v>167</v>
      </c>
      <c r="F13" t="s">
        <v>168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48" x14ac:dyDescent="0.55000000000000004">
      <c r="A14" t="s">
        <v>183</v>
      </c>
      <c r="B14" t="s">
        <v>100</v>
      </c>
      <c r="C14" s="9">
        <v>42229</v>
      </c>
      <c r="D14" t="s">
        <v>166</v>
      </c>
      <c r="E14" t="s">
        <v>175</v>
      </c>
      <c r="F14" t="s">
        <v>168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48" x14ac:dyDescent="0.55000000000000004">
      <c r="A15" t="s">
        <v>184</v>
      </c>
      <c r="B15" t="s">
        <v>101</v>
      </c>
      <c r="C15" s="9">
        <v>43695</v>
      </c>
      <c r="D15" t="s">
        <v>174</v>
      </c>
      <c r="E15" t="s">
        <v>167</v>
      </c>
      <c r="F15" t="s">
        <v>168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48" x14ac:dyDescent="0.55000000000000004">
      <c r="A16" t="s">
        <v>185</v>
      </c>
      <c r="B16" t="s">
        <v>102</v>
      </c>
      <c r="C16" s="9">
        <v>42241</v>
      </c>
      <c r="D16" t="s">
        <v>166</v>
      </c>
      <c r="E16" t="s">
        <v>167</v>
      </c>
      <c r="F16" t="s">
        <v>168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55000000000000004">
      <c r="A17" t="s">
        <v>186</v>
      </c>
      <c r="B17" t="s">
        <v>103</v>
      </c>
      <c r="C17" s="9">
        <v>42700</v>
      </c>
      <c r="D17" t="s">
        <v>166</v>
      </c>
      <c r="E17" t="s">
        <v>167</v>
      </c>
      <c r="F17" t="s">
        <v>168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55000000000000004">
      <c r="A18" t="s">
        <v>187</v>
      </c>
      <c r="B18" t="s">
        <v>104</v>
      </c>
      <c r="C18" s="9">
        <v>43442</v>
      </c>
      <c r="D18" t="s">
        <v>166</v>
      </c>
      <c r="E18" t="s">
        <v>170</v>
      </c>
      <c r="F18" t="s">
        <v>168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55000000000000004">
      <c r="A19" t="s">
        <v>188</v>
      </c>
      <c r="B19" t="s">
        <v>105</v>
      </c>
      <c r="C19" s="9">
        <v>44110</v>
      </c>
      <c r="D19" t="s">
        <v>174</v>
      </c>
      <c r="E19" t="s">
        <v>170</v>
      </c>
      <c r="F19" t="s">
        <v>168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55000000000000004">
      <c r="A20" t="s">
        <v>189</v>
      </c>
      <c r="B20" t="s">
        <v>106</v>
      </c>
      <c r="C20" s="9">
        <v>43417</v>
      </c>
      <c r="D20" t="s">
        <v>166</v>
      </c>
      <c r="E20" t="s">
        <v>170</v>
      </c>
      <c r="F20" t="s">
        <v>168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55000000000000004">
      <c r="A21" t="s">
        <v>190</v>
      </c>
      <c r="B21" t="s">
        <v>107</v>
      </c>
      <c r="C21" s="9">
        <v>42169</v>
      </c>
      <c r="D21" t="s">
        <v>174</v>
      </c>
      <c r="E21" t="s">
        <v>170</v>
      </c>
      <c r="F21" t="s">
        <v>168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55000000000000004">
      <c r="A22" t="s">
        <v>191</v>
      </c>
      <c r="B22" t="s">
        <v>108</v>
      </c>
      <c r="C22" s="9">
        <v>43086</v>
      </c>
      <c r="D22" t="s">
        <v>174</v>
      </c>
      <c r="E22" t="s">
        <v>175</v>
      </c>
      <c r="F22" t="s">
        <v>168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55000000000000004">
      <c r="A23" t="s">
        <v>192</v>
      </c>
      <c r="B23" t="s">
        <v>109</v>
      </c>
      <c r="C23" s="9">
        <v>42569</v>
      </c>
      <c r="D23" t="s">
        <v>174</v>
      </c>
      <c r="E23" t="s">
        <v>167</v>
      </c>
      <c r="F23" t="s">
        <v>168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55000000000000004">
      <c r="A24" t="s">
        <v>193</v>
      </c>
      <c r="B24" t="s">
        <v>110</v>
      </c>
      <c r="C24" s="9">
        <v>43238</v>
      </c>
      <c r="D24" t="s">
        <v>174</v>
      </c>
      <c r="E24" t="s">
        <v>170</v>
      </c>
      <c r="F24" t="s">
        <v>168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55000000000000004">
      <c r="A25" t="s">
        <v>194</v>
      </c>
      <c r="B25" t="s">
        <v>111</v>
      </c>
      <c r="C25" s="9">
        <v>42218</v>
      </c>
      <c r="D25" t="s">
        <v>166</v>
      </c>
      <c r="E25" t="s">
        <v>170</v>
      </c>
      <c r="F25" t="s">
        <v>168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55000000000000004">
      <c r="A26" t="s">
        <v>195</v>
      </c>
      <c r="B26" t="s">
        <v>112</v>
      </c>
      <c r="C26" s="9">
        <v>43565</v>
      </c>
      <c r="D26" t="s">
        <v>166</v>
      </c>
      <c r="E26" t="s">
        <v>170</v>
      </c>
      <c r="F26" t="s">
        <v>168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55000000000000004">
      <c r="A27" t="s">
        <v>196</v>
      </c>
      <c r="B27" t="s">
        <v>113</v>
      </c>
      <c r="C27" s="9">
        <v>42643</v>
      </c>
      <c r="D27" t="s">
        <v>174</v>
      </c>
      <c r="E27" t="s">
        <v>170</v>
      </c>
      <c r="F27" t="s">
        <v>168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55000000000000004">
      <c r="A28" t="s">
        <v>197</v>
      </c>
      <c r="B28" t="s">
        <v>114</v>
      </c>
      <c r="C28" s="9">
        <v>43025</v>
      </c>
      <c r="D28" t="s">
        <v>166</v>
      </c>
      <c r="E28" t="s">
        <v>167</v>
      </c>
      <c r="F28" t="s">
        <v>168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55000000000000004">
      <c r="A29" t="s">
        <v>198</v>
      </c>
      <c r="B29" t="s">
        <v>115</v>
      </c>
      <c r="C29" s="9">
        <v>42917</v>
      </c>
      <c r="D29" t="s">
        <v>174</v>
      </c>
      <c r="E29" t="s">
        <v>167</v>
      </c>
      <c r="F29" t="s">
        <v>168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55000000000000004">
      <c r="A30" t="s">
        <v>199</v>
      </c>
      <c r="B30" t="s">
        <v>116</v>
      </c>
      <c r="C30" s="9">
        <v>42638</v>
      </c>
      <c r="D30" t="s">
        <v>166</v>
      </c>
      <c r="E30" t="s">
        <v>167</v>
      </c>
      <c r="F30" t="s">
        <v>168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55000000000000004">
      <c r="A31" t="s">
        <v>200</v>
      </c>
      <c r="B31" t="s">
        <v>201</v>
      </c>
      <c r="C31" s="9">
        <v>42306</v>
      </c>
      <c r="D31" t="s">
        <v>166</v>
      </c>
      <c r="E31" t="s">
        <v>170</v>
      </c>
      <c r="F31" t="s">
        <v>168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55000000000000004">
      <c r="A32" t="s">
        <v>202</v>
      </c>
      <c r="B32" t="s">
        <v>203</v>
      </c>
      <c r="C32" s="9">
        <v>43821</v>
      </c>
      <c r="D32" t="s">
        <v>166</v>
      </c>
      <c r="E32" t="s">
        <v>167</v>
      </c>
      <c r="F32" t="s">
        <v>168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55000000000000004">
      <c r="A33" t="s">
        <v>204</v>
      </c>
      <c r="B33" t="s">
        <v>205</v>
      </c>
      <c r="C33" s="9">
        <v>42767</v>
      </c>
      <c r="D33" t="s">
        <v>174</v>
      </c>
      <c r="E33" t="s">
        <v>170</v>
      </c>
      <c r="F33" t="s">
        <v>168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55000000000000004">
      <c r="A34" t="s">
        <v>206</v>
      </c>
      <c r="B34" t="s">
        <v>207</v>
      </c>
      <c r="C34" s="9">
        <v>43203</v>
      </c>
      <c r="D34" t="s">
        <v>166</v>
      </c>
      <c r="E34" t="s">
        <v>175</v>
      </c>
      <c r="F34" t="s">
        <v>168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55000000000000004">
      <c r="A35" t="s">
        <v>208</v>
      </c>
      <c r="B35" t="s">
        <v>209</v>
      </c>
      <c r="C35" s="9">
        <v>43598</v>
      </c>
      <c r="D35" t="s">
        <v>166</v>
      </c>
      <c r="E35" t="s">
        <v>175</v>
      </c>
      <c r="F35" t="s">
        <v>168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55000000000000004">
      <c r="A36" t="s">
        <v>210</v>
      </c>
      <c r="B36" t="s">
        <v>211</v>
      </c>
      <c r="C36" s="9">
        <v>43374</v>
      </c>
      <c r="D36" t="s">
        <v>166</v>
      </c>
      <c r="E36" t="s">
        <v>175</v>
      </c>
      <c r="F36" t="s">
        <v>168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55000000000000004">
      <c r="A37" t="s">
        <v>212</v>
      </c>
      <c r="B37" t="s">
        <v>213</v>
      </c>
      <c r="C37" s="9">
        <v>42503</v>
      </c>
      <c r="D37" t="s">
        <v>174</v>
      </c>
      <c r="E37" t="s">
        <v>170</v>
      </c>
      <c r="F37" t="s">
        <v>168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55000000000000004">
      <c r="A38" t="s">
        <v>214</v>
      </c>
      <c r="B38" t="s">
        <v>215</v>
      </c>
      <c r="C38" s="9">
        <v>44147</v>
      </c>
      <c r="D38" t="s">
        <v>166</v>
      </c>
      <c r="E38" t="s">
        <v>167</v>
      </c>
      <c r="F38" t="s">
        <v>168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55000000000000004">
      <c r="A39" t="s">
        <v>216</v>
      </c>
      <c r="B39" t="s">
        <v>217</v>
      </c>
      <c r="C39" s="9">
        <v>42510</v>
      </c>
      <c r="D39" t="s">
        <v>174</v>
      </c>
      <c r="E39" t="s">
        <v>175</v>
      </c>
      <c r="F39" t="s">
        <v>168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55000000000000004">
      <c r="A40" t="s">
        <v>218</v>
      </c>
      <c r="B40" t="s">
        <v>219</v>
      </c>
      <c r="C40" s="9">
        <v>42211</v>
      </c>
      <c r="D40" t="s">
        <v>174</v>
      </c>
      <c r="E40" t="s">
        <v>170</v>
      </c>
      <c r="F40" t="s">
        <v>168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55000000000000004">
      <c r="A41" t="s">
        <v>220</v>
      </c>
      <c r="B41" t="s">
        <v>221</v>
      </c>
      <c r="C41" s="9">
        <v>44048</v>
      </c>
      <c r="D41" t="s">
        <v>166</v>
      </c>
      <c r="E41" t="s">
        <v>170</v>
      </c>
      <c r="F41" t="s">
        <v>168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55000000000000004">
      <c r="A42" t="s">
        <v>222</v>
      </c>
      <c r="B42" t="s">
        <v>223</v>
      </c>
      <c r="C42" s="9">
        <v>44039</v>
      </c>
      <c r="D42" t="s">
        <v>174</v>
      </c>
      <c r="E42" t="s">
        <v>170</v>
      </c>
      <c r="F42" t="s">
        <v>168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55000000000000004">
      <c r="A43" t="s">
        <v>224</v>
      </c>
      <c r="B43" t="s">
        <v>225</v>
      </c>
      <c r="C43" s="9">
        <v>42360</v>
      </c>
      <c r="D43" t="s">
        <v>174</v>
      </c>
      <c r="E43" t="s">
        <v>167</v>
      </c>
      <c r="F43" t="s">
        <v>168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55000000000000004">
      <c r="A44" t="s">
        <v>226</v>
      </c>
      <c r="B44" t="s">
        <v>227</v>
      </c>
      <c r="C44" s="9">
        <v>43940</v>
      </c>
      <c r="D44" t="s">
        <v>166</v>
      </c>
      <c r="E44" t="s">
        <v>170</v>
      </c>
      <c r="F44" t="s">
        <v>168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55000000000000004">
      <c r="A45" t="s">
        <v>228</v>
      </c>
      <c r="B45" t="s">
        <v>229</v>
      </c>
      <c r="C45" s="9">
        <v>43521</v>
      </c>
      <c r="D45" t="s">
        <v>166</v>
      </c>
      <c r="E45" t="s">
        <v>175</v>
      </c>
      <c r="F45" t="s">
        <v>168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55000000000000004">
      <c r="A46" t="s">
        <v>230</v>
      </c>
      <c r="B46" t="s">
        <v>231</v>
      </c>
      <c r="C46" s="9">
        <v>43639</v>
      </c>
      <c r="D46" t="s">
        <v>174</v>
      </c>
      <c r="E46" t="s">
        <v>170</v>
      </c>
      <c r="F46" t="s">
        <v>168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55000000000000004">
      <c r="A47" t="s">
        <v>232</v>
      </c>
      <c r="B47" t="s">
        <v>233</v>
      </c>
      <c r="C47" s="9">
        <v>43727</v>
      </c>
      <c r="D47" t="s">
        <v>166</v>
      </c>
      <c r="E47" t="s">
        <v>167</v>
      </c>
      <c r="F47" t="s">
        <v>168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55000000000000004">
      <c r="A48" t="s">
        <v>234</v>
      </c>
      <c r="B48" t="s">
        <v>235</v>
      </c>
      <c r="C48" s="9">
        <v>43584</v>
      </c>
      <c r="D48" t="s">
        <v>166</v>
      </c>
      <c r="E48" t="s">
        <v>167</v>
      </c>
      <c r="F48" t="s">
        <v>168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55000000000000004">
      <c r="A49" t="s">
        <v>236</v>
      </c>
      <c r="B49" t="s">
        <v>237</v>
      </c>
      <c r="C49" s="9">
        <v>43217</v>
      </c>
      <c r="D49" t="s">
        <v>166</v>
      </c>
      <c r="E49" t="s">
        <v>175</v>
      </c>
      <c r="F49" t="s">
        <v>168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55000000000000004">
      <c r="A50" t="s">
        <v>238</v>
      </c>
      <c r="B50" t="s">
        <v>239</v>
      </c>
      <c r="C50" s="9">
        <v>43245</v>
      </c>
      <c r="D50" t="s">
        <v>166</v>
      </c>
      <c r="E50" t="s">
        <v>175</v>
      </c>
      <c r="F50" t="s">
        <v>168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55000000000000004">
      <c r="A51" t="s">
        <v>240</v>
      </c>
      <c r="B51" t="s">
        <v>241</v>
      </c>
      <c r="C51" s="9">
        <v>42464</v>
      </c>
      <c r="D51" t="s">
        <v>174</v>
      </c>
      <c r="E51" t="s">
        <v>170</v>
      </c>
      <c r="F51" t="s">
        <v>168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55000000000000004">
      <c r="A52" t="s">
        <v>242</v>
      </c>
      <c r="B52" t="s">
        <v>243</v>
      </c>
      <c r="C52" s="9">
        <v>43940</v>
      </c>
      <c r="D52" t="s">
        <v>174</v>
      </c>
      <c r="E52" t="s">
        <v>175</v>
      </c>
      <c r="F52" t="s">
        <v>168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55000000000000004">
      <c r="A53" t="s">
        <v>244</v>
      </c>
      <c r="B53" t="s">
        <v>245</v>
      </c>
      <c r="C53" s="9">
        <v>42641</v>
      </c>
      <c r="D53" t="s">
        <v>166</v>
      </c>
      <c r="E53" t="s">
        <v>167</v>
      </c>
      <c r="F53" t="s">
        <v>168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55000000000000004">
      <c r="A54" t="s">
        <v>246</v>
      </c>
      <c r="B54" t="s">
        <v>247</v>
      </c>
      <c r="C54" s="9">
        <v>42083</v>
      </c>
      <c r="D54" t="s">
        <v>166</v>
      </c>
      <c r="E54" t="s">
        <v>170</v>
      </c>
      <c r="F54" t="s">
        <v>168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55000000000000004">
      <c r="A55" t="s">
        <v>248</v>
      </c>
      <c r="B55" t="s">
        <v>249</v>
      </c>
      <c r="C55" s="9">
        <v>43777</v>
      </c>
      <c r="D55" t="s">
        <v>174</v>
      </c>
      <c r="E55" t="s">
        <v>170</v>
      </c>
      <c r="F55" t="s">
        <v>168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55000000000000004">
      <c r="A56" t="s">
        <v>250</v>
      </c>
      <c r="B56" t="s">
        <v>251</v>
      </c>
      <c r="C56" s="9">
        <v>43919</v>
      </c>
      <c r="D56" t="s">
        <v>166</v>
      </c>
      <c r="E56" t="s">
        <v>175</v>
      </c>
      <c r="F56" t="s">
        <v>168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55000000000000004">
      <c r="A57" t="s">
        <v>252</v>
      </c>
      <c r="B57" t="s">
        <v>253</v>
      </c>
      <c r="C57" s="9">
        <v>42879</v>
      </c>
      <c r="D57" t="s">
        <v>174</v>
      </c>
      <c r="E57" t="s">
        <v>167</v>
      </c>
      <c r="F57" t="s">
        <v>168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55000000000000004">
      <c r="A58" t="s">
        <v>254</v>
      </c>
      <c r="B58" t="s">
        <v>255</v>
      </c>
      <c r="C58" s="9">
        <v>43746</v>
      </c>
      <c r="D58" t="s">
        <v>166</v>
      </c>
      <c r="E58" t="s">
        <v>170</v>
      </c>
      <c r="F58" t="s">
        <v>168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55000000000000004">
      <c r="A59" t="s">
        <v>256</v>
      </c>
      <c r="B59" t="s">
        <v>257</v>
      </c>
      <c r="C59" s="9">
        <v>42571</v>
      </c>
      <c r="D59" t="s">
        <v>166</v>
      </c>
      <c r="E59" t="s">
        <v>170</v>
      </c>
      <c r="F59" t="s">
        <v>168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55000000000000004">
      <c r="A60" t="s">
        <v>258</v>
      </c>
      <c r="B60" t="s">
        <v>259</v>
      </c>
      <c r="C60" s="9">
        <v>44019</v>
      </c>
      <c r="D60" t="s">
        <v>166</v>
      </c>
      <c r="E60" t="s">
        <v>170</v>
      </c>
      <c r="F60" t="s">
        <v>168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55000000000000004">
      <c r="A61" t="s">
        <v>260</v>
      </c>
      <c r="B61" t="s">
        <v>261</v>
      </c>
      <c r="C61" s="9">
        <v>43098</v>
      </c>
      <c r="D61" t="s">
        <v>166</v>
      </c>
      <c r="E61" t="s">
        <v>167</v>
      </c>
      <c r="F61" t="s">
        <v>168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55000000000000004">
      <c r="A62" t="s">
        <v>262</v>
      </c>
      <c r="B62" t="s">
        <v>263</v>
      </c>
      <c r="C62" s="9">
        <v>43766</v>
      </c>
      <c r="D62" t="s">
        <v>174</v>
      </c>
      <c r="E62" t="s">
        <v>175</v>
      </c>
      <c r="F62" t="s">
        <v>168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55000000000000004">
      <c r="A63" t="s">
        <v>264</v>
      </c>
      <c r="B63" t="s">
        <v>265</v>
      </c>
      <c r="C63" s="9">
        <v>43330</v>
      </c>
      <c r="D63" t="s">
        <v>166</v>
      </c>
      <c r="E63" t="s">
        <v>175</v>
      </c>
      <c r="F63" t="s">
        <v>168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55000000000000004">
      <c r="A64" t="s">
        <v>266</v>
      </c>
      <c r="B64" t="s">
        <v>267</v>
      </c>
      <c r="C64" s="9">
        <v>42717</v>
      </c>
      <c r="D64" t="s">
        <v>166</v>
      </c>
      <c r="E64" t="s">
        <v>170</v>
      </c>
      <c r="F64" t="s">
        <v>168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55000000000000004">
      <c r="A65" t="s">
        <v>268</v>
      </c>
      <c r="B65" t="s">
        <v>269</v>
      </c>
      <c r="C65" s="9">
        <v>42436</v>
      </c>
      <c r="D65" t="s">
        <v>174</v>
      </c>
      <c r="E65" t="s">
        <v>170</v>
      </c>
      <c r="F65" t="s">
        <v>168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55000000000000004">
      <c r="A66" t="s">
        <v>270</v>
      </c>
      <c r="B66" t="s">
        <v>271</v>
      </c>
      <c r="C66" s="9">
        <v>42724</v>
      </c>
      <c r="D66" t="s">
        <v>174</v>
      </c>
      <c r="E66" t="s">
        <v>167</v>
      </c>
      <c r="F66" t="s">
        <v>168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55000000000000004">
      <c r="A67" t="s">
        <v>272</v>
      </c>
      <c r="B67" t="s">
        <v>273</v>
      </c>
      <c r="C67" s="9">
        <v>44050</v>
      </c>
      <c r="D67" t="s">
        <v>166</v>
      </c>
      <c r="E67" t="s">
        <v>167</v>
      </c>
      <c r="F67" t="s">
        <v>168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55000000000000004">
      <c r="A68" t="s">
        <v>274</v>
      </c>
      <c r="B68" t="s">
        <v>275</v>
      </c>
      <c r="C68" s="9">
        <v>42244</v>
      </c>
      <c r="D68" t="s">
        <v>166</v>
      </c>
      <c r="E68" t="s">
        <v>167</v>
      </c>
      <c r="F68" t="s">
        <v>168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55000000000000004">
      <c r="A69" t="s">
        <v>276</v>
      </c>
      <c r="B69" t="s">
        <v>277</v>
      </c>
      <c r="C69" s="9">
        <v>42356</v>
      </c>
      <c r="D69" t="s">
        <v>174</v>
      </c>
      <c r="E69" t="s">
        <v>170</v>
      </c>
      <c r="F69" t="s">
        <v>168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55000000000000004">
      <c r="A70" t="s">
        <v>278</v>
      </c>
      <c r="B70" t="s">
        <v>279</v>
      </c>
      <c r="C70" s="9">
        <v>42647</v>
      </c>
      <c r="D70" t="s">
        <v>174</v>
      </c>
      <c r="E70" t="s">
        <v>170</v>
      </c>
      <c r="F70" t="s">
        <v>168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55000000000000004">
      <c r="A71" t="s">
        <v>280</v>
      </c>
      <c r="B71" t="s">
        <v>281</v>
      </c>
      <c r="C71" s="9">
        <v>42754</v>
      </c>
      <c r="D71" t="s">
        <v>174</v>
      </c>
      <c r="E71" t="s">
        <v>170</v>
      </c>
      <c r="F71" t="s">
        <v>168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55000000000000004">
      <c r="A72" t="s">
        <v>282</v>
      </c>
      <c r="B72" t="s">
        <v>283</v>
      </c>
      <c r="C72" s="9">
        <v>42790</v>
      </c>
      <c r="D72" t="s">
        <v>174</v>
      </c>
      <c r="E72" t="s">
        <v>175</v>
      </c>
      <c r="F72" t="s">
        <v>168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55000000000000004">
      <c r="A73" t="s">
        <v>284</v>
      </c>
      <c r="B73" t="s">
        <v>285</v>
      </c>
      <c r="C73" s="9">
        <v>42526</v>
      </c>
      <c r="D73" t="s">
        <v>166</v>
      </c>
      <c r="E73" t="s">
        <v>170</v>
      </c>
      <c r="F73" t="s">
        <v>168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55000000000000004">
      <c r="A74" t="s">
        <v>286</v>
      </c>
      <c r="B74" t="s">
        <v>287</v>
      </c>
      <c r="C74" s="9">
        <v>42594</v>
      </c>
      <c r="D74" t="s">
        <v>166</v>
      </c>
      <c r="E74" t="s">
        <v>167</v>
      </c>
      <c r="F74" t="s">
        <v>168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55000000000000004">
      <c r="A75" t="s">
        <v>288</v>
      </c>
      <c r="B75" t="s">
        <v>289</v>
      </c>
      <c r="C75" s="9">
        <v>42340</v>
      </c>
      <c r="D75" t="s">
        <v>166</v>
      </c>
      <c r="E75" t="s">
        <v>167</v>
      </c>
      <c r="F75" t="s">
        <v>168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55000000000000004">
      <c r="A76" t="s">
        <v>290</v>
      </c>
      <c r="B76" t="s">
        <v>291</v>
      </c>
      <c r="C76" s="9">
        <v>43226</v>
      </c>
      <c r="D76" t="s">
        <v>174</v>
      </c>
      <c r="E76" t="s">
        <v>170</v>
      </c>
      <c r="F76" t="s">
        <v>168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55000000000000004">
      <c r="A77" t="s">
        <v>292</v>
      </c>
      <c r="B77" t="s">
        <v>293</v>
      </c>
      <c r="C77" s="9">
        <v>43852</v>
      </c>
      <c r="D77" t="s">
        <v>174</v>
      </c>
      <c r="E77" t="s">
        <v>175</v>
      </c>
      <c r="F77" t="s">
        <v>168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55000000000000004">
      <c r="A78" t="s">
        <v>294</v>
      </c>
      <c r="B78" t="s">
        <v>295</v>
      </c>
      <c r="C78" s="9">
        <v>43650</v>
      </c>
      <c r="D78" t="s">
        <v>166</v>
      </c>
      <c r="E78" t="s">
        <v>170</v>
      </c>
      <c r="F78" t="s">
        <v>168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55000000000000004">
      <c r="A79" t="s">
        <v>296</v>
      </c>
      <c r="B79" t="s">
        <v>297</v>
      </c>
      <c r="C79" s="9">
        <v>43537</v>
      </c>
      <c r="D79" t="s">
        <v>174</v>
      </c>
      <c r="E79" t="s">
        <v>167</v>
      </c>
      <c r="F79" t="s">
        <v>168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55000000000000004">
      <c r="A80" t="s">
        <v>298</v>
      </c>
      <c r="B80" t="s">
        <v>299</v>
      </c>
      <c r="C80" s="9">
        <v>43726</v>
      </c>
      <c r="D80" t="s">
        <v>166</v>
      </c>
      <c r="E80" t="s">
        <v>175</v>
      </c>
      <c r="F80" t="s">
        <v>168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55000000000000004">
      <c r="A81" t="s">
        <v>300</v>
      </c>
      <c r="B81" t="s">
        <v>301</v>
      </c>
      <c r="C81" s="9">
        <v>43937</v>
      </c>
      <c r="D81" t="s">
        <v>166</v>
      </c>
      <c r="E81" t="s">
        <v>167</v>
      </c>
      <c r="F81" t="s">
        <v>168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55000000000000004">
      <c r="A82" t="s">
        <v>302</v>
      </c>
      <c r="B82" t="s">
        <v>303</v>
      </c>
      <c r="C82" s="9">
        <v>43005</v>
      </c>
      <c r="D82" t="s">
        <v>174</v>
      </c>
      <c r="E82" t="s">
        <v>170</v>
      </c>
      <c r="F82" t="s">
        <v>168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55000000000000004">
      <c r="A83" t="s">
        <v>304</v>
      </c>
      <c r="B83" t="s">
        <v>305</v>
      </c>
      <c r="C83" s="9">
        <v>44155</v>
      </c>
      <c r="D83" t="s">
        <v>174</v>
      </c>
      <c r="E83" t="s">
        <v>167</v>
      </c>
      <c r="F83" t="s">
        <v>168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55000000000000004">
      <c r="A84" t="s">
        <v>306</v>
      </c>
      <c r="B84" t="s">
        <v>307</v>
      </c>
      <c r="C84" s="9">
        <v>42759</v>
      </c>
      <c r="D84" t="s">
        <v>166</v>
      </c>
      <c r="E84" t="s">
        <v>175</v>
      </c>
      <c r="F84" t="s">
        <v>168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55000000000000004">
      <c r="A85" t="s">
        <v>308</v>
      </c>
      <c r="B85" t="s">
        <v>309</v>
      </c>
      <c r="C85" s="9">
        <v>43807</v>
      </c>
      <c r="D85" t="s">
        <v>166</v>
      </c>
      <c r="E85" t="s">
        <v>175</v>
      </c>
      <c r="F85" t="s">
        <v>168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55000000000000004">
      <c r="A86" t="s">
        <v>310</v>
      </c>
      <c r="B86" t="s">
        <v>311</v>
      </c>
      <c r="C86" s="9">
        <v>43126</v>
      </c>
      <c r="D86" t="s">
        <v>166</v>
      </c>
      <c r="E86" t="s">
        <v>175</v>
      </c>
      <c r="F86" t="s">
        <v>168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55000000000000004">
      <c r="A87" t="s">
        <v>312</v>
      </c>
      <c r="B87" t="s">
        <v>313</v>
      </c>
      <c r="C87" s="9">
        <v>43126</v>
      </c>
      <c r="D87" t="s">
        <v>166</v>
      </c>
      <c r="E87" t="s">
        <v>167</v>
      </c>
      <c r="F87" t="s">
        <v>168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55000000000000004">
      <c r="A88" t="s">
        <v>314</v>
      </c>
      <c r="B88" t="s">
        <v>315</v>
      </c>
      <c r="C88" s="9">
        <v>44068</v>
      </c>
      <c r="D88" t="s">
        <v>166</v>
      </c>
      <c r="E88" t="s">
        <v>175</v>
      </c>
      <c r="F88" t="s">
        <v>168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55000000000000004">
      <c r="A89" t="s">
        <v>316</v>
      </c>
      <c r="B89" t="s">
        <v>317</v>
      </c>
      <c r="C89" s="9">
        <v>43227</v>
      </c>
      <c r="D89" t="s">
        <v>174</v>
      </c>
      <c r="E89" t="s">
        <v>170</v>
      </c>
      <c r="F89" t="s">
        <v>168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55000000000000004">
      <c r="A90" t="s">
        <v>318</v>
      </c>
      <c r="B90" t="s">
        <v>319</v>
      </c>
      <c r="C90" s="9">
        <v>42125</v>
      </c>
      <c r="D90" t="s">
        <v>174</v>
      </c>
      <c r="E90" t="s">
        <v>175</v>
      </c>
      <c r="F90" t="s">
        <v>168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55000000000000004">
      <c r="A91" t="s">
        <v>320</v>
      </c>
      <c r="B91" t="s">
        <v>321</v>
      </c>
      <c r="C91" s="9">
        <v>42784</v>
      </c>
      <c r="D91" t="s">
        <v>166</v>
      </c>
      <c r="E91" t="s">
        <v>175</v>
      </c>
      <c r="F91" t="s">
        <v>168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55000000000000004">
      <c r="A92" t="s">
        <v>322</v>
      </c>
      <c r="B92" t="s">
        <v>323</v>
      </c>
      <c r="C92" s="9">
        <v>44046</v>
      </c>
      <c r="D92" t="s">
        <v>166</v>
      </c>
      <c r="E92" t="s">
        <v>170</v>
      </c>
      <c r="F92" t="s">
        <v>168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55000000000000004">
      <c r="A93" t="s">
        <v>324</v>
      </c>
      <c r="B93" t="s">
        <v>325</v>
      </c>
      <c r="C93" s="9">
        <v>42040</v>
      </c>
      <c r="D93" t="s">
        <v>166</v>
      </c>
      <c r="E93" t="s">
        <v>175</v>
      </c>
      <c r="F93" t="s">
        <v>168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55000000000000004">
      <c r="A94" t="s">
        <v>326</v>
      </c>
      <c r="B94" t="s">
        <v>327</v>
      </c>
      <c r="C94" s="9">
        <v>43043</v>
      </c>
      <c r="D94" t="s">
        <v>166</v>
      </c>
      <c r="E94" t="s">
        <v>175</v>
      </c>
      <c r="F94" t="s">
        <v>168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55000000000000004">
      <c r="A95" t="s">
        <v>328</v>
      </c>
      <c r="B95" t="s">
        <v>329</v>
      </c>
      <c r="C95" s="9">
        <v>42865</v>
      </c>
      <c r="D95" t="s">
        <v>174</v>
      </c>
      <c r="E95" t="s">
        <v>167</v>
      </c>
      <c r="F95" t="s">
        <v>168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55000000000000004">
      <c r="A96" t="s">
        <v>330</v>
      </c>
      <c r="B96" t="s">
        <v>331</v>
      </c>
      <c r="C96" s="9">
        <v>42963</v>
      </c>
      <c r="D96" t="s">
        <v>166</v>
      </c>
      <c r="E96" t="s">
        <v>175</v>
      </c>
      <c r="F96" t="s">
        <v>168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55000000000000004">
      <c r="A97" t="s">
        <v>332</v>
      </c>
      <c r="B97" t="s">
        <v>333</v>
      </c>
      <c r="C97" s="9">
        <v>43385</v>
      </c>
      <c r="D97" t="s">
        <v>174</v>
      </c>
      <c r="E97" t="s">
        <v>167</v>
      </c>
      <c r="F97" t="s">
        <v>168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55000000000000004">
      <c r="A98" t="s">
        <v>334</v>
      </c>
      <c r="B98" t="s">
        <v>335</v>
      </c>
      <c r="C98" s="9">
        <v>42320</v>
      </c>
      <c r="D98" t="s">
        <v>166</v>
      </c>
      <c r="E98" t="s">
        <v>167</v>
      </c>
      <c r="F98" t="s">
        <v>168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55000000000000004">
      <c r="A99" t="s">
        <v>336</v>
      </c>
      <c r="B99" t="s">
        <v>337</v>
      </c>
      <c r="C99" s="9">
        <v>43200</v>
      </c>
      <c r="D99" t="s">
        <v>166</v>
      </c>
      <c r="E99" t="s">
        <v>170</v>
      </c>
      <c r="F99" t="s">
        <v>168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55000000000000004">
      <c r="A100" t="s">
        <v>338</v>
      </c>
      <c r="B100" t="s">
        <v>339</v>
      </c>
      <c r="C100" s="9">
        <v>43936</v>
      </c>
      <c r="D100" t="s">
        <v>174</v>
      </c>
      <c r="E100" t="s">
        <v>170</v>
      </c>
      <c r="F100" t="s">
        <v>168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55000000000000004">
      <c r="A101" t="s">
        <v>340</v>
      </c>
      <c r="B101" t="s">
        <v>341</v>
      </c>
      <c r="C101" s="9">
        <v>43667</v>
      </c>
      <c r="D101" t="s">
        <v>174</v>
      </c>
      <c r="E101" t="s">
        <v>167</v>
      </c>
      <c r="F101" t="s">
        <v>168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55000000000000004">
      <c r="A102" t="s">
        <v>342</v>
      </c>
      <c r="B102" t="s">
        <v>343</v>
      </c>
      <c r="C102" s="9">
        <v>42332</v>
      </c>
      <c r="D102" t="s">
        <v>174</v>
      </c>
      <c r="E102" t="s">
        <v>170</v>
      </c>
      <c r="F102" t="s">
        <v>168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55000000000000004">
      <c r="A103" t="s">
        <v>344</v>
      </c>
      <c r="B103" t="s">
        <v>345</v>
      </c>
      <c r="C103" s="9">
        <v>43796</v>
      </c>
      <c r="D103" t="s">
        <v>166</v>
      </c>
      <c r="E103" t="s">
        <v>170</v>
      </c>
      <c r="F103" t="s">
        <v>168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55000000000000004">
      <c r="A104" t="s">
        <v>346</v>
      </c>
      <c r="B104" t="s">
        <v>347</v>
      </c>
      <c r="C104" s="9">
        <v>42879</v>
      </c>
      <c r="D104" t="s">
        <v>166</v>
      </c>
      <c r="E104" t="s">
        <v>175</v>
      </c>
      <c r="F104" t="s">
        <v>168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55000000000000004">
      <c r="A105" t="s">
        <v>348</v>
      </c>
      <c r="B105" t="s">
        <v>349</v>
      </c>
      <c r="C105" s="9">
        <v>42481</v>
      </c>
      <c r="D105" t="s">
        <v>174</v>
      </c>
      <c r="E105" t="s">
        <v>175</v>
      </c>
      <c r="F105" t="s">
        <v>168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55000000000000004">
      <c r="A106" t="s">
        <v>350</v>
      </c>
      <c r="B106" t="s">
        <v>351</v>
      </c>
      <c r="C106" s="9">
        <v>42645</v>
      </c>
      <c r="D106" t="s">
        <v>166</v>
      </c>
      <c r="E106" t="s">
        <v>170</v>
      </c>
      <c r="F106" t="s">
        <v>168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55000000000000004">
      <c r="A107" t="s">
        <v>352</v>
      </c>
      <c r="B107" t="s">
        <v>353</v>
      </c>
      <c r="C107" s="9">
        <v>43935</v>
      </c>
      <c r="D107" t="s">
        <v>174</v>
      </c>
      <c r="E107" t="s">
        <v>175</v>
      </c>
      <c r="F107" t="s">
        <v>168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55000000000000004">
      <c r="A108" t="s">
        <v>354</v>
      </c>
      <c r="B108" t="s">
        <v>355</v>
      </c>
      <c r="C108" s="9">
        <v>43245</v>
      </c>
      <c r="D108" t="s">
        <v>166</v>
      </c>
      <c r="E108" t="s">
        <v>167</v>
      </c>
      <c r="F108" t="s">
        <v>168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55000000000000004">
      <c r="A109" t="s">
        <v>356</v>
      </c>
      <c r="B109" t="s">
        <v>357</v>
      </c>
      <c r="C109" s="9">
        <v>43834</v>
      </c>
      <c r="D109" t="s">
        <v>166</v>
      </c>
      <c r="E109" t="s">
        <v>167</v>
      </c>
      <c r="F109" t="s">
        <v>168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55000000000000004">
      <c r="A110" t="s">
        <v>358</v>
      </c>
      <c r="B110" t="s">
        <v>359</v>
      </c>
      <c r="C110" s="9">
        <v>42683</v>
      </c>
      <c r="D110" t="s">
        <v>174</v>
      </c>
      <c r="E110" t="s">
        <v>167</v>
      </c>
      <c r="F110" t="s">
        <v>168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55000000000000004">
      <c r="A111" t="s">
        <v>360</v>
      </c>
      <c r="B111" t="s">
        <v>361</v>
      </c>
      <c r="C111" s="9">
        <v>42329</v>
      </c>
      <c r="D111" t="s">
        <v>174</v>
      </c>
      <c r="E111" t="s">
        <v>170</v>
      </c>
      <c r="F111" t="s">
        <v>168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55000000000000004">
      <c r="A112" t="s">
        <v>362</v>
      </c>
      <c r="B112" t="s">
        <v>363</v>
      </c>
      <c r="C112" s="9">
        <v>42553</v>
      </c>
      <c r="D112" t="s">
        <v>166</v>
      </c>
      <c r="E112" t="s">
        <v>167</v>
      </c>
      <c r="F112" t="s">
        <v>168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55000000000000004">
      <c r="A113" t="s">
        <v>364</v>
      </c>
      <c r="B113" t="s">
        <v>365</v>
      </c>
      <c r="C113" s="9">
        <v>43359</v>
      </c>
      <c r="D113" t="s">
        <v>166</v>
      </c>
      <c r="E113" t="s">
        <v>167</v>
      </c>
      <c r="F113" t="s">
        <v>168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55000000000000004">
      <c r="A114" t="s">
        <v>366</v>
      </c>
      <c r="B114" t="s">
        <v>367</v>
      </c>
      <c r="C114" s="9">
        <v>43879</v>
      </c>
      <c r="D114" t="s">
        <v>174</v>
      </c>
      <c r="E114" t="s">
        <v>175</v>
      </c>
      <c r="F114" t="s">
        <v>168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55000000000000004">
      <c r="A115" t="s">
        <v>368</v>
      </c>
      <c r="B115" t="s">
        <v>369</v>
      </c>
      <c r="C115" s="9">
        <v>44018</v>
      </c>
      <c r="D115" t="s">
        <v>166</v>
      </c>
      <c r="E115" t="s">
        <v>170</v>
      </c>
      <c r="F115" t="s">
        <v>168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55000000000000004">
      <c r="A116" t="s">
        <v>370</v>
      </c>
      <c r="B116" t="s">
        <v>371</v>
      </c>
      <c r="C116" s="9">
        <v>44056</v>
      </c>
      <c r="D116" t="s">
        <v>174</v>
      </c>
      <c r="E116" t="s">
        <v>175</v>
      </c>
      <c r="F116" t="s">
        <v>168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55000000000000004">
      <c r="A117" t="s">
        <v>372</v>
      </c>
      <c r="B117" t="s">
        <v>373</v>
      </c>
      <c r="C117" s="9">
        <v>42962</v>
      </c>
      <c r="D117" t="s">
        <v>174</v>
      </c>
      <c r="E117" t="s">
        <v>170</v>
      </c>
      <c r="F117" t="s">
        <v>168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55000000000000004">
      <c r="A118" t="s">
        <v>374</v>
      </c>
      <c r="B118" t="s">
        <v>375</v>
      </c>
      <c r="C118" s="9">
        <v>43538</v>
      </c>
      <c r="D118" t="s">
        <v>174</v>
      </c>
      <c r="E118" t="s">
        <v>167</v>
      </c>
      <c r="F118" t="s">
        <v>168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55000000000000004">
      <c r="A119" t="s">
        <v>376</v>
      </c>
      <c r="B119" t="s">
        <v>377</v>
      </c>
      <c r="C119" s="9">
        <v>42005</v>
      </c>
      <c r="D119" t="s">
        <v>166</v>
      </c>
      <c r="E119" t="s">
        <v>170</v>
      </c>
      <c r="F119" t="s">
        <v>168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55000000000000004">
      <c r="A120" t="s">
        <v>378</v>
      </c>
      <c r="B120" t="s">
        <v>379</v>
      </c>
      <c r="C120" s="9">
        <v>42093</v>
      </c>
      <c r="D120" t="s">
        <v>174</v>
      </c>
      <c r="E120" t="s">
        <v>175</v>
      </c>
      <c r="F120" t="s">
        <v>168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55000000000000004">
      <c r="A121" t="s">
        <v>380</v>
      </c>
      <c r="B121" t="s">
        <v>381</v>
      </c>
      <c r="C121" s="9">
        <v>42182</v>
      </c>
      <c r="D121" t="s">
        <v>166</v>
      </c>
      <c r="E121" t="s">
        <v>167</v>
      </c>
      <c r="F121" t="s">
        <v>168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55000000000000004">
      <c r="A122" t="s">
        <v>382</v>
      </c>
      <c r="B122" t="s">
        <v>383</v>
      </c>
      <c r="C122" s="9">
        <v>43955</v>
      </c>
      <c r="D122" t="s">
        <v>166</v>
      </c>
      <c r="E122" t="s">
        <v>167</v>
      </c>
      <c r="F122" t="s">
        <v>168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55000000000000004">
      <c r="A123" t="s">
        <v>384</v>
      </c>
      <c r="B123" t="s">
        <v>385</v>
      </c>
      <c r="C123" s="9">
        <v>43309</v>
      </c>
      <c r="D123" t="s">
        <v>174</v>
      </c>
      <c r="E123" t="s">
        <v>170</v>
      </c>
      <c r="F123" t="s">
        <v>168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55000000000000004">
      <c r="A124" t="s">
        <v>386</v>
      </c>
      <c r="B124" t="s">
        <v>387</v>
      </c>
      <c r="C124" s="9">
        <v>44005</v>
      </c>
      <c r="D124" t="s">
        <v>166</v>
      </c>
      <c r="E124" t="s">
        <v>175</v>
      </c>
      <c r="F124" t="s">
        <v>168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55000000000000004">
      <c r="A125" t="s">
        <v>388</v>
      </c>
      <c r="B125" t="s">
        <v>389</v>
      </c>
      <c r="C125" s="9">
        <v>42540</v>
      </c>
      <c r="D125" t="s">
        <v>166</v>
      </c>
      <c r="E125" t="s">
        <v>170</v>
      </c>
      <c r="F125" t="s">
        <v>168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55000000000000004">
      <c r="A126" t="s">
        <v>390</v>
      </c>
      <c r="B126" t="s">
        <v>391</v>
      </c>
      <c r="C126" s="9">
        <v>42758</v>
      </c>
      <c r="D126" t="s">
        <v>174</v>
      </c>
      <c r="E126" t="s">
        <v>175</v>
      </c>
      <c r="F126" t="s">
        <v>168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55000000000000004">
      <c r="A127" t="s">
        <v>384</v>
      </c>
      <c r="B127" t="s">
        <v>392</v>
      </c>
      <c r="C127" s="9">
        <v>43339</v>
      </c>
      <c r="D127" t="s">
        <v>166</v>
      </c>
      <c r="E127" t="s">
        <v>170</v>
      </c>
      <c r="F127" t="s">
        <v>168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55000000000000004">
      <c r="A128" t="s">
        <v>393</v>
      </c>
      <c r="B128" t="s">
        <v>394</v>
      </c>
      <c r="C128" s="9">
        <v>42514</v>
      </c>
      <c r="D128" t="s">
        <v>174</v>
      </c>
      <c r="E128" t="s">
        <v>167</v>
      </c>
      <c r="F128" t="s">
        <v>168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55000000000000004">
      <c r="A129" t="s">
        <v>395</v>
      </c>
      <c r="B129" t="s">
        <v>396</v>
      </c>
      <c r="C129" s="9">
        <v>43058</v>
      </c>
      <c r="D129" t="s">
        <v>174</v>
      </c>
      <c r="E129" t="s">
        <v>167</v>
      </c>
      <c r="F129" t="s">
        <v>168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55000000000000004">
      <c r="A130" t="s">
        <v>397</v>
      </c>
      <c r="B130" t="s">
        <v>398</v>
      </c>
      <c r="C130" s="9">
        <v>42690</v>
      </c>
      <c r="D130" t="s">
        <v>174</v>
      </c>
      <c r="E130" t="s">
        <v>175</v>
      </c>
      <c r="F130" t="s">
        <v>168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55000000000000004">
      <c r="A131" t="s">
        <v>399</v>
      </c>
      <c r="B131" t="s">
        <v>400</v>
      </c>
      <c r="C131" s="9">
        <v>43307</v>
      </c>
      <c r="D131" t="s">
        <v>166</v>
      </c>
      <c r="E131" t="s">
        <v>170</v>
      </c>
      <c r="F131" t="s">
        <v>168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55000000000000004">
      <c r="A132" t="s">
        <v>401</v>
      </c>
      <c r="B132" t="s">
        <v>402</v>
      </c>
      <c r="C132" s="9">
        <v>42368</v>
      </c>
      <c r="D132" t="s">
        <v>174</v>
      </c>
      <c r="E132" t="s">
        <v>175</v>
      </c>
      <c r="F132" t="s">
        <v>168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55000000000000004">
      <c r="A133" t="s">
        <v>403</v>
      </c>
      <c r="B133" t="s">
        <v>404</v>
      </c>
      <c r="C133" s="9">
        <v>43666</v>
      </c>
      <c r="D133" t="s">
        <v>174</v>
      </c>
      <c r="E133" t="s">
        <v>167</v>
      </c>
      <c r="F133" t="s">
        <v>168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55000000000000004">
      <c r="A134" t="s">
        <v>405</v>
      </c>
      <c r="B134" t="s">
        <v>406</v>
      </c>
      <c r="C134" s="9">
        <v>42369</v>
      </c>
      <c r="D134" t="s">
        <v>166</v>
      </c>
      <c r="E134" t="s">
        <v>170</v>
      </c>
      <c r="F134" t="s">
        <v>168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55000000000000004">
      <c r="A135" t="s">
        <v>407</v>
      </c>
      <c r="B135" t="s">
        <v>408</v>
      </c>
      <c r="C135" s="9">
        <v>43639</v>
      </c>
      <c r="D135" t="s">
        <v>166</v>
      </c>
      <c r="E135" t="s">
        <v>175</v>
      </c>
      <c r="F135" t="s">
        <v>168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55000000000000004">
      <c r="A136" t="s">
        <v>409</v>
      </c>
      <c r="B136" t="s">
        <v>410</v>
      </c>
      <c r="C136" s="9">
        <v>42269</v>
      </c>
      <c r="D136" t="s">
        <v>166</v>
      </c>
      <c r="E136" t="s">
        <v>175</v>
      </c>
      <c r="F136" t="s">
        <v>168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55000000000000004">
      <c r="A137" t="s">
        <v>411</v>
      </c>
      <c r="B137" t="s">
        <v>412</v>
      </c>
      <c r="C137" s="9">
        <v>43429</v>
      </c>
      <c r="D137" t="s">
        <v>174</v>
      </c>
      <c r="E137" t="s">
        <v>175</v>
      </c>
      <c r="F137" t="s">
        <v>168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55000000000000004">
      <c r="A138" t="s">
        <v>413</v>
      </c>
      <c r="B138" t="s">
        <v>414</v>
      </c>
      <c r="C138" s="9">
        <v>43883</v>
      </c>
      <c r="D138" t="s">
        <v>174</v>
      </c>
      <c r="E138" t="s">
        <v>170</v>
      </c>
      <c r="F138" t="s">
        <v>168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55000000000000004">
      <c r="A139" t="s">
        <v>415</v>
      </c>
      <c r="B139" t="s">
        <v>416</v>
      </c>
      <c r="C139" s="9">
        <v>42999</v>
      </c>
      <c r="D139" t="s">
        <v>166</v>
      </c>
      <c r="E139" t="s">
        <v>175</v>
      </c>
      <c r="F139" t="s">
        <v>168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55000000000000004">
      <c r="A140" t="s">
        <v>417</v>
      </c>
      <c r="B140" t="s">
        <v>418</v>
      </c>
      <c r="C140" s="9">
        <v>43479</v>
      </c>
      <c r="D140" t="s">
        <v>174</v>
      </c>
      <c r="E140" t="s">
        <v>175</v>
      </c>
      <c r="F140" t="s">
        <v>168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55000000000000004">
      <c r="A141" t="s">
        <v>419</v>
      </c>
      <c r="B141" t="s">
        <v>420</v>
      </c>
      <c r="C141" s="9">
        <v>42654</v>
      </c>
      <c r="D141" t="s">
        <v>166</v>
      </c>
      <c r="E141" t="s">
        <v>167</v>
      </c>
      <c r="F141" t="s">
        <v>168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55000000000000004">
      <c r="A142" t="s">
        <v>421</v>
      </c>
      <c r="B142" t="s">
        <v>422</v>
      </c>
      <c r="C142" s="9">
        <v>42315</v>
      </c>
      <c r="D142" t="s">
        <v>166</v>
      </c>
      <c r="E142" t="s">
        <v>175</v>
      </c>
      <c r="F142" t="s">
        <v>168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55000000000000004">
      <c r="A143" t="s">
        <v>423</v>
      </c>
      <c r="B143" t="s">
        <v>424</v>
      </c>
      <c r="C143" s="9">
        <v>44029</v>
      </c>
      <c r="D143" t="s">
        <v>166</v>
      </c>
      <c r="E143" t="s">
        <v>175</v>
      </c>
      <c r="F143" t="s">
        <v>168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55000000000000004">
      <c r="A144" t="s">
        <v>425</v>
      </c>
      <c r="B144" t="s">
        <v>426</v>
      </c>
      <c r="C144" s="9">
        <v>43260</v>
      </c>
      <c r="D144" t="s">
        <v>174</v>
      </c>
      <c r="E144" t="s">
        <v>167</v>
      </c>
      <c r="F144" t="s">
        <v>168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55000000000000004">
      <c r="A145" t="s">
        <v>427</v>
      </c>
      <c r="B145" t="s">
        <v>428</v>
      </c>
      <c r="C145" s="9">
        <v>43715</v>
      </c>
      <c r="D145" t="s">
        <v>174</v>
      </c>
      <c r="E145" t="s">
        <v>170</v>
      </c>
      <c r="F145" t="s">
        <v>168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55000000000000004">
      <c r="A146" t="s">
        <v>429</v>
      </c>
      <c r="B146" t="s">
        <v>430</v>
      </c>
      <c r="C146" s="9">
        <v>42423</v>
      </c>
      <c r="D146" t="s">
        <v>174</v>
      </c>
      <c r="E146" t="s">
        <v>175</v>
      </c>
      <c r="F146" t="s">
        <v>168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55000000000000004">
      <c r="A147" t="s">
        <v>431</v>
      </c>
      <c r="B147" t="s">
        <v>432</v>
      </c>
      <c r="C147" s="9">
        <v>43472</v>
      </c>
      <c r="D147" t="s">
        <v>166</v>
      </c>
      <c r="E147" t="s">
        <v>167</v>
      </c>
      <c r="F147" t="s">
        <v>168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55000000000000004">
      <c r="A148" t="s">
        <v>433</v>
      </c>
      <c r="B148" t="s">
        <v>434</v>
      </c>
      <c r="C148" s="9">
        <v>43828</v>
      </c>
      <c r="D148" t="s">
        <v>174</v>
      </c>
      <c r="E148" t="s">
        <v>175</v>
      </c>
      <c r="F148" t="s">
        <v>168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55000000000000004">
      <c r="A149" t="s">
        <v>435</v>
      </c>
      <c r="B149" t="s">
        <v>436</v>
      </c>
      <c r="C149" s="9">
        <v>44021</v>
      </c>
      <c r="D149" t="s">
        <v>166</v>
      </c>
      <c r="E149" t="s">
        <v>175</v>
      </c>
      <c r="F149" t="s">
        <v>168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55000000000000004">
      <c r="A150" t="s">
        <v>437</v>
      </c>
      <c r="B150" t="s">
        <v>438</v>
      </c>
      <c r="C150" s="9">
        <v>43224</v>
      </c>
      <c r="D150" t="s">
        <v>174</v>
      </c>
      <c r="E150" t="s">
        <v>175</v>
      </c>
      <c r="F150" t="s">
        <v>168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55000000000000004">
      <c r="A151" t="s">
        <v>439</v>
      </c>
      <c r="B151" t="s">
        <v>440</v>
      </c>
      <c r="C151" s="9">
        <v>43376</v>
      </c>
      <c r="D151" t="s">
        <v>174</v>
      </c>
      <c r="E151" t="s">
        <v>175</v>
      </c>
      <c r="F151" t="s">
        <v>168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55000000000000004">
      <c r="A152" t="s">
        <v>441</v>
      </c>
      <c r="B152" t="s">
        <v>442</v>
      </c>
      <c r="C152" s="9">
        <v>42831</v>
      </c>
      <c r="D152" t="s">
        <v>174</v>
      </c>
      <c r="E152" t="s">
        <v>175</v>
      </c>
      <c r="F152" t="s">
        <v>168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55000000000000004">
      <c r="A153" t="s">
        <v>443</v>
      </c>
      <c r="B153" t="s">
        <v>444</v>
      </c>
      <c r="C153" s="9">
        <v>44108</v>
      </c>
      <c r="D153" t="s">
        <v>166</v>
      </c>
      <c r="E153" t="s">
        <v>167</v>
      </c>
      <c r="F153" t="s">
        <v>168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55000000000000004">
      <c r="A154" t="s">
        <v>445</v>
      </c>
      <c r="B154" t="s">
        <v>446</v>
      </c>
      <c r="C154" s="9">
        <v>42964</v>
      </c>
      <c r="D154" t="s">
        <v>166</v>
      </c>
      <c r="E154" t="s">
        <v>170</v>
      </c>
      <c r="F154" t="s">
        <v>168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55000000000000004">
      <c r="A155" t="s">
        <v>447</v>
      </c>
      <c r="B155" t="s">
        <v>448</v>
      </c>
      <c r="C155" s="9">
        <v>43429</v>
      </c>
      <c r="D155" t="s">
        <v>166</v>
      </c>
      <c r="E155" t="s">
        <v>170</v>
      </c>
      <c r="F155" t="s">
        <v>168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55000000000000004">
      <c r="A156" t="s">
        <v>449</v>
      </c>
      <c r="B156" t="s">
        <v>450</v>
      </c>
      <c r="C156" s="9">
        <v>43203</v>
      </c>
      <c r="D156" t="s">
        <v>166</v>
      </c>
      <c r="E156" t="s">
        <v>170</v>
      </c>
      <c r="F156" t="s">
        <v>168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55000000000000004">
      <c r="A157" t="s">
        <v>451</v>
      </c>
      <c r="B157" t="s">
        <v>452</v>
      </c>
      <c r="C157" s="9">
        <v>44139</v>
      </c>
      <c r="D157" t="s">
        <v>174</v>
      </c>
      <c r="E157" t="s">
        <v>175</v>
      </c>
      <c r="F157" t="s">
        <v>168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55000000000000004">
      <c r="A158" t="s">
        <v>453</v>
      </c>
      <c r="B158" t="s">
        <v>454</v>
      </c>
      <c r="C158" s="9">
        <v>42213</v>
      </c>
      <c r="D158" t="s">
        <v>166</v>
      </c>
      <c r="E158" t="s">
        <v>170</v>
      </c>
      <c r="F158" t="s">
        <v>168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55000000000000004">
      <c r="A159" t="s">
        <v>455</v>
      </c>
      <c r="B159" t="s">
        <v>456</v>
      </c>
      <c r="C159" s="9">
        <v>43331</v>
      </c>
      <c r="D159" t="s">
        <v>166</v>
      </c>
      <c r="E159" t="s">
        <v>170</v>
      </c>
      <c r="F159" t="s">
        <v>168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55000000000000004">
      <c r="A160" t="s">
        <v>457</v>
      </c>
      <c r="B160" t="s">
        <v>458</v>
      </c>
      <c r="C160" s="9">
        <v>43767</v>
      </c>
      <c r="D160" t="s">
        <v>174</v>
      </c>
      <c r="E160" t="s">
        <v>167</v>
      </c>
      <c r="F160" t="s">
        <v>168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55000000000000004">
      <c r="A161" t="s">
        <v>459</v>
      </c>
      <c r="B161" t="s">
        <v>460</v>
      </c>
      <c r="C161" s="9">
        <v>42380</v>
      </c>
      <c r="D161" t="s">
        <v>166</v>
      </c>
      <c r="E161" t="s">
        <v>167</v>
      </c>
      <c r="F161" t="s">
        <v>168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55000000000000004">
      <c r="A162" t="s">
        <v>461</v>
      </c>
      <c r="B162" t="s">
        <v>462</v>
      </c>
      <c r="C162" s="9">
        <v>42091</v>
      </c>
      <c r="D162" t="s">
        <v>166</v>
      </c>
      <c r="E162" t="s">
        <v>170</v>
      </c>
      <c r="F162" t="s">
        <v>168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55000000000000004">
      <c r="A163" t="s">
        <v>463</v>
      </c>
      <c r="B163" t="s">
        <v>464</v>
      </c>
      <c r="C163" s="9">
        <v>43035</v>
      </c>
      <c r="D163" t="s">
        <v>166</v>
      </c>
      <c r="E163" t="s">
        <v>170</v>
      </c>
      <c r="F163" t="s">
        <v>168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55000000000000004">
      <c r="A164" t="s">
        <v>465</v>
      </c>
      <c r="B164" t="s">
        <v>466</v>
      </c>
      <c r="C164" s="9">
        <v>42968</v>
      </c>
      <c r="D164" t="s">
        <v>166</v>
      </c>
      <c r="E164" t="s">
        <v>175</v>
      </c>
      <c r="F164" t="s">
        <v>168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55000000000000004">
      <c r="A165" t="s">
        <v>467</v>
      </c>
      <c r="B165" t="s">
        <v>468</v>
      </c>
      <c r="C165" s="9">
        <v>42183</v>
      </c>
      <c r="D165" t="s">
        <v>166</v>
      </c>
      <c r="E165" t="s">
        <v>167</v>
      </c>
      <c r="F165" t="s">
        <v>168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55000000000000004">
      <c r="A166" t="s">
        <v>469</v>
      </c>
      <c r="B166" t="s">
        <v>470</v>
      </c>
      <c r="C166" s="9">
        <v>43346</v>
      </c>
      <c r="D166" t="s">
        <v>174</v>
      </c>
      <c r="E166" t="s">
        <v>175</v>
      </c>
      <c r="F166" t="s">
        <v>168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55000000000000004">
      <c r="A167" t="s">
        <v>471</v>
      </c>
      <c r="B167" t="s">
        <v>472</v>
      </c>
      <c r="C167" s="9">
        <v>42331</v>
      </c>
      <c r="D167" t="s">
        <v>166</v>
      </c>
      <c r="E167" t="s">
        <v>175</v>
      </c>
      <c r="F167" t="s">
        <v>168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55000000000000004">
      <c r="A168" t="s">
        <v>473</v>
      </c>
      <c r="B168" t="s">
        <v>474</v>
      </c>
      <c r="C168" s="9">
        <v>43971</v>
      </c>
      <c r="D168" t="s">
        <v>174</v>
      </c>
      <c r="E168" t="s">
        <v>175</v>
      </c>
      <c r="F168" t="s">
        <v>168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55000000000000004">
      <c r="A169" t="s">
        <v>475</v>
      </c>
      <c r="B169" t="s">
        <v>476</v>
      </c>
      <c r="C169" s="9">
        <v>43949</v>
      </c>
      <c r="D169" t="s">
        <v>174</v>
      </c>
      <c r="E169" t="s">
        <v>170</v>
      </c>
      <c r="F169" t="s">
        <v>168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55000000000000004">
      <c r="A170" t="s">
        <v>477</v>
      </c>
      <c r="B170" t="s">
        <v>478</v>
      </c>
      <c r="C170" s="9">
        <v>43345</v>
      </c>
      <c r="D170" t="s">
        <v>166</v>
      </c>
      <c r="E170" t="s">
        <v>175</v>
      </c>
      <c r="F170" t="s">
        <v>168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55000000000000004">
      <c r="A171" t="s">
        <v>479</v>
      </c>
      <c r="B171" t="s">
        <v>480</v>
      </c>
      <c r="C171" s="9">
        <v>42419</v>
      </c>
      <c r="D171" t="s">
        <v>174</v>
      </c>
      <c r="E171" t="s">
        <v>175</v>
      </c>
      <c r="F171" t="s">
        <v>168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55000000000000004">
      <c r="A172" t="s">
        <v>481</v>
      </c>
      <c r="B172" t="s">
        <v>482</v>
      </c>
      <c r="C172" s="9">
        <v>42458</v>
      </c>
      <c r="D172" t="s">
        <v>174</v>
      </c>
      <c r="E172" t="s">
        <v>175</v>
      </c>
      <c r="F172" t="s">
        <v>168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55000000000000004">
      <c r="A173" t="s">
        <v>483</v>
      </c>
      <c r="B173" t="s">
        <v>484</v>
      </c>
      <c r="C173" s="9">
        <v>43329</v>
      </c>
      <c r="D173" t="s">
        <v>166</v>
      </c>
      <c r="E173" t="s">
        <v>175</v>
      </c>
      <c r="F173" t="s">
        <v>168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55000000000000004">
      <c r="A174" t="s">
        <v>485</v>
      </c>
      <c r="B174" t="s">
        <v>486</v>
      </c>
      <c r="C174" s="9">
        <v>43469</v>
      </c>
      <c r="D174" t="s">
        <v>174</v>
      </c>
      <c r="E174" t="s">
        <v>167</v>
      </c>
      <c r="F174" t="s">
        <v>168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55000000000000004">
      <c r="A175" t="s">
        <v>487</v>
      </c>
      <c r="B175" t="s">
        <v>488</v>
      </c>
      <c r="C175" s="9">
        <v>43636</v>
      </c>
      <c r="D175" t="s">
        <v>166</v>
      </c>
      <c r="E175" t="s">
        <v>175</v>
      </c>
      <c r="F175" t="s">
        <v>168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55000000000000004">
      <c r="A176" t="s">
        <v>489</v>
      </c>
      <c r="B176" t="s">
        <v>490</v>
      </c>
      <c r="C176" s="9">
        <v>43721</v>
      </c>
      <c r="D176" t="s">
        <v>166</v>
      </c>
      <c r="E176" t="s">
        <v>167</v>
      </c>
      <c r="F176" t="s">
        <v>168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55000000000000004">
      <c r="A177" t="s">
        <v>491</v>
      </c>
      <c r="B177" t="s">
        <v>492</v>
      </c>
      <c r="C177" s="9">
        <v>43140</v>
      </c>
      <c r="D177" t="s">
        <v>166</v>
      </c>
      <c r="E177" t="s">
        <v>175</v>
      </c>
      <c r="F177" t="s">
        <v>168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55000000000000004">
      <c r="A178" t="s">
        <v>481</v>
      </c>
      <c r="B178" t="s">
        <v>493</v>
      </c>
      <c r="C178" s="9">
        <v>42642</v>
      </c>
      <c r="D178" t="s">
        <v>174</v>
      </c>
      <c r="E178" t="s">
        <v>167</v>
      </c>
      <c r="F178" t="s">
        <v>168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55000000000000004">
      <c r="A179" t="s">
        <v>494</v>
      </c>
      <c r="B179" t="s">
        <v>495</v>
      </c>
      <c r="C179" s="9">
        <v>43020</v>
      </c>
      <c r="D179" t="s">
        <v>174</v>
      </c>
      <c r="E179" t="s">
        <v>170</v>
      </c>
      <c r="F179" t="s">
        <v>168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55000000000000004">
      <c r="A180" t="s">
        <v>496</v>
      </c>
      <c r="B180" t="s">
        <v>497</v>
      </c>
      <c r="C180" s="9">
        <v>42235</v>
      </c>
      <c r="D180" t="s">
        <v>166</v>
      </c>
      <c r="E180" t="s">
        <v>170</v>
      </c>
      <c r="F180" t="s">
        <v>168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55000000000000004">
      <c r="A181" t="s">
        <v>498</v>
      </c>
      <c r="B181" t="s">
        <v>499</v>
      </c>
      <c r="C181" s="9">
        <v>42217</v>
      </c>
      <c r="D181" t="s">
        <v>166</v>
      </c>
      <c r="E181" t="s">
        <v>170</v>
      </c>
      <c r="F181" t="s">
        <v>168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55000000000000004">
      <c r="A182" t="s">
        <v>500</v>
      </c>
      <c r="B182" t="s">
        <v>501</v>
      </c>
      <c r="C182" s="9">
        <v>42728</v>
      </c>
      <c r="D182" t="s">
        <v>166</v>
      </c>
      <c r="E182" t="s">
        <v>175</v>
      </c>
      <c r="F182" t="s">
        <v>168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55000000000000004">
      <c r="A183" t="s">
        <v>502</v>
      </c>
      <c r="B183" t="s">
        <v>503</v>
      </c>
      <c r="C183" s="9">
        <v>42908</v>
      </c>
      <c r="D183" t="s">
        <v>174</v>
      </c>
      <c r="E183" t="s">
        <v>175</v>
      </c>
      <c r="F183" t="s">
        <v>168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55000000000000004">
      <c r="A184" t="s">
        <v>504</v>
      </c>
      <c r="B184" t="s">
        <v>505</v>
      </c>
      <c r="C184" s="9">
        <v>43503</v>
      </c>
      <c r="D184" t="s">
        <v>174</v>
      </c>
      <c r="E184" t="s">
        <v>167</v>
      </c>
      <c r="F184" t="s">
        <v>168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55000000000000004">
      <c r="A185" t="s">
        <v>506</v>
      </c>
      <c r="B185" t="s">
        <v>507</v>
      </c>
      <c r="C185" s="9">
        <v>42614</v>
      </c>
      <c r="D185" t="s">
        <v>174</v>
      </c>
      <c r="E185" t="s">
        <v>175</v>
      </c>
      <c r="F185" t="s">
        <v>168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55000000000000004">
      <c r="A186" t="s">
        <v>508</v>
      </c>
      <c r="B186" t="s">
        <v>509</v>
      </c>
      <c r="C186" s="9">
        <v>43874</v>
      </c>
      <c r="D186" t="s">
        <v>166</v>
      </c>
      <c r="E186" t="s">
        <v>167</v>
      </c>
      <c r="F186" t="s">
        <v>168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55000000000000004">
      <c r="A187" t="s">
        <v>510</v>
      </c>
      <c r="B187" t="s">
        <v>511</v>
      </c>
      <c r="C187" s="9">
        <v>44148</v>
      </c>
      <c r="D187" t="s">
        <v>174</v>
      </c>
      <c r="E187" t="s">
        <v>170</v>
      </c>
      <c r="F187" t="s">
        <v>168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55000000000000004">
      <c r="A188" t="s">
        <v>512</v>
      </c>
      <c r="B188" t="s">
        <v>513</v>
      </c>
      <c r="C188" s="9">
        <v>42254</v>
      </c>
      <c r="D188" t="s">
        <v>166</v>
      </c>
      <c r="E188" t="s">
        <v>175</v>
      </c>
      <c r="F188" t="s">
        <v>168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55000000000000004">
      <c r="A189" t="s">
        <v>514</v>
      </c>
      <c r="B189" t="s">
        <v>515</v>
      </c>
      <c r="C189" s="9">
        <v>42229</v>
      </c>
      <c r="D189" t="s">
        <v>166</v>
      </c>
      <c r="E189" t="s">
        <v>175</v>
      </c>
      <c r="F189" t="s">
        <v>168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55000000000000004">
      <c r="A190" t="s">
        <v>516</v>
      </c>
      <c r="B190" t="s">
        <v>517</v>
      </c>
      <c r="C190" s="9">
        <v>43074</v>
      </c>
      <c r="D190" t="s">
        <v>174</v>
      </c>
      <c r="E190" t="s">
        <v>170</v>
      </c>
      <c r="F190" t="s">
        <v>168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55000000000000004">
      <c r="A191" t="s">
        <v>518</v>
      </c>
      <c r="B191" t="s">
        <v>519</v>
      </c>
      <c r="C191" s="9">
        <v>43492</v>
      </c>
      <c r="D191" t="s">
        <v>174</v>
      </c>
      <c r="E191" t="s">
        <v>175</v>
      </c>
      <c r="F191" t="s">
        <v>168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55000000000000004">
      <c r="A192" t="s">
        <v>520</v>
      </c>
      <c r="B192" t="s">
        <v>521</v>
      </c>
      <c r="C192" s="9">
        <v>42648</v>
      </c>
      <c r="D192" t="s">
        <v>174</v>
      </c>
      <c r="E192" t="s">
        <v>175</v>
      </c>
      <c r="F192" t="s">
        <v>168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55000000000000004">
      <c r="A193" t="s">
        <v>522</v>
      </c>
      <c r="B193" t="s">
        <v>523</v>
      </c>
      <c r="C193" s="9">
        <v>42048</v>
      </c>
      <c r="D193" t="s">
        <v>166</v>
      </c>
      <c r="E193" t="s">
        <v>167</v>
      </c>
      <c r="F193" t="s">
        <v>168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55000000000000004">
      <c r="A194" t="s">
        <v>524</v>
      </c>
      <c r="B194" t="s">
        <v>525</v>
      </c>
      <c r="C194" s="9">
        <v>43155</v>
      </c>
      <c r="D194" t="s">
        <v>174</v>
      </c>
      <c r="E194" t="s">
        <v>167</v>
      </c>
      <c r="F194" t="s">
        <v>168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55000000000000004">
      <c r="A195" t="s">
        <v>526</v>
      </c>
      <c r="B195" t="s">
        <v>527</v>
      </c>
      <c r="C195" s="9">
        <v>43041</v>
      </c>
      <c r="D195" t="s">
        <v>174</v>
      </c>
      <c r="E195" t="s">
        <v>175</v>
      </c>
      <c r="F195" t="s">
        <v>168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55000000000000004">
      <c r="A196" t="s">
        <v>528</v>
      </c>
      <c r="B196" t="s">
        <v>529</v>
      </c>
      <c r="C196" s="9">
        <v>42412</v>
      </c>
      <c r="D196" t="s">
        <v>166</v>
      </c>
      <c r="E196" t="s">
        <v>175</v>
      </c>
      <c r="F196" t="s">
        <v>168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55000000000000004">
      <c r="A197" t="s">
        <v>530</v>
      </c>
      <c r="B197" t="s">
        <v>531</v>
      </c>
      <c r="C197" s="9">
        <v>44010</v>
      </c>
      <c r="D197" t="s">
        <v>174</v>
      </c>
      <c r="E197" t="s">
        <v>170</v>
      </c>
      <c r="F197" t="s">
        <v>168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55000000000000004">
      <c r="A198" t="s">
        <v>532</v>
      </c>
      <c r="B198" t="s">
        <v>533</v>
      </c>
      <c r="C198" s="9">
        <v>44131</v>
      </c>
      <c r="D198" t="s">
        <v>174</v>
      </c>
      <c r="E198" t="s">
        <v>170</v>
      </c>
      <c r="F198" t="s">
        <v>168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55000000000000004">
      <c r="A199" t="s">
        <v>534</v>
      </c>
      <c r="B199" t="s">
        <v>535</v>
      </c>
      <c r="C199" s="9">
        <v>42869</v>
      </c>
      <c r="D199" t="s">
        <v>166</v>
      </c>
      <c r="E199" t="s">
        <v>175</v>
      </c>
      <c r="F199" t="s">
        <v>168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55000000000000004">
      <c r="A200" t="s">
        <v>536</v>
      </c>
      <c r="B200" t="s">
        <v>537</v>
      </c>
      <c r="C200" s="9">
        <v>42923</v>
      </c>
      <c r="D200" t="s">
        <v>166</v>
      </c>
      <c r="E200" t="s">
        <v>175</v>
      </c>
      <c r="F200" t="s">
        <v>168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55000000000000004">
      <c r="A201" t="s">
        <v>538</v>
      </c>
      <c r="B201" t="s">
        <v>539</v>
      </c>
      <c r="C201" s="9">
        <v>43312</v>
      </c>
      <c r="D201" t="s">
        <v>174</v>
      </c>
      <c r="E201" t="s">
        <v>167</v>
      </c>
      <c r="F201" t="s">
        <v>168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55000000000000004">
      <c r="A202" t="s">
        <v>165</v>
      </c>
      <c r="B202" t="s">
        <v>88</v>
      </c>
      <c r="C202" s="9">
        <v>42484</v>
      </c>
      <c r="D202" t="s">
        <v>166</v>
      </c>
      <c r="E202" t="s">
        <v>167</v>
      </c>
      <c r="F202" t="s">
        <v>540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55000000000000004">
      <c r="A203" t="s">
        <v>169</v>
      </c>
      <c r="B203" t="s">
        <v>89</v>
      </c>
      <c r="C203" s="9">
        <v>42609</v>
      </c>
      <c r="D203" t="s">
        <v>166</v>
      </c>
      <c r="E203" t="s">
        <v>170</v>
      </c>
      <c r="F203" t="s">
        <v>540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55000000000000004">
      <c r="A204" t="s">
        <v>171</v>
      </c>
      <c r="B204" t="s">
        <v>90</v>
      </c>
      <c r="C204" s="9">
        <v>43385</v>
      </c>
      <c r="D204" t="s">
        <v>166</v>
      </c>
      <c r="E204" t="s">
        <v>167</v>
      </c>
      <c r="F204" t="s">
        <v>540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55000000000000004">
      <c r="A205" t="s">
        <v>172</v>
      </c>
      <c r="B205" t="s">
        <v>91</v>
      </c>
      <c r="C205" s="9">
        <v>42908</v>
      </c>
      <c r="D205" t="s">
        <v>166</v>
      </c>
      <c r="E205" t="s">
        <v>170</v>
      </c>
      <c r="F205" t="s">
        <v>540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55000000000000004">
      <c r="A206" t="s">
        <v>173</v>
      </c>
      <c r="B206" t="s">
        <v>92</v>
      </c>
      <c r="C206" s="9">
        <v>42104</v>
      </c>
      <c r="D206" t="s">
        <v>174</v>
      </c>
      <c r="E206" t="s">
        <v>175</v>
      </c>
      <c r="F206" t="s">
        <v>540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55000000000000004">
      <c r="A207" t="s">
        <v>176</v>
      </c>
      <c r="B207" t="s">
        <v>93</v>
      </c>
      <c r="C207" s="9">
        <v>44108</v>
      </c>
      <c r="D207" t="s">
        <v>174</v>
      </c>
      <c r="E207" t="s">
        <v>175</v>
      </c>
      <c r="F207" t="s">
        <v>540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55000000000000004">
      <c r="A208" t="s">
        <v>177</v>
      </c>
      <c r="B208" t="s">
        <v>94</v>
      </c>
      <c r="C208" s="9">
        <v>42806</v>
      </c>
      <c r="D208" t="s">
        <v>174</v>
      </c>
      <c r="E208" t="s">
        <v>175</v>
      </c>
      <c r="F208" t="s">
        <v>540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55000000000000004">
      <c r="A209" t="s">
        <v>178</v>
      </c>
      <c r="B209" t="s">
        <v>95</v>
      </c>
      <c r="C209" s="9">
        <v>42736</v>
      </c>
      <c r="D209" t="s">
        <v>166</v>
      </c>
      <c r="E209" t="s">
        <v>167</v>
      </c>
      <c r="F209" t="s">
        <v>540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55000000000000004">
      <c r="A210" t="s">
        <v>179</v>
      </c>
      <c r="B210" t="s">
        <v>96</v>
      </c>
      <c r="C210" s="9">
        <v>43556</v>
      </c>
      <c r="D210" t="s">
        <v>166</v>
      </c>
      <c r="E210" t="s">
        <v>170</v>
      </c>
      <c r="F210" t="s">
        <v>540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55000000000000004">
      <c r="A211" t="s">
        <v>180</v>
      </c>
      <c r="B211" t="s">
        <v>97</v>
      </c>
      <c r="C211" s="9">
        <v>43747</v>
      </c>
      <c r="D211" t="s">
        <v>174</v>
      </c>
      <c r="E211" t="s">
        <v>167</v>
      </c>
      <c r="F211" t="s">
        <v>540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55000000000000004">
      <c r="A212" t="s">
        <v>181</v>
      </c>
      <c r="B212" t="s">
        <v>98</v>
      </c>
      <c r="C212" s="9">
        <v>44073</v>
      </c>
      <c r="D212" t="s">
        <v>174</v>
      </c>
      <c r="E212" t="s">
        <v>167</v>
      </c>
      <c r="F212" t="s">
        <v>540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55000000000000004">
      <c r="A213" t="s">
        <v>182</v>
      </c>
      <c r="B213" t="s">
        <v>99</v>
      </c>
      <c r="C213" s="9">
        <v>43435</v>
      </c>
      <c r="D213" t="s">
        <v>174</v>
      </c>
      <c r="E213" t="s">
        <v>167</v>
      </c>
      <c r="F213" t="s">
        <v>540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55000000000000004">
      <c r="A214" t="s">
        <v>183</v>
      </c>
      <c r="B214" t="s">
        <v>100</v>
      </c>
      <c r="C214" s="9">
        <v>42229</v>
      </c>
      <c r="D214" t="s">
        <v>166</v>
      </c>
      <c r="E214" t="s">
        <v>175</v>
      </c>
      <c r="F214" t="s">
        <v>540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55000000000000004">
      <c r="A215" t="s">
        <v>184</v>
      </c>
      <c r="B215" t="s">
        <v>101</v>
      </c>
      <c r="C215" s="9">
        <v>43695</v>
      </c>
      <c r="D215" t="s">
        <v>174</v>
      </c>
      <c r="E215" t="s">
        <v>167</v>
      </c>
      <c r="F215" t="s">
        <v>540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55000000000000004">
      <c r="A216" t="s">
        <v>185</v>
      </c>
      <c r="B216" t="s">
        <v>102</v>
      </c>
      <c r="C216" s="9">
        <v>42241</v>
      </c>
      <c r="D216" t="s">
        <v>166</v>
      </c>
      <c r="E216" t="s">
        <v>167</v>
      </c>
      <c r="F216" t="s">
        <v>540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55000000000000004">
      <c r="A217" t="s">
        <v>186</v>
      </c>
      <c r="B217" t="s">
        <v>103</v>
      </c>
      <c r="C217" s="9">
        <v>42700</v>
      </c>
      <c r="D217" t="s">
        <v>166</v>
      </c>
      <c r="E217" t="s">
        <v>167</v>
      </c>
      <c r="F217" t="s">
        <v>540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55000000000000004">
      <c r="A218" t="s">
        <v>187</v>
      </c>
      <c r="B218" t="s">
        <v>104</v>
      </c>
      <c r="C218" s="9">
        <v>43442</v>
      </c>
      <c r="D218" t="s">
        <v>166</v>
      </c>
      <c r="E218" t="s">
        <v>170</v>
      </c>
      <c r="F218" t="s">
        <v>540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55000000000000004">
      <c r="A219" t="s">
        <v>188</v>
      </c>
      <c r="B219" t="s">
        <v>105</v>
      </c>
      <c r="C219" s="9">
        <v>44110</v>
      </c>
      <c r="D219" t="s">
        <v>174</v>
      </c>
      <c r="E219" t="s">
        <v>170</v>
      </c>
      <c r="F219" t="s">
        <v>540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55000000000000004">
      <c r="A220" t="s">
        <v>189</v>
      </c>
      <c r="B220" t="s">
        <v>106</v>
      </c>
      <c r="C220" s="9">
        <v>43417</v>
      </c>
      <c r="D220" t="s">
        <v>166</v>
      </c>
      <c r="E220" t="s">
        <v>170</v>
      </c>
      <c r="F220" t="s">
        <v>540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55000000000000004">
      <c r="A221" t="s">
        <v>190</v>
      </c>
      <c r="B221" t="s">
        <v>107</v>
      </c>
      <c r="C221" s="9">
        <v>42169</v>
      </c>
      <c r="D221" t="s">
        <v>174</v>
      </c>
      <c r="E221" t="s">
        <v>170</v>
      </c>
      <c r="F221" t="s">
        <v>540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55000000000000004">
      <c r="A222" t="s">
        <v>191</v>
      </c>
      <c r="B222" t="s">
        <v>108</v>
      </c>
      <c r="C222" s="9">
        <v>43086</v>
      </c>
      <c r="D222" t="s">
        <v>174</v>
      </c>
      <c r="E222" t="s">
        <v>175</v>
      </c>
      <c r="F222" t="s">
        <v>540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55000000000000004">
      <c r="A223" t="s">
        <v>192</v>
      </c>
      <c r="B223" t="s">
        <v>109</v>
      </c>
      <c r="C223" s="9">
        <v>42569</v>
      </c>
      <c r="D223" t="s">
        <v>174</v>
      </c>
      <c r="E223" t="s">
        <v>167</v>
      </c>
      <c r="F223" t="s">
        <v>540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55000000000000004">
      <c r="A224" t="s">
        <v>193</v>
      </c>
      <c r="B224" t="s">
        <v>110</v>
      </c>
      <c r="C224" s="9">
        <v>43238</v>
      </c>
      <c r="D224" t="s">
        <v>174</v>
      </c>
      <c r="E224" t="s">
        <v>170</v>
      </c>
      <c r="F224" t="s">
        <v>540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55000000000000004">
      <c r="A225" t="s">
        <v>194</v>
      </c>
      <c r="B225" t="s">
        <v>111</v>
      </c>
      <c r="C225" s="9">
        <v>42218</v>
      </c>
      <c r="D225" t="s">
        <v>166</v>
      </c>
      <c r="E225" t="s">
        <v>170</v>
      </c>
      <c r="F225" t="s">
        <v>540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55000000000000004">
      <c r="A226" t="s">
        <v>195</v>
      </c>
      <c r="B226" t="s">
        <v>112</v>
      </c>
      <c r="C226" s="9">
        <v>43565</v>
      </c>
      <c r="D226" t="s">
        <v>166</v>
      </c>
      <c r="E226" t="s">
        <v>170</v>
      </c>
      <c r="F226" t="s">
        <v>540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55000000000000004">
      <c r="A227" t="s">
        <v>196</v>
      </c>
      <c r="B227" t="s">
        <v>113</v>
      </c>
      <c r="C227" s="9">
        <v>42643</v>
      </c>
      <c r="D227" t="s">
        <v>174</v>
      </c>
      <c r="E227" t="s">
        <v>170</v>
      </c>
      <c r="F227" t="s">
        <v>540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55000000000000004">
      <c r="A228" t="s">
        <v>197</v>
      </c>
      <c r="B228" t="s">
        <v>114</v>
      </c>
      <c r="C228" s="9">
        <v>43025</v>
      </c>
      <c r="D228" t="s">
        <v>166</v>
      </c>
      <c r="E228" t="s">
        <v>167</v>
      </c>
      <c r="F228" t="s">
        <v>540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55000000000000004">
      <c r="A229" t="s">
        <v>198</v>
      </c>
      <c r="B229" t="s">
        <v>115</v>
      </c>
      <c r="C229" s="9">
        <v>42917</v>
      </c>
      <c r="D229" t="s">
        <v>174</v>
      </c>
      <c r="E229" t="s">
        <v>167</v>
      </c>
      <c r="F229" t="s">
        <v>540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55000000000000004">
      <c r="A230" t="s">
        <v>199</v>
      </c>
      <c r="B230" t="s">
        <v>116</v>
      </c>
      <c r="C230" s="9">
        <v>42638</v>
      </c>
      <c r="D230" t="s">
        <v>166</v>
      </c>
      <c r="E230" t="s">
        <v>167</v>
      </c>
      <c r="F230" t="s">
        <v>540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55000000000000004">
      <c r="A231" t="s">
        <v>200</v>
      </c>
      <c r="B231" t="s">
        <v>201</v>
      </c>
      <c r="C231" s="9">
        <v>42306</v>
      </c>
      <c r="D231" t="s">
        <v>166</v>
      </c>
      <c r="E231" t="s">
        <v>170</v>
      </c>
      <c r="F231" t="s">
        <v>540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55000000000000004">
      <c r="A232" t="s">
        <v>202</v>
      </c>
      <c r="B232" t="s">
        <v>203</v>
      </c>
      <c r="C232" s="9">
        <v>43821</v>
      </c>
      <c r="D232" t="s">
        <v>166</v>
      </c>
      <c r="E232" t="s">
        <v>167</v>
      </c>
      <c r="F232" t="s">
        <v>540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55000000000000004">
      <c r="A233" t="s">
        <v>204</v>
      </c>
      <c r="B233" t="s">
        <v>205</v>
      </c>
      <c r="C233" s="9">
        <v>42767</v>
      </c>
      <c r="D233" t="s">
        <v>174</v>
      </c>
      <c r="E233" t="s">
        <v>170</v>
      </c>
      <c r="F233" t="s">
        <v>540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55000000000000004">
      <c r="A234" t="s">
        <v>206</v>
      </c>
      <c r="B234" t="s">
        <v>207</v>
      </c>
      <c r="C234" s="9">
        <v>43203</v>
      </c>
      <c r="D234" t="s">
        <v>166</v>
      </c>
      <c r="E234" t="s">
        <v>175</v>
      </c>
      <c r="F234" t="s">
        <v>540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55000000000000004">
      <c r="A235" t="s">
        <v>208</v>
      </c>
      <c r="B235" t="s">
        <v>209</v>
      </c>
      <c r="C235" s="9">
        <v>43598</v>
      </c>
      <c r="D235" t="s">
        <v>166</v>
      </c>
      <c r="E235" t="s">
        <v>175</v>
      </c>
      <c r="F235" t="s">
        <v>540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55000000000000004">
      <c r="A236" t="s">
        <v>210</v>
      </c>
      <c r="B236" t="s">
        <v>211</v>
      </c>
      <c r="C236" s="9">
        <v>43374</v>
      </c>
      <c r="D236" t="s">
        <v>166</v>
      </c>
      <c r="E236" t="s">
        <v>175</v>
      </c>
      <c r="F236" t="s">
        <v>540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55000000000000004">
      <c r="A237" t="s">
        <v>212</v>
      </c>
      <c r="B237" t="s">
        <v>213</v>
      </c>
      <c r="C237" s="9">
        <v>42503</v>
      </c>
      <c r="D237" t="s">
        <v>174</v>
      </c>
      <c r="E237" t="s">
        <v>170</v>
      </c>
      <c r="F237" t="s">
        <v>540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55000000000000004">
      <c r="A238" t="s">
        <v>214</v>
      </c>
      <c r="B238" t="s">
        <v>215</v>
      </c>
      <c r="C238" s="9">
        <v>44147</v>
      </c>
      <c r="D238" t="s">
        <v>166</v>
      </c>
      <c r="E238" t="s">
        <v>167</v>
      </c>
      <c r="F238" t="s">
        <v>540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55000000000000004">
      <c r="A239" t="s">
        <v>216</v>
      </c>
      <c r="B239" t="s">
        <v>217</v>
      </c>
      <c r="C239" s="9">
        <v>42510</v>
      </c>
      <c r="D239" t="s">
        <v>174</v>
      </c>
      <c r="E239" t="s">
        <v>175</v>
      </c>
      <c r="F239" t="s">
        <v>540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55000000000000004">
      <c r="A240" t="s">
        <v>218</v>
      </c>
      <c r="B240" t="s">
        <v>219</v>
      </c>
      <c r="C240" s="9">
        <v>42211</v>
      </c>
      <c r="D240" t="s">
        <v>174</v>
      </c>
      <c r="E240" t="s">
        <v>170</v>
      </c>
      <c r="F240" t="s">
        <v>540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55000000000000004">
      <c r="A241" t="s">
        <v>220</v>
      </c>
      <c r="B241" t="s">
        <v>221</v>
      </c>
      <c r="C241" s="9">
        <v>44048</v>
      </c>
      <c r="D241" t="s">
        <v>166</v>
      </c>
      <c r="E241" t="s">
        <v>170</v>
      </c>
      <c r="F241" t="s">
        <v>540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55000000000000004">
      <c r="A242" t="s">
        <v>222</v>
      </c>
      <c r="B242" t="s">
        <v>223</v>
      </c>
      <c r="C242" s="9">
        <v>44039</v>
      </c>
      <c r="D242" t="s">
        <v>174</v>
      </c>
      <c r="E242" t="s">
        <v>170</v>
      </c>
      <c r="F242" t="s">
        <v>540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55000000000000004">
      <c r="A243" t="s">
        <v>224</v>
      </c>
      <c r="B243" t="s">
        <v>225</v>
      </c>
      <c r="C243" s="9">
        <v>42360</v>
      </c>
      <c r="D243" t="s">
        <v>174</v>
      </c>
      <c r="E243" t="s">
        <v>167</v>
      </c>
      <c r="F243" t="s">
        <v>540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55000000000000004">
      <c r="A244" t="s">
        <v>226</v>
      </c>
      <c r="B244" t="s">
        <v>227</v>
      </c>
      <c r="C244" s="9">
        <v>43940</v>
      </c>
      <c r="D244" t="s">
        <v>166</v>
      </c>
      <c r="E244" t="s">
        <v>170</v>
      </c>
      <c r="F244" t="s">
        <v>540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55000000000000004">
      <c r="A245" t="s">
        <v>228</v>
      </c>
      <c r="B245" t="s">
        <v>229</v>
      </c>
      <c r="C245" s="9">
        <v>43521</v>
      </c>
      <c r="D245" t="s">
        <v>166</v>
      </c>
      <c r="E245" t="s">
        <v>175</v>
      </c>
      <c r="F245" t="s">
        <v>540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55000000000000004">
      <c r="A246" t="s">
        <v>230</v>
      </c>
      <c r="B246" t="s">
        <v>231</v>
      </c>
      <c r="C246" s="9">
        <v>43639</v>
      </c>
      <c r="D246" t="s">
        <v>174</v>
      </c>
      <c r="E246" t="s">
        <v>170</v>
      </c>
      <c r="F246" t="s">
        <v>540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55000000000000004">
      <c r="A247" t="s">
        <v>232</v>
      </c>
      <c r="B247" t="s">
        <v>233</v>
      </c>
      <c r="C247" s="9">
        <v>43727</v>
      </c>
      <c r="D247" t="s">
        <v>166</v>
      </c>
      <c r="E247" t="s">
        <v>167</v>
      </c>
      <c r="F247" t="s">
        <v>540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55000000000000004">
      <c r="A248" t="s">
        <v>234</v>
      </c>
      <c r="B248" t="s">
        <v>235</v>
      </c>
      <c r="C248" s="9">
        <v>43584</v>
      </c>
      <c r="D248" t="s">
        <v>166</v>
      </c>
      <c r="E248" t="s">
        <v>167</v>
      </c>
      <c r="F248" t="s">
        <v>540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55000000000000004">
      <c r="A249" t="s">
        <v>236</v>
      </c>
      <c r="B249" t="s">
        <v>237</v>
      </c>
      <c r="C249" s="9">
        <v>43217</v>
      </c>
      <c r="D249" t="s">
        <v>166</v>
      </c>
      <c r="E249" t="s">
        <v>175</v>
      </c>
      <c r="F249" t="s">
        <v>540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55000000000000004">
      <c r="A250" t="s">
        <v>238</v>
      </c>
      <c r="B250" t="s">
        <v>239</v>
      </c>
      <c r="C250" s="9">
        <v>43245</v>
      </c>
      <c r="D250" t="s">
        <v>166</v>
      </c>
      <c r="E250" t="s">
        <v>175</v>
      </c>
      <c r="F250" t="s">
        <v>540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55000000000000004">
      <c r="A251" t="s">
        <v>240</v>
      </c>
      <c r="B251" t="s">
        <v>241</v>
      </c>
      <c r="C251" s="9">
        <v>42464</v>
      </c>
      <c r="D251" t="s">
        <v>174</v>
      </c>
      <c r="E251" t="s">
        <v>170</v>
      </c>
      <c r="F251" t="s">
        <v>540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55000000000000004">
      <c r="A252" t="s">
        <v>242</v>
      </c>
      <c r="B252" t="s">
        <v>243</v>
      </c>
      <c r="C252" s="9">
        <v>43940</v>
      </c>
      <c r="D252" t="s">
        <v>174</v>
      </c>
      <c r="E252" t="s">
        <v>175</v>
      </c>
      <c r="F252" t="s">
        <v>540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55000000000000004">
      <c r="A253" t="s">
        <v>244</v>
      </c>
      <c r="B253" t="s">
        <v>245</v>
      </c>
      <c r="C253" s="9">
        <v>42641</v>
      </c>
      <c r="D253" t="s">
        <v>166</v>
      </c>
      <c r="E253" t="s">
        <v>167</v>
      </c>
      <c r="F253" t="s">
        <v>540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55000000000000004">
      <c r="A254" t="s">
        <v>246</v>
      </c>
      <c r="B254" t="s">
        <v>247</v>
      </c>
      <c r="C254" s="9">
        <v>42083</v>
      </c>
      <c r="D254" t="s">
        <v>166</v>
      </c>
      <c r="E254" t="s">
        <v>170</v>
      </c>
      <c r="F254" t="s">
        <v>540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55000000000000004">
      <c r="A255" t="s">
        <v>248</v>
      </c>
      <c r="B255" t="s">
        <v>249</v>
      </c>
      <c r="C255" s="9">
        <v>43777</v>
      </c>
      <c r="D255" t="s">
        <v>174</v>
      </c>
      <c r="E255" t="s">
        <v>170</v>
      </c>
      <c r="F255" t="s">
        <v>540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55000000000000004">
      <c r="A256" t="s">
        <v>250</v>
      </c>
      <c r="B256" t="s">
        <v>251</v>
      </c>
      <c r="C256" s="9">
        <v>43919</v>
      </c>
      <c r="D256" t="s">
        <v>166</v>
      </c>
      <c r="E256" t="s">
        <v>175</v>
      </c>
      <c r="F256" t="s">
        <v>540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55000000000000004">
      <c r="A257" t="s">
        <v>252</v>
      </c>
      <c r="B257" t="s">
        <v>253</v>
      </c>
      <c r="C257" s="9">
        <v>42879</v>
      </c>
      <c r="D257" t="s">
        <v>174</v>
      </c>
      <c r="E257" t="s">
        <v>167</v>
      </c>
      <c r="F257" t="s">
        <v>540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55000000000000004">
      <c r="A258" t="s">
        <v>254</v>
      </c>
      <c r="B258" t="s">
        <v>255</v>
      </c>
      <c r="C258" s="9">
        <v>43746</v>
      </c>
      <c r="D258" t="s">
        <v>166</v>
      </c>
      <c r="E258" t="s">
        <v>170</v>
      </c>
      <c r="F258" t="s">
        <v>540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55000000000000004">
      <c r="A259" t="s">
        <v>256</v>
      </c>
      <c r="B259" t="s">
        <v>257</v>
      </c>
      <c r="C259" s="9">
        <v>42571</v>
      </c>
      <c r="D259" t="s">
        <v>166</v>
      </c>
      <c r="E259" t="s">
        <v>170</v>
      </c>
      <c r="F259" t="s">
        <v>540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55000000000000004">
      <c r="A260" t="s">
        <v>258</v>
      </c>
      <c r="B260" t="s">
        <v>259</v>
      </c>
      <c r="C260" s="9">
        <v>44019</v>
      </c>
      <c r="D260" t="s">
        <v>166</v>
      </c>
      <c r="E260" t="s">
        <v>170</v>
      </c>
      <c r="F260" t="s">
        <v>540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55000000000000004">
      <c r="A261" t="s">
        <v>260</v>
      </c>
      <c r="B261" t="s">
        <v>261</v>
      </c>
      <c r="C261" s="9">
        <v>43098</v>
      </c>
      <c r="D261" t="s">
        <v>166</v>
      </c>
      <c r="E261" t="s">
        <v>167</v>
      </c>
      <c r="F261" t="s">
        <v>540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55000000000000004">
      <c r="A262" t="s">
        <v>262</v>
      </c>
      <c r="B262" t="s">
        <v>263</v>
      </c>
      <c r="C262" s="9">
        <v>43766</v>
      </c>
      <c r="D262" t="s">
        <v>174</v>
      </c>
      <c r="E262" t="s">
        <v>175</v>
      </c>
      <c r="F262" t="s">
        <v>540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55000000000000004">
      <c r="A263" t="s">
        <v>264</v>
      </c>
      <c r="B263" t="s">
        <v>265</v>
      </c>
      <c r="C263" s="9">
        <v>43330</v>
      </c>
      <c r="D263" t="s">
        <v>166</v>
      </c>
      <c r="E263" t="s">
        <v>175</v>
      </c>
      <c r="F263" t="s">
        <v>540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55000000000000004">
      <c r="A264" t="s">
        <v>266</v>
      </c>
      <c r="B264" t="s">
        <v>267</v>
      </c>
      <c r="C264" s="9">
        <v>42717</v>
      </c>
      <c r="D264" t="s">
        <v>166</v>
      </c>
      <c r="E264" t="s">
        <v>170</v>
      </c>
      <c r="F264" t="s">
        <v>540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55000000000000004">
      <c r="A265" t="s">
        <v>268</v>
      </c>
      <c r="B265" t="s">
        <v>269</v>
      </c>
      <c r="C265" s="9">
        <v>42436</v>
      </c>
      <c r="D265" t="s">
        <v>174</v>
      </c>
      <c r="E265" t="s">
        <v>170</v>
      </c>
      <c r="F265" t="s">
        <v>540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55000000000000004">
      <c r="A266" t="s">
        <v>270</v>
      </c>
      <c r="B266" t="s">
        <v>271</v>
      </c>
      <c r="C266" s="9">
        <v>42724</v>
      </c>
      <c r="D266" t="s">
        <v>174</v>
      </c>
      <c r="E266" t="s">
        <v>167</v>
      </c>
      <c r="F266" t="s">
        <v>540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55000000000000004">
      <c r="A267" t="s">
        <v>272</v>
      </c>
      <c r="B267" t="s">
        <v>273</v>
      </c>
      <c r="C267" s="9">
        <v>44050</v>
      </c>
      <c r="D267" t="s">
        <v>166</v>
      </c>
      <c r="E267" t="s">
        <v>167</v>
      </c>
      <c r="F267" t="s">
        <v>540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55000000000000004">
      <c r="A268" t="s">
        <v>274</v>
      </c>
      <c r="B268" t="s">
        <v>275</v>
      </c>
      <c r="C268" s="9">
        <v>42244</v>
      </c>
      <c r="D268" t="s">
        <v>166</v>
      </c>
      <c r="E268" t="s">
        <v>167</v>
      </c>
      <c r="F268" t="s">
        <v>540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55000000000000004">
      <c r="A269" t="s">
        <v>276</v>
      </c>
      <c r="B269" t="s">
        <v>277</v>
      </c>
      <c r="C269" s="9">
        <v>42356</v>
      </c>
      <c r="D269" t="s">
        <v>174</v>
      </c>
      <c r="E269" t="s">
        <v>170</v>
      </c>
      <c r="F269" t="s">
        <v>540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55000000000000004">
      <c r="A270" t="s">
        <v>278</v>
      </c>
      <c r="B270" t="s">
        <v>279</v>
      </c>
      <c r="C270" s="9">
        <v>42647</v>
      </c>
      <c r="D270" t="s">
        <v>174</v>
      </c>
      <c r="E270" t="s">
        <v>170</v>
      </c>
      <c r="F270" t="s">
        <v>540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55000000000000004">
      <c r="A271" t="s">
        <v>280</v>
      </c>
      <c r="B271" t="s">
        <v>281</v>
      </c>
      <c r="C271" s="9">
        <v>42754</v>
      </c>
      <c r="D271" t="s">
        <v>174</v>
      </c>
      <c r="E271" t="s">
        <v>170</v>
      </c>
      <c r="F271" t="s">
        <v>540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55000000000000004">
      <c r="A272" t="s">
        <v>282</v>
      </c>
      <c r="B272" t="s">
        <v>283</v>
      </c>
      <c r="C272" s="9">
        <v>42790</v>
      </c>
      <c r="D272" t="s">
        <v>174</v>
      </c>
      <c r="E272" t="s">
        <v>175</v>
      </c>
      <c r="F272" t="s">
        <v>540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55000000000000004">
      <c r="A273" t="s">
        <v>284</v>
      </c>
      <c r="B273" t="s">
        <v>285</v>
      </c>
      <c r="C273" s="9">
        <v>42526</v>
      </c>
      <c r="D273" t="s">
        <v>166</v>
      </c>
      <c r="E273" t="s">
        <v>170</v>
      </c>
      <c r="F273" t="s">
        <v>540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55000000000000004">
      <c r="A274" t="s">
        <v>286</v>
      </c>
      <c r="B274" t="s">
        <v>287</v>
      </c>
      <c r="C274" s="9">
        <v>42594</v>
      </c>
      <c r="D274" t="s">
        <v>166</v>
      </c>
      <c r="E274" t="s">
        <v>167</v>
      </c>
      <c r="F274" t="s">
        <v>540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55000000000000004">
      <c r="A275" t="s">
        <v>288</v>
      </c>
      <c r="B275" t="s">
        <v>289</v>
      </c>
      <c r="C275" s="9">
        <v>42340</v>
      </c>
      <c r="D275" t="s">
        <v>166</v>
      </c>
      <c r="E275" t="s">
        <v>167</v>
      </c>
      <c r="F275" t="s">
        <v>540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55000000000000004">
      <c r="A276" t="s">
        <v>290</v>
      </c>
      <c r="B276" t="s">
        <v>291</v>
      </c>
      <c r="C276" s="9">
        <v>43226</v>
      </c>
      <c r="D276" t="s">
        <v>174</v>
      </c>
      <c r="E276" t="s">
        <v>170</v>
      </c>
      <c r="F276" t="s">
        <v>540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55000000000000004">
      <c r="A277" t="s">
        <v>292</v>
      </c>
      <c r="B277" t="s">
        <v>293</v>
      </c>
      <c r="C277" s="9">
        <v>43852</v>
      </c>
      <c r="D277" t="s">
        <v>174</v>
      </c>
      <c r="E277" t="s">
        <v>175</v>
      </c>
      <c r="F277" t="s">
        <v>540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55000000000000004">
      <c r="A278" t="s">
        <v>294</v>
      </c>
      <c r="B278" t="s">
        <v>295</v>
      </c>
      <c r="C278" s="9">
        <v>43650</v>
      </c>
      <c r="D278" t="s">
        <v>166</v>
      </c>
      <c r="E278" t="s">
        <v>170</v>
      </c>
      <c r="F278" t="s">
        <v>540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55000000000000004">
      <c r="A279" t="s">
        <v>296</v>
      </c>
      <c r="B279" t="s">
        <v>297</v>
      </c>
      <c r="C279" s="9">
        <v>43537</v>
      </c>
      <c r="D279" t="s">
        <v>174</v>
      </c>
      <c r="E279" t="s">
        <v>167</v>
      </c>
      <c r="F279" t="s">
        <v>540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55000000000000004">
      <c r="A280" t="s">
        <v>298</v>
      </c>
      <c r="B280" t="s">
        <v>299</v>
      </c>
      <c r="C280" s="9">
        <v>43726</v>
      </c>
      <c r="D280" t="s">
        <v>166</v>
      </c>
      <c r="E280" t="s">
        <v>175</v>
      </c>
      <c r="F280" t="s">
        <v>540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55000000000000004">
      <c r="A281" t="s">
        <v>300</v>
      </c>
      <c r="B281" t="s">
        <v>301</v>
      </c>
      <c r="C281" s="9">
        <v>43937</v>
      </c>
      <c r="D281" t="s">
        <v>166</v>
      </c>
      <c r="E281" t="s">
        <v>167</v>
      </c>
      <c r="F281" t="s">
        <v>540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55000000000000004">
      <c r="A282" t="s">
        <v>302</v>
      </c>
      <c r="B282" t="s">
        <v>303</v>
      </c>
      <c r="C282" s="9">
        <v>43005</v>
      </c>
      <c r="D282" t="s">
        <v>174</v>
      </c>
      <c r="E282" t="s">
        <v>170</v>
      </c>
      <c r="F282" t="s">
        <v>540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55000000000000004">
      <c r="A283" t="s">
        <v>304</v>
      </c>
      <c r="B283" t="s">
        <v>305</v>
      </c>
      <c r="C283" s="9">
        <v>44155</v>
      </c>
      <c r="D283" t="s">
        <v>174</v>
      </c>
      <c r="E283" t="s">
        <v>167</v>
      </c>
      <c r="F283" t="s">
        <v>540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55000000000000004">
      <c r="A284" t="s">
        <v>306</v>
      </c>
      <c r="B284" t="s">
        <v>307</v>
      </c>
      <c r="C284" s="9">
        <v>42759</v>
      </c>
      <c r="D284" t="s">
        <v>166</v>
      </c>
      <c r="E284" t="s">
        <v>175</v>
      </c>
      <c r="F284" t="s">
        <v>540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55000000000000004">
      <c r="A285" t="s">
        <v>308</v>
      </c>
      <c r="B285" t="s">
        <v>309</v>
      </c>
      <c r="C285" s="9">
        <v>43807</v>
      </c>
      <c r="D285" t="s">
        <v>166</v>
      </c>
      <c r="E285" t="s">
        <v>175</v>
      </c>
      <c r="F285" t="s">
        <v>540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55000000000000004">
      <c r="A286" t="s">
        <v>310</v>
      </c>
      <c r="B286" t="s">
        <v>311</v>
      </c>
      <c r="C286" s="9">
        <v>43126</v>
      </c>
      <c r="D286" t="s">
        <v>166</v>
      </c>
      <c r="E286" t="s">
        <v>175</v>
      </c>
      <c r="F286" t="s">
        <v>540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55000000000000004">
      <c r="A287" t="s">
        <v>312</v>
      </c>
      <c r="B287" t="s">
        <v>313</v>
      </c>
      <c r="C287" s="9">
        <v>43126</v>
      </c>
      <c r="D287" t="s">
        <v>166</v>
      </c>
      <c r="E287" t="s">
        <v>167</v>
      </c>
      <c r="F287" t="s">
        <v>540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55000000000000004">
      <c r="A288" t="s">
        <v>314</v>
      </c>
      <c r="B288" t="s">
        <v>315</v>
      </c>
      <c r="C288" s="9">
        <v>44068</v>
      </c>
      <c r="D288" t="s">
        <v>166</v>
      </c>
      <c r="E288" t="s">
        <v>175</v>
      </c>
      <c r="F288" t="s">
        <v>540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55000000000000004">
      <c r="A289" t="s">
        <v>316</v>
      </c>
      <c r="B289" t="s">
        <v>317</v>
      </c>
      <c r="C289" s="9">
        <v>43227</v>
      </c>
      <c r="D289" t="s">
        <v>174</v>
      </c>
      <c r="E289" t="s">
        <v>170</v>
      </c>
      <c r="F289" t="s">
        <v>540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55000000000000004">
      <c r="A290" t="s">
        <v>318</v>
      </c>
      <c r="B290" t="s">
        <v>319</v>
      </c>
      <c r="C290" s="9">
        <v>42125</v>
      </c>
      <c r="D290" t="s">
        <v>174</v>
      </c>
      <c r="E290" t="s">
        <v>175</v>
      </c>
      <c r="F290" t="s">
        <v>540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55000000000000004">
      <c r="A291" t="s">
        <v>320</v>
      </c>
      <c r="B291" t="s">
        <v>321</v>
      </c>
      <c r="C291" s="9">
        <v>42784</v>
      </c>
      <c r="D291" t="s">
        <v>166</v>
      </c>
      <c r="E291" t="s">
        <v>175</v>
      </c>
      <c r="F291" t="s">
        <v>540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55000000000000004">
      <c r="A292" t="s">
        <v>322</v>
      </c>
      <c r="B292" t="s">
        <v>323</v>
      </c>
      <c r="C292" s="9">
        <v>44046</v>
      </c>
      <c r="D292" t="s">
        <v>166</v>
      </c>
      <c r="E292" t="s">
        <v>170</v>
      </c>
      <c r="F292" t="s">
        <v>540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55000000000000004">
      <c r="A293" t="s">
        <v>324</v>
      </c>
      <c r="B293" t="s">
        <v>325</v>
      </c>
      <c r="C293" s="9">
        <v>42040</v>
      </c>
      <c r="D293" t="s">
        <v>166</v>
      </c>
      <c r="E293" t="s">
        <v>175</v>
      </c>
      <c r="F293" t="s">
        <v>540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55000000000000004">
      <c r="A294" t="s">
        <v>326</v>
      </c>
      <c r="B294" t="s">
        <v>327</v>
      </c>
      <c r="C294" s="9">
        <v>43043</v>
      </c>
      <c r="D294" t="s">
        <v>166</v>
      </c>
      <c r="E294" t="s">
        <v>175</v>
      </c>
      <c r="F294" t="s">
        <v>540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55000000000000004">
      <c r="A295" t="s">
        <v>328</v>
      </c>
      <c r="B295" t="s">
        <v>329</v>
      </c>
      <c r="C295" s="9">
        <v>42865</v>
      </c>
      <c r="D295" t="s">
        <v>174</v>
      </c>
      <c r="E295" t="s">
        <v>167</v>
      </c>
      <c r="F295" t="s">
        <v>540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55000000000000004">
      <c r="A296" t="s">
        <v>330</v>
      </c>
      <c r="B296" t="s">
        <v>331</v>
      </c>
      <c r="C296" s="9">
        <v>42963</v>
      </c>
      <c r="D296" t="s">
        <v>166</v>
      </c>
      <c r="E296" t="s">
        <v>175</v>
      </c>
      <c r="F296" t="s">
        <v>540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55000000000000004">
      <c r="A297" t="s">
        <v>332</v>
      </c>
      <c r="B297" t="s">
        <v>333</v>
      </c>
      <c r="C297" s="9">
        <v>43385</v>
      </c>
      <c r="D297" t="s">
        <v>174</v>
      </c>
      <c r="E297" t="s">
        <v>167</v>
      </c>
      <c r="F297" t="s">
        <v>540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55000000000000004">
      <c r="A298" t="s">
        <v>334</v>
      </c>
      <c r="B298" t="s">
        <v>335</v>
      </c>
      <c r="C298" s="9">
        <v>42320</v>
      </c>
      <c r="D298" t="s">
        <v>166</v>
      </c>
      <c r="E298" t="s">
        <v>167</v>
      </c>
      <c r="F298" t="s">
        <v>540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55000000000000004">
      <c r="A299" t="s">
        <v>336</v>
      </c>
      <c r="B299" t="s">
        <v>337</v>
      </c>
      <c r="C299" s="9">
        <v>43200</v>
      </c>
      <c r="D299" t="s">
        <v>166</v>
      </c>
      <c r="E299" t="s">
        <v>170</v>
      </c>
      <c r="F299" t="s">
        <v>540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55000000000000004">
      <c r="A300" t="s">
        <v>338</v>
      </c>
      <c r="B300" t="s">
        <v>339</v>
      </c>
      <c r="C300" s="9">
        <v>43936</v>
      </c>
      <c r="D300" t="s">
        <v>174</v>
      </c>
      <c r="E300" t="s">
        <v>170</v>
      </c>
      <c r="F300" t="s">
        <v>540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55000000000000004">
      <c r="A301" t="s">
        <v>340</v>
      </c>
      <c r="B301" t="s">
        <v>341</v>
      </c>
      <c r="C301" s="9">
        <v>43667</v>
      </c>
      <c r="D301" t="s">
        <v>174</v>
      </c>
      <c r="E301" t="s">
        <v>167</v>
      </c>
      <c r="F301" t="s">
        <v>540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55000000000000004">
      <c r="A302" t="s">
        <v>342</v>
      </c>
      <c r="B302" t="s">
        <v>343</v>
      </c>
      <c r="C302" s="9">
        <v>42332</v>
      </c>
      <c r="D302" t="s">
        <v>174</v>
      </c>
      <c r="E302" t="s">
        <v>170</v>
      </c>
      <c r="F302" t="s">
        <v>540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55000000000000004">
      <c r="A303" t="s">
        <v>344</v>
      </c>
      <c r="B303" t="s">
        <v>345</v>
      </c>
      <c r="C303" s="9">
        <v>43796</v>
      </c>
      <c r="D303" t="s">
        <v>166</v>
      </c>
      <c r="E303" t="s">
        <v>170</v>
      </c>
      <c r="F303" t="s">
        <v>540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55000000000000004">
      <c r="A304" t="s">
        <v>346</v>
      </c>
      <c r="B304" t="s">
        <v>347</v>
      </c>
      <c r="C304" s="9">
        <v>42879</v>
      </c>
      <c r="D304" t="s">
        <v>166</v>
      </c>
      <c r="E304" t="s">
        <v>175</v>
      </c>
      <c r="F304" t="s">
        <v>540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55000000000000004">
      <c r="A305" t="s">
        <v>348</v>
      </c>
      <c r="B305" t="s">
        <v>349</v>
      </c>
      <c r="C305" s="9">
        <v>42481</v>
      </c>
      <c r="D305" t="s">
        <v>174</v>
      </c>
      <c r="E305" t="s">
        <v>175</v>
      </c>
      <c r="F305" t="s">
        <v>540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55000000000000004">
      <c r="A306" t="s">
        <v>350</v>
      </c>
      <c r="B306" t="s">
        <v>351</v>
      </c>
      <c r="C306" s="9">
        <v>42645</v>
      </c>
      <c r="D306" t="s">
        <v>166</v>
      </c>
      <c r="E306" t="s">
        <v>170</v>
      </c>
      <c r="F306" t="s">
        <v>540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55000000000000004">
      <c r="A307" t="s">
        <v>352</v>
      </c>
      <c r="B307" t="s">
        <v>353</v>
      </c>
      <c r="C307" s="9">
        <v>43935</v>
      </c>
      <c r="D307" t="s">
        <v>174</v>
      </c>
      <c r="E307" t="s">
        <v>175</v>
      </c>
      <c r="F307" t="s">
        <v>540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55000000000000004">
      <c r="A308" t="s">
        <v>354</v>
      </c>
      <c r="B308" t="s">
        <v>355</v>
      </c>
      <c r="C308" s="9">
        <v>43245</v>
      </c>
      <c r="D308" t="s">
        <v>166</v>
      </c>
      <c r="E308" t="s">
        <v>167</v>
      </c>
      <c r="F308" t="s">
        <v>540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55000000000000004">
      <c r="A309" t="s">
        <v>356</v>
      </c>
      <c r="B309" t="s">
        <v>357</v>
      </c>
      <c r="C309" s="9">
        <v>43834</v>
      </c>
      <c r="D309" t="s">
        <v>166</v>
      </c>
      <c r="E309" t="s">
        <v>167</v>
      </c>
      <c r="F309" t="s">
        <v>540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55000000000000004">
      <c r="A310" t="s">
        <v>358</v>
      </c>
      <c r="B310" t="s">
        <v>359</v>
      </c>
      <c r="C310" s="9">
        <v>42683</v>
      </c>
      <c r="D310" t="s">
        <v>174</v>
      </c>
      <c r="E310" t="s">
        <v>167</v>
      </c>
      <c r="F310" t="s">
        <v>540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55000000000000004">
      <c r="A311" t="s">
        <v>360</v>
      </c>
      <c r="B311" t="s">
        <v>361</v>
      </c>
      <c r="C311" s="9">
        <v>42329</v>
      </c>
      <c r="D311" t="s">
        <v>174</v>
      </c>
      <c r="E311" t="s">
        <v>170</v>
      </c>
      <c r="F311" t="s">
        <v>540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55000000000000004">
      <c r="A312" t="s">
        <v>362</v>
      </c>
      <c r="B312" t="s">
        <v>363</v>
      </c>
      <c r="C312" s="9">
        <v>42553</v>
      </c>
      <c r="D312" t="s">
        <v>166</v>
      </c>
      <c r="E312" t="s">
        <v>167</v>
      </c>
      <c r="F312" t="s">
        <v>540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55000000000000004">
      <c r="A313" t="s">
        <v>364</v>
      </c>
      <c r="B313" t="s">
        <v>365</v>
      </c>
      <c r="C313" s="9">
        <v>43359</v>
      </c>
      <c r="D313" t="s">
        <v>166</v>
      </c>
      <c r="E313" t="s">
        <v>167</v>
      </c>
      <c r="F313" t="s">
        <v>540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55000000000000004">
      <c r="A314" t="s">
        <v>366</v>
      </c>
      <c r="B314" t="s">
        <v>367</v>
      </c>
      <c r="C314" s="9">
        <v>43879</v>
      </c>
      <c r="D314" t="s">
        <v>174</v>
      </c>
      <c r="E314" t="s">
        <v>175</v>
      </c>
      <c r="F314" t="s">
        <v>540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55000000000000004">
      <c r="A315" t="s">
        <v>368</v>
      </c>
      <c r="B315" t="s">
        <v>369</v>
      </c>
      <c r="C315" s="9">
        <v>44018</v>
      </c>
      <c r="D315" t="s">
        <v>166</v>
      </c>
      <c r="E315" t="s">
        <v>170</v>
      </c>
      <c r="F315" t="s">
        <v>540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55000000000000004">
      <c r="A316" t="s">
        <v>370</v>
      </c>
      <c r="B316" t="s">
        <v>371</v>
      </c>
      <c r="C316" s="9">
        <v>44056</v>
      </c>
      <c r="D316" t="s">
        <v>174</v>
      </c>
      <c r="E316" t="s">
        <v>175</v>
      </c>
      <c r="F316" t="s">
        <v>540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55000000000000004">
      <c r="A317" t="s">
        <v>372</v>
      </c>
      <c r="B317" t="s">
        <v>373</v>
      </c>
      <c r="C317" s="9">
        <v>42962</v>
      </c>
      <c r="D317" t="s">
        <v>174</v>
      </c>
      <c r="E317" t="s">
        <v>170</v>
      </c>
      <c r="F317" t="s">
        <v>540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55000000000000004">
      <c r="A318" t="s">
        <v>374</v>
      </c>
      <c r="B318" t="s">
        <v>375</v>
      </c>
      <c r="C318" s="9">
        <v>43538</v>
      </c>
      <c r="D318" t="s">
        <v>174</v>
      </c>
      <c r="E318" t="s">
        <v>167</v>
      </c>
      <c r="F318" t="s">
        <v>540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55000000000000004">
      <c r="A319" t="s">
        <v>376</v>
      </c>
      <c r="B319" t="s">
        <v>377</v>
      </c>
      <c r="C319" s="9">
        <v>42005</v>
      </c>
      <c r="D319" t="s">
        <v>166</v>
      </c>
      <c r="E319" t="s">
        <v>170</v>
      </c>
      <c r="F319" t="s">
        <v>540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55000000000000004">
      <c r="A320" t="s">
        <v>378</v>
      </c>
      <c r="B320" t="s">
        <v>379</v>
      </c>
      <c r="C320" s="9">
        <v>42093</v>
      </c>
      <c r="D320" t="s">
        <v>174</v>
      </c>
      <c r="E320" t="s">
        <v>175</v>
      </c>
      <c r="F320" t="s">
        <v>540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55000000000000004">
      <c r="A321" t="s">
        <v>380</v>
      </c>
      <c r="B321" t="s">
        <v>381</v>
      </c>
      <c r="C321" s="9">
        <v>42182</v>
      </c>
      <c r="D321" t="s">
        <v>166</v>
      </c>
      <c r="E321" t="s">
        <v>167</v>
      </c>
      <c r="F321" t="s">
        <v>540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55000000000000004">
      <c r="A322" t="s">
        <v>382</v>
      </c>
      <c r="B322" t="s">
        <v>383</v>
      </c>
      <c r="C322" s="9">
        <v>43955</v>
      </c>
      <c r="D322" t="s">
        <v>166</v>
      </c>
      <c r="E322" t="s">
        <v>167</v>
      </c>
      <c r="F322" t="s">
        <v>540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55000000000000004">
      <c r="A323" t="s">
        <v>384</v>
      </c>
      <c r="B323" t="s">
        <v>385</v>
      </c>
      <c r="C323" s="9">
        <v>43309</v>
      </c>
      <c r="D323" t="s">
        <v>174</v>
      </c>
      <c r="E323" t="s">
        <v>170</v>
      </c>
      <c r="F323" t="s">
        <v>540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55000000000000004">
      <c r="A324" t="s">
        <v>386</v>
      </c>
      <c r="B324" t="s">
        <v>387</v>
      </c>
      <c r="C324" s="9">
        <v>44005</v>
      </c>
      <c r="D324" t="s">
        <v>166</v>
      </c>
      <c r="E324" t="s">
        <v>175</v>
      </c>
      <c r="F324" t="s">
        <v>540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55000000000000004">
      <c r="A325" t="s">
        <v>388</v>
      </c>
      <c r="B325" t="s">
        <v>389</v>
      </c>
      <c r="C325" s="9">
        <v>42540</v>
      </c>
      <c r="D325" t="s">
        <v>166</v>
      </c>
      <c r="E325" t="s">
        <v>170</v>
      </c>
      <c r="F325" t="s">
        <v>540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55000000000000004">
      <c r="A326" t="s">
        <v>390</v>
      </c>
      <c r="B326" t="s">
        <v>391</v>
      </c>
      <c r="C326" s="9">
        <v>42758</v>
      </c>
      <c r="D326" t="s">
        <v>174</v>
      </c>
      <c r="E326" t="s">
        <v>175</v>
      </c>
      <c r="F326" t="s">
        <v>540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55000000000000004">
      <c r="A327" t="s">
        <v>384</v>
      </c>
      <c r="B327" t="s">
        <v>392</v>
      </c>
      <c r="C327" s="9">
        <v>43339</v>
      </c>
      <c r="D327" t="s">
        <v>166</v>
      </c>
      <c r="E327" t="s">
        <v>170</v>
      </c>
      <c r="F327" t="s">
        <v>540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55000000000000004">
      <c r="A328" t="s">
        <v>393</v>
      </c>
      <c r="B328" t="s">
        <v>394</v>
      </c>
      <c r="C328" s="9">
        <v>42514</v>
      </c>
      <c r="D328" t="s">
        <v>174</v>
      </c>
      <c r="E328" t="s">
        <v>167</v>
      </c>
      <c r="F328" t="s">
        <v>540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55000000000000004">
      <c r="A329" t="s">
        <v>395</v>
      </c>
      <c r="B329" t="s">
        <v>396</v>
      </c>
      <c r="C329" s="9">
        <v>43058</v>
      </c>
      <c r="D329" t="s">
        <v>174</v>
      </c>
      <c r="E329" t="s">
        <v>167</v>
      </c>
      <c r="F329" t="s">
        <v>540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55000000000000004">
      <c r="A330" t="s">
        <v>397</v>
      </c>
      <c r="B330" t="s">
        <v>398</v>
      </c>
      <c r="C330" s="9">
        <v>42690</v>
      </c>
      <c r="D330" t="s">
        <v>174</v>
      </c>
      <c r="E330" t="s">
        <v>175</v>
      </c>
      <c r="F330" t="s">
        <v>540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55000000000000004">
      <c r="A331" t="s">
        <v>399</v>
      </c>
      <c r="B331" t="s">
        <v>400</v>
      </c>
      <c r="C331" s="9">
        <v>43307</v>
      </c>
      <c r="D331" t="s">
        <v>166</v>
      </c>
      <c r="E331" t="s">
        <v>170</v>
      </c>
      <c r="F331" t="s">
        <v>540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55000000000000004">
      <c r="A332" t="s">
        <v>401</v>
      </c>
      <c r="B332" t="s">
        <v>402</v>
      </c>
      <c r="C332" s="9">
        <v>42368</v>
      </c>
      <c r="D332" t="s">
        <v>174</v>
      </c>
      <c r="E332" t="s">
        <v>175</v>
      </c>
      <c r="F332" t="s">
        <v>540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55000000000000004">
      <c r="A333" t="s">
        <v>403</v>
      </c>
      <c r="B333" t="s">
        <v>404</v>
      </c>
      <c r="C333" s="9">
        <v>43666</v>
      </c>
      <c r="D333" t="s">
        <v>174</v>
      </c>
      <c r="E333" t="s">
        <v>167</v>
      </c>
      <c r="F333" t="s">
        <v>540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55000000000000004">
      <c r="A334" t="s">
        <v>405</v>
      </c>
      <c r="B334" t="s">
        <v>406</v>
      </c>
      <c r="C334" s="9">
        <v>42369</v>
      </c>
      <c r="D334" t="s">
        <v>166</v>
      </c>
      <c r="E334" t="s">
        <v>170</v>
      </c>
      <c r="F334" t="s">
        <v>540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55000000000000004">
      <c r="A335" t="s">
        <v>407</v>
      </c>
      <c r="B335" t="s">
        <v>408</v>
      </c>
      <c r="C335" s="9">
        <v>43639</v>
      </c>
      <c r="D335" t="s">
        <v>166</v>
      </c>
      <c r="E335" t="s">
        <v>175</v>
      </c>
      <c r="F335" t="s">
        <v>540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55000000000000004">
      <c r="A336" t="s">
        <v>409</v>
      </c>
      <c r="B336" t="s">
        <v>410</v>
      </c>
      <c r="C336" s="9">
        <v>42269</v>
      </c>
      <c r="D336" t="s">
        <v>166</v>
      </c>
      <c r="E336" t="s">
        <v>175</v>
      </c>
      <c r="F336" t="s">
        <v>540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55000000000000004">
      <c r="A337" t="s">
        <v>411</v>
      </c>
      <c r="B337" t="s">
        <v>412</v>
      </c>
      <c r="C337" s="9">
        <v>43429</v>
      </c>
      <c r="D337" t="s">
        <v>174</v>
      </c>
      <c r="E337" t="s">
        <v>175</v>
      </c>
      <c r="F337" t="s">
        <v>540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55000000000000004">
      <c r="A338" t="s">
        <v>413</v>
      </c>
      <c r="B338" t="s">
        <v>414</v>
      </c>
      <c r="C338" s="9">
        <v>43883</v>
      </c>
      <c r="D338" t="s">
        <v>174</v>
      </c>
      <c r="E338" t="s">
        <v>170</v>
      </c>
      <c r="F338" t="s">
        <v>540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55000000000000004">
      <c r="A339" t="s">
        <v>415</v>
      </c>
      <c r="B339" t="s">
        <v>416</v>
      </c>
      <c r="C339" s="9">
        <v>42999</v>
      </c>
      <c r="D339" t="s">
        <v>166</v>
      </c>
      <c r="E339" t="s">
        <v>175</v>
      </c>
      <c r="F339" t="s">
        <v>540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55000000000000004">
      <c r="A340" t="s">
        <v>417</v>
      </c>
      <c r="B340" t="s">
        <v>418</v>
      </c>
      <c r="C340" s="9">
        <v>43479</v>
      </c>
      <c r="D340" t="s">
        <v>174</v>
      </c>
      <c r="E340" t="s">
        <v>175</v>
      </c>
      <c r="F340" t="s">
        <v>540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55000000000000004">
      <c r="A341" t="s">
        <v>419</v>
      </c>
      <c r="B341" t="s">
        <v>420</v>
      </c>
      <c r="C341" s="9">
        <v>42654</v>
      </c>
      <c r="D341" t="s">
        <v>166</v>
      </c>
      <c r="E341" t="s">
        <v>167</v>
      </c>
      <c r="F341" t="s">
        <v>540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55000000000000004">
      <c r="A342" t="s">
        <v>421</v>
      </c>
      <c r="B342" t="s">
        <v>422</v>
      </c>
      <c r="C342" s="9">
        <v>42315</v>
      </c>
      <c r="D342" t="s">
        <v>166</v>
      </c>
      <c r="E342" t="s">
        <v>175</v>
      </c>
      <c r="F342" t="s">
        <v>540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55000000000000004">
      <c r="A343" t="s">
        <v>423</v>
      </c>
      <c r="B343" t="s">
        <v>424</v>
      </c>
      <c r="C343" s="9">
        <v>44029</v>
      </c>
      <c r="D343" t="s">
        <v>166</v>
      </c>
      <c r="E343" t="s">
        <v>175</v>
      </c>
      <c r="F343" t="s">
        <v>540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55000000000000004">
      <c r="A344" t="s">
        <v>425</v>
      </c>
      <c r="B344" t="s">
        <v>426</v>
      </c>
      <c r="C344" s="9">
        <v>43260</v>
      </c>
      <c r="D344" t="s">
        <v>174</v>
      </c>
      <c r="E344" t="s">
        <v>167</v>
      </c>
      <c r="F344" t="s">
        <v>540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55000000000000004">
      <c r="A345" t="s">
        <v>427</v>
      </c>
      <c r="B345" t="s">
        <v>428</v>
      </c>
      <c r="C345" s="9">
        <v>43715</v>
      </c>
      <c r="D345" t="s">
        <v>174</v>
      </c>
      <c r="E345" t="s">
        <v>170</v>
      </c>
      <c r="F345" t="s">
        <v>540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55000000000000004">
      <c r="A346" t="s">
        <v>429</v>
      </c>
      <c r="B346" t="s">
        <v>430</v>
      </c>
      <c r="C346" s="9">
        <v>42423</v>
      </c>
      <c r="D346" t="s">
        <v>174</v>
      </c>
      <c r="E346" t="s">
        <v>175</v>
      </c>
      <c r="F346" t="s">
        <v>540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55000000000000004">
      <c r="A347" t="s">
        <v>431</v>
      </c>
      <c r="B347" t="s">
        <v>432</v>
      </c>
      <c r="C347" s="9">
        <v>43472</v>
      </c>
      <c r="D347" t="s">
        <v>166</v>
      </c>
      <c r="E347" t="s">
        <v>167</v>
      </c>
      <c r="F347" t="s">
        <v>540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55000000000000004">
      <c r="A348" t="s">
        <v>433</v>
      </c>
      <c r="B348" t="s">
        <v>434</v>
      </c>
      <c r="C348" s="9">
        <v>43828</v>
      </c>
      <c r="D348" t="s">
        <v>174</v>
      </c>
      <c r="E348" t="s">
        <v>175</v>
      </c>
      <c r="F348" t="s">
        <v>540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55000000000000004">
      <c r="A349" t="s">
        <v>435</v>
      </c>
      <c r="B349" t="s">
        <v>436</v>
      </c>
      <c r="C349" s="9">
        <v>44021</v>
      </c>
      <c r="D349" t="s">
        <v>166</v>
      </c>
      <c r="E349" t="s">
        <v>175</v>
      </c>
      <c r="F349" t="s">
        <v>540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55000000000000004">
      <c r="A350" t="s">
        <v>437</v>
      </c>
      <c r="B350" t="s">
        <v>438</v>
      </c>
      <c r="C350" s="9">
        <v>43224</v>
      </c>
      <c r="D350" t="s">
        <v>174</v>
      </c>
      <c r="E350" t="s">
        <v>175</v>
      </c>
      <c r="F350" t="s">
        <v>540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55000000000000004">
      <c r="A351" t="s">
        <v>439</v>
      </c>
      <c r="B351" t="s">
        <v>440</v>
      </c>
      <c r="C351" s="9">
        <v>43376</v>
      </c>
      <c r="D351" t="s">
        <v>174</v>
      </c>
      <c r="E351" t="s">
        <v>175</v>
      </c>
      <c r="F351" t="s">
        <v>540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55000000000000004">
      <c r="A352" t="s">
        <v>441</v>
      </c>
      <c r="B352" t="s">
        <v>442</v>
      </c>
      <c r="C352" s="9">
        <v>42831</v>
      </c>
      <c r="D352" t="s">
        <v>174</v>
      </c>
      <c r="E352" t="s">
        <v>175</v>
      </c>
      <c r="F352" t="s">
        <v>540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55000000000000004">
      <c r="A353" t="s">
        <v>443</v>
      </c>
      <c r="B353" t="s">
        <v>444</v>
      </c>
      <c r="C353" s="9">
        <v>44108</v>
      </c>
      <c r="D353" t="s">
        <v>166</v>
      </c>
      <c r="E353" t="s">
        <v>167</v>
      </c>
      <c r="F353" t="s">
        <v>540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55000000000000004">
      <c r="A354" t="s">
        <v>445</v>
      </c>
      <c r="B354" t="s">
        <v>446</v>
      </c>
      <c r="C354" s="9">
        <v>42964</v>
      </c>
      <c r="D354" t="s">
        <v>166</v>
      </c>
      <c r="E354" t="s">
        <v>170</v>
      </c>
      <c r="F354" t="s">
        <v>540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55000000000000004">
      <c r="A355" t="s">
        <v>447</v>
      </c>
      <c r="B355" t="s">
        <v>448</v>
      </c>
      <c r="C355" s="9">
        <v>43429</v>
      </c>
      <c r="D355" t="s">
        <v>166</v>
      </c>
      <c r="E355" t="s">
        <v>170</v>
      </c>
      <c r="F355" t="s">
        <v>540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55000000000000004">
      <c r="A356" t="s">
        <v>449</v>
      </c>
      <c r="B356" t="s">
        <v>450</v>
      </c>
      <c r="C356" s="9">
        <v>43203</v>
      </c>
      <c r="D356" t="s">
        <v>166</v>
      </c>
      <c r="E356" t="s">
        <v>170</v>
      </c>
      <c r="F356" t="s">
        <v>540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55000000000000004">
      <c r="A357" t="s">
        <v>451</v>
      </c>
      <c r="B357" t="s">
        <v>452</v>
      </c>
      <c r="C357" s="9">
        <v>44139</v>
      </c>
      <c r="D357" t="s">
        <v>174</v>
      </c>
      <c r="E357" t="s">
        <v>175</v>
      </c>
      <c r="F357" t="s">
        <v>540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55000000000000004">
      <c r="A358" t="s">
        <v>453</v>
      </c>
      <c r="B358" t="s">
        <v>454</v>
      </c>
      <c r="C358" s="9">
        <v>42213</v>
      </c>
      <c r="D358" t="s">
        <v>166</v>
      </c>
      <c r="E358" t="s">
        <v>170</v>
      </c>
      <c r="F358" t="s">
        <v>540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55000000000000004">
      <c r="A359" t="s">
        <v>455</v>
      </c>
      <c r="B359" t="s">
        <v>456</v>
      </c>
      <c r="C359" s="9">
        <v>43331</v>
      </c>
      <c r="D359" t="s">
        <v>166</v>
      </c>
      <c r="E359" t="s">
        <v>170</v>
      </c>
      <c r="F359" t="s">
        <v>540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55000000000000004">
      <c r="A360" t="s">
        <v>457</v>
      </c>
      <c r="B360" t="s">
        <v>458</v>
      </c>
      <c r="C360" s="9">
        <v>43767</v>
      </c>
      <c r="D360" t="s">
        <v>174</v>
      </c>
      <c r="E360" t="s">
        <v>167</v>
      </c>
      <c r="F360" t="s">
        <v>540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55000000000000004">
      <c r="A361" t="s">
        <v>459</v>
      </c>
      <c r="B361" t="s">
        <v>460</v>
      </c>
      <c r="C361" s="9">
        <v>42380</v>
      </c>
      <c r="D361" t="s">
        <v>166</v>
      </c>
      <c r="E361" t="s">
        <v>167</v>
      </c>
      <c r="F361" t="s">
        <v>540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55000000000000004">
      <c r="A362" t="s">
        <v>461</v>
      </c>
      <c r="B362" t="s">
        <v>462</v>
      </c>
      <c r="C362" s="9">
        <v>42091</v>
      </c>
      <c r="D362" t="s">
        <v>166</v>
      </c>
      <c r="E362" t="s">
        <v>170</v>
      </c>
      <c r="F362" t="s">
        <v>540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55000000000000004">
      <c r="A363" t="s">
        <v>463</v>
      </c>
      <c r="B363" t="s">
        <v>464</v>
      </c>
      <c r="C363" s="9">
        <v>43035</v>
      </c>
      <c r="D363" t="s">
        <v>166</v>
      </c>
      <c r="E363" t="s">
        <v>170</v>
      </c>
      <c r="F363" t="s">
        <v>540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55000000000000004">
      <c r="A364" t="s">
        <v>465</v>
      </c>
      <c r="B364" t="s">
        <v>466</v>
      </c>
      <c r="C364" s="9">
        <v>42968</v>
      </c>
      <c r="D364" t="s">
        <v>166</v>
      </c>
      <c r="E364" t="s">
        <v>175</v>
      </c>
      <c r="F364" t="s">
        <v>540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55000000000000004">
      <c r="A365" t="s">
        <v>467</v>
      </c>
      <c r="B365" t="s">
        <v>468</v>
      </c>
      <c r="C365" s="9">
        <v>42183</v>
      </c>
      <c r="D365" t="s">
        <v>166</v>
      </c>
      <c r="E365" t="s">
        <v>167</v>
      </c>
      <c r="F365" t="s">
        <v>540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55000000000000004">
      <c r="A366" t="s">
        <v>469</v>
      </c>
      <c r="B366" t="s">
        <v>470</v>
      </c>
      <c r="C366" s="9">
        <v>43346</v>
      </c>
      <c r="D366" t="s">
        <v>174</v>
      </c>
      <c r="E366" t="s">
        <v>175</v>
      </c>
      <c r="F366" t="s">
        <v>540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55000000000000004">
      <c r="A367" t="s">
        <v>471</v>
      </c>
      <c r="B367" t="s">
        <v>472</v>
      </c>
      <c r="C367" s="9">
        <v>42331</v>
      </c>
      <c r="D367" t="s">
        <v>166</v>
      </c>
      <c r="E367" t="s">
        <v>175</v>
      </c>
      <c r="F367" t="s">
        <v>540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55000000000000004">
      <c r="A368" t="s">
        <v>473</v>
      </c>
      <c r="B368" t="s">
        <v>474</v>
      </c>
      <c r="C368" s="9">
        <v>43971</v>
      </c>
      <c r="D368" t="s">
        <v>174</v>
      </c>
      <c r="E368" t="s">
        <v>175</v>
      </c>
      <c r="F368" t="s">
        <v>540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55000000000000004">
      <c r="A369" t="s">
        <v>475</v>
      </c>
      <c r="B369" t="s">
        <v>476</v>
      </c>
      <c r="C369" s="9">
        <v>43949</v>
      </c>
      <c r="D369" t="s">
        <v>174</v>
      </c>
      <c r="E369" t="s">
        <v>170</v>
      </c>
      <c r="F369" t="s">
        <v>540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55000000000000004">
      <c r="A370" t="s">
        <v>477</v>
      </c>
      <c r="B370" t="s">
        <v>478</v>
      </c>
      <c r="C370" s="9">
        <v>43345</v>
      </c>
      <c r="D370" t="s">
        <v>166</v>
      </c>
      <c r="E370" t="s">
        <v>175</v>
      </c>
      <c r="F370" t="s">
        <v>540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55000000000000004">
      <c r="A371" t="s">
        <v>479</v>
      </c>
      <c r="B371" t="s">
        <v>480</v>
      </c>
      <c r="C371" s="9">
        <v>42419</v>
      </c>
      <c r="D371" t="s">
        <v>174</v>
      </c>
      <c r="E371" t="s">
        <v>175</v>
      </c>
      <c r="F371" t="s">
        <v>540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55000000000000004">
      <c r="A372" t="s">
        <v>481</v>
      </c>
      <c r="B372" t="s">
        <v>482</v>
      </c>
      <c r="C372" s="9">
        <v>42458</v>
      </c>
      <c r="D372" t="s">
        <v>174</v>
      </c>
      <c r="E372" t="s">
        <v>175</v>
      </c>
      <c r="F372" t="s">
        <v>540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55000000000000004">
      <c r="A373" t="s">
        <v>483</v>
      </c>
      <c r="B373" t="s">
        <v>484</v>
      </c>
      <c r="C373" s="9">
        <v>43329</v>
      </c>
      <c r="D373" t="s">
        <v>166</v>
      </c>
      <c r="E373" t="s">
        <v>175</v>
      </c>
      <c r="F373" t="s">
        <v>540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55000000000000004">
      <c r="A374" t="s">
        <v>485</v>
      </c>
      <c r="B374" t="s">
        <v>486</v>
      </c>
      <c r="C374" s="9">
        <v>43469</v>
      </c>
      <c r="D374" t="s">
        <v>174</v>
      </c>
      <c r="E374" t="s">
        <v>167</v>
      </c>
      <c r="F374" t="s">
        <v>540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55000000000000004">
      <c r="A375" t="s">
        <v>487</v>
      </c>
      <c r="B375" t="s">
        <v>488</v>
      </c>
      <c r="C375" s="9">
        <v>43636</v>
      </c>
      <c r="D375" t="s">
        <v>166</v>
      </c>
      <c r="E375" t="s">
        <v>175</v>
      </c>
      <c r="F375" t="s">
        <v>540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55000000000000004">
      <c r="A376" t="s">
        <v>489</v>
      </c>
      <c r="B376" t="s">
        <v>490</v>
      </c>
      <c r="C376" s="9">
        <v>43721</v>
      </c>
      <c r="D376" t="s">
        <v>166</v>
      </c>
      <c r="E376" t="s">
        <v>167</v>
      </c>
      <c r="F376" t="s">
        <v>540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55000000000000004">
      <c r="A377" t="s">
        <v>491</v>
      </c>
      <c r="B377" t="s">
        <v>492</v>
      </c>
      <c r="C377" s="9">
        <v>43140</v>
      </c>
      <c r="D377" t="s">
        <v>166</v>
      </c>
      <c r="E377" t="s">
        <v>175</v>
      </c>
      <c r="F377" t="s">
        <v>540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55000000000000004">
      <c r="A378" t="s">
        <v>481</v>
      </c>
      <c r="B378" t="s">
        <v>493</v>
      </c>
      <c r="C378" s="9">
        <v>42642</v>
      </c>
      <c r="D378" t="s">
        <v>174</v>
      </c>
      <c r="E378" t="s">
        <v>167</v>
      </c>
      <c r="F378" t="s">
        <v>540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55000000000000004">
      <c r="A379" t="s">
        <v>494</v>
      </c>
      <c r="B379" t="s">
        <v>495</v>
      </c>
      <c r="C379" s="9">
        <v>43020</v>
      </c>
      <c r="D379" t="s">
        <v>174</v>
      </c>
      <c r="E379" t="s">
        <v>170</v>
      </c>
      <c r="F379" t="s">
        <v>540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55000000000000004">
      <c r="A380" t="s">
        <v>496</v>
      </c>
      <c r="B380" t="s">
        <v>497</v>
      </c>
      <c r="C380" s="9">
        <v>42235</v>
      </c>
      <c r="D380" t="s">
        <v>166</v>
      </c>
      <c r="E380" t="s">
        <v>170</v>
      </c>
      <c r="F380" t="s">
        <v>540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55000000000000004">
      <c r="A381" t="s">
        <v>498</v>
      </c>
      <c r="B381" t="s">
        <v>499</v>
      </c>
      <c r="C381" s="9">
        <v>42217</v>
      </c>
      <c r="D381" t="s">
        <v>166</v>
      </c>
      <c r="E381" t="s">
        <v>170</v>
      </c>
      <c r="F381" t="s">
        <v>540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55000000000000004">
      <c r="A382" t="s">
        <v>500</v>
      </c>
      <c r="B382" t="s">
        <v>501</v>
      </c>
      <c r="C382" s="9">
        <v>42728</v>
      </c>
      <c r="D382" t="s">
        <v>166</v>
      </c>
      <c r="E382" t="s">
        <v>175</v>
      </c>
      <c r="F382" t="s">
        <v>540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55000000000000004">
      <c r="A383" t="s">
        <v>502</v>
      </c>
      <c r="B383" t="s">
        <v>503</v>
      </c>
      <c r="C383" s="9">
        <v>42908</v>
      </c>
      <c r="D383" t="s">
        <v>174</v>
      </c>
      <c r="E383" t="s">
        <v>175</v>
      </c>
      <c r="F383" t="s">
        <v>540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55000000000000004">
      <c r="A384" t="s">
        <v>504</v>
      </c>
      <c r="B384" t="s">
        <v>505</v>
      </c>
      <c r="C384" s="9">
        <v>43503</v>
      </c>
      <c r="D384" t="s">
        <v>174</v>
      </c>
      <c r="E384" t="s">
        <v>167</v>
      </c>
      <c r="F384" t="s">
        <v>540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55000000000000004">
      <c r="A385" t="s">
        <v>506</v>
      </c>
      <c r="B385" t="s">
        <v>507</v>
      </c>
      <c r="C385" s="9">
        <v>42614</v>
      </c>
      <c r="D385" t="s">
        <v>174</v>
      </c>
      <c r="E385" t="s">
        <v>175</v>
      </c>
      <c r="F385" t="s">
        <v>540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55000000000000004">
      <c r="A386" t="s">
        <v>508</v>
      </c>
      <c r="B386" t="s">
        <v>509</v>
      </c>
      <c r="C386" s="9">
        <v>43874</v>
      </c>
      <c r="D386" t="s">
        <v>166</v>
      </c>
      <c r="E386" t="s">
        <v>167</v>
      </c>
      <c r="F386" t="s">
        <v>540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55000000000000004">
      <c r="A387" t="s">
        <v>510</v>
      </c>
      <c r="B387" t="s">
        <v>511</v>
      </c>
      <c r="C387" s="9">
        <v>44148</v>
      </c>
      <c r="D387" t="s">
        <v>174</v>
      </c>
      <c r="E387" t="s">
        <v>170</v>
      </c>
      <c r="F387" t="s">
        <v>540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55000000000000004">
      <c r="A388" t="s">
        <v>512</v>
      </c>
      <c r="B388" t="s">
        <v>513</v>
      </c>
      <c r="C388" s="9">
        <v>42254</v>
      </c>
      <c r="D388" t="s">
        <v>166</v>
      </c>
      <c r="E388" t="s">
        <v>175</v>
      </c>
      <c r="F388" t="s">
        <v>540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55000000000000004">
      <c r="A389" t="s">
        <v>514</v>
      </c>
      <c r="B389" t="s">
        <v>515</v>
      </c>
      <c r="C389" s="9">
        <v>42229</v>
      </c>
      <c r="D389" t="s">
        <v>166</v>
      </c>
      <c r="E389" t="s">
        <v>175</v>
      </c>
      <c r="F389" t="s">
        <v>540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55000000000000004">
      <c r="A390" t="s">
        <v>516</v>
      </c>
      <c r="B390" t="s">
        <v>517</v>
      </c>
      <c r="C390" s="9">
        <v>43074</v>
      </c>
      <c r="D390" t="s">
        <v>174</v>
      </c>
      <c r="E390" t="s">
        <v>170</v>
      </c>
      <c r="F390" t="s">
        <v>540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55000000000000004">
      <c r="A391" t="s">
        <v>518</v>
      </c>
      <c r="B391" t="s">
        <v>519</v>
      </c>
      <c r="C391" s="9">
        <v>43492</v>
      </c>
      <c r="D391" t="s">
        <v>174</v>
      </c>
      <c r="E391" t="s">
        <v>175</v>
      </c>
      <c r="F391" t="s">
        <v>540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55000000000000004">
      <c r="A392" t="s">
        <v>520</v>
      </c>
      <c r="B392" t="s">
        <v>521</v>
      </c>
      <c r="C392" s="9">
        <v>42648</v>
      </c>
      <c r="D392" t="s">
        <v>174</v>
      </c>
      <c r="E392" t="s">
        <v>175</v>
      </c>
      <c r="F392" t="s">
        <v>540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55000000000000004">
      <c r="A393" t="s">
        <v>522</v>
      </c>
      <c r="B393" t="s">
        <v>523</v>
      </c>
      <c r="C393" s="9">
        <v>42048</v>
      </c>
      <c r="D393" t="s">
        <v>166</v>
      </c>
      <c r="E393" t="s">
        <v>167</v>
      </c>
      <c r="F393" t="s">
        <v>540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55000000000000004">
      <c r="A394" t="s">
        <v>524</v>
      </c>
      <c r="B394" t="s">
        <v>525</v>
      </c>
      <c r="C394" s="9">
        <v>43155</v>
      </c>
      <c r="D394" t="s">
        <v>174</v>
      </c>
      <c r="E394" t="s">
        <v>167</v>
      </c>
      <c r="F394" t="s">
        <v>540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55000000000000004">
      <c r="A395" t="s">
        <v>526</v>
      </c>
      <c r="B395" t="s">
        <v>527</v>
      </c>
      <c r="C395" s="9">
        <v>43041</v>
      </c>
      <c r="D395" t="s">
        <v>174</v>
      </c>
      <c r="E395" t="s">
        <v>175</v>
      </c>
      <c r="F395" t="s">
        <v>540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55000000000000004">
      <c r="A396" t="s">
        <v>528</v>
      </c>
      <c r="B396" t="s">
        <v>529</v>
      </c>
      <c r="C396" s="9">
        <v>42412</v>
      </c>
      <c r="D396" t="s">
        <v>166</v>
      </c>
      <c r="E396" t="s">
        <v>175</v>
      </c>
      <c r="F396" t="s">
        <v>540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55000000000000004">
      <c r="A397" t="s">
        <v>530</v>
      </c>
      <c r="B397" t="s">
        <v>531</v>
      </c>
      <c r="C397" s="9">
        <v>44010</v>
      </c>
      <c r="D397" t="s">
        <v>174</v>
      </c>
      <c r="E397" t="s">
        <v>170</v>
      </c>
      <c r="F397" t="s">
        <v>540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55000000000000004">
      <c r="A398" t="s">
        <v>532</v>
      </c>
      <c r="B398" t="s">
        <v>533</v>
      </c>
      <c r="C398" s="9">
        <v>44131</v>
      </c>
      <c r="D398" t="s">
        <v>174</v>
      </c>
      <c r="E398" t="s">
        <v>170</v>
      </c>
      <c r="F398" t="s">
        <v>540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55000000000000004">
      <c r="A399" t="s">
        <v>534</v>
      </c>
      <c r="B399" t="s">
        <v>535</v>
      </c>
      <c r="C399" s="9">
        <v>42869</v>
      </c>
      <c r="D399" t="s">
        <v>166</v>
      </c>
      <c r="E399" t="s">
        <v>175</v>
      </c>
      <c r="F399" t="s">
        <v>540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55000000000000004">
      <c r="A400" t="s">
        <v>536</v>
      </c>
      <c r="B400" t="s">
        <v>537</v>
      </c>
      <c r="C400" s="9">
        <v>42923</v>
      </c>
      <c r="D400" t="s">
        <v>166</v>
      </c>
      <c r="E400" t="s">
        <v>175</v>
      </c>
      <c r="F400" t="s">
        <v>540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55000000000000004">
      <c r="A401" t="s">
        <v>538</v>
      </c>
      <c r="B401" t="s">
        <v>539</v>
      </c>
      <c r="C401" s="9">
        <v>43312</v>
      </c>
      <c r="D401" t="s">
        <v>174</v>
      </c>
      <c r="E401" t="s">
        <v>167</v>
      </c>
      <c r="F401" t="s">
        <v>540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55000000000000004">
      <c r="A402" t="s">
        <v>165</v>
      </c>
      <c r="B402" t="s">
        <v>88</v>
      </c>
      <c r="C402" s="9">
        <v>42484</v>
      </c>
      <c r="D402" t="s">
        <v>166</v>
      </c>
      <c r="E402" t="s">
        <v>167</v>
      </c>
      <c r="F402" t="s">
        <v>541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55000000000000004">
      <c r="A403" t="s">
        <v>169</v>
      </c>
      <c r="B403" t="s">
        <v>89</v>
      </c>
      <c r="C403" s="9">
        <v>42609</v>
      </c>
      <c r="D403" t="s">
        <v>166</v>
      </c>
      <c r="E403" t="s">
        <v>170</v>
      </c>
      <c r="F403" t="s">
        <v>541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55000000000000004">
      <c r="A404" t="s">
        <v>171</v>
      </c>
      <c r="B404" t="s">
        <v>90</v>
      </c>
      <c r="C404" s="9">
        <v>43385</v>
      </c>
      <c r="D404" t="s">
        <v>166</v>
      </c>
      <c r="E404" t="s">
        <v>167</v>
      </c>
      <c r="F404" t="s">
        <v>541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55000000000000004">
      <c r="A405" t="s">
        <v>172</v>
      </c>
      <c r="B405" t="s">
        <v>91</v>
      </c>
      <c r="C405" s="9">
        <v>42908</v>
      </c>
      <c r="D405" t="s">
        <v>166</v>
      </c>
      <c r="E405" t="s">
        <v>170</v>
      </c>
      <c r="F405" t="s">
        <v>541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55000000000000004">
      <c r="A406" t="s">
        <v>173</v>
      </c>
      <c r="B406" t="s">
        <v>92</v>
      </c>
      <c r="C406" s="9">
        <v>42104</v>
      </c>
      <c r="D406" t="s">
        <v>174</v>
      </c>
      <c r="E406" t="s">
        <v>175</v>
      </c>
      <c r="F406" t="s">
        <v>541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55000000000000004">
      <c r="A407" t="s">
        <v>176</v>
      </c>
      <c r="B407" t="s">
        <v>93</v>
      </c>
      <c r="C407" s="9">
        <v>44108</v>
      </c>
      <c r="D407" t="s">
        <v>174</v>
      </c>
      <c r="E407" t="s">
        <v>175</v>
      </c>
      <c r="F407" t="s">
        <v>541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55000000000000004">
      <c r="A408" t="s">
        <v>177</v>
      </c>
      <c r="B408" t="s">
        <v>94</v>
      </c>
      <c r="C408" s="9">
        <v>42806</v>
      </c>
      <c r="D408" t="s">
        <v>174</v>
      </c>
      <c r="E408" t="s">
        <v>175</v>
      </c>
      <c r="F408" t="s">
        <v>541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55000000000000004">
      <c r="A409" t="s">
        <v>178</v>
      </c>
      <c r="B409" t="s">
        <v>95</v>
      </c>
      <c r="C409" s="9">
        <v>42736</v>
      </c>
      <c r="D409" t="s">
        <v>166</v>
      </c>
      <c r="E409" t="s">
        <v>167</v>
      </c>
      <c r="F409" t="s">
        <v>541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55000000000000004">
      <c r="A410" t="s">
        <v>179</v>
      </c>
      <c r="B410" t="s">
        <v>96</v>
      </c>
      <c r="C410" s="9">
        <v>43556</v>
      </c>
      <c r="D410" t="s">
        <v>166</v>
      </c>
      <c r="E410" t="s">
        <v>170</v>
      </c>
      <c r="F410" t="s">
        <v>541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55000000000000004">
      <c r="A411" t="s">
        <v>180</v>
      </c>
      <c r="B411" t="s">
        <v>97</v>
      </c>
      <c r="C411" s="9">
        <v>43747</v>
      </c>
      <c r="D411" t="s">
        <v>174</v>
      </c>
      <c r="E411" t="s">
        <v>167</v>
      </c>
      <c r="F411" t="s">
        <v>541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55000000000000004">
      <c r="A412" t="s">
        <v>181</v>
      </c>
      <c r="B412" t="s">
        <v>98</v>
      </c>
      <c r="C412" s="9">
        <v>44073</v>
      </c>
      <c r="D412" t="s">
        <v>174</v>
      </c>
      <c r="E412" t="s">
        <v>167</v>
      </c>
      <c r="F412" t="s">
        <v>541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55000000000000004">
      <c r="A413" t="s">
        <v>182</v>
      </c>
      <c r="B413" t="s">
        <v>99</v>
      </c>
      <c r="C413" s="9">
        <v>43435</v>
      </c>
      <c r="D413" t="s">
        <v>174</v>
      </c>
      <c r="E413" t="s">
        <v>167</v>
      </c>
      <c r="F413" t="s">
        <v>541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55000000000000004">
      <c r="A414" t="s">
        <v>183</v>
      </c>
      <c r="B414" t="s">
        <v>100</v>
      </c>
      <c r="C414" s="9">
        <v>42229</v>
      </c>
      <c r="D414" t="s">
        <v>166</v>
      </c>
      <c r="E414" t="s">
        <v>175</v>
      </c>
      <c r="F414" t="s">
        <v>541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55000000000000004">
      <c r="A415" t="s">
        <v>184</v>
      </c>
      <c r="B415" t="s">
        <v>101</v>
      </c>
      <c r="C415" s="9">
        <v>43695</v>
      </c>
      <c r="D415" t="s">
        <v>174</v>
      </c>
      <c r="E415" t="s">
        <v>167</v>
      </c>
      <c r="F415" t="s">
        <v>541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55000000000000004">
      <c r="A416" t="s">
        <v>185</v>
      </c>
      <c r="B416" t="s">
        <v>102</v>
      </c>
      <c r="C416" s="9">
        <v>42241</v>
      </c>
      <c r="D416" t="s">
        <v>166</v>
      </c>
      <c r="E416" t="s">
        <v>167</v>
      </c>
      <c r="F416" t="s">
        <v>541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55000000000000004">
      <c r="A417" t="s">
        <v>186</v>
      </c>
      <c r="B417" t="s">
        <v>103</v>
      </c>
      <c r="C417" s="9">
        <v>42700</v>
      </c>
      <c r="D417" t="s">
        <v>166</v>
      </c>
      <c r="E417" t="s">
        <v>167</v>
      </c>
      <c r="F417" t="s">
        <v>541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55000000000000004">
      <c r="A418" t="s">
        <v>187</v>
      </c>
      <c r="B418" t="s">
        <v>104</v>
      </c>
      <c r="C418" s="9">
        <v>43442</v>
      </c>
      <c r="D418" t="s">
        <v>166</v>
      </c>
      <c r="E418" t="s">
        <v>170</v>
      </c>
      <c r="F418" t="s">
        <v>541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55000000000000004">
      <c r="A419" t="s">
        <v>188</v>
      </c>
      <c r="B419" t="s">
        <v>105</v>
      </c>
      <c r="C419" s="9">
        <v>44110</v>
      </c>
      <c r="D419" t="s">
        <v>174</v>
      </c>
      <c r="E419" t="s">
        <v>170</v>
      </c>
      <c r="F419" t="s">
        <v>541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55000000000000004">
      <c r="A420" t="s">
        <v>189</v>
      </c>
      <c r="B420" t="s">
        <v>106</v>
      </c>
      <c r="C420" s="9">
        <v>43417</v>
      </c>
      <c r="D420" t="s">
        <v>166</v>
      </c>
      <c r="E420" t="s">
        <v>170</v>
      </c>
      <c r="F420" t="s">
        <v>541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55000000000000004">
      <c r="A421" t="s">
        <v>190</v>
      </c>
      <c r="B421" t="s">
        <v>107</v>
      </c>
      <c r="C421" s="9">
        <v>42169</v>
      </c>
      <c r="D421" t="s">
        <v>174</v>
      </c>
      <c r="E421" t="s">
        <v>170</v>
      </c>
      <c r="F421" t="s">
        <v>541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55000000000000004">
      <c r="A422" t="s">
        <v>191</v>
      </c>
      <c r="B422" t="s">
        <v>108</v>
      </c>
      <c r="C422" s="9">
        <v>43086</v>
      </c>
      <c r="D422" t="s">
        <v>174</v>
      </c>
      <c r="E422" t="s">
        <v>175</v>
      </c>
      <c r="F422" t="s">
        <v>541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55000000000000004">
      <c r="A423" t="s">
        <v>192</v>
      </c>
      <c r="B423" t="s">
        <v>109</v>
      </c>
      <c r="C423" s="9">
        <v>42569</v>
      </c>
      <c r="D423" t="s">
        <v>174</v>
      </c>
      <c r="E423" t="s">
        <v>167</v>
      </c>
      <c r="F423" t="s">
        <v>541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55000000000000004">
      <c r="A424" t="s">
        <v>193</v>
      </c>
      <c r="B424" t="s">
        <v>110</v>
      </c>
      <c r="C424" s="9">
        <v>43238</v>
      </c>
      <c r="D424" t="s">
        <v>174</v>
      </c>
      <c r="E424" t="s">
        <v>170</v>
      </c>
      <c r="F424" t="s">
        <v>541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55000000000000004">
      <c r="A425" t="s">
        <v>194</v>
      </c>
      <c r="B425" t="s">
        <v>111</v>
      </c>
      <c r="C425" s="9">
        <v>42218</v>
      </c>
      <c r="D425" t="s">
        <v>166</v>
      </c>
      <c r="E425" t="s">
        <v>170</v>
      </c>
      <c r="F425" t="s">
        <v>541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55000000000000004">
      <c r="A426" t="s">
        <v>195</v>
      </c>
      <c r="B426" t="s">
        <v>112</v>
      </c>
      <c r="C426" s="9">
        <v>43565</v>
      </c>
      <c r="D426" t="s">
        <v>166</v>
      </c>
      <c r="E426" t="s">
        <v>170</v>
      </c>
      <c r="F426" t="s">
        <v>541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55000000000000004">
      <c r="A427" t="s">
        <v>196</v>
      </c>
      <c r="B427" t="s">
        <v>113</v>
      </c>
      <c r="C427" s="9">
        <v>42643</v>
      </c>
      <c r="D427" t="s">
        <v>174</v>
      </c>
      <c r="E427" t="s">
        <v>170</v>
      </c>
      <c r="F427" t="s">
        <v>541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55000000000000004">
      <c r="A428" t="s">
        <v>197</v>
      </c>
      <c r="B428" t="s">
        <v>114</v>
      </c>
      <c r="C428" s="9">
        <v>43025</v>
      </c>
      <c r="D428" t="s">
        <v>166</v>
      </c>
      <c r="E428" t="s">
        <v>167</v>
      </c>
      <c r="F428" t="s">
        <v>541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55000000000000004">
      <c r="A429" t="s">
        <v>198</v>
      </c>
      <c r="B429" t="s">
        <v>115</v>
      </c>
      <c r="C429" s="9">
        <v>42917</v>
      </c>
      <c r="D429" t="s">
        <v>174</v>
      </c>
      <c r="E429" t="s">
        <v>167</v>
      </c>
      <c r="F429" t="s">
        <v>541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55000000000000004">
      <c r="A430" t="s">
        <v>199</v>
      </c>
      <c r="B430" t="s">
        <v>116</v>
      </c>
      <c r="C430" s="9">
        <v>42638</v>
      </c>
      <c r="D430" t="s">
        <v>166</v>
      </c>
      <c r="E430" t="s">
        <v>167</v>
      </c>
      <c r="F430" t="s">
        <v>541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55000000000000004">
      <c r="A431" t="s">
        <v>200</v>
      </c>
      <c r="B431" t="s">
        <v>201</v>
      </c>
      <c r="C431" s="9">
        <v>42306</v>
      </c>
      <c r="D431" t="s">
        <v>166</v>
      </c>
      <c r="E431" t="s">
        <v>170</v>
      </c>
      <c r="F431" t="s">
        <v>541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55000000000000004">
      <c r="A432" t="s">
        <v>202</v>
      </c>
      <c r="B432" t="s">
        <v>203</v>
      </c>
      <c r="C432" s="9">
        <v>43821</v>
      </c>
      <c r="D432" t="s">
        <v>166</v>
      </c>
      <c r="E432" t="s">
        <v>167</v>
      </c>
      <c r="F432" t="s">
        <v>541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55000000000000004">
      <c r="A433" t="s">
        <v>204</v>
      </c>
      <c r="B433" t="s">
        <v>205</v>
      </c>
      <c r="C433" s="9">
        <v>42767</v>
      </c>
      <c r="D433" t="s">
        <v>174</v>
      </c>
      <c r="E433" t="s">
        <v>170</v>
      </c>
      <c r="F433" t="s">
        <v>541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55000000000000004">
      <c r="A434" t="s">
        <v>206</v>
      </c>
      <c r="B434" t="s">
        <v>207</v>
      </c>
      <c r="C434" s="9">
        <v>43203</v>
      </c>
      <c r="D434" t="s">
        <v>166</v>
      </c>
      <c r="E434" t="s">
        <v>175</v>
      </c>
      <c r="F434" t="s">
        <v>541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55000000000000004">
      <c r="A435" t="s">
        <v>208</v>
      </c>
      <c r="B435" t="s">
        <v>209</v>
      </c>
      <c r="C435" s="9">
        <v>43598</v>
      </c>
      <c r="D435" t="s">
        <v>166</v>
      </c>
      <c r="E435" t="s">
        <v>175</v>
      </c>
      <c r="F435" t="s">
        <v>541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55000000000000004">
      <c r="A436" t="s">
        <v>210</v>
      </c>
      <c r="B436" t="s">
        <v>211</v>
      </c>
      <c r="C436" s="9">
        <v>43374</v>
      </c>
      <c r="D436" t="s">
        <v>166</v>
      </c>
      <c r="E436" t="s">
        <v>175</v>
      </c>
      <c r="F436" t="s">
        <v>541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55000000000000004">
      <c r="A437" t="s">
        <v>212</v>
      </c>
      <c r="B437" t="s">
        <v>213</v>
      </c>
      <c r="C437" s="9">
        <v>42503</v>
      </c>
      <c r="D437" t="s">
        <v>174</v>
      </c>
      <c r="E437" t="s">
        <v>170</v>
      </c>
      <c r="F437" t="s">
        <v>541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55000000000000004">
      <c r="A438" t="s">
        <v>214</v>
      </c>
      <c r="B438" t="s">
        <v>215</v>
      </c>
      <c r="C438" s="9">
        <v>44147</v>
      </c>
      <c r="D438" t="s">
        <v>166</v>
      </c>
      <c r="E438" t="s">
        <v>167</v>
      </c>
      <c r="F438" t="s">
        <v>541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55000000000000004">
      <c r="A439" t="s">
        <v>216</v>
      </c>
      <c r="B439" t="s">
        <v>217</v>
      </c>
      <c r="C439" s="9">
        <v>42510</v>
      </c>
      <c r="D439" t="s">
        <v>174</v>
      </c>
      <c r="E439" t="s">
        <v>175</v>
      </c>
      <c r="F439" t="s">
        <v>541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55000000000000004">
      <c r="A440" t="s">
        <v>218</v>
      </c>
      <c r="B440" t="s">
        <v>219</v>
      </c>
      <c r="C440" s="9">
        <v>42211</v>
      </c>
      <c r="D440" t="s">
        <v>174</v>
      </c>
      <c r="E440" t="s">
        <v>170</v>
      </c>
      <c r="F440" t="s">
        <v>541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55000000000000004">
      <c r="A441" t="s">
        <v>220</v>
      </c>
      <c r="B441" t="s">
        <v>221</v>
      </c>
      <c r="C441" s="9">
        <v>44048</v>
      </c>
      <c r="D441" t="s">
        <v>166</v>
      </c>
      <c r="E441" t="s">
        <v>170</v>
      </c>
      <c r="F441" t="s">
        <v>541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55000000000000004">
      <c r="A442" t="s">
        <v>222</v>
      </c>
      <c r="B442" t="s">
        <v>223</v>
      </c>
      <c r="C442" s="9">
        <v>44039</v>
      </c>
      <c r="D442" t="s">
        <v>174</v>
      </c>
      <c r="E442" t="s">
        <v>170</v>
      </c>
      <c r="F442" t="s">
        <v>541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55000000000000004">
      <c r="A443" t="s">
        <v>224</v>
      </c>
      <c r="B443" t="s">
        <v>225</v>
      </c>
      <c r="C443" s="9">
        <v>42360</v>
      </c>
      <c r="D443" t="s">
        <v>174</v>
      </c>
      <c r="E443" t="s">
        <v>167</v>
      </c>
      <c r="F443" t="s">
        <v>541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55000000000000004">
      <c r="A444" t="s">
        <v>226</v>
      </c>
      <c r="B444" t="s">
        <v>227</v>
      </c>
      <c r="C444" s="9">
        <v>43940</v>
      </c>
      <c r="D444" t="s">
        <v>166</v>
      </c>
      <c r="E444" t="s">
        <v>170</v>
      </c>
      <c r="F444" t="s">
        <v>541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55000000000000004">
      <c r="A445" t="s">
        <v>228</v>
      </c>
      <c r="B445" t="s">
        <v>229</v>
      </c>
      <c r="C445" s="9">
        <v>43521</v>
      </c>
      <c r="D445" t="s">
        <v>166</v>
      </c>
      <c r="E445" t="s">
        <v>175</v>
      </c>
      <c r="F445" t="s">
        <v>541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55000000000000004">
      <c r="A446" t="s">
        <v>230</v>
      </c>
      <c r="B446" t="s">
        <v>231</v>
      </c>
      <c r="C446" s="9">
        <v>43639</v>
      </c>
      <c r="D446" t="s">
        <v>174</v>
      </c>
      <c r="E446" t="s">
        <v>170</v>
      </c>
      <c r="F446" t="s">
        <v>541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55000000000000004">
      <c r="A447" t="s">
        <v>232</v>
      </c>
      <c r="B447" t="s">
        <v>233</v>
      </c>
      <c r="C447" s="9">
        <v>43727</v>
      </c>
      <c r="D447" t="s">
        <v>166</v>
      </c>
      <c r="E447" t="s">
        <v>167</v>
      </c>
      <c r="F447" t="s">
        <v>541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55000000000000004">
      <c r="A448" t="s">
        <v>234</v>
      </c>
      <c r="B448" t="s">
        <v>235</v>
      </c>
      <c r="C448" s="9">
        <v>43584</v>
      </c>
      <c r="D448" t="s">
        <v>166</v>
      </c>
      <c r="E448" t="s">
        <v>167</v>
      </c>
      <c r="F448" t="s">
        <v>541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55000000000000004">
      <c r="A449" t="s">
        <v>236</v>
      </c>
      <c r="B449" t="s">
        <v>237</v>
      </c>
      <c r="C449" s="9">
        <v>43217</v>
      </c>
      <c r="D449" t="s">
        <v>166</v>
      </c>
      <c r="E449" t="s">
        <v>175</v>
      </c>
      <c r="F449" t="s">
        <v>541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55000000000000004">
      <c r="A450" t="s">
        <v>238</v>
      </c>
      <c r="B450" t="s">
        <v>239</v>
      </c>
      <c r="C450" s="9">
        <v>43245</v>
      </c>
      <c r="D450" t="s">
        <v>166</v>
      </c>
      <c r="E450" t="s">
        <v>175</v>
      </c>
      <c r="F450" t="s">
        <v>541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55000000000000004">
      <c r="A451" t="s">
        <v>240</v>
      </c>
      <c r="B451" t="s">
        <v>241</v>
      </c>
      <c r="C451" s="9">
        <v>42464</v>
      </c>
      <c r="D451" t="s">
        <v>174</v>
      </c>
      <c r="E451" t="s">
        <v>170</v>
      </c>
      <c r="F451" t="s">
        <v>541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55000000000000004">
      <c r="A452" t="s">
        <v>242</v>
      </c>
      <c r="B452" t="s">
        <v>243</v>
      </c>
      <c r="C452" s="9">
        <v>43940</v>
      </c>
      <c r="D452" t="s">
        <v>174</v>
      </c>
      <c r="E452" t="s">
        <v>175</v>
      </c>
      <c r="F452" t="s">
        <v>541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55000000000000004">
      <c r="A453" t="s">
        <v>244</v>
      </c>
      <c r="B453" t="s">
        <v>245</v>
      </c>
      <c r="C453" s="9">
        <v>42641</v>
      </c>
      <c r="D453" t="s">
        <v>166</v>
      </c>
      <c r="E453" t="s">
        <v>167</v>
      </c>
      <c r="F453" t="s">
        <v>541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55000000000000004">
      <c r="A454" t="s">
        <v>246</v>
      </c>
      <c r="B454" t="s">
        <v>247</v>
      </c>
      <c r="C454" s="9">
        <v>42083</v>
      </c>
      <c r="D454" t="s">
        <v>166</v>
      </c>
      <c r="E454" t="s">
        <v>170</v>
      </c>
      <c r="F454" t="s">
        <v>541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55000000000000004">
      <c r="A455" t="s">
        <v>248</v>
      </c>
      <c r="B455" t="s">
        <v>249</v>
      </c>
      <c r="C455" s="9">
        <v>43777</v>
      </c>
      <c r="D455" t="s">
        <v>174</v>
      </c>
      <c r="E455" t="s">
        <v>170</v>
      </c>
      <c r="F455" t="s">
        <v>541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55000000000000004">
      <c r="A456" t="s">
        <v>250</v>
      </c>
      <c r="B456" t="s">
        <v>251</v>
      </c>
      <c r="C456" s="9">
        <v>43919</v>
      </c>
      <c r="D456" t="s">
        <v>166</v>
      </c>
      <c r="E456" t="s">
        <v>175</v>
      </c>
      <c r="F456" t="s">
        <v>541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55000000000000004">
      <c r="A457" t="s">
        <v>252</v>
      </c>
      <c r="B457" t="s">
        <v>253</v>
      </c>
      <c r="C457" s="9">
        <v>42879</v>
      </c>
      <c r="D457" t="s">
        <v>174</v>
      </c>
      <c r="E457" t="s">
        <v>167</v>
      </c>
      <c r="F457" t="s">
        <v>541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55000000000000004">
      <c r="A458" t="s">
        <v>254</v>
      </c>
      <c r="B458" t="s">
        <v>255</v>
      </c>
      <c r="C458" s="9">
        <v>43746</v>
      </c>
      <c r="D458" t="s">
        <v>166</v>
      </c>
      <c r="E458" t="s">
        <v>170</v>
      </c>
      <c r="F458" t="s">
        <v>541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55000000000000004">
      <c r="A459" t="s">
        <v>256</v>
      </c>
      <c r="B459" t="s">
        <v>257</v>
      </c>
      <c r="C459" s="9">
        <v>42571</v>
      </c>
      <c r="D459" t="s">
        <v>166</v>
      </c>
      <c r="E459" t="s">
        <v>170</v>
      </c>
      <c r="F459" t="s">
        <v>541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55000000000000004">
      <c r="A460" t="s">
        <v>258</v>
      </c>
      <c r="B460" t="s">
        <v>259</v>
      </c>
      <c r="C460" s="9">
        <v>44019</v>
      </c>
      <c r="D460" t="s">
        <v>166</v>
      </c>
      <c r="E460" t="s">
        <v>170</v>
      </c>
      <c r="F460" t="s">
        <v>541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55000000000000004">
      <c r="A461" t="s">
        <v>260</v>
      </c>
      <c r="B461" t="s">
        <v>261</v>
      </c>
      <c r="C461" s="9">
        <v>43098</v>
      </c>
      <c r="D461" t="s">
        <v>166</v>
      </c>
      <c r="E461" t="s">
        <v>167</v>
      </c>
      <c r="F461" t="s">
        <v>541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55000000000000004">
      <c r="A462" t="s">
        <v>262</v>
      </c>
      <c r="B462" t="s">
        <v>263</v>
      </c>
      <c r="C462" s="9">
        <v>43766</v>
      </c>
      <c r="D462" t="s">
        <v>174</v>
      </c>
      <c r="E462" t="s">
        <v>175</v>
      </c>
      <c r="F462" t="s">
        <v>541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55000000000000004">
      <c r="A463" t="s">
        <v>264</v>
      </c>
      <c r="B463" t="s">
        <v>265</v>
      </c>
      <c r="C463" s="9">
        <v>43330</v>
      </c>
      <c r="D463" t="s">
        <v>166</v>
      </c>
      <c r="E463" t="s">
        <v>175</v>
      </c>
      <c r="F463" t="s">
        <v>541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55000000000000004">
      <c r="A464" t="s">
        <v>266</v>
      </c>
      <c r="B464" t="s">
        <v>267</v>
      </c>
      <c r="C464" s="9">
        <v>42717</v>
      </c>
      <c r="D464" t="s">
        <v>166</v>
      </c>
      <c r="E464" t="s">
        <v>170</v>
      </c>
      <c r="F464" t="s">
        <v>541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55000000000000004">
      <c r="A465" t="s">
        <v>268</v>
      </c>
      <c r="B465" t="s">
        <v>269</v>
      </c>
      <c r="C465" s="9">
        <v>42436</v>
      </c>
      <c r="D465" t="s">
        <v>174</v>
      </c>
      <c r="E465" t="s">
        <v>170</v>
      </c>
      <c r="F465" t="s">
        <v>541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55000000000000004">
      <c r="A466" t="s">
        <v>270</v>
      </c>
      <c r="B466" t="s">
        <v>271</v>
      </c>
      <c r="C466" s="9">
        <v>42724</v>
      </c>
      <c r="D466" t="s">
        <v>174</v>
      </c>
      <c r="E466" t="s">
        <v>167</v>
      </c>
      <c r="F466" t="s">
        <v>541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55000000000000004">
      <c r="A467" t="s">
        <v>272</v>
      </c>
      <c r="B467" t="s">
        <v>273</v>
      </c>
      <c r="C467" s="9">
        <v>44050</v>
      </c>
      <c r="D467" t="s">
        <v>166</v>
      </c>
      <c r="E467" t="s">
        <v>167</v>
      </c>
      <c r="F467" t="s">
        <v>541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55000000000000004">
      <c r="A468" t="s">
        <v>274</v>
      </c>
      <c r="B468" t="s">
        <v>275</v>
      </c>
      <c r="C468" s="9">
        <v>42244</v>
      </c>
      <c r="D468" t="s">
        <v>166</v>
      </c>
      <c r="E468" t="s">
        <v>167</v>
      </c>
      <c r="F468" t="s">
        <v>541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55000000000000004">
      <c r="A469" t="s">
        <v>276</v>
      </c>
      <c r="B469" t="s">
        <v>277</v>
      </c>
      <c r="C469" s="9">
        <v>42356</v>
      </c>
      <c r="D469" t="s">
        <v>174</v>
      </c>
      <c r="E469" t="s">
        <v>170</v>
      </c>
      <c r="F469" t="s">
        <v>541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55000000000000004">
      <c r="A470" t="s">
        <v>278</v>
      </c>
      <c r="B470" t="s">
        <v>279</v>
      </c>
      <c r="C470" s="9">
        <v>42647</v>
      </c>
      <c r="D470" t="s">
        <v>174</v>
      </c>
      <c r="E470" t="s">
        <v>170</v>
      </c>
      <c r="F470" t="s">
        <v>541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55000000000000004">
      <c r="A471" t="s">
        <v>280</v>
      </c>
      <c r="B471" t="s">
        <v>281</v>
      </c>
      <c r="C471" s="9">
        <v>42754</v>
      </c>
      <c r="D471" t="s">
        <v>174</v>
      </c>
      <c r="E471" t="s">
        <v>170</v>
      </c>
      <c r="F471" t="s">
        <v>541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55000000000000004">
      <c r="A472" t="s">
        <v>282</v>
      </c>
      <c r="B472" t="s">
        <v>283</v>
      </c>
      <c r="C472" s="9">
        <v>42790</v>
      </c>
      <c r="D472" t="s">
        <v>174</v>
      </c>
      <c r="E472" t="s">
        <v>175</v>
      </c>
      <c r="F472" t="s">
        <v>541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55000000000000004">
      <c r="A473" t="s">
        <v>284</v>
      </c>
      <c r="B473" t="s">
        <v>285</v>
      </c>
      <c r="C473" s="9">
        <v>42526</v>
      </c>
      <c r="D473" t="s">
        <v>166</v>
      </c>
      <c r="E473" t="s">
        <v>170</v>
      </c>
      <c r="F473" t="s">
        <v>541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55000000000000004">
      <c r="A474" t="s">
        <v>286</v>
      </c>
      <c r="B474" t="s">
        <v>287</v>
      </c>
      <c r="C474" s="9">
        <v>42594</v>
      </c>
      <c r="D474" t="s">
        <v>166</v>
      </c>
      <c r="E474" t="s">
        <v>167</v>
      </c>
      <c r="F474" t="s">
        <v>541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55000000000000004">
      <c r="A475" t="s">
        <v>288</v>
      </c>
      <c r="B475" t="s">
        <v>289</v>
      </c>
      <c r="C475" s="9">
        <v>42340</v>
      </c>
      <c r="D475" t="s">
        <v>166</v>
      </c>
      <c r="E475" t="s">
        <v>167</v>
      </c>
      <c r="F475" t="s">
        <v>541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55000000000000004">
      <c r="A476" t="s">
        <v>290</v>
      </c>
      <c r="B476" t="s">
        <v>291</v>
      </c>
      <c r="C476" s="9">
        <v>43226</v>
      </c>
      <c r="D476" t="s">
        <v>174</v>
      </c>
      <c r="E476" t="s">
        <v>170</v>
      </c>
      <c r="F476" t="s">
        <v>541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55000000000000004">
      <c r="A477" t="s">
        <v>292</v>
      </c>
      <c r="B477" t="s">
        <v>293</v>
      </c>
      <c r="C477" s="9">
        <v>43852</v>
      </c>
      <c r="D477" t="s">
        <v>174</v>
      </c>
      <c r="E477" t="s">
        <v>175</v>
      </c>
      <c r="F477" t="s">
        <v>541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55000000000000004">
      <c r="A478" t="s">
        <v>294</v>
      </c>
      <c r="B478" t="s">
        <v>295</v>
      </c>
      <c r="C478" s="9">
        <v>43650</v>
      </c>
      <c r="D478" t="s">
        <v>166</v>
      </c>
      <c r="E478" t="s">
        <v>170</v>
      </c>
      <c r="F478" t="s">
        <v>541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55000000000000004">
      <c r="A479" t="s">
        <v>296</v>
      </c>
      <c r="B479" t="s">
        <v>297</v>
      </c>
      <c r="C479" s="9">
        <v>43537</v>
      </c>
      <c r="D479" t="s">
        <v>174</v>
      </c>
      <c r="E479" t="s">
        <v>167</v>
      </c>
      <c r="F479" t="s">
        <v>541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55000000000000004">
      <c r="A480" t="s">
        <v>298</v>
      </c>
      <c r="B480" t="s">
        <v>299</v>
      </c>
      <c r="C480" s="9">
        <v>43726</v>
      </c>
      <c r="D480" t="s">
        <v>166</v>
      </c>
      <c r="E480" t="s">
        <v>175</v>
      </c>
      <c r="F480" t="s">
        <v>541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55000000000000004">
      <c r="A481" t="s">
        <v>300</v>
      </c>
      <c r="B481" t="s">
        <v>301</v>
      </c>
      <c r="C481" s="9">
        <v>43937</v>
      </c>
      <c r="D481" t="s">
        <v>166</v>
      </c>
      <c r="E481" t="s">
        <v>167</v>
      </c>
      <c r="F481" t="s">
        <v>541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55000000000000004">
      <c r="A482" t="s">
        <v>302</v>
      </c>
      <c r="B482" t="s">
        <v>303</v>
      </c>
      <c r="C482" s="9">
        <v>43005</v>
      </c>
      <c r="D482" t="s">
        <v>174</v>
      </c>
      <c r="E482" t="s">
        <v>170</v>
      </c>
      <c r="F482" t="s">
        <v>541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55000000000000004">
      <c r="A483" t="s">
        <v>304</v>
      </c>
      <c r="B483" t="s">
        <v>305</v>
      </c>
      <c r="C483" s="9">
        <v>44155</v>
      </c>
      <c r="D483" t="s">
        <v>174</v>
      </c>
      <c r="E483" t="s">
        <v>167</v>
      </c>
      <c r="F483" t="s">
        <v>541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55000000000000004">
      <c r="A484" t="s">
        <v>306</v>
      </c>
      <c r="B484" t="s">
        <v>307</v>
      </c>
      <c r="C484" s="9">
        <v>42759</v>
      </c>
      <c r="D484" t="s">
        <v>166</v>
      </c>
      <c r="E484" t="s">
        <v>175</v>
      </c>
      <c r="F484" t="s">
        <v>541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55000000000000004">
      <c r="A485" t="s">
        <v>308</v>
      </c>
      <c r="B485" t="s">
        <v>309</v>
      </c>
      <c r="C485" s="9">
        <v>43807</v>
      </c>
      <c r="D485" t="s">
        <v>166</v>
      </c>
      <c r="E485" t="s">
        <v>175</v>
      </c>
      <c r="F485" t="s">
        <v>541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55000000000000004">
      <c r="A486" t="s">
        <v>310</v>
      </c>
      <c r="B486" t="s">
        <v>311</v>
      </c>
      <c r="C486" s="9">
        <v>43126</v>
      </c>
      <c r="D486" t="s">
        <v>166</v>
      </c>
      <c r="E486" t="s">
        <v>175</v>
      </c>
      <c r="F486" t="s">
        <v>541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55000000000000004">
      <c r="A487" t="s">
        <v>312</v>
      </c>
      <c r="B487" t="s">
        <v>313</v>
      </c>
      <c r="C487" s="9">
        <v>43126</v>
      </c>
      <c r="D487" t="s">
        <v>166</v>
      </c>
      <c r="E487" t="s">
        <v>167</v>
      </c>
      <c r="F487" t="s">
        <v>541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55000000000000004">
      <c r="A488" t="s">
        <v>314</v>
      </c>
      <c r="B488" t="s">
        <v>315</v>
      </c>
      <c r="C488" s="9">
        <v>44068</v>
      </c>
      <c r="D488" t="s">
        <v>166</v>
      </c>
      <c r="E488" t="s">
        <v>175</v>
      </c>
      <c r="F488" t="s">
        <v>541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55000000000000004">
      <c r="A489" t="s">
        <v>316</v>
      </c>
      <c r="B489" t="s">
        <v>317</v>
      </c>
      <c r="C489" s="9">
        <v>43227</v>
      </c>
      <c r="D489" t="s">
        <v>174</v>
      </c>
      <c r="E489" t="s">
        <v>170</v>
      </c>
      <c r="F489" t="s">
        <v>541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55000000000000004">
      <c r="A490" t="s">
        <v>318</v>
      </c>
      <c r="B490" t="s">
        <v>319</v>
      </c>
      <c r="C490" s="9">
        <v>42125</v>
      </c>
      <c r="D490" t="s">
        <v>174</v>
      </c>
      <c r="E490" t="s">
        <v>175</v>
      </c>
      <c r="F490" t="s">
        <v>541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55000000000000004">
      <c r="A491" t="s">
        <v>320</v>
      </c>
      <c r="B491" t="s">
        <v>321</v>
      </c>
      <c r="C491" s="9">
        <v>42784</v>
      </c>
      <c r="D491" t="s">
        <v>166</v>
      </c>
      <c r="E491" t="s">
        <v>175</v>
      </c>
      <c r="F491" t="s">
        <v>541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55000000000000004">
      <c r="A492" t="s">
        <v>322</v>
      </c>
      <c r="B492" t="s">
        <v>323</v>
      </c>
      <c r="C492" s="9">
        <v>44046</v>
      </c>
      <c r="D492" t="s">
        <v>166</v>
      </c>
      <c r="E492" t="s">
        <v>170</v>
      </c>
      <c r="F492" t="s">
        <v>541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55000000000000004">
      <c r="A493" t="s">
        <v>324</v>
      </c>
      <c r="B493" t="s">
        <v>325</v>
      </c>
      <c r="C493" s="9">
        <v>42040</v>
      </c>
      <c r="D493" t="s">
        <v>166</v>
      </c>
      <c r="E493" t="s">
        <v>175</v>
      </c>
      <c r="F493" t="s">
        <v>541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55000000000000004">
      <c r="A494" t="s">
        <v>326</v>
      </c>
      <c r="B494" t="s">
        <v>327</v>
      </c>
      <c r="C494" s="9">
        <v>43043</v>
      </c>
      <c r="D494" t="s">
        <v>166</v>
      </c>
      <c r="E494" t="s">
        <v>175</v>
      </c>
      <c r="F494" t="s">
        <v>541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55000000000000004">
      <c r="A495" t="s">
        <v>328</v>
      </c>
      <c r="B495" t="s">
        <v>329</v>
      </c>
      <c r="C495" s="9">
        <v>42865</v>
      </c>
      <c r="D495" t="s">
        <v>174</v>
      </c>
      <c r="E495" t="s">
        <v>167</v>
      </c>
      <c r="F495" t="s">
        <v>541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55000000000000004">
      <c r="A496" t="s">
        <v>330</v>
      </c>
      <c r="B496" t="s">
        <v>331</v>
      </c>
      <c r="C496" s="9">
        <v>42963</v>
      </c>
      <c r="D496" t="s">
        <v>166</v>
      </c>
      <c r="E496" t="s">
        <v>175</v>
      </c>
      <c r="F496" t="s">
        <v>541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55000000000000004">
      <c r="A497" t="s">
        <v>332</v>
      </c>
      <c r="B497" t="s">
        <v>333</v>
      </c>
      <c r="C497" s="9">
        <v>43385</v>
      </c>
      <c r="D497" t="s">
        <v>174</v>
      </c>
      <c r="E497" t="s">
        <v>167</v>
      </c>
      <c r="F497" t="s">
        <v>541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55000000000000004">
      <c r="A498" t="s">
        <v>334</v>
      </c>
      <c r="B498" t="s">
        <v>335</v>
      </c>
      <c r="C498" s="9">
        <v>42320</v>
      </c>
      <c r="D498" t="s">
        <v>166</v>
      </c>
      <c r="E498" t="s">
        <v>167</v>
      </c>
      <c r="F498" t="s">
        <v>541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55000000000000004">
      <c r="A499" t="s">
        <v>336</v>
      </c>
      <c r="B499" t="s">
        <v>337</v>
      </c>
      <c r="C499" s="9">
        <v>43200</v>
      </c>
      <c r="D499" t="s">
        <v>166</v>
      </c>
      <c r="E499" t="s">
        <v>170</v>
      </c>
      <c r="F499" t="s">
        <v>541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55000000000000004">
      <c r="A500" t="s">
        <v>338</v>
      </c>
      <c r="B500" t="s">
        <v>339</v>
      </c>
      <c r="C500" s="9">
        <v>43936</v>
      </c>
      <c r="D500" t="s">
        <v>174</v>
      </c>
      <c r="E500" t="s">
        <v>170</v>
      </c>
      <c r="F500" t="s">
        <v>541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55000000000000004">
      <c r="A501" t="s">
        <v>340</v>
      </c>
      <c r="B501" t="s">
        <v>341</v>
      </c>
      <c r="C501" s="9">
        <v>43667</v>
      </c>
      <c r="D501" t="s">
        <v>174</v>
      </c>
      <c r="E501" t="s">
        <v>167</v>
      </c>
      <c r="F501" t="s">
        <v>541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55000000000000004">
      <c r="A502" t="s">
        <v>342</v>
      </c>
      <c r="B502" t="s">
        <v>343</v>
      </c>
      <c r="C502" s="9">
        <v>42332</v>
      </c>
      <c r="D502" t="s">
        <v>174</v>
      </c>
      <c r="E502" t="s">
        <v>170</v>
      </c>
      <c r="F502" t="s">
        <v>541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55000000000000004">
      <c r="A503" t="s">
        <v>344</v>
      </c>
      <c r="B503" t="s">
        <v>345</v>
      </c>
      <c r="C503" s="9">
        <v>43796</v>
      </c>
      <c r="D503" t="s">
        <v>166</v>
      </c>
      <c r="E503" t="s">
        <v>170</v>
      </c>
      <c r="F503" t="s">
        <v>541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55000000000000004">
      <c r="A504" t="s">
        <v>346</v>
      </c>
      <c r="B504" t="s">
        <v>347</v>
      </c>
      <c r="C504" s="9">
        <v>42879</v>
      </c>
      <c r="D504" t="s">
        <v>166</v>
      </c>
      <c r="E504" t="s">
        <v>175</v>
      </c>
      <c r="F504" t="s">
        <v>541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55000000000000004">
      <c r="A505" t="s">
        <v>348</v>
      </c>
      <c r="B505" t="s">
        <v>349</v>
      </c>
      <c r="C505" s="9">
        <v>42481</v>
      </c>
      <c r="D505" t="s">
        <v>174</v>
      </c>
      <c r="E505" t="s">
        <v>175</v>
      </c>
      <c r="F505" t="s">
        <v>541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55000000000000004">
      <c r="A506" t="s">
        <v>350</v>
      </c>
      <c r="B506" t="s">
        <v>351</v>
      </c>
      <c r="C506" s="9">
        <v>42645</v>
      </c>
      <c r="D506" t="s">
        <v>166</v>
      </c>
      <c r="E506" t="s">
        <v>170</v>
      </c>
      <c r="F506" t="s">
        <v>541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55000000000000004">
      <c r="A507" t="s">
        <v>352</v>
      </c>
      <c r="B507" t="s">
        <v>353</v>
      </c>
      <c r="C507" s="9">
        <v>43935</v>
      </c>
      <c r="D507" t="s">
        <v>174</v>
      </c>
      <c r="E507" t="s">
        <v>175</v>
      </c>
      <c r="F507" t="s">
        <v>541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55000000000000004">
      <c r="A508" t="s">
        <v>354</v>
      </c>
      <c r="B508" t="s">
        <v>355</v>
      </c>
      <c r="C508" s="9">
        <v>43245</v>
      </c>
      <c r="D508" t="s">
        <v>166</v>
      </c>
      <c r="E508" t="s">
        <v>167</v>
      </c>
      <c r="F508" t="s">
        <v>541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55000000000000004">
      <c r="A509" t="s">
        <v>356</v>
      </c>
      <c r="B509" t="s">
        <v>357</v>
      </c>
      <c r="C509" s="9">
        <v>43834</v>
      </c>
      <c r="D509" t="s">
        <v>166</v>
      </c>
      <c r="E509" t="s">
        <v>167</v>
      </c>
      <c r="F509" t="s">
        <v>541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55000000000000004">
      <c r="A510" t="s">
        <v>358</v>
      </c>
      <c r="B510" t="s">
        <v>359</v>
      </c>
      <c r="C510" s="9">
        <v>42683</v>
      </c>
      <c r="D510" t="s">
        <v>174</v>
      </c>
      <c r="E510" t="s">
        <v>167</v>
      </c>
      <c r="F510" t="s">
        <v>541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55000000000000004">
      <c r="A511" t="s">
        <v>360</v>
      </c>
      <c r="B511" t="s">
        <v>361</v>
      </c>
      <c r="C511" s="9">
        <v>42329</v>
      </c>
      <c r="D511" t="s">
        <v>174</v>
      </c>
      <c r="E511" t="s">
        <v>170</v>
      </c>
      <c r="F511" t="s">
        <v>541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55000000000000004">
      <c r="A512" t="s">
        <v>362</v>
      </c>
      <c r="B512" t="s">
        <v>363</v>
      </c>
      <c r="C512" s="9">
        <v>42553</v>
      </c>
      <c r="D512" t="s">
        <v>166</v>
      </c>
      <c r="E512" t="s">
        <v>167</v>
      </c>
      <c r="F512" t="s">
        <v>541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55000000000000004">
      <c r="A513" t="s">
        <v>364</v>
      </c>
      <c r="B513" t="s">
        <v>365</v>
      </c>
      <c r="C513" s="9">
        <v>43359</v>
      </c>
      <c r="D513" t="s">
        <v>166</v>
      </c>
      <c r="E513" t="s">
        <v>167</v>
      </c>
      <c r="F513" t="s">
        <v>541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55000000000000004">
      <c r="A514" t="s">
        <v>366</v>
      </c>
      <c r="B514" t="s">
        <v>367</v>
      </c>
      <c r="C514" s="9">
        <v>43879</v>
      </c>
      <c r="D514" t="s">
        <v>174</v>
      </c>
      <c r="E514" t="s">
        <v>175</v>
      </c>
      <c r="F514" t="s">
        <v>541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55000000000000004">
      <c r="A515" t="s">
        <v>368</v>
      </c>
      <c r="B515" t="s">
        <v>369</v>
      </c>
      <c r="C515" s="9">
        <v>44018</v>
      </c>
      <c r="D515" t="s">
        <v>166</v>
      </c>
      <c r="E515" t="s">
        <v>170</v>
      </c>
      <c r="F515" t="s">
        <v>541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55000000000000004">
      <c r="A516" t="s">
        <v>370</v>
      </c>
      <c r="B516" t="s">
        <v>371</v>
      </c>
      <c r="C516" s="9">
        <v>44056</v>
      </c>
      <c r="D516" t="s">
        <v>174</v>
      </c>
      <c r="E516" t="s">
        <v>175</v>
      </c>
      <c r="F516" t="s">
        <v>541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55000000000000004">
      <c r="A517" t="s">
        <v>372</v>
      </c>
      <c r="B517" t="s">
        <v>373</v>
      </c>
      <c r="C517" s="9">
        <v>42962</v>
      </c>
      <c r="D517" t="s">
        <v>174</v>
      </c>
      <c r="E517" t="s">
        <v>170</v>
      </c>
      <c r="F517" t="s">
        <v>541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55000000000000004">
      <c r="A518" t="s">
        <v>374</v>
      </c>
      <c r="B518" t="s">
        <v>375</v>
      </c>
      <c r="C518" s="9">
        <v>43538</v>
      </c>
      <c r="D518" t="s">
        <v>174</v>
      </c>
      <c r="E518" t="s">
        <v>167</v>
      </c>
      <c r="F518" t="s">
        <v>541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55000000000000004">
      <c r="A519" t="s">
        <v>376</v>
      </c>
      <c r="B519" t="s">
        <v>377</v>
      </c>
      <c r="C519" s="9">
        <v>42005</v>
      </c>
      <c r="D519" t="s">
        <v>166</v>
      </c>
      <c r="E519" t="s">
        <v>170</v>
      </c>
      <c r="F519" t="s">
        <v>541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55000000000000004">
      <c r="A520" t="s">
        <v>378</v>
      </c>
      <c r="B520" t="s">
        <v>379</v>
      </c>
      <c r="C520" s="9">
        <v>42093</v>
      </c>
      <c r="D520" t="s">
        <v>174</v>
      </c>
      <c r="E520" t="s">
        <v>175</v>
      </c>
      <c r="F520" t="s">
        <v>541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55000000000000004">
      <c r="A521" t="s">
        <v>380</v>
      </c>
      <c r="B521" t="s">
        <v>381</v>
      </c>
      <c r="C521" s="9">
        <v>42182</v>
      </c>
      <c r="D521" t="s">
        <v>166</v>
      </c>
      <c r="E521" t="s">
        <v>167</v>
      </c>
      <c r="F521" t="s">
        <v>541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55000000000000004">
      <c r="A522" t="s">
        <v>382</v>
      </c>
      <c r="B522" t="s">
        <v>383</v>
      </c>
      <c r="C522" s="9">
        <v>43955</v>
      </c>
      <c r="D522" t="s">
        <v>166</v>
      </c>
      <c r="E522" t="s">
        <v>167</v>
      </c>
      <c r="F522" t="s">
        <v>541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55000000000000004">
      <c r="A523" t="s">
        <v>384</v>
      </c>
      <c r="B523" t="s">
        <v>385</v>
      </c>
      <c r="C523" s="9">
        <v>43309</v>
      </c>
      <c r="D523" t="s">
        <v>174</v>
      </c>
      <c r="E523" t="s">
        <v>170</v>
      </c>
      <c r="F523" t="s">
        <v>541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55000000000000004">
      <c r="A524" t="s">
        <v>386</v>
      </c>
      <c r="B524" t="s">
        <v>387</v>
      </c>
      <c r="C524" s="9">
        <v>44005</v>
      </c>
      <c r="D524" t="s">
        <v>166</v>
      </c>
      <c r="E524" t="s">
        <v>175</v>
      </c>
      <c r="F524" t="s">
        <v>541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55000000000000004">
      <c r="A525" t="s">
        <v>388</v>
      </c>
      <c r="B525" t="s">
        <v>389</v>
      </c>
      <c r="C525" s="9">
        <v>42540</v>
      </c>
      <c r="D525" t="s">
        <v>166</v>
      </c>
      <c r="E525" t="s">
        <v>170</v>
      </c>
      <c r="F525" t="s">
        <v>541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55000000000000004">
      <c r="A526" t="s">
        <v>390</v>
      </c>
      <c r="B526" t="s">
        <v>391</v>
      </c>
      <c r="C526" s="9">
        <v>42758</v>
      </c>
      <c r="D526" t="s">
        <v>174</v>
      </c>
      <c r="E526" t="s">
        <v>175</v>
      </c>
      <c r="F526" t="s">
        <v>541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55000000000000004">
      <c r="A527" t="s">
        <v>384</v>
      </c>
      <c r="B527" t="s">
        <v>392</v>
      </c>
      <c r="C527" s="9">
        <v>43339</v>
      </c>
      <c r="D527" t="s">
        <v>166</v>
      </c>
      <c r="E527" t="s">
        <v>170</v>
      </c>
      <c r="F527" t="s">
        <v>541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55000000000000004">
      <c r="A528" t="s">
        <v>393</v>
      </c>
      <c r="B528" t="s">
        <v>394</v>
      </c>
      <c r="C528" s="9">
        <v>42514</v>
      </c>
      <c r="D528" t="s">
        <v>174</v>
      </c>
      <c r="E528" t="s">
        <v>167</v>
      </c>
      <c r="F528" t="s">
        <v>541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55000000000000004">
      <c r="A529" t="s">
        <v>395</v>
      </c>
      <c r="B529" t="s">
        <v>396</v>
      </c>
      <c r="C529" s="9">
        <v>43058</v>
      </c>
      <c r="D529" t="s">
        <v>174</v>
      </c>
      <c r="E529" t="s">
        <v>167</v>
      </c>
      <c r="F529" t="s">
        <v>541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55000000000000004">
      <c r="A530" t="s">
        <v>397</v>
      </c>
      <c r="B530" t="s">
        <v>398</v>
      </c>
      <c r="C530" s="9">
        <v>42690</v>
      </c>
      <c r="D530" t="s">
        <v>174</v>
      </c>
      <c r="E530" t="s">
        <v>175</v>
      </c>
      <c r="F530" t="s">
        <v>541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55000000000000004">
      <c r="A531" t="s">
        <v>399</v>
      </c>
      <c r="B531" t="s">
        <v>400</v>
      </c>
      <c r="C531" s="9">
        <v>43307</v>
      </c>
      <c r="D531" t="s">
        <v>166</v>
      </c>
      <c r="E531" t="s">
        <v>170</v>
      </c>
      <c r="F531" t="s">
        <v>541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55000000000000004">
      <c r="A532" t="s">
        <v>401</v>
      </c>
      <c r="B532" t="s">
        <v>402</v>
      </c>
      <c r="C532" s="9">
        <v>42368</v>
      </c>
      <c r="D532" t="s">
        <v>174</v>
      </c>
      <c r="E532" t="s">
        <v>175</v>
      </c>
      <c r="F532" t="s">
        <v>541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55000000000000004">
      <c r="A533" t="s">
        <v>403</v>
      </c>
      <c r="B533" t="s">
        <v>404</v>
      </c>
      <c r="C533" s="9">
        <v>43666</v>
      </c>
      <c r="D533" t="s">
        <v>174</v>
      </c>
      <c r="E533" t="s">
        <v>167</v>
      </c>
      <c r="F533" t="s">
        <v>541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55000000000000004">
      <c r="A534" t="s">
        <v>405</v>
      </c>
      <c r="B534" t="s">
        <v>406</v>
      </c>
      <c r="C534" s="9">
        <v>42369</v>
      </c>
      <c r="D534" t="s">
        <v>166</v>
      </c>
      <c r="E534" t="s">
        <v>170</v>
      </c>
      <c r="F534" t="s">
        <v>541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55000000000000004">
      <c r="A535" t="s">
        <v>407</v>
      </c>
      <c r="B535" t="s">
        <v>408</v>
      </c>
      <c r="C535" s="9">
        <v>43639</v>
      </c>
      <c r="D535" t="s">
        <v>166</v>
      </c>
      <c r="E535" t="s">
        <v>175</v>
      </c>
      <c r="F535" t="s">
        <v>541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55000000000000004">
      <c r="A536" t="s">
        <v>409</v>
      </c>
      <c r="B536" t="s">
        <v>410</v>
      </c>
      <c r="C536" s="9">
        <v>42269</v>
      </c>
      <c r="D536" t="s">
        <v>166</v>
      </c>
      <c r="E536" t="s">
        <v>175</v>
      </c>
      <c r="F536" t="s">
        <v>541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55000000000000004">
      <c r="A537" t="s">
        <v>411</v>
      </c>
      <c r="B537" t="s">
        <v>412</v>
      </c>
      <c r="C537" s="9">
        <v>43429</v>
      </c>
      <c r="D537" t="s">
        <v>174</v>
      </c>
      <c r="E537" t="s">
        <v>175</v>
      </c>
      <c r="F537" t="s">
        <v>541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55000000000000004">
      <c r="A538" t="s">
        <v>413</v>
      </c>
      <c r="B538" t="s">
        <v>414</v>
      </c>
      <c r="C538" s="9">
        <v>43883</v>
      </c>
      <c r="D538" t="s">
        <v>174</v>
      </c>
      <c r="E538" t="s">
        <v>170</v>
      </c>
      <c r="F538" t="s">
        <v>541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55000000000000004">
      <c r="A539" t="s">
        <v>415</v>
      </c>
      <c r="B539" t="s">
        <v>416</v>
      </c>
      <c r="C539" s="9">
        <v>42999</v>
      </c>
      <c r="D539" t="s">
        <v>166</v>
      </c>
      <c r="E539" t="s">
        <v>175</v>
      </c>
      <c r="F539" t="s">
        <v>541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55000000000000004">
      <c r="A540" t="s">
        <v>417</v>
      </c>
      <c r="B540" t="s">
        <v>418</v>
      </c>
      <c r="C540" s="9">
        <v>43479</v>
      </c>
      <c r="D540" t="s">
        <v>174</v>
      </c>
      <c r="E540" t="s">
        <v>175</v>
      </c>
      <c r="F540" t="s">
        <v>541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55000000000000004">
      <c r="A541" t="s">
        <v>419</v>
      </c>
      <c r="B541" t="s">
        <v>420</v>
      </c>
      <c r="C541" s="9">
        <v>42654</v>
      </c>
      <c r="D541" t="s">
        <v>166</v>
      </c>
      <c r="E541" t="s">
        <v>167</v>
      </c>
      <c r="F541" t="s">
        <v>541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55000000000000004">
      <c r="A542" t="s">
        <v>421</v>
      </c>
      <c r="B542" t="s">
        <v>422</v>
      </c>
      <c r="C542" s="9">
        <v>42315</v>
      </c>
      <c r="D542" t="s">
        <v>166</v>
      </c>
      <c r="E542" t="s">
        <v>175</v>
      </c>
      <c r="F542" t="s">
        <v>541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55000000000000004">
      <c r="A543" t="s">
        <v>423</v>
      </c>
      <c r="B543" t="s">
        <v>424</v>
      </c>
      <c r="C543" s="9">
        <v>44029</v>
      </c>
      <c r="D543" t="s">
        <v>166</v>
      </c>
      <c r="E543" t="s">
        <v>175</v>
      </c>
      <c r="F543" t="s">
        <v>541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55000000000000004">
      <c r="A544" t="s">
        <v>425</v>
      </c>
      <c r="B544" t="s">
        <v>426</v>
      </c>
      <c r="C544" s="9">
        <v>43260</v>
      </c>
      <c r="D544" t="s">
        <v>174</v>
      </c>
      <c r="E544" t="s">
        <v>167</v>
      </c>
      <c r="F544" t="s">
        <v>541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55000000000000004">
      <c r="A545" t="s">
        <v>427</v>
      </c>
      <c r="B545" t="s">
        <v>428</v>
      </c>
      <c r="C545" s="9">
        <v>43715</v>
      </c>
      <c r="D545" t="s">
        <v>174</v>
      </c>
      <c r="E545" t="s">
        <v>170</v>
      </c>
      <c r="F545" t="s">
        <v>541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55000000000000004">
      <c r="A546" t="s">
        <v>429</v>
      </c>
      <c r="B546" t="s">
        <v>430</v>
      </c>
      <c r="C546" s="9">
        <v>42423</v>
      </c>
      <c r="D546" t="s">
        <v>174</v>
      </c>
      <c r="E546" t="s">
        <v>175</v>
      </c>
      <c r="F546" t="s">
        <v>541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55000000000000004">
      <c r="A547" t="s">
        <v>431</v>
      </c>
      <c r="B547" t="s">
        <v>432</v>
      </c>
      <c r="C547" s="9">
        <v>43472</v>
      </c>
      <c r="D547" t="s">
        <v>166</v>
      </c>
      <c r="E547" t="s">
        <v>167</v>
      </c>
      <c r="F547" t="s">
        <v>541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55000000000000004">
      <c r="A548" t="s">
        <v>433</v>
      </c>
      <c r="B548" t="s">
        <v>434</v>
      </c>
      <c r="C548" s="9">
        <v>43828</v>
      </c>
      <c r="D548" t="s">
        <v>174</v>
      </c>
      <c r="E548" t="s">
        <v>175</v>
      </c>
      <c r="F548" t="s">
        <v>541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55000000000000004">
      <c r="A549" t="s">
        <v>435</v>
      </c>
      <c r="B549" t="s">
        <v>436</v>
      </c>
      <c r="C549" s="9">
        <v>44021</v>
      </c>
      <c r="D549" t="s">
        <v>166</v>
      </c>
      <c r="E549" t="s">
        <v>175</v>
      </c>
      <c r="F549" t="s">
        <v>541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55000000000000004">
      <c r="A550" t="s">
        <v>437</v>
      </c>
      <c r="B550" t="s">
        <v>438</v>
      </c>
      <c r="C550" s="9">
        <v>43224</v>
      </c>
      <c r="D550" t="s">
        <v>174</v>
      </c>
      <c r="E550" t="s">
        <v>175</v>
      </c>
      <c r="F550" t="s">
        <v>541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55000000000000004">
      <c r="A551" t="s">
        <v>439</v>
      </c>
      <c r="B551" t="s">
        <v>440</v>
      </c>
      <c r="C551" s="9">
        <v>43376</v>
      </c>
      <c r="D551" t="s">
        <v>174</v>
      </c>
      <c r="E551" t="s">
        <v>175</v>
      </c>
      <c r="F551" t="s">
        <v>541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55000000000000004">
      <c r="A552" t="s">
        <v>441</v>
      </c>
      <c r="B552" t="s">
        <v>442</v>
      </c>
      <c r="C552" s="9">
        <v>42831</v>
      </c>
      <c r="D552" t="s">
        <v>174</v>
      </c>
      <c r="E552" t="s">
        <v>175</v>
      </c>
      <c r="F552" t="s">
        <v>541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55000000000000004">
      <c r="A553" t="s">
        <v>443</v>
      </c>
      <c r="B553" t="s">
        <v>444</v>
      </c>
      <c r="C553" s="9">
        <v>44108</v>
      </c>
      <c r="D553" t="s">
        <v>166</v>
      </c>
      <c r="E553" t="s">
        <v>167</v>
      </c>
      <c r="F553" t="s">
        <v>541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55000000000000004">
      <c r="A554" t="s">
        <v>445</v>
      </c>
      <c r="B554" t="s">
        <v>446</v>
      </c>
      <c r="C554" s="9">
        <v>42964</v>
      </c>
      <c r="D554" t="s">
        <v>166</v>
      </c>
      <c r="E554" t="s">
        <v>170</v>
      </c>
      <c r="F554" t="s">
        <v>541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55000000000000004">
      <c r="A555" t="s">
        <v>447</v>
      </c>
      <c r="B555" t="s">
        <v>448</v>
      </c>
      <c r="C555" s="9">
        <v>43429</v>
      </c>
      <c r="D555" t="s">
        <v>166</v>
      </c>
      <c r="E555" t="s">
        <v>170</v>
      </c>
      <c r="F555" t="s">
        <v>541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55000000000000004">
      <c r="A556" t="s">
        <v>449</v>
      </c>
      <c r="B556" t="s">
        <v>450</v>
      </c>
      <c r="C556" s="9">
        <v>43203</v>
      </c>
      <c r="D556" t="s">
        <v>166</v>
      </c>
      <c r="E556" t="s">
        <v>170</v>
      </c>
      <c r="F556" t="s">
        <v>541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55000000000000004">
      <c r="A557" t="s">
        <v>451</v>
      </c>
      <c r="B557" t="s">
        <v>452</v>
      </c>
      <c r="C557" s="9">
        <v>44139</v>
      </c>
      <c r="D557" t="s">
        <v>174</v>
      </c>
      <c r="E557" t="s">
        <v>175</v>
      </c>
      <c r="F557" t="s">
        <v>541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55000000000000004">
      <c r="A558" t="s">
        <v>453</v>
      </c>
      <c r="B558" t="s">
        <v>454</v>
      </c>
      <c r="C558" s="9">
        <v>42213</v>
      </c>
      <c r="D558" t="s">
        <v>166</v>
      </c>
      <c r="E558" t="s">
        <v>170</v>
      </c>
      <c r="F558" t="s">
        <v>541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55000000000000004">
      <c r="A559" t="s">
        <v>455</v>
      </c>
      <c r="B559" t="s">
        <v>456</v>
      </c>
      <c r="C559" s="9">
        <v>43331</v>
      </c>
      <c r="D559" t="s">
        <v>166</v>
      </c>
      <c r="E559" t="s">
        <v>170</v>
      </c>
      <c r="F559" t="s">
        <v>541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55000000000000004">
      <c r="A560" t="s">
        <v>457</v>
      </c>
      <c r="B560" t="s">
        <v>458</v>
      </c>
      <c r="C560" s="9">
        <v>43767</v>
      </c>
      <c r="D560" t="s">
        <v>174</v>
      </c>
      <c r="E560" t="s">
        <v>167</v>
      </c>
      <c r="F560" t="s">
        <v>541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55000000000000004">
      <c r="A561" t="s">
        <v>459</v>
      </c>
      <c r="B561" t="s">
        <v>460</v>
      </c>
      <c r="C561" s="9">
        <v>42380</v>
      </c>
      <c r="D561" t="s">
        <v>166</v>
      </c>
      <c r="E561" t="s">
        <v>167</v>
      </c>
      <c r="F561" t="s">
        <v>541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55000000000000004">
      <c r="A562" t="s">
        <v>461</v>
      </c>
      <c r="B562" t="s">
        <v>462</v>
      </c>
      <c r="C562" s="9">
        <v>42091</v>
      </c>
      <c r="D562" t="s">
        <v>166</v>
      </c>
      <c r="E562" t="s">
        <v>170</v>
      </c>
      <c r="F562" t="s">
        <v>541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55000000000000004">
      <c r="A563" t="s">
        <v>463</v>
      </c>
      <c r="B563" t="s">
        <v>464</v>
      </c>
      <c r="C563" s="9">
        <v>43035</v>
      </c>
      <c r="D563" t="s">
        <v>166</v>
      </c>
      <c r="E563" t="s">
        <v>170</v>
      </c>
      <c r="F563" t="s">
        <v>541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55000000000000004">
      <c r="A564" t="s">
        <v>465</v>
      </c>
      <c r="B564" t="s">
        <v>466</v>
      </c>
      <c r="C564" s="9">
        <v>42968</v>
      </c>
      <c r="D564" t="s">
        <v>166</v>
      </c>
      <c r="E564" t="s">
        <v>175</v>
      </c>
      <c r="F564" t="s">
        <v>541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55000000000000004">
      <c r="A565" t="s">
        <v>467</v>
      </c>
      <c r="B565" t="s">
        <v>468</v>
      </c>
      <c r="C565" s="9">
        <v>42183</v>
      </c>
      <c r="D565" t="s">
        <v>166</v>
      </c>
      <c r="E565" t="s">
        <v>167</v>
      </c>
      <c r="F565" t="s">
        <v>541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55000000000000004">
      <c r="A566" t="s">
        <v>469</v>
      </c>
      <c r="B566" t="s">
        <v>470</v>
      </c>
      <c r="C566" s="9">
        <v>43346</v>
      </c>
      <c r="D566" t="s">
        <v>174</v>
      </c>
      <c r="E566" t="s">
        <v>175</v>
      </c>
      <c r="F566" t="s">
        <v>541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55000000000000004">
      <c r="A567" t="s">
        <v>471</v>
      </c>
      <c r="B567" t="s">
        <v>472</v>
      </c>
      <c r="C567" s="9">
        <v>42331</v>
      </c>
      <c r="D567" t="s">
        <v>166</v>
      </c>
      <c r="E567" t="s">
        <v>175</v>
      </c>
      <c r="F567" t="s">
        <v>541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55000000000000004">
      <c r="A568" t="s">
        <v>473</v>
      </c>
      <c r="B568" t="s">
        <v>474</v>
      </c>
      <c r="C568" s="9">
        <v>43971</v>
      </c>
      <c r="D568" t="s">
        <v>174</v>
      </c>
      <c r="E568" t="s">
        <v>175</v>
      </c>
      <c r="F568" t="s">
        <v>541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55000000000000004">
      <c r="A569" t="s">
        <v>475</v>
      </c>
      <c r="B569" t="s">
        <v>476</v>
      </c>
      <c r="C569" s="9">
        <v>43949</v>
      </c>
      <c r="D569" t="s">
        <v>174</v>
      </c>
      <c r="E569" t="s">
        <v>170</v>
      </c>
      <c r="F569" t="s">
        <v>541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55000000000000004">
      <c r="A570" t="s">
        <v>477</v>
      </c>
      <c r="B570" t="s">
        <v>478</v>
      </c>
      <c r="C570" s="9">
        <v>43345</v>
      </c>
      <c r="D570" t="s">
        <v>166</v>
      </c>
      <c r="E570" t="s">
        <v>175</v>
      </c>
      <c r="F570" t="s">
        <v>541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55000000000000004">
      <c r="A571" t="s">
        <v>479</v>
      </c>
      <c r="B571" t="s">
        <v>480</v>
      </c>
      <c r="C571" s="9">
        <v>42419</v>
      </c>
      <c r="D571" t="s">
        <v>174</v>
      </c>
      <c r="E571" t="s">
        <v>175</v>
      </c>
      <c r="F571" t="s">
        <v>541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55000000000000004">
      <c r="A572" t="s">
        <v>481</v>
      </c>
      <c r="B572" t="s">
        <v>482</v>
      </c>
      <c r="C572" s="9">
        <v>42458</v>
      </c>
      <c r="D572" t="s">
        <v>174</v>
      </c>
      <c r="E572" t="s">
        <v>175</v>
      </c>
      <c r="F572" t="s">
        <v>541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55000000000000004">
      <c r="A573" t="s">
        <v>483</v>
      </c>
      <c r="B573" t="s">
        <v>484</v>
      </c>
      <c r="C573" s="9">
        <v>43329</v>
      </c>
      <c r="D573" t="s">
        <v>166</v>
      </c>
      <c r="E573" t="s">
        <v>175</v>
      </c>
      <c r="F573" t="s">
        <v>541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55000000000000004">
      <c r="A574" t="s">
        <v>485</v>
      </c>
      <c r="B574" t="s">
        <v>486</v>
      </c>
      <c r="C574" s="9">
        <v>43469</v>
      </c>
      <c r="D574" t="s">
        <v>174</v>
      </c>
      <c r="E574" t="s">
        <v>167</v>
      </c>
      <c r="F574" t="s">
        <v>541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55000000000000004">
      <c r="A575" t="s">
        <v>487</v>
      </c>
      <c r="B575" t="s">
        <v>488</v>
      </c>
      <c r="C575" s="9">
        <v>43636</v>
      </c>
      <c r="D575" t="s">
        <v>166</v>
      </c>
      <c r="E575" t="s">
        <v>175</v>
      </c>
      <c r="F575" t="s">
        <v>541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55000000000000004">
      <c r="A576" t="s">
        <v>489</v>
      </c>
      <c r="B576" t="s">
        <v>490</v>
      </c>
      <c r="C576" s="9">
        <v>38243</v>
      </c>
      <c r="D576" t="s">
        <v>166</v>
      </c>
      <c r="E576" t="s">
        <v>167</v>
      </c>
      <c r="F576" t="s">
        <v>541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55000000000000004">
      <c r="A577" t="s">
        <v>491</v>
      </c>
      <c r="B577" t="s">
        <v>492</v>
      </c>
      <c r="C577" s="9">
        <v>43140</v>
      </c>
      <c r="D577" t="s">
        <v>166</v>
      </c>
      <c r="E577" t="s">
        <v>175</v>
      </c>
      <c r="F577" t="s">
        <v>541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55000000000000004">
      <c r="A578" t="s">
        <v>481</v>
      </c>
      <c r="B578" t="s">
        <v>493</v>
      </c>
      <c r="C578" s="9">
        <v>42642</v>
      </c>
      <c r="D578" t="s">
        <v>174</v>
      </c>
      <c r="E578" t="s">
        <v>167</v>
      </c>
      <c r="F578" t="s">
        <v>541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55000000000000004">
      <c r="A579" t="s">
        <v>494</v>
      </c>
      <c r="B579" t="s">
        <v>495</v>
      </c>
      <c r="C579" s="9">
        <v>43020</v>
      </c>
      <c r="D579" t="s">
        <v>174</v>
      </c>
      <c r="E579" t="s">
        <v>170</v>
      </c>
      <c r="F579" t="s">
        <v>541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55000000000000004">
      <c r="A580" t="s">
        <v>496</v>
      </c>
      <c r="B580" t="s">
        <v>497</v>
      </c>
      <c r="C580" s="9">
        <v>42235</v>
      </c>
      <c r="D580" t="s">
        <v>166</v>
      </c>
      <c r="E580" t="s">
        <v>170</v>
      </c>
      <c r="F580" t="s">
        <v>541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55000000000000004">
      <c r="A581" t="s">
        <v>498</v>
      </c>
      <c r="B581" t="s">
        <v>499</v>
      </c>
      <c r="C581" s="9">
        <v>42217</v>
      </c>
      <c r="D581" t="s">
        <v>166</v>
      </c>
      <c r="E581" t="s">
        <v>170</v>
      </c>
      <c r="F581" t="s">
        <v>541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55000000000000004">
      <c r="A582" t="s">
        <v>500</v>
      </c>
      <c r="B582" t="s">
        <v>501</v>
      </c>
      <c r="C582" s="9">
        <v>42728</v>
      </c>
      <c r="D582" t="s">
        <v>166</v>
      </c>
      <c r="E582" t="s">
        <v>175</v>
      </c>
      <c r="F582" t="s">
        <v>541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55000000000000004">
      <c r="A583" t="s">
        <v>502</v>
      </c>
      <c r="B583" t="s">
        <v>503</v>
      </c>
      <c r="C583" s="9">
        <v>42908</v>
      </c>
      <c r="D583" t="s">
        <v>174</v>
      </c>
      <c r="E583" t="s">
        <v>175</v>
      </c>
      <c r="F583" t="s">
        <v>541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55000000000000004">
      <c r="A584" t="s">
        <v>504</v>
      </c>
      <c r="B584" t="s">
        <v>505</v>
      </c>
      <c r="C584" s="9">
        <v>43503</v>
      </c>
      <c r="D584" t="s">
        <v>174</v>
      </c>
      <c r="E584" t="s">
        <v>167</v>
      </c>
      <c r="F584" t="s">
        <v>541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55000000000000004">
      <c r="A585" t="s">
        <v>506</v>
      </c>
      <c r="B585" t="s">
        <v>507</v>
      </c>
      <c r="C585" s="9">
        <v>42614</v>
      </c>
      <c r="D585" t="s">
        <v>174</v>
      </c>
      <c r="E585" t="s">
        <v>175</v>
      </c>
      <c r="F585" t="s">
        <v>541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55000000000000004">
      <c r="A586" t="s">
        <v>508</v>
      </c>
      <c r="B586" t="s">
        <v>509</v>
      </c>
      <c r="C586" s="9">
        <v>43874</v>
      </c>
      <c r="D586" t="s">
        <v>166</v>
      </c>
      <c r="E586" t="s">
        <v>167</v>
      </c>
      <c r="F586" t="s">
        <v>541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55000000000000004">
      <c r="A587" t="s">
        <v>510</v>
      </c>
      <c r="B587" t="s">
        <v>511</v>
      </c>
      <c r="C587" s="9">
        <v>44148</v>
      </c>
      <c r="D587" t="s">
        <v>174</v>
      </c>
      <c r="E587" t="s">
        <v>170</v>
      </c>
      <c r="F587" t="s">
        <v>541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55000000000000004">
      <c r="A588" t="s">
        <v>512</v>
      </c>
      <c r="B588" t="s">
        <v>513</v>
      </c>
      <c r="C588" s="9">
        <v>42254</v>
      </c>
      <c r="D588" t="s">
        <v>166</v>
      </c>
      <c r="E588" t="s">
        <v>175</v>
      </c>
      <c r="F588" t="s">
        <v>541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55000000000000004">
      <c r="A589" t="s">
        <v>514</v>
      </c>
      <c r="B589" t="s">
        <v>515</v>
      </c>
      <c r="C589" s="9">
        <v>42229</v>
      </c>
      <c r="D589" t="s">
        <v>166</v>
      </c>
      <c r="E589" t="s">
        <v>175</v>
      </c>
      <c r="F589" t="s">
        <v>541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55000000000000004">
      <c r="A590" t="s">
        <v>516</v>
      </c>
      <c r="B590" t="s">
        <v>517</v>
      </c>
      <c r="C590" s="9">
        <v>43074</v>
      </c>
      <c r="D590" t="s">
        <v>174</v>
      </c>
      <c r="E590" t="s">
        <v>170</v>
      </c>
      <c r="F590" t="s">
        <v>541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55000000000000004">
      <c r="A591" t="s">
        <v>518</v>
      </c>
      <c r="B591" t="s">
        <v>519</v>
      </c>
      <c r="C591" s="9">
        <v>43492</v>
      </c>
      <c r="D591" t="s">
        <v>174</v>
      </c>
      <c r="E591" t="s">
        <v>175</v>
      </c>
      <c r="F591" t="s">
        <v>541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55000000000000004">
      <c r="A592" t="s">
        <v>520</v>
      </c>
      <c r="B592" t="s">
        <v>521</v>
      </c>
      <c r="C592" s="9">
        <v>42648</v>
      </c>
      <c r="D592" t="s">
        <v>174</v>
      </c>
      <c r="E592" t="s">
        <v>175</v>
      </c>
      <c r="F592" t="s">
        <v>541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55000000000000004">
      <c r="A593" t="s">
        <v>522</v>
      </c>
      <c r="B593" t="s">
        <v>523</v>
      </c>
      <c r="C593" s="9">
        <v>42048</v>
      </c>
      <c r="D593" t="s">
        <v>166</v>
      </c>
      <c r="E593" t="s">
        <v>167</v>
      </c>
      <c r="F593" t="s">
        <v>541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55000000000000004">
      <c r="A594" t="s">
        <v>524</v>
      </c>
      <c r="B594" t="s">
        <v>525</v>
      </c>
      <c r="C594" s="9">
        <v>43155</v>
      </c>
      <c r="D594" t="s">
        <v>174</v>
      </c>
      <c r="E594" t="s">
        <v>167</v>
      </c>
      <c r="F594" t="s">
        <v>541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55000000000000004">
      <c r="A595" t="s">
        <v>526</v>
      </c>
      <c r="B595" t="s">
        <v>527</v>
      </c>
      <c r="C595" s="9">
        <v>43041</v>
      </c>
      <c r="D595" t="s">
        <v>174</v>
      </c>
      <c r="E595" t="s">
        <v>175</v>
      </c>
      <c r="F595" t="s">
        <v>541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55000000000000004">
      <c r="A596" t="s">
        <v>528</v>
      </c>
      <c r="B596" t="s">
        <v>529</v>
      </c>
      <c r="C596" s="9">
        <v>42412</v>
      </c>
      <c r="D596" t="s">
        <v>166</v>
      </c>
      <c r="E596" t="s">
        <v>175</v>
      </c>
      <c r="F596" t="s">
        <v>541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55000000000000004">
      <c r="A597" t="s">
        <v>530</v>
      </c>
      <c r="B597" t="s">
        <v>531</v>
      </c>
      <c r="C597" s="9">
        <v>44010</v>
      </c>
      <c r="D597" t="s">
        <v>174</v>
      </c>
      <c r="E597" t="s">
        <v>170</v>
      </c>
      <c r="F597" t="s">
        <v>541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55000000000000004">
      <c r="A598" t="s">
        <v>532</v>
      </c>
      <c r="B598" t="s">
        <v>533</v>
      </c>
      <c r="C598" s="9">
        <v>44131</v>
      </c>
      <c r="D598" t="s">
        <v>174</v>
      </c>
      <c r="E598" t="s">
        <v>170</v>
      </c>
      <c r="F598" t="s">
        <v>541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55000000000000004">
      <c r="A599" t="s">
        <v>534</v>
      </c>
      <c r="B599" t="s">
        <v>535</v>
      </c>
      <c r="C599" s="9">
        <v>42869</v>
      </c>
      <c r="D599" t="s">
        <v>166</v>
      </c>
      <c r="E599" t="s">
        <v>175</v>
      </c>
      <c r="F599" t="s">
        <v>541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55000000000000004">
      <c r="A600" t="s">
        <v>536</v>
      </c>
      <c r="B600" t="s">
        <v>537</v>
      </c>
      <c r="C600" s="9">
        <v>42923</v>
      </c>
      <c r="D600" t="s">
        <v>166</v>
      </c>
      <c r="E600" t="s">
        <v>175</v>
      </c>
      <c r="F600" t="s">
        <v>541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55000000000000004">
      <c r="A601" t="s">
        <v>538</v>
      </c>
      <c r="B601" t="s">
        <v>539</v>
      </c>
      <c r="C601" s="9">
        <v>43312</v>
      </c>
      <c r="D601" t="s">
        <v>174</v>
      </c>
      <c r="E601" t="s">
        <v>167</v>
      </c>
      <c r="F601" t="s">
        <v>541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44BD-CADF-4380-8621-47F6CB43D3D7}">
  <dimension ref="A2:D201"/>
  <sheetViews>
    <sheetView workbookViewId="0">
      <selection activeCell="D3" sqref="D3"/>
    </sheetView>
  </sheetViews>
  <sheetFormatPr defaultRowHeight="14.4" x14ac:dyDescent="0.55000000000000004"/>
  <cols>
    <col min="1" max="1" width="61.15625" bestFit="1" customWidth="1"/>
  </cols>
  <sheetData>
    <row r="2" spans="1:4" x14ac:dyDescent="0.55000000000000004">
      <c r="A2">
        <f>COUNTA(_xlfn.UNIQUE('1С'!B2:B601))</f>
        <v>200</v>
      </c>
      <c r="D2" t="str" cm="1">
        <f t="array" ref="D2:D201">_xlfn._xlws.SORT(_xlfn.UNIQUE('1С'!B2:B601),1,1)</f>
        <v>«1984» — Джордж Оруэлл</v>
      </c>
    </row>
    <row r="3" spans="1:4" x14ac:dyDescent="0.55000000000000004">
      <c r="D3" t="str">
        <v>«39 ступеней" — Джон Бьюкен</v>
      </c>
    </row>
    <row r="4" spans="1:4" x14ac:dyDescent="0.55000000000000004">
      <c r="D4" t="str">
        <v>«Hi-Fi» — Ник Хорнби</v>
      </c>
    </row>
    <row r="5" spans="1:4" x14ac:dyDescent="0.55000000000000004">
      <c r="D5" t="str">
        <v>«Автостопом по галактике» — Дуглас Адамс</v>
      </c>
    </row>
    <row r="6" spans="1:4" x14ac:dyDescent="0.55000000000000004">
      <c r="D6" t="str">
        <v>«Алиса в Стране чудес» — Льюис Кэрролл</v>
      </c>
    </row>
    <row r="7" spans="1:4" x14ac:dyDescent="0.55000000000000004">
      <c r="D7" t="str">
        <v>«Алхимик» — Пауло Коэльо</v>
      </c>
    </row>
    <row r="8" spans="1:4" x14ac:dyDescent="0.55000000000000004">
      <c r="D8" t="str">
        <v>«Американский психопат» — Брет Истон Эллис</v>
      </c>
    </row>
    <row r="9" spans="1:4" x14ac:dyDescent="0.55000000000000004">
      <c r="D9" t="str">
        <v>«Ангус, ремни и конкретные обжимашки» — Луиз Рэннисон</v>
      </c>
    </row>
    <row r="10" spans="1:4" x14ac:dyDescent="0.55000000000000004">
      <c r="D10" t="str">
        <v>«Анна Каренина» — Лев Толстой</v>
      </c>
    </row>
    <row r="11" spans="1:4" x14ac:dyDescent="0.55000000000000004">
      <c r="D11" t="str">
        <v>«Аня из Зелёных Мезонинов» — Люси Мод Монтгомери</v>
      </c>
    </row>
    <row r="12" spans="1:4" x14ac:dyDescent="0.55000000000000004">
      <c r="D12" t="str">
        <v>«Артемис Фаул» — Йон Колфер</v>
      </c>
    </row>
    <row r="13" spans="1:4" x14ac:dyDescent="0.55000000000000004">
      <c r="D13" t="str">
        <v>«БДВ, или Большой и добрый великан» — Роальд Даль</v>
      </c>
    </row>
    <row r="14" spans="1:4" x14ac:dyDescent="0.55000000000000004">
      <c r="D14" t="str">
        <v>«Белый пик» — Энтони Горовиц</v>
      </c>
    </row>
    <row r="15" spans="1:4" x14ac:dyDescent="0.55000000000000004">
      <c r="D15" t="str">
        <v>«Библия ядовитого леса» — Барбара Кингсолвер</v>
      </c>
    </row>
    <row r="16" spans="1:4" x14ac:dyDescent="0.55000000000000004">
      <c r="D16" t="str">
        <v>«Благие знамения» — Терри Пратчетт и Нил Гейман</v>
      </c>
    </row>
    <row r="17" spans="4:4" x14ac:dyDescent="0.55000000000000004">
      <c r="D17" t="str">
        <v>«Бог мелочей» — Арундати Рой</v>
      </c>
    </row>
    <row r="18" spans="4:4" x14ac:dyDescent="0.55000000000000004">
      <c r="D18" t="str">
        <v>«Божество реки» — Уилбур Смит</v>
      </c>
    </row>
    <row r="19" spans="4:4" x14ac:dyDescent="0.55000000000000004">
      <c r="D19" t="str">
        <v>«Большие надежды» — Чарльз Диккенс</v>
      </c>
    </row>
    <row r="20" spans="4:4" x14ac:dyDescent="0.55000000000000004">
      <c r="D20" t="str">
        <v>«В дороге» — Джек Керуак</v>
      </c>
    </row>
    <row r="21" spans="4:4" x14ac:dyDescent="0.55000000000000004">
      <c r="D21" t="str">
        <v>«В хранилищах музея» — Кейт Аткинсон</v>
      </c>
    </row>
    <row r="22" spans="4:4" x14ac:dyDescent="0.55000000000000004">
      <c r="D22" t="str">
        <v>«Вдали от обезумевшей толпы» — Томас Харди</v>
      </c>
    </row>
    <row r="23" spans="4:4" x14ac:dyDescent="0.55000000000000004">
      <c r="D23" t="str">
        <v>«Ведьмы за границей» — Терри Пратчетт</v>
      </c>
    </row>
    <row r="24" spans="4:4" x14ac:dyDescent="0.55000000000000004">
      <c r="D24" t="str">
        <v>«Ведьмы» — Роальд Даль</v>
      </c>
    </row>
    <row r="25" spans="4:4" x14ac:dyDescent="0.55000000000000004">
      <c r="D25" t="str">
        <v>«Великий Гэтсби» — Фрэнсис Скотт Фицджеральд</v>
      </c>
    </row>
    <row r="26" spans="4:4" x14ac:dyDescent="0.55000000000000004">
      <c r="D26" t="str">
        <v>«Ветер в ивах» — Кеннет Грэм</v>
      </c>
    </row>
    <row r="27" spans="4:4" x14ac:dyDescent="0.55000000000000004">
      <c r="D27" t="str">
        <v>«Вечеринка с ночёвкой» — Жаклин Уилсон</v>
      </c>
    </row>
    <row r="28" spans="4:4" x14ac:dyDescent="0.55000000000000004">
      <c r="D28" t="str">
        <v>«Вещие сестрички» — Терри Пратчетт</v>
      </c>
    </row>
    <row r="29" spans="4:4" x14ac:dyDescent="0.55000000000000004">
      <c r="D29" t="str">
        <v>«Вики-Ангел» — Жаклин Уилсон</v>
      </c>
    </row>
    <row r="30" spans="4:4" x14ac:dyDescent="0.55000000000000004">
      <c r="D30" t="str">
        <v>«Винни Пух» — Алан Александр Милн</v>
      </c>
    </row>
    <row r="31" spans="4:4" x14ac:dyDescent="0.55000000000000004">
      <c r="D31" t="str">
        <v>«Властелин колец» — Джон Р. Р. Толкин</v>
      </c>
    </row>
    <row r="32" spans="4:4" x14ac:dyDescent="0.55000000000000004">
      <c r="D32" t="str">
        <v>«Возвращение в Брайдсхед» — Ивлин Во</v>
      </c>
    </row>
    <row r="33" spans="4:4" x14ac:dyDescent="0.55000000000000004">
      <c r="D33" t="str">
        <v>«Война и мир» — Лев Толстой</v>
      </c>
    </row>
    <row r="34" spans="4:4" x14ac:dyDescent="0.55000000000000004">
      <c r="D34" t="str">
        <v>«Война миров» — Герберт Уэллс</v>
      </c>
    </row>
    <row r="35" spans="4:4" x14ac:dyDescent="0.55000000000000004">
      <c r="D35" t="str">
        <v>«Волхв» — Джон Фаулз</v>
      </c>
    </row>
    <row r="36" spans="4:4" x14ac:dyDescent="0.55000000000000004">
      <c r="D36" t="str">
        <v>«Вор времени» — Терри Пратчетт</v>
      </c>
    </row>
    <row r="37" spans="4:4" x14ac:dyDescent="0.55000000000000004">
      <c r="D37" t="str">
        <v>«Гарри Поттер и Кубок огня» — Джоан Роулинг</v>
      </c>
    </row>
    <row r="38" spans="4:4" x14ac:dyDescent="0.55000000000000004">
      <c r="D38" t="str">
        <v>«Гарри Поттер и Тайная комната» — Джоан Роулинг</v>
      </c>
    </row>
    <row r="39" spans="4:4" x14ac:dyDescent="0.55000000000000004">
      <c r="D39" t="str">
        <v>«Гарри Поттер и узник Азкабана» — Джоан Роулинг</v>
      </c>
    </row>
    <row r="40" spans="4:4" x14ac:dyDescent="0.55000000000000004">
      <c r="D40" t="str">
        <v>«Гарри Поттер и философский камень» — Джоан Роулинг</v>
      </c>
    </row>
    <row r="41" spans="4:4" x14ac:dyDescent="0.55000000000000004">
      <c r="D41" t="str">
        <v>«Гордость и предубеждение» — Джейн Остин</v>
      </c>
    </row>
    <row r="42" spans="4:4" x14ac:dyDescent="0.55000000000000004">
      <c r="D42" t="str">
        <v>«Горменгаст» — Мервин Пик</v>
      </c>
    </row>
    <row r="43" spans="4:4" x14ac:dyDescent="0.55000000000000004">
      <c r="D43" t="str">
        <v>«Город как Элис» — Невил Шют</v>
      </c>
    </row>
    <row r="44" spans="4:4" x14ac:dyDescent="0.55000000000000004">
      <c r="D44" t="str">
        <v>«Граф Монте-Кристо» — Александр Дюма</v>
      </c>
    </row>
    <row r="45" spans="4:4" x14ac:dyDescent="0.55000000000000004">
      <c r="D45" t="str">
        <v>«Гроздья гнева» — Джон Стейнбек</v>
      </c>
    </row>
    <row r="46" spans="4:4" x14ac:dyDescent="0.55000000000000004">
      <c r="D46" t="str">
        <v>«Грозовой перевал» — Эмили Бронте</v>
      </c>
    </row>
    <row r="47" spans="4:4" x14ac:dyDescent="0.55000000000000004">
      <c r="D47" t="str">
        <v>«Громобой» — Энтони Горовиц</v>
      </c>
    </row>
    <row r="48" spans="4:4" x14ac:dyDescent="0.55000000000000004">
      <c r="D48" t="str">
        <v>«Далёкие шатры» — Мэри Маргарет Кей</v>
      </c>
    </row>
    <row r="49" spans="4:4" x14ac:dyDescent="0.55000000000000004">
      <c r="D49" t="str">
        <v>«Далёкое волшебное дерево» — Энид Блайтон</v>
      </c>
    </row>
    <row r="50" spans="4:4" x14ac:dyDescent="0.55000000000000004">
      <c r="D50" t="str">
        <v>«Двойняшки» — Жаклин Уилсон</v>
      </c>
    </row>
    <row r="51" spans="4:4" x14ac:dyDescent="0.55000000000000004">
      <c r="D51" t="str">
        <v>«Девочка-находка» — Жаклин Уилсон</v>
      </c>
    </row>
    <row r="52" spans="4:4" x14ac:dyDescent="0.55000000000000004">
      <c r="D52" t="str">
        <v>«Девчонки в поисках любви» — Жаклин Уилсон</v>
      </c>
    </row>
    <row r="53" spans="4:4" x14ac:dyDescent="0.55000000000000004">
      <c r="D53" t="str">
        <v>«Девчонки в слезах» — Жаклин Уилсон</v>
      </c>
    </row>
    <row r="54" spans="4:4" x14ac:dyDescent="0.55000000000000004">
      <c r="D54" t="str">
        <v>«Девчонки гуляют допоздна» — Жаклин Уилсон</v>
      </c>
    </row>
    <row r="55" spans="4:4" x14ac:dyDescent="0.55000000000000004">
      <c r="D55" t="str">
        <v>«Денни — чемпион мира» — Роальд Даль</v>
      </c>
    </row>
    <row r="56" spans="4:4" x14ac:dyDescent="0.55000000000000004">
      <c r="D56" t="str">
        <v>«День триффидов» — Джон Уиндем</v>
      </c>
    </row>
    <row r="57" spans="4:4" x14ac:dyDescent="0.55000000000000004">
      <c r="D57" t="str">
        <v>«День Шакала» — Фредерик Форсайт</v>
      </c>
    </row>
    <row r="58" spans="4:4" x14ac:dyDescent="0.55000000000000004">
      <c r="D58" t="str">
        <v>«Дети полуночи» — Салман Рушди</v>
      </c>
    </row>
    <row r="59" spans="4:4" x14ac:dyDescent="0.55000000000000004">
      <c r="D59" t="str">
        <v>«Джеймс и гигантский персик» — Роальд Даль</v>
      </c>
    </row>
    <row r="60" spans="4:4" x14ac:dyDescent="0.55000000000000004">
      <c r="D60" t="str">
        <v>«Джейн Эйр» — Шарлотта Бронте</v>
      </c>
    </row>
    <row r="61" spans="4:4" x14ac:dyDescent="0.55000000000000004">
      <c r="D61" t="str">
        <v>«Джуд Незаметный» — Томас Харди</v>
      </c>
    </row>
    <row r="62" spans="4:4" x14ac:dyDescent="0.55000000000000004">
      <c r="D62" t="str">
        <v>«Дитя из чемодана» — Жаклин Уилсон</v>
      </c>
    </row>
    <row r="63" spans="4:4" x14ac:dyDescent="0.55000000000000004">
      <c r="D63" t="str">
        <v>«Дневник Бриджит Джонс» — Хелен Филдинг</v>
      </c>
    </row>
    <row r="64" spans="4:4" x14ac:dyDescent="0.55000000000000004">
      <c r="D64" t="str">
        <v>«Дневник незначительного лица» — Джордж и Уидон Гроссмит</v>
      </c>
    </row>
    <row r="65" spans="4:4" x14ac:dyDescent="0.55000000000000004">
      <c r="D65" t="str">
        <v>«Дневник Трейси Бикер» — Жаклин Уилсон</v>
      </c>
    </row>
    <row r="66" spans="4:4" x14ac:dyDescent="0.55000000000000004">
      <c r="D66" t="str">
        <v>«Дневники принцессы» — Мэг Кэбот</v>
      </c>
    </row>
    <row r="67" spans="4:4" x14ac:dyDescent="0.55000000000000004">
      <c r="D67" t="str">
        <v>«Доводы рассудка» — Джейн Остин</v>
      </c>
    </row>
    <row r="68" spans="4:4" x14ac:dyDescent="0.55000000000000004">
      <c r="D68" t="str">
        <v>«Дом из листьев» — Марк Данилевски</v>
      </c>
    </row>
    <row r="69" spans="4:4" x14ac:dyDescent="0.55000000000000004">
      <c r="D69" t="str">
        <v>«Дракула» — Брэм Стокер</v>
      </c>
    </row>
    <row r="70" spans="4:4" x14ac:dyDescent="0.55000000000000004">
      <c r="D70" t="str">
        <v>«Дэвид Копперфильд» — Чарльз Диккенс</v>
      </c>
    </row>
    <row r="71" spans="4:4" x14ac:dyDescent="0.55000000000000004">
      <c r="D71" t="str">
        <v>«Дюна» — Фрэнк Герберт</v>
      </c>
    </row>
    <row r="72" spans="4:4" x14ac:dyDescent="0.55000000000000004">
      <c r="D72" t="str">
        <v>«Женщина в белом» — Уильям Уилки Коллинз</v>
      </c>
    </row>
    <row r="73" spans="4:4" x14ac:dyDescent="0.55000000000000004">
      <c r="D73" t="str">
        <v>«Жестокое море» — Николас Монсаррат</v>
      </c>
    </row>
    <row r="74" spans="4:4" x14ac:dyDescent="0.55000000000000004">
      <c r="D74" t="str">
        <v>«Заклинатель лошадей» — Николас Эванс</v>
      </c>
    </row>
    <row r="75" spans="4:4" x14ac:dyDescent="0.55000000000000004">
      <c r="D75" t="str">
        <v>«Зелёная миля» — Стивен Кинг</v>
      </c>
    </row>
    <row r="76" spans="4:4" x14ac:dyDescent="0.55000000000000004">
      <c r="D76" t="str">
        <v>«Изумительный мистер Лис» — Роальд Даль</v>
      </c>
    </row>
    <row r="77" spans="4:4" x14ac:dyDescent="0.55000000000000004">
      <c r="D77" t="str">
        <v>«Имя розы» — Умберто Эко</v>
      </c>
    </row>
    <row r="78" spans="4:4" x14ac:dyDescent="0.55000000000000004">
      <c r="D78" t="str">
        <v>«Искупление» — Иэн Макьюэн</v>
      </c>
    </row>
    <row r="79" spans="4:4" x14ac:dyDescent="0.55000000000000004">
      <c r="D79" t="str">
        <v>«К востоку от рая» — Джон Стейнбек</v>
      </c>
    </row>
    <row r="80" spans="4:4" x14ac:dyDescent="0.55000000000000004">
      <c r="D80" t="str">
        <v>«К оружию! К оружию!» — Терри Пратчетт</v>
      </c>
    </row>
    <row r="81" spans="4:4" x14ac:dyDescent="0.55000000000000004">
      <c r="D81" t="str">
        <v>«Каин и Авель» — Джеффри Арчер</v>
      </c>
    </row>
    <row r="82" spans="4:4" x14ac:dyDescent="0.55000000000000004">
      <c r="D82" t="str">
        <v>«Ким» — Редьярд Киплинг</v>
      </c>
    </row>
    <row r="83" spans="4:4" x14ac:dyDescent="0.55000000000000004">
      <c r="D83" t="str">
        <v>«Клан пещерного медведя» — Джин Ауэл</v>
      </c>
    </row>
    <row r="84" spans="4:4" x14ac:dyDescent="0.55000000000000004">
      <c r="D84" t="str">
        <v>«Ключ от всех дверей» — Энтони Горовиц</v>
      </c>
    </row>
    <row r="85" spans="4:4" x14ac:dyDescent="0.55000000000000004">
      <c r="D85" t="str">
        <v>«Корабельные новости» — Энни Пру</v>
      </c>
    </row>
    <row r="86" spans="4:4" x14ac:dyDescent="0.55000000000000004">
      <c r="D86" t="str">
        <v>«Король былого и грядущего» — Теренс Уайт</v>
      </c>
    </row>
    <row r="87" spans="4:4" x14ac:dyDescent="0.55000000000000004">
      <c r="D87" t="str">
        <v>«Крестики-нолики» — Мэлори Блэкмен</v>
      </c>
    </row>
    <row r="88" spans="4:4" x14ac:dyDescent="0.55000000000000004">
      <c r="D88" t="str">
        <v>«Крестный отец» — Марио Пьюзо</v>
      </c>
    </row>
    <row r="89" spans="4:4" x14ac:dyDescent="0.55000000000000004">
      <c r="D89" t="str">
        <v>«Кэтрин» — Аня Сетон</v>
      </c>
    </row>
    <row r="90" spans="4:4" x14ac:dyDescent="0.55000000000000004">
      <c r="D90" t="str">
        <v>«Ласточки и амазонки» — Артур Рэнсом</v>
      </c>
    </row>
    <row r="91" spans="4:4" x14ac:dyDescent="0.55000000000000004">
      <c r="D91" t="str">
        <v>«Лев, колдунья и платяной шкаф» — Клайв Стэйплз Льюис</v>
      </c>
    </row>
    <row r="92" spans="4:4" x14ac:dyDescent="0.55000000000000004">
      <c r="D92" t="str">
        <v>«Лечение Джорджа Марвелуса» — Роальд Даль</v>
      </c>
    </row>
    <row r="93" spans="4:4" x14ac:dyDescent="0.55000000000000004">
      <c r="D93" t="str">
        <v>«Лола Роза» — Жаклин Уилсон</v>
      </c>
    </row>
    <row r="94" spans="4:4" x14ac:dyDescent="0.55000000000000004">
      <c r="D94" t="str">
        <v>«Лолита» — Владимир Набоков</v>
      </c>
    </row>
    <row r="95" spans="4:4" x14ac:dyDescent="0.55000000000000004">
      <c r="D95" t="str">
        <v>«Лорна Дун» — Ричард Блэкмор</v>
      </c>
    </row>
    <row r="96" spans="4:4" x14ac:dyDescent="0.55000000000000004">
      <c r="D96" t="str">
        <v>«Любовь во время холеры» — Габриэль Гарсиа Маркес</v>
      </c>
    </row>
    <row r="97" spans="4:4" x14ac:dyDescent="0.55000000000000004">
      <c r="D97" t="str">
        <v>«Маленькие женщины» — Луиза Мэй Олкотт</v>
      </c>
    </row>
    <row r="98" spans="4:4" x14ac:dyDescent="0.55000000000000004">
      <c r="D98" t="str">
        <v>«Маленький принц» — Антуан де Сент-Экзюпери</v>
      </c>
    </row>
    <row r="99" spans="4:4" x14ac:dyDescent="0.55000000000000004">
      <c r="D99" t="str">
        <v>«Мандолина капитана Корелли» — Луи де Берньер</v>
      </c>
    </row>
    <row r="100" spans="4:4" x14ac:dyDescent="0.55000000000000004">
      <c r="D100" t="str">
        <v>«Мастер и Маргарита» — Михаил Булгаков</v>
      </c>
    </row>
    <row r="101" spans="4:4" x14ac:dyDescent="0.55000000000000004">
      <c r="D101" t="str">
        <v>«Матильда» — Роальд Даль</v>
      </c>
    </row>
    <row r="102" spans="4:4" x14ac:dyDescent="0.55000000000000004">
      <c r="D102" t="str">
        <v>«Мелкие боги» — Терри Пратчетт</v>
      </c>
    </row>
    <row r="103" spans="4:4" x14ac:dyDescent="0.55000000000000004">
      <c r="D103" t="str">
        <v>«Мемуары гейши» — Артур Голден</v>
      </c>
    </row>
    <row r="104" spans="4:4" x14ac:dyDescent="0.55000000000000004">
      <c r="D104" t="str">
        <v>«Миддлмарч» — Джордж Элиот</v>
      </c>
    </row>
    <row r="105" spans="4:4" x14ac:dyDescent="0.55000000000000004">
      <c r="D105" t="str">
        <v>«Мир глазами Гарпа» — Джон Ирвинг</v>
      </c>
    </row>
    <row r="106" spans="4:4" x14ac:dyDescent="0.55000000000000004">
      <c r="D106" t="str">
        <v>«Мир Софии» — Йостейн Гордер</v>
      </c>
    </row>
    <row r="107" spans="4:4" x14ac:dyDescent="0.55000000000000004">
      <c r="D107" t="str">
        <v>«Моби Дик» — Герман Мелвилл</v>
      </c>
    </row>
    <row r="108" spans="4:4" x14ac:dyDescent="0.55000000000000004">
      <c r="D108" t="str">
        <v>«Молитва об Оуэне Мини» — Джон Ирвинг</v>
      </c>
    </row>
    <row r="109" spans="4:4" x14ac:dyDescent="0.55000000000000004">
      <c r="D109" t="str">
        <v>«Мор, ученик Смерти» — Терри Пратчетт</v>
      </c>
    </row>
    <row r="110" spans="4:4" x14ac:dyDescent="0.55000000000000004">
      <c r="D110" t="str">
        <v>«Мотылёк» — Анри Шарьер</v>
      </c>
    </row>
    <row r="111" spans="4:4" x14ac:dyDescent="0.55000000000000004">
      <c r="D111" t="str">
        <v>«Мрачный Жнец» — Терри Пратчетт</v>
      </c>
    </row>
    <row r="112" spans="4:4" x14ac:dyDescent="0.55000000000000004">
      <c r="D112" t="str">
        <v>«Мужчина и мальчик» — Тони Парсонс</v>
      </c>
    </row>
    <row r="113" spans="4:4" x14ac:dyDescent="0.55000000000000004">
      <c r="D113" t="str">
        <v>«Мэр Кэстербриджа» — Томас Харди</v>
      </c>
    </row>
    <row r="114" spans="4:4" x14ac:dyDescent="0.55000000000000004">
      <c r="D114" t="str">
        <v>«На западном фронте без перемен» — Эрих Мария Ремарк</v>
      </c>
    </row>
    <row r="115" spans="4:4" x14ac:dyDescent="0.55000000000000004">
      <c r="D115" t="str">
        <v>«На игле» — Ирвин Уэлш</v>
      </c>
    </row>
    <row r="116" spans="4:4" x14ac:dyDescent="0.55000000000000004">
      <c r="D116" t="str">
        <v>«Над пропастью во ржи» — Джером Сэлинджер</v>
      </c>
    </row>
    <row r="117" spans="4:4" x14ac:dyDescent="0.55000000000000004">
      <c r="D117" t="str">
        <v>«Невыносимая лёгкость бытия» — Милан Кундера</v>
      </c>
    </row>
    <row r="118" spans="4:4" x14ac:dyDescent="0.55000000000000004">
      <c r="D118" t="str">
        <v>«Неуютная ферма» — Стелла Гиббонс</v>
      </c>
    </row>
    <row r="119" spans="4:4" x14ac:dyDescent="0.55000000000000004">
      <c r="D119" t="str">
        <v>«Ночная стража» — Терри Пратчетт</v>
      </c>
    </row>
    <row r="120" spans="4:4" x14ac:dyDescent="0.55000000000000004">
      <c r="D120" t="str">
        <v>«О дивный новый мир» — Олдос Хаксли</v>
      </c>
    </row>
    <row r="121" spans="4:4" x14ac:dyDescent="0.55000000000000004">
      <c r="D121" t="str">
        <v>«О мышах и людях» — Джон Стейнбек</v>
      </c>
    </row>
    <row r="122" spans="4:4" x14ac:dyDescent="0.55000000000000004">
      <c r="D122" t="str">
        <v>«Обитатели холмов» — Ричард Адамс</v>
      </c>
    </row>
    <row r="123" spans="4:4" x14ac:dyDescent="0.55000000000000004">
      <c r="D123" t="str">
        <v>«Обладать» — Антония Сьюзен Байетт</v>
      </c>
    </row>
    <row r="124" spans="4:4" x14ac:dyDescent="0.55000000000000004">
      <c r="D124" t="str">
        <v>«Они играли на траве» — Терри Венейблс и Гордон М</v>
      </c>
    </row>
    <row r="125" spans="4:4" x14ac:dyDescent="0.55000000000000004">
      <c r="D125" t="str">
        <v>«Оно» — Стивен Кинг</v>
      </c>
    </row>
    <row r="126" spans="4:4" x14ac:dyDescent="0.55000000000000004">
      <c r="D126" t="str">
        <v>«Осиная фабрика» — Иэн Бэнкс</v>
      </c>
    </row>
    <row r="127" spans="4:4" x14ac:dyDescent="0.55000000000000004">
      <c r="D127" t="str">
        <v>«Остров сокровищ» — Роберт Стивенсон</v>
      </c>
    </row>
    <row r="128" spans="4:4" x14ac:dyDescent="0.55000000000000004">
      <c r="D128" t="str">
        <v>«Отверженные» — Виктор Гюго</v>
      </c>
    </row>
    <row r="129" spans="4:4" x14ac:dyDescent="0.55000000000000004">
      <c r="D129" t="str">
        <v>«Очень голодная гусеница» — Эрик Карл</v>
      </c>
    </row>
    <row r="130" spans="4:4" x14ac:dyDescent="0.55000000000000004">
      <c r="D130" t="str">
        <v>«Парфюмер» — Патрик Зюскинд</v>
      </c>
    </row>
    <row r="131" spans="4:4" x14ac:dyDescent="0.55000000000000004">
      <c r="D131" t="str">
        <v>«Паутина Шарлотты» — Элвин Брукс Уайт</v>
      </c>
    </row>
    <row r="132" spans="4:4" x14ac:dyDescent="0.55000000000000004">
      <c r="D132" t="str">
        <v>«Пение птиц» — Себастьян Фолкс</v>
      </c>
    </row>
    <row r="133" spans="4:4" x14ac:dyDescent="0.55000000000000004">
      <c r="D133" t="str">
        <v>«Песнь на закате» — Льюис Грессик Гиббон</v>
      </c>
    </row>
    <row r="134" spans="4:4" x14ac:dyDescent="0.55000000000000004">
      <c r="D134" t="str">
        <v>«Плохие девчонки» — Жаклин Уилсон</v>
      </c>
    </row>
    <row r="135" spans="4:4" x14ac:dyDescent="0.55000000000000004">
      <c r="D135" t="str">
        <v>«Пляж» — Алекс Гарленд</v>
      </c>
    </row>
    <row r="136" spans="4:4" x14ac:dyDescent="0.55000000000000004">
      <c r="D136" t="str">
        <v>«Повелитель мух» — Уильям Голдинг</v>
      </c>
    </row>
    <row r="137" spans="4:4" x14ac:dyDescent="0.55000000000000004">
      <c r="D137" t="str">
        <v>«Повесть о двух городах» — Чарльз Диккенс</v>
      </c>
    </row>
    <row r="138" spans="4:4" x14ac:dyDescent="0.55000000000000004">
      <c r="D138" t="str">
        <v>«Подходящий жених» — Викрам Сет</v>
      </c>
    </row>
    <row r="139" spans="4:4" x14ac:dyDescent="0.55000000000000004">
      <c r="D139" t="str">
        <v>«Портрет Дориана Грея» — Оскар Уайльд</v>
      </c>
    </row>
    <row r="140" spans="4:4" x14ac:dyDescent="0.55000000000000004">
      <c r="D140" t="str">
        <v>«Посмертные записки Пиквикского клуба» — Чарльз Диккенс</v>
      </c>
    </row>
    <row r="141" spans="4:4" x14ac:dyDescent="0.55000000000000004">
      <c r="D141" t="str">
        <v>«Поющие в терновнике» — Колин Маккалоу</v>
      </c>
    </row>
    <row r="142" spans="4:4" x14ac:dyDescent="0.55000000000000004">
      <c r="D142" t="str">
        <v>«Правда» — Терри Пратчетт</v>
      </c>
    </row>
    <row r="143" spans="4:4" x14ac:dyDescent="0.55000000000000004">
      <c r="D143" t="str">
        <v>«Преступление и наказание» — Фёдор Достоевский</v>
      </c>
    </row>
    <row r="144" spans="4:4" x14ac:dyDescent="0.55000000000000004">
      <c r="D144" t="str">
        <v>«Приключения Оливера Твиста» — Чарльз Диккенс</v>
      </c>
    </row>
    <row r="145" spans="4:4" x14ac:dyDescent="0.55000000000000004">
      <c r="D145" t="str">
        <v>«Пролетая над гнездом кукушки» — Кен Кизи</v>
      </c>
    </row>
    <row r="146" spans="4:4" x14ac:dyDescent="0.55000000000000004">
      <c r="D146" t="str">
        <v>«Противостояние» — Стивен Кинг</v>
      </c>
    </row>
    <row r="147" spans="4:4" x14ac:dyDescent="0.55000000000000004">
      <c r="D147" t="str">
        <v>«Пурпурный цвет» — Элис Уокер</v>
      </c>
    </row>
    <row r="148" spans="4:4" x14ac:dyDescent="0.55000000000000004">
      <c r="D148" t="str">
        <v>«Пятый элефант» — Терри Пратчетт</v>
      </c>
    </row>
    <row r="149" spans="4:4" x14ac:dyDescent="0.55000000000000004">
      <c r="D149" t="str">
        <v>«Разрисованная мама» — Жаклин Уилсон</v>
      </c>
    </row>
    <row r="150" spans="4:4" x14ac:dyDescent="0.55000000000000004">
      <c r="D150" t="str">
        <v>«Рассказ служанки» — Маргарет Этвуд</v>
      </c>
    </row>
    <row r="151" spans="4:4" x14ac:dyDescent="0.55000000000000004">
      <c r="D151" t="str">
        <v>«Ребекка» — Дафна Дюморье</v>
      </c>
    </row>
    <row r="152" spans="4:4" x14ac:dyDescent="0.55000000000000004">
      <c r="D152" t="str">
        <v>«Рискованные игры» — Жаклин Уилсон</v>
      </c>
    </row>
    <row r="153" spans="4:4" x14ac:dyDescent="0.55000000000000004">
      <c r="D153" t="str">
        <v>«Рождественская песнь» — Чарльз Диккенс</v>
      </c>
    </row>
    <row r="154" spans="4:4" x14ac:dyDescent="0.55000000000000004">
      <c r="D154" t="str">
        <v>«Роковая музыка» — Терри Пратчетт</v>
      </c>
    </row>
    <row r="155" spans="4:4" x14ac:dyDescent="0.55000000000000004">
      <c r="D155" t="str">
        <v>«Сага о Форсайтах» — Джон Голсуорси</v>
      </c>
    </row>
    <row r="156" spans="4:4" x14ac:dyDescent="0.55000000000000004">
      <c r="D156" t="str">
        <v>«Сайлес Марнер» — Джордж Элиот</v>
      </c>
    </row>
    <row r="157" spans="4:4" x14ac:dyDescent="0.55000000000000004">
      <c r="D157" t="str">
        <v>«Санта-Хрякус» — Терри Пратчетт</v>
      </c>
    </row>
    <row r="158" spans="4:4" x14ac:dyDescent="0.55000000000000004">
      <c r="D158" t="str">
        <v>«Сёгун» — Джеймс Клавелл</v>
      </c>
    </row>
    <row r="159" spans="4:4" x14ac:dyDescent="0.55000000000000004">
      <c r="D159" t="str">
        <v>«Секреты» — Жаклин Уилсон</v>
      </c>
    </row>
    <row r="160" spans="4:4" x14ac:dyDescent="0.55000000000000004">
      <c r="D160" t="str">
        <v>«Семейная реликвия» — Розамунд Пилчер</v>
      </c>
    </row>
    <row r="161" spans="4:4" x14ac:dyDescent="0.55000000000000004">
      <c r="D161" t="str">
        <v>«Семейство Твит» — Роальд Даль</v>
      </c>
    </row>
    <row r="162" spans="4:4" x14ac:dyDescent="0.55000000000000004">
      <c r="D162" t="str">
        <v>«Сердце тьмы» — Джозеф Конрад</v>
      </c>
    </row>
    <row r="163" spans="4:4" x14ac:dyDescent="0.55000000000000004">
      <c r="D163" t="str">
        <v>«Серебряный меч» — Ян Серрэйлер</v>
      </c>
    </row>
    <row r="164" spans="4:4" x14ac:dyDescent="0.55000000000000004">
      <c r="D164" t="str">
        <v>«Сила единства» — Брайс Куртене</v>
      </c>
    </row>
    <row r="165" spans="4:4" x14ac:dyDescent="0.55000000000000004">
      <c r="D165" t="str">
        <v>«Скотный двор» — Джордж Оруэлл</v>
      </c>
    </row>
    <row r="166" spans="4:4" x14ac:dyDescent="0.55000000000000004">
      <c r="D166" t="str">
        <v>«Собака Баскервилей» — Артур Конан Дойль</v>
      </c>
    </row>
    <row r="167" spans="4:4" x14ac:dyDescent="0.55000000000000004">
      <c r="D167" t="str">
        <v>«Спокойной ночи, мистер Том» — Мишель Магориан</v>
      </c>
    </row>
    <row r="168" spans="4:4" x14ac:dyDescent="0.55000000000000004">
      <c r="D168" t="str">
        <v>«Старик и море» — Эрнест Хемингуэй</v>
      </c>
    </row>
    <row r="169" spans="4:4" x14ac:dyDescent="0.55000000000000004">
      <c r="D169" t="str">
        <v>«Сто лет одиночества» — Габриэль Гарсиа Маркес</v>
      </c>
    </row>
    <row r="170" spans="4:4" x14ac:dyDescent="0.55000000000000004">
      <c r="D170" t="str">
        <v>«Столпы Земли» — Кен Фоллетт</v>
      </c>
    </row>
    <row r="171" spans="4:4" x14ac:dyDescent="0.55000000000000004">
      <c r="D171" t="str">
        <v>«Стража! Стража!» — Терри Пратчетт</v>
      </c>
    </row>
    <row r="172" spans="4:4" x14ac:dyDescent="0.55000000000000004">
      <c r="D172" t="str">
        <v>«Сыновья и любовники» — Дэвид Герберт Лоуренс</v>
      </c>
    </row>
    <row r="173" spans="4:4" x14ac:dyDescent="0.55000000000000004">
      <c r="D173" t="str">
        <v>«Таинственный сад» — Фрэнсис Бернетт</v>
      </c>
    </row>
    <row r="174" spans="4:4" x14ac:dyDescent="0.55000000000000004">
      <c r="D174" t="str">
        <v>«Тайная история» — Донна Тартт</v>
      </c>
    </row>
    <row r="175" spans="4:4" x14ac:dyDescent="0.55000000000000004">
      <c r="D175" t="str">
        <v>«Тайный дневник Адриана Моула, 13 3/4 лет» — Сью Таунсенд</v>
      </c>
    </row>
    <row r="176" spans="4:4" x14ac:dyDescent="0.55000000000000004">
      <c r="D176" t="str">
        <v>«Тёмные начала» — Филип Пулман</v>
      </c>
    </row>
    <row r="177" spans="4:4" x14ac:dyDescent="0.55000000000000004">
      <c r="D177" t="str">
        <v>«Трое в лодке, не считая собаки» — Джером К</v>
      </c>
    </row>
    <row r="178" spans="4:4" x14ac:dyDescent="0.55000000000000004">
      <c r="D178" t="str">
        <v>«Тэсс из рода д’Эрбервиллей» — Томас Харди</v>
      </c>
    </row>
    <row r="179" spans="4:4" x14ac:dyDescent="0.55000000000000004">
      <c r="D179" t="str">
        <v>«Убить пересмешника» — Харпер Ли</v>
      </c>
    </row>
    <row r="180" spans="4:4" x14ac:dyDescent="0.55000000000000004">
      <c r="D180" t="str">
        <v>«Ужастики» — Роберт Лоуренс Стайн</v>
      </c>
    </row>
    <row r="181" spans="4:4" x14ac:dyDescent="0.55000000000000004">
      <c r="D181" t="str">
        <v>«Улисс» — Джеймс Джойс</v>
      </c>
    </row>
    <row r="182" spans="4:4" x14ac:dyDescent="0.55000000000000004">
      <c r="D182" t="str">
        <v>«Уловка-22» — Джозеф Хеллер</v>
      </c>
    </row>
    <row r="183" spans="4:4" x14ac:dyDescent="0.55000000000000004">
      <c r="D183" t="str">
        <v>«Унесённые ветром» — Маргарет Митчелл</v>
      </c>
    </row>
    <row r="184" spans="4:4" x14ac:dyDescent="0.55000000000000004">
      <c r="D184" t="str">
        <v>«Филантропы в рваных штанах» — Роберт Тресселл</v>
      </c>
    </row>
    <row r="185" spans="4:4" x14ac:dyDescent="0.55000000000000004">
      <c r="D185" t="str">
        <v>«Франкенштейн, или Современный Прометей» — Мэри Шелли</v>
      </c>
    </row>
    <row r="186" spans="4:4" x14ac:dyDescent="0.55000000000000004">
      <c r="D186" t="str">
        <v>«Хайди» — Иоганна Шпири</v>
      </c>
    </row>
    <row r="187" spans="4:4" x14ac:dyDescent="0.55000000000000004">
      <c r="D187" t="str">
        <v>«Хоббит, или Туда и обратно» — Джон Р. Р. Толкин</v>
      </c>
    </row>
    <row r="188" spans="4:4" x14ac:dyDescent="0.55000000000000004">
      <c r="D188" t="str">
        <v>«Хозяин морей: Командир и штурман» — Патрик О’Брайан</v>
      </c>
    </row>
    <row r="189" spans="4:4" x14ac:dyDescent="0.55000000000000004">
      <c r="D189" t="str">
        <v>«Холодный дом» — Чарльз Диккенс</v>
      </c>
    </row>
    <row r="190" spans="4:4" x14ac:dyDescent="0.55000000000000004">
      <c r="D190" t="str">
        <v>«Хрупкое равновесие» — Рохинтон Мистри</v>
      </c>
    </row>
    <row r="191" spans="4:4" x14ac:dyDescent="0.55000000000000004">
      <c r="D191" t="str">
        <v>«Цвет волшебства» — Терри Пратчетт</v>
      </c>
    </row>
    <row r="192" spans="4:4" x14ac:dyDescent="0.55000000000000004">
      <c r="D192" t="str">
        <v>«Цветы на чердаке» — Вирджиния Эндрюс</v>
      </c>
    </row>
    <row r="193" spans="4:4" x14ac:dyDescent="0.55000000000000004">
      <c r="D193" t="str">
        <v>«Чайка по имени Джонатан Ливингстон» — Ричард Бах</v>
      </c>
    </row>
    <row r="194" spans="4:4" x14ac:dyDescent="0.55000000000000004">
      <c r="D194" t="str">
        <v>«Чарли и шоколадная фабрика» — Роальд Даль</v>
      </c>
    </row>
    <row r="195" spans="4:4" x14ac:dyDescent="0.55000000000000004">
      <c r="D195" t="str">
        <v>«Чародей» — Раймонд Фэйст</v>
      </c>
    </row>
    <row r="196" spans="4:4" x14ac:dyDescent="0.55000000000000004">
      <c r="D196" t="str">
        <v>«Чёрный красавчик» — Анна Сьюэлл</v>
      </c>
    </row>
    <row r="197" spans="4:4" x14ac:dyDescent="0.55000000000000004">
      <c r="D197" t="str">
        <v>«Чужестранка» — Диана Гэблдон</v>
      </c>
    </row>
    <row r="198" spans="4:4" x14ac:dyDescent="0.55000000000000004">
      <c r="D198" t="str">
        <v>«Эмма» — Джейн Остин</v>
      </c>
    </row>
    <row r="199" spans="4:4" x14ac:dyDescent="0.55000000000000004">
      <c r="D199" t="str">
        <v>«Я захватываю замок» — Доди Смит</v>
      </c>
    </row>
    <row r="200" spans="4:4" x14ac:dyDescent="0.55000000000000004">
      <c r="D200" t="str">
        <v>«Ямы» — Луис Сейкер</v>
      </c>
    </row>
    <row r="201" spans="4:4" x14ac:dyDescent="0.55000000000000004">
      <c r="D201" t="str">
        <v>«Ярмарка тщеславия» — Уильям Теккерей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64FD-652B-4434-9107-7ECA918E4AB2}">
  <dimension ref="A1:E601"/>
  <sheetViews>
    <sheetView workbookViewId="0">
      <selection activeCell="B1" sqref="B1"/>
    </sheetView>
  </sheetViews>
  <sheetFormatPr defaultRowHeight="14.4" x14ac:dyDescent="0.55000000000000004"/>
  <cols>
    <col min="1" max="1" width="54.578125" bestFit="1" customWidth="1"/>
    <col min="2" max="2" width="9.62890625" bestFit="1" customWidth="1"/>
    <col min="3" max="3" width="12.05078125" bestFit="1" customWidth="1"/>
    <col min="4" max="4" width="16.05078125" bestFit="1" customWidth="1"/>
    <col min="5" max="5" width="15.89453125" bestFit="1" customWidth="1"/>
  </cols>
  <sheetData>
    <row r="1" spans="1:5" ht="37.799999999999997" x14ac:dyDescent="0.55000000000000004">
      <c r="A1" s="8" t="s">
        <v>118</v>
      </c>
      <c r="B1" s="8" t="s">
        <v>119</v>
      </c>
      <c r="C1" s="8" t="s">
        <v>120</v>
      </c>
      <c r="D1" s="8" t="s">
        <v>121</v>
      </c>
      <c r="E1" s="8" t="s">
        <v>122</v>
      </c>
    </row>
    <row r="2" spans="1:5" x14ac:dyDescent="0.55000000000000004">
      <c r="A2" t="str" cm="1">
        <f t="array" ref="A2:E601">_xlfn._xlws.SORT('1С'!B2:F601,2,1)</f>
        <v>«Имя розы» — Умберто Эко</v>
      </c>
      <c r="B2" s="9">
        <v>38243</v>
      </c>
      <c r="C2" t="str">
        <v>Редакция №1</v>
      </c>
      <c r="D2" t="str">
        <v>Мягкая обложка</v>
      </c>
      <c r="E2" t="str">
        <v>B2B</v>
      </c>
    </row>
    <row r="3" spans="1:5" x14ac:dyDescent="0.55000000000000004">
      <c r="A3" t="str">
        <v>«Портрет Дориана Грея» — Оскар Уайльд</v>
      </c>
      <c r="B3" s="9">
        <v>42005</v>
      </c>
      <c r="C3" t="str">
        <v>Редакция №1</v>
      </c>
      <c r="D3" t="str">
        <v>Покетбук</v>
      </c>
      <c r="E3" t="str">
        <v>Дистрибуция</v>
      </c>
    </row>
    <row r="4" spans="1:5" x14ac:dyDescent="0.55000000000000004">
      <c r="A4" t="str">
        <v>«Портрет Дориана Грея» — Оскар Уайльд</v>
      </c>
      <c r="B4" s="9">
        <v>42005</v>
      </c>
      <c r="C4" t="str">
        <v>Редакция №1</v>
      </c>
      <c r="D4" t="str">
        <v>Покетбук</v>
      </c>
      <c r="E4" t="str">
        <v>Интернет-магазин</v>
      </c>
    </row>
    <row r="5" spans="1:5" x14ac:dyDescent="0.55000000000000004">
      <c r="A5" t="str">
        <v>«Портрет Дориана Грея» — Оскар Уайльд</v>
      </c>
      <c r="B5" s="9">
        <v>42005</v>
      </c>
      <c r="C5" t="str">
        <v>Редакция №1</v>
      </c>
      <c r="D5" t="str">
        <v>Покетбук</v>
      </c>
      <c r="E5" t="str">
        <v>B2B</v>
      </c>
    </row>
    <row r="6" spans="1:5" x14ac:dyDescent="0.55000000000000004">
      <c r="A6" t="str">
        <v>«Клан пещерного медведя» — Джин Ауэл</v>
      </c>
      <c r="B6" s="9">
        <v>42040</v>
      </c>
      <c r="C6" t="str">
        <v>Редакция №1</v>
      </c>
      <c r="D6" t="str">
        <v>Твердый переплет</v>
      </c>
      <c r="E6" t="str">
        <v>Дистрибуция</v>
      </c>
    </row>
    <row r="7" spans="1:5" x14ac:dyDescent="0.55000000000000004">
      <c r="A7" t="str">
        <v>«Клан пещерного медведя» — Джин Ауэл</v>
      </c>
      <c r="B7" s="9">
        <v>42040</v>
      </c>
      <c r="C7" t="str">
        <v>Редакция №1</v>
      </c>
      <c r="D7" t="str">
        <v>Твердый переплет</v>
      </c>
      <c r="E7" t="str">
        <v>Интернет-магазин</v>
      </c>
    </row>
    <row r="8" spans="1:5" x14ac:dyDescent="0.55000000000000004">
      <c r="A8" t="str">
        <v>«Клан пещерного медведя» — Джин Ауэл</v>
      </c>
      <c r="B8" s="9">
        <v>42040</v>
      </c>
      <c r="C8" t="str">
        <v>Редакция №1</v>
      </c>
      <c r="D8" t="str">
        <v>Твердый переплет</v>
      </c>
      <c r="E8" t="str">
        <v>B2B</v>
      </c>
    </row>
    <row r="9" spans="1:5" x14ac:dyDescent="0.55000000000000004">
      <c r="A9" t="str">
        <v>«Правда» — Терри Пратчетт</v>
      </c>
      <c r="B9" s="9">
        <v>42048</v>
      </c>
      <c r="C9" t="str">
        <v>Редакция №1</v>
      </c>
      <c r="D9" t="str">
        <v>Мягкая обложка</v>
      </c>
      <c r="E9" t="str">
        <v>Дистрибуция</v>
      </c>
    </row>
    <row r="10" spans="1:5" x14ac:dyDescent="0.55000000000000004">
      <c r="A10" t="str">
        <v>«Правда» — Терри Пратчетт</v>
      </c>
      <c r="B10" s="9">
        <v>42048</v>
      </c>
      <c r="C10" t="str">
        <v>Редакция №1</v>
      </c>
      <c r="D10" t="str">
        <v>Мягкая обложка</v>
      </c>
      <c r="E10" t="str">
        <v>Интернет-магазин</v>
      </c>
    </row>
    <row r="11" spans="1:5" x14ac:dyDescent="0.55000000000000004">
      <c r="A11" t="str">
        <v>«Правда» — Терри Пратчетт</v>
      </c>
      <c r="B11" s="9">
        <v>42048</v>
      </c>
      <c r="C11" t="str">
        <v>Редакция №1</v>
      </c>
      <c r="D11" t="str">
        <v>Мягкая обложка</v>
      </c>
      <c r="E11" t="str">
        <v>B2B</v>
      </c>
    </row>
    <row r="12" spans="1:5" x14ac:dyDescent="0.55000000000000004">
      <c r="A12" t="str">
        <v>«Противостояние» — Стивен Кинг</v>
      </c>
      <c r="B12" s="9">
        <v>42083</v>
      </c>
      <c r="C12" t="str">
        <v>Редакция №1</v>
      </c>
      <c r="D12" t="str">
        <v>Покетбук</v>
      </c>
      <c r="E12" t="str">
        <v>Дистрибуция</v>
      </c>
    </row>
    <row r="13" spans="1:5" x14ac:dyDescent="0.55000000000000004">
      <c r="A13" t="str">
        <v>«Противостояние» — Стивен Кинг</v>
      </c>
      <c r="B13" s="9">
        <v>42083</v>
      </c>
      <c r="C13" t="str">
        <v>Редакция №1</v>
      </c>
      <c r="D13" t="str">
        <v>Покетбук</v>
      </c>
      <c r="E13" t="str">
        <v>Интернет-магазин</v>
      </c>
    </row>
    <row r="14" spans="1:5" x14ac:dyDescent="0.55000000000000004">
      <c r="A14" t="str">
        <v>«Противостояние» — Стивен Кинг</v>
      </c>
      <c r="B14" s="9">
        <v>42083</v>
      </c>
      <c r="C14" t="str">
        <v>Редакция №1</v>
      </c>
      <c r="D14" t="str">
        <v>Покетбук</v>
      </c>
      <c r="E14" t="str">
        <v>B2B</v>
      </c>
    </row>
    <row r="15" spans="1:5" x14ac:dyDescent="0.55000000000000004">
      <c r="A15" t="str">
        <v>«Моби Дик» — Герман Мелвилл</v>
      </c>
      <c r="B15" s="9">
        <v>42091</v>
      </c>
      <c r="C15" t="str">
        <v>Редакция №1</v>
      </c>
      <c r="D15" t="str">
        <v>Покетбук</v>
      </c>
      <c r="E15" t="str">
        <v>Дистрибуция</v>
      </c>
    </row>
    <row r="16" spans="1:5" x14ac:dyDescent="0.55000000000000004">
      <c r="A16" t="str">
        <v>«Моби Дик» — Герман Мелвилл</v>
      </c>
      <c r="B16" s="9">
        <v>42091</v>
      </c>
      <c r="C16" t="str">
        <v>Редакция №1</v>
      </c>
      <c r="D16" t="str">
        <v>Покетбук</v>
      </c>
      <c r="E16" t="str">
        <v>Интернет-магазин</v>
      </c>
    </row>
    <row r="17" spans="1:5" x14ac:dyDescent="0.55000000000000004">
      <c r="A17" t="str">
        <v>«Моби Дик» — Герман Мелвилл</v>
      </c>
      <c r="B17" s="9">
        <v>42091</v>
      </c>
      <c r="C17" t="str">
        <v>Редакция №1</v>
      </c>
      <c r="D17" t="str">
        <v>Покетбук</v>
      </c>
      <c r="E17" t="str">
        <v>B2B</v>
      </c>
    </row>
    <row r="18" spans="1:5" x14ac:dyDescent="0.55000000000000004">
      <c r="A18" t="str">
        <v>«Сёгун» — Джеймс Клавелл</v>
      </c>
      <c r="B18" s="9">
        <v>42093</v>
      </c>
      <c r="C18" t="str">
        <v>Редакция №2</v>
      </c>
      <c r="D18" t="str">
        <v>Твердый переплет</v>
      </c>
      <c r="E18" t="str">
        <v>Дистрибуция</v>
      </c>
    </row>
    <row r="19" spans="1:5" x14ac:dyDescent="0.55000000000000004">
      <c r="A19" t="str">
        <v>«Сёгун» — Джеймс Клавелл</v>
      </c>
      <c r="B19" s="9">
        <v>42093</v>
      </c>
      <c r="C19" t="str">
        <v>Редакция №2</v>
      </c>
      <c r="D19" t="str">
        <v>Твердый переплет</v>
      </c>
      <c r="E19" t="str">
        <v>Интернет-магазин</v>
      </c>
    </row>
    <row r="20" spans="1:5" x14ac:dyDescent="0.55000000000000004">
      <c r="A20" t="str">
        <v>«Сёгун» — Джеймс Клавелл</v>
      </c>
      <c r="B20" s="9">
        <v>42093</v>
      </c>
      <c r="C20" t="str">
        <v>Редакция №2</v>
      </c>
      <c r="D20" t="str">
        <v>Твердый переплет</v>
      </c>
      <c r="E20" t="str">
        <v>B2B</v>
      </c>
    </row>
    <row r="21" spans="1:5" x14ac:dyDescent="0.55000000000000004">
      <c r="A21" t="str">
        <v>«Гарри Поттер и Кубок огня» — Джоан Роулинг</v>
      </c>
      <c r="B21" s="9">
        <v>42104</v>
      </c>
      <c r="C21" t="str">
        <v>Редакция №2</v>
      </c>
      <c r="D21" t="str">
        <v>Твердый переплет</v>
      </c>
      <c r="E21" t="str">
        <v>Дистрибуция</v>
      </c>
    </row>
    <row r="22" spans="1:5" x14ac:dyDescent="0.55000000000000004">
      <c r="A22" t="str">
        <v>«Гарри Поттер и Кубок огня» — Джоан Роулинг</v>
      </c>
      <c r="B22" s="9">
        <v>42104</v>
      </c>
      <c r="C22" t="str">
        <v>Редакция №2</v>
      </c>
      <c r="D22" t="str">
        <v>Твердый переплет</v>
      </c>
      <c r="E22" t="str">
        <v>Интернет-магазин</v>
      </c>
    </row>
    <row r="23" spans="1:5" x14ac:dyDescent="0.55000000000000004">
      <c r="A23" t="str">
        <v>«Гарри Поттер и Кубок огня» — Джоан Роулинг</v>
      </c>
      <c r="B23" s="9">
        <v>42104</v>
      </c>
      <c r="C23" t="str">
        <v>Редакция №2</v>
      </c>
      <c r="D23" t="str">
        <v>Твердый переплет</v>
      </c>
      <c r="E23" t="str">
        <v>B2B</v>
      </c>
    </row>
    <row r="24" spans="1:5" x14ac:dyDescent="0.55000000000000004">
      <c r="A24" t="str">
        <v>«Чародей» — Раймонд Фэйст</v>
      </c>
      <c r="B24" s="9">
        <v>42125</v>
      </c>
      <c r="C24" t="str">
        <v>Редакция №2</v>
      </c>
      <c r="D24" t="str">
        <v>Твердый переплет</v>
      </c>
      <c r="E24" t="str">
        <v>Дистрибуция</v>
      </c>
    </row>
    <row r="25" spans="1:5" x14ac:dyDescent="0.55000000000000004">
      <c r="A25" t="str">
        <v>«Чародей» — Раймонд Фэйст</v>
      </c>
      <c r="B25" s="9">
        <v>42125</v>
      </c>
      <c r="C25" t="str">
        <v>Редакция №2</v>
      </c>
      <c r="D25" t="str">
        <v>Твердый переплет</v>
      </c>
      <c r="E25" t="str">
        <v>Интернет-магазин</v>
      </c>
    </row>
    <row r="26" spans="1:5" x14ac:dyDescent="0.55000000000000004">
      <c r="A26" t="str">
        <v>«Чародей» — Раймонд Фэйст</v>
      </c>
      <c r="B26" s="9">
        <v>42125</v>
      </c>
      <c r="C26" t="str">
        <v>Редакция №2</v>
      </c>
      <c r="D26" t="str">
        <v>Твердый переплет</v>
      </c>
      <c r="E26" t="str">
        <v>B2B</v>
      </c>
    </row>
    <row r="27" spans="1:5" x14ac:dyDescent="0.55000000000000004">
      <c r="A27" t="str">
        <v>«Война и мир» — Лев Толстой</v>
      </c>
      <c r="B27" s="9">
        <v>42169</v>
      </c>
      <c r="C27" t="str">
        <v>Редакция №2</v>
      </c>
      <c r="D27" t="str">
        <v>Покетбук</v>
      </c>
      <c r="E27" t="str">
        <v>Дистрибуция</v>
      </c>
    </row>
    <row r="28" spans="1:5" x14ac:dyDescent="0.55000000000000004">
      <c r="A28" t="str">
        <v>«Война и мир» — Лев Толстой</v>
      </c>
      <c r="B28" s="9">
        <v>42169</v>
      </c>
      <c r="C28" t="str">
        <v>Редакция №2</v>
      </c>
      <c r="D28" t="str">
        <v>Покетбук</v>
      </c>
      <c r="E28" t="str">
        <v>Интернет-магазин</v>
      </c>
    </row>
    <row r="29" spans="1:5" x14ac:dyDescent="0.55000000000000004">
      <c r="A29" t="str">
        <v>«Война и мир» — Лев Толстой</v>
      </c>
      <c r="B29" s="9">
        <v>42169</v>
      </c>
      <c r="C29" t="str">
        <v>Редакция №2</v>
      </c>
      <c r="D29" t="str">
        <v>Покетбук</v>
      </c>
      <c r="E29" t="str">
        <v>B2B</v>
      </c>
    </row>
    <row r="30" spans="1:5" x14ac:dyDescent="0.55000000000000004">
      <c r="A30" t="str">
        <v>«День триффидов» — Джон Уиндем</v>
      </c>
      <c r="B30" s="9">
        <v>42182</v>
      </c>
      <c r="C30" t="str">
        <v>Редакция №1</v>
      </c>
      <c r="D30" t="str">
        <v>Мягкая обложка</v>
      </c>
      <c r="E30" t="str">
        <v>Дистрибуция</v>
      </c>
    </row>
    <row r="31" spans="1:5" x14ac:dyDescent="0.55000000000000004">
      <c r="A31" t="str">
        <v>«День триффидов» — Джон Уиндем</v>
      </c>
      <c r="B31" s="9">
        <v>42182</v>
      </c>
      <c r="C31" t="str">
        <v>Редакция №1</v>
      </c>
      <c r="D31" t="str">
        <v>Мягкая обложка</v>
      </c>
      <c r="E31" t="str">
        <v>Интернет-магазин</v>
      </c>
    </row>
    <row r="32" spans="1:5" x14ac:dyDescent="0.55000000000000004">
      <c r="A32" t="str">
        <v>«День триффидов» — Джон Уиндем</v>
      </c>
      <c r="B32" s="9">
        <v>42182</v>
      </c>
      <c r="C32" t="str">
        <v>Редакция №1</v>
      </c>
      <c r="D32" t="str">
        <v>Мягкая обложка</v>
      </c>
      <c r="E32" t="str">
        <v>B2B</v>
      </c>
    </row>
    <row r="33" spans="1:5" x14ac:dyDescent="0.55000000000000004">
      <c r="A33" t="str">
        <v>«Божество реки» — Уилбур Смит</v>
      </c>
      <c r="B33" s="9">
        <v>42183</v>
      </c>
      <c r="C33" t="str">
        <v>Редакция №1</v>
      </c>
      <c r="D33" t="str">
        <v>Мягкая обложка</v>
      </c>
      <c r="E33" t="str">
        <v>Дистрибуция</v>
      </c>
    </row>
    <row r="34" spans="1:5" x14ac:dyDescent="0.55000000000000004">
      <c r="A34" t="str">
        <v>«Божество реки» — Уилбур Смит</v>
      </c>
      <c r="B34" s="9">
        <v>42183</v>
      </c>
      <c r="C34" t="str">
        <v>Редакция №1</v>
      </c>
      <c r="D34" t="str">
        <v>Мягкая обложка</v>
      </c>
      <c r="E34" t="str">
        <v>Интернет-магазин</v>
      </c>
    </row>
    <row r="35" spans="1:5" x14ac:dyDescent="0.55000000000000004">
      <c r="A35" t="str">
        <v>«Божество реки» — Уилбур Смит</v>
      </c>
      <c r="B35" s="9">
        <v>42183</v>
      </c>
      <c r="C35" t="str">
        <v>Редакция №1</v>
      </c>
      <c r="D35" t="str">
        <v>Мягкая обложка</v>
      </c>
      <c r="E35" t="str">
        <v>B2B</v>
      </c>
    </row>
    <row r="36" spans="1:5" x14ac:dyDescent="0.55000000000000004">
      <c r="A36" t="str">
        <v>«Дюна» — Фрэнк Герберт</v>
      </c>
      <c r="B36" s="9">
        <v>42211</v>
      </c>
      <c r="C36" t="str">
        <v>Редакция №2</v>
      </c>
      <c r="D36" t="str">
        <v>Покетбук</v>
      </c>
      <c r="E36" t="str">
        <v>Дистрибуция</v>
      </c>
    </row>
    <row r="37" spans="1:5" x14ac:dyDescent="0.55000000000000004">
      <c r="A37" t="str">
        <v>«Дюна» — Фрэнк Герберт</v>
      </c>
      <c r="B37" s="9">
        <v>42211</v>
      </c>
      <c r="C37" t="str">
        <v>Редакция №2</v>
      </c>
      <c r="D37" t="str">
        <v>Покетбук</v>
      </c>
      <c r="E37" t="str">
        <v>Интернет-магазин</v>
      </c>
    </row>
    <row r="38" spans="1:5" x14ac:dyDescent="0.55000000000000004">
      <c r="A38" t="str">
        <v>«Дюна» — Фрэнк Герберт</v>
      </c>
      <c r="B38" s="9">
        <v>42211</v>
      </c>
      <c r="C38" t="str">
        <v>Редакция №2</v>
      </c>
      <c r="D38" t="str">
        <v>Покетбук</v>
      </c>
      <c r="E38" t="str">
        <v>B2B</v>
      </c>
    </row>
    <row r="39" spans="1:5" x14ac:dyDescent="0.55000000000000004">
      <c r="A39" t="str">
        <v>«Пролетая над гнездом кукушки» — Кен Кизи</v>
      </c>
      <c r="B39" s="9">
        <v>42213</v>
      </c>
      <c r="C39" t="str">
        <v>Редакция №1</v>
      </c>
      <c r="D39" t="str">
        <v>Покетбук</v>
      </c>
      <c r="E39" t="str">
        <v>Дистрибуция</v>
      </c>
    </row>
    <row r="40" spans="1:5" x14ac:dyDescent="0.55000000000000004">
      <c r="A40" t="str">
        <v>«Пролетая над гнездом кукушки» — Кен Кизи</v>
      </c>
      <c r="B40" s="9">
        <v>42213</v>
      </c>
      <c r="C40" t="str">
        <v>Редакция №1</v>
      </c>
      <c r="D40" t="str">
        <v>Покетбук</v>
      </c>
      <c r="E40" t="str">
        <v>Интернет-магазин</v>
      </c>
    </row>
    <row r="41" spans="1:5" x14ac:dyDescent="0.55000000000000004">
      <c r="A41" t="str">
        <v>«Пролетая над гнездом кукушки» — Кен Кизи</v>
      </c>
      <c r="B41" s="9">
        <v>42213</v>
      </c>
      <c r="C41" t="str">
        <v>Редакция №1</v>
      </c>
      <c r="D41" t="str">
        <v>Покетбук</v>
      </c>
      <c r="E41" t="str">
        <v>B2B</v>
      </c>
    </row>
    <row r="42" spans="1:5" x14ac:dyDescent="0.55000000000000004">
      <c r="A42" t="str">
        <v>«Маленький принц» — Антуан де Сент-Экзюпери</v>
      </c>
      <c r="B42" s="9">
        <v>42217</v>
      </c>
      <c r="C42" t="str">
        <v>Редакция №1</v>
      </c>
      <c r="D42" t="str">
        <v>Покетбук</v>
      </c>
      <c r="E42" t="str">
        <v>Дистрибуция</v>
      </c>
    </row>
    <row r="43" spans="1:5" x14ac:dyDescent="0.55000000000000004">
      <c r="A43" t="str">
        <v>«Маленький принц» — Антуан де Сент-Экзюпери</v>
      </c>
      <c r="B43" s="9">
        <v>42217</v>
      </c>
      <c r="C43" t="str">
        <v>Редакция №1</v>
      </c>
      <c r="D43" t="str">
        <v>Покетбук</v>
      </c>
      <c r="E43" t="str">
        <v>Интернет-магазин</v>
      </c>
    </row>
    <row r="44" spans="1:5" x14ac:dyDescent="0.55000000000000004">
      <c r="A44" t="str">
        <v>«Маленький принц» — Антуан де Сент-Экзюпери</v>
      </c>
      <c r="B44" s="9">
        <v>42217</v>
      </c>
      <c r="C44" t="str">
        <v>Редакция №1</v>
      </c>
      <c r="D44" t="str">
        <v>Покетбук</v>
      </c>
      <c r="E44" t="str">
        <v>B2B</v>
      </c>
    </row>
    <row r="45" spans="1:5" x14ac:dyDescent="0.55000000000000004">
      <c r="A45" t="str">
        <v>«Гарри Поттер и узник Азкабана» — Джоан Роулинг</v>
      </c>
      <c r="B45" s="9">
        <v>42218</v>
      </c>
      <c r="C45" t="str">
        <v>Редакция №1</v>
      </c>
      <c r="D45" t="str">
        <v>Покетбук</v>
      </c>
      <c r="E45" t="str">
        <v>Дистрибуция</v>
      </c>
    </row>
    <row r="46" spans="1:5" x14ac:dyDescent="0.55000000000000004">
      <c r="A46" t="str">
        <v>«Гарри Поттер и узник Азкабана» — Джоан Роулинг</v>
      </c>
      <c r="B46" s="9">
        <v>42218</v>
      </c>
      <c r="C46" t="str">
        <v>Редакция №1</v>
      </c>
      <c r="D46" t="str">
        <v>Покетбук</v>
      </c>
      <c r="E46" t="str">
        <v>Интернет-магазин</v>
      </c>
    </row>
    <row r="47" spans="1:5" x14ac:dyDescent="0.55000000000000004">
      <c r="A47" t="str">
        <v>«Гарри Поттер и узник Азкабана» — Джоан Роулинг</v>
      </c>
      <c r="B47" s="9">
        <v>42218</v>
      </c>
      <c r="C47" t="str">
        <v>Редакция №1</v>
      </c>
      <c r="D47" t="str">
        <v>Покетбук</v>
      </c>
      <c r="E47" t="str">
        <v>B2B</v>
      </c>
    </row>
    <row r="48" spans="1:5" x14ac:dyDescent="0.55000000000000004">
      <c r="A48" t="str">
        <v>«Пение птиц» — Себастьян Фолкс</v>
      </c>
      <c r="B48" s="9">
        <v>42229</v>
      </c>
      <c r="C48" t="str">
        <v>Редакция №1</v>
      </c>
      <c r="D48" t="str">
        <v>Твердый переплет</v>
      </c>
      <c r="E48" t="str">
        <v>Дистрибуция</v>
      </c>
    </row>
    <row r="49" spans="1:5" x14ac:dyDescent="0.55000000000000004">
      <c r="A49" t="str">
        <v>«Хайди» — Иоганна Шпири</v>
      </c>
      <c r="B49" s="9">
        <v>42229</v>
      </c>
      <c r="C49" t="str">
        <v>Редакция №1</v>
      </c>
      <c r="D49" t="str">
        <v>Твердый переплет</v>
      </c>
      <c r="E49" t="str">
        <v>Дистрибуция</v>
      </c>
    </row>
    <row r="50" spans="1:5" x14ac:dyDescent="0.55000000000000004">
      <c r="A50" t="str">
        <v>«Пение птиц» — Себастьян Фолкс</v>
      </c>
      <c r="B50" s="9">
        <v>42229</v>
      </c>
      <c r="C50" t="str">
        <v>Редакция №1</v>
      </c>
      <c r="D50" t="str">
        <v>Твердый переплет</v>
      </c>
      <c r="E50" t="str">
        <v>Интернет-магазин</v>
      </c>
    </row>
    <row r="51" spans="1:5" x14ac:dyDescent="0.55000000000000004">
      <c r="A51" t="str">
        <v>«Хайди» — Иоганна Шпири</v>
      </c>
      <c r="B51" s="9">
        <v>42229</v>
      </c>
      <c r="C51" t="str">
        <v>Редакция №1</v>
      </c>
      <c r="D51" t="str">
        <v>Твердый переплет</v>
      </c>
      <c r="E51" t="str">
        <v>Интернет-магазин</v>
      </c>
    </row>
    <row r="52" spans="1:5" x14ac:dyDescent="0.55000000000000004">
      <c r="A52" t="str">
        <v>«Пение птиц» — Себастьян Фолкс</v>
      </c>
      <c r="B52" s="9">
        <v>42229</v>
      </c>
      <c r="C52" t="str">
        <v>Редакция №1</v>
      </c>
      <c r="D52" t="str">
        <v>Твердый переплет</v>
      </c>
      <c r="E52" t="str">
        <v>B2B</v>
      </c>
    </row>
    <row r="53" spans="1:5" x14ac:dyDescent="0.55000000000000004">
      <c r="A53" t="str">
        <v>«Хайди» — Иоганна Шпири</v>
      </c>
      <c r="B53" s="9">
        <v>42229</v>
      </c>
      <c r="C53" t="str">
        <v>Редакция №1</v>
      </c>
      <c r="D53" t="str">
        <v>Твердый переплет</v>
      </c>
      <c r="E53" t="str">
        <v>B2B</v>
      </c>
    </row>
    <row r="54" spans="1:5" x14ac:dyDescent="0.55000000000000004">
      <c r="A54" t="str">
        <v>«Чайка по имени Джонатан Ливингстон» — Ричард Бах</v>
      </c>
      <c r="B54" s="9">
        <v>42235</v>
      </c>
      <c r="C54" t="str">
        <v>Редакция №1</v>
      </c>
      <c r="D54" t="str">
        <v>Покетбук</v>
      </c>
      <c r="E54" t="str">
        <v>Дистрибуция</v>
      </c>
    </row>
    <row r="55" spans="1:5" x14ac:dyDescent="0.55000000000000004">
      <c r="A55" t="str">
        <v>«Чайка по имени Джонатан Ливингстон» — Ричард Бах</v>
      </c>
      <c r="B55" s="9">
        <v>42235</v>
      </c>
      <c r="C55" t="str">
        <v>Редакция №1</v>
      </c>
      <c r="D55" t="str">
        <v>Покетбук</v>
      </c>
      <c r="E55" t="str">
        <v>Интернет-магазин</v>
      </c>
    </row>
    <row r="56" spans="1:5" x14ac:dyDescent="0.55000000000000004">
      <c r="A56" t="str">
        <v>«Чайка по имени Джонатан Ливингстон» — Ричард Бах</v>
      </c>
      <c r="B56" s="9">
        <v>42235</v>
      </c>
      <c r="C56" t="str">
        <v>Редакция №1</v>
      </c>
      <c r="D56" t="str">
        <v>Покетбук</v>
      </c>
      <c r="E56" t="str">
        <v>B2B</v>
      </c>
    </row>
    <row r="57" spans="1:5" x14ac:dyDescent="0.55000000000000004">
      <c r="A57" t="str">
        <v>«Над пропастью во ржи» — Джером Сэлинджер</v>
      </c>
      <c r="B57" s="9">
        <v>42241</v>
      </c>
      <c r="C57" t="str">
        <v>Редакция №1</v>
      </c>
      <c r="D57" t="str">
        <v>Мягкая обложка</v>
      </c>
      <c r="E57" t="str">
        <v>Дистрибуция</v>
      </c>
    </row>
    <row r="58" spans="1:5" x14ac:dyDescent="0.55000000000000004">
      <c r="A58" t="str">
        <v>«Над пропастью во ржи» — Джером Сэлинджер</v>
      </c>
      <c r="B58" s="9">
        <v>42241</v>
      </c>
      <c r="C58" t="str">
        <v>Редакция №1</v>
      </c>
      <c r="D58" t="str">
        <v>Мягкая обложка</v>
      </c>
      <c r="E58" t="str">
        <v>Интернет-магазин</v>
      </c>
    </row>
    <row r="59" spans="1:5" x14ac:dyDescent="0.55000000000000004">
      <c r="A59" t="str">
        <v>«Над пропастью во ржи» — Джером Сэлинджер</v>
      </c>
      <c r="B59" s="9">
        <v>42241</v>
      </c>
      <c r="C59" t="str">
        <v>Редакция №1</v>
      </c>
      <c r="D59" t="str">
        <v>Мягкая обложка</v>
      </c>
      <c r="E59" t="str">
        <v>B2B</v>
      </c>
    </row>
    <row r="60" spans="1:5" x14ac:dyDescent="0.55000000000000004">
      <c r="A60" t="str">
        <v>«Волхв» — Джон Фаулз</v>
      </c>
      <c r="B60" s="9">
        <v>42244</v>
      </c>
      <c r="C60" t="str">
        <v>Редакция №1</v>
      </c>
      <c r="D60" t="str">
        <v>Мягкая обложка</v>
      </c>
      <c r="E60" t="str">
        <v>Дистрибуция</v>
      </c>
    </row>
    <row r="61" spans="1:5" x14ac:dyDescent="0.55000000000000004">
      <c r="A61" t="str">
        <v>«Волхв» — Джон Фаулз</v>
      </c>
      <c r="B61" s="9">
        <v>42244</v>
      </c>
      <c r="C61" t="str">
        <v>Редакция №1</v>
      </c>
      <c r="D61" t="str">
        <v>Мягкая обложка</v>
      </c>
      <c r="E61" t="str">
        <v>Интернет-магазин</v>
      </c>
    </row>
    <row r="62" spans="1:5" x14ac:dyDescent="0.55000000000000004">
      <c r="A62" t="str">
        <v>«Волхв» — Джон Фаулз</v>
      </c>
      <c r="B62" s="9">
        <v>42244</v>
      </c>
      <c r="C62" t="str">
        <v>Редакция №1</v>
      </c>
      <c r="D62" t="str">
        <v>Мягкая обложка</v>
      </c>
      <c r="E62" t="str">
        <v>B2B</v>
      </c>
    </row>
    <row r="63" spans="1:5" x14ac:dyDescent="0.55000000000000004">
      <c r="A63" t="str">
        <v>«На игле» — Ирвин Уэлш</v>
      </c>
      <c r="B63" s="9">
        <v>42254</v>
      </c>
      <c r="C63" t="str">
        <v>Редакция №1</v>
      </c>
      <c r="D63" t="str">
        <v>Твердый переплет</v>
      </c>
      <c r="E63" t="str">
        <v>Дистрибуция</v>
      </c>
    </row>
    <row r="64" spans="1:5" x14ac:dyDescent="0.55000000000000004">
      <c r="A64" t="str">
        <v>«На игле» — Ирвин Уэлш</v>
      </c>
      <c r="B64" s="9">
        <v>42254</v>
      </c>
      <c r="C64" t="str">
        <v>Редакция №1</v>
      </c>
      <c r="D64" t="str">
        <v>Твердый переплет</v>
      </c>
      <c r="E64" t="str">
        <v>Интернет-магазин</v>
      </c>
    </row>
    <row r="65" spans="1:5" x14ac:dyDescent="0.55000000000000004">
      <c r="A65" t="str">
        <v>«На игле» — Ирвин Уэлш</v>
      </c>
      <c r="B65" s="9">
        <v>42254</v>
      </c>
      <c r="C65" t="str">
        <v>Редакция №1</v>
      </c>
      <c r="D65" t="str">
        <v>Твердый переплет</v>
      </c>
      <c r="E65" t="str">
        <v>B2B</v>
      </c>
    </row>
    <row r="66" spans="1:5" x14ac:dyDescent="0.55000000000000004">
      <c r="A66" t="str">
        <v>«Вещие сестрички» — Терри Пратчетт</v>
      </c>
      <c r="B66" s="9">
        <v>42269</v>
      </c>
      <c r="C66" t="str">
        <v>Редакция №1</v>
      </c>
      <c r="D66" t="str">
        <v>Твердый переплет</v>
      </c>
      <c r="E66" t="str">
        <v>Дистрибуция</v>
      </c>
    </row>
    <row r="67" spans="1:5" x14ac:dyDescent="0.55000000000000004">
      <c r="A67" t="str">
        <v>«Вещие сестрички» — Терри Пратчетт</v>
      </c>
      <c r="B67" s="9">
        <v>42269</v>
      </c>
      <c r="C67" t="str">
        <v>Редакция №1</v>
      </c>
      <c r="D67" t="str">
        <v>Твердый переплет</v>
      </c>
      <c r="E67" t="str">
        <v>Интернет-магазин</v>
      </c>
    </row>
    <row r="68" spans="1:5" x14ac:dyDescent="0.55000000000000004">
      <c r="A68" t="str">
        <v>«Вещие сестрички» — Терри Пратчетт</v>
      </c>
      <c r="B68" s="9">
        <v>42269</v>
      </c>
      <c r="C68" t="str">
        <v>Редакция №1</v>
      </c>
      <c r="D68" t="str">
        <v>Твердый переплет</v>
      </c>
      <c r="E68" t="str">
        <v>B2B</v>
      </c>
    </row>
    <row r="69" spans="1:5" x14ac:dyDescent="0.55000000000000004">
      <c r="A69" t="str">
        <v>«Алиса в Стране чудес» — Льюис Кэрролл</v>
      </c>
      <c r="B69" s="9">
        <v>42306</v>
      </c>
      <c r="C69" t="str">
        <v>Редакция №1</v>
      </c>
      <c r="D69" t="str">
        <v>Покетбук</v>
      </c>
      <c r="E69" t="str">
        <v>Дистрибуция</v>
      </c>
    </row>
    <row r="70" spans="1:5" x14ac:dyDescent="0.55000000000000004">
      <c r="A70" t="str">
        <v>«Алиса в Стране чудес» — Льюис Кэрролл</v>
      </c>
      <c r="B70" s="9">
        <v>42306</v>
      </c>
      <c r="C70" t="str">
        <v>Редакция №1</v>
      </c>
      <c r="D70" t="str">
        <v>Покетбук</v>
      </c>
      <c r="E70" t="str">
        <v>Интернет-магазин</v>
      </c>
    </row>
    <row r="71" spans="1:5" x14ac:dyDescent="0.55000000000000004">
      <c r="A71" t="str">
        <v>«Алиса в Стране чудес» — Льюис Кэрролл</v>
      </c>
      <c r="B71" s="9">
        <v>42306</v>
      </c>
      <c r="C71" t="str">
        <v>Редакция №1</v>
      </c>
      <c r="D71" t="str">
        <v>Покетбук</v>
      </c>
      <c r="E71" t="str">
        <v>B2B</v>
      </c>
    </row>
    <row r="72" spans="1:5" x14ac:dyDescent="0.55000000000000004">
      <c r="A72" t="str">
        <v>«На западном фронте без перемен» — Эрих Мария Ремарк</v>
      </c>
      <c r="B72" s="9">
        <v>42315</v>
      </c>
      <c r="C72" t="str">
        <v>Редакция №1</v>
      </c>
      <c r="D72" t="str">
        <v>Твердый переплет</v>
      </c>
      <c r="E72" t="str">
        <v>Дистрибуция</v>
      </c>
    </row>
    <row r="73" spans="1:5" x14ac:dyDescent="0.55000000000000004">
      <c r="A73" t="str">
        <v>«На западном фронте без перемен» — Эрих Мария Ремарк</v>
      </c>
      <c r="B73" s="9">
        <v>42315</v>
      </c>
      <c r="C73" t="str">
        <v>Редакция №1</v>
      </c>
      <c r="D73" t="str">
        <v>Твердый переплет</v>
      </c>
      <c r="E73" t="str">
        <v>Интернет-магазин</v>
      </c>
    </row>
    <row r="74" spans="1:5" x14ac:dyDescent="0.55000000000000004">
      <c r="A74" t="str">
        <v>«На западном фронте без перемен» — Эрих Мария Ремарк</v>
      </c>
      <c r="B74" s="9">
        <v>42315</v>
      </c>
      <c r="C74" t="str">
        <v>Редакция №1</v>
      </c>
      <c r="D74" t="str">
        <v>Твердый переплет</v>
      </c>
      <c r="E74" t="str">
        <v>B2B</v>
      </c>
    </row>
    <row r="75" spans="1:5" x14ac:dyDescent="0.55000000000000004">
      <c r="A75" t="str">
        <v>«Любовь во время холеры» — Габриэль Гарсиа Маркес</v>
      </c>
      <c r="B75" s="9">
        <v>42320</v>
      </c>
      <c r="C75" t="str">
        <v>Редакция №1</v>
      </c>
      <c r="D75" t="str">
        <v>Мягкая обложка</v>
      </c>
      <c r="E75" t="str">
        <v>Дистрибуция</v>
      </c>
    </row>
    <row r="76" spans="1:5" x14ac:dyDescent="0.55000000000000004">
      <c r="A76" t="str">
        <v>«Любовь во время холеры» — Габриэль Гарсиа Маркес</v>
      </c>
      <c r="B76" s="9">
        <v>42320</v>
      </c>
      <c r="C76" t="str">
        <v>Редакция №1</v>
      </c>
      <c r="D76" t="str">
        <v>Мягкая обложка</v>
      </c>
      <c r="E76" t="str">
        <v>Интернет-магазин</v>
      </c>
    </row>
    <row r="77" spans="1:5" x14ac:dyDescent="0.55000000000000004">
      <c r="A77" t="str">
        <v>«Любовь во время холеры» — Габриэль Гарсиа Маркес</v>
      </c>
      <c r="B77" s="9">
        <v>42320</v>
      </c>
      <c r="C77" t="str">
        <v>Редакция №1</v>
      </c>
      <c r="D77" t="str">
        <v>Мягкая обложка</v>
      </c>
      <c r="E77" t="str">
        <v>B2B</v>
      </c>
    </row>
    <row r="78" spans="1:5" x14ac:dyDescent="0.55000000000000004">
      <c r="A78" t="str">
        <v>«Разрисованная мама» — Жаклин Уилсон</v>
      </c>
      <c r="B78" s="9">
        <v>42329</v>
      </c>
      <c r="C78" t="str">
        <v>Редакция №2</v>
      </c>
      <c r="D78" t="str">
        <v>Покетбук</v>
      </c>
      <c r="E78" t="str">
        <v>Дистрибуция</v>
      </c>
    </row>
    <row r="79" spans="1:5" x14ac:dyDescent="0.55000000000000004">
      <c r="A79" t="str">
        <v>«Разрисованная мама» — Жаклин Уилсон</v>
      </c>
      <c r="B79" s="9">
        <v>42329</v>
      </c>
      <c r="C79" t="str">
        <v>Редакция №2</v>
      </c>
      <c r="D79" t="str">
        <v>Покетбук</v>
      </c>
      <c r="E79" t="str">
        <v>Интернет-магазин</v>
      </c>
    </row>
    <row r="80" spans="1:5" x14ac:dyDescent="0.55000000000000004">
      <c r="A80" t="str">
        <v>«Разрисованная мама» — Жаклин Уилсон</v>
      </c>
      <c r="B80" s="9">
        <v>42329</v>
      </c>
      <c r="C80" t="str">
        <v>Редакция №2</v>
      </c>
      <c r="D80" t="str">
        <v>Покетбук</v>
      </c>
      <c r="E80" t="str">
        <v>B2B</v>
      </c>
    </row>
    <row r="81" spans="1:5" x14ac:dyDescent="0.55000000000000004">
      <c r="A81" t="str">
        <v>«Лорна Дун» — Ричард Блэкмор</v>
      </c>
      <c r="B81" s="9">
        <v>42331</v>
      </c>
      <c r="C81" t="str">
        <v>Редакция №1</v>
      </c>
      <c r="D81" t="str">
        <v>Твердый переплет</v>
      </c>
      <c r="E81" t="str">
        <v>Дистрибуция</v>
      </c>
    </row>
    <row r="82" spans="1:5" x14ac:dyDescent="0.55000000000000004">
      <c r="A82" t="str">
        <v>«Лорна Дун» — Ричард Блэкмор</v>
      </c>
      <c r="B82" s="9">
        <v>42331</v>
      </c>
      <c r="C82" t="str">
        <v>Редакция №1</v>
      </c>
      <c r="D82" t="str">
        <v>Твердый переплет</v>
      </c>
      <c r="E82" t="str">
        <v>Интернет-магазин</v>
      </c>
    </row>
    <row r="83" spans="1:5" x14ac:dyDescent="0.55000000000000004">
      <c r="A83" t="str">
        <v>«Лорна Дун» — Ричард Блэкмор</v>
      </c>
      <c r="B83" s="9">
        <v>42331</v>
      </c>
      <c r="C83" t="str">
        <v>Редакция №1</v>
      </c>
      <c r="D83" t="str">
        <v>Твердый переплет</v>
      </c>
      <c r="E83" t="str">
        <v>B2B</v>
      </c>
    </row>
    <row r="84" spans="1:5" x14ac:dyDescent="0.55000000000000004">
      <c r="A84" t="str">
        <v>«Трое в лодке, не считая собаки» — Джером К</v>
      </c>
      <c r="B84" s="9">
        <v>42332</v>
      </c>
      <c r="C84" t="str">
        <v>Редакция №2</v>
      </c>
      <c r="D84" t="str">
        <v>Покетбук</v>
      </c>
      <c r="E84" t="str">
        <v>Дистрибуция</v>
      </c>
    </row>
    <row r="85" spans="1:5" x14ac:dyDescent="0.55000000000000004">
      <c r="A85" t="str">
        <v>«Трое в лодке, не считая собаки» — Джером К</v>
      </c>
      <c r="B85" s="9">
        <v>42332</v>
      </c>
      <c r="C85" t="str">
        <v>Редакция №2</v>
      </c>
      <c r="D85" t="str">
        <v>Покетбук</v>
      </c>
      <c r="E85" t="str">
        <v>Интернет-магазин</v>
      </c>
    </row>
    <row r="86" spans="1:5" x14ac:dyDescent="0.55000000000000004">
      <c r="A86" t="str">
        <v>«Трое в лодке, не считая собаки» — Джером К</v>
      </c>
      <c r="B86" s="9">
        <v>42332</v>
      </c>
      <c r="C86" t="str">
        <v>Редакция №2</v>
      </c>
      <c r="D86" t="str">
        <v>Покетбук</v>
      </c>
      <c r="E86" t="str">
        <v>B2B</v>
      </c>
    </row>
    <row r="87" spans="1:5" x14ac:dyDescent="0.55000000000000004">
      <c r="A87" t="str">
        <v>«Матильда» — Роальд Даль</v>
      </c>
      <c r="B87" s="9">
        <v>42340</v>
      </c>
      <c r="C87" t="str">
        <v>Редакция №1</v>
      </c>
      <c r="D87" t="str">
        <v>Мягкая обложка</v>
      </c>
      <c r="E87" t="str">
        <v>Дистрибуция</v>
      </c>
    </row>
    <row r="88" spans="1:5" x14ac:dyDescent="0.55000000000000004">
      <c r="A88" t="str">
        <v>«Матильда» — Роальд Даль</v>
      </c>
      <c r="B88" s="9">
        <v>42340</v>
      </c>
      <c r="C88" t="str">
        <v>Редакция №1</v>
      </c>
      <c r="D88" t="str">
        <v>Мягкая обложка</v>
      </c>
      <c r="E88" t="str">
        <v>Интернет-магазин</v>
      </c>
    </row>
    <row r="89" spans="1:5" x14ac:dyDescent="0.55000000000000004">
      <c r="A89" t="str">
        <v>«Матильда» — Роальд Даль</v>
      </c>
      <c r="B89" s="9">
        <v>42340</v>
      </c>
      <c r="C89" t="str">
        <v>Редакция №1</v>
      </c>
      <c r="D89" t="str">
        <v>Мягкая обложка</v>
      </c>
      <c r="E89" t="str">
        <v>B2B</v>
      </c>
    </row>
    <row r="90" spans="1:5" x14ac:dyDescent="0.55000000000000004">
      <c r="A90" t="str">
        <v>«Благие знамения» — Терри Пратчетт и Нил Гейман</v>
      </c>
      <c r="B90" s="9">
        <v>42356</v>
      </c>
      <c r="C90" t="str">
        <v>Редакция №2</v>
      </c>
      <c r="D90" t="str">
        <v>Покетбук</v>
      </c>
      <c r="E90" t="str">
        <v>Дистрибуция</v>
      </c>
    </row>
    <row r="91" spans="1:5" x14ac:dyDescent="0.55000000000000004">
      <c r="A91" t="str">
        <v>«Благие знамения» — Терри Пратчетт и Нил Гейман</v>
      </c>
      <c r="B91" s="9">
        <v>42356</v>
      </c>
      <c r="C91" t="str">
        <v>Редакция №2</v>
      </c>
      <c r="D91" t="str">
        <v>Покетбук</v>
      </c>
      <c r="E91" t="str">
        <v>Интернет-магазин</v>
      </c>
    </row>
    <row r="92" spans="1:5" x14ac:dyDescent="0.55000000000000004">
      <c r="A92" t="str">
        <v>«Благие знамения» — Терри Пратчетт и Нил Гейман</v>
      </c>
      <c r="B92" s="9">
        <v>42356</v>
      </c>
      <c r="C92" t="str">
        <v>Редакция №2</v>
      </c>
      <c r="D92" t="str">
        <v>Покетбук</v>
      </c>
      <c r="E92" t="str">
        <v>B2B</v>
      </c>
    </row>
    <row r="93" spans="1:5" x14ac:dyDescent="0.55000000000000004">
      <c r="A93" t="str">
        <v>«Обитатели холмов» — Ричард Адамс</v>
      </c>
      <c r="B93" s="9">
        <v>42360</v>
      </c>
      <c r="C93" t="str">
        <v>Редакция №2</v>
      </c>
      <c r="D93" t="str">
        <v>Мягкая обложка</v>
      </c>
      <c r="E93" t="str">
        <v>Дистрибуция</v>
      </c>
    </row>
    <row r="94" spans="1:5" x14ac:dyDescent="0.55000000000000004">
      <c r="A94" t="str">
        <v>«Обитатели холмов» — Ричард Адамс</v>
      </c>
      <c r="B94" s="9">
        <v>42360</v>
      </c>
      <c r="C94" t="str">
        <v>Редакция №2</v>
      </c>
      <c r="D94" t="str">
        <v>Мягкая обложка</v>
      </c>
      <c r="E94" t="str">
        <v>Интернет-магазин</v>
      </c>
    </row>
    <row r="95" spans="1:5" x14ac:dyDescent="0.55000000000000004">
      <c r="A95" t="str">
        <v>«Обитатели холмов» — Ричард Адамс</v>
      </c>
      <c r="B95" s="9">
        <v>42360</v>
      </c>
      <c r="C95" t="str">
        <v>Редакция №2</v>
      </c>
      <c r="D95" t="str">
        <v>Мягкая обложка</v>
      </c>
      <c r="E95" t="str">
        <v>B2B</v>
      </c>
    </row>
    <row r="96" spans="1:5" x14ac:dyDescent="0.55000000000000004">
      <c r="A96" t="str">
        <v>«Рассказ служанки» — Маргарет Этвуд</v>
      </c>
      <c r="B96" s="9">
        <v>42368</v>
      </c>
      <c r="C96" t="str">
        <v>Редакция №2</v>
      </c>
      <c r="D96" t="str">
        <v>Твердый переплет</v>
      </c>
      <c r="E96" t="str">
        <v>Дистрибуция</v>
      </c>
    </row>
    <row r="97" spans="1:5" x14ac:dyDescent="0.55000000000000004">
      <c r="A97" t="str">
        <v>«Рассказ служанки» — Маргарет Этвуд</v>
      </c>
      <c r="B97" s="9">
        <v>42368</v>
      </c>
      <c r="C97" t="str">
        <v>Редакция №2</v>
      </c>
      <c r="D97" t="str">
        <v>Твердый переплет</v>
      </c>
      <c r="E97" t="str">
        <v>Интернет-магазин</v>
      </c>
    </row>
    <row r="98" spans="1:5" x14ac:dyDescent="0.55000000000000004">
      <c r="A98" t="str">
        <v>«Рассказ служанки» — Маргарет Этвуд</v>
      </c>
      <c r="B98" s="9">
        <v>42368</v>
      </c>
      <c r="C98" t="str">
        <v>Редакция №2</v>
      </c>
      <c r="D98" t="str">
        <v>Твердый переплет</v>
      </c>
      <c r="E98" t="str">
        <v>B2B</v>
      </c>
    </row>
    <row r="99" spans="1:5" x14ac:dyDescent="0.55000000000000004">
      <c r="A99" t="str">
        <v>«К востоку от рая» — Джон Стейнбек</v>
      </c>
      <c r="B99" s="9">
        <v>42369</v>
      </c>
      <c r="C99" t="str">
        <v>Редакция №1</v>
      </c>
      <c r="D99" t="str">
        <v>Покетбук</v>
      </c>
      <c r="E99" t="str">
        <v>Дистрибуция</v>
      </c>
    </row>
    <row r="100" spans="1:5" x14ac:dyDescent="0.55000000000000004">
      <c r="A100" t="str">
        <v>«К востоку от рая» — Джон Стейнбек</v>
      </c>
      <c r="B100" s="9">
        <v>42369</v>
      </c>
      <c r="C100" t="str">
        <v>Редакция №1</v>
      </c>
      <c r="D100" t="str">
        <v>Покетбук</v>
      </c>
      <c r="E100" t="str">
        <v>Интернет-магазин</v>
      </c>
    </row>
    <row r="101" spans="1:5" x14ac:dyDescent="0.55000000000000004">
      <c r="A101" t="str">
        <v>«К востоку от рая» — Джон Стейнбек</v>
      </c>
      <c r="B101" s="9">
        <v>42369</v>
      </c>
      <c r="C101" t="str">
        <v>Редакция №1</v>
      </c>
      <c r="D101" t="str">
        <v>Покетбук</v>
      </c>
      <c r="E101" t="str">
        <v>B2B</v>
      </c>
    </row>
    <row r="102" spans="1:5" x14ac:dyDescent="0.55000000000000004">
      <c r="A102" t="str">
        <v>«Чужестранка» — Диана Гэблдон</v>
      </c>
      <c r="B102" s="9">
        <v>42380</v>
      </c>
      <c r="C102" t="str">
        <v>Редакция №1</v>
      </c>
      <c r="D102" t="str">
        <v>Мягкая обложка</v>
      </c>
      <c r="E102" t="str">
        <v>Дистрибуция</v>
      </c>
    </row>
    <row r="103" spans="1:5" x14ac:dyDescent="0.55000000000000004">
      <c r="A103" t="str">
        <v>«Чужестранка» — Диана Гэблдон</v>
      </c>
      <c r="B103" s="9">
        <v>42380</v>
      </c>
      <c r="C103" t="str">
        <v>Редакция №1</v>
      </c>
      <c r="D103" t="str">
        <v>Мягкая обложка</v>
      </c>
      <c r="E103" t="str">
        <v>Интернет-магазин</v>
      </c>
    </row>
    <row r="104" spans="1:5" x14ac:dyDescent="0.55000000000000004">
      <c r="A104" t="str">
        <v>«Чужестранка» — Диана Гэблдон</v>
      </c>
      <c r="B104" s="9">
        <v>42380</v>
      </c>
      <c r="C104" t="str">
        <v>Редакция №1</v>
      </c>
      <c r="D104" t="str">
        <v>Мягкая обложка</v>
      </c>
      <c r="E104" t="str">
        <v>B2B</v>
      </c>
    </row>
    <row r="105" spans="1:5" x14ac:dyDescent="0.55000000000000004">
      <c r="A105" t="str">
        <v>«Заклинатель лошадей» — Николас Эванс</v>
      </c>
      <c r="B105" s="9">
        <v>42412</v>
      </c>
      <c r="C105" t="str">
        <v>Редакция №1</v>
      </c>
      <c r="D105" t="str">
        <v>Твердый переплет</v>
      </c>
      <c r="E105" t="str">
        <v>Дистрибуция</v>
      </c>
    </row>
    <row r="106" spans="1:5" x14ac:dyDescent="0.55000000000000004">
      <c r="A106" t="str">
        <v>«Заклинатель лошадей» — Николас Эванс</v>
      </c>
      <c r="B106" s="9">
        <v>42412</v>
      </c>
      <c r="C106" t="str">
        <v>Редакция №1</v>
      </c>
      <c r="D106" t="str">
        <v>Твердый переплет</v>
      </c>
      <c r="E106" t="str">
        <v>Интернет-магазин</v>
      </c>
    </row>
    <row r="107" spans="1:5" x14ac:dyDescent="0.55000000000000004">
      <c r="A107" t="str">
        <v>«Заклинатель лошадей» — Николас Эванс</v>
      </c>
      <c r="B107" s="9">
        <v>42412</v>
      </c>
      <c r="C107" t="str">
        <v>Редакция №1</v>
      </c>
      <c r="D107" t="str">
        <v>Твердый переплет</v>
      </c>
      <c r="E107" t="str">
        <v>B2B</v>
      </c>
    </row>
    <row r="108" spans="1:5" x14ac:dyDescent="0.55000000000000004">
      <c r="A108" t="str">
        <v>«Паутина Шарлотты» — Элвин Брукс Уайт</v>
      </c>
      <c r="B108" s="9">
        <v>42419</v>
      </c>
      <c r="C108" t="str">
        <v>Редакция №2</v>
      </c>
      <c r="D108" t="str">
        <v>Твердый переплет</v>
      </c>
      <c r="E108" t="str">
        <v>Дистрибуция</v>
      </c>
    </row>
    <row r="109" spans="1:5" x14ac:dyDescent="0.55000000000000004">
      <c r="A109" t="str">
        <v>«Паутина Шарлотты» — Элвин Брукс Уайт</v>
      </c>
      <c r="B109" s="9">
        <v>42419</v>
      </c>
      <c r="C109" t="str">
        <v>Редакция №2</v>
      </c>
      <c r="D109" t="str">
        <v>Твердый переплет</v>
      </c>
      <c r="E109" t="str">
        <v>Интернет-магазин</v>
      </c>
    </row>
    <row r="110" spans="1:5" x14ac:dyDescent="0.55000000000000004">
      <c r="A110" t="str">
        <v>«Паутина Шарлотты» — Элвин Брукс Уайт</v>
      </c>
      <c r="B110" s="9">
        <v>42419</v>
      </c>
      <c r="C110" t="str">
        <v>Редакция №2</v>
      </c>
      <c r="D110" t="str">
        <v>Твердый переплет</v>
      </c>
      <c r="E110" t="str">
        <v>B2B</v>
      </c>
    </row>
    <row r="111" spans="1:5" x14ac:dyDescent="0.55000000000000004">
      <c r="A111" t="str">
        <v>«Джеймс и гигантский персик» — Роальд Даль</v>
      </c>
      <c r="B111" s="9">
        <v>42423</v>
      </c>
      <c r="C111" t="str">
        <v>Редакция №2</v>
      </c>
      <c r="D111" t="str">
        <v>Твердый переплет</v>
      </c>
      <c r="E111" t="str">
        <v>Дистрибуция</v>
      </c>
    </row>
    <row r="112" spans="1:5" x14ac:dyDescent="0.55000000000000004">
      <c r="A112" t="str">
        <v>«Джеймс и гигантский персик» — Роальд Даль</v>
      </c>
      <c r="B112" s="9">
        <v>42423</v>
      </c>
      <c r="C112" t="str">
        <v>Редакция №2</v>
      </c>
      <c r="D112" t="str">
        <v>Твердый переплет</v>
      </c>
      <c r="E112" t="str">
        <v>Интернет-магазин</v>
      </c>
    </row>
    <row r="113" spans="1:5" x14ac:dyDescent="0.55000000000000004">
      <c r="A113" t="str">
        <v>«Джеймс и гигантский персик» — Роальд Даль</v>
      </c>
      <c r="B113" s="9">
        <v>42423</v>
      </c>
      <c r="C113" t="str">
        <v>Редакция №2</v>
      </c>
      <c r="D113" t="str">
        <v>Твердый переплет</v>
      </c>
      <c r="E113" t="str">
        <v>B2B</v>
      </c>
    </row>
    <row r="114" spans="1:5" x14ac:dyDescent="0.55000000000000004">
      <c r="A114" t="str">
        <v>«Поющие в терновнике» — Колин Маккалоу</v>
      </c>
      <c r="B114" s="9">
        <v>42436</v>
      </c>
      <c r="C114" t="str">
        <v>Редакция №2</v>
      </c>
      <c r="D114" t="str">
        <v>Покетбук</v>
      </c>
      <c r="E114" t="str">
        <v>Дистрибуция</v>
      </c>
    </row>
    <row r="115" spans="1:5" x14ac:dyDescent="0.55000000000000004">
      <c r="A115" t="str">
        <v>«Поющие в терновнике» — Колин Маккалоу</v>
      </c>
      <c r="B115" s="9">
        <v>42436</v>
      </c>
      <c r="C115" t="str">
        <v>Редакция №2</v>
      </c>
      <c r="D115" t="str">
        <v>Покетбук</v>
      </c>
      <c r="E115" t="str">
        <v>Интернет-магазин</v>
      </c>
    </row>
    <row r="116" spans="1:5" x14ac:dyDescent="0.55000000000000004">
      <c r="A116" t="str">
        <v>«Поющие в терновнике» — Колин Маккалоу</v>
      </c>
      <c r="B116" s="9">
        <v>42436</v>
      </c>
      <c r="C116" t="str">
        <v>Редакция №2</v>
      </c>
      <c r="D116" t="str">
        <v>Покетбук</v>
      </c>
      <c r="E116" t="str">
        <v>B2B</v>
      </c>
    </row>
    <row r="117" spans="1:5" x14ac:dyDescent="0.55000000000000004">
      <c r="A117" t="str">
        <v>«Франкенштейн, или Современный Прометей» — Мэри Шелли</v>
      </c>
      <c r="B117" s="9">
        <v>42458</v>
      </c>
      <c r="C117" t="str">
        <v>Редакция №2</v>
      </c>
      <c r="D117" t="str">
        <v>Твердый переплет</v>
      </c>
      <c r="E117" t="str">
        <v>Дистрибуция</v>
      </c>
    </row>
    <row r="118" spans="1:5" x14ac:dyDescent="0.55000000000000004">
      <c r="A118" t="str">
        <v>«Франкенштейн, или Современный Прометей» — Мэри Шелли</v>
      </c>
      <c r="B118" s="9">
        <v>42458</v>
      </c>
      <c r="C118" t="str">
        <v>Редакция №2</v>
      </c>
      <c r="D118" t="str">
        <v>Твердый переплет</v>
      </c>
      <c r="E118" t="str">
        <v>Интернет-магазин</v>
      </c>
    </row>
    <row r="119" spans="1:5" x14ac:dyDescent="0.55000000000000004">
      <c r="A119" t="str">
        <v>«Франкенштейн, или Современный Прометей» — Мэри Шелли</v>
      </c>
      <c r="B119" s="9">
        <v>42458</v>
      </c>
      <c r="C119" t="str">
        <v>Редакция №2</v>
      </c>
      <c r="D119" t="str">
        <v>Твердый переплет</v>
      </c>
      <c r="E119" t="str">
        <v>B2B</v>
      </c>
    </row>
    <row r="120" spans="1:5" x14ac:dyDescent="0.55000000000000004">
      <c r="A120" t="str">
        <v>«Семейная реликвия» — Розамунд Пилчер</v>
      </c>
      <c r="B120" s="9">
        <v>42464</v>
      </c>
      <c r="C120" t="str">
        <v>Редакция №2</v>
      </c>
      <c r="D120" t="str">
        <v>Покетбук</v>
      </c>
      <c r="E120" t="str">
        <v>Дистрибуция</v>
      </c>
    </row>
    <row r="121" spans="1:5" x14ac:dyDescent="0.55000000000000004">
      <c r="A121" t="str">
        <v>«Семейная реликвия» — Розамунд Пилчер</v>
      </c>
      <c r="B121" s="9">
        <v>42464</v>
      </c>
      <c r="C121" t="str">
        <v>Редакция №2</v>
      </c>
      <c r="D121" t="str">
        <v>Покетбук</v>
      </c>
      <c r="E121" t="str">
        <v>Интернет-магазин</v>
      </c>
    </row>
    <row r="122" spans="1:5" x14ac:dyDescent="0.55000000000000004">
      <c r="A122" t="str">
        <v>«Семейная реликвия» — Розамунд Пилчер</v>
      </c>
      <c r="B122" s="9">
        <v>42464</v>
      </c>
      <c r="C122" t="str">
        <v>Редакция №2</v>
      </c>
      <c r="D122" t="str">
        <v>Покетбук</v>
      </c>
      <c r="E122" t="str">
        <v>B2B</v>
      </c>
    </row>
    <row r="123" spans="1:5" x14ac:dyDescent="0.55000000000000004">
      <c r="A123" t="str">
        <v>«Дракула» — Брэм Стокер</v>
      </c>
      <c r="B123" s="9">
        <v>42481</v>
      </c>
      <c r="C123" t="str">
        <v>Редакция №2</v>
      </c>
      <c r="D123" t="str">
        <v>Твердый переплет</v>
      </c>
      <c r="E123" t="str">
        <v>Дистрибуция</v>
      </c>
    </row>
    <row r="124" spans="1:5" x14ac:dyDescent="0.55000000000000004">
      <c r="A124" t="str">
        <v>«Дракула» — Брэм Стокер</v>
      </c>
      <c r="B124" s="9">
        <v>42481</v>
      </c>
      <c r="C124" t="str">
        <v>Редакция №2</v>
      </c>
      <c r="D124" t="str">
        <v>Твердый переплет</v>
      </c>
      <c r="E124" t="str">
        <v>Интернет-магазин</v>
      </c>
    </row>
    <row r="125" spans="1:5" x14ac:dyDescent="0.55000000000000004">
      <c r="A125" t="str">
        <v>«Дракула» — Брэм Стокер</v>
      </c>
      <c r="B125" s="9">
        <v>42481</v>
      </c>
      <c r="C125" t="str">
        <v>Редакция №2</v>
      </c>
      <c r="D125" t="str">
        <v>Твердый переплет</v>
      </c>
      <c r="E125" t="str">
        <v>B2B</v>
      </c>
    </row>
    <row r="126" spans="1:5" x14ac:dyDescent="0.55000000000000004">
      <c r="A126" t="str">
        <v>«Властелин колец» — Джон Р. Р. Толкин</v>
      </c>
      <c r="B126" s="9">
        <v>42484</v>
      </c>
      <c r="C126" t="str">
        <v>Редакция №1</v>
      </c>
      <c r="D126" t="str">
        <v>Мягкая обложка</v>
      </c>
      <c r="E126" t="str">
        <v>Дистрибуция</v>
      </c>
    </row>
    <row r="127" spans="1:5" x14ac:dyDescent="0.55000000000000004">
      <c r="A127" t="str">
        <v>«Властелин колец» — Джон Р. Р. Толкин</v>
      </c>
      <c r="B127" s="9">
        <v>42484</v>
      </c>
      <c r="C127" t="str">
        <v>Редакция №1</v>
      </c>
      <c r="D127" t="str">
        <v>Мягкая обложка</v>
      </c>
      <c r="E127" t="str">
        <v>Интернет-магазин</v>
      </c>
    </row>
    <row r="128" spans="1:5" x14ac:dyDescent="0.55000000000000004">
      <c r="A128" t="str">
        <v>«Властелин колец» — Джон Р. Р. Толкин</v>
      </c>
      <c r="B128" s="9">
        <v>42484</v>
      </c>
      <c r="C128" t="str">
        <v>Редакция №1</v>
      </c>
      <c r="D128" t="str">
        <v>Мягкая обложка</v>
      </c>
      <c r="E128" t="str">
        <v>B2B</v>
      </c>
    </row>
    <row r="129" spans="1:5" x14ac:dyDescent="0.55000000000000004">
      <c r="A129" t="str">
        <v>«Остров сокровищ» — Роберт Стивенсон</v>
      </c>
      <c r="B129" s="9">
        <v>42503</v>
      </c>
      <c r="C129" t="str">
        <v>Редакция №2</v>
      </c>
      <c r="D129" t="str">
        <v>Покетбук</v>
      </c>
      <c r="E129" t="str">
        <v>Дистрибуция</v>
      </c>
    </row>
    <row r="130" spans="1:5" x14ac:dyDescent="0.55000000000000004">
      <c r="A130" t="str">
        <v>«Остров сокровищ» — Роберт Стивенсон</v>
      </c>
      <c r="B130" s="9">
        <v>42503</v>
      </c>
      <c r="C130" t="str">
        <v>Редакция №2</v>
      </c>
      <c r="D130" t="str">
        <v>Покетбук</v>
      </c>
      <c r="E130" t="str">
        <v>Интернет-магазин</v>
      </c>
    </row>
    <row r="131" spans="1:5" x14ac:dyDescent="0.55000000000000004">
      <c r="A131" t="str">
        <v>«Остров сокровищ» — Роберт Стивенсон</v>
      </c>
      <c r="B131" s="9">
        <v>42503</v>
      </c>
      <c r="C131" t="str">
        <v>Редакция №2</v>
      </c>
      <c r="D131" t="str">
        <v>Покетбук</v>
      </c>
      <c r="E131" t="str">
        <v>B2B</v>
      </c>
    </row>
    <row r="132" spans="1:5" x14ac:dyDescent="0.55000000000000004">
      <c r="A132" t="str">
        <v>«Доводы рассудка» — Джейн Остин</v>
      </c>
      <c r="B132" s="9">
        <v>42510</v>
      </c>
      <c r="C132" t="str">
        <v>Редакция №2</v>
      </c>
      <c r="D132" t="str">
        <v>Твердый переплет</v>
      </c>
      <c r="E132" t="str">
        <v>Дистрибуция</v>
      </c>
    </row>
    <row r="133" spans="1:5" x14ac:dyDescent="0.55000000000000004">
      <c r="A133" t="str">
        <v>«Доводы рассудка» — Джейн Остин</v>
      </c>
      <c r="B133" s="9">
        <v>42510</v>
      </c>
      <c r="C133" t="str">
        <v>Редакция №2</v>
      </c>
      <c r="D133" t="str">
        <v>Твердый переплет</v>
      </c>
      <c r="E133" t="str">
        <v>Интернет-магазин</v>
      </c>
    </row>
    <row r="134" spans="1:5" x14ac:dyDescent="0.55000000000000004">
      <c r="A134" t="str">
        <v>«Доводы рассудка» — Джейн Остин</v>
      </c>
      <c r="B134" s="9">
        <v>42510</v>
      </c>
      <c r="C134" t="str">
        <v>Редакция №2</v>
      </c>
      <c r="D134" t="str">
        <v>Твердый переплет</v>
      </c>
      <c r="E134" t="str">
        <v>B2B</v>
      </c>
    </row>
    <row r="135" spans="1:5" x14ac:dyDescent="0.55000000000000004">
      <c r="A135" t="str">
        <v>«Ангус, ремни и конкретные обжимашки» — Луиз Рэннисон</v>
      </c>
      <c r="B135" s="9">
        <v>42514</v>
      </c>
      <c r="C135" t="str">
        <v>Редакция №2</v>
      </c>
      <c r="D135" t="str">
        <v>Мягкая обложка</v>
      </c>
      <c r="E135" t="str">
        <v>Дистрибуция</v>
      </c>
    </row>
    <row r="136" spans="1:5" x14ac:dyDescent="0.55000000000000004">
      <c r="A136" t="str">
        <v>«Ангус, ремни и конкретные обжимашки» — Луиз Рэннисон</v>
      </c>
      <c r="B136" s="9">
        <v>42514</v>
      </c>
      <c r="C136" t="str">
        <v>Редакция №2</v>
      </c>
      <c r="D136" t="str">
        <v>Мягкая обложка</v>
      </c>
      <c r="E136" t="str">
        <v>Интернет-магазин</v>
      </c>
    </row>
    <row r="137" spans="1:5" x14ac:dyDescent="0.55000000000000004">
      <c r="A137" t="str">
        <v>«Ангус, ремни и конкретные обжимашки» — Луиз Рэннисон</v>
      </c>
      <c r="B137" s="9">
        <v>42514</v>
      </c>
      <c r="C137" t="str">
        <v>Редакция №2</v>
      </c>
      <c r="D137" t="str">
        <v>Мягкая обложка</v>
      </c>
      <c r="E137" t="str">
        <v>B2B</v>
      </c>
    </row>
    <row r="138" spans="1:5" x14ac:dyDescent="0.55000000000000004">
      <c r="A138" t="str">
        <v>«Филантропы в рваных штанах» — Роберт Тресселл</v>
      </c>
      <c r="B138" s="9">
        <v>42526</v>
      </c>
      <c r="C138" t="str">
        <v>Редакция №1</v>
      </c>
      <c r="D138" t="str">
        <v>Покетбук</v>
      </c>
      <c r="E138" t="str">
        <v>Дистрибуция</v>
      </c>
    </row>
    <row r="139" spans="1:5" x14ac:dyDescent="0.55000000000000004">
      <c r="A139" t="str">
        <v>«Филантропы в рваных штанах» — Роберт Тресселл</v>
      </c>
      <c r="B139" s="9">
        <v>42526</v>
      </c>
      <c r="C139" t="str">
        <v>Редакция №1</v>
      </c>
      <c r="D139" t="str">
        <v>Покетбук</v>
      </c>
      <c r="E139" t="str">
        <v>Интернет-магазин</v>
      </c>
    </row>
    <row r="140" spans="1:5" x14ac:dyDescent="0.55000000000000004">
      <c r="A140" t="str">
        <v>«Филантропы в рваных штанах» — Роберт Тресселл</v>
      </c>
      <c r="B140" s="9">
        <v>42526</v>
      </c>
      <c r="C140" t="str">
        <v>Редакция №1</v>
      </c>
      <c r="D140" t="str">
        <v>Покетбук</v>
      </c>
      <c r="E140" t="str">
        <v>B2B</v>
      </c>
    </row>
    <row r="141" spans="1:5" x14ac:dyDescent="0.55000000000000004">
      <c r="A141" t="str">
        <v>«Сага о Форсайтах» — Джон Голсуорси</v>
      </c>
      <c r="B141" s="9">
        <v>42540</v>
      </c>
      <c r="C141" t="str">
        <v>Редакция №1</v>
      </c>
      <c r="D141" t="str">
        <v>Покетбук</v>
      </c>
      <c r="E141" t="str">
        <v>Дистрибуция</v>
      </c>
    </row>
    <row r="142" spans="1:5" x14ac:dyDescent="0.55000000000000004">
      <c r="A142" t="str">
        <v>«Сага о Форсайтах» — Джон Голсуорси</v>
      </c>
      <c r="B142" s="9">
        <v>42540</v>
      </c>
      <c r="C142" t="str">
        <v>Редакция №1</v>
      </c>
      <c r="D142" t="str">
        <v>Покетбук</v>
      </c>
      <c r="E142" t="str">
        <v>Интернет-магазин</v>
      </c>
    </row>
    <row r="143" spans="1:5" x14ac:dyDescent="0.55000000000000004">
      <c r="A143" t="str">
        <v>«Сага о Форсайтах» — Джон Голсуорси</v>
      </c>
      <c r="B143" s="9">
        <v>42540</v>
      </c>
      <c r="C143" t="str">
        <v>Редакция №1</v>
      </c>
      <c r="D143" t="str">
        <v>Покетбук</v>
      </c>
      <c r="E143" t="str">
        <v>B2B</v>
      </c>
    </row>
    <row r="144" spans="1:5" x14ac:dyDescent="0.55000000000000004">
      <c r="A144" t="str">
        <v>«Джуд Незаметный» — Томас Харди</v>
      </c>
      <c r="B144" s="9">
        <v>42553</v>
      </c>
      <c r="C144" t="str">
        <v>Редакция №1</v>
      </c>
      <c r="D144" t="str">
        <v>Мягкая обложка</v>
      </c>
      <c r="E144" t="str">
        <v>Дистрибуция</v>
      </c>
    </row>
    <row r="145" spans="1:5" x14ac:dyDescent="0.55000000000000004">
      <c r="A145" t="str">
        <v>«Джуд Незаметный» — Томас Харди</v>
      </c>
      <c r="B145" s="9">
        <v>42553</v>
      </c>
      <c r="C145" t="str">
        <v>Редакция №1</v>
      </c>
      <c r="D145" t="str">
        <v>Мягкая обложка</v>
      </c>
      <c r="E145" t="str">
        <v>Интернет-магазин</v>
      </c>
    </row>
    <row r="146" spans="1:5" x14ac:dyDescent="0.55000000000000004">
      <c r="A146" t="str">
        <v>«Джуд Незаметный» — Томас Харди</v>
      </c>
      <c r="B146" s="9">
        <v>42553</v>
      </c>
      <c r="C146" t="str">
        <v>Редакция №1</v>
      </c>
      <c r="D146" t="str">
        <v>Мягкая обложка</v>
      </c>
      <c r="E146" t="str">
        <v>B2B</v>
      </c>
    </row>
    <row r="147" spans="1:5" x14ac:dyDescent="0.55000000000000004">
      <c r="A147" t="str">
        <v>«Гарри Поттер и философский камень» — Джоан Роулинг</v>
      </c>
      <c r="B147" s="9">
        <v>42569</v>
      </c>
      <c r="C147" t="str">
        <v>Редакция №2</v>
      </c>
      <c r="D147" t="str">
        <v>Мягкая обложка</v>
      </c>
      <c r="E147" t="str">
        <v>Дистрибуция</v>
      </c>
    </row>
    <row r="148" spans="1:5" x14ac:dyDescent="0.55000000000000004">
      <c r="A148" t="str">
        <v>«Гарри Поттер и философский камень» — Джоан Роулинг</v>
      </c>
      <c r="B148" s="9">
        <v>42569</v>
      </c>
      <c r="C148" t="str">
        <v>Редакция №2</v>
      </c>
      <c r="D148" t="str">
        <v>Мягкая обложка</v>
      </c>
      <c r="E148" t="str">
        <v>Интернет-магазин</v>
      </c>
    </row>
    <row r="149" spans="1:5" x14ac:dyDescent="0.55000000000000004">
      <c r="A149" t="str">
        <v>«Гарри Поттер и философский камень» — Джоан Роулинг</v>
      </c>
      <c r="B149" s="9">
        <v>42569</v>
      </c>
      <c r="C149" t="str">
        <v>Редакция №2</v>
      </c>
      <c r="D149" t="str">
        <v>Мягкая обложка</v>
      </c>
      <c r="E149" t="str">
        <v>B2B</v>
      </c>
    </row>
    <row r="150" spans="1:5" x14ac:dyDescent="0.55000000000000004">
      <c r="A150" t="str">
        <v>«Чёрный красавчик» — Анна Сьюэлл</v>
      </c>
      <c r="B150" s="9">
        <v>42571</v>
      </c>
      <c r="C150" t="str">
        <v>Редакция №1</v>
      </c>
      <c r="D150" t="str">
        <v>Покетбук</v>
      </c>
      <c r="E150" t="str">
        <v>Дистрибуция</v>
      </c>
    </row>
    <row r="151" spans="1:5" x14ac:dyDescent="0.55000000000000004">
      <c r="A151" t="str">
        <v>«Чёрный красавчик» — Анна Сьюэлл</v>
      </c>
      <c r="B151" s="9">
        <v>42571</v>
      </c>
      <c r="C151" t="str">
        <v>Редакция №1</v>
      </c>
      <c r="D151" t="str">
        <v>Покетбук</v>
      </c>
      <c r="E151" t="str">
        <v>Интернет-магазин</v>
      </c>
    </row>
    <row r="152" spans="1:5" x14ac:dyDescent="0.55000000000000004">
      <c r="A152" t="str">
        <v>«Чёрный красавчик» — Анна Сьюэлл</v>
      </c>
      <c r="B152" s="9">
        <v>42571</v>
      </c>
      <c r="C152" t="str">
        <v>Редакция №1</v>
      </c>
      <c r="D152" t="str">
        <v>Покетбук</v>
      </c>
      <c r="E152" t="str">
        <v>B2B</v>
      </c>
    </row>
    <row r="153" spans="1:5" x14ac:dyDescent="0.55000000000000004">
      <c r="A153" t="str">
        <v>«Ночная стража» — Терри Пратчетт</v>
      </c>
      <c r="B153" s="9">
        <v>42594</v>
      </c>
      <c r="C153" t="str">
        <v>Редакция №1</v>
      </c>
      <c r="D153" t="str">
        <v>Мягкая обложка</v>
      </c>
      <c r="E153" t="str">
        <v>Дистрибуция</v>
      </c>
    </row>
    <row r="154" spans="1:5" x14ac:dyDescent="0.55000000000000004">
      <c r="A154" t="str">
        <v>«Ночная стража» — Терри Пратчетт</v>
      </c>
      <c r="B154" s="9">
        <v>42594</v>
      </c>
      <c r="C154" t="str">
        <v>Редакция №1</v>
      </c>
      <c r="D154" t="str">
        <v>Мягкая обложка</v>
      </c>
      <c r="E154" t="str">
        <v>Интернет-магазин</v>
      </c>
    </row>
    <row r="155" spans="1:5" x14ac:dyDescent="0.55000000000000004">
      <c r="A155" t="str">
        <v>«Ночная стража» — Терри Пратчетт</v>
      </c>
      <c r="B155" s="9">
        <v>42594</v>
      </c>
      <c r="C155" t="str">
        <v>Редакция №1</v>
      </c>
      <c r="D155" t="str">
        <v>Мягкая обложка</v>
      </c>
      <c r="E155" t="str">
        <v>B2B</v>
      </c>
    </row>
    <row r="156" spans="1:5" x14ac:dyDescent="0.55000000000000004">
      <c r="A156" t="str">
        <v>«Гордость и предубеждение» — Джейн Остин</v>
      </c>
      <c r="B156" s="9">
        <v>42609</v>
      </c>
      <c r="C156" t="str">
        <v>Редакция №1</v>
      </c>
      <c r="D156" t="str">
        <v>Покетбук</v>
      </c>
      <c r="E156" t="str">
        <v>Дистрибуция</v>
      </c>
    </row>
    <row r="157" spans="1:5" x14ac:dyDescent="0.55000000000000004">
      <c r="A157" t="str">
        <v>«Гордость и предубеждение» — Джейн Остин</v>
      </c>
      <c r="B157" s="9">
        <v>42609</v>
      </c>
      <c r="C157" t="str">
        <v>Редакция №1</v>
      </c>
      <c r="D157" t="str">
        <v>Покетбук</v>
      </c>
      <c r="E157" t="str">
        <v>Интернет-магазин</v>
      </c>
    </row>
    <row r="158" spans="1:5" x14ac:dyDescent="0.55000000000000004">
      <c r="A158" t="str">
        <v>«Гордость и предубеждение» — Джейн Остин</v>
      </c>
      <c r="B158" s="9">
        <v>42609</v>
      </c>
      <c r="C158" t="str">
        <v>Редакция №1</v>
      </c>
      <c r="D158" t="str">
        <v>Покетбук</v>
      </c>
      <c r="E158" t="str">
        <v>B2B</v>
      </c>
    </row>
    <row r="159" spans="1:5" x14ac:dyDescent="0.55000000000000004">
      <c r="A159" t="str">
        <v>«Сайлес Марнер» — Джордж Элиот</v>
      </c>
      <c r="B159" s="9">
        <v>42614</v>
      </c>
      <c r="C159" t="str">
        <v>Редакция №2</v>
      </c>
      <c r="D159" t="str">
        <v>Твердый переплет</v>
      </c>
      <c r="E159" t="str">
        <v>Дистрибуция</v>
      </c>
    </row>
    <row r="160" spans="1:5" x14ac:dyDescent="0.55000000000000004">
      <c r="A160" t="str">
        <v>«Сайлес Марнер» — Джордж Элиот</v>
      </c>
      <c r="B160" s="9">
        <v>42614</v>
      </c>
      <c r="C160" t="str">
        <v>Редакция №2</v>
      </c>
      <c r="D160" t="str">
        <v>Твердый переплет</v>
      </c>
      <c r="E160" t="str">
        <v>Интернет-магазин</v>
      </c>
    </row>
    <row r="161" spans="1:5" x14ac:dyDescent="0.55000000000000004">
      <c r="A161" t="str">
        <v>«Сайлес Марнер» — Джордж Элиот</v>
      </c>
      <c r="B161" s="9">
        <v>42614</v>
      </c>
      <c r="C161" t="str">
        <v>Редакция №2</v>
      </c>
      <c r="D161" t="str">
        <v>Твердый переплет</v>
      </c>
      <c r="E161" t="str">
        <v>B2B</v>
      </c>
    </row>
    <row r="162" spans="1:5" x14ac:dyDescent="0.55000000000000004">
      <c r="A162" t="str">
        <v>«Гроздья гнева» — Джон Стейнбек</v>
      </c>
      <c r="B162" s="9">
        <v>42638</v>
      </c>
      <c r="C162" t="str">
        <v>Редакция №1</v>
      </c>
      <c r="D162" t="str">
        <v>Мягкая обложка</v>
      </c>
      <c r="E162" t="str">
        <v>Дистрибуция</v>
      </c>
    </row>
    <row r="163" spans="1:5" x14ac:dyDescent="0.55000000000000004">
      <c r="A163" t="str">
        <v>«Гроздья гнева» — Джон Стейнбек</v>
      </c>
      <c r="B163" s="9">
        <v>42638</v>
      </c>
      <c r="C163" t="str">
        <v>Редакция №1</v>
      </c>
      <c r="D163" t="str">
        <v>Мягкая обложка</v>
      </c>
      <c r="E163" t="str">
        <v>Интернет-магазин</v>
      </c>
    </row>
    <row r="164" spans="1:5" x14ac:dyDescent="0.55000000000000004">
      <c r="A164" t="str">
        <v>«Гроздья гнева» — Джон Стейнбек</v>
      </c>
      <c r="B164" s="9">
        <v>42638</v>
      </c>
      <c r="C164" t="str">
        <v>Редакция №1</v>
      </c>
      <c r="D164" t="str">
        <v>Мягкая обложка</v>
      </c>
      <c r="E164" t="str">
        <v>B2B</v>
      </c>
    </row>
    <row r="165" spans="1:5" x14ac:dyDescent="0.55000000000000004">
      <c r="A165" t="str">
        <v>«О мышах и людях» — Джон Стейнбек</v>
      </c>
      <c r="B165" s="9">
        <v>42641</v>
      </c>
      <c r="C165" t="str">
        <v>Редакция №1</v>
      </c>
      <c r="D165" t="str">
        <v>Мягкая обложка</v>
      </c>
      <c r="E165" t="str">
        <v>Дистрибуция</v>
      </c>
    </row>
    <row r="166" spans="1:5" x14ac:dyDescent="0.55000000000000004">
      <c r="A166" t="str">
        <v>«О мышах и людях» — Джон Стейнбек</v>
      </c>
      <c r="B166" s="9">
        <v>42641</v>
      </c>
      <c r="C166" t="str">
        <v>Редакция №1</v>
      </c>
      <c r="D166" t="str">
        <v>Мягкая обложка</v>
      </c>
      <c r="E166" t="str">
        <v>Интернет-магазин</v>
      </c>
    </row>
    <row r="167" spans="1:5" x14ac:dyDescent="0.55000000000000004">
      <c r="A167" t="str">
        <v>«О мышах и людях» — Джон Стейнбек</v>
      </c>
      <c r="B167" s="9">
        <v>42641</v>
      </c>
      <c r="C167" t="str">
        <v>Редакция №1</v>
      </c>
      <c r="D167" t="str">
        <v>Мягкая обложка</v>
      </c>
      <c r="E167" t="str">
        <v>B2B</v>
      </c>
    </row>
    <row r="168" spans="1:5" x14ac:dyDescent="0.55000000000000004">
      <c r="A168" t="str">
        <v>«Девочка-находка» — Жаклин Уилсон</v>
      </c>
      <c r="B168" s="9">
        <v>42642</v>
      </c>
      <c r="C168" t="str">
        <v>Редакция №2</v>
      </c>
      <c r="D168" t="str">
        <v>Мягкая обложка</v>
      </c>
      <c r="E168" t="str">
        <v>Дистрибуция</v>
      </c>
    </row>
    <row r="169" spans="1:5" x14ac:dyDescent="0.55000000000000004">
      <c r="A169" t="str">
        <v>«Девочка-находка» — Жаклин Уилсон</v>
      </c>
      <c r="B169" s="9">
        <v>42642</v>
      </c>
      <c r="C169" t="str">
        <v>Редакция №2</v>
      </c>
      <c r="D169" t="str">
        <v>Мягкая обложка</v>
      </c>
      <c r="E169" t="str">
        <v>Интернет-магазин</v>
      </c>
    </row>
    <row r="170" spans="1:5" x14ac:dyDescent="0.55000000000000004">
      <c r="A170" t="str">
        <v>«Девочка-находка» — Жаклин Уилсон</v>
      </c>
      <c r="B170" s="9">
        <v>42642</v>
      </c>
      <c r="C170" t="str">
        <v>Редакция №2</v>
      </c>
      <c r="D170" t="str">
        <v>Мягкая обложка</v>
      </c>
      <c r="E170" t="str">
        <v>B2B</v>
      </c>
    </row>
    <row r="171" spans="1:5" x14ac:dyDescent="0.55000000000000004">
      <c r="A171" t="str">
        <v>«Тэсс из рода д’Эрбервиллей» — Томас Харди</v>
      </c>
      <c r="B171" s="9">
        <v>42643</v>
      </c>
      <c r="C171" t="str">
        <v>Редакция №2</v>
      </c>
      <c r="D171" t="str">
        <v>Покетбук</v>
      </c>
      <c r="E171" t="str">
        <v>Дистрибуция</v>
      </c>
    </row>
    <row r="172" spans="1:5" x14ac:dyDescent="0.55000000000000004">
      <c r="A172" t="str">
        <v>«Тэсс из рода д’Эрбервиллей» — Томас Харди</v>
      </c>
      <c r="B172" s="9">
        <v>42643</v>
      </c>
      <c r="C172" t="str">
        <v>Редакция №2</v>
      </c>
      <c r="D172" t="str">
        <v>Покетбук</v>
      </c>
      <c r="E172" t="str">
        <v>Интернет-магазин</v>
      </c>
    </row>
    <row r="173" spans="1:5" x14ac:dyDescent="0.55000000000000004">
      <c r="A173" t="str">
        <v>«Тэсс из рода д’Эрбервиллей» — Томас Харди</v>
      </c>
      <c r="B173" s="9">
        <v>42643</v>
      </c>
      <c r="C173" t="str">
        <v>Редакция №2</v>
      </c>
      <c r="D173" t="str">
        <v>Покетбук</v>
      </c>
      <c r="E173" t="str">
        <v>B2B</v>
      </c>
    </row>
    <row r="174" spans="1:5" x14ac:dyDescent="0.55000000000000004">
      <c r="A174" t="str">
        <v>«Белый пик» — Энтони Горовиц</v>
      </c>
      <c r="B174" s="9">
        <v>42645</v>
      </c>
      <c r="C174" t="str">
        <v>Редакция №1</v>
      </c>
      <c r="D174" t="str">
        <v>Покетбук</v>
      </c>
      <c r="E174" t="str">
        <v>Дистрибуция</v>
      </c>
    </row>
    <row r="175" spans="1:5" x14ac:dyDescent="0.55000000000000004">
      <c r="A175" t="str">
        <v>«Белый пик» — Энтони Горовиц</v>
      </c>
      <c r="B175" s="9">
        <v>42645</v>
      </c>
      <c r="C175" t="str">
        <v>Редакция №1</v>
      </c>
      <c r="D175" t="str">
        <v>Покетбук</v>
      </c>
      <c r="E175" t="str">
        <v>Интернет-магазин</v>
      </c>
    </row>
    <row r="176" spans="1:5" x14ac:dyDescent="0.55000000000000004">
      <c r="A176" t="str">
        <v>«Белый пик» — Энтони Горовиц</v>
      </c>
      <c r="B176" s="9">
        <v>42645</v>
      </c>
      <c r="C176" t="str">
        <v>Редакция №1</v>
      </c>
      <c r="D176" t="str">
        <v>Покетбук</v>
      </c>
      <c r="E176" t="str">
        <v>B2B</v>
      </c>
    </row>
    <row r="177" spans="1:5" x14ac:dyDescent="0.55000000000000004">
      <c r="A177" t="str">
        <v>«Стража! Стража!» — Терри Пратчетт</v>
      </c>
      <c r="B177" s="9">
        <v>42647</v>
      </c>
      <c r="C177" t="str">
        <v>Редакция №2</v>
      </c>
      <c r="D177" t="str">
        <v>Покетбук</v>
      </c>
      <c r="E177" t="str">
        <v>Дистрибуция</v>
      </c>
    </row>
    <row r="178" spans="1:5" x14ac:dyDescent="0.55000000000000004">
      <c r="A178" t="str">
        <v>«Стража! Стража!» — Терри Пратчетт</v>
      </c>
      <c r="B178" s="9">
        <v>42647</v>
      </c>
      <c r="C178" t="str">
        <v>Редакция №2</v>
      </c>
      <c r="D178" t="str">
        <v>Покетбук</v>
      </c>
      <c r="E178" t="str">
        <v>Интернет-магазин</v>
      </c>
    </row>
    <row r="179" spans="1:5" x14ac:dyDescent="0.55000000000000004">
      <c r="A179" t="str">
        <v>«Стража! Стража!» — Терри Пратчетт</v>
      </c>
      <c r="B179" s="9">
        <v>42647</v>
      </c>
      <c r="C179" t="str">
        <v>Редакция №2</v>
      </c>
      <c r="D179" t="str">
        <v>Покетбук</v>
      </c>
      <c r="E179" t="str">
        <v>B2B</v>
      </c>
    </row>
    <row r="180" spans="1:5" x14ac:dyDescent="0.55000000000000004">
      <c r="A180" t="str">
        <v>«Мужчина и мальчик» — Тони Парсонс</v>
      </c>
      <c r="B180" s="9">
        <v>42648</v>
      </c>
      <c r="C180" t="str">
        <v>Редакция №2</v>
      </c>
      <c r="D180" t="str">
        <v>Твердый переплет</v>
      </c>
      <c r="E180" t="str">
        <v>Дистрибуция</v>
      </c>
    </row>
    <row r="181" spans="1:5" x14ac:dyDescent="0.55000000000000004">
      <c r="A181" t="str">
        <v>«Мужчина и мальчик» — Тони Парсонс</v>
      </c>
      <c r="B181" s="9">
        <v>42648</v>
      </c>
      <c r="C181" t="str">
        <v>Редакция №2</v>
      </c>
      <c r="D181" t="str">
        <v>Твердый переплет</v>
      </c>
      <c r="E181" t="str">
        <v>Интернет-магазин</v>
      </c>
    </row>
    <row r="182" spans="1:5" x14ac:dyDescent="0.55000000000000004">
      <c r="A182" t="str">
        <v>«Мужчина и мальчик» — Тони Парсонс</v>
      </c>
      <c r="B182" s="9">
        <v>42648</v>
      </c>
      <c r="C182" t="str">
        <v>Редакция №2</v>
      </c>
      <c r="D182" t="str">
        <v>Твердый переплет</v>
      </c>
      <c r="E182" t="str">
        <v>B2B</v>
      </c>
    </row>
    <row r="183" spans="1:5" x14ac:dyDescent="0.55000000000000004">
      <c r="A183" t="str">
        <v>«Вечеринка с ночёвкой» — Жаклин Уилсон</v>
      </c>
      <c r="B183" s="9">
        <v>42654</v>
      </c>
      <c r="C183" t="str">
        <v>Редакция №1</v>
      </c>
      <c r="D183" t="str">
        <v>Мягкая обложка</v>
      </c>
      <c r="E183" t="str">
        <v>Дистрибуция</v>
      </c>
    </row>
    <row r="184" spans="1:5" x14ac:dyDescent="0.55000000000000004">
      <c r="A184" t="str">
        <v>«Вечеринка с ночёвкой» — Жаклин Уилсон</v>
      </c>
      <c r="B184" s="9">
        <v>42654</v>
      </c>
      <c r="C184" t="str">
        <v>Редакция №1</v>
      </c>
      <c r="D184" t="str">
        <v>Мягкая обложка</v>
      </c>
      <c r="E184" t="str">
        <v>Интернет-магазин</v>
      </c>
    </row>
    <row r="185" spans="1:5" x14ac:dyDescent="0.55000000000000004">
      <c r="A185" t="str">
        <v>«Вечеринка с ночёвкой» — Жаклин Уилсон</v>
      </c>
      <c r="B185" s="9">
        <v>42654</v>
      </c>
      <c r="C185" t="str">
        <v>Редакция №1</v>
      </c>
      <c r="D185" t="str">
        <v>Мягкая обложка</v>
      </c>
      <c r="E185" t="str">
        <v>B2B</v>
      </c>
    </row>
    <row r="186" spans="1:5" x14ac:dyDescent="0.55000000000000004">
      <c r="A186" t="str">
        <v>«День Шакала» — Фредерик Форсайт</v>
      </c>
      <c r="B186" s="9">
        <v>42683</v>
      </c>
      <c r="C186" t="str">
        <v>Редакция №2</v>
      </c>
      <c r="D186" t="str">
        <v>Мягкая обложка</v>
      </c>
      <c r="E186" t="str">
        <v>Дистрибуция</v>
      </c>
    </row>
    <row r="187" spans="1:5" x14ac:dyDescent="0.55000000000000004">
      <c r="A187" t="str">
        <v>«День Шакала» — Фредерик Форсайт</v>
      </c>
      <c r="B187" s="9">
        <v>42683</v>
      </c>
      <c r="C187" t="str">
        <v>Редакция №2</v>
      </c>
      <c r="D187" t="str">
        <v>Мягкая обложка</v>
      </c>
      <c r="E187" t="str">
        <v>Интернет-магазин</v>
      </c>
    </row>
    <row r="188" spans="1:5" x14ac:dyDescent="0.55000000000000004">
      <c r="A188" t="str">
        <v>«День Шакала» — Фредерик Форсайт</v>
      </c>
      <c r="B188" s="9">
        <v>42683</v>
      </c>
      <c r="C188" t="str">
        <v>Редакция №2</v>
      </c>
      <c r="D188" t="str">
        <v>Мягкая обложка</v>
      </c>
      <c r="E188" t="str">
        <v>B2B</v>
      </c>
    </row>
    <row r="189" spans="1:5" x14ac:dyDescent="0.55000000000000004">
      <c r="A189" t="str">
        <v>«Обладать» — Антония Сьюзен Байетт</v>
      </c>
      <c r="B189" s="9">
        <v>42690</v>
      </c>
      <c r="C189" t="str">
        <v>Редакция №2</v>
      </c>
      <c r="D189" t="str">
        <v>Твердый переплет</v>
      </c>
      <c r="E189" t="str">
        <v>Дистрибуция</v>
      </c>
    </row>
    <row r="190" spans="1:5" x14ac:dyDescent="0.55000000000000004">
      <c r="A190" t="str">
        <v>«Обладать» — Антония Сьюзен Байетт</v>
      </c>
      <c r="B190" s="9">
        <v>42690</v>
      </c>
      <c r="C190" t="str">
        <v>Редакция №2</v>
      </c>
      <c r="D190" t="str">
        <v>Твердый переплет</v>
      </c>
      <c r="E190" t="str">
        <v>Интернет-магазин</v>
      </c>
    </row>
    <row r="191" spans="1:5" x14ac:dyDescent="0.55000000000000004">
      <c r="A191" t="str">
        <v>«Обладать» — Антония Сьюзен Байетт</v>
      </c>
      <c r="B191" s="9">
        <v>42690</v>
      </c>
      <c r="C191" t="str">
        <v>Редакция №2</v>
      </c>
      <c r="D191" t="str">
        <v>Твердый переплет</v>
      </c>
      <c r="E191" t="str">
        <v>B2B</v>
      </c>
    </row>
    <row r="192" spans="1:5" x14ac:dyDescent="0.55000000000000004">
      <c r="A192" t="str">
        <v>«Ветер в ивах» — Кеннет Грэм</v>
      </c>
      <c r="B192" s="9">
        <v>42700</v>
      </c>
      <c r="C192" t="str">
        <v>Редакция №1</v>
      </c>
      <c r="D192" t="str">
        <v>Мягкая обложка</v>
      </c>
      <c r="E192" t="str">
        <v>Дистрибуция</v>
      </c>
    </row>
    <row r="193" spans="1:5" x14ac:dyDescent="0.55000000000000004">
      <c r="A193" t="str">
        <v>«Ветер в ивах» — Кеннет Грэм</v>
      </c>
      <c r="B193" s="9">
        <v>42700</v>
      </c>
      <c r="C193" t="str">
        <v>Редакция №1</v>
      </c>
      <c r="D193" t="str">
        <v>Мягкая обложка</v>
      </c>
      <c r="E193" t="str">
        <v>Интернет-магазин</v>
      </c>
    </row>
    <row r="194" spans="1:5" x14ac:dyDescent="0.55000000000000004">
      <c r="A194" t="str">
        <v>«Ветер в ивах» — Кеннет Грэм</v>
      </c>
      <c r="B194" s="9">
        <v>42700</v>
      </c>
      <c r="C194" t="str">
        <v>Редакция №1</v>
      </c>
      <c r="D194" t="str">
        <v>Мягкая обложка</v>
      </c>
      <c r="E194" t="str">
        <v>B2B</v>
      </c>
    </row>
    <row r="195" spans="1:5" x14ac:dyDescent="0.55000000000000004">
      <c r="A195" t="str">
        <v>«Повесть о двух городах» — Чарльз Диккенс</v>
      </c>
      <c r="B195" s="9">
        <v>42717</v>
      </c>
      <c r="C195" t="str">
        <v>Редакция №1</v>
      </c>
      <c r="D195" t="str">
        <v>Покетбук</v>
      </c>
      <c r="E195" t="str">
        <v>Дистрибуция</v>
      </c>
    </row>
    <row r="196" spans="1:5" x14ac:dyDescent="0.55000000000000004">
      <c r="A196" t="str">
        <v>«Повесть о двух городах» — Чарльз Диккенс</v>
      </c>
      <c r="B196" s="9">
        <v>42717</v>
      </c>
      <c r="C196" t="str">
        <v>Редакция №1</v>
      </c>
      <c r="D196" t="str">
        <v>Покетбук</v>
      </c>
      <c r="E196" t="str">
        <v>Интернет-магазин</v>
      </c>
    </row>
    <row r="197" spans="1:5" x14ac:dyDescent="0.55000000000000004">
      <c r="A197" t="str">
        <v>«Повесть о двух городах» — Чарльз Диккенс</v>
      </c>
      <c r="B197" s="9">
        <v>42717</v>
      </c>
      <c r="C197" t="str">
        <v>Редакция №1</v>
      </c>
      <c r="D197" t="str">
        <v>Покетбук</v>
      </c>
      <c r="E197" t="str">
        <v>B2B</v>
      </c>
    </row>
    <row r="198" spans="1:5" x14ac:dyDescent="0.55000000000000004">
      <c r="A198" t="str">
        <v>«Мор, ученик Смерти» — Терри Пратчетт</v>
      </c>
      <c r="B198" s="9">
        <v>42724</v>
      </c>
      <c r="C198" t="str">
        <v>Редакция №2</v>
      </c>
      <c r="D198" t="str">
        <v>Мягкая обложка</v>
      </c>
      <c r="E198" t="str">
        <v>Дистрибуция</v>
      </c>
    </row>
    <row r="199" spans="1:5" x14ac:dyDescent="0.55000000000000004">
      <c r="A199" t="str">
        <v>«Мор, ученик Смерти» — Терри Пратчетт</v>
      </c>
      <c r="B199" s="9">
        <v>42724</v>
      </c>
      <c r="C199" t="str">
        <v>Редакция №2</v>
      </c>
      <c r="D199" t="str">
        <v>Мягкая обложка</v>
      </c>
      <c r="E199" t="str">
        <v>Интернет-магазин</v>
      </c>
    </row>
    <row r="200" spans="1:5" x14ac:dyDescent="0.55000000000000004">
      <c r="A200" t="str">
        <v>«Мор, ученик Смерти» — Терри Пратчетт</v>
      </c>
      <c r="B200" s="9">
        <v>42724</v>
      </c>
      <c r="C200" t="str">
        <v>Редакция №2</v>
      </c>
      <c r="D200" t="str">
        <v>Мягкая обложка</v>
      </c>
      <c r="E200" t="str">
        <v>B2B</v>
      </c>
    </row>
    <row r="201" spans="1:5" x14ac:dyDescent="0.55000000000000004">
      <c r="A201" t="str">
        <v>«Дитя из чемодана» — Жаклин Уилсон</v>
      </c>
      <c r="B201" s="9">
        <v>42728</v>
      </c>
      <c r="C201" t="str">
        <v>Редакция №1</v>
      </c>
      <c r="D201" t="str">
        <v>Твердый переплет</v>
      </c>
      <c r="E201" t="str">
        <v>Дистрибуция</v>
      </c>
    </row>
    <row r="202" spans="1:5" x14ac:dyDescent="0.55000000000000004">
      <c r="A202" t="str">
        <v>«Дитя из чемодана» — Жаклин Уилсон</v>
      </c>
      <c r="B202" s="9">
        <v>42728</v>
      </c>
      <c r="C202" t="str">
        <v>Редакция №1</v>
      </c>
      <c r="D202" t="str">
        <v>Твердый переплет</v>
      </c>
      <c r="E202" t="str">
        <v>Интернет-магазин</v>
      </c>
    </row>
    <row r="203" spans="1:5" x14ac:dyDescent="0.55000000000000004">
      <c r="A203" t="str">
        <v>«Дитя из чемодана» — Жаклин Уилсон</v>
      </c>
      <c r="B203" s="9">
        <v>42728</v>
      </c>
      <c r="C203" t="str">
        <v>Редакция №1</v>
      </c>
      <c r="D203" t="str">
        <v>Твердый переплет</v>
      </c>
      <c r="E203" t="str">
        <v>B2B</v>
      </c>
    </row>
    <row r="204" spans="1:5" x14ac:dyDescent="0.55000000000000004">
      <c r="A204" t="str">
        <v>«1984» — Джордж Оруэлл</v>
      </c>
      <c r="B204" s="9">
        <v>42736</v>
      </c>
      <c r="C204" t="str">
        <v>Редакция №1</v>
      </c>
      <c r="D204" t="str">
        <v>Мягкая обложка</v>
      </c>
      <c r="E204" t="str">
        <v>Дистрибуция</v>
      </c>
    </row>
    <row r="205" spans="1:5" x14ac:dyDescent="0.55000000000000004">
      <c r="A205" t="str">
        <v>«1984» — Джордж Оруэлл</v>
      </c>
      <c r="B205" s="9">
        <v>42736</v>
      </c>
      <c r="C205" t="str">
        <v>Редакция №1</v>
      </c>
      <c r="D205" t="str">
        <v>Мягкая обложка</v>
      </c>
      <c r="E205" t="str">
        <v>Интернет-магазин</v>
      </c>
    </row>
    <row r="206" spans="1:5" x14ac:dyDescent="0.55000000000000004">
      <c r="A206" t="str">
        <v>«1984» — Джордж Оруэлл</v>
      </c>
      <c r="B206" s="9">
        <v>42736</v>
      </c>
      <c r="C206" t="str">
        <v>Редакция №1</v>
      </c>
      <c r="D206" t="str">
        <v>Мягкая обложка</v>
      </c>
      <c r="E206" t="str">
        <v>B2B</v>
      </c>
    </row>
    <row r="207" spans="1:5" x14ac:dyDescent="0.55000000000000004">
      <c r="A207" t="str">
        <v>«Повелитель мух» — Уильям Голдинг</v>
      </c>
      <c r="B207" s="9">
        <v>42754</v>
      </c>
      <c r="C207" t="str">
        <v>Редакция №2</v>
      </c>
      <c r="D207" t="str">
        <v>Покетбук</v>
      </c>
      <c r="E207" t="str">
        <v>Дистрибуция</v>
      </c>
    </row>
    <row r="208" spans="1:5" x14ac:dyDescent="0.55000000000000004">
      <c r="A208" t="str">
        <v>«Повелитель мух» — Уильям Голдинг</v>
      </c>
      <c r="B208" s="9">
        <v>42754</v>
      </c>
      <c r="C208" t="str">
        <v>Редакция №2</v>
      </c>
      <c r="D208" t="str">
        <v>Покетбук</v>
      </c>
      <c r="E208" t="str">
        <v>Интернет-магазин</v>
      </c>
    </row>
    <row r="209" spans="1:5" x14ac:dyDescent="0.55000000000000004">
      <c r="A209" t="str">
        <v>«Повелитель мух» — Уильям Голдинг</v>
      </c>
      <c r="B209" s="9">
        <v>42754</v>
      </c>
      <c r="C209" t="str">
        <v>Редакция №2</v>
      </c>
      <c r="D209" t="str">
        <v>Покетбук</v>
      </c>
      <c r="E209" t="str">
        <v>B2B</v>
      </c>
    </row>
    <row r="210" spans="1:5" x14ac:dyDescent="0.55000000000000004">
      <c r="A210" t="str">
        <v>«Библия ядовитого леса» — Барбара Кингсолвер</v>
      </c>
      <c r="B210" s="9">
        <v>42758</v>
      </c>
      <c r="C210" t="str">
        <v>Редакция №2</v>
      </c>
      <c r="D210" t="str">
        <v>Твердый переплет</v>
      </c>
      <c r="E210" t="str">
        <v>Дистрибуция</v>
      </c>
    </row>
    <row r="211" spans="1:5" x14ac:dyDescent="0.55000000000000004">
      <c r="A211" t="str">
        <v>«Библия ядовитого леса» — Барбара Кингсолвер</v>
      </c>
      <c r="B211" s="9">
        <v>42758</v>
      </c>
      <c r="C211" t="str">
        <v>Редакция №2</v>
      </c>
      <c r="D211" t="str">
        <v>Твердый переплет</v>
      </c>
      <c r="E211" t="str">
        <v>Интернет-магазин</v>
      </c>
    </row>
    <row r="212" spans="1:5" x14ac:dyDescent="0.55000000000000004">
      <c r="A212" t="str">
        <v>«Библия ядовитого леса» — Барбара Кингсолвер</v>
      </c>
      <c r="B212" s="9">
        <v>42758</v>
      </c>
      <c r="C212" t="str">
        <v>Редакция №2</v>
      </c>
      <c r="D212" t="str">
        <v>Твердый переплет</v>
      </c>
      <c r="E212" t="str">
        <v>B2B</v>
      </c>
    </row>
    <row r="213" spans="1:5" x14ac:dyDescent="0.55000000000000004">
      <c r="A213" t="str">
        <v>«Ямы» — Луис Сейкер</v>
      </c>
      <c r="B213" s="9">
        <v>42759</v>
      </c>
      <c r="C213" t="str">
        <v>Редакция №1</v>
      </c>
      <c r="D213" t="str">
        <v>Твердый переплет</v>
      </c>
      <c r="E213" t="str">
        <v>Дистрибуция</v>
      </c>
    </row>
    <row r="214" spans="1:5" x14ac:dyDescent="0.55000000000000004">
      <c r="A214" t="str">
        <v>«Ямы» — Луис Сейкер</v>
      </c>
      <c r="B214" s="9">
        <v>42759</v>
      </c>
      <c r="C214" t="str">
        <v>Редакция №1</v>
      </c>
      <c r="D214" t="str">
        <v>Твердый переплет</v>
      </c>
      <c r="E214" t="str">
        <v>Интернет-магазин</v>
      </c>
    </row>
    <row r="215" spans="1:5" x14ac:dyDescent="0.55000000000000004">
      <c r="A215" t="str">
        <v>«Ямы» — Луис Сейкер</v>
      </c>
      <c r="B215" s="9">
        <v>42759</v>
      </c>
      <c r="C215" t="str">
        <v>Редакция №1</v>
      </c>
      <c r="D215" t="str">
        <v>Твердый переплет</v>
      </c>
      <c r="E215" t="str">
        <v>B2B</v>
      </c>
    </row>
    <row r="216" spans="1:5" x14ac:dyDescent="0.55000000000000004">
      <c r="A216" t="str">
        <v>«Сто лет одиночества» — Габриэль Гарсиа Маркес</v>
      </c>
      <c r="B216" s="9">
        <v>42767</v>
      </c>
      <c r="C216" t="str">
        <v>Редакция №2</v>
      </c>
      <c r="D216" t="str">
        <v>Покетбук</v>
      </c>
      <c r="E216" t="str">
        <v>Дистрибуция</v>
      </c>
    </row>
    <row r="217" spans="1:5" x14ac:dyDescent="0.55000000000000004">
      <c r="A217" t="str">
        <v>«Сто лет одиночества» — Габриэль Гарсиа Маркес</v>
      </c>
      <c r="B217" s="9">
        <v>42767</v>
      </c>
      <c r="C217" t="str">
        <v>Редакция №2</v>
      </c>
      <c r="D217" t="str">
        <v>Покетбук</v>
      </c>
      <c r="E217" t="str">
        <v>Интернет-магазин</v>
      </c>
    </row>
    <row r="218" spans="1:5" x14ac:dyDescent="0.55000000000000004">
      <c r="A218" t="str">
        <v>«Сто лет одиночества» — Габриэль Гарсиа Маркес</v>
      </c>
      <c r="B218" s="9">
        <v>42767</v>
      </c>
      <c r="C218" t="str">
        <v>Редакция №2</v>
      </c>
      <c r="D218" t="str">
        <v>Покетбук</v>
      </c>
      <c r="E218" t="str">
        <v>B2B</v>
      </c>
    </row>
    <row r="219" spans="1:5" x14ac:dyDescent="0.55000000000000004">
      <c r="A219" t="str">
        <v>«В дороге» — Джек Керуак</v>
      </c>
      <c r="B219" s="9">
        <v>42784</v>
      </c>
      <c r="C219" t="str">
        <v>Редакция №1</v>
      </c>
      <c r="D219" t="str">
        <v>Твердый переплет</v>
      </c>
      <c r="E219" t="str">
        <v>Дистрибуция</v>
      </c>
    </row>
    <row r="220" spans="1:5" x14ac:dyDescent="0.55000000000000004">
      <c r="A220" t="str">
        <v>«В дороге» — Джек Керуак</v>
      </c>
      <c r="B220" s="9">
        <v>42784</v>
      </c>
      <c r="C220" t="str">
        <v>Редакция №1</v>
      </c>
      <c r="D220" t="str">
        <v>Твердый переплет</v>
      </c>
      <c r="E220" t="str">
        <v>Интернет-магазин</v>
      </c>
    </row>
    <row r="221" spans="1:5" x14ac:dyDescent="0.55000000000000004">
      <c r="A221" t="str">
        <v>«В дороге» — Джек Керуак</v>
      </c>
      <c r="B221" s="9">
        <v>42784</v>
      </c>
      <c r="C221" t="str">
        <v>Редакция №1</v>
      </c>
      <c r="D221" t="str">
        <v>Твердый переплет</v>
      </c>
      <c r="E221" t="str">
        <v>B2B</v>
      </c>
    </row>
    <row r="222" spans="1:5" x14ac:dyDescent="0.55000000000000004">
      <c r="A222" t="str">
        <v>«Парфюмер» — Патрик Зюскинд</v>
      </c>
      <c r="B222" s="9">
        <v>42790</v>
      </c>
      <c r="C222" t="str">
        <v>Редакция №2</v>
      </c>
      <c r="D222" t="str">
        <v>Твердый переплет</v>
      </c>
      <c r="E222" t="str">
        <v>Дистрибуция</v>
      </c>
    </row>
    <row r="223" spans="1:5" x14ac:dyDescent="0.55000000000000004">
      <c r="A223" t="str">
        <v>«Парфюмер» — Патрик Зюскинд</v>
      </c>
      <c r="B223" s="9">
        <v>42790</v>
      </c>
      <c r="C223" t="str">
        <v>Редакция №2</v>
      </c>
      <c r="D223" t="str">
        <v>Твердый переплет</v>
      </c>
      <c r="E223" t="str">
        <v>Интернет-магазин</v>
      </c>
    </row>
    <row r="224" spans="1:5" x14ac:dyDescent="0.55000000000000004">
      <c r="A224" t="str">
        <v>«Парфюмер» — Патрик Зюскинд</v>
      </c>
      <c r="B224" s="9">
        <v>42790</v>
      </c>
      <c r="C224" t="str">
        <v>Редакция №2</v>
      </c>
      <c r="D224" t="str">
        <v>Твердый переплет</v>
      </c>
      <c r="E224" t="str">
        <v>B2B</v>
      </c>
    </row>
    <row r="225" spans="1:5" x14ac:dyDescent="0.55000000000000004">
      <c r="A225" t="str">
        <v>«Винни Пух» — Алан Александр Милн</v>
      </c>
      <c r="B225" s="9">
        <v>42806</v>
      </c>
      <c r="C225" t="str">
        <v>Редакция №2</v>
      </c>
      <c r="D225" t="str">
        <v>Твердый переплет</v>
      </c>
      <c r="E225" t="str">
        <v>Дистрибуция</v>
      </c>
    </row>
    <row r="226" spans="1:5" x14ac:dyDescent="0.55000000000000004">
      <c r="A226" t="str">
        <v>«Винни Пух» — Алан Александр Милн</v>
      </c>
      <c r="B226" s="9">
        <v>42806</v>
      </c>
      <c r="C226" t="str">
        <v>Редакция №2</v>
      </c>
      <c r="D226" t="str">
        <v>Твердый переплет</v>
      </c>
      <c r="E226" t="str">
        <v>Интернет-магазин</v>
      </c>
    </row>
    <row r="227" spans="1:5" x14ac:dyDescent="0.55000000000000004">
      <c r="A227" t="str">
        <v>«Винни Пух» — Алан Александр Милн</v>
      </c>
      <c r="B227" s="9">
        <v>42806</v>
      </c>
      <c r="C227" t="str">
        <v>Редакция №2</v>
      </c>
      <c r="D227" t="str">
        <v>Твердый переплет</v>
      </c>
      <c r="E227" t="str">
        <v>B2B</v>
      </c>
    </row>
    <row r="228" spans="1:5" x14ac:dyDescent="0.55000000000000004">
      <c r="A228" t="str">
        <v>«Роковая музыка» — Терри Пратчетт</v>
      </c>
      <c r="B228" s="9">
        <v>42831</v>
      </c>
      <c r="C228" t="str">
        <v>Редакция №2</v>
      </c>
      <c r="D228" t="str">
        <v>Твердый переплет</v>
      </c>
      <c r="E228" t="str">
        <v>Дистрибуция</v>
      </c>
    </row>
    <row r="229" spans="1:5" x14ac:dyDescent="0.55000000000000004">
      <c r="A229" t="str">
        <v>«Роковая музыка» — Терри Пратчетт</v>
      </c>
      <c r="B229" s="9">
        <v>42831</v>
      </c>
      <c r="C229" t="str">
        <v>Редакция №2</v>
      </c>
      <c r="D229" t="str">
        <v>Твердый переплет</v>
      </c>
      <c r="E229" t="str">
        <v>Интернет-магазин</v>
      </c>
    </row>
    <row r="230" spans="1:5" x14ac:dyDescent="0.55000000000000004">
      <c r="A230" t="str">
        <v>«Роковая музыка» — Терри Пратчетт</v>
      </c>
      <c r="B230" s="9">
        <v>42831</v>
      </c>
      <c r="C230" t="str">
        <v>Редакция №2</v>
      </c>
      <c r="D230" t="str">
        <v>Твердый переплет</v>
      </c>
      <c r="E230" t="str">
        <v>B2B</v>
      </c>
    </row>
    <row r="231" spans="1:5" x14ac:dyDescent="0.55000000000000004">
      <c r="A231" t="str">
        <v>«Алхимик» — Пауло Коэльо</v>
      </c>
      <c r="B231" s="9">
        <v>42865</v>
      </c>
      <c r="C231" t="str">
        <v>Редакция №2</v>
      </c>
      <c r="D231" t="str">
        <v>Мягкая обложка</v>
      </c>
      <c r="E231" t="str">
        <v>Дистрибуция</v>
      </c>
    </row>
    <row r="232" spans="1:5" x14ac:dyDescent="0.55000000000000004">
      <c r="A232" t="str">
        <v>«Алхимик» — Пауло Коэльо</v>
      </c>
      <c r="B232" s="9">
        <v>42865</v>
      </c>
      <c r="C232" t="str">
        <v>Редакция №2</v>
      </c>
      <c r="D232" t="str">
        <v>Мягкая обложка</v>
      </c>
      <c r="E232" t="str">
        <v>Интернет-магазин</v>
      </c>
    </row>
    <row r="233" spans="1:5" x14ac:dyDescent="0.55000000000000004">
      <c r="A233" t="str">
        <v>«Алхимик» — Пауло Коэльо</v>
      </c>
      <c r="B233" s="9">
        <v>42865</v>
      </c>
      <c r="C233" t="str">
        <v>Редакция №2</v>
      </c>
      <c r="D233" t="str">
        <v>Мягкая обложка</v>
      </c>
      <c r="E233" t="str">
        <v>B2B</v>
      </c>
    </row>
    <row r="234" spans="1:5" x14ac:dyDescent="0.55000000000000004">
      <c r="A234" t="str">
        <v>«Король былого и грядущего» — Теренс Уайт</v>
      </c>
      <c r="B234" s="9">
        <v>42869</v>
      </c>
      <c r="C234" t="str">
        <v>Редакция №1</v>
      </c>
      <c r="D234" t="str">
        <v>Твердый переплет</v>
      </c>
      <c r="E234" t="str">
        <v>Дистрибуция</v>
      </c>
    </row>
    <row r="235" spans="1:5" x14ac:dyDescent="0.55000000000000004">
      <c r="A235" t="str">
        <v>«Король былого и грядущего» — Теренс Уайт</v>
      </c>
      <c r="B235" s="9">
        <v>42869</v>
      </c>
      <c r="C235" t="str">
        <v>Редакция №1</v>
      </c>
      <c r="D235" t="str">
        <v>Твердый переплет</v>
      </c>
      <c r="E235" t="str">
        <v>Интернет-магазин</v>
      </c>
    </row>
    <row r="236" spans="1:5" x14ac:dyDescent="0.55000000000000004">
      <c r="A236" t="str">
        <v>«Король былого и грядущего» — Теренс Уайт</v>
      </c>
      <c r="B236" s="9">
        <v>42869</v>
      </c>
      <c r="C236" t="str">
        <v>Редакция №1</v>
      </c>
      <c r="D236" t="str">
        <v>Твердый переплет</v>
      </c>
      <c r="E236" t="str">
        <v>B2B</v>
      </c>
    </row>
    <row r="237" spans="1:5" x14ac:dyDescent="0.55000000000000004">
      <c r="A237" t="str">
        <v>«БДВ, или Большой и добрый великан» — Роальд Даль</v>
      </c>
      <c r="B237" s="9">
        <v>42879</v>
      </c>
      <c r="C237" t="str">
        <v>Редакция №2</v>
      </c>
      <c r="D237" t="str">
        <v>Мягкая обложка</v>
      </c>
      <c r="E237" t="str">
        <v>Дистрибуция</v>
      </c>
    </row>
    <row r="238" spans="1:5" x14ac:dyDescent="0.55000000000000004">
      <c r="A238" t="str">
        <v>«Пляж» — Алекс Гарленд</v>
      </c>
      <c r="B238" s="9">
        <v>42879</v>
      </c>
      <c r="C238" t="str">
        <v>Редакция №1</v>
      </c>
      <c r="D238" t="str">
        <v>Твердый переплет</v>
      </c>
      <c r="E238" t="str">
        <v>Дистрибуция</v>
      </c>
    </row>
    <row r="239" spans="1:5" x14ac:dyDescent="0.55000000000000004">
      <c r="A239" t="str">
        <v>«БДВ, или Большой и добрый великан» — Роальд Даль</v>
      </c>
      <c r="B239" s="9">
        <v>42879</v>
      </c>
      <c r="C239" t="str">
        <v>Редакция №2</v>
      </c>
      <c r="D239" t="str">
        <v>Мягкая обложка</v>
      </c>
      <c r="E239" t="str">
        <v>Интернет-магазин</v>
      </c>
    </row>
    <row r="240" spans="1:5" x14ac:dyDescent="0.55000000000000004">
      <c r="A240" t="str">
        <v>«Пляж» — Алекс Гарленд</v>
      </c>
      <c r="B240" s="9">
        <v>42879</v>
      </c>
      <c r="C240" t="str">
        <v>Редакция №1</v>
      </c>
      <c r="D240" t="str">
        <v>Твердый переплет</v>
      </c>
      <c r="E240" t="str">
        <v>Интернет-магазин</v>
      </c>
    </row>
    <row r="241" spans="1:5" x14ac:dyDescent="0.55000000000000004">
      <c r="A241" t="str">
        <v>«БДВ, или Большой и добрый великан» — Роальд Даль</v>
      </c>
      <c r="B241" s="9">
        <v>42879</v>
      </c>
      <c r="C241" t="str">
        <v>Редакция №2</v>
      </c>
      <c r="D241" t="str">
        <v>Мягкая обложка</v>
      </c>
      <c r="E241" t="str">
        <v>B2B</v>
      </c>
    </row>
    <row r="242" spans="1:5" x14ac:dyDescent="0.55000000000000004">
      <c r="A242" t="str">
        <v>«Пляж» — Алекс Гарленд</v>
      </c>
      <c r="B242" s="9">
        <v>42879</v>
      </c>
      <c r="C242" t="str">
        <v>Редакция №1</v>
      </c>
      <c r="D242" t="str">
        <v>Твердый переплет</v>
      </c>
      <c r="E242" t="str">
        <v>B2B</v>
      </c>
    </row>
    <row r="243" spans="1:5" x14ac:dyDescent="0.55000000000000004">
      <c r="A243" t="str">
        <v>«Автостопом по галактике» — Дуглас Адамс</v>
      </c>
      <c r="B243" s="9">
        <v>42908</v>
      </c>
      <c r="C243" t="str">
        <v>Редакция №1</v>
      </c>
      <c r="D243" t="str">
        <v>Покетбук</v>
      </c>
      <c r="E243" t="str">
        <v>Дистрибуция</v>
      </c>
    </row>
    <row r="244" spans="1:5" x14ac:dyDescent="0.55000000000000004">
      <c r="A244" t="str">
        <v>«Приключения Оливера Твиста» — Чарльз Диккенс</v>
      </c>
      <c r="B244" s="9">
        <v>42908</v>
      </c>
      <c r="C244" t="str">
        <v>Редакция №2</v>
      </c>
      <c r="D244" t="str">
        <v>Твердый переплет</v>
      </c>
      <c r="E244" t="str">
        <v>Дистрибуция</v>
      </c>
    </row>
    <row r="245" spans="1:5" x14ac:dyDescent="0.55000000000000004">
      <c r="A245" t="str">
        <v>«Автостопом по галактике» — Дуглас Адамс</v>
      </c>
      <c r="B245" s="9">
        <v>42908</v>
      </c>
      <c r="C245" t="str">
        <v>Редакция №1</v>
      </c>
      <c r="D245" t="str">
        <v>Покетбук</v>
      </c>
      <c r="E245" t="str">
        <v>Интернет-магазин</v>
      </c>
    </row>
    <row r="246" spans="1:5" x14ac:dyDescent="0.55000000000000004">
      <c r="A246" t="str">
        <v>«Приключения Оливера Твиста» — Чарльз Диккенс</v>
      </c>
      <c r="B246" s="9">
        <v>42908</v>
      </c>
      <c r="C246" t="str">
        <v>Редакция №2</v>
      </c>
      <c r="D246" t="str">
        <v>Твердый переплет</v>
      </c>
      <c r="E246" t="str">
        <v>Интернет-магазин</v>
      </c>
    </row>
    <row r="247" spans="1:5" x14ac:dyDescent="0.55000000000000004">
      <c r="A247" t="str">
        <v>«Автостопом по галактике» — Дуглас Адамс</v>
      </c>
      <c r="B247" s="9">
        <v>42908</v>
      </c>
      <c r="C247" t="str">
        <v>Редакция №1</v>
      </c>
      <c r="D247" t="str">
        <v>Покетбук</v>
      </c>
      <c r="E247" t="str">
        <v>B2B</v>
      </c>
    </row>
    <row r="248" spans="1:5" x14ac:dyDescent="0.55000000000000004">
      <c r="A248" t="str">
        <v>«Приключения Оливера Твиста» — Чарльз Диккенс</v>
      </c>
      <c r="B248" s="9">
        <v>42908</v>
      </c>
      <c r="C248" t="str">
        <v>Редакция №2</v>
      </c>
      <c r="D248" t="str">
        <v>Твердый переплет</v>
      </c>
      <c r="E248" t="str">
        <v>B2B</v>
      </c>
    </row>
    <row r="249" spans="1:5" x14ac:dyDescent="0.55000000000000004">
      <c r="A249" t="str">
        <v>«Молитва об Оуэне Мини» — Джон Ирвинг</v>
      </c>
      <c r="B249" s="9">
        <v>42917</v>
      </c>
      <c r="C249" t="str">
        <v>Редакция №2</v>
      </c>
      <c r="D249" t="str">
        <v>Мягкая обложка</v>
      </c>
      <c r="E249" t="str">
        <v>Дистрибуция</v>
      </c>
    </row>
    <row r="250" spans="1:5" x14ac:dyDescent="0.55000000000000004">
      <c r="A250" t="str">
        <v>«Молитва об Оуэне Мини» — Джон Ирвинг</v>
      </c>
      <c r="B250" s="9">
        <v>42917</v>
      </c>
      <c r="C250" t="str">
        <v>Редакция №2</v>
      </c>
      <c r="D250" t="str">
        <v>Мягкая обложка</v>
      </c>
      <c r="E250" t="str">
        <v>Интернет-магазин</v>
      </c>
    </row>
    <row r="251" spans="1:5" x14ac:dyDescent="0.55000000000000004">
      <c r="A251" t="str">
        <v>«Молитва об Оуэне Мини» — Джон Ирвинг</v>
      </c>
      <c r="B251" s="9">
        <v>42917</v>
      </c>
      <c r="C251" t="str">
        <v>Редакция №2</v>
      </c>
      <c r="D251" t="str">
        <v>Мягкая обложка</v>
      </c>
      <c r="E251" t="str">
        <v>B2B</v>
      </c>
    </row>
    <row r="252" spans="1:5" x14ac:dyDescent="0.55000000000000004">
      <c r="A252" t="str">
        <v>«Очень голодная гусеница» — Эрик Карл</v>
      </c>
      <c r="B252" s="9">
        <v>42923</v>
      </c>
      <c r="C252" t="str">
        <v>Редакция №1</v>
      </c>
      <c r="D252" t="str">
        <v>Твердый переплет</v>
      </c>
      <c r="E252" t="str">
        <v>Дистрибуция</v>
      </c>
    </row>
    <row r="253" spans="1:5" x14ac:dyDescent="0.55000000000000004">
      <c r="A253" t="str">
        <v>«Очень голодная гусеница» — Эрик Карл</v>
      </c>
      <c r="B253" s="9">
        <v>42923</v>
      </c>
      <c r="C253" t="str">
        <v>Редакция №1</v>
      </c>
      <c r="D253" t="str">
        <v>Твердый переплет</v>
      </c>
      <c r="E253" t="str">
        <v>Интернет-магазин</v>
      </c>
    </row>
    <row r="254" spans="1:5" x14ac:dyDescent="0.55000000000000004">
      <c r="A254" t="str">
        <v>«Очень голодная гусеница» — Эрик Карл</v>
      </c>
      <c r="B254" s="9">
        <v>42923</v>
      </c>
      <c r="C254" t="str">
        <v>Редакция №1</v>
      </c>
      <c r="D254" t="str">
        <v>Твердый переплет</v>
      </c>
      <c r="E254" t="str">
        <v>B2B</v>
      </c>
    </row>
    <row r="255" spans="1:5" x14ac:dyDescent="0.55000000000000004">
      <c r="A255" t="str">
        <v>«Рискованные игры» — Жаклин Уилсон</v>
      </c>
      <c r="B255" s="9">
        <v>42962</v>
      </c>
      <c r="C255" t="str">
        <v>Редакция №2</v>
      </c>
      <c r="D255" t="str">
        <v>Покетбук</v>
      </c>
      <c r="E255" t="str">
        <v>Дистрибуция</v>
      </c>
    </row>
    <row r="256" spans="1:5" x14ac:dyDescent="0.55000000000000004">
      <c r="A256" t="str">
        <v>«Рискованные игры» — Жаклин Уилсон</v>
      </c>
      <c r="B256" s="9">
        <v>42962</v>
      </c>
      <c r="C256" t="str">
        <v>Редакция №2</v>
      </c>
      <c r="D256" t="str">
        <v>Покетбук</v>
      </c>
      <c r="E256" t="str">
        <v>Интернет-магазин</v>
      </c>
    </row>
    <row r="257" spans="1:5" x14ac:dyDescent="0.55000000000000004">
      <c r="A257" t="str">
        <v>«Рискованные игры» — Жаклин Уилсон</v>
      </c>
      <c r="B257" s="9">
        <v>42962</v>
      </c>
      <c r="C257" t="str">
        <v>Редакция №2</v>
      </c>
      <c r="D257" t="str">
        <v>Покетбук</v>
      </c>
      <c r="E257" t="str">
        <v>B2B</v>
      </c>
    </row>
    <row r="258" spans="1:5" x14ac:dyDescent="0.55000000000000004">
      <c r="A258" t="str">
        <v>«Кэтрин» — Аня Сетон</v>
      </c>
      <c r="B258" s="9">
        <v>42963</v>
      </c>
      <c r="C258" t="str">
        <v>Редакция №1</v>
      </c>
      <c r="D258" t="str">
        <v>Твердый переплет</v>
      </c>
      <c r="E258" t="str">
        <v>Дистрибуция</v>
      </c>
    </row>
    <row r="259" spans="1:5" x14ac:dyDescent="0.55000000000000004">
      <c r="A259" t="str">
        <v>«Кэтрин» — Аня Сетон</v>
      </c>
      <c r="B259" s="9">
        <v>42963</v>
      </c>
      <c r="C259" t="str">
        <v>Редакция №1</v>
      </c>
      <c r="D259" t="str">
        <v>Твердый переплет</v>
      </c>
      <c r="E259" t="str">
        <v>Интернет-магазин</v>
      </c>
    </row>
    <row r="260" spans="1:5" x14ac:dyDescent="0.55000000000000004">
      <c r="A260" t="str">
        <v>«Кэтрин» — Аня Сетон</v>
      </c>
      <c r="B260" s="9">
        <v>42963</v>
      </c>
      <c r="C260" t="str">
        <v>Редакция №1</v>
      </c>
      <c r="D260" t="str">
        <v>Твердый переплет</v>
      </c>
      <c r="E260" t="str">
        <v>B2B</v>
      </c>
    </row>
    <row r="261" spans="1:5" x14ac:dyDescent="0.55000000000000004">
      <c r="A261" t="str">
        <v>«Пятый элефант» — Терри Пратчетт</v>
      </c>
      <c r="B261" s="9">
        <v>42964</v>
      </c>
      <c r="C261" t="str">
        <v>Редакция №1</v>
      </c>
      <c r="D261" t="str">
        <v>Покетбук</v>
      </c>
      <c r="E261" t="str">
        <v>Дистрибуция</v>
      </c>
    </row>
    <row r="262" spans="1:5" x14ac:dyDescent="0.55000000000000004">
      <c r="A262" t="str">
        <v>«Пятый элефант» — Терри Пратчетт</v>
      </c>
      <c r="B262" s="9">
        <v>42964</v>
      </c>
      <c r="C262" t="str">
        <v>Редакция №1</v>
      </c>
      <c r="D262" t="str">
        <v>Покетбук</v>
      </c>
      <c r="E262" t="str">
        <v>Интернет-магазин</v>
      </c>
    </row>
    <row r="263" spans="1:5" x14ac:dyDescent="0.55000000000000004">
      <c r="A263" t="str">
        <v>«Пятый элефант» — Терри Пратчетт</v>
      </c>
      <c r="B263" s="9">
        <v>42964</v>
      </c>
      <c r="C263" t="str">
        <v>Редакция №1</v>
      </c>
      <c r="D263" t="str">
        <v>Покетбук</v>
      </c>
      <c r="E263" t="str">
        <v>B2B</v>
      </c>
    </row>
    <row r="264" spans="1:5" x14ac:dyDescent="0.55000000000000004">
      <c r="A264" t="str">
        <v>«Корабельные новости» — Энни Пру</v>
      </c>
      <c r="B264" s="9">
        <v>42968</v>
      </c>
      <c r="C264" t="str">
        <v>Редакция №1</v>
      </c>
      <c r="D264" t="str">
        <v>Твердый переплет</v>
      </c>
      <c r="E264" t="str">
        <v>Дистрибуция</v>
      </c>
    </row>
    <row r="265" spans="1:5" x14ac:dyDescent="0.55000000000000004">
      <c r="A265" t="str">
        <v>«Корабельные новости» — Энни Пру</v>
      </c>
      <c r="B265" s="9">
        <v>42968</v>
      </c>
      <c r="C265" t="str">
        <v>Редакция №1</v>
      </c>
      <c r="D265" t="str">
        <v>Твердый переплет</v>
      </c>
      <c r="E265" t="str">
        <v>Интернет-магазин</v>
      </c>
    </row>
    <row r="266" spans="1:5" x14ac:dyDescent="0.55000000000000004">
      <c r="A266" t="str">
        <v>«Корабельные новости» — Энни Пру</v>
      </c>
      <c r="B266" s="9">
        <v>42968</v>
      </c>
      <c r="C266" t="str">
        <v>Редакция №1</v>
      </c>
      <c r="D266" t="str">
        <v>Твердый переплет</v>
      </c>
      <c r="E266" t="str">
        <v>B2B</v>
      </c>
    </row>
    <row r="267" spans="1:5" x14ac:dyDescent="0.55000000000000004">
      <c r="A267" t="str">
        <v>«39 ступеней" — Джон Бьюкен</v>
      </c>
      <c r="B267" s="9">
        <v>42999</v>
      </c>
      <c r="C267" t="str">
        <v>Редакция №1</v>
      </c>
      <c r="D267" t="str">
        <v>Твердый переплет</v>
      </c>
      <c r="E267" t="str">
        <v>Дистрибуция</v>
      </c>
    </row>
    <row r="268" spans="1:5" x14ac:dyDescent="0.55000000000000004">
      <c r="A268" t="str">
        <v>«39 ступеней" — Джон Бьюкен</v>
      </c>
      <c r="B268" s="9">
        <v>42999</v>
      </c>
      <c r="C268" t="str">
        <v>Редакция №1</v>
      </c>
      <c r="D268" t="str">
        <v>Твердый переплет</v>
      </c>
      <c r="E268" t="str">
        <v>Интернет-магазин</v>
      </c>
    </row>
    <row r="269" spans="1:5" x14ac:dyDescent="0.55000000000000004">
      <c r="A269" t="str">
        <v>«39 ступеней" — Джон Бьюкен</v>
      </c>
      <c r="B269" s="9">
        <v>42999</v>
      </c>
      <c r="C269" t="str">
        <v>Редакция №1</v>
      </c>
      <c r="D269" t="str">
        <v>Твердый переплет</v>
      </c>
      <c r="E269" t="str">
        <v>B2B</v>
      </c>
    </row>
    <row r="270" spans="1:5" x14ac:dyDescent="0.55000000000000004">
      <c r="A270" t="str">
        <v>«Семейство Твит» — Роальд Даль</v>
      </c>
      <c r="B270" s="9">
        <v>43005</v>
      </c>
      <c r="C270" t="str">
        <v>Редакция №2</v>
      </c>
      <c r="D270" t="str">
        <v>Покетбук</v>
      </c>
      <c r="E270" t="str">
        <v>Дистрибуция</v>
      </c>
    </row>
    <row r="271" spans="1:5" x14ac:dyDescent="0.55000000000000004">
      <c r="A271" t="str">
        <v>«Семейство Твит» — Роальд Даль</v>
      </c>
      <c r="B271" s="9">
        <v>43005</v>
      </c>
      <c r="C271" t="str">
        <v>Редакция №2</v>
      </c>
      <c r="D271" t="str">
        <v>Покетбук</v>
      </c>
      <c r="E271" t="str">
        <v>Интернет-магазин</v>
      </c>
    </row>
    <row r="272" spans="1:5" x14ac:dyDescent="0.55000000000000004">
      <c r="A272" t="str">
        <v>«Семейство Твит» — Роальд Даль</v>
      </c>
      <c r="B272" s="9">
        <v>43005</v>
      </c>
      <c r="C272" t="str">
        <v>Редакция №2</v>
      </c>
      <c r="D272" t="str">
        <v>Покетбук</v>
      </c>
      <c r="E272" t="str">
        <v>B2B</v>
      </c>
    </row>
    <row r="273" spans="1:5" x14ac:dyDescent="0.55000000000000004">
      <c r="A273" t="str">
        <v>«Изумительный мистер Лис» — Роальд Даль</v>
      </c>
      <c r="B273" s="9">
        <v>43020</v>
      </c>
      <c r="C273" t="str">
        <v>Редакция №2</v>
      </c>
      <c r="D273" t="str">
        <v>Покетбук</v>
      </c>
      <c r="E273" t="str">
        <v>Дистрибуция</v>
      </c>
    </row>
    <row r="274" spans="1:5" x14ac:dyDescent="0.55000000000000004">
      <c r="A274" t="str">
        <v>«Изумительный мистер Лис» — Роальд Даль</v>
      </c>
      <c r="B274" s="9">
        <v>43020</v>
      </c>
      <c r="C274" t="str">
        <v>Редакция №2</v>
      </c>
      <c r="D274" t="str">
        <v>Покетбук</v>
      </c>
      <c r="E274" t="str">
        <v>Интернет-магазин</v>
      </c>
    </row>
    <row r="275" spans="1:5" x14ac:dyDescent="0.55000000000000004">
      <c r="A275" t="str">
        <v>«Изумительный мистер Лис» — Роальд Даль</v>
      </c>
      <c r="B275" s="9">
        <v>43020</v>
      </c>
      <c r="C275" t="str">
        <v>Редакция №2</v>
      </c>
      <c r="D275" t="str">
        <v>Покетбук</v>
      </c>
      <c r="E275" t="str">
        <v>B2B</v>
      </c>
    </row>
    <row r="276" spans="1:5" x14ac:dyDescent="0.55000000000000004">
      <c r="A276" t="str">
        <v>«Миддлмарч» — Джордж Элиот</v>
      </c>
      <c r="B276" s="9">
        <v>43025</v>
      </c>
      <c r="C276" t="str">
        <v>Редакция №1</v>
      </c>
      <c r="D276" t="str">
        <v>Мягкая обложка</v>
      </c>
      <c r="E276" t="str">
        <v>Дистрибуция</v>
      </c>
    </row>
    <row r="277" spans="1:5" x14ac:dyDescent="0.55000000000000004">
      <c r="A277" t="str">
        <v>«Миддлмарч» — Джордж Элиот</v>
      </c>
      <c r="B277" s="9">
        <v>43025</v>
      </c>
      <c r="C277" t="str">
        <v>Редакция №1</v>
      </c>
      <c r="D277" t="str">
        <v>Мягкая обложка</v>
      </c>
      <c r="E277" t="str">
        <v>Интернет-магазин</v>
      </c>
    </row>
    <row r="278" spans="1:5" x14ac:dyDescent="0.55000000000000004">
      <c r="A278" t="str">
        <v>«Миддлмарч» — Джордж Элиот</v>
      </c>
      <c r="B278" s="9">
        <v>43025</v>
      </c>
      <c r="C278" t="str">
        <v>Редакция №1</v>
      </c>
      <c r="D278" t="str">
        <v>Мягкая обложка</v>
      </c>
      <c r="E278" t="str">
        <v>B2B</v>
      </c>
    </row>
    <row r="279" spans="1:5" x14ac:dyDescent="0.55000000000000004">
      <c r="A279" t="str">
        <v>«Песнь на закате» — Льюис Грессик Гиббон</v>
      </c>
      <c r="B279" s="9">
        <v>43035</v>
      </c>
      <c r="C279" t="str">
        <v>Редакция №1</v>
      </c>
      <c r="D279" t="str">
        <v>Покетбук</v>
      </c>
      <c r="E279" t="str">
        <v>Дистрибуция</v>
      </c>
    </row>
    <row r="280" spans="1:5" x14ac:dyDescent="0.55000000000000004">
      <c r="A280" t="str">
        <v>«Песнь на закате» — Льюис Грессик Гиббон</v>
      </c>
      <c r="B280" s="9">
        <v>43035</v>
      </c>
      <c r="C280" t="str">
        <v>Редакция №1</v>
      </c>
      <c r="D280" t="str">
        <v>Покетбук</v>
      </c>
      <c r="E280" t="str">
        <v>Интернет-магазин</v>
      </c>
    </row>
    <row r="281" spans="1:5" x14ac:dyDescent="0.55000000000000004">
      <c r="A281" t="str">
        <v>«Песнь на закате» — Льюис Грессик Гиббон</v>
      </c>
      <c r="B281" s="9">
        <v>43035</v>
      </c>
      <c r="C281" t="str">
        <v>Редакция №1</v>
      </c>
      <c r="D281" t="str">
        <v>Покетбук</v>
      </c>
      <c r="E281" t="str">
        <v>B2B</v>
      </c>
    </row>
    <row r="282" spans="1:5" x14ac:dyDescent="0.55000000000000004">
      <c r="A282" t="str">
        <v>«Ужастики» — Роберт Лоуренс Стайн</v>
      </c>
      <c r="B282" s="9">
        <v>43041</v>
      </c>
      <c r="C282" t="str">
        <v>Редакция №2</v>
      </c>
      <c r="D282" t="str">
        <v>Твердый переплет</v>
      </c>
      <c r="E282" t="str">
        <v>Дистрибуция</v>
      </c>
    </row>
    <row r="283" spans="1:5" x14ac:dyDescent="0.55000000000000004">
      <c r="A283" t="str">
        <v>«Ужастики» — Роберт Лоуренс Стайн</v>
      </c>
      <c r="B283" s="9">
        <v>43041</v>
      </c>
      <c r="C283" t="str">
        <v>Редакция №2</v>
      </c>
      <c r="D283" t="str">
        <v>Твердый переплет</v>
      </c>
      <c r="E283" t="str">
        <v>Интернет-магазин</v>
      </c>
    </row>
    <row r="284" spans="1:5" x14ac:dyDescent="0.55000000000000004">
      <c r="A284" t="str">
        <v>«Ужастики» — Роберт Лоуренс Стайн</v>
      </c>
      <c r="B284" s="9">
        <v>43041</v>
      </c>
      <c r="C284" t="str">
        <v>Редакция №2</v>
      </c>
      <c r="D284" t="str">
        <v>Твердый переплет</v>
      </c>
      <c r="E284" t="str">
        <v>B2B</v>
      </c>
    </row>
    <row r="285" spans="1:5" x14ac:dyDescent="0.55000000000000004">
      <c r="A285" t="str">
        <v>«Цвет волшебства» — Терри Пратчетт</v>
      </c>
      <c r="B285" s="9">
        <v>43043</v>
      </c>
      <c r="C285" t="str">
        <v>Редакция №1</v>
      </c>
      <c r="D285" t="str">
        <v>Твердый переплет</v>
      </c>
      <c r="E285" t="str">
        <v>Дистрибуция</v>
      </c>
    </row>
    <row r="286" spans="1:5" x14ac:dyDescent="0.55000000000000004">
      <c r="A286" t="str">
        <v>«Цвет волшебства» — Терри Пратчетт</v>
      </c>
      <c r="B286" s="9">
        <v>43043</v>
      </c>
      <c r="C286" t="str">
        <v>Редакция №1</v>
      </c>
      <c r="D286" t="str">
        <v>Твердый переплет</v>
      </c>
      <c r="E286" t="str">
        <v>Интернет-магазин</v>
      </c>
    </row>
    <row r="287" spans="1:5" x14ac:dyDescent="0.55000000000000004">
      <c r="A287" t="str">
        <v>«Цвет волшебства» — Терри Пратчетт</v>
      </c>
      <c r="B287" s="9">
        <v>43043</v>
      </c>
      <c r="C287" t="str">
        <v>Редакция №1</v>
      </c>
      <c r="D287" t="str">
        <v>Твердый переплет</v>
      </c>
      <c r="E287" t="str">
        <v>B2B</v>
      </c>
    </row>
    <row r="288" spans="1:5" x14ac:dyDescent="0.55000000000000004">
      <c r="A288" t="str">
        <v>«Собака Баскервилей» — Артур Конан Дойль</v>
      </c>
      <c r="B288" s="9">
        <v>43058</v>
      </c>
      <c r="C288" t="str">
        <v>Редакция №2</v>
      </c>
      <c r="D288" t="str">
        <v>Мягкая обложка</v>
      </c>
      <c r="E288" t="str">
        <v>Дистрибуция</v>
      </c>
    </row>
    <row r="289" spans="1:5" x14ac:dyDescent="0.55000000000000004">
      <c r="A289" t="str">
        <v>«Собака Баскервилей» — Артур Конан Дойль</v>
      </c>
      <c r="B289" s="9">
        <v>43058</v>
      </c>
      <c r="C289" t="str">
        <v>Редакция №2</v>
      </c>
      <c r="D289" t="str">
        <v>Мягкая обложка</v>
      </c>
      <c r="E289" t="str">
        <v>Интернет-магазин</v>
      </c>
    </row>
    <row r="290" spans="1:5" x14ac:dyDescent="0.55000000000000004">
      <c r="A290" t="str">
        <v>«Собака Баскервилей» — Артур Конан Дойль</v>
      </c>
      <c r="B290" s="9">
        <v>43058</v>
      </c>
      <c r="C290" t="str">
        <v>Редакция №2</v>
      </c>
      <c r="D290" t="str">
        <v>Мягкая обложка</v>
      </c>
      <c r="E290" t="str">
        <v>B2B</v>
      </c>
    </row>
    <row r="291" spans="1:5" x14ac:dyDescent="0.55000000000000004">
      <c r="A291" t="str">
        <v>«Сыновья и любовники» — Дэвид Герберт Лоуренс</v>
      </c>
      <c r="B291" s="9">
        <v>43074</v>
      </c>
      <c r="C291" t="str">
        <v>Редакция №2</v>
      </c>
      <c r="D291" t="str">
        <v>Покетбук</v>
      </c>
      <c r="E291" t="str">
        <v>Дистрибуция</v>
      </c>
    </row>
    <row r="292" spans="1:5" x14ac:dyDescent="0.55000000000000004">
      <c r="A292" t="str">
        <v>«Сыновья и любовники» — Дэвид Герберт Лоуренс</v>
      </c>
      <c r="B292" s="9">
        <v>43074</v>
      </c>
      <c r="C292" t="str">
        <v>Редакция №2</v>
      </c>
      <c r="D292" t="str">
        <v>Покетбук</v>
      </c>
      <c r="E292" t="str">
        <v>Интернет-магазин</v>
      </c>
    </row>
    <row r="293" spans="1:5" x14ac:dyDescent="0.55000000000000004">
      <c r="A293" t="str">
        <v>«Сыновья и любовники» — Дэвид Герберт Лоуренс</v>
      </c>
      <c r="B293" s="9">
        <v>43074</v>
      </c>
      <c r="C293" t="str">
        <v>Редакция №2</v>
      </c>
      <c r="D293" t="str">
        <v>Покетбук</v>
      </c>
      <c r="E293" t="str">
        <v>B2B</v>
      </c>
    </row>
    <row r="294" spans="1:5" x14ac:dyDescent="0.55000000000000004">
      <c r="A294" t="str">
        <v>«Унесённые ветром» — Маргарет Митчелл</v>
      </c>
      <c r="B294" s="9">
        <v>43086</v>
      </c>
      <c r="C294" t="str">
        <v>Редакция №2</v>
      </c>
      <c r="D294" t="str">
        <v>Твердый переплет</v>
      </c>
      <c r="E294" t="str">
        <v>Дистрибуция</v>
      </c>
    </row>
    <row r="295" spans="1:5" x14ac:dyDescent="0.55000000000000004">
      <c r="A295" t="str">
        <v>«Унесённые ветром» — Маргарет Митчелл</v>
      </c>
      <c r="B295" s="9">
        <v>43086</v>
      </c>
      <c r="C295" t="str">
        <v>Редакция №2</v>
      </c>
      <c r="D295" t="str">
        <v>Твердый переплет</v>
      </c>
      <c r="E295" t="str">
        <v>Интернет-магазин</v>
      </c>
    </row>
    <row r="296" spans="1:5" x14ac:dyDescent="0.55000000000000004">
      <c r="A296" t="str">
        <v>«Унесённые ветром» — Маргарет Митчелл</v>
      </c>
      <c r="B296" s="9">
        <v>43086</v>
      </c>
      <c r="C296" t="str">
        <v>Редакция №2</v>
      </c>
      <c r="D296" t="str">
        <v>Твердый переплет</v>
      </c>
      <c r="E296" t="str">
        <v>B2B</v>
      </c>
    </row>
    <row r="297" spans="1:5" x14ac:dyDescent="0.55000000000000004">
      <c r="A297" t="str">
        <v>«Преступление и наказание» — Фёдор Достоевский</v>
      </c>
      <c r="B297" s="9">
        <v>43098</v>
      </c>
      <c r="C297" t="str">
        <v>Редакция №1</v>
      </c>
      <c r="D297" t="str">
        <v>Мягкая обложка</v>
      </c>
      <c r="E297" t="str">
        <v>Дистрибуция</v>
      </c>
    </row>
    <row r="298" spans="1:5" x14ac:dyDescent="0.55000000000000004">
      <c r="A298" t="str">
        <v>«Преступление и наказание» — Фёдор Достоевский</v>
      </c>
      <c r="B298" s="9">
        <v>43098</v>
      </c>
      <c r="C298" t="str">
        <v>Редакция №1</v>
      </c>
      <c r="D298" t="str">
        <v>Мягкая обложка</v>
      </c>
      <c r="E298" t="str">
        <v>Интернет-магазин</v>
      </c>
    </row>
    <row r="299" spans="1:5" x14ac:dyDescent="0.55000000000000004">
      <c r="A299" t="str">
        <v>«Преступление и наказание» — Фёдор Достоевский</v>
      </c>
      <c r="B299" s="9">
        <v>43098</v>
      </c>
      <c r="C299" t="str">
        <v>Редакция №1</v>
      </c>
      <c r="D299" t="str">
        <v>Мягкая обложка</v>
      </c>
      <c r="E299" t="str">
        <v>B2B</v>
      </c>
    </row>
    <row r="300" spans="1:5" x14ac:dyDescent="0.55000000000000004">
      <c r="A300" t="str">
        <v>«Бог мелочей» — Арундати Рой</v>
      </c>
      <c r="B300" s="9">
        <v>43126</v>
      </c>
      <c r="C300" t="str">
        <v>Редакция №1</v>
      </c>
      <c r="D300" t="str">
        <v>Твердый переплет</v>
      </c>
      <c r="E300" t="str">
        <v>Дистрибуция</v>
      </c>
    </row>
    <row r="301" spans="1:5" x14ac:dyDescent="0.55000000000000004">
      <c r="A301" t="str">
        <v>«Вики-Ангел» — Жаклин Уилсон</v>
      </c>
      <c r="B301" s="9">
        <v>43126</v>
      </c>
      <c r="C301" t="str">
        <v>Редакция №1</v>
      </c>
      <c r="D301" t="str">
        <v>Мягкая обложка</v>
      </c>
      <c r="E301" t="str">
        <v>Дистрибуция</v>
      </c>
    </row>
    <row r="302" spans="1:5" x14ac:dyDescent="0.55000000000000004">
      <c r="A302" t="str">
        <v>«Бог мелочей» — Арундати Рой</v>
      </c>
      <c r="B302" s="9">
        <v>43126</v>
      </c>
      <c r="C302" t="str">
        <v>Редакция №1</v>
      </c>
      <c r="D302" t="str">
        <v>Твердый переплет</v>
      </c>
      <c r="E302" t="str">
        <v>Интернет-магазин</v>
      </c>
    </row>
    <row r="303" spans="1:5" x14ac:dyDescent="0.55000000000000004">
      <c r="A303" t="str">
        <v>«Вики-Ангел» — Жаклин Уилсон</v>
      </c>
      <c r="B303" s="9">
        <v>43126</v>
      </c>
      <c r="C303" t="str">
        <v>Редакция №1</v>
      </c>
      <c r="D303" t="str">
        <v>Мягкая обложка</v>
      </c>
      <c r="E303" t="str">
        <v>Интернет-магазин</v>
      </c>
    </row>
    <row r="304" spans="1:5" x14ac:dyDescent="0.55000000000000004">
      <c r="A304" t="str">
        <v>«Бог мелочей» — Арундати Рой</v>
      </c>
      <c r="B304" s="9">
        <v>43126</v>
      </c>
      <c r="C304" t="str">
        <v>Редакция №1</v>
      </c>
      <c r="D304" t="str">
        <v>Твердый переплет</v>
      </c>
      <c r="E304" t="str">
        <v>B2B</v>
      </c>
    </row>
    <row r="305" spans="1:5" x14ac:dyDescent="0.55000000000000004">
      <c r="A305" t="str">
        <v>«Вики-Ангел» — Жаклин Уилсон</v>
      </c>
      <c r="B305" s="9">
        <v>43126</v>
      </c>
      <c r="C305" t="str">
        <v>Редакция №1</v>
      </c>
      <c r="D305" t="str">
        <v>Мягкая обложка</v>
      </c>
      <c r="E305" t="str">
        <v>B2B</v>
      </c>
    </row>
    <row r="306" spans="1:5" x14ac:dyDescent="0.55000000000000004">
      <c r="A306" t="str">
        <v>«Мир Софии» — Йостейн Гордер</v>
      </c>
      <c r="B306" s="9">
        <v>43140</v>
      </c>
      <c r="C306" t="str">
        <v>Редакция №1</v>
      </c>
      <c r="D306" t="str">
        <v>Твердый переплет</v>
      </c>
      <c r="E306" t="str">
        <v>Дистрибуция</v>
      </c>
    </row>
    <row r="307" spans="1:5" x14ac:dyDescent="0.55000000000000004">
      <c r="A307" t="str">
        <v>«Мир Софии» — Йостейн Гордер</v>
      </c>
      <c r="B307" s="9">
        <v>43140</v>
      </c>
      <c r="C307" t="str">
        <v>Редакция №1</v>
      </c>
      <c r="D307" t="str">
        <v>Твердый переплет</v>
      </c>
      <c r="E307" t="str">
        <v>Интернет-магазин</v>
      </c>
    </row>
    <row r="308" spans="1:5" x14ac:dyDescent="0.55000000000000004">
      <c r="A308" t="str">
        <v>«Мир Софии» — Йостейн Гордер</v>
      </c>
      <c r="B308" s="9">
        <v>43140</v>
      </c>
      <c r="C308" t="str">
        <v>Редакция №1</v>
      </c>
      <c r="D308" t="str">
        <v>Твердый переплет</v>
      </c>
      <c r="E308" t="str">
        <v>B2B</v>
      </c>
    </row>
    <row r="309" spans="1:5" x14ac:dyDescent="0.55000000000000004">
      <c r="A309" t="str">
        <v>«Война миров» — Герберт Уэллс</v>
      </c>
      <c r="B309" s="9">
        <v>43155</v>
      </c>
      <c r="C309" t="str">
        <v>Редакция №2</v>
      </c>
      <c r="D309" t="str">
        <v>Мягкая обложка</v>
      </c>
      <c r="E309" t="str">
        <v>Дистрибуция</v>
      </c>
    </row>
    <row r="310" spans="1:5" x14ac:dyDescent="0.55000000000000004">
      <c r="A310" t="str">
        <v>«Война миров» — Герберт Уэллс</v>
      </c>
      <c r="B310" s="9">
        <v>43155</v>
      </c>
      <c r="C310" t="str">
        <v>Редакция №2</v>
      </c>
      <c r="D310" t="str">
        <v>Мягкая обложка</v>
      </c>
      <c r="E310" t="str">
        <v>Интернет-магазин</v>
      </c>
    </row>
    <row r="311" spans="1:5" x14ac:dyDescent="0.55000000000000004">
      <c r="A311" t="str">
        <v>«Война миров» — Герберт Уэллс</v>
      </c>
      <c r="B311" s="9">
        <v>43155</v>
      </c>
      <c r="C311" t="str">
        <v>Редакция №2</v>
      </c>
      <c r="D311" t="str">
        <v>Мягкая обложка</v>
      </c>
      <c r="E311" t="str">
        <v>B2B</v>
      </c>
    </row>
    <row r="312" spans="1:5" x14ac:dyDescent="0.55000000000000004">
      <c r="A312" t="str">
        <v>«Девчонки в поисках любви» — Жаклин Уилсон</v>
      </c>
      <c r="B312" s="9">
        <v>43200</v>
      </c>
      <c r="C312" t="str">
        <v>Редакция №1</v>
      </c>
      <c r="D312" t="str">
        <v>Покетбук</v>
      </c>
      <c r="E312" t="str">
        <v>Дистрибуция</v>
      </c>
    </row>
    <row r="313" spans="1:5" x14ac:dyDescent="0.55000000000000004">
      <c r="A313" t="str">
        <v>«Девчонки в поисках любви» — Жаклин Уилсон</v>
      </c>
      <c r="B313" s="9">
        <v>43200</v>
      </c>
      <c r="C313" t="str">
        <v>Редакция №1</v>
      </c>
      <c r="D313" t="str">
        <v>Покетбук</v>
      </c>
      <c r="E313" t="str">
        <v>Интернет-магазин</v>
      </c>
    </row>
    <row r="314" spans="1:5" x14ac:dyDescent="0.55000000000000004">
      <c r="A314" t="str">
        <v>«Девчонки в поисках любви» — Жаклин Уилсон</v>
      </c>
      <c r="B314" s="9">
        <v>43200</v>
      </c>
      <c r="C314" t="str">
        <v>Редакция №1</v>
      </c>
      <c r="D314" t="str">
        <v>Покетбук</v>
      </c>
      <c r="E314" t="str">
        <v>B2B</v>
      </c>
    </row>
    <row r="315" spans="1:5" x14ac:dyDescent="0.55000000000000004">
      <c r="A315" t="str">
        <v>«Столпы Земли» — Кен Фоллетт</v>
      </c>
      <c r="B315" s="9">
        <v>43203</v>
      </c>
      <c r="C315" t="str">
        <v>Редакция №1</v>
      </c>
      <c r="D315" t="str">
        <v>Твердый переплет</v>
      </c>
      <c r="E315" t="str">
        <v>Дистрибуция</v>
      </c>
    </row>
    <row r="316" spans="1:5" x14ac:dyDescent="0.55000000000000004">
      <c r="A316" t="str">
        <v>«Секреты» — Жаклин Уилсон</v>
      </c>
      <c r="B316" s="9">
        <v>43203</v>
      </c>
      <c r="C316" t="str">
        <v>Редакция №1</v>
      </c>
      <c r="D316" t="str">
        <v>Покетбук</v>
      </c>
      <c r="E316" t="str">
        <v>Дистрибуция</v>
      </c>
    </row>
    <row r="317" spans="1:5" x14ac:dyDescent="0.55000000000000004">
      <c r="A317" t="str">
        <v>«Столпы Земли» — Кен Фоллетт</v>
      </c>
      <c r="B317" s="9">
        <v>43203</v>
      </c>
      <c r="C317" t="str">
        <v>Редакция №1</v>
      </c>
      <c r="D317" t="str">
        <v>Твердый переплет</v>
      </c>
      <c r="E317" t="str">
        <v>Интернет-магазин</v>
      </c>
    </row>
    <row r="318" spans="1:5" x14ac:dyDescent="0.55000000000000004">
      <c r="A318" t="str">
        <v>«Секреты» — Жаклин Уилсон</v>
      </c>
      <c r="B318" s="9">
        <v>43203</v>
      </c>
      <c r="C318" t="str">
        <v>Редакция №1</v>
      </c>
      <c r="D318" t="str">
        <v>Покетбук</v>
      </c>
      <c r="E318" t="str">
        <v>Интернет-магазин</v>
      </c>
    </row>
    <row r="319" spans="1:5" x14ac:dyDescent="0.55000000000000004">
      <c r="A319" t="str">
        <v>«Столпы Земли» — Кен Фоллетт</v>
      </c>
      <c r="B319" s="9">
        <v>43203</v>
      </c>
      <c r="C319" t="str">
        <v>Редакция №1</v>
      </c>
      <c r="D319" t="str">
        <v>Твердый переплет</v>
      </c>
      <c r="E319" t="str">
        <v>B2B</v>
      </c>
    </row>
    <row r="320" spans="1:5" x14ac:dyDescent="0.55000000000000004">
      <c r="A320" t="str">
        <v>«Секреты» — Жаклин Уилсон</v>
      </c>
      <c r="B320" s="9">
        <v>43203</v>
      </c>
      <c r="C320" t="str">
        <v>Редакция №1</v>
      </c>
      <c r="D320" t="str">
        <v>Покетбук</v>
      </c>
      <c r="E320" t="str">
        <v>B2B</v>
      </c>
    </row>
    <row r="321" spans="1:5" x14ac:dyDescent="0.55000000000000004">
      <c r="A321" t="str">
        <v>«Вдали от обезумевшей толпы» — Томас Харди</v>
      </c>
      <c r="B321" s="9">
        <v>43217</v>
      </c>
      <c r="C321" t="str">
        <v>Редакция №1</v>
      </c>
      <c r="D321" t="str">
        <v>Твердый переплет</v>
      </c>
      <c r="E321" t="str">
        <v>Дистрибуция</v>
      </c>
    </row>
    <row r="322" spans="1:5" x14ac:dyDescent="0.55000000000000004">
      <c r="A322" t="str">
        <v>«Вдали от обезумевшей толпы» — Томас Харди</v>
      </c>
      <c r="B322" s="9">
        <v>43217</v>
      </c>
      <c r="C322" t="str">
        <v>Редакция №1</v>
      </c>
      <c r="D322" t="str">
        <v>Твердый переплет</v>
      </c>
      <c r="E322" t="str">
        <v>Интернет-магазин</v>
      </c>
    </row>
    <row r="323" spans="1:5" x14ac:dyDescent="0.55000000000000004">
      <c r="A323" t="str">
        <v>«Вдали от обезумевшей толпы» — Томас Харди</v>
      </c>
      <c r="B323" s="9">
        <v>43217</v>
      </c>
      <c r="C323" t="str">
        <v>Редакция №1</v>
      </c>
      <c r="D323" t="str">
        <v>Твердый переплет</v>
      </c>
      <c r="E323" t="str">
        <v>B2B</v>
      </c>
    </row>
    <row r="324" spans="1:5" x14ac:dyDescent="0.55000000000000004">
      <c r="A324" t="str">
        <v>«Хозяин морей: Командир и штурман» — Патрик О’Брайан</v>
      </c>
      <c r="B324" s="9">
        <v>43224</v>
      </c>
      <c r="C324" t="str">
        <v>Редакция №2</v>
      </c>
      <c r="D324" t="str">
        <v>Твердый переплет</v>
      </c>
      <c r="E324" t="str">
        <v>Дистрибуция</v>
      </c>
    </row>
    <row r="325" spans="1:5" x14ac:dyDescent="0.55000000000000004">
      <c r="A325" t="str">
        <v>«Хозяин морей: Командир и штурман» — Патрик О’Брайан</v>
      </c>
      <c r="B325" s="9">
        <v>43224</v>
      </c>
      <c r="C325" t="str">
        <v>Редакция №2</v>
      </c>
      <c r="D325" t="str">
        <v>Твердый переплет</v>
      </c>
      <c r="E325" t="str">
        <v>Интернет-магазин</v>
      </c>
    </row>
    <row r="326" spans="1:5" x14ac:dyDescent="0.55000000000000004">
      <c r="A326" t="str">
        <v>«Хозяин морей: Командир и штурман» — Патрик О’Брайан</v>
      </c>
      <c r="B326" s="9">
        <v>43224</v>
      </c>
      <c r="C326" t="str">
        <v>Редакция №2</v>
      </c>
      <c r="D326" t="str">
        <v>Твердый переплет</v>
      </c>
      <c r="E326" t="str">
        <v>B2B</v>
      </c>
    </row>
    <row r="327" spans="1:5" x14ac:dyDescent="0.55000000000000004">
      <c r="A327" t="str">
        <v>«Дневник Бриджит Джонс» — Хелен Филдинг</v>
      </c>
      <c r="B327" s="9">
        <v>43226</v>
      </c>
      <c r="C327" t="str">
        <v>Редакция №2</v>
      </c>
      <c r="D327" t="str">
        <v>Покетбук</v>
      </c>
      <c r="E327" t="str">
        <v>Дистрибуция</v>
      </c>
    </row>
    <row r="328" spans="1:5" x14ac:dyDescent="0.55000000000000004">
      <c r="A328" t="str">
        <v>«Дневник Бриджит Джонс» — Хелен Филдинг</v>
      </c>
      <c r="B328" s="9">
        <v>43226</v>
      </c>
      <c r="C328" t="str">
        <v>Редакция №2</v>
      </c>
      <c r="D328" t="str">
        <v>Покетбук</v>
      </c>
      <c r="E328" t="str">
        <v>Интернет-магазин</v>
      </c>
    </row>
    <row r="329" spans="1:5" x14ac:dyDescent="0.55000000000000004">
      <c r="A329" t="str">
        <v>«Дневник Бриджит Джонс» — Хелен Филдинг</v>
      </c>
      <c r="B329" s="9">
        <v>43226</v>
      </c>
      <c r="C329" t="str">
        <v>Редакция №2</v>
      </c>
      <c r="D329" t="str">
        <v>Покетбук</v>
      </c>
      <c r="E329" t="str">
        <v>B2B</v>
      </c>
    </row>
    <row r="330" spans="1:5" x14ac:dyDescent="0.55000000000000004">
      <c r="A330" t="str">
        <v>«Неуютная ферма» — Стелла Гиббонс</v>
      </c>
      <c r="B330" s="9">
        <v>43227</v>
      </c>
      <c r="C330" t="str">
        <v>Редакция №2</v>
      </c>
      <c r="D330" t="str">
        <v>Покетбук</v>
      </c>
      <c r="E330" t="str">
        <v>Дистрибуция</v>
      </c>
    </row>
    <row r="331" spans="1:5" x14ac:dyDescent="0.55000000000000004">
      <c r="A331" t="str">
        <v>«Неуютная ферма» — Стелла Гиббонс</v>
      </c>
      <c r="B331" s="9">
        <v>43227</v>
      </c>
      <c r="C331" t="str">
        <v>Редакция №2</v>
      </c>
      <c r="D331" t="str">
        <v>Покетбук</v>
      </c>
      <c r="E331" t="str">
        <v>Интернет-магазин</v>
      </c>
    </row>
    <row r="332" spans="1:5" x14ac:dyDescent="0.55000000000000004">
      <c r="A332" t="str">
        <v>«Неуютная ферма» — Стелла Гиббонс</v>
      </c>
      <c r="B332" s="9">
        <v>43227</v>
      </c>
      <c r="C332" t="str">
        <v>Редакция №2</v>
      </c>
      <c r="D332" t="str">
        <v>Покетбук</v>
      </c>
      <c r="E332" t="str">
        <v>B2B</v>
      </c>
    </row>
    <row r="333" spans="1:5" x14ac:dyDescent="0.55000000000000004">
      <c r="A333" t="str">
        <v>«Гарри Поттер и Тайная комната» — Джоан Роулинг</v>
      </c>
      <c r="B333" s="9">
        <v>43238</v>
      </c>
      <c r="C333" t="str">
        <v>Редакция №2</v>
      </c>
      <c r="D333" t="str">
        <v>Покетбук</v>
      </c>
      <c r="E333" t="str">
        <v>Дистрибуция</v>
      </c>
    </row>
    <row r="334" spans="1:5" x14ac:dyDescent="0.55000000000000004">
      <c r="A334" t="str">
        <v>«Гарри Поттер и Тайная комната» — Джоан Роулинг</v>
      </c>
      <c r="B334" s="9">
        <v>43238</v>
      </c>
      <c r="C334" t="str">
        <v>Редакция №2</v>
      </c>
      <c r="D334" t="str">
        <v>Покетбук</v>
      </c>
      <c r="E334" t="str">
        <v>Интернет-магазин</v>
      </c>
    </row>
    <row r="335" spans="1:5" x14ac:dyDescent="0.55000000000000004">
      <c r="A335" t="str">
        <v>«Гарри Поттер и Тайная комната» — Джоан Роулинг</v>
      </c>
      <c r="B335" s="9">
        <v>43238</v>
      </c>
      <c r="C335" t="str">
        <v>Редакция №2</v>
      </c>
      <c r="D335" t="str">
        <v>Покетбук</v>
      </c>
      <c r="E335" t="str">
        <v>B2B</v>
      </c>
    </row>
    <row r="336" spans="1:5" x14ac:dyDescent="0.55000000000000004">
      <c r="A336" t="str">
        <v>«Спокойной ночи, мистер Том» — Мишель Магориан</v>
      </c>
      <c r="B336" s="9">
        <v>43245</v>
      </c>
      <c r="C336" t="str">
        <v>Редакция №1</v>
      </c>
      <c r="D336" t="str">
        <v>Твердый переплет</v>
      </c>
      <c r="E336" t="str">
        <v>Дистрибуция</v>
      </c>
    </row>
    <row r="337" spans="1:5" x14ac:dyDescent="0.55000000000000004">
      <c r="A337" t="str">
        <v>«Громобой» — Энтони Горовиц</v>
      </c>
      <c r="B337" s="9">
        <v>43245</v>
      </c>
      <c r="C337" t="str">
        <v>Редакция №1</v>
      </c>
      <c r="D337" t="str">
        <v>Мягкая обложка</v>
      </c>
      <c r="E337" t="str">
        <v>Дистрибуция</v>
      </c>
    </row>
    <row r="338" spans="1:5" x14ac:dyDescent="0.55000000000000004">
      <c r="A338" t="str">
        <v>«Спокойной ночи, мистер Том» — Мишель Магориан</v>
      </c>
      <c r="B338" s="9">
        <v>43245</v>
      </c>
      <c r="C338" t="str">
        <v>Редакция №1</v>
      </c>
      <c r="D338" t="str">
        <v>Твердый переплет</v>
      </c>
      <c r="E338" t="str">
        <v>Интернет-магазин</v>
      </c>
    </row>
    <row r="339" spans="1:5" x14ac:dyDescent="0.55000000000000004">
      <c r="A339" t="str">
        <v>«Громобой» — Энтони Горовиц</v>
      </c>
      <c r="B339" s="9">
        <v>43245</v>
      </c>
      <c r="C339" t="str">
        <v>Редакция №1</v>
      </c>
      <c r="D339" t="str">
        <v>Мягкая обложка</v>
      </c>
      <c r="E339" t="str">
        <v>Интернет-магазин</v>
      </c>
    </row>
    <row r="340" spans="1:5" x14ac:dyDescent="0.55000000000000004">
      <c r="A340" t="str">
        <v>«Спокойной ночи, мистер Том» — Мишель Магориан</v>
      </c>
      <c r="B340" s="9">
        <v>43245</v>
      </c>
      <c r="C340" t="str">
        <v>Редакция №1</v>
      </c>
      <c r="D340" t="str">
        <v>Твердый переплет</v>
      </c>
      <c r="E340" t="str">
        <v>B2B</v>
      </c>
    </row>
    <row r="341" spans="1:5" x14ac:dyDescent="0.55000000000000004">
      <c r="A341" t="str">
        <v>«Громобой» — Энтони Горовиц</v>
      </c>
      <c r="B341" s="9">
        <v>43245</v>
      </c>
      <c r="C341" t="str">
        <v>Редакция №1</v>
      </c>
      <c r="D341" t="str">
        <v>Мягкая обложка</v>
      </c>
      <c r="E341" t="str">
        <v>B2B</v>
      </c>
    </row>
    <row r="342" spans="1:5" x14ac:dyDescent="0.55000000000000004">
      <c r="A342" t="str">
        <v>«Hi-Fi» — Ник Хорнби</v>
      </c>
      <c r="B342" s="9">
        <v>43260</v>
      </c>
      <c r="C342" t="str">
        <v>Редакция №2</v>
      </c>
      <c r="D342" t="str">
        <v>Мягкая обложка</v>
      </c>
      <c r="E342" t="str">
        <v>Дистрибуция</v>
      </c>
    </row>
    <row r="343" spans="1:5" x14ac:dyDescent="0.55000000000000004">
      <c r="A343" t="str">
        <v>«Hi-Fi» — Ник Хорнби</v>
      </c>
      <c r="B343" s="9">
        <v>43260</v>
      </c>
      <c r="C343" t="str">
        <v>Редакция №2</v>
      </c>
      <c r="D343" t="str">
        <v>Мягкая обложка</v>
      </c>
      <c r="E343" t="str">
        <v>Интернет-магазин</v>
      </c>
    </row>
    <row r="344" spans="1:5" x14ac:dyDescent="0.55000000000000004">
      <c r="A344" t="str">
        <v>«Hi-Fi» — Ник Хорнби</v>
      </c>
      <c r="B344" s="9">
        <v>43260</v>
      </c>
      <c r="C344" t="str">
        <v>Редакция №2</v>
      </c>
      <c r="D344" t="str">
        <v>Мягкая обложка</v>
      </c>
      <c r="E344" t="str">
        <v>B2B</v>
      </c>
    </row>
    <row r="345" spans="1:5" x14ac:dyDescent="0.55000000000000004">
      <c r="A345" t="str">
        <v>«Мастер и Маргарита» — Михаил Булгаков</v>
      </c>
      <c r="B345" s="9">
        <v>43307</v>
      </c>
      <c r="C345" t="str">
        <v>Редакция №1</v>
      </c>
      <c r="D345" t="str">
        <v>Покетбук</v>
      </c>
      <c r="E345" t="str">
        <v>Дистрибуция</v>
      </c>
    </row>
    <row r="346" spans="1:5" x14ac:dyDescent="0.55000000000000004">
      <c r="A346" t="str">
        <v>«Мастер и Маргарита» — Михаил Булгаков</v>
      </c>
      <c r="B346" s="9">
        <v>43307</v>
      </c>
      <c r="C346" t="str">
        <v>Редакция №1</v>
      </c>
      <c r="D346" t="str">
        <v>Покетбук</v>
      </c>
      <c r="E346" t="str">
        <v>Интернет-магазин</v>
      </c>
    </row>
    <row r="347" spans="1:5" x14ac:dyDescent="0.55000000000000004">
      <c r="A347" t="str">
        <v>«Мастер и Маргарита» — Михаил Булгаков</v>
      </c>
      <c r="B347" s="9">
        <v>43307</v>
      </c>
      <c r="C347" t="str">
        <v>Редакция №1</v>
      </c>
      <c r="D347" t="str">
        <v>Покетбук</v>
      </c>
      <c r="E347" t="str">
        <v>B2B</v>
      </c>
    </row>
    <row r="348" spans="1:5" x14ac:dyDescent="0.55000000000000004">
      <c r="A348" t="str">
        <v>«Ярмарка тщеславия» — Уильям Теккерей</v>
      </c>
      <c r="B348" s="9">
        <v>43309</v>
      </c>
      <c r="C348" t="str">
        <v>Редакция №2</v>
      </c>
      <c r="D348" t="str">
        <v>Покетбук</v>
      </c>
      <c r="E348" t="str">
        <v>Дистрибуция</v>
      </c>
    </row>
    <row r="349" spans="1:5" x14ac:dyDescent="0.55000000000000004">
      <c r="A349" t="str">
        <v>«Ярмарка тщеславия» — Уильям Теккерей</v>
      </c>
      <c r="B349" s="9">
        <v>43309</v>
      </c>
      <c r="C349" t="str">
        <v>Редакция №2</v>
      </c>
      <c r="D349" t="str">
        <v>Покетбук</v>
      </c>
      <c r="E349" t="str">
        <v>Интернет-магазин</v>
      </c>
    </row>
    <row r="350" spans="1:5" x14ac:dyDescent="0.55000000000000004">
      <c r="A350" t="str">
        <v>«Ярмарка тщеславия» — Уильям Теккерей</v>
      </c>
      <c r="B350" s="9">
        <v>43309</v>
      </c>
      <c r="C350" t="str">
        <v>Редакция №2</v>
      </c>
      <c r="D350" t="str">
        <v>Покетбук</v>
      </c>
      <c r="E350" t="str">
        <v>B2B</v>
      </c>
    </row>
    <row r="351" spans="1:5" x14ac:dyDescent="0.55000000000000004">
      <c r="A351" t="str">
        <v>«Цветы на чердаке» — Вирджиния Эндрюс</v>
      </c>
      <c r="B351" s="9">
        <v>43312</v>
      </c>
      <c r="C351" t="str">
        <v>Редакция №2</v>
      </c>
      <c r="D351" t="str">
        <v>Мягкая обложка</v>
      </c>
      <c r="E351" t="str">
        <v>Дистрибуция</v>
      </c>
    </row>
    <row r="352" spans="1:5" x14ac:dyDescent="0.55000000000000004">
      <c r="A352" t="str">
        <v>«Цветы на чердаке» — Вирджиния Эндрюс</v>
      </c>
      <c r="B352" s="9">
        <v>43312</v>
      </c>
      <c r="C352" t="str">
        <v>Редакция №2</v>
      </c>
      <c r="D352" t="str">
        <v>Мягкая обложка</v>
      </c>
      <c r="E352" t="str">
        <v>Интернет-магазин</v>
      </c>
    </row>
    <row r="353" spans="1:5" x14ac:dyDescent="0.55000000000000004">
      <c r="A353" t="str">
        <v>«Цветы на чердаке» — Вирджиния Эндрюс</v>
      </c>
      <c r="B353" s="9">
        <v>43312</v>
      </c>
      <c r="C353" t="str">
        <v>Редакция №2</v>
      </c>
      <c r="D353" t="str">
        <v>Мягкая обложка</v>
      </c>
      <c r="E353" t="str">
        <v>B2B</v>
      </c>
    </row>
    <row r="354" spans="1:5" x14ac:dyDescent="0.55000000000000004">
      <c r="A354" t="str">
        <v>«Они играли на траве» — Терри Венейблс и Гордон М</v>
      </c>
      <c r="B354" s="9">
        <v>43329</v>
      </c>
      <c r="C354" t="str">
        <v>Редакция №1</v>
      </c>
      <c r="D354" t="str">
        <v>Твердый переплет</v>
      </c>
      <c r="E354" t="str">
        <v>Дистрибуция</v>
      </c>
    </row>
    <row r="355" spans="1:5" x14ac:dyDescent="0.55000000000000004">
      <c r="A355" t="str">
        <v>«Они играли на траве» — Терри Венейблс и Гордон М</v>
      </c>
      <c r="B355" s="9">
        <v>43329</v>
      </c>
      <c r="C355" t="str">
        <v>Редакция №1</v>
      </c>
      <c r="D355" t="str">
        <v>Твердый переплет</v>
      </c>
      <c r="E355" t="str">
        <v>Интернет-магазин</v>
      </c>
    </row>
    <row r="356" spans="1:5" x14ac:dyDescent="0.55000000000000004">
      <c r="A356" t="str">
        <v>«Они играли на траве» — Терри Венейблс и Гордон М</v>
      </c>
      <c r="B356" s="9">
        <v>43329</v>
      </c>
      <c r="C356" t="str">
        <v>Редакция №1</v>
      </c>
      <c r="D356" t="str">
        <v>Твердый переплет</v>
      </c>
      <c r="E356" t="str">
        <v>B2B</v>
      </c>
    </row>
    <row r="357" spans="1:5" x14ac:dyDescent="0.55000000000000004">
      <c r="A357" t="str">
        <v>«Мемуары гейши» — Артур Голден</v>
      </c>
      <c r="B357" s="9">
        <v>43330</v>
      </c>
      <c r="C357" t="str">
        <v>Редакция №1</v>
      </c>
      <c r="D357" t="str">
        <v>Твердый переплет</v>
      </c>
      <c r="E357" t="str">
        <v>Дистрибуция</v>
      </c>
    </row>
    <row r="358" spans="1:5" x14ac:dyDescent="0.55000000000000004">
      <c r="A358" t="str">
        <v>«Мемуары гейши» — Артур Голден</v>
      </c>
      <c r="B358" s="9">
        <v>43330</v>
      </c>
      <c r="C358" t="str">
        <v>Редакция №1</v>
      </c>
      <c r="D358" t="str">
        <v>Твердый переплет</v>
      </c>
      <c r="E358" t="str">
        <v>Интернет-магазин</v>
      </c>
    </row>
    <row r="359" spans="1:5" x14ac:dyDescent="0.55000000000000004">
      <c r="A359" t="str">
        <v>«Мемуары гейши» — Артур Голден</v>
      </c>
      <c r="B359" s="9">
        <v>43330</v>
      </c>
      <c r="C359" t="str">
        <v>Редакция №1</v>
      </c>
      <c r="D359" t="str">
        <v>Твердый переплет</v>
      </c>
      <c r="E359" t="str">
        <v>B2B</v>
      </c>
    </row>
    <row r="360" spans="1:5" x14ac:dyDescent="0.55000000000000004">
      <c r="A360" t="str">
        <v>«Сердце тьмы» — Джозеф Конрад</v>
      </c>
      <c r="B360" s="9">
        <v>43331</v>
      </c>
      <c r="C360" t="str">
        <v>Редакция №1</v>
      </c>
      <c r="D360" t="str">
        <v>Покетбук</v>
      </c>
      <c r="E360" t="str">
        <v>Дистрибуция</v>
      </c>
    </row>
    <row r="361" spans="1:5" x14ac:dyDescent="0.55000000000000004">
      <c r="A361" t="str">
        <v>«Сердце тьмы» — Джозеф Конрад</v>
      </c>
      <c r="B361" s="9">
        <v>43331</v>
      </c>
      <c r="C361" t="str">
        <v>Редакция №1</v>
      </c>
      <c r="D361" t="str">
        <v>Покетбук</v>
      </c>
      <c r="E361" t="str">
        <v>Интернет-магазин</v>
      </c>
    </row>
    <row r="362" spans="1:5" x14ac:dyDescent="0.55000000000000004">
      <c r="A362" t="str">
        <v>«Сердце тьмы» — Джозеф Конрад</v>
      </c>
      <c r="B362" s="9">
        <v>43331</v>
      </c>
      <c r="C362" t="str">
        <v>Редакция №1</v>
      </c>
      <c r="D362" t="str">
        <v>Покетбук</v>
      </c>
      <c r="E362" t="str">
        <v>B2B</v>
      </c>
    </row>
    <row r="363" spans="1:5" x14ac:dyDescent="0.55000000000000004">
      <c r="A363" t="str">
        <v>«Мрачный Жнец» — Терри Пратчетт</v>
      </c>
      <c r="B363" s="9">
        <v>43339</v>
      </c>
      <c r="C363" t="str">
        <v>Редакция №1</v>
      </c>
      <c r="D363" t="str">
        <v>Покетбук</v>
      </c>
      <c r="E363" t="str">
        <v>Дистрибуция</v>
      </c>
    </row>
    <row r="364" spans="1:5" x14ac:dyDescent="0.55000000000000004">
      <c r="A364" t="str">
        <v>«Мрачный Жнец» — Терри Пратчетт</v>
      </c>
      <c r="B364" s="9">
        <v>43339</v>
      </c>
      <c r="C364" t="str">
        <v>Редакция №1</v>
      </c>
      <c r="D364" t="str">
        <v>Покетбук</v>
      </c>
      <c r="E364" t="str">
        <v>Интернет-магазин</v>
      </c>
    </row>
    <row r="365" spans="1:5" x14ac:dyDescent="0.55000000000000004">
      <c r="A365" t="str">
        <v>«Мрачный Жнец» — Терри Пратчетт</v>
      </c>
      <c r="B365" s="9">
        <v>43339</v>
      </c>
      <c r="C365" t="str">
        <v>Редакция №1</v>
      </c>
      <c r="D365" t="str">
        <v>Покетбук</v>
      </c>
      <c r="E365" t="str">
        <v>B2B</v>
      </c>
    </row>
    <row r="366" spans="1:5" x14ac:dyDescent="0.55000000000000004">
      <c r="A366" t="str">
        <v>«Ведьмы» — Роальд Даль</v>
      </c>
      <c r="B366" s="9">
        <v>43345</v>
      </c>
      <c r="C366" t="str">
        <v>Редакция №1</v>
      </c>
      <c r="D366" t="str">
        <v>Твердый переплет</v>
      </c>
      <c r="E366" t="str">
        <v>Дистрибуция</v>
      </c>
    </row>
    <row r="367" spans="1:5" x14ac:dyDescent="0.55000000000000004">
      <c r="A367" t="str">
        <v>«Ведьмы» — Роальд Даль</v>
      </c>
      <c r="B367" s="9">
        <v>43345</v>
      </c>
      <c r="C367" t="str">
        <v>Редакция №1</v>
      </c>
      <c r="D367" t="str">
        <v>Твердый переплет</v>
      </c>
      <c r="E367" t="str">
        <v>Интернет-магазин</v>
      </c>
    </row>
    <row r="368" spans="1:5" x14ac:dyDescent="0.55000000000000004">
      <c r="A368" t="str">
        <v>«Ведьмы» — Роальд Даль</v>
      </c>
      <c r="B368" s="9">
        <v>43345</v>
      </c>
      <c r="C368" t="str">
        <v>Редакция №1</v>
      </c>
      <c r="D368" t="str">
        <v>Твердый переплет</v>
      </c>
      <c r="E368" t="str">
        <v>B2B</v>
      </c>
    </row>
    <row r="369" spans="1:5" x14ac:dyDescent="0.55000000000000004">
      <c r="A369" t="str">
        <v>«Мир глазами Гарпа» — Джон Ирвинг</v>
      </c>
      <c r="B369" s="9">
        <v>43346</v>
      </c>
      <c r="C369" t="str">
        <v>Редакция №2</v>
      </c>
      <c r="D369" t="str">
        <v>Твердый переплет</v>
      </c>
      <c r="E369" t="str">
        <v>Дистрибуция</v>
      </c>
    </row>
    <row r="370" spans="1:5" x14ac:dyDescent="0.55000000000000004">
      <c r="A370" t="str">
        <v>«Мир глазами Гарпа» — Джон Ирвинг</v>
      </c>
      <c r="B370" s="9">
        <v>43346</v>
      </c>
      <c r="C370" t="str">
        <v>Редакция №2</v>
      </c>
      <c r="D370" t="str">
        <v>Твердый переплет</v>
      </c>
      <c r="E370" t="str">
        <v>Интернет-магазин</v>
      </c>
    </row>
    <row r="371" spans="1:5" x14ac:dyDescent="0.55000000000000004">
      <c r="A371" t="str">
        <v>«Мир глазами Гарпа» — Джон Ирвинг</v>
      </c>
      <c r="B371" s="9">
        <v>43346</v>
      </c>
      <c r="C371" t="str">
        <v>Редакция №2</v>
      </c>
      <c r="D371" t="str">
        <v>Твердый переплет</v>
      </c>
      <c r="E371" t="str">
        <v>B2B</v>
      </c>
    </row>
    <row r="372" spans="1:5" x14ac:dyDescent="0.55000000000000004">
      <c r="A372" t="str">
        <v>«Тайный дневник Адриана Моула, 13 3/4 лет» — Сью Таунсенд</v>
      </c>
      <c r="B372" s="9">
        <v>43359</v>
      </c>
      <c r="C372" t="str">
        <v>Редакция №1</v>
      </c>
      <c r="D372" t="str">
        <v>Мягкая обложка</v>
      </c>
      <c r="E372" t="str">
        <v>Дистрибуция</v>
      </c>
    </row>
    <row r="373" spans="1:5" x14ac:dyDescent="0.55000000000000004">
      <c r="A373" t="str">
        <v>«Тайный дневник Адриана Моула, 13 3/4 лет» — Сью Таунсенд</v>
      </c>
      <c r="B373" s="9">
        <v>43359</v>
      </c>
      <c r="C373" t="str">
        <v>Редакция №1</v>
      </c>
      <c r="D373" t="str">
        <v>Мягкая обложка</v>
      </c>
      <c r="E373" t="str">
        <v>Интернет-магазин</v>
      </c>
    </row>
    <row r="374" spans="1:5" x14ac:dyDescent="0.55000000000000004">
      <c r="A374" t="str">
        <v>«Тайный дневник Адриана Моула, 13 3/4 лет» — Сью Таунсенд</v>
      </c>
      <c r="B374" s="9">
        <v>43359</v>
      </c>
      <c r="C374" t="str">
        <v>Редакция №1</v>
      </c>
      <c r="D374" t="str">
        <v>Мягкая обложка</v>
      </c>
      <c r="E374" t="str">
        <v>B2B</v>
      </c>
    </row>
    <row r="375" spans="1:5" x14ac:dyDescent="0.55000000000000004">
      <c r="A375" t="str">
        <v>«Чарли и шоколадная фабрика» — Роальд Даль</v>
      </c>
      <c r="B375" s="9">
        <v>43374</v>
      </c>
      <c r="C375" t="str">
        <v>Редакция №1</v>
      </c>
      <c r="D375" t="str">
        <v>Твердый переплет</v>
      </c>
      <c r="E375" t="str">
        <v>Дистрибуция</v>
      </c>
    </row>
    <row r="376" spans="1:5" x14ac:dyDescent="0.55000000000000004">
      <c r="A376" t="str">
        <v>«Чарли и шоколадная фабрика» — Роальд Даль</v>
      </c>
      <c r="B376" s="9">
        <v>43374</v>
      </c>
      <c r="C376" t="str">
        <v>Редакция №1</v>
      </c>
      <c r="D376" t="str">
        <v>Твердый переплет</v>
      </c>
      <c r="E376" t="str">
        <v>Интернет-магазин</v>
      </c>
    </row>
    <row r="377" spans="1:5" x14ac:dyDescent="0.55000000000000004">
      <c r="A377" t="str">
        <v>«Чарли и шоколадная фабрика» — Роальд Даль</v>
      </c>
      <c r="B377" s="9">
        <v>43374</v>
      </c>
      <c r="C377" t="str">
        <v>Редакция №1</v>
      </c>
      <c r="D377" t="str">
        <v>Твердый переплет</v>
      </c>
      <c r="E377" t="str">
        <v>B2B</v>
      </c>
    </row>
    <row r="378" spans="1:5" x14ac:dyDescent="0.55000000000000004">
      <c r="A378" t="str">
        <v>«Ключ от всех дверей» — Энтони Горовиц</v>
      </c>
      <c r="B378" s="9">
        <v>43376</v>
      </c>
      <c r="C378" t="str">
        <v>Редакция №2</v>
      </c>
      <c r="D378" t="str">
        <v>Твердый переплет</v>
      </c>
      <c r="E378" t="str">
        <v>Дистрибуция</v>
      </c>
    </row>
    <row r="379" spans="1:5" x14ac:dyDescent="0.55000000000000004">
      <c r="A379" t="str">
        <v>«Ключ от всех дверей» — Энтони Горовиц</v>
      </c>
      <c r="B379" s="9">
        <v>43376</v>
      </c>
      <c r="C379" t="str">
        <v>Редакция №2</v>
      </c>
      <c r="D379" t="str">
        <v>Твердый переплет</v>
      </c>
      <c r="E379" t="str">
        <v>Интернет-магазин</v>
      </c>
    </row>
    <row r="380" spans="1:5" x14ac:dyDescent="0.55000000000000004">
      <c r="A380" t="str">
        <v>«Ключ от всех дверей» — Энтони Горовиц</v>
      </c>
      <c r="B380" s="9">
        <v>43376</v>
      </c>
      <c r="C380" t="str">
        <v>Редакция №2</v>
      </c>
      <c r="D380" t="str">
        <v>Твердый переплет</v>
      </c>
      <c r="E380" t="str">
        <v>B2B</v>
      </c>
    </row>
    <row r="381" spans="1:5" x14ac:dyDescent="0.55000000000000004">
      <c r="A381" t="str">
        <v>«Тёмные начала» — Филип Пулман</v>
      </c>
      <c r="B381" s="9">
        <v>43385</v>
      </c>
      <c r="C381" t="str">
        <v>Редакция №1</v>
      </c>
      <c r="D381" t="str">
        <v>Мягкая обложка</v>
      </c>
      <c r="E381" t="str">
        <v>Дистрибуция</v>
      </c>
    </row>
    <row r="382" spans="1:5" x14ac:dyDescent="0.55000000000000004">
      <c r="A382" t="str">
        <v>«Каин и Авель» — Джеффри Арчер</v>
      </c>
      <c r="B382" s="9">
        <v>43385</v>
      </c>
      <c r="C382" t="str">
        <v>Редакция №2</v>
      </c>
      <c r="D382" t="str">
        <v>Мягкая обложка</v>
      </c>
      <c r="E382" t="str">
        <v>Дистрибуция</v>
      </c>
    </row>
    <row r="383" spans="1:5" x14ac:dyDescent="0.55000000000000004">
      <c r="A383" t="str">
        <v>«Тёмные начала» — Филип Пулман</v>
      </c>
      <c r="B383" s="9">
        <v>43385</v>
      </c>
      <c r="C383" t="str">
        <v>Редакция №1</v>
      </c>
      <c r="D383" t="str">
        <v>Мягкая обложка</v>
      </c>
      <c r="E383" t="str">
        <v>Интернет-магазин</v>
      </c>
    </row>
    <row r="384" spans="1:5" x14ac:dyDescent="0.55000000000000004">
      <c r="A384" t="str">
        <v>«Каин и Авель» — Джеффри Арчер</v>
      </c>
      <c r="B384" s="9">
        <v>43385</v>
      </c>
      <c r="C384" t="str">
        <v>Редакция №2</v>
      </c>
      <c r="D384" t="str">
        <v>Мягкая обложка</v>
      </c>
      <c r="E384" t="str">
        <v>Интернет-магазин</v>
      </c>
    </row>
    <row r="385" spans="1:5" x14ac:dyDescent="0.55000000000000004">
      <c r="A385" t="str">
        <v>«Тёмные начала» — Филип Пулман</v>
      </c>
      <c r="B385" s="9">
        <v>43385</v>
      </c>
      <c r="C385" t="str">
        <v>Редакция №1</v>
      </c>
      <c r="D385" t="str">
        <v>Мягкая обложка</v>
      </c>
      <c r="E385" t="str">
        <v>B2B</v>
      </c>
    </row>
    <row r="386" spans="1:5" x14ac:dyDescent="0.55000000000000004">
      <c r="A386" t="str">
        <v>«Каин и Авель» — Джеффри Арчер</v>
      </c>
      <c r="B386" s="9">
        <v>43385</v>
      </c>
      <c r="C386" t="str">
        <v>Редакция №2</v>
      </c>
      <c r="D386" t="str">
        <v>Мягкая обложка</v>
      </c>
      <c r="E386" t="str">
        <v>B2B</v>
      </c>
    </row>
    <row r="387" spans="1:5" x14ac:dyDescent="0.55000000000000004">
      <c r="A387" t="str">
        <v>«Мандолина капитана Корелли» — Луи де Берньер</v>
      </c>
      <c r="B387" s="9">
        <v>43417</v>
      </c>
      <c r="C387" t="str">
        <v>Редакция №1</v>
      </c>
      <c r="D387" t="str">
        <v>Покетбук</v>
      </c>
      <c r="E387" t="str">
        <v>Дистрибуция</v>
      </c>
    </row>
    <row r="388" spans="1:5" x14ac:dyDescent="0.55000000000000004">
      <c r="A388" t="str">
        <v>«Мандолина капитана Корелли» — Луи де Берньер</v>
      </c>
      <c r="B388" s="9">
        <v>43417</v>
      </c>
      <c r="C388" t="str">
        <v>Редакция №1</v>
      </c>
      <c r="D388" t="str">
        <v>Покетбук</v>
      </c>
      <c r="E388" t="str">
        <v>Интернет-магазин</v>
      </c>
    </row>
    <row r="389" spans="1:5" x14ac:dyDescent="0.55000000000000004">
      <c r="A389" t="str">
        <v>«Мандолина капитана Корелли» — Луи де Берньер</v>
      </c>
      <c r="B389" s="9">
        <v>43417</v>
      </c>
      <c r="C389" t="str">
        <v>Редакция №1</v>
      </c>
      <c r="D389" t="str">
        <v>Покетбук</v>
      </c>
      <c r="E389" t="str">
        <v>B2B</v>
      </c>
    </row>
    <row r="390" spans="1:5" x14ac:dyDescent="0.55000000000000004">
      <c r="A390" t="str">
        <v>«Пурпурный цвет» — Элис Уокер</v>
      </c>
      <c r="B390" s="9">
        <v>43429</v>
      </c>
      <c r="C390" t="str">
        <v>Редакция №2</v>
      </c>
      <c r="D390" t="str">
        <v>Твердый переплет</v>
      </c>
      <c r="E390" t="str">
        <v>Дистрибуция</v>
      </c>
    </row>
    <row r="391" spans="1:5" x14ac:dyDescent="0.55000000000000004">
      <c r="A391" t="str">
        <v>«Искупление» — Иэн Макьюэн</v>
      </c>
      <c r="B391" s="9">
        <v>43429</v>
      </c>
      <c r="C391" t="str">
        <v>Редакция №1</v>
      </c>
      <c r="D391" t="str">
        <v>Покетбук</v>
      </c>
      <c r="E391" t="str">
        <v>Дистрибуция</v>
      </c>
    </row>
    <row r="392" spans="1:5" x14ac:dyDescent="0.55000000000000004">
      <c r="A392" t="str">
        <v>«Пурпурный цвет» — Элис Уокер</v>
      </c>
      <c r="B392" s="9">
        <v>43429</v>
      </c>
      <c r="C392" t="str">
        <v>Редакция №2</v>
      </c>
      <c r="D392" t="str">
        <v>Твердый переплет</v>
      </c>
      <c r="E392" t="str">
        <v>Интернет-магазин</v>
      </c>
    </row>
    <row r="393" spans="1:5" x14ac:dyDescent="0.55000000000000004">
      <c r="A393" t="str">
        <v>«Искупление» — Иэн Макьюэн</v>
      </c>
      <c r="B393" s="9">
        <v>43429</v>
      </c>
      <c r="C393" t="str">
        <v>Редакция №1</v>
      </c>
      <c r="D393" t="str">
        <v>Покетбук</v>
      </c>
      <c r="E393" t="str">
        <v>Интернет-магазин</v>
      </c>
    </row>
    <row r="394" spans="1:5" x14ac:dyDescent="0.55000000000000004">
      <c r="A394" t="str">
        <v>«Пурпурный цвет» — Элис Уокер</v>
      </c>
      <c r="B394" s="9">
        <v>43429</v>
      </c>
      <c r="C394" t="str">
        <v>Редакция №2</v>
      </c>
      <c r="D394" t="str">
        <v>Твердый переплет</v>
      </c>
      <c r="E394" t="str">
        <v>B2B</v>
      </c>
    </row>
    <row r="395" spans="1:5" x14ac:dyDescent="0.55000000000000004">
      <c r="A395" t="str">
        <v>«Искупление» — Иэн Макьюэн</v>
      </c>
      <c r="B395" s="9">
        <v>43429</v>
      </c>
      <c r="C395" t="str">
        <v>Редакция №1</v>
      </c>
      <c r="D395" t="str">
        <v>Покетбук</v>
      </c>
      <c r="E395" t="str">
        <v>B2B</v>
      </c>
    </row>
    <row r="396" spans="1:5" x14ac:dyDescent="0.55000000000000004">
      <c r="A396" t="str">
        <v>«Грозовой перевал» — Эмили Бронте</v>
      </c>
      <c r="B396" s="9">
        <v>43435</v>
      </c>
      <c r="C396" t="str">
        <v>Редакция №2</v>
      </c>
      <c r="D396" t="str">
        <v>Мягкая обложка</v>
      </c>
      <c r="E396" t="str">
        <v>Дистрибуция</v>
      </c>
    </row>
    <row r="397" spans="1:5" x14ac:dyDescent="0.55000000000000004">
      <c r="A397" t="str">
        <v>«Грозовой перевал» — Эмили Бронте</v>
      </c>
      <c r="B397" s="9">
        <v>43435</v>
      </c>
      <c r="C397" t="str">
        <v>Редакция №2</v>
      </c>
      <c r="D397" t="str">
        <v>Мягкая обложка</v>
      </c>
      <c r="E397" t="str">
        <v>Интернет-магазин</v>
      </c>
    </row>
    <row r="398" spans="1:5" x14ac:dyDescent="0.55000000000000004">
      <c r="A398" t="str">
        <v>«Грозовой перевал» — Эмили Бронте</v>
      </c>
      <c r="B398" s="9">
        <v>43435</v>
      </c>
      <c r="C398" t="str">
        <v>Редакция №2</v>
      </c>
      <c r="D398" t="str">
        <v>Мягкая обложка</v>
      </c>
      <c r="E398" t="str">
        <v>B2B</v>
      </c>
    </row>
    <row r="399" spans="1:5" x14ac:dyDescent="0.55000000000000004">
      <c r="A399" t="str">
        <v>«Большие надежды» — Чарльз Диккенс</v>
      </c>
      <c r="B399" s="9">
        <v>43442</v>
      </c>
      <c r="C399" t="str">
        <v>Редакция №1</v>
      </c>
      <c r="D399" t="str">
        <v>Покетбук</v>
      </c>
      <c r="E399" t="str">
        <v>Дистрибуция</v>
      </c>
    </row>
    <row r="400" spans="1:5" x14ac:dyDescent="0.55000000000000004">
      <c r="A400" t="str">
        <v>«Большие надежды» — Чарльз Диккенс</v>
      </c>
      <c r="B400" s="9">
        <v>43442</v>
      </c>
      <c r="C400" t="str">
        <v>Редакция №1</v>
      </c>
      <c r="D400" t="str">
        <v>Покетбук</v>
      </c>
      <c r="E400" t="str">
        <v>Интернет-магазин</v>
      </c>
    </row>
    <row r="401" spans="1:5" x14ac:dyDescent="0.55000000000000004">
      <c r="A401" t="str">
        <v>«Большие надежды» — Чарльз Диккенс</v>
      </c>
      <c r="B401" s="9">
        <v>43442</v>
      </c>
      <c r="C401" t="str">
        <v>Редакция №1</v>
      </c>
      <c r="D401" t="str">
        <v>Покетбук</v>
      </c>
      <c r="E401" t="str">
        <v>B2B</v>
      </c>
    </row>
    <row r="402" spans="1:5" x14ac:dyDescent="0.55000000000000004">
      <c r="A402" t="str">
        <v>«Старик и море» — Эрнест Хемингуэй</v>
      </c>
      <c r="B402" s="9">
        <v>43469</v>
      </c>
      <c r="C402" t="str">
        <v>Редакция №2</v>
      </c>
      <c r="D402" t="str">
        <v>Мягкая обложка</v>
      </c>
      <c r="E402" t="str">
        <v>Дистрибуция</v>
      </c>
    </row>
    <row r="403" spans="1:5" x14ac:dyDescent="0.55000000000000004">
      <c r="A403" t="str">
        <v>«Старик и море» — Эрнест Хемингуэй</v>
      </c>
      <c r="B403" s="9">
        <v>43469</v>
      </c>
      <c r="C403" t="str">
        <v>Редакция №2</v>
      </c>
      <c r="D403" t="str">
        <v>Мягкая обложка</v>
      </c>
      <c r="E403" t="str">
        <v>Интернет-магазин</v>
      </c>
    </row>
    <row r="404" spans="1:5" x14ac:dyDescent="0.55000000000000004">
      <c r="A404" t="str">
        <v>«Старик и море» — Эрнест Хемингуэй</v>
      </c>
      <c r="B404" s="9">
        <v>43469</v>
      </c>
      <c r="C404" t="str">
        <v>Редакция №2</v>
      </c>
      <c r="D404" t="str">
        <v>Мягкая обложка</v>
      </c>
      <c r="E404" t="str">
        <v>B2B</v>
      </c>
    </row>
    <row r="405" spans="1:5" x14ac:dyDescent="0.55000000000000004">
      <c r="A405" t="str">
        <v>«Зелёная миля» — Стивен Кинг</v>
      </c>
      <c r="B405" s="9">
        <v>43472</v>
      </c>
      <c r="C405" t="str">
        <v>Редакция №1</v>
      </c>
      <c r="D405" t="str">
        <v>Мягкая обложка</v>
      </c>
      <c r="E405" t="str">
        <v>Дистрибуция</v>
      </c>
    </row>
    <row r="406" spans="1:5" x14ac:dyDescent="0.55000000000000004">
      <c r="A406" t="str">
        <v>«Зелёная миля» — Стивен Кинг</v>
      </c>
      <c r="B406" s="9">
        <v>43472</v>
      </c>
      <c r="C406" t="str">
        <v>Редакция №1</v>
      </c>
      <c r="D406" t="str">
        <v>Мягкая обложка</v>
      </c>
      <c r="E406" t="str">
        <v>Интернет-магазин</v>
      </c>
    </row>
    <row r="407" spans="1:5" x14ac:dyDescent="0.55000000000000004">
      <c r="A407" t="str">
        <v>«Зелёная миля» — Стивен Кинг</v>
      </c>
      <c r="B407" s="9">
        <v>43472</v>
      </c>
      <c r="C407" t="str">
        <v>Редакция №1</v>
      </c>
      <c r="D407" t="str">
        <v>Мягкая обложка</v>
      </c>
      <c r="E407" t="str">
        <v>B2B</v>
      </c>
    </row>
    <row r="408" spans="1:5" x14ac:dyDescent="0.55000000000000004">
      <c r="A408" t="str">
        <v>«Девчонки в слезах» — Жаклин Уилсон</v>
      </c>
      <c r="B408" s="9">
        <v>43479</v>
      </c>
      <c r="C408" t="str">
        <v>Редакция №2</v>
      </c>
      <c r="D408" t="str">
        <v>Твердый переплет</v>
      </c>
      <c r="E408" t="str">
        <v>Дистрибуция</v>
      </c>
    </row>
    <row r="409" spans="1:5" x14ac:dyDescent="0.55000000000000004">
      <c r="A409" t="str">
        <v>«Девчонки в слезах» — Жаклин Уилсон</v>
      </c>
      <c r="B409" s="9">
        <v>43479</v>
      </c>
      <c r="C409" t="str">
        <v>Редакция №2</v>
      </c>
      <c r="D409" t="str">
        <v>Твердый переплет</v>
      </c>
      <c r="E409" t="str">
        <v>Интернет-магазин</v>
      </c>
    </row>
    <row r="410" spans="1:5" x14ac:dyDescent="0.55000000000000004">
      <c r="A410" t="str">
        <v>«Девчонки в слезах» — Жаклин Уилсон</v>
      </c>
      <c r="B410" s="9">
        <v>43479</v>
      </c>
      <c r="C410" t="str">
        <v>Редакция №2</v>
      </c>
      <c r="D410" t="str">
        <v>Твердый переплет</v>
      </c>
      <c r="E410" t="str">
        <v>B2B</v>
      </c>
    </row>
    <row r="411" spans="1:5" x14ac:dyDescent="0.55000000000000004">
      <c r="A411" t="str">
        <v>«Невыносимая лёгкость бытия» — Милан Кундера</v>
      </c>
      <c r="B411" s="9">
        <v>43492</v>
      </c>
      <c r="C411" t="str">
        <v>Редакция №2</v>
      </c>
      <c r="D411" t="str">
        <v>Твердый переплет</v>
      </c>
      <c r="E411" t="str">
        <v>Дистрибуция</v>
      </c>
    </row>
    <row r="412" spans="1:5" x14ac:dyDescent="0.55000000000000004">
      <c r="A412" t="str">
        <v>«Невыносимая лёгкость бытия» — Милан Кундера</v>
      </c>
      <c r="B412" s="9">
        <v>43492</v>
      </c>
      <c r="C412" t="str">
        <v>Редакция №2</v>
      </c>
      <c r="D412" t="str">
        <v>Твердый переплет</v>
      </c>
      <c r="E412" t="str">
        <v>Интернет-магазин</v>
      </c>
    </row>
    <row r="413" spans="1:5" x14ac:dyDescent="0.55000000000000004">
      <c r="A413" t="str">
        <v>«Невыносимая лёгкость бытия» — Милан Кундера</v>
      </c>
      <c r="B413" s="9">
        <v>43492</v>
      </c>
      <c r="C413" t="str">
        <v>Редакция №2</v>
      </c>
      <c r="D413" t="str">
        <v>Твердый переплет</v>
      </c>
      <c r="E413" t="str">
        <v>B2B</v>
      </c>
    </row>
    <row r="414" spans="1:5" x14ac:dyDescent="0.55000000000000004">
      <c r="A414" t="str">
        <v>«Сила единства» — Брайс Куртене</v>
      </c>
      <c r="B414" s="9">
        <v>43503</v>
      </c>
      <c r="C414" t="str">
        <v>Редакция №2</v>
      </c>
      <c r="D414" t="str">
        <v>Мягкая обложка</v>
      </c>
      <c r="E414" t="str">
        <v>Дистрибуция</v>
      </c>
    </row>
    <row r="415" spans="1:5" x14ac:dyDescent="0.55000000000000004">
      <c r="A415" t="str">
        <v>«Сила единства» — Брайс Куртене</v>
      </c>
      <c r="B415" s="9">
        <v>43503</v>
      </c>
      <c r="C415" t="str">
        <v>Редакция №2</v>
      </c>
      <c r="D415" t="str">
        <v>Мягкая обложка</v>
      </c>
      <c r="E415" t="str">
        <v>Интернет-магазин</v>
      </c>
    </row>
    <row r="416" spans="1:5" x14ac:dyDescent="0.55000000000000004">
      <c r="A416" t="str">
        <v>«Сила единства» — Брайс Куртене</v>
      </c>
      <c r="B416" s="9">
        <v>43503</v>
      </c>
      <c r="C416" t="str">
        <v>Редакция №2</v>
      </c>
      <c r="D416" t="str">
        <v>Мягкая обложка</v>
      </c>
      <c r="E416" t="str">
        <v>B2B</v>
      </c>
    </row>
    <row r="417" spans="1:5" x14ac:dyDescent="0.55000000000000004">
      <c r="A417" t="str">
        <v>«Граф Монте-Кристо» — Александр Дюма</v>
      </c>
      <c r="B417" s="9">
        <v>43521</v>
      </c>
      <c r="C417" t="str">
        <v>Редакция №1</v>
      </c>
      <c r="D417" t="str">
        <v>Твердый переплет</v>
      </c>
      <c r="E417" t="str">
        <v>Дистрибуция</v>
      </c>
    </row>
    <row r="418" spans="1:5" x14ac:dyDescent="0.55000000000000004">
      <c r="A418" t="str">
        <v>«Граф Монте-Кристо» — Александр Дюма</v>
      </c>
      <c r="B418" s="9">
        <v>43521</v>
      </c>
      <c r="C418" t="str">
        <v>Редакция №1</v>
      </c>
      <c r="D418" t="str">
        <v>Твердый переплет</v>
      </c>
      <c r="E418" t="str">
        <v>Интернет-магазин</v>
      </c>
    </row>
    <row r="419" spans="1:5" x14ac:dyDescent="0.55000000000000004">
      <c r="A419" t="str">
        <v>«Граф Монте-Кристо» — Александр Дюма</v>
      </c>
      <c r="B419" s="9">
        <v>43521</v>
      </c>
      <c r="C419" t="str">
        <v>Редакция №1</v>
      </c>
      <c r="D419" t="str">
        <v>Твердый переплет</v>
      </c>
      <c r="E419" t="str">
        <v>B2B</v>
      </c>
    </row>
    <row r="420" spans="1:5" x14ac:dyDescent="0.55000000000000004">
      <c r="A420" t="str">
        <v>«Улисс» — Джеймс Джойс</v>
      </c>
      <c r="B420" s="9">
        <v>43537</v>
      </c>
      <c r="C420" t="str">
        <v>Редакция №2</v>
      </c>
      <c r="D420" t="str">
        <v>Мягкая обложка</v>
      </c>
      <c r="E420" t="str">
        <v>Дистрибуция</v>
      </c>
    </row>
    <row r="421" spans="1:5" x14ac:dyDescent="0.55000000000000004">
      <c r="A421" t="str">
        <v>«Улисс» — Джеймс Джойс</v>
      </c>
      <c r="B421" s="9">
        <v>43537</v>
      </c>
      <c r="C421" t="str">
        <v>Редакция №2</v>
      </c>
      <c r="D421" t="str">
        <v>Мягкая обложка</v>
      </c>
      <c r="E421" t="str">
        <v>Интернет-магазин</v>
      </c>
    </row>
    <row r="422" spans="1:5" x14ac:dyDescent="0.55000000000000004">
      <c r="A422" t="str">
        <v>«Улисс» — Джеймс Джойс</v>
      </c>
      <c r="B422" s="9">
        <v>43537</v>
      </c>
      <c r="C422" t="str">
        <v>Редакция №2</v>
      </c>
      <c r="D422" t="str">
        <v>Мягкая обложка</v>
      </c>
      <c r="E422" t="str">
        <v>B2B</v>
      </c>
    </row>
    <row r="423" spans="1:5" x14ac:dyDescent="0.55000000000000004">
      <c r="A423" t="str">
        <v>«Плохие девчонки» — Жаклин Уилсон</v>
      </c>
      <c r="B423" s="9">
        <v>43538</v>
      </c>
      <c r="C423" t="str">
        <v>Редакция №2</v>
      </c>
      <c r="D423" t="str">
        <v>Мягкая обложка</v>
      </c>
      <c r="E423" t="str">
        <v>Дистрибуция</v>
      </c>
    </row>
    <row r="424" spans="1:5" x14ac:dyDescent="0.55000000000000004">
      <c r="A424" t="str">
        <v>«Плохие девчонки» — Жаклин Уилсон</v>
      </c>
      <c r="B424" s="9">
        <v>43538</v>
      </c>
      <c r="C424" t="str">
        <v>Редакция №2</v>
      </c>
      <c r="D424" t="str">
        <v>Мягкая обложка</v>
      </c>
      <c r="E424" t="str">
        <v>Интернет-магазин</v>
      </c>
    </row>
    <row r="425" spans="1:5" x14ac:dyDescent="0.55000000000000004">
      <c r="A425" t="str">
        <v>«Плохие девчонки» — Жаклин Уилсон</v>
      </c>
      <c r="B425" s="9">
        <v>43538</v>
      </c>
      <c r="C425" t="str">
        <v>Редакция №2</v>
      </c>
      <c r="D425" t="str">
        <v>Мягкая обложка</v>
      </c>
      <c r="E425" t="str">
        <v>B2B</v>
      </c>
    </row>
    <row r="426" spans="1:5" x14ac:dyDescent="0.55000000000000004">
      <c r="A426" t="str">
        <v>«Лев, колдунья и платяной шкаф» — Клайв Стэйплз Льюис</v>
      </c>
      <c r="B426" s="9">
        <v>43556</v>
      </c>
      <c r="C426" t="str">
        <v>Редакция №1</v>
      </c>
      <c r="D426" t="str">
        <v>Покетбук</v>
      </c>
      <c r="E426" t="str">
        <v>Дистрибуция</v>
      </c>
    </row>
    <row r="427" spans="1:5" x14ac:dyDescent="0.55000000000000004">
      <c r="A427" t="str">
        <v>«Лев, колдунья и платяной шкаф» — Клайв Стэйплз Льюис</v>
      </c>
      <c r="B427" s="9">
        <v>43556</v>
      </c>
      <c r="C427" t="str">
        <v>Редакция №1</v>
      </c>
      <c r="D427" t="str">
        <v>Покетбук</v>
      </c>
      <c r="E427" t="str">
        <v>Интернет-магазин</v>
      </c>
    </row>
    <row r="428" spans="1:5" x14ac:dyDescent="0.55000000000000004">
      <c r="A428" t="str">
        <v>«Лев, колдунья и платяной шкаф» — Клайв Стэйплз Льюис</v>
      </c>
      <c r="B428" s="9">
        <v>43556</v>
      </c>
      <c r="C428" t="str">
        <v>Редакция №1</v>
      </c>
      <c r="D428" t="str">
        <v>Покетбук</v>
      </c>
      <c r="E428" t="str">
        <v>B2B</v>
      </c>
    </row>
    <row r="429" spans="1:5" x14ac:dyDescent="0.55000000000000004">
      <c r="A429" t="str">
        <v>«Хоббит, или Туда и обратно» — Джон Р. Р. Толкин</v>
      </c>
      <c r="B429" s="9">
        <v>43565</v>
      </c>
      <c r="C429" t="str">
        <v>Редакция №1</v>
      </c>
      <c r="D429" t="str">
        <v>Покетбук</v>
      </c>
      <c r="E429" t="str">
        <v>Дистрибуция</v>
      </c>
    </row>
    <row r="430" spans="1:5" x14ac:dyDescent="0.55000000000000004">
      <c r="A430" t="str">
        <v>«Хоббит, или Туда и обратно» — Джон Р. Р. Толкин</v>
      </c>
      <c r="B430" s="9">
        <v>43565</v>
      </c>
      <c r="C430" t="str">
        <v>Редакция №1</v>
      </c>
      <c r="D430" t="str">
        <v>Покетбук</v>
      </c>
      <c r="E430" t="str">
        <v>Интернет-магазин</v>
      </c>
    </row>
    <row r="431" spans="1:5" x14ac:dyDescent="0.55000000000000004">
      <c r="A431" t="str">
        <v>«Хоббит, или Туда и обратно» — Джон Р. Р. Толкин</v>
      </c>
      <c r="B431" s="9">
        <v>43565</v>
      </c>
      <c r="C431" t="str">
        <v>Редакция №1</v>
      </c>
      <c r="D431" t="str">
        <v>Покетбук</v>
      </c>
      <c r="E431" t="str">
        <v>B2B</v>
      </c>
    </row>
    <row r="432" spans="1:5" x14ac:dyDescent="0.55000000000000004">
      <c r="A432" t="str">
        <v>«Рождественская песнь» — Чарльз Диккенс</v>
      </c>
      <c r="B432" s="9">
        <v>43584</v>
      </c>
      <c r="C432" t="str">
        <v>Редакция №1</v>
      </c>
      <c r="D432" t="str">
        <v>Мягкая обложка</v>
      </c>
      <c r="E432" t="str">
        <v>Дистрибуция</v>
      </c>
    </row>
    <row r="433" spans="1:5" x14ac:dyDescent="0.55000000000000004">
      <c r="A433" t="str">
        <v>«Рождественская песнь» — Чарльз Диккенс</v>
      </c>
      <c r="B433" s="9">
        <v>43584</v>
      </c>
      <c r="C433" t="str">
        <v>Редакция №1</v>
      </c>
      <c r="D433" t="str">
        <v>Мягкая обложка</v>
      </c>
      <c r="E433" t="str">
        <v>Интернет-магазин</v>
      </c>
    </row>
    <row r="434" spans="1:5" x14ac:dyDescent="0.55000000000000004">
      <c r="A434" t="str">
        <v>«Рождественская песнь» — Чарльз Диккенс</v>
      </c>
      <c r="B434" s="9">
        <v>43584</v>
      </c>
      <c r="C434" t="str">
        <v>Редакция №1</v>
      </c>
      <c r="D434" t="str">
        <v>Мягкая обложка</v>
      </c>
      <c r="E434" t="str">
        <v>B2B</v>
      </c>
    </row>
    <row r="435" spans="1:5" x14ac:dyDescent="0.55000000000000004">
      <c r="A435" t="str">
        <v>«Дэвид Копперфильд» — Чарльз Диккенс</v>
      </c>
      <c r="B435" s="9">
        <v>43598</v>
      </c>
      <c r="C435" t="str">
        <v>Редакция №1</v>
      </c>
      <c r="D435" t="str">
        <v>Твердый переплет</v>
      </c>
      <c r="E435" t="str">
        <v>Дистрибуция</v>
      </c>
    </row>
    <row r="436" spans="1:5" x14ac:dyDescent="0.55000000000000004">
      <c r="A436" t="str">
        <v>«Дэвид Копперфильд» — Чарльз Диккенс</v>
      </c>
      <c r="B436" s="9">
        <v>43598</v>
      </c>
      <c r="C436" t="str">
        <v>Редакция №1</v>
      </c>
      <c r="D436" t="str">
        <v>Твердый переплет</v>
      </c>
      <c r="E436" t="str">
        <v>Интернет-магазин</v>
      </c>
    </row>
    <row r="437" spans="1:5" x14ac:dyDescent="0.55000000000000004">
      <c r="A437" t="str">
        <v>«Дэвид Копперфильд» — Чарльз Диккенс</v>
      </c>
      <c r="B437" s="9">
        <v>43598</v>
      </c>
      <c r="C437" t="str">
        <v>Редакция №1</v>
      </c>
      <c r="D437" t="str">
        <v>Твердый переплет</v>
      </c>
      <c r="E437" t="str">
        <v>B2B</v>
      </c>
    </row>
    <row r="438" spans="1:5" x14ac:dyDescent="0.55000000000000004">
      <c r="A438" t="str">
        <v>«Лолита» — Владимир Набоков</v>
      </c>
      <c r="B438" s="9">
        <v>43636</v>
      </c>
      <c r="C438" t="str">
        <v>Редакция №1</v>
      </c>
      <c r="D438" t="str">
        <v>Твердый переплет</v>
      </c>
      <c r="E438" t="str">
        <v>Дистрибуция</v>
      </c>
    </row>
    <row r="439" spans="1:5" x14ac:dyDescent="0.55000000000000004">
      <c r="A439" t="str">
        <v>«Лолита» — Владимир Набоков</v>
      </c>
      <c r="B439" s="9">
        <v>43636</v>
      </c>
      <c r="C439" t="str">
        <v>Редакция №1</v>
      </c>
      <c r="D439" t="str">
        <v>Твердый переплет</v>
      </c>
      <c r="E439" t="str">
        <v>Интернет-магазин</v>
      </c>
    </row>
    <row r="440" spans="1:5" x14ac:dyDescent="0.55000000000000004">
      <c r="A440" t="str">
        <v>«Лолита» — Владимир Набоков</v>
      </c>
      <c r="B440" s="9">
        <v>43636</v>
      </c>
      <c r="C440" t="str">
        <v>Редакция №1</v>
      </c>
      <c r="D440" t="str">
        <v>Твердый переплет</v>
      </c>
      <c r="E440" t="str">
        <v>B2B</v>
      </c>
    </row>
    <row r="441" spans="1:5" x14ac:dyDescent="0.55000000000000004">
      <c r="A441" t="str">
        <v>«Возвращение в Брайдсхед» — Ивлин Во</v>
      </c>
      <c r="B441" s="9">
        <v>43639</v>
      </c>
      <c r="C441" t="str">
        <v>Редакция №2</v>
      </c>
      <c r="D441" t="str">
        <v>Покетбук</v>
      </c>
      <c r="E441" t="str">
        <v>Дистрибуция</v>
      </c>
    </row>
    <row r="442" spans="1:5" x14ac:dyDescent="0.55000000000000004">
      <c r="A442" t="str">
        <v>«Лечение Джорджа Марвелуса» — Роальд Даль</v>
      </c>
      <c r="B442" s="9">
        <v>43639</v>
      </c>
      <c r="C442" t="str">
        <v>Редакция №1</v>
      </c>
      <c r="D442" t="str">
        <v>Твердый переплет</v>
      </c>
      <c r="E442" t="str">
        <v>Дистрибуция</v>
      </c>
    </row>
    <row r="443" spans="1:5" x14ac:dyDescent="0.55000000000000004">
      <c r="A443" t="str">
        <v>«Возвращение в Брайдсхед» — Ивлин Во</v>
      </c>
      <c r="B443" s="9">
        <v>43639</v>
      </c>
      <c r="C443" t="str">
        <v>Редакция №2</v>
      </c>
      <c r="D443" t="str">
        <v>Покетбук</v>
      </c>
      <c r="E443" t="str">
        <v>Интернет-магазин</v>
      </c>
    </row>
    <row r="444" spans="1:5" x14ac:dyDescent="0.55000000000000004">
      <c r="A444" t="str">
        <v>«Лечение Джорджа Марвелуса» — Роальд Даль</v>
      </c>
      <c r="B444" s="9">
        <v>43639</v>
      </c>
      <c r="C444" t="str">
        <v>Редакция №1</v>
      </c>
      <c r="D444" t="str">
        <v>Твердый переплет</v>
      </c>
      <c r="E444" t="str">
        <v>Интернет-магазин</v>
      </c>
    </row>
    <row r="445" spans="1:5" x14ac:dyDescent="0.55000000000000004">
      <c r="A445" t="str">
        <v>«Возвращение в Брайдсхед» — Ивлин Во</v>
      </c>
      <c r="B445" s="9">
        <v>43639</v>
      </c>
      <c r="C445" t="str">
        <v>Редакция №2</v>
      </c>
      <c r="D445" t="str">
        <v>Покетбук</v>
      </c>
      <c r="E445" t="str">
        <v>B2B</v>
      </c>
    </row>
    <row r="446" spans="1:5" x14ac:dyDescent="0.55000000000000004">
      <c r="A446" t="str">
        <v>«Лечение Джорджа Марвелуса» — Роальд Даль</v>
      </c>
      <c r="B446" s="9">
        <v>43639</v>
      </c>
      <c r="C446" t="str">
        <v>Редакция №1</v>
      </c>
      <c r="D446" t="str">
        <v>Твердый переплет</v>
      </c>
      <c r="E446" t="str">
        <v>B2B</v>
      </c>
    </row>
    <row r="447" spans="1:5" x14ac:dyDescent="0.55000000000000004">
      <c r="A447" t="str">
        <v>«Женщина в белом» — Уильям Уилки Коллинз</v>
      </c>
      <c r="B447" s="9">
        <v>43650</v>
      </c>
      <c r="C447" t="str">
        <v>Редакция №1</v>
      </c>
      <c r="D447" t="str">
        <v>Покетбук</v>
      </c>
      <c r="E447" t="str">
        <v>Дистрибуция</v>
      </c>
    </row>
    <row r="448" spans="1:5" x14ac:dyDescent="0.55000000000000004">
      <c r="A448" t="str">
        <v>«Женщина в белом» — Уильям Уилки Коллинз</v>
      </c>
      <c r="B448" s="9">
        <v>43650</v>
      </c>
      <c r="C448" t="str">
        <v>Редакция №1</v>
      </c>
      <c r="D448" t="str">
        <v>Покетбук</v>
      </c>
      <c r="E448" t="str">
        <v>Интернет-магазин</v>
      </c>
    </row>
    <row r="449" spans="1:5" x14ac:dyDescent="0.55000000000000004">
      <c r="A449" t="str">
        <v>«Женщина в белом» — Уильям Уилки Коллинз</v>
      </c>
      <c r="B449" s="9">
        <v>43650</v>
      </c>
      <c r="C449" t="str">
        <v>Редакция №1</v>
      </c>
      <c r="D449" t="str">
        <v>Покетбук</v>
      </c>
      <c r="E449" t="str">
        <v>B2B</v>
      </c>
    </row>
    <row r="450" spans="1:5" x14ac:dyDescent="0.55000000000000004">
      <c r="A450" t="str">
        <v>«Денни — чемпион мира» — Роальд Даль</v>
      </c>
      <c r="B450" s="9">
        <v>43666</v>
      </c>
      <c r="C450" t="str">
        <v>Редакция №2</v>
      </c>
      <c r="D450" t="str">
        <v>Мягкая обложка</v>
      </c>
      <c r="E450" t="str">
        <v>Дистрибуция</v>
      </c>
    </row>
    <row r="451" spans="1:5" x14ac:dyDescent="0.55000000000000004">
      <c r="A451" t="str">
        <v>«Денни — чемпион мира» — Роальд Даль</v>
      </c>
      <c r="B451" s="9">
        <v>43666</v>
      </c>
      <c r="C451" t="str">
        <v>Редакция №2</v>
      </c>
      <c r="D451" t="str">
        <v>Мягкая обложка</v>
      </c>
      <c r="E451" t="str">
        <v>Интернет-магазин</v>
      </c>
    </row>
    <row r="452" spans="1:5" x14ac:dyDescent="0.55000000000000004">
      <c r="A452" t="str">
        <v>«Денни — чемпион мира» — Роальд Даль</v>
      </c>
      <c r="B452" s="9">
        <v>43666</v>
      </c>
      <c r="C452" t="str">
        <v>Редакция №2</v>
      </c>
      <c r="D452" t="str">
        <v>Мягкая обложка</v>
      </c>
      <c r="E452" t="str">
        <v>B2B</v>
      </c>
    </row>
    <row r="453" spans="1:5" x14ac:dyDescent="0.55000000000000004">
      <c r="A453" t="str">
        <v>«Дети полуночи» — Салман Рушди</v>
      </c>
      <c r="B453" s="9">
        <v>43667</v>
      </c>
      <c r="C453" t="str">
        <v>Редакция №2</v>
      </c>
      <c r="D453" t="str">
        <v>Мягкая обложка</v>
      </c>
      <c r="E453" t="str">
        <v>Дистрибуция</v>
      </c>
    </row>
    <row r="454" spans="1:5" x14ac:dyDescent="0.55000000000000004">
      <c r="A454" t="str">
        <v>«Дети полуночи» — Салман Рушди</v>
      </c>
      <c r="B454" s="9">
        <v>43667</v>
      </c>
      <c r="C454" t="str">
        <v>Редакция №2</v>
      </c>
      <c r="D454" t="str">
        <v>Мягкая обложка</v>
      </c>
      <c r="E454" t="str">
        <v>Интернет-магазин</v>
      </c>
    </row>
    <row r="455" spans="1:5" x14ac:dyDescent="0.55000000000000004">
      <c r="A455" t="str">
        <v>«Дети полуночи» — Салман Рушди</v>
      </c>
      <c r="B455" s="9">
        <v>43667</v>
      </c>
      <c r="C455" t="str">
        <v>Редакция №2</v>
      </c>
      <c r="D455" t="str">
        <v>Мягкая обложка</v>
      </c>
      <c r="E455" t="str">
        <v>B2B</v>
      </c>
    </row>
    <row r="456" spans="1:5" x14ac:dyDescent="0.55000000000000004">
      <c r="A456" t="str">
        <v>«Ребекка» — Дафна Дюморье</v>
      </c>
      <c r="B456" s="9">
        <v>43695</v>
      </c>
      <c r="C456" t="str">
        <v>Редакция №2</v>
      </c>
      <c r="D456" t="str">
        <v>Мягкая обложка</v>
      </c>
      <c r="E456" t="str">
        <v>Дистрибуция</v>
      </c>
    </row>
    <row r="457" spans="1:5" x14ac:dyDescent="0.55000000000000004">
      <c r="A457" t="str">
        <v>«Ребекка» — Дафна Дюморье</v>
      </c>
      <c r="B457" s="9">
        <v>43695</v>
      </c>
      <c r="C457" t="str">
        <v>Редакция №2</v>
      </c>
      <c r="D457" t="str">
        <v>Мягкая обложка</v>
      </c>
      <c r="E457" t="str">
        <v>Интернет-магазин</v>
      </c>
    </row>
    <row r="458" spans="1:5" x14ac:dyDescent="0.55000000000000004">
      <c r="A458" t="str">
        <v>«Ребекка» — Дафна Дюморье</v>
      </c>
      <c r="B458" s="9">
        <v>43695</v>
      </c>
      <c r="C458" t="str">
        <v>Редакция №2</v>
      </c>
      <c r="D458" t="str">
        <v>Мягкая обложка</v>
      </c>
      <c r="E458" t="str">
        <v>B2B</v>
      </c>
    </row>
    <row r="459" spans="1:5" x14ac:dyDescent="0.55000000000000004">
      <c r="A459" t="str">
        <v>«Оно» — Стивен Кинг</v>
      </c>
      <c r="B459" s="9">
        <v>43715</v>
      </c>
      <c r="C459" t="str">
        <v>Редакция №2</v>
      </c>
      <c r="D459" t="str">
        <v>Покетбук</v>
      </c>
      <c r="E459" t="str">
        <v>Дистрибуция</v>
      </c>
    </row>
    <row r="460" spans="1:5" x14ac:dyDescent="0.55000000000000004">
      <c r="A460" t="str">
        <v>«Оно» — Стивен Кинг</v>
      </c>
      <c r="B460" s="9">
        <v>43715</v>
      </c>
      <c r="C460" t="str">
        <v>Редакция №2</v>
      </c>
      <c r="D460" t="str">
        <v>Покетбук</v>
      </c>
      <c r="E460" t="str">
        <v>Интернет-магазин</v>
      </c>
    </row>
    <row r="461" spans="1:5" x14ac:dyDescent="0.55000000000000004">
      <c r="A461" t="str">
        <v>«Оно» — Стивен Кинг</v>
      </c>
      <c r="B461" s="9">
        <v>43715</v>
      </c>
      <c r="C461" t="str">
        <v>Редакция №2</v>
      </c>
      <c r="D461" t="str">
        <v>Покетбук</v>
      </c>
      <c r="E461" t="str">
        <v>B2B</v>
      </c>
    </row>
    <row r="462" spans="1:5" x14ac:dyDescent="0.55000000000000004">
      <c r="A462" t="str">
        <v>«Имя розы» — Умберто Эко</v>
      </c>
      <c r="B462" s="9">
        <v>43721</v>
      </c>
      <c r="C462" t="str">
        <v>Редакция №1</v>
      </c>
      <c r="D462" t="str">
        <v>Мягкая обложка</v>
      </c>
      <c r="E462" t="str">
        <v>Дистрибуция</v>
      </c>
    </row>
    <row r="463" spans="1:5" x14ac:dyDescent="0.55000000000000004">
      <c r="A463" t="str">
        <v>«Имя розы» — Умберто Эко</v>
      </c>
      <c r="B463" s="9">
        <v>43721</v>
      </c>
      <c r="C463" t="str">
        <v>Редакция №1</v>
      </c>
      <c r="D463" t="str">
        <v>Мягкая обложка</v>
      </c>
      <c r="E463" t="str">
        <v>Интернет-магазин</v>
      </c>
    </row>
    <row r="464" spans="1:5" x14ac:dyDescent="0.55000000000000004">
      <c r="A464" t="str">
        <v>«Холодный дом» — Чарльз Диккенс</v>
      </c>
      <c r="B464" s="9">
        <v>43726</v>
      </c>
      <c r="C464" t="str">
        <v>Редакция №1</v>
      </c>
      <c r="D464" t="str">
        <v>Твердый переплет</v>
      </c>
      <c r="E464" t="str">
        <v>Дистрибуция</v>
      </c>
    </row>
    <row r="465" spans="1:5" x14ac:dyDescent="0.55000000000000004">
      <c r="A465" t="str">
        <v>«Холодный дом» — Чарльз Диккенс</v>
      </c>
      <c r="B465" s="9">
        <v>43726</v>
      </c>
      <c r="C465" t="str">
        <v>Редакция №1</v>
      </c>
      <c r="D465" t="str">
        <v>Твердый переплет</v>
      </c>
      <c r="E465" t="str">
        <v>Интернет-магазин</v>
      </c>
    </row>
    <row r="466" spans="1:5" x14ac:dyDescent="0.55000000000000004">
      <c r="A466" t="str">
        <v>«Холодный дом» — Чарльз Диккенс</v>
      </c>
      <c r="B466" s="9">
        <v>43726</v>
      </c>
      <c r="C466" t="str">
        <v>Редакция №1</v>
      </c>
      <c r="D466" t="str">
        <v>Твердый переплет</v>
      </c>
      <c r="E466" t="str">
        <v>B2B</v>
      </c>
    </row>
    <row r="467" spans="1:5" x14ac:dyDescent="0.55000000000000004">
      <c r="A467" t="str">
        <v>«Скотный двор» — Джордж Оруэлл</v>
      </c>
      <c r="B467" s="9">
        <v>43727</v>
      </c>
      <c r="C467" t="str">
        <v>Редакция №1</v>
      </c>
      <c r="D467" t="str">
        <v>Мягкая обложка</v>
      </c>
      <c r="E467" t="str">
        <v>Дистрибуция</v>
      </c>
    </row>
    <row r="468" spans="1:5" x14ac:dyDescent="0.55000000000000004">
      <c r="A468" t="str">
        <v>«Скотный двор» — Джордж Оруэлл</v>
      </c>
      <c r="B468" s="9">
        <v>43727</v>
      </c>
      <c r="C468" t="str">
        <v>Редакция №1</v>
      </c>
      <c r="D468" t="str">
        <v>Мягкая обложка</v>
      </c>
      <c r="E468" t="str">
        <v>Интернет-магазин</v>
      </c>
    </row>
    <row r="469" spans="1:5" x14ac:dyDescent="0.55000000000000004">
      <c r="A469" t="str">
        <v>«Скотный двор» — Джордж Оруэлл</v>
      </c>
      <c r="B469" s="9">
        <v>43727</v>
      </c>
      <c r="C469" t="str">
        <v>Редакция №1</v>
      </c>
      <c r="D469" t="str">
        <v>Мягкая обложка</v>
      </c>
      <c r="E469" t="str">
        <v>B2B</v>
      </c>
    </row>
    <row r="470" spans="1:5" x14ac:dyDescent="0.55000000000000004">
      <c r="A470" t="str">
        <v>«Ласточки и амазонки» — Артур Рэнсом</v>
      </c>
      <c r="B470" s="9">
        <v>43746</v>
      </c>
      <c r="C470" t="str">
        <v>Редакция №1</v>
      </c>
      <c r="D470" t="str">
        <v>Покетбук</v>
      </c>
      <c r="E470" t="str">
        <v>Дистрибуция</v>
      </c>
    </row>
    <row r="471" spans="1:5" x14ac:dyDescent="0.55000000000000004">
      <c r="A471" t="str">
        <v>«Ласточки и амазонки» — Артур Рэнсом</v>
      </c>
      <c r="B471" s="9">
        <v>43746</v>
      </c>
      <c r="C471" t="str">
        <v>Редакция №1</v>
      </c>
      <c r="D471" t="str">
        <v>Покетбук</v>
      </c>
      <c r="E471" t="str">
        <v>Интернет-магазин</v>
      </c>
    </row>
    <row r="472" spans="1:5" x14ac:dyDescent="0.55000000000000004">
      <c r="A472" t="str">
        <v>«Ласточки и амазонки» — Артур Рэнсом</v>
      </c>
      <c r="B472" s="9">
        <v>43746</v>
      </c>
      <c r="C472" t="str">
        <v>Редакция №1</v>
      </c>
      <c r="D472" t="str">
        <v>Покетбук</v>
      </c>
      <c r="E472" t="str">
        <v>B2B</v>
      </c>
    </row>
    <row r="473" spans="1:5" x14ac:dyDescent="0.55000000000000004">
      <c r="A473" t="str">
        <v>«Джейн Эйр» — Шарлотта Бронте</v>
      </c>
      <c r="B473" s="9">
        <v>43747</v>
      </c>
      <c r="C473" t="str">
        <v>Редакция №2</v>
      </c>
      <c r="D473" t="str">
        <v>Мягкая обложка</v>
      </c>
      <c r="E473" t="str">
        <v>Дистрибуция</v>
      </c>
    </row>
    <row r="474" spans="1:5" x14ac:dyDescent="0.55000000000000004">
      <c r="A474" t="str">
        <v>«Джейн Эйр» — Шарлотта Бронте</v>
      </c>
      <c r="B474" s="9">
        <v>43747</v>
      </c>
      <c r="C474" t="str">
        <v>Редакция №2</v>
      </c>
      <c r="D474" t="str">
        <v>Мягкая обложка</v>
      </c>
      <c r="E474" t="str">
        <v>Интернет-магазин</v>
      </c>
    </row>
    <row r="475" spans="1:5" x14ac:dyDescent="0.55000000000000004">
      <c r="A475" t="str">
        <v>«Джейн Эйр» — Шарлотта Бронте</v>
      </c>
      <c r="B475" s="9">
        <v>43747</v>
      </c>
      <c r="C475" t="str">
        <v>Редакция №2</v>
      </c>
      <c r="D475" t="str">
        <v>Мягкая обложка</v>
      </c>
      <c r="E475" t="str">
        <v>B2B</v>
      </c>
    </row>
    <row r="476" spans="1:5" x14ac:dyDescent="0.55000000000000004">
      <c r="A476" t="str">
        <v>«Крестики-нолики» — Мэлори Блэкмен</v>
      </c>
      <c r="B476" s="9">
        <v>43766</v>
      </c>
      <c r="C476" t="str">
        <v>Редакция №2</v>
      </c>
      <c r="D476" t="str">
        <v>Твердый переплет</v>
      </c>
      <c r="E476" t="str">
        <v>Дистрибуция</v>
      </c>
    </row>
    <row r="477" spans="1:5" x14ac:dyDescent="0.55000000000000004">
      <c r="A477" t="str">
        <v>«Крестики-нолики» — Мэлори Блэкмен</v>
      </c>
      <c r="B477" s="9">
        <v>43766</v>
      </c>
      <c r="C477" t="str">
        <v>Редакция №2</v>
      </c>
      <c r="D477" t="str">
        <v>Твердый переплет</v>
      </c>
      <c r="E477" t="str">
        <v>Интернет-магазин</v>
      </c>
    </row>
    <row r="478" spans="1:5" x14ac:dyDescent="0.55000000000000004">
      <c r="A478" t="str">
        <v>«Крестики-нолики» — Мэлори Блэкмен</v>
      </c>
      <c r="B478" s="9">
        <v>43766</v>
      </c>
      <c r="C478" t="str">
        <v>Редакция №2</v>
      </c>
      <c r="D478" t="str">
        <v>Твердый переплет</v>
      </c>
      <c r="E478" t="str">
        <v>B2B</v>
      </c>
    </row>
    <row r="479" spans="1:5" x14ac:dyDescent="0.55000000000000004">
      <c r="A479" t="str">
        <v>«Ким» — Редьярд Киплинг</v>
      </c>
      <c r="B479" s="9">
        <v>43767</v>
      </c>
      <c r="C479" t="str">
        <v>Редакция №2</v>
      </c>
      <c r="D479" t="str">
        <v>Мягкая обложка</v>
      </c>
      <c r="E479" t="str">
        <v>Дистрибуция</v>
      </c>
    </row>
    <row r="480" spans="1:5" x14ac:dyDescent="0.55000000000000004">
      <c r="A480" t="str">
        <v>«Ким» — Редьярд Киплинг</v>
      </c>
      <c r="B480" s="9">
        <v>43767</v>
      </c>
      <c r="C480" t="str">
        <v>Редакция №2</v>
      </c>
      <c r="D480" t="str">
        <v>Мягкая обложка</v>
      </c>
      <c r="E480" t="str">
        <v>Интернет-магазин</v>
      </c>
    </row>
    <row r="481" spans="1:5" x14ac:dyDescent="0.55000000000000004">
      <c r="A481" t="str">
        <v>«Ким» — Редьярд Киплинг</v>
      </c>
      <c r="B481" s="9">
        <v>43767</v>
      </c>
      <c r="C481" t="str">
        <v>Редакция №2</v>
      </c>
      <c r="D481" t="str">
        <v>Мягкая обложка</v>
      </c>
      <c r="E481" t="str">
        <v>B2B</v>
      </c>
    </row>
    <row r="482" spans="1:5" x14ac:dyDescent="0.55000000000000004">
      <c r="A482" t="str">
        <v>«Анна Каренина» — Лев Толстой</v>
      </c>
      <c r="B482" s="9">
        <v>43777</v>
      </c>
      <c r="C482" t="str">
        <v>Редакция №2</v>
      </c>
      <c r="D482" t="str">
        <v>Покетбук</v>
      </c>
      <c r="E482" t="str">
        <v>Дистрибуция</v>
      </c>
    </row>
    <row r="483" spans="1:5" x14ac:dyDescent="0.55000000000000004">
      <c r="A483" t="str">
        <v>«Анна Каренина» — Лев Толстой</v>
      </c>
      <c r="B483" s="9">
        <v>43777</v>
      </c>
      <c r="C483" t="str">
        <v>Редакция №2</v>
      </c>
      <c r="D483" t="str">
        <v>Покетбук</v>
      </c>
      <c r="E483" t="str">
        <v>Интернет-магазин</v>
      </c>
    </row>
    <row r="484" spans="1:5" x14ac:dyDescent="0.55000000000000004">
      <c r="A484" t="str">
        <v>«Анна Каренина» — Лев Толстой</v>
      </c>
      <c r="B484" s="9">
        <v>43777</v>
      </c>
      <c r="C484" t="str">
        <v>Редакция №2</v>
      </c>
      <c r="D484" t="str">
        <v>Покетбук</v>
      </c>
      <c r="E484" t="str">
        <v>B2B</v>
      </c>
    </row>
    <row r="485" spans="1:5" x14ac:dyDescent="0.55000000000000004">
      <c r="A485" t="str">
        <v>«Мелкие боги» — Терри Пратчетт</v>
      </c>
      <c r="B485" s="9">
        <v>43796</v>
      </c>
      <c r="C485" t="str">
        <v>Редакция №1</v>
      </c>
      <c r="D485" t="str">
        <v>Покетбук</v>
      </c>
      <c r="E485" t="str">
        <v>Дистрибуция</v>
      </c>
    </row>
    <row r="486" spans="1:5" x14ac:dyDescent="0.55000000000000004">
      <c r="A486" t="str">
        <v>«Мелкие боги» — Терри Пратчетт</v>
      </c>
      <c r="B486" s="9">
        <v>43796</v>
      </c>
      <c r="C486" t="str">
        <v>Редакция №1</v>
      </c>
      <c r="D486" t="str">
        <v>Покетбук</v>
      </c>
      <c r="E486" t="str">
        <v>Интернет-магазин</v>
      </c>
    </row>
    <row r="487" spans="1:5" x14ac:dyDescent="0.55000000000000004">
      <c r="A487" t="str">
        <v>«Мелкие боги» — Терри Пратчетт</v>
      </c>
      <c r="B487" s="9">
        <v>43796</v>
      </c>
      <c r="C487" t="str">
        <v>Редакция №1</v>
      </c>
      <c r="D487" t="str">
        <v>Покетбук</v>
      </c>
      <c r="E487" t="str">
        <v>B2B</v>
      </c>
    </row>
    <row r="488" spans="1:5" x14ac:dyDescent="0.55000000000000004">
      <c r="A488" t="str">
        <v>«Горменгаст» — Мервин Пик</v>
      </c>
      <c r="B488" s="9">
        <v>43807</v>
      </c>
      <c r="C488" t="str">
        <v>Редакция №1</v>
      </c>
      <c r="D488" t="str">
        <v>Твердый переплет</v>
      </c>
      <c r="E488" t="str">
        <v>Дистрибуция</v>
      </c>
    </row>
    <row r="489" spans="1:5" x14ac:dyDescent="0.55000000000000004">
      <c r="A489" t="str">
        <v>«Горменгаст» — Мервин Пик</v>
      </c>
      <c r="B489" s="9">
        <v>43807</v>
      </c>
      <c r="C489" t="str">
        <v>Редакция №1</v>
      </c>
      <c r="D489" t="str">
        <v>Твердый переплет</v>
      </c>
      <c r="E489" t="str">
        <v>Интернет-магазин</v>
      </c>
    </row>
    <row r="490" spans="1:5" x14ac:dyDescent="0.55000000000000004">
      <c r="A490" t="str">
        <v>«Горменгаст» — Мервин Пик</v>
      </c>
      <c r="B490" s="9">
        <v>43807</v>
      </c>
      <c r="C490" t="str">
        <v>Редакция №1</v>
      </c>
      <c r="D490" t="str">
        <v>Твердый переплет</v>
      </c>
      <c r="E490" t="str">
        <v>B2B</v>
      </c>
    </row>
    <row r="491" spans="1:5" x14ac:dyDescent="0.55000000000000004">
      <c r="A491" t="str">
        <v>«Дневник Трейси Бикер» — Жаклин Уилсон</v>
      </c>
      <c r="B491" s="9">
        <v>43821</v>
      </c>
      <c r="C491" t="str">
        <v>Редакция №1</v>
      </c>
      <c r="D491" t="str">
        <v>Мягкая обложка</v>
      </c>
      <c r="E491" t="str">
        <v>Дистрибуция</v>
      </c>
    </row>
    <row r="492" spans="1:5" x14ac:dyDescent="0.55000000000000004">
      <c r="A492" t="str">
        <v>«Дневник Трейси Бикер» — Жаклин Уилсон</v>
      </c>
      <c r="B492" s="9">
        <v>43821</v>
      </c>
      <c r="C492" t="str">
        <v>Редакция №1</v>
      </c>
      <c r="D492" t="str">
        <v>Мягкая обложка</v>
      </c>
      <c r="E492" t="str">
        <v>Интернет-магазин</v>
      </c>
    </row>
    <row r="493" spans="1:5" x14ac:dyDescent="0.55000000000000004">
      <c r="A493" t="str">
        <v>«Дневник Трейси Бикер» — Жаклин Уилсон</v>
      </c>
      <c r="B493" s="9">
        <v>43821</v>
      </c>
      <c r="C493" t="str">
        <v>Редакция №1</v>
      </c>
      <c r="D493" t="str">
        <v>Мягкая обложка</v>
      </c>
      <c r="E493" t="str">
        <v>B2B</v>
      </c>
    </row>
    <row r="494" spans="1:5" x14ac:dyDescent="0.55000000000000004">
      <c r="A494" t="str">
        <v>«Мотылёк» — Анри Шарьер</v>
      </c>
      <c r="B494" s="9">
        <v>43828</v>
      </c>
      <c r="C494" t="str">
        <v>Редакция №2</v>
      </c>
      <c r="D494" t="str">
        <v>Твердый переплет</v>
      </c>
      <c r="E494" t="str">
        <v>Дистрибуция</v>
      </c>
    </row>
    <row r="495" spans="1:5" x14ac:dyDescent="0.55000000000000004">
      <c r="A495" t="str">
        <v>«Мотылёк» — Анри Шарьер</v>
      </c>
      <c r="B495" s="9">
        <v>43828</v>
      </c>
      <c r="C495" t="str">
        <v>Редакция №2</v>
      </c>
      <c r="D495" t="str">
        <v>Твердый переплет</v>
      </c>
      <c r="E495" t="str">
        <v>Интернет-магазин</v>
      </c>
    </row>
    <row r="496" spans="1:5" x14ac:dyDescent="0.55000000000000004">
      <c r="A496" t="str">
        <v>«Мотылёк» — Анри Шарьер</v>
      </c>
      <c r="B496" s="9">
        <v>43828</v>
      </c>
      <c r="C496" t="str">
        <v>Редакция №2</v>
      </c>
      <c r="D496" t="str">
        <v>Твердый переплет</v>
      </c>
      <c r="E496" t="str">
        <v>B2B</v>
      </c>
    </row>
    <row r="497" spans="1:5" x14ac:dyDescent="0.55000000000000004">
      <c r="A497" t="str">
        <v>«Осиная фабрика» — Иэн Бэнкс</v>
      </c>
      <c r="B497" s="9">
        <v>43834</v>
      </c>
      <c r="C497" t="str">
        <v>Редакция №1</v>
      </c>
      <c r="D497" t="str">
        <v>Мягкая обложка</v>
      </c>
      <c r="E497" t="str">
        <v>Дистрибуция</v>
      </c>
    </row>
    <row r="498" spans="1:5" x14ac:dyDescent="0.55000000000000004">
      <c r="A498" t="str">
        <v>«Осиная фабрика» — Иэн Бэнкс</v>
      </c>
      <c r="B498" s="9">
        <v>43834</v>
      </c>
      <c r="C498" t="str">
        <v>Редакция №1</v>
      </c>
      <c r="D498" t="str">
        <v>Мягкая обложка</v>
      </c>
      <c r="E498" t="str">
        <v>Интернет-магазин</v>
      </c>
    </row>
    <row r="499" spans="1:5" x14ac:dyDescent="0.55000000000000004">
      <c r="A499" t="str">
        <v>«Осиная фабрика» — Иэн Бэнкс</v>
      </c>
      <c r="B499" s="9">
        <v>43834</v>
      </c>
      <c r="C499" t="str">
        <v>Редакция №1</v>
      </c>
      <c r="D499" t="str">
        <v>Мягкая обложка</v>
      </c>
      <c r="E499" t="str">
        <v>B2B</v>
      </c>
    </row>
    <row r="500" spans="1:5" x14ac:dyDescent="0.55000000000000004">
      <c r="A500" t="str">
        <v>«Тайная история» — Донна Тартт</v>
      </c>
      <c r="B500" s="9">
        <v>43852</v>
      </c>
      <c r="C500" t="str">
        <v>Редакция №2</v>
      </c>
      <c r="D500" t="str">
        <v>Твердый переплет</v>
      </c>
      <c r="E500" t="str">
        <v>Дистрибуция</v>
      </c>
    </row>
    <row r="501" spans="1:5" x14ac:dyDescent="0.55000000000000004">
      <c r="A501" t="str">
        <v>«Тайная история» — Донна Тартт</v>
      </c>
      <c r="B501" s="9">
        <v>43852</v>
      </c>
      <c r="C501" t="str">
        <v>Редакция №2</v>
      </c>
      <c r="D501" t="str">
        <v>Твердый переплет</v>
      </c>
      <c r="E501" t="str">
        <v>Интернет-магазин</v>
      </c>
    </row>
    <row r="502" spans="1:5" x14ac:dyDescent="0.55000000000000004">
      <c r="A502" t="str">
        <v>«Тайная история» — Донна Тартт</v>
      </c>
      <c r="B502" s="9">
        <v>43852</v>
      </c>
      <c r="C502" t="str">
        <v>Редакция №2</v>
      </c>
      <c r="D502" t="str">
        <v>Твердый переплет</v>
      </c>
      <c r="E502" t="str">
        <v>B2B</v>
      </c>
    </row>
    <row r="503" spans="1:5" x14ac:dyDescent="0.55000000000000004">
      <c r="A503" t="str">
        <v>«Американский психопат» — Брет Истон Эллис</v>
      </c>
      <c r="B503" s="9">
        <v>43874</v>
      </c>
      <c r="C503" t="str">
        <v>Редакция №1</v>
      </c>
      <c r="D503" t="str">
        <v>Мягкая обложка</v>
      </c>
      <c r="E503" t="str">
        <v>Дистрибуция</v>
      </c>
    </row>
    <row r="504" spans="1:5" x14ac:dyDescent="0.55000000000000004">
      <c r="A504" t="str">
        <v>«Американский психопат» — Брет Истон Эллис</v>
      </c>
      <c r="B504" s="9">
        <v>43874</v>
      </c>
      <c r="C504" t="str">
        <v>Редакция №1</v>
      </c>
      <c r="D504" t="str">
        <v>Мягкая обложка</v>
      </c>
      <c r="E504" t="str">
        <v>Интернет-магазин</v>
      </c>
    </row>
    <row r="505" spans="1:5" x14ac:dyDescent="0.55000000000000004">
      <c r="A505" t="str">
        <v>«Американский психопат» — Брет Истон Эллис</v>
      </c>
      <c r="B505" s="9">
        <v>43874</v>
      </c>
      <c r="C505" t="str">
        <v>Редакция №1</v>
      </c>
      <c r="D505" t="str">
        <v>Мягкая обложка</v>
      </c>
      <c r="E505" t="str">
        <v>B2B</v>
      </c>
    </row>
    <row r="506" spans="1:5" x14ac:dyDescent="0.55000000000000004">
      <c r="A506" t="str">
        <v>«Жестокое море» — Николас Монсаррат</v>
      </c>
      <c r="B506" s="9">
        <v>43879</v>
      </c>
      <c r="C506" t="str">
        <v>Редакция №2</v>
      </c>
      <c r="D506" t="str">
        <v>Твердый переплет</v>
      </c>
      <c r="E506" t="str">
        <v>Дистрибуция</v>
      </c>
    </row>
    <row r="507" spans="1:5" x14ac:dyDescent="0.55000000000000004">
      <c r="A507" t="str">
        <v>«Жестокое море» — Николас Монсаррат</v>
      </c>
      <c r="B507" s="9">
        <v>43879</v>
      </c>
      <c r="C507" t="str">
        <v>Редакция №2</v>
      </c>
      <c r="D507" t="str">
        <v>Твердый переплет</v>
      </c>
      <c r="E507" t="str">
        <v>Интернет-магазин</v>
      </c>
    </row>
    <row r="508" spans="1:5" x14ac:dyDescent="0.55000000000000004">
      <c r="A508" t="str">
        <v>«Жестокое море» — Николас Монсаррат</v>
      </c>
      <c r="B508" s="9">
        <v>43879</v>
      </c>
      <c r="C508" t="str">
        <v>Редакция №2</v>
      </c>
      <c r="D508" t="str">
        <v>Твердый переплет</v>
      </c>
      <c r="E508" t="str">
        <v>B2B</v>
      </c>
    </row>
    <row r="509" spans="1:5" x14ac:dyDescent="0.55000000000000004">
      <c r="A509" t="str">
        <v>«Санта-Хрякус» — Терри Пратчетт</v>
      </c>
      <c r="B509" s="9">
        <v>43883</v>
      </c>
      <c r="C509" t="str">
        <v>Редакция №2</v>
      </c>
      <c r="D509" t="str">
        <v>Покетбук</v>
      </c>
      <c r="E509" t="str">
        <v>Дистрибуция</v>
      </c>
    </row>
    <row r="510" spans="1:5" x14ac:dyDescent="0.55000000000000004">
      <c r="A510" t="str">
        <v>«Санта-Хрякус» — Терри Пратчетт</v>
      </c>
      <c r="B510" s="9">
        <v>43883</v>
      </c>
      <c r="C510" t="str">
        <v>Редакция №2</v>
      </c>
      <c r="D510" t="str">
        <v>Покетбук</v>
      </c>
      <c r="E510" t="str">
        <v>Интернет-магазин</v>
      </c>
    </row>
    <row r="511" spans="1:5" x14ac:dyDescent="0.55000000000000004">
      <c r="A511" t="str">
        <v>«Санта-Хрякус» — Терри Пратчетт</v>
      </c>
      <c r="B511" s="9">
        <v>43883</v>
      </c>
      <c r="C511" t="str">
        <v>Редакция №2</v>
      </c>
      <c r="D511" t="str">
        <v>Покетбук</v>
      </c>
      <c r="E511" t="str">
        <v>B2B</v>
      </c>
    </row>
    <row r="512" spans="1:5" x14ac:dyDescent="0.55000000000000004">
      <c r="A512" t="str">
        <v>«Подходящий жених» — Викрам Сет</v>
      </c>
      <c r="B512" s="9">
        <v>43919</v>
      </c>
      <c r="C512" t="str">
        <v>Редакция №1</v>
      </c>
      <c r="D512" t="str">
        <v>Твердый переплет</v>
      </c>
      <c r="E512" t="str">
        <v>Дистрибуция</v>
      </c>
    </row>
    <row r="513" spans="1:5" x14ac:dyDescent="0.55000000000000004">
      <c r="A513" t="str">
        <v>«Подходящий жених» — Викрам Сет</v>
      </c>
      <c r="B513" s="9">
        <v>43919</v>
      </c>
      <c r="C513" t="str">
        <v>Редакция №1</v>
      </c>
      <c r="D513" t="str">
        <v>Твердый переплет</v>
      </c>
      <c r="E513" t="str">
        <v>Интернет-магазин</v>
      </c>
    </row>
    <row r="514" spans="1:5" x14ac:dyDescent="0.55000000000000004">
      <c r="A514" t="str">
        <v>«Подходящий жених» — Викрам Сет</v>
      </c>
      <c r="B514" s="9">
        <v>43919</v>
      </c>
      <c r="C514" t="str">
        <v>Редакция №1</v>
      </c>
      <c r="D514" t="str">
        <v>Твердый переплет</v>
      </c>
      <c r="E514" t="str">
        <v>B2B</v>
      </c>
    </row>
    <row r="515" spans="1:5" x14ac:dyDescent="0.55000000000000004">
      <c r="A515" t="str">
        <v>«Посмертные записки Пиквикского клуба» — Чарльз Диккенс</v>
      </c>
      <c r="B515" s="9">
        <v>43935</v>
      </c>
      <c r="C515" t="str">
        <v>Редакция №2</v>
      </c>
      <c r="D515" t="str">
        <v>Твердый переплет</v>
      </c>
      <c r="E515" t="str">
        <v>Дистрибуция</v>
      </c>
    </row>
    <row r="516" spans="1:5" x14ac:dyDescent="0.55000000000000004">
      <c r="A516" t="str">
        <v>«Посмертные записки Пиквикского клуба» — Чарльз Диккенс</v>
      </c>
      <c r="B516" s="9">
        <v>43935</v>
      </c>
      <c r="C516" t="str">
        <v>Редакция №2</v>
      </c>
      <c r="D516" t="str">
        <v>Твердый переплет</v>
      </c>
      <c r="E516" t="str">
        <v>Интернет-магазин</v>
      </c>
    </row>
    <row r="517" spans="1:5" x14ac:dyDescent="0.55000000000000004">
      <c r="A517" t="str">
        <v>«Посмертные записки Пиквикского клуба» — Чарльз Диккенс</v>
      </c>
      <c r="B517" s="9">
        <v>43935</v>
      </c>
      <c r="C517" t="str">
        <v>Редакция №2</v>
      </c>
      <c r="D517" t="str">
        <v>Твердый переплет</v>
      </c>
      <c r="E517" t="str">
        <v>B2B</v>
      </c>
    </row>
    <row r="518" spans="1:5" x14ac:dyDescent="0.55000000000000004">
      <c r="A518" t="str">
        <v>«Дневники принцессы» — Мэг Кэбот</v>
      </c>
      <c r="B518" s="9">
        <v>43936</v>
      </c>
      <c r="C518" t="str">
        <v>Редакция №2</v>
      </c>
      <c r="D518" t="str">
        <v>Покетбук</v>
      </c>
      <c r="E518" t="str">
        <v>Дистрибуция</v>
      </c>
    </row>
    <row r="519" spans="1:5" x14ac:dyDescent="0.55000000000000004">
      <c r="A519" t="str">
        <v>«Дневники принцессы» — Мэг Кэбот</v>
      </c>
      <c r="B519" s="9">
        <v>43936</v>
      </c>
      <c r="C519" t="str">
        <v>Редакция №2</v>
      </c>
      <c r="D519" t="str">
        <v>Покетбук</v>
      </c>
      <c r="E519" t="str">
        <v>Интернет-магазин</v>
      </c>
    </row>
    <row r="520" spans="1:5" x14ac:dyDescent="0.55000000000000004">
      <c r="A520" t="str">
        <v>«Дневники принцессы» — Мэг Кэбот</v>
      </c>
      <c r="B520" s="9">
        <v>43936</v>
      </c>
      <c r="C520" t="str">
        <v>Редакция №2</v>
      </c>
      <c r="D520" t="str">
        <v>Покетбук</v>
      </c>
      <c r="E520" t="str">
        <v>B2B</v>
      </c>
    </row>
    <row r="521" spans="1:5" x14ac:dyDescent="0.55000000000000004">
      <c r="A521" t="str">
        <v>«Двойняшки» — Жаклин Уилсон</v>
      </c>
      <c r="B521" s="9">
        <v>43937</v>
      </c>
      <c r="C521" t="str">
        <v>Редакция №1</v>
      </c>
      <c r="D521" t="str">
        <v>Мягкая обложка</v>
      </c>
      <c r="E521" t="str">
        <v>Дистрибуция</v>
      </c>
    </row>
    <row r="522" spans="1:5" x14ac:dyDescent="0.55000000000000004">
      <c r="A522" t="str">
        <v>«Двойняшки» — Жаклин Уилсон</v>
      </c>
      <c r="B522" s="9">
        <v>43937</v>
      </c>
      <c r="C522" t="str">
        <v>Редакция №1</v>
      </c>
      <c r="D522" t="str">
        <v>Мягкая обложка</v>
      </c>
      <c r="E522" t="str">
        <v>Интернет-магазин</v>
      </c>
    </row>
    <row r="523" spans="1:5" x14ac:dyDescent="0.55000000000000004">
      <c r="A523" t="str">
        <v>«Двойняшки» — Жаклин Уилсон</v>
      </c>
      <c r="B523" s="9">
        <v>43937</v>
      </c>
      <c r="C523" t="str">
        <v>Редакция №1</v>
      </c>
      <c r="D523" t="str">
        <v>Мягкая обложка</v>
      </c>
      <c r="E523" t="str">
        <v>B2B</v>
      </c>
    </row>
    <row r="524" spans="1:5" x14ac:dyDescent="0.55000000000000004">
      <c r="A524" t="str">
        <v>«Великий Гэтсби» — Фрэнсис Скотт Фицджеральд</v>
      </c>
      <c r="B524" s="9">
        <v>43940</v>
      </c>
      <c r="C524" t="str">
        <v>Редакция №1</v>
      </c>
      <c r="D524" t="str">
        <v>Покетбук</v>
      </c>
      <c r="E524" t="str">
        <v>Дистрибуция</v>
      </c>
    </row>
    <row r="525" spans="1:5" x14ac:dyDescent="0.55000000000000004">
      <c r="A525" t="str">
        <v>«Таинственный сад» — Фрэнсис Бернетт</v>
      </c>
      <c r="B525" s="9">
        <v>43940</v>
      </c>
      <c r="C525" t="str">
        <v>Редакция №2</v>
      </c>
      <c r="D525" t="str">
        <v>Твердый переплет</v>
      </c>
      <c r="E525" t="str">
        <v>Дистрибуция</v>
      </c>
    </row>
    <row r="526" spans="1:5" x14ac:dyDescent="0.55000000000000004">
      <c r="A526" t="str">
        <v>«Великий Гэтсби» — Фрэнсис Скотт Фицджеральд</v>
      </c>
      <c r="B526" s="9">
        <v>43940</v>
      </c>
      <c r="C526" t="str">
        <v>Редакция №1</v>
      </c>
      <c r="D526" t="str">
        <v>Покетбук</v>
      </c>
      <c r="E526" t="str">
        <v>Интернет-магазин</v>
      </c>
    </row>
    <row r="527" spans="1:5" x14ac:dyDescent="0.55000000000000004">
      <c r="A527" t="str">
        <v>«Таинственный сад» — Фрэнсис Бернетт</v>
      </c>
      <c r="B527" s="9">
        <v>43940</v>
      </c>
      <c r="C527" t="str">
        <v>Редакция №2</v>
      </c>
      <c r="D527" t="str">
        <v>Твердый переплет</v>
      </c>
      <c r="E527" t="str">
        <v>Интернет-магазин</v>
      </c>
    </row>
    <row r="528" spans="1:5" x14ac:dyDescent="0.55000000000000004">
      <c r="A528" t="str">
        <v>«Великий Гэтсби» — Фрэнсис Скотт Фицджеральд</v>
      </c>
      <c r="B528" s="9">
        <v>43940</v>
      </c>
      <c r="C528" t="str">
        <v>Редакция №1</v>
      </c>
      <c r="D528" t="str">
        <v>Покетбук</v>
      </c>
      <c r="E528" t="str">
        <v>B2B</v>
      </c>
    </row>
    <row r="529" spans="1:5" x14ac:dyDescent="0.55000000000000004">
      <c r="A529" t="str">
        <v>«Таинственный сад» — Фрэнсис Бернетт</v>
      </c>
      <c r="B529" s="9">
        <v>43940</v>
      </c>
      <c r="C529" t="str">
        <v>Редакция №2</v>
      </c>
      <c r="D529" t="str">
        <v>Твердый переплет</v>
      </c>
      <c r="E529" t="str">
        <v>B2B</v>
      </c>
    </row>
    <row r="530" spans="1:5" x14ac:dyDescent="0.55000000000000004">
      <c r="A530" t="str">
        <v>«Далёкие шатры» — Мэри Маргарет Кей</v>
      </c>
      <c r="B530" s="9">
        <v>43949</v>
      </c>
      <c r="C530" t="str">
        <v>Редакция №2</v>
      </c>
      <c r="D530" t="str">
        <v>Покетбук</v>
      </c>
      <c r="E530" t="str">
        <v>Дистрибуция</v>
      </c>
    </row>
    <row r="531" spans="1:5" x14ac:dyDescent="0.55000000000000004">
      <c r="A531" t="str">
        <v>«Далёкие шатры» — Мэри Маргарет Кей</v>
      </c>
      <c r="B531" s="9">
        <v>43949</v>
      </c>
      <c r="C531" t="str">
        <v>Редакция №2</v>
      </c>
      <c r="D531" t="str">
        <v>Покетбук</v>
      </c>
      <c r="E531" t="str">
        <v>Интернет-магазин</v>
      </c>
    </row>
    <row r="532" spans="1:5" x14ac:dyDescent="0.55000000000000004">
      <c r="A532" t="str">
        <v>«Далёкие шатры» — Мэри Маргарет Кей</v>
      </c>
      <c r="B532" s="9">
        <v>43949</v>
      </c>
      <c r="C532" t="str">
        <v>Редакция №2</v>
      </c>
      <c r="D532" t="str">
        <v>Покетбук</v>
      </c>
      <c r="E532" t="str">
        <v>B2B</v>
      </c>
    </row>
    <row r="533" spans="1:5" x14ac:dyDescent="0.55000000000000004">
      <c r="A533" t="str">
        <v>«Лола Роза» — Жаклин Уилсон</v>
      </c>
      <c r="B533" s="9">
        <v>43955</v>
      </c>
      <c r="C533" t="str">
        <v>Редакция №1</v>
      </c>
      <c r="D533" t="str">
        <v>Мягкая обложка</v>
      </c>
      <c r="E533" t="str">
        <v>Дистрибуция</v>
      </c>
    </row>
    <row r="534" spans="1:5" x14ac:dyDescent="0.55000000000000004">
      <c r="A534" t="str">
        <v>«Лола Роза» — Жаклин Уилсон</v>
      </c>
      <c r="B534" s="9">
        <v>43955</v>
      </c>
      <c r="C534" t="str">
        <v>Редакция №1</v>
      </c>
      <c r="D534" t="str">
        <v>Мягкая обложка</v>
      </c>
      <c r="E534" t="str">
        <v>Интернет-магазин</v>
      </c>
    </row>
    <row r="535" spans="1:5" x14ac:dyDescent="0.55000000000000004">
      <c r="A535" t="str">
        <v>«Лола Роза» — Жаклин Уилсон</v>
      </c>
      <c r="B535" s="9">
        <v>43955</v>
      </c>
      <c r="C535" t="str">
        <v>Редакция №1</v>
      </c>
      <c r="D535" t="str">
        <v>Мягкая обложка</v>
      </c>
      <c r="E535" t="str">
        <v>B2B</v>
      </c>
    </row>
    <row r="536" spans="1:5" x14ac:dyDescent="0.55000000000000004">
      <c r="A536" t="str">
        <v>«Девчонки гуляют допоздна» — Жаклин Уилсон</v>
      </c>
      <c r="B536" s="9">
        <v>43971</v>
      </c>
      <c r="C536" t="str">
        <v>Редакция №2</v>
      </c>
      <c r="D536" t="str">
        <v>Твердый переплет</v>
      </c>
      <c r="E536" t="str">
        <v>Дистрибуция</v>
      </c>
    </row>
    <row r="537" spans="1:5" x14ac:dyDescent="0.55000000000000004">
      <c r="A537" t="str">
        <v>«Девчонки гуляют допоздна» — Жаклин Уилсон</v>
      </c>
      <c r="B537" s="9">
        <v>43971</v>
      </c>
      <c r="C537" t="str">
        <v>Редакция №2</v>
      </c>
      <c r="D537" t="str">
        <v>Твердый переплет</v>
      </c>
      <c r="E537" t="str">
        <v>Интернет-магазин</v>
      </c>
    </row>
    <row r="538" spans="1:5" x14ac:dyDescent="0.55000000000000004">
      <c r="A538" t="str">
        <v>«Девчонки гуляют допоздна» — Жаклин Уилсон</v>
      </c>
      <c r="B538" s="9">
        <v>43971</v>
      </c>
      <c r="C538" t="str">
        <v>Редакция №2</v>
      </c>
      <c r="D538" t="str">
        <v>Твердый переплет</v>
      </c>
      <c r="E538" t="str">
        <v>B2B</v>
      </c>
    </row>
    <row r="539" spans="1:5" x14ac:dyDescent="0.55000000000000004">
      <c r="A539" t="str">
        <v>«Дом из листьев» — Марк Данилевски</v>
      </c>
      <c r="B539" s="9">
        <v>44005</v>
      </c>
      <c r="C539" t="str">
        <v>Редакция №1</v>
      </c>
      <c r="D539" t="str">
        <v>Твердый переплет</v>
      </c>
      <c r="E539" t="str">
        <v>Дистрибуция</v>
      </c>
    </row>
    <row r="540" spans="1:5" x14ac:dyDescent="0.55000000000000004">
      <c r="A540" t="str">
        <v>«Дом из листьев» — Марк Данилевски</v>
      </c>
      <c r="B540" s="9">
        <v>44005</v>
      </c>
      <c r="C540" t="str">
        <v>Редакция №1</v>
      </c>
      <c r="D540" t="str">
        <v>Твердый переплет</v>
      </c>
      <c r="E540" t="str">
        <v>Интернет-магазин</v>
      </c>
    </row>
    <row r="541" spans="1:5" x14ac:dyDescent="0.55000000000000004">
      <c r="A541" t="str">
        <v>«Дом из листьев» — Марк Данилевски</v>
      </c>
      <c r="B541" s="9">
        <v>44005</v>
      </c>
      <c r="C541" t="str">
        <v>Редакция №1</v>
      </c>
      <c r="D541" t="str">
        <v>Твердый переплет</v>
      </c>
      <c r="E541" t="str">
        <v>B2B</v>
      </c>
    </row>
    <row r="542" spans="1:5" x14ac:dyDescent="0.55000000000000004">
      <c r="A542" t="str">
        <v>«Хрупкое равновесие» — Рохинтон Мистри</v>
      </c>
      <c r="B542" s="9">
        <v>44010</v>
      </c>
      <c r="C542" t="str">
        <v>Редакция №2</v>
      </c>
      <c r="D542" t="str">
        <v>Покетбук</v>
      </c>
      <c r="E542" t="str">
        <v>Дистрибуция</v>
      </c>
    </row>
    <row r="543" spans="1:5" x14ac:dyDescent="0.55000000000000004">
      <c r="A543" t="str">
        <v>«Хрупкое равновесие» — Рохинтон Мистри</v>
      </c>
      <c r="B543" s="9">
        <v>44010</v>
      </c>
      <c r="C543" t="str">
        <v>Редакция №2</v>
      </c>
      <c r="D543" t="str">
        <v>Покетбук</v>
      </c>
      <c r="E543" t="str">
        <v>Интернет-магазин</v>
      </c>
    </row>
    <row r="544" spans="1:5" x14ac:dyDescent="0.55000000000000004">
      <c r="A544" t="str">
        <v>«Хрупкое равновесие» — Рохинтон Мистри</v>
      </c>
      <c r="B544" s="9">
        <v>44010</v>
      </c>
      <c r="C544" t="str">
        <v>Редакция №2</v>
      </c>
      <c r="D544" t="str">
        <v>Покетбук</v>
      </c>
      <c r="E544" t="str">
        <v>B2B</v>
      </c>
    </row>
    <row r="545" spans="1:5" x14ac:dyDescent="0.55000000000000004">
      <c r="A545" t="str">
        <v>«Отверженные» — Виктор Гюго</v>
      </c>
      <c r="B545" s="9">
        <v>44018</v>
      </c>
      <c r="C545" t="str">
        <v>Редакция №1</v>
      </c>
      <c r="D545" t="str">
        <v>Покетбук</v>
      </c>
      <c r="E545" t="str">
        <v>Дистрибуция</v>
      </c>
    </row>
    <row r="546" spans="1:5" x14ac:dyDescent="0.55000000000000004">
      <c r="A546" t="str">
        <v>«Отверженные» — Виктор Гюго</v>
      </c>
      <c r="B546" s="9">
        <v>44018</v>
      </c>
      <c r="C546" t="str">
        <v>Редакция №1</v>
      </c>
      <c r="D546" t="str">
        <v>Покетбук</v>
      </c>
      <c r="E546" t="str">
        <v>Интернет-магазин</v>
      </c>
    </row>
    <row r="547" spans="1:5" x14ac:dyDescent="0.55000000000000004">
      <c r="A547" t="str">
        <v>«Отверженные» — Виктор Гюго</v>
      </c>
      <c r="B547" s="9">
        <v>44018</v>
      </c>
      <c r="C547" t="str">
        <v>Редакция №1</v>
      </c>
      <c r="D547" t="str">
        <v>Покетбук</v>
      </c>
      <c r="E547" t="str">
        <v>B2B</v>
      </c>
    </row>
    <row r="548" spans="1:5" x14ac:dyDescent="0.55000000000000004">
      <c r="A548" t="str">
        <v>«Артемис Фаул» — Йон Колфер</v>
      </c>
      <c r="B548" s="9">
        <v>44019</v>
      </c>
      <c r="C548" t="str">
        <v>Редакция №1</v>
      </c>
      <c r="D548" t="str">
        <v>Покетбук</v>
      </c>
      <c r="E548" t="str">
        <v>Дистрибуция</v>
      </c>
    </row>
    <row r="549" spans="1:5" x14ac:dyDescent="0.55000000000000004">
      <c r="A549" t="str">
        <v>«Артемис Фаул» — Йон Колфер</v>
      </c>
      <c r="B549" s="9">
        <v>44019</v>
      </c>
      <c r="C549" t="str">
        <v>Редакция №1</v>
      </c>
      <c r="D549" t="str">
        <v>Покетбук</v>
      </c>
      <c r="E549" t="str">
        <v>Интернет-магазин</v>
      </c>
    </row>
    <row r="550" spans="1:5" x14ac:dyDescent="0.55000000000000004">
      <c r="A550" t="str">
        <v>«Артемис Фаул» — Йон Колфер</v>
      </c>
      <c r="B550" s="9">
        <v>44019</v>
      </c>
      <c r="C550" t="str">
        <v>Редакция №1</v>
      </c>
      <c r="D550" t="str">
        <v>Покетбук</v>
      </c>
      <c r="E550" t="str">
        <v>B2B</v>
      </c>
    </row>
    <row r="551" spans="1:5" x14ac:dyDescent="0.55000000000000004">
      <c r="A551" t="str">
        <v>«К оружию! К оружию!» — Терри Пратчетт</v>
      </c>
      <c r="B551" s="9">
        <v>44021</v>
      </c>
      <c r="C551" t="str">
        <v>Редакция №1</v>
      </c>
      <c r="D551" t="str">
        <v>Твердый переплет</v>
      </c>
      <c r="E551" t="str">
        <v>Дистрибуция</v>
      </c>
    </row>
    <row r="552" spans="1:5" x14ac:dyDescent="0.55000000000000004">
      <c r="A552" t="str">
        <v>«К оружию! К оружию!» — Терри Пратчетт</v>
      </c>
      <c r="B552" s="9">
        <v>44021</v>
      </c>
      <c r="C552" t="str">
        <v>Редакция №1</v>
      </c>
      <c r="D552" t="str">
        <v>Твердый переплет</v>
      </c>
      <c r="E552" t="str">
        <v>Интернет-магазин</v>
      </c>
    </row>
    <row r="553" spans="1:5" x14ac:dyDescent="0.55000000000000004">
      <c r="A553" t="str">
        <v>«К оружию! К оружию!» — Терри Пратчетт</v>
      </c>
      <c r="B553" s="9">
        <v>44021</v>
      </c>
      <c r="C553" t="str">
        <v>Редакция №1</v>
      </c>
      <c r="D553" t="str">
        <v>Твердый переплет</v>
      </c>
      <c r="E553" t="str">
        <v>B2B</v>
      </c>
    </row>
    <row r="554" spans="1:5" x14ac:dyDescent="0.55000000000000004">
      <c r="A554" t="str">
        <v>«В хранилищах музея» — Кейт Аткинсон</v>
      </c>
      <c r="B554" s="9">
        <v>44029</v>
      </c>
      <c r="C554" t="str">
        <v>Редакция №1</v>
      </c>
      <c r="D554" t="str">
        <v>Твердый переплет</v>
      </c>
      <c r="E554" t="str">
        <v>Дистрибуция</v>
      </c>
    </row>
    <row r="555" spans="1:5" x14ac:dyDescent="0.55000000000000004">
      <c r="A555" t="str">
        <v>«В хранилищах музея» — Кейт Аткинсон</v>
      </c>
      <c r="B555" s="9">
        <v>44029</v>
      </c>
      <c r="C555" t="str">
        <v>Редакция №1</v>
      </c>
      <c r="D555" t="str">
        <v>Твердый переплет</v>
      </c>
      <c r="E555" t="str">
        <v>Интернет-магазин</v>
      </c>
    </row>
    <row r="556" spans="1:5" x14ac:dyDescent="0.55000000000000004">
      <c r="A556" t="str">
        <v>«В хранилищах музея» — Кейт Аткинсон</v>
      </c>
      <c r="B556" s="9">
        <v>44029</v>
      </c>
      <c r="C556" t="str">
        <v>Редакция №1</v>
      </c>
      <c r="D556" t="str">
        <v>Твердый переплет</v>
      </c>
      <c r="E556" t="str">
        <v>B2B</v>
      </c>
    </row>
    <row r="557" spans="1:5" x14ac:dyDescent="0.55000000000000004">
      <c r="A557" t="str">
        <v>«Аня из Зелёных Мезонинов» — Люси Мод Монтгомери</v>
      </c>
      <c r="B557" s="9">
        <v>44039</v>
      </c>
      <c r="C557" t="str">
        <v>Редакция №2</v>
      </c>
      <c r="D557" t="str">
        <v>Покетбук</v>
      </c>
      <c r="E557" t="str">
        <v>Дистрибуция</v>
      </c>
    </row>
    <row r="558" spans="1:5" x14ac:dyDescent="0.55000000000000004">
      <c r="A558" t="str">
        <v>«Аня из Зелёных Мезонинов» — Люси Мод Монтгомери</v>
      </c>
      <c r="B558" s="9">
        <v>44039</v>
      </c>
      <c r="C558" t="str">
        <v>Редакция №2</v>
      </c>
      <c r="D558" t="str">
        <v>Покетбук</v>
      </c>
      <c r="E558" t="str">
        <v>Интернет-магазин</v>
      </c>
    </row>
    <row r="559" spans="1:5" x14ac:dyDescent="0.55000000000000004">
      <c r="A559" t="str">
        <v>«Аня из Зелёных Мезонинов» — Люси Мод Монтгомери</v>
      </c>
      <c r="B559" s="9">
        <v>44039</v>
      </c>
      <c r="C559" t="str">
        <v>Редакция №2</v>
      </c>
      <c r="D559" t="str">
        <v>Покетбук</v>
      </c>
      <c r="E559" t="str">
        <v>B2B</v>
      </c>
    </row>
    <row r="560" spans="1:5" x14ac:dyDescent="0.55000000000000004">
      <c r="A560" t="str">
        <v>«Крестный отец» — Марио Пьюзо</v>
      </c>
      <c r="B560" s="9">
        <v>44046</v>
      </c>
      <c r="C560" t="str">
        <v>Редакция №1</v>
      </c>
      <c r="D560" t="str">
        <v>Покетбук</v>
      </c>
      <c r="E560" t="str">
        <v>Дистрибуция</v>
      </c>
    </row>
    <row r="561" spans="1:5" x14ac:dyDescent="0.55000000000000004">
      <c r="A561" t="str">
        <v>«Крестный отец» — Марио Пьюзо</v>
      </c>
      <c r="B561" s="9">
        <v>44046</v>
      </c>
      <c r="C561" t="str">
        <v>Редакция №1</v>
      </c>
      <c r="D561" t="str">
        <v>Покетбук</v>
      </c>
      <c r="E561" t="str">
        <v>Интернет-магазин</v>
      </c>
    </row>
    <row r="562" spans="1:5" x14ac:dyDescent="0.55000000000000004">
      <c r="A562" t="str">
        <v>«Крестный отец» — Марио Пьюзо</v>
      </c>
      <c r="B562" s="9">
        <v>44046</v>
      </c>
      <c r="C562" t="str">
        <v>Редакция №1</v>
      </c>
      <c r="D562" t="str">
        <v>Покетбук</v>
      </c>
      <c r="E562" t="str">
        <v>B2B</v>
      </c>
    </row>
    <row r="563" spans="1:5" x14ac:dyDescent="0.55000000000000004">
      <c r="A563" t="str">
        <v>«Эмма» — Джейн Остин</v>
      </c>
      <c r="B563" s="9">
        <v>44048</v>
      </c>
      <c r="C563" t="str">
        <v>Редакция №1</v>
      </c>
      <c r="D563" t="str">
        <v>Покетбук</v>
      </c>
      <c r="E563" t="str">
        <v>Дистрибуция</v>
      </c>
    </row>
    <row r="564" spans="1:5" x14ac:dyDescent="0.55000000000000004">
      <c r="A564" t="str">
        <v>«Эмма» — Джейн Остин</v>
      </c>
      <c r="B564" s="9">
        <v>44048</v>
      </c>
      <c r="C564" t="str">
        <v>Редакция №1</v>
      </c>
      <c r="D564" t="str">
        <v>Покетбук</v>
      </c>
      <c r="E564" t="str">
        <v>Интернет-магазин</v>
      </c>
    </row>
    <row r="565" spans="1:5" x14ac:dyDescent="0.55000000000000004">
      <c r="A565" t="str">
        <v>«Эмма» — Джейн Остин</v>
      </c>
      <c r="B565" s="9">
        <v>44048</v>
      </c>
      <c r="C565" t="str">
        <v>Редакция №1</v>
      </c>
      <c r="D565" t="str">
        <v>Покетбук</v>
      </c>
      <c r="E565" t="str">
        <v>B2B</v>
      </c>
    </row>
    <row r="566" spans="1:5" x14ac:dyDescent="0.55000000000000004">
      <c r="A566" t="str">
        <v>«Далёкое волшебное дерево» — Энид Блайтон</v>
      </c>
      <c r="B566" s="9">
        <v>44050</v>
      </c>
      <c r="C566" t="str">
        <v>Редакция №1</v>
      </c>
      <c r="D566" t="str">
        <v>Мягкая обложка</v>
      </c>
      <c r="E566" t="str">
        <v>Дистрибуция</v>
      </c>
    </row>
    <row r="567" spans="1:5" x14ac:dyDescent="0.55000000000000004">
      <c r="A567" t="str">
        <v>«Далёкое волшебное дерево» — Энид Блайтон</v>
      </c>
      <c r="B567" s="9">
        <v>44050</v>
      </c>
      <c r="C567" t="str">
        <v>Редакция №1</v>
      </c>
      <c r="D567" t="str">
        <v>Мягкая обложка</v>
      </c>
      <c r="E567" t="str">
        <v>Интернет-магазин</v>
      </c>
    </row>
    <row r="568" spans="1:5" x14ac:dyDescent="0.55000000000000004">
      <c r="A568" t="str">
        <v>«Далёкое волшебное дерево» — Энид Блайтон</v>
      </c>
      <c r="B568" s="9">
        <v>44050</v>
      </c>
      <c r="C568" t="str">
        <v>Редакция №1</v>
      </c>
      <c r="D568" t="str">
        <v>Мягкая обложка</v>
      </c>
      <c r="E568" t="str">
        <v>B2B</v>
      </c>
    </row>
    <row r="569" spans="1:5" x14ac:dyDescent="0.55000000000000004">
      <c r="A569" t="str">
        <v>«Мэр Кэстербриджа» — Томас Харди</v>
      </c>
      <c r="B569" s="9">
        <v>44056</v>
      </c>
      <c r="C569" t="str">
        <v>Редакция №2</v>
      </c>
      <c r="D569" t="str">
        <v>Твердый переплет</v>
      </c>
      <c r="E569" t="str">
        <v>Дистрибуция</v>
      </c>
    </row>
    <row r="570" spans="1:5" x14ac:dyDescent="0.55000000000000004">
      <c r="A570" t="str">
        <v>«Мэр Кэстербриджа» — Томас Харди</v>
      </c>
      <c r="B570" s="9">
        <v>44056</v>
      </c>
      <c r="C570" t="str">
        <v>Редакция №2</v>
      </c>
      <c r="D570" t="str">
        <v>Твердый переплет</v>
      </c>
      <c r="E570" t="str">
        <v>Интернет-магазин</v>
      </c>
    </row>
    <row r="571" spans="1:5" x14ac:dyDescent="0.55000000000000004">
      <c r="A571" t="str">
        <v>«Мэр Кэстербриджа» — Томас Харди</v>
      </c>
      <c r="B571" s="9">
        <v>44056</v>
      </c>
      <c r="C571" t="str">
        <v>Редакция №2</v>
      </c>
      <c r="D571" t="str">
        <v>Твердый переплет</v>
      </c>
      <c r="E571" t="str">
        <v>B2B</v>
      </c>
    </row>
    <row r="572" spans="1:5" x14ac:dyDescent="0.55000000000000004">
      <c r="A572" t="str">
        <v>«О дивный новый мир» — Олдос Хаксли</v>
      </c>
      <c r="B572" s="9">
        <v>44068</v>
      </c>
      <c r="C572" t="str">
        <v>Редакция №1</v>
      </c>
      <c r="D572" t="str">
        <v>Твердый переплет</v>
      </c>
      <c r="E572" t="str">
        <v>Дистрибуция</v>
      </c>
    </row>
    <row r="573" spans="1:5" x14ac:dyDescent="0.55000000000000004">
      <c r="A573" t="str">
        <v>«О дивный новый мир» — Олдос Хаксли</v>
      </c>
      <c r="B573" s="9">
        <v>44068</v>
      </c>
      <c r="C573" t="str">
        <v>Редакция №1</v>
      </c>
      <c r="D573" t="str">
        <v>Твердый переплет</v>
      </c>
      <c r="E573" t="str">
        <v>Интернет-магазин</v>
      </c>
    </row>
    <row r="574" spans="1:5" x14ac:dyDescent="0.55000000000000004">
      <c r="A574" t="str">
        <v>«О дивный новый мир» — Олдос Хаксли</v>
      </c>
      <c r="B574" s="9">
        <v>44068</v>
      </c>
      <c r="C574" t="str">
        <v>Редакция №1</v>
      </c>
      <c r="D574" t="str">
        <v>Твердый переплет</v>
      </c>
      <c r="E574" t="str">
        <v>B2B</v>
      </c>
    </row>
    <row r="575" spans="1:5" x14ac:dyDescent="0.55000000000000004">
      <c r="A575" t="str">
        <v>«Уловка-22» — Джозеф Хеллер</v>
      </c>
      <c r="B575" s="9">
        <v>44073</v>
      </c>
      <c r="C575" t="str">
        <v>Редакция №2</v>
      </c>
      <c r="D575" t="str">
        <v>Мягкая обложка</v>
      </c>
      <c r="E575" t="str">
        <v>Дистрибуция</v>
      </c>
    </row>
    <row r="576" spans="1:5" x14ac:dyDescent="0.55000000000000004">
      <c r="A576" t="str">
        <v>«Уловка-22» — Джозеф Хеллер</v>
      </c>
      <c r="B576" s="9">
        <v>44073</v>
      </c>
      <c r="C576" t="str">
        <v>Редакция №2</v>
      </c>
      <c r="D576" t="str">
        <v>Мягкая обложка</v>
      </c>
      <c r="E576" t="str">
        <v>Интернет-магазин</v>
      </c>
    </row>
    <row r="577" spans="1:5" x14ac:dyDescent="0.55000000000000004">
      <c r="A577" t="str">
        <v>«Уловка-22» — Джозеф Хеллер</v>
      </c>
      <c r="B577" s="9">
        <v>44073</v>
      </c>
      <c r="C577" t="str">
        <v>Редакция №2</v>
      </c>
      <c r="D577" t="str">
        <v>Мягкая обложка</v>
      </c>
      <c r="E577" t="str">
        <v>B2B</v>
      </c>
    </row>
    <row r="578" spans="1:5" x14ac:dyDescent="0.55000000000000004">
      <c r="A578" t="str">
        <v>«Убить пересмешника» — Харпер Ли</v>
      </c>
      <c r="B578" s="9">
        <v>44108</v>
      </c>
      <c r="C578" t="str">
        <v>Редакция №2</v>
      </c>
      <c r="D578" t="str">
        <v>Твердый переплет</v>
      </c>
      <c r="E578" t="str">
        <v>Дистрибуция</v>
      </c>
    </row>
    <row r="579" spans="1:5" x14ac:dyDescent="0.55000000000000004">
      <c r="A579" t="str">
        <v>«Вор времени» — Терри Пратчетт</v>
      </c>
      <c r="B579" s="9">
        <v>44108</v>
      </c>
      <c r="C579" t="str">
        <v>Редакция №1</v>
      </c>
      <c r="D579" t="str">
        <v>Мягкая обложка</v>
      </c>
      <c r="E579" t="str">
        <v>Дистрибуция</v>
      </c>
    </row>
    <row r="580" spans="1:5" x14ac:dyDescent="0.55000000000000004">
      <c r="A580" t="str">
        <v>«Убить пересмешника» — Харпер Ли</v>
      </c>
      <c r="B580" s="9">
        <v>44108</v>
      </c>
      <c r="C580" t="str">
        <v>Редакция №2</v>
      </c>
      <c r="D580" t="str">
        <v>Твердый переплет</v>
      </c>
      <c r="E580" t="str">
        <v>Интернет-магазин</v>
      </c>
    </row>
    <row r="581" spans="1:5" x14ac:dyDescent="0.55000000000000004">
      <c r="A581" t="str">
        <v>«Вор времени» — Терри Пратчетт</v>
      </c>
      <c r="B581" s="9">
        <v>44108</v>
      </c>
      <c r="C581" t="str">
        <v>Редакция №1</v>
      </c>
      <c r="D581" t="str">
        <v>Мягкая обложка</v>
      </c>
      <c r="E581" t="str">
        <v>Интернет-магазин</v>
      </c>
    </row>
    <row r="582" spans="1:5" x14ac:dyDescent="0.55000000000000004">
      <c r="A582" t="str">
        <v>«Убить пересмешника» — Харпер Ли</v>
      </c>
      <c r="B582" s="9">
        <v>44108</v>
      </c>
      <c r="C582" t="str">
        <v>Редакция №2</v>
      </c>
      <c r="D582" t="str">
        <v>Твердый переплет</v>
      </c>
      <c r="E582" t="str">
        <v>B2B</v>
      </c>
    </row>
    <row r="583" spans="1:5" x14ac:dyDescent="0.55000000000000004">
      <c r="A583" t="str">
        <v>«Вор времени» — Терри Пратчетт</v>
      </c>
      <c r="B583" s="9">
        <v>44108</v>
      </c>
      <c r="C583" t="str">
        <v>Редакция №1</v>
      </c>
      <c r="D583" t="str">
        <v>Мягкая обложка</v>
      </c>
      <c r="E583" t="str">
        <v>B2B</v>
      </c>
    </row>
    <row r="584" spans="1:5" x14ac:dyDescent="0.55000000000000004">
      <c r="A584" t="str">
        <v>«Маленькие женщины» — Луиза Мэй Олкотт</v>
      </c>
      <c r="B584" s="9">
        <v>44110</v>
      </c>
      <c r="C584" t="str">
        <v>Редакция №2</v>
      </c>
      <c r="D584" t="str">
        <v>Покетбук</v>
      </c>
      <c r="E584" t="str">
        <v>Дистрибуция</v>
      </c>
    </row>
    <row r="585" spans="1:5" x14ac:dyDescent="0.55000000000000004">
      <c r="A585" t="str">
        <v>«Маленькие женщины» — Луиза Мэй Олкотт</v>
      </c>
      <c r="B585" s="9">
        <v>44110</v>
      </c>
      <c r="C585" t="str">
        <v>Редакция №2</v>
      </c>
      <c r="D585" t="str">
        <v>Покетбук</v>
      </c>
      <c r="E585" t="str">
        <v>Интернет-магазин</v>
      </c>
    </row>
    <row r="586" spans="1:5" x14ac:dyDescent="0.55000000000000004">
      <c r="A586" t="str">
        <v>«Маленькие женщины» — Луиза Мэй Олкотт</v>
      </c>
      <c r="B586" s="9">
        <v>44110</v>
      </c>
      <c r="C586" t="str">
        <v>Редакция №2</v>
      </c>
      <c r="D586" t="str">
        <v>Покетбук</v>
      </c>
      <c r="E586" t="str">
        <v>B2B</v>
      </c>
    </row>
    <row r="587" spans="1:5" x14ac:dyDescent="0.55000000000000004">
      <c r="A587" t="str">
        <v>«Ведьмы за границей» — Терри Пратчетт</v>
      </c>
      <c r="B587" s="9">
        <v>44131</v>
      </c>
      <c r="C587" t="str">
        <v>Редакция №2</v>
      </c>
      <c r="D587" t="str">
        <v>Покетбук</v>
      </c>
      <c r="E587" t="str">
        <v>Дистрибуция</v>
      </c>
    </row>
    <row r="588" spans="1:5" x14ac:dyDescent="0.55000000000000004">
      <c r="A588" t="str">
        <v>«Ведьмы за границей» — Терри Пратчетт</v>
      </c>
      <c r="B588" s="9">
        <v>44131</v>
      </c>
      <c r="C588" t="str">
        <v>Редакция №2</v>
      </c>
      <c r="D588" t="str">
        <v>Покетбук</v>
      </c>
      <c r="E588" t="str">
        <v>Интернет-магазин</v>
      </c>
    </row>
    <row r="589" spans="1:5" x14ac:dyDescent="0.55000000000000004">
      <c r="A589" t="str">
        <v>«Ведьмы за границей» — Терри Пратчетт</v>
      </c>
      <c r="B589" s="9">
        <v>44131</v>
      </c>
      <c r="C589" t="str">
        <v>Редакция №2</v>
      </c>
      <c r="D589" t="str">
        <v>Покетбук</v>
      </c>
      <c r="E589" t="str">
        <v>B2B</v>
      </c>
    </row>
    <row r="590" spans="1:5" x14ac:dyDescent="0.55000000000000004">
      <c r="A590" t="str">
        <v>«Серебряный меч» — Ян Серрэйлер</v>
      </c>
      <c r="B590" s="9">
        <v>44139</v>
      </c>
      <c r="C590" t="str">
        <v>Редакция №2</v>
      </c>
      <c r="D590" t="str">
        <v>Твердый переплет</v>
      </c>
      <c r="E590" t="str">
        <v>Дистрибуция</v>
      </c>
    </row>
    <row r="591" spans="1:5" x14ac:dyDescent="0.55000000000000004">
      <c r="A591" t="str">
        <v>«Серебряный меч» — Ян Серрэйлер</v>
      </c>
      <c r="B591" s="9">
        <v>44139</v>
      </c>
      <c r="C591" t="str">
        <v>Редакция №2</v>
      </c>
      <c r="D591" t="str">
        <v>Твердый переплет</v>
      </c>
      <c r="E591" t="str">
        <v>Интернет-магазин</v>
      </c>
    </row>
    <row r="592" spans="1:5" x14ac:dyDescent="0.55000000000000004">
      <c r="A592" t="str">
        <v>«Серебряный меч» — Ян Серрэйлер</v>
      </c>
      <c r="B592" s="9">
        <v>44139</v>
      </c>
      <c r="C592" t="str">
        <v>Редакция №2</v>
      </c>
      <c r="D592" t="str">
        <v>Твердый переплет</v>
      </c>
      <c r="E592" t="str">
        <v>B2B</v>
      </c>
    </row>
    <row r="593" spans="1:5" x14ac:dyDescent="0.55000000000000004">
      <c r="A593" t="str">
        <v>«Город как Элис» — Невил Шют</v>
      </c>
      <c r="B593" s="9">
        <v>44147</v>
      </c>
      <c r="C593" t="str">
        <v>Редакция №1</v>
      </c>
      <c r="D593" t="str">
        <v>Мягкая обложка</v>
      </c>
      <c r="E593" t="str">
        <v>Дистрибуция</v>
      </c>
    </row>
    <row r="594" spans="1:5" x14ac:dyDescent="0.55000000000000004">
      <c r="A594" t="str">
        <v>«Город как Элис» — Невил Шют</v>
      </c>
      <c r="B594" s="9">
        <v>44147</v>
      </c>
      <c r="C594" t="str">
        <v>Редакция №1</v>
      </c>
      <c r="D594" t="str">
        <v>Мягкая обложка</v>
      </c>
      <c r="E594" t="str">
        <v>Интернет-магазин</v>
      </c>
    </row>
    <row r="595" spans="1:5" x14ac:dyDescent="0.55000000000000004">
      <c r="A595" t="str">
        <v>«Город как Элис» — Невил Шют</v>
      </c>
      <c r="B595" s="9">
        <v>44147</v>
      </c>
      <c r="C595" t="str">
        <v>Редакция №1</v>
      </c>
      <c r="D595" t="str">
        <v>Мягкая обложка</v>
      </c>
      <c r="E595" t="str">
        <v>B2B</v>
      </c>
    </row>
    <row r="596" spans="1:5" x14ac:dyDescent="0.55000000000000004">
      <c r="A596" t="str">
        <v>«Дневник незначительного лица» — Джордж и Уидон Гроссмит</v>
      </c>
      <c r="B596" s="9">
        <v>44148</v>
      </c>
      <c r="C596" t="str">
        <v>Редакция №2</v>
      </c>
      <c r="D596" t="str">
        <v>Покетбук</v>
      </c>
      <c r="E596" t="str">
        <v>Дистрибуция</v>
      </c>
    </row>
    <row r="597" spans="1:5" x14ac:dyDescent="0.55000000000000004">
      <c r="A597" t="str">
        <v>«Дневник незначительного лица» — Джордж и Уидон Гроссмит</v>
      </c>
      <c r="B597" s="9">
        <v>44148</v>
      </c>
      <c r="C597" t="str">
        <v>Редакция №2</v>
      </c>
      <c r="D597" t="str">
        <v>Покетбук</v>
      </c>
      <c r="E597" t="str">
        <v>Интернет-магазин</v>
      </c>
    </row>
    <row r="598" spans="1:5" x14ac:dyDescent="0.55000000000000004">
      <c r="A598" t="str">
        <v>«Дневник незначительного лица» — Джордж и Уидон Гроссмит</v>
      </c>
      <c r="B598" s="9">
        <v>44148</v>
      </c>
      <c r="C598" t="str">
        <v>Редакция №2</v>
      </c>
      <c r="D598" t="str">
        <v>Покетбук</v>
      </c>
      <c r="E598" t="str">
        <v>B2B</v>
      </c>
    </row>
    <row r="599" spans="1:5" x14ac:dyDescent="0.55000000000000004">
      <c r="A599" t="str">
        <v>«Я захватываю замок» — Доди Смит</v>
      </c>
      <c r="B599" s="9">
        <v>44155</v>
      </c>
      <c r="C599" t="str">
        <v>Редакция №2</v>
      </c>
      <c r="D599" t="str">
        <v>Мягкая обложка</v>
      </c>
      <c r="E599" t="str">
        <v>Дистрибуция</v>
      </c>
    </row>
    <row r="600" spans="1:5" x14ac:dyDescent="0.55000000000000004">
      <c r="A600" t="str">
        <v>«Я захватываю замок» — Доди Смит</v>
      </c>
      <c r="B600" s="9">
        <v>44155</v>
      </c>
      <c r="C600" t="str">
        <v>Редакция №2</v>
      </c>
      <c r="D600" t="str">
        <v>Мягкая обложка</v>
      </c>
      <c r="E600" t="str">
        <v>Интернет-магазин</v>
      </c>
    </row>
    <row r="601" spans="1:5" x14ac:dyDescent="0.55000000000000004">
      <c r="A601" t="str">
        <v>«Я захватываю замок» — Доди Смит</v>
      </c>
      <c r="B601" s="9">
        <v>44155</v>
      </c>
      <c r="C601" t="str">
        <v>Редакция №2</v>
      </c>
      <c r="D601" t="str">
        <v>Мягкая обложка</v>
      </c>
      <c r="E601" t="str">
        <v>B2B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C6F8-849D-4BBF-B021-8B2E4E2C5773}">
  <dimension ref="B2:B87"/>
  <sheetViews>
    <sheetView topLeftCell="A4" workbookViewId="0">
      <selection activeCell="B2" sqref="B2"/>
    </sheetView>
  </sheetViews>
  <sheetFormatPr defaultRowHeight="14.4" x14ac:dyDescent="0.55000000000000004"/>
  <cols>
    <col min="2" max="2" width="33.15625" customWidth="1"/>
  </cols>
  <sheetData>
    <row r="2" spans="2:2" x14ac:dyDescent="0.55000000000000004">
      <c r="B2" t="str" cm="1">
        <f t="array" ref="B2:B87">_xlfn.SORTBY('ЧАСТОТА и топ'!A6:A91,'ЧАСТОТА и топ'!B6:B91,-1)</f>
        <v xml:space="preserve">Красноярский край   </v>
      </c>
    </row>
    <row r="3" spans="2:2" x14ac:dyDescent="0.55000000000000004">
      <c r="B3" t="str">
        <v xml:space="preserve">    Ненецкий авт.округ</v>
      </c>
    </row>
    <row r="4" spans="2:2" x14ac:dyDescent="0.55000000000000004">
      <c r="B4" t="str">
        <v xml:space="preserve">    Ямало-Ненецкий авт.округ</v>
      </c>
    </row>
    <row r="5" spans="2:2" x14ac:dyDescent="0.55000000000000004">
      <c r="B5" t="str">
        <v>Чукотский  авт.округ</v>
      </c>
    </row>
    <row r="6" spans="2:2" x14ac:dyDescent="0.55000000000000004">
      <c r="B6" t="str">
        <v>г.Москва</v>
      </c>
    </row>
    <row r="7" spans="2:2" x14ac:dyDescent="0.55000000000000004">
      <c r="B7" t="str">
        <v xml:space="preserve">Магаданская область </v>
      </c>
    </row>
    <row r="8" spans="2:2" x14ac:dyDescent="0.55000000000000004">
      <c r="B8" t="str">
        <v xml:space="preserve">Сахалинская область   </v>
      </c>
    </row>
    <row r="9" spans="2:2" x14ac:dyDescent="0.55000000000000004">
      <c r="B9" t="str">
        <v xml:space="preserve">    Ханты-Мансийский авт.округ</v>
      </c>
    </row>
    <row r="10" spans="2:2" x14ac:dyDescent="0.55000000000000004">
      <c r="B10" t="str">
        <v xml:space="preserve">Камчатский край   </v>
      </c>
    </row>
    <row r="11" spans="2:2" x14ac:dyDescent="0.55000000000000004">
      <c r="B11" t="str">
        <v>г.Санкт-Петербург</v>
      </c>
    </row>
    <row r="12" spans="2:2" x14ac:dyDescent="0.55000000000000004">
      <c r="B12" t="str">
        <v>Московская область</v>
      </c>
    </row>
    <row r="13" spans="2:2" x14ac:dyDescent="0.55000000000000004">
      <c r="B13" t="str">
        <v>Республика Саха (Якутия)</v>
      </c>
    </row>
    <row r="14" spans="2:2" x14ac:dyDescent="0.55000000000000004">
      <c r="B14" t="str">
        <v xml:space="preserve">Хабаровский край </v>
      </c>
    </row>
    <row r="15" spans="2:2" x14ac:dyDescent="0.55000000000000004">
      <c r="B15" t="str">
        <v xml:space="preserve">Мурманская область   </v>
      </c>
    </row>
    <row r="16" spans="2:2" x14ac:dyDescent="0.55000000000000004">
      <c r="B16" t="str">
        <v>Свердловская область</v>
      </c>
    </row>
    <row r="17" spans="2:2" x14ac:dyDescent="0.55000000000000004">
      <c r="B17" t="str">
        <v>Приморский край</v>
      </c>
    </row>
    <row r="18" spans="2:2" x14ac:dyDescent="0.55000000000000004">
      <c r="B18" t="str">
        <v>Краснодарский край</v>
      </c>
    </row>
    <row r="19" spans="2:2" x14ac:dyDescent="0.55000000000000004">
      <c r="B19" t="str">
        <v xml:space="preserve">Архангельская область </v>
      </c>
    </row>
    <row r="20" spans="2:2" x14ac:dyDescent="0.55000000000000004">
      <c r="B20" t="str">
        <v>Республика Татарстан</v>
      </c>
    </row>
    <row r="21" spans="2:2" x14ac:dyDescent="0.55000000000000004">
      <c r="B21" t="str">
        <v>Республика Коми</v>
      </c>
    </row>
    <row r="22" spans="2:2" x14ac:dyDescent="0.55000000000000004">
      <c r="B22" t="str">
        <v xml:space="preserve">Архангельская область (без НАО)  </v>
      </c>
    </row>
    <row r="23" spans="2:2" x14ac:dyDescent="0.55000000000000004">
      <c r="B23" t="str">
        <v>Амурская область</v>
      </c>
    </row>
    <row r="24" spans="2:2" x14ac:dyDescent="0.55000000000000004">
      <c r="B24" t="str">
        <v xml:space="preserve">Нижегородская область </v>
      </c>
    </row>
    <row r="25" spans="2:2" x14ac:dyDescent="0.55000000000000004">
      <c r="B25" t="str">
        <v xml:space="preserve">Белгородская область  </v>
      </c>
    </row>
    <row r="26" spans="2:2" x14ac:dyDescent="0.55000000000000004">
      <c r="B26" t="str">
        <v>Воронежская область</v>
      </c>
    </row>
    <row r="27" spans="2:2" x14ac:dyDescent="0.55000000000000004">
      <c r="B27" t="str">
        <v>Липецкая область</v>
      </c>
    </row>
    <row r="28" spans="2:2" x14ac:dyDescent="0.55000000000000004">
      <c r="B28" t="str">
        <v xml:space="preserve">Ленинградская область </v>
      </c>
    </row>
    <row r="29" spans="2:2" x14ac:dyDescent="0.55000000000000004">
      <c r="B29" t="str">
        <v>Тюменская область (без авт.округов)</v>
      </c>
    </row>
    <row r="30" spans="2:2" x14ac:dyDescent="0.55000000000000004">
      <c r="B30" t="str">
        <v xml:space="preserve">Ростовская область </v>
      </c>
    </row>
    <row r="31" spans="2:2" x14ac:dyDescent="0.55000000000000004">
      <c r="B31" t="str">
        <v xml:space="preserve">Пермский край </v>
      </c>
    </row>
    <row r="32" spans="2:2" x14ac:dyDescent="0.55000000000000004">
      <c r="B32" t="str">
        <v>Республика Башкортостан</v>
      </c>
    </row>
    <row r="33" spans="2:2" x14ac:dyDescent="0.55000000000000004">
      <c r="B33" t="str">
        <v>Калужская область</v>
      </c>
    </row>
    <row r="34" spans="2:2" x14ac:dyDescent="0.55000000000000004">
      <c r="B34" t="str">
        <v>Республика Карелия</v>
      </c>
    </row>
    <row r="35" spans="2:2" x14ac:dyDescent="0.55000000000000004">
      <c r="B35" t="str">
        <v>Тульская область</v>
      </c>
    </row>
    <row r="36" spans="2:2" x14ac:dyDescent="0.55000000000000004">
      <c r="B36" t="str">
        <v>Самарская область</v>
      </c>
    </row>
    <row r="37" spans="2:2" x14ac:dyDescent="0.55000000000000004">
      <c r="B37" t="str">
        <v xml:space="preserve">Брянская область </v>
      </c>
    </row>
    <row r="38" spans="2:2" x14ac:dyDescent="0.55000000000000004">
      <c r="B38" t="str">
        <v>Калининградская область</v>
      </c>
    </row>
    <row r="39" spans="2:2" x14ac:dyDescent="0.55000000000000004">
      <c r="B39" t="str">
        <v>Курская область</v>
      </c>
    </row>
    <row r="40" spans="2:2" x14ac:dyDescent="0.55000000000000004">
      <c r="B40" t="str">
        <v xml:space="preserve">Республика Адыгея  </v>
      </c>
    </row>
    <row r="41" spans="2:2" x14ac:dyDescent="0.55000000000000004">
      <c r="B41" t="str">
        <v>Вологодская область</v>
      </c>
    </row>
    <row r="42" spans="2:2" x14ac:dyDescent="0.55000000000000004">
      <c r="B42" t="str">
        <v xml:space="preserve">Ярославская область   </v>
      </c>
    </row>
    <row r="43" spans="2:2" x14ac:dyDescent="0.55000000000000004">
      <c r="B43" t="str">
        <v>Томская область</v>
      </c>
    </row>
    <row r="44" spans="2:2" x14ac:dyDescent="0.55000000000000004">
      <c r="B44" t="str">
        <v xml:space="preserve">Тамбовская область </v>
      </c>
    </row>
    <row r="45" spans="2:2" x14ac:dyDescent="0.55000000000000004">
      <c r="B45" t="str">
        <v>г.Севастополь</v>
      </c>
    </row>
    <row r="46" spans="2:2" x14ac:dyDescent="0.55000000000000004">
      <c r="B46" t="str">
        <v>Смоленская область</v>
      </c>
    </row>
    <row r="47" spans="2:2" x14ac:dyDescent="0.55000000000000004">
      <c r="B47" t="str">
        <v>Рязанская область</v>
      </c>
    </row>
    <row r="48" spans="2:2" x14ac:dyDescent="0.55000000000000004">
      <c r="B48" t="str">
        <v>Тверская область</v>
      </c>
    </row>
    <row r="49" spans="2:2" x14ac:dyDescent="0.55000000000000004">
      <c r="B49" t="str">
        <v>Новосибирская область</v>
      </c>
    </row>
    <row r="50" spans="2:2" x14ac:dyDescent="0.55000000000000004">
      <c r="B50" t="str">
        <v>Омская область</v>
      </c>
    </row>
    <row r="51" spans="2:2" x14ac:dyDescent="0.55000000000000004">
      <c r="B51" t="str">
        <v>Новгородская область</v>
      </c>
    </row>
    <row r="52" spans="2:2" x14ac:dyDescent="0.55000000000000004">
      <c r="B52" t="str">
        <v>Республика Дагестан</v>
      </c>
    </row>
    <row r="53" spans="2:2" x14ac:dyDescent="0.55000000000000004">
      <c r="B53" t="str">
        <v>Республика Бурятия</v>
      </c>
    </row>
    <row r="54" spans="2:2" x14ac:dyDescent="0.55000000000000004">
      <c r="B54" t="str">
        <v>Орловская область</v>
      </c>
    </row>
    <row r="55" spans="2:2" x14ac:dyDescent="0.55000000000000004">
      <c r="B55" t="str">
        <v>Удмуртская Республика</v>
      </c>
    </row>
    <row r="56" spans="2:2" x14ac:dyDescent="0.55000000000000004">
      <c r="B56" t="str">
        <v>Ивановская область</v>
      </c>
    </row>
    <row r="57" spans="2:2" x14ac:dyDescent="0.55000000000000004">
      <c r="B57" t="str">
        <v>Забайкальский край</v>
      </c>
    </row>
    <row r="58" spans="2:2" x14ac:dyDescent="0.55000000000000004">
      <c r="B58" t="str">
        <v>Ставропольский край</v>
      </c>
    </row>
    <row r="59" spans="2:2" x14ac:dyDescent="0.55000000000000004">
      <c r="B59" t="str">
        <v>Владимирская область</v>
      </c>
    </row>
    <row r="60" spans="2:2" x14ac:dyDescent="0.55000000000000004">
      <c r="B60" t="str">
        <v>Оренбургская область</v>
      </c>
    </row>
    <row r="61" spans="2:2" x14ac:dyDescent="0.55000000000000004">
      <c r="B61" t="str">
        <v>Челябинская область</v>
      </c>
    </row>
    <row r="62" spans="2:2" x14ac:dyDescent="0.55000000000000004">
      <c r="B62" t="str">
        <v>Еврейская  авт.область</v>
      </c>
    </row>
    <row r="63" spans="2:2" x14ac:dyDescent="0.55000000000000004">
      <c r="B63" t="str">
        <v xml:space="preserve">Псковская область   </v>
      </c>
    </row>
    <row r="64" spans="2:2" x14ac:dyDescent="0.55000000000000004">
      <c r="B64" t="str">
        <v xml:space="preserve">Костромская область </v>
      </c>
    </row>
    <row r="65" spans="2:2" x14ac:dyDescent="0.55000000000000004">
      <c r="B65" t="str">
        <v>Астраханская область</v>
      </c>
    </row>
    <row r="66" spans="2:2" x14ac:dyDescent="0.55000000000000004">
      <c r="B66" t="str">
        <v>Ульяновская область</v>
      </c>
    </row>
    <row r="67" spans="2:2" x14ac:dyDescent="0.55000000000000004">
      <c r="B67" t="str">
        <v>Республика  Северная Осетия - Алания</v>
      </c>
    </row>
    <row r="68" spans="2:2" x14ac:dyDescent="0.55000000000000004">
      <c r="B68" t="str">
        <v>Иркутская область</v>
      </c>
    </row>
    <row r="69" spans="2:2" x14ac:dyDescent="0.55000000000000004">
      <c r="B69" t="str">
        <v>Чеченская Республика</v>
      </c>
    </row>
    <row r="70" spans="2:2" x14ac:dyDescent="0.55000000000000004">
      <c r="B70" t="str">
        <v>Республика Крым</v>
      </c>
    </row>
    <row r="71" spans="2:2" x14ac:dyDescent="0.55000000000000004">
      <c r="B71" t="str">
        <v>Алтайский край</v>
      </c>
    </row>
    <row r="72" spans="2:2" x14ac:dyDescent="0.55000000000000004">
      <c r="B72" t="str">
        <v>Волгоградская область</v>
      </c>
    </row>
    <row r="73" spans="2:2" x14ac:dyDescent="0.55000000000000004">
      <c r="B73" t="str">
        <v>Кемеровская область</v>
      </c>
    </row>
    <row r="74" spans="2:2" x14ac:dyDescent="0.55000000000000004">
      <c r="B74" t="str">
        <v>Кировская область</v>
      </c>
    </row>
    <row r="75" spans="2:2" x14ac:dyDescent="0.55000000000000004">
      <c r="B75" t="str">
        <v>Республика Хакасия</v>
      </c>
    </row>
    <row r="76" spans="2:2" x14ac:dyDescent="0.55000000000000004">
      <c r="B76" t="str">
        <v xml:space="preserve">Пензенская область </v>
      </c>
    </row>
    <row r="77" spans="2:2" x14ac:dyDescent="0.55000000000000004">
      <c r="B77" t="str">
        <v>Кабардино-Балкарская  Республика</v>
      </c>
    </row>
    <row r="78" spans="2:2" x14ac:dyDescent="0.55000000000000004">
      <c r="B78" t="str">
        <v>Курганская область</v>
      </c>
    </row>
    <row r="79" spans="2:2" x14ac:dyDescent="0.55000000000000004">
      <c r="B79" t="str">
        <v>Саратовская область</v>
      </c>
    </row>
    <row r="80" spans="2:2" x14ac:dyDescent="0.55000000000000004">
      <c r="B80" t="str">
        <v>Республика Алтай</v>
      </c>
    </row>
    <row r="81" spans="2:2" x14ac:dyDescent="0.55000000000000004">
      <c r="B81" t="str">
        <v xml:space="preserve">Республика Марий Эл  </v>
      </c>
    </row>
    <row r="82" spans="2:2" x14ac:dyDescent="0.55000000000000004">
      <c r="B82" t="str">
        <v xml:space="preserve">Чувашская Республика </v>
      </c>
    </row>
    <row r="83" spans="2:2" x14ac:dyDescent="0.55000000000000004">
      <c r="B83" t="str">
        <v>Республика Мордовия</v>
      </c>
    </row>
    <row r="84" spans="2:2" x14ac:dyDescent="0.55000000000000004">
      <c r="B84" t="str">
        <v>Карачаево-Черкесская  Республика</v>
      </c>
    </row>
    <row r="85" spans="2:2" x14ac:dyDescent="0.55000000000000004">
      <c r="B85" t="str">
        <v>Республика Калмыкия</v>
      </c>
    </row>
    <row r="86" spans="2:2" x14ac:dyDescent="0.55000000000000004">
      <c r="B86" t="str">
        <v>Республика Ингушетия</v>
      </c>
    </row>
    <row r="87" spans="2:2" x14ac:dyDescent="0.55000000000000004">
      <c r="B87" t="str">
        <v>Республика Тыва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3C73-8EFC-4DA9-A414-7CE395760E74}">
  <dimension ref="B1:H416"/>
  <sheetViews>
    <sheetView tabSelected="1" workbookViewId="0">
      <selection activeCell="C2" sqref="C2"/>
    </sheetView>
  </sheetViews>
  <sheetFormatPr defaultRowHeight="14.4" x14ac:dyDescent="0.55000000000000004"/>
  <cols>
    <col min="2" max="2" width="54.578125" bestFit="1" customWidth="1"/>
    <col min="3" max="3" width="18.68359375" bestFit="1" customWidth="1"/>
    <col min="4" max="4" width="12.05078125" bestFit="1" customWidth="1"/>
    <col min="5" max="5" width="16.05078125" bestFit="1" customWidth="1"/>
    <col min="6" max="6" width="15.89453125" bestFit="1" customWidth="1"/>
    <col min="7" max="7" width="21.20703125" bestFit="1" customWidth="1"/>
    <col min="8" max="8" width="20.3125" bestFit="1" customWidth="1"/>
  </cols>
  <sheetData>
    <row r="1" spans="2:8" x14ac:dyDescent="0.55000000000000004"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</row>
    <row r="2" spans="2:8" x14ac:dyDescent="0.55000000000000004">
      <c r="B2" t="str" cm="1">
        <f t="array" ref="B2:H415">_xlfn._xlws.SORT(_xlfn._xlws.FILTER('1С'!B2:H601,'1С'!G2:G601&gt;20),6,1)</f>
        <v>«Властелин колец» — Джон Р. Р. Толкин</v>
      </c>
      <c r="C2" s="9">
        <v>42484</v>
      </c>
      <c r="D2" t="str">
        <v>Редакция №1</v>
      </c>
      <c r="E2" t="str">
        <v>Мягкая обложка</v>
      </c>
      <c r="F2" t="str">
        <v>Интернет-магазин</v>
      </c>
      <c r="G2">
        <v>21</v>
      </c>
      <c r="H2">
        <v>10563</v>
      </c>
    </row>
    <row r="3" spans="2:8" x14ac:dyDescent="0.55000000000000004">
      <c r="B3" t="str">
        <v>«Остров сокровищ» — Роберт Стивенсон</v>
      </c>
      <c r="C3" s="9">
        <v>42503</v>
      </c>
      <c r="D3" t="str">
        <v>Редакция №2</v>
      </c>
      <c r="E3" t="str">
        <v>Покетбук</v>
      </c>
      <c r="F3" t="str">
        <v>Интернет-магазин</v>
      </c>
      <c r="G3">
        <v>21</v>
      </c>
      <c r="H3">
        <v>10542</v>
      </c>
    </row>
    <row r="4" spans="2:8" x14ac:dyDescent="0.55000000000000004">
      <c r="B4" t="str">
        <v>«Мелкие боги» — Терри Пратчетт</v>
      </c>
      <c r="C4" s="9">
        <v>43796</v>
      </c>
      <c r="D4" t="str">
        <v>Редакция №1</v>
      </c>
      <c r="E4" t="str">
        <v>Покетбук</v>
      </c>
      <c r="F4" t="str">
        <v>Интернет-магазин</v>
      </c>
      <c r="G4">
        <v>21</v>
      </c>
      <c r="H4">
        <v>10920</v>
      </c>
    </row>
    <row r="5" spans="2:8" x14ac:dyDescent="0.55000000000000004">
      <c r="B5" t="str">
        <v>«Подходящий жених» — Викрам Сет</v>
      </c>
      <c r="C5" s="9">
        <v>43919</v>
      </c>
      <c r="D5" t="str">
        <v>Редакция №1</v>
      </c>
      <c r="E5" t="str">
        <v>Твердый переплет</v>
      </c>
      <c r="F5" t="str">
        <v>B2B</v>
      </c>
      <c r="G5">
        <v>21</v>
      </c>
      <c r="H5">
        <v>13650</v>
      </c>
    </row>
    <row r="6" spans="2:8" x14ac:dyDescent="0.55000000000000004">
      <c r="B6" t="str">
        <v>«Алхимик» — Пауло Коэльо</v>
      </c>
      <c r="C6" s="9">
        <v>42865</v>
      </c>
      <c r="D6" t="str">
        <v>Редакция №2</v>
      </c>
      <c r="E6" t="str">
        <v>Мягкая обложка</v>
      </c>
      <c r="F6" t="str">
        <v>B2B</v>
      </c>
      <c r="G6">
        <v>21</v>
      </c>
      <c r="H6">
        <v>9744</v>
      </c>
    </row>
    <row r="7" spans="2:8" x14ac:dyDescent="0.55000000000000004">
      <c r="B7" t="str">
        <v>«Плохие девчонки» — Жаклин Уилсон</v>
      </c>
      <c r="C7" s="9">
        <v>43538</v>
      </c>
      <c r="D7" t="str">
        <v>Редакция №2</v>
      </c>
      <c r="E7" t="str">
        <v>Мягкая обложка</v>
      </c>
      <c r="F7" t="str">
        <v>B2B</v>
      </c>
      <c r="G7">
        <v>21</v>
      </c>
      <c r="H7">
        <v>10311</v>
      </c>
    </row>
    <row r="8" spans="2:8" x14ac:dyDescent="0.55000000000000004">
      <c r="B8" t="str">
        <v>«День триффидов» — Джон Уиндем</v>
      </c>
      <c r="C8" s="9">
        <v>42182</v>
      </c>
      <c r="D8" t="str">
        <v>Редакция №1</v>
      </c>
      <c r="E8" t="str">
        <v>Мягкая обложка</v>
      </c>
      <c r="F8" t="str">
        <v>B2B</v>
      </c>
      <c r="G8">
        <v>21</v>
      </c>
      <c r="H8">
        <v>13482</v>
      </c>
    </row>
    <row r="9" spans="2:8" x14ac:dyDescent="0.55000000000000004">
      <c r="B9" t="str">
        <v>«Город как Элис» — Невил Шют</v>
      </c>
      <c r="C9" s="9">
        <v>44147</v>
      </c>
      <c r="D9" t="str">
        <v>Редакция №1</v>
      </c>
      <c r="E9" t="str">
        <v>Мягкая обложка</v>
      </c>
      <c r="F9" t="str">
        <v>Интернет-магазин</v>
      </c>
      <c r="G9">
        <v>22</v>
      </c>
      <c r="H9">
        <v>10758</v>
      </c>
    </row>
    <row r="10" spans="2:8" x14ac:dyDescent="0.55000000000000004">
      <c r="B10" t="str">
        <v>«Дети полуночи» — Салман Рушди</v>
      </c>
      <c r="C10" s="9">
        <v>43667</v>
      </c>
      <c r="D10" t="str">
        <v>Редакция №2</v>
      </c>
      <c r="E10" t="str">
        <v>Мягкая обложка</v>
      </c>
      <c r="F10" t="str">
        <v>Интернет-магазин</v>
      </c>
      <c r="G10">
        <v>22</v>
      </c>
      <c r="H10">
        <v>9790</v>
      </c>
    </row>
    <row r="11" spans="2:8" x14ac:dyDescent="0.55000000000000004">
      <c r="B11" t="str">
        <v>«Анна Каренина» — Лев Толстой</v>
      </c>
      <c r="C11" s="9">
        <v>43777</v>
      </c>
      <c r="D11" t="str">
        <v>Редакция №2</v>
      </c>
      <c r="E11" t="str">
        <v>Покетбук</v>
      </c>
      <c r="F11" t="str">
        <v>B2B</v>
      </c>
      <c r="G11">
        <v>22</v>
      </c>
      <c r="H11">
        <v>11066</v>
      </c>
    </row>
    <row r="12" spans="2:8" x14ac:dyDescent="0.55000000000000004">
      <c r="B12" t="str">
        <v>«Жестокое море» — Николас Монсаррат</v>
      </c>
      <c r="C12" s="9">
        <v>43879</v>
      </c>
      <c r="D12" t="str">
        <v>Редакция №2</v>
      </c>
      <c r="E12" t="str">
        <v>Твердый переплет</v>
      </c>
      <c r="F12" t="str">
        <v>B2B</v>
      </c>
      <c r="G12">
        <v>22</v>
      </c>
      <c r="H12">
        <v>10164</v>
      </c>
    </row>
    <row r="13" spans="2:8" x14ac:dyDescent="0.55000000000000004">
      <c r="B13" t="str">
        <v>«Портрет Дориана Грея» — Оскар Уайльд</v>
      </c>
      <c r="C13" s="9">
        <v>42005</v>
      </c>
      <c r="D13" t="str">
        <v>Редакция №1</v>
      </c>
      <c r="E13" t="str">
        <v>Покетбук</v>
      </c>
      <c r="F13" t="str">
        <v>B2B</v>
      </c>
      <c r="G13">
        <v>22</v>
      </c>
      <c r="H13">
        <v>10208</v>
      </c>
    </row>
    <row r="14" spans="2:8" x14ac:dyDescent="0.55000000000000004">
      <c r="B14" t="str">
        <v>«Лечение Джорджа Марвелуса» — Роальд Даль</v>
      </c>
      <c r="C14" s="9">
        <v>43639</v>
      </c>
      <c r="D14" t="str">
        <v>Редакция №1</v>
      </c>
      <c r="E14" t="str">
        <v>Твердый переплет</v>
      </c>
      <c r="F14" t="str">
        <v>B2B</v>
      </c>
      <c r="G14">
        <v>22</v>
      </c>
      <c r="H14">
        <v>11374</v>
      </c>
    </row>
    <row r="15" spans="2:8" x14ac:dyDescent="0.55000000000000004">
      <c r="B15" t="str">
        <v>«Ким» — Редьярд Киплинг</v>
      </c>
      <c r="C15" s="9">
        <v>43767</v>
      </c>
      <c r="D15" t="str">
        <v>Редакция №2</v>
      </c>
      <c r="E15" t="str">
        <v>Мягкая обложка</v>
      </c>
      <c r="F15" t="str">
        <v>B2B</v>
      </c>
      <c r="G15">
        <v>22</v>
      </c>
      <c r="H15">
        <v>11198</v>
      </c>
    </row>
    <row r="16" spans="2:8" x14ac:dyDescent="0.55000000000000004">
      <c r="B16" t="str">
        <v>«На игле» — Ирвин Уэлш</v>
      </c>
      <c r="C16" s="9">
        <v>42254</v>
      </c>
      <c r="D16" t="str">
        <v>Редакция №1</v>
      </c>
      <c r="E16" t="str">
        <v>Твердый переплет</v>
      </c>
      <c r="F16" t="str">
        <v>B2B</v>
      </c>
      <c r="G16">
        <v>22</v>
      </c>
      <c r="H16">
        <v>10450</v>
      </c>
    </row>
    <row r="17" spans="2:8" x14ac:dyDescent="0.55000000000000004">
      <c r="B17" t="str">
        <v>«Сёгун» — Джеймс Клавелл</v>
      </c>
      <c r="C17" s="9">
        <v>42093</v>
      </c>
      <c r="D17" t="str">
        <v>Редакция №2</v>
      </c>
      <c r="E17" t="str">
        <v>Твердый переплет</v>
      </c>
      <c r="F17" t="str">
        <v>Интернет-магазин</v>
      </c>
      <c r="G17">
        <v>23</v>
      </c>
      <c r="H17">
        <v>11385</v>
      </c>
    </row>
    <row r="18" spans="2:8" x14ac:dyDescent="0.55000000000000004">
      <c r="B18" t="str">
        <v>«Дом из листьев» — Марк Данилевски</v>
      </c>
      <c r="C18" s="9">
        <v>44005</v>
      </c>
      <c r="D18" t="str">
        <v>Редакция №1</v>
      </c>
      <c r="E18" t="str">
        <v>Твердый переплет</v>
      </c>
      <c r="F18" t="str">
        <v>Интернет-магазин</v>
      </c>
      <c r="G18">
        <v>23</v>
      </c>
      <c r="H18">
        <v>10810</v>
      </c>
    </row>
    <row r="19" spans="2:8" x14ac:dyDescent="0.55000000000000004">
      <c r="B19" t="str">
        <v>«Семейство Твит» — Роальд Даль</v>
      </c>
      <c r="C19" s="9">
        <v>43005</v>
      </c>
      <c r="D19" t="str">
        <v>Редакция №2</v>
      </c>
      <c r="E19" t="str">
        <v>Покетбук</v>
      </c>
      <c r="F19" t="str">
        <v>B2B</v>
      </c>
      <c r="G19">
        <v>23</v>
      </c>
      <c r="H19">
        <v>12742</v>
      </c>
    </row>
    <row r="20" spans="2:8" x14ac:dyDescent="0.55000000000000004">
      <c r="B20" t="str">
        <v>«Пение птиц» — Себастьян Фолкс</v>
      </c>
      <c r="C20" s="9">
        <v>42229</v>
      </c>
      <c r="D20" t="str">
        <v>Редакция №1</v>
      </c>
      <c r="E20" t="str">
        <v>Твердый переплет</v>
      </c>
      <c r="F20" t="str">
        <v>Интернет-магазин</v>
      </c>
      <c r="G20">
        <v>24</v>
      </c>
      <c r="H20">
        <v>9720</v>
      </c>
    </row>
    <row r="21" spans="2:8" x14ac:dyDescent="0.55000000000000004">
      <c r="B21" t="str">
        <v>«Ветер в ивах» — Кеннет Грэм</v>
      </c>
      <c r="C21" s="9">
        <v>42700</v>
      </c>
      <c r="D21" t="str">
        <v>Редакция №1</v>
      </c>
      <c r="E21" t="str">
        <v>Мягкая обложка</v>
      </c>
      <c r="F21" t="str">
        <v>Интернет-магазин</v>
      </c>
      <c r="G21">
        <v>24</v>
      </c>
      <c r="H21">
        <v>10392</v>
      </c>
    </row>
    <row r="22" spans="2:8" x14ac:dyDescent="0.55000000000000004">
      <c r="B22" t="str">
        <v>«Дневник Трейси Бикер» — Жаклин Уилсон</v>
      </c>
      <c r="C22" s="9">
        <v>43821</v>
      </c>
      <c r="D22" t="str">
        <v>Редакция №1</v>
      </c>
      <c r="E22" t="str">
        <v>Мягкая обложка</v>
      </c>
      <c r="F22" t="str">
        <v>Интернет-магазин</v>
      </c>
      <c r="G22">
        <v>24</v>
      </c>
      <c r="H22">
        <v>10320</v>
      </c>
    </row>
    <row r="23" spans="2:8" x14ac:dyDescent="0.55000000000000004">
      <c r="B23" t="str">
        <v>«Старик и море» — Эрнест Хемингуэй</v>
      </c>
      <c r="C23" s="9">
        <v>43469</v>
      </c>
      <c r="D23" t="str">
        <v>Редакция №2</v>
      </c>
      <c r="E23" t="str">
        <v>Мягкая обложка</v>
      </c>
      <c r="F23" t="str">
        <v>Интернет-магазин</v>
      </c>
      <c r="G23">
        <v>24</v>
      </c>
      <c r="H23">
        <v>10584</v>
      </c>
    </row>
    <row r="24" spans="2:8" x14ac:dyDescent="0.55000000000000004">
      <c r="B24" t="str">
        <v>«Винни Пух» — Алан Александр Милн</v>
      </c>
      <c r="C24" s="9">
        <v>42806</v>
      </c>
      <c r="D24" t="str">
        <v>Редакция №2</v>
      </c>
      <c r="E24" t="str">
        <v>Твердый переплет</v>
      </c>
      <c r="F24" t="str">
        <v>B2B</v>
      </c>
      <c r="G24">
        <v>24</v>
      </c>
      <c r="H24">
        <v>14496</v>
      </c>
    </row>
    <row r="25" spans="2:8" x14ac:dyDescent="0.55000000000000004">
      <c r="B25" t="str">
        <v>«Город как Элис» — Невил Шют</v>
      </c>
      <c r="C25" s="9">
        <v>44147</v>
      </c>
      <c r="D25" t="str">
        <v>Редакция №1</v>
      </c>
      <c r="E25" t="str">
        <v>Мягкая обложка</v>
      </c>
      <c r="F25" t="str">
        <v>B2B</v>
      </c>
      <c r="G25">
        <v>24</v>
      </c>
      <c r="H25">
        <v>12120</v>
      </c>
    </row>
    <row r="26" spans="2:8" x14ac:dyDescent="0.55000000000000004">
      <c r="B26" t="str">
        <v>«О мышах и людях» — Джон Стейнбек</v>
      </c>
      <c r="C26" s="9">
        <v>42641</v>
      </c>
      <c r="D26" t="str">
        <v>Редакция №1</v>
      </c>
      <c r="E26" t="str">
        <v>Мягкая обложка</v>
      </c>
      <c r="F26" t="str">
        <v>B2B</v>
      </c>
      <c r="G26">
        <v>24</v>
      </c>
      <c r="H26">
        <v>12552</v>
      </c>
    </row>
    <row r="27" spans="2:8" x14ac:dyDescent="0.55000000000000004">
      <c r="B27" t="str">
        <v>«Парфюмер» — Патрик Зюскинд</v>
      </c>
      <c r="C27" s="9">
        <v>42790</v>
      </c>
      <c r="D27" t="str">
        <v>Редакция №2</v>
      </c>
      <c r="E27" t="str">
        <v>Твердый переплет</v>
      </c>
      <c r="F27" t="str">
        <v>B2B</v>
      </c>
      <c r="G27">
        <v>24</v>
      </c>
      <c r="H27">
        <v>10992</v>
      </c>
    </row>
    <row r="28" spans="2:8" x14ac:dyDescent="0.55000000000000004">
      <c r="B28" t="str">
        <v>«Далёкие шатры» — Мэри Маргарет Кей</v>
      </c>
      <c r="C28" s="9">
        <v>43949</v>
      </c>
      <c r="D28" t="str">
        <v>Редакция №2</v>
      </c>
      <c r="E28" t="str">
        <v>Покетбук</v>
      </c>
      <c r="F28" t="str">
        <v>B2B</v>
      </c>
      <c r="G28">
        <v>24</v>
      </c>
      <c r="H28">
        <v>12288</v>
      </c>
    </row>
    <row r="29" spans="2:8" x14ac:dyDescent="0.55000000000000004">
      <c r="B29" t="str">
        <v>«Артемис Фаул» — Йон Колфер</v>
      </c>
      <c r="C29" s="9">
        <v>44019</v>
      </c>
      <c r="D29" t="str">
        <v>Редакция №1</v>
      </c>
      <c r="E29" t="str">
        <v>Покетбук</v>
      </c>
      <c r="F29" t="str">
        <v>Интернет-магазин</v>
      </c>
      <c r="G29">
        <v>25</v>
      </c>
      <c r="H29">
        <v>10250</v>
      </c>
    </row>
    <row r="30" spans="2:8" x14ac:dyDescent="0.55000000000000004">
      <c r="B30" t="str">
        <v>«Обитатели холмов» — Ричард Адамс</v>
      </c>
      <c r="C30" s="9">
        <v>42360</v>
      </c>
      <c r="D30" t="str">
        <v>Редакция №2</v>
      </c>
      <c r="E30" t="str">
        <v>Мягкая обложка</v>
      </c>
      <c r="F30" t="str">
        <v>B2B</v>
      </c>
      <c r="G30">
        <v>25</v>
      </c>
      <c r="H30">
        <v>13925</v>
      </c>
    </row>
    <row r="31" spans="2:8" x14ac:dyDescent="0.55000000000000004">
      <c r="B31" t="str">
        <v>«Они играли на траве» — Терри Венейблс и Гордон М</v>
      </c>
      <c r="C31" s="9">
        <v>43329</v>
      </c>
      <c r="D31" t="str">
        <v>Редакция №1</v>
      </c>
      <c r="E31" t="str">
        <v>Твердый переплет</v>
      </c>
      <c r="F31" t="str">
        <v>B2B</v>
      </c>
      <c r="G31">
        <v>25</v>
      </c>
      <c r="H31">
        <v>12025</v>
      </c>
    </row>
    <row r="32" spans="2:8" x14ac:dyDescent="0.55000000000000004">
      <c r="B32" t="str">
        <v>«Война миров» — Герберт Уэллс</v>
      </c>
      <c r="C32" s="9">
        <v>43155</v>
      </c>
      <c r="D32" t="str">
        <v>Редакция №2</v>
      </c>
      <c r="E32" t="str">
        <v>Мягкая обложка</v>
      </c>
      <c r="F32" t="str">
        <v>B2B</v>
      </c>
      <c r="G32">
        <v>25</v>
      </c>
      <c r="H32">
        <v>14200</v>
      </c>
    </row>
    <row r="33" spans="2:8" x14ac:dyDescent="0.55000000000000004">
      <c r="B33" t="str">
        <v>«Жестокое море» — Николас Монсаррат</v>
      </c>
      <c r="C33" s="9">
        <v>43879</v>
      </c>
      <c r="D33" t="str">
        <v>Редакция №2</v>
      </c>
      <c r="E33" t="str">
        <v>Твердый переплет</v>
      </c>
      <c r="F33" t="str">
        <v>Интернет-магазин</v>
      </c>
      <c r="G33">
        <v>26</v>
      </c>
      <c r="H33">
        <v>13598</v>
      </c>
    </row>
    <row r="34" spans="2:8" x14ac:dyDescent="0.55000000000000004">
      <c r="B34" t="str">
        <v>«Джеймс и гигантский персик» — Роальд Даль</v>
      </c>
      <c r="C34" s="9">
        <v>42423</v>
      </c>
      <c r="D34" t="str">
        <v>Редакция №2</v>
      </c>
      <c r="E34" t="str">
        <v>Твердый переплет</v>
      </c>
      <c r="F34" t="str">
        <v>Интернет-магазин</v>
      </c>
      <c r="G34">
        <v>26</v>
      </c>
      <c r="H34">
        <v>12974</v>
      </c>
    </row>
    <row r="35" spans="2:8" x14ac:dyDescent="0.55000000000000004">
      <c r="B35" t="str">
        <v>«Роковая музыка» — Терри Пратчетт</v>
      </c>
      <c r="C35" s="9">
        <v>42831</v>
      </c>
      <c r="D35" t="str">
        <v>Редакция №2</v>
      </c>
      <c r="E35" t="str">
        <v>Твердый переплет</v>
      </c>
      <c r="F35" t="str">
        <v>B2B</v>
      </c>
      <c r="G35">
        <v>26</v>
      </c>
      <c r="H35">
        <v>16692</v>
      </c>
    </row>
    <row r="36" spans="2:8" x14ac:dyDescent="0.55000000000000004">
      <c r="B36" t="str">
        <v>«Невыносимая лёгкость бытия» — Милан Кундера</v>
      </c>
      <c r="C36" s="9">
        <v>43492</v>
      </c>
      <c r="D36" t="str">
        <v>Редакция №2</v>
      </c>
      <c r="E36" t="str">
        <v>Твердый переплет</v>
      </c>
      <c r="F36" t="str">
        <v>B2B</v>
      </c>
      <c r="G36">
        <v>26</v>
      </c>
      <c r="H36">
        <v>13000</v>
      </c>
    </row>
    <row r="37" spans="2:8" x14ac:dyDescent="0.55000000000000004">
      <c r="B37" t="str">
        <v>«Унесённые ветром» — Маргарет Митчелл</v>
      </c>
      <c r="C37" s="9">
        <v>43086</v>
      </c>
      <c r="D37" t="str">
        <v>Редакция №2</v>
      </c>
      <c r="E37" t="str">
        <v>Твердый переплет</v>
      </c>
      <c r="F37" t="str">
        <v>Интернет-магазин</v>
      </c>
      <c r="G37">
        <v>27</v>
      </c>
      <c r="H37">
        <v>14445</v>
      </c>
    </row>
    <row r="38" spans="2:8" x14ac:dyDescent="0.55000000000000004">
      <c r="B38" t="str">
        <v>«Анна Каренина» — Лев Толстой</v>
      </c>
      <c r="C38" s="9">
        <v>43777</v>
      </c>
      <c r="D38" t="str">
        <v>Редакция №2</v>
      </c>
      <c r="E38" t="str">
        <v>Покетбук</v>
      </c>
      <c r="F38" t="str">
        <v>Интернет-магазин</v>
      </c>
      <c r="G38">
        <v>27</v>
      </c>
      <c r="H38">
        <v>14472</v>
      </c>
    </row>
    <row r="39" spans="2:8" x14ac:dyDescent="0.55000000000000004">
      <c r="B39" t="str">
        <v>«Тайная история» — Донна Тартт</v>
      </c>
      <c r="C39" s="9">
        <v>43852</v>
      </c>
      <c r="D39" t="str">
        <v>Редакция №2</v>
      </c>
      <c r="E39" t="str">
        <v>Твердый переплет</v>
      </c>
      <c r="F39" t="str">
        <v>Интернет-магазин</v>
      </c>
      <c r="G39">
        <v>27</v>
      </c>
      <c r="H39">
        <v>11745</v>
      </c>
    </row>
    <row r="40" spans="2:8" x14ac:dyDescent="0.55000000000000004">
      <c r="B40" t="str">
        <v>«Хоббит, или Туда и обратно» — Джон Р. Р. Толкин</v>
      </c>
      <c r="C40" s="9">
        <v>43565</v>
      </c>
      <c r="D40" t="str">
        <v>Редакция №1</v>
      </c>
      <c r="E40" t="str">
        <v>Покетбук</v>
      </c>
      <c r="F40" t="str">
        <v>B2B</v>
      </c>
      <c r="G40">
        <v>27</v>
      </c>
      <c r="H40">
        <v>14202</v>
      </c>
    </row>
    <row r="41" spans="2:8" x14ac:dyDescent="0.55000000000000004">
      <c r="B41" t="str">
        <v>«Граф Монте-Кристо» — Александр Дюма</v>
      </c>
      <c r="C41" s="9">
        <v>43521</v>
      </c>
      <c r="D41" t="str">
        <v>Редакция №1</v>
      </c>
      <c r="E41" t="str">
        <v>Твердый переплет</v>
      </c>
      <c r="F41" t="str">
        <v>B2B</v>
      </c>
      <c r="G41">
        <v>27</v>
      </c>
      <c r="H41">
        <v>13014</v>
      </c>
    </row>
    <row r="42" spans="2:8" x14ac:dyDescent="0.55000000000000004">
      <c r="B42" t="str">
        <v>«Искупление» — Иэн Макьюэн</v>
      </c>
      <c r="C42" s="9">
        <v>43429</v>
      </c>
      <c r="D42" t="str">
        <v>Редакция №1</v>
      </c>
      <c r="E42" t="str">
        <v>Покетбук</v>
      </c>
      <c r="F42" t="str">
        <v>B2B</v>
      </c>
      <c r="G42">
        <v>27</v>
      </c>
      <c r="H42">
        <v>16281</v>
      </c>
    </row>
    <row r="43" spans="2:8" x14ac:dyDescent="0.55000000000000004">
      <c r="B43" t="str">
        <v>«Ребекка» — Дафна Дюморье</v>
      </c>
      <c r="C43" s="9">
        <v>43695</v>
      </c>
      <c r="D43" t="str">
        <v>Редакция №2</v>
      </c>
      <c r="E43" t="str">
        <v>Мягкая обложка</v>
      </c>
      <c r="F43" t="str">
        <v>Интернет-магазин</v>
      </c>
      <c r="G43">
        <v>28</v>
      </c>
      <c r="H43">
        <v>13664</v>
      </c>
    </row>
    <row r="44" spans="2:8" x14ac:dyDescent="0.55000000000000004">
      <c r="B44" t="str">
        <v>«Великий Гэтсби» — Фрэнсис Скотт Фицджеральд</v>
      </c>
      <c r="C44" s="9">
        <v>43940</v>
      </c>
      <c r="D44" t="str">
        <v>Редакция №1</v>
      </c>
      <c r="E44" t="str">
        <v>Покетбук</v>
      </c>
      <c r="F44" t="str">
        <v>Интернет-магазин</v>
      </c>
      <c r="G44">
        <v>28</v>
      </c>
      <c r="H44">
        <v>12600</v>
      </c>
    </row>
    <row r="45" spans="2:8" x14ac:dyDescent="0.55000000000000004">
      <c r="B45" t="str">
        <v>«Повесть о двух городах» — Чарльз Диккенс</v>
      </c>
      <c r="C45" s="9">
        <v>42717</v>
      </c>
      <c r="D45" t="str">
        <v>Редакция №1</v>
      </c>
      <c r="E45" t="str">
        <v>Покетбук</v>
      </c>
      <c r="F45" t="str">
        <v>Интернет-магазин</v>
      </c>
      <c r="G45">
        <v>28</v>
      </c>
      <c r="H45">
        <v>12908</v>
      </c>
    </row>
    <row r="46" spans="2:8" x14ac:dyDescent="0.55000000000000004">
      <c r="B46" t="str">
        <v>«Оно» — Стивен Кинг</v>
      </c>
      <c r="C46" s="9">
        <v>43715</v>
      </c>
      <c r="D46" t="str">
        <v>Редакция №2</v>
      </c>
      <c r="E46" t="str">
        <v>Покетбук</v>
      </c>
      <c r="F46" t="str">
        <v>Интернет-магазин</v>
      </c>
      <c r="G46">
        <v>28</v>
      </c>
      <c r="H46">
        <v>14028</v>
      </c>
    </row>
    <row r="47" spans="2:8" x14ac:dyDescent="0.55000000000000004">
      <c r="B47" t="str">
        <v>«Божество реки» — Уилбур Смит</v>
      </c>
      <c r="C47" s="9">
        <v>42183</v>
      </c>
      <c r="D47" t="str">
        <v>Редакция №1</v>
      </c>
      <c r="E47" t="str">
        <v>Мягкая обложка</v>
      </c>
      <c r="F47" t="str">
        <v>Интернет-магазин</v>
      </c>
      <c r="G47">
        <v>28</v>
      </c>
      <c r="H47">
        <v>12936</v>
      </c>
    </row>
    <row r="48" spans="2:8" x14ac:dyDescent="0.55000000000000004">
      <c r="B48" t="str">
        <v>«Тэсс из рода д’Эрбервиллей» — Томас Харди</v>
      </c>
      <c r="C48" s="9">
        <v>42643</v>
      </c>
      <c r="D48" t="str">
        <v>Редакция №2</v>
      </c>
      <c r="E48" t="str">
        <v>Покетбук</v>
      </c>
      <c r="F48" t="str">
        <v>B2B</v>
      </c>
      <c r="G48">
        <v>28</v>
      </c>
      <c r="H48">
        <v>16492</v>
      </c>
    </row>
    <row r="49" spans="2:8" x14ac:dyDescent="0.55000000000000004">
      <c r="B49" t="str">
        <v>«Моби Дик» — Герман Мелвилл</v>
      </c>
      <c r="C49" s="9">
        <v>42091</v>
      </c>
      <c r="D49" t="str">
        <v>Редакция №1</v>
      </c>
      <c r="E49" t="str">
        <v>Покетбук</v>
      </c>
      <c r="F49" t="str">
        <v>B2B</v>
      </c>
      <c r="G49">
        <v>28</v>
      </c>
      <c r="H49">
        <v>17164</v>
      </c>
    </row>
    <row r="50" spans="2:8" x14ac:dyDescent="0.55000000000000004">
      <c r="B50" t="str">
        <v>«Молитва об Оуэне Мини» — Джон Ирвинг</v>
      </c>
      <c r="C50" s="9">
        <v>42917</v>
      </c>
      <c r="D50" t="str">
        <v>Редакция №2</v>
      </c>
      <c r="E50" t="str">
        <v>Мягкая обложка</v>
      </c>
      <c r="F50" t="str">
        <v>Интернет-магазин</v>
      </c>
      <c r="G50">
        <v>29</v>
      </c>
      <c r="H50">
        <v>12470</v>
      </c>
    </row>
    <row r="51" spans="2:8" x14ac:dyDescent="0.55000000000000004">
      <c r="B51" t="str">
        <v>«Рождественская песнь» — Чарльз Диккенс</v>
      </c>
      <c r="C51" s="9">
        <v>43584</v>
      </c>
      <c r="D51" t="str">
        <v>Редакция №1</v>
      </c>
      <c r="E51" t="str">
        <v>Мягкая обложка</v>
      </c>
      <c r="F51" t="str">
        <v>Интернет-магазин</v>
      </c>
      <c r="G51">
        <v>29</v>
      </c>
      <c r="H51">
        <v>11774</v>
      </c>
    </row>
    <row r="52" spans="2:8" x14ac:dyDescent="0.55000000000000004">
      <c r="B52" t="str">
        <v>«Благие знамения» — Терри Пратчетт и Нил Гейман</v>
      </c>
      <c r="C52" s="9">
        <v>42356</v>
      </c>
      <c r="D52" t="str">
        <v>Редакция №2</v>
      </c>
      <c r="E52" t="str">
        <v>Покетбук</v>
      </c>
      <c r="F52" t="str">
        <v>Интернет-магазин</v>
      </c>
      <c r="G52">
        <v>29</v>
      </c>
      <c r="H52">
        <v>14239</v>
      </c>
    </row>
    <row r="53" spans="2:8" x14ac:dyDescent="0.55000000000000004">
      <c r="B53" t="str">
        <v>«Холодный дом» — Чарльз Диккенс</v>
      </c>
      <c r="C53" s="9">
        <v>43726</v>
      </c>
      <c r="D53" t="str">
        <v>Редакция №1</v>
      </c>
      <c r="E53" t="str">
        <v>Твердый переплет</v>
      </c>
      <c r="F53" t="str">
        <v>Интернет-магазин</v>
      </c>
      <c r="G53">
        <v>29</v>
      </c>
      <c r="H53">
        <v>14036</v>
      </c>
    </row>
    <row r="54" spans="2:8" x14ac:dyDescent="0.55000000000000004">
      <c r="B54" t="str">
        <v>«Мэр Кэстербриджа» — Томас Харди</v>
      </c>
      <c r="C54" s="9">
        <v>44056</v>
      </c>
      <c r="D54" t="str">
        <v>Редакция №2</v>
      </c>
      <c r="E54" t="str">
        <v>Твердый переплет</v>
      </c>
      <c r="F54" t="str">
        <v>Интернет-магазин</v>
      </c>
      <c r="G54">
        <v>29</v>
      </c>
      <c r="H54">
        <v>14964</v>
      </c>
    </row>
    <row r="55" spans="2:8" x14ac:dyDescent="0.55000000000000004">
      <c r="B55" t="str">
        <v>«Заклинатель лошадей» — Николас Эванс</v>
      </c>
      <c r="C55" s="9">
        <v>42412</v>
      </c>
      <c r="D55" t="str">
        <v>Редакция №1</v>
      </c>
      <c r="E55" t="str">
        <v>Твердый переплет</v>
      </c>
      <c r="F55" t="str">
        <v>Интернет-магазин</v>
      </c>
      <c r="G55">
        <v>29</v>
      </c>
      <c r="H55">
        <v>14906</v>
      </c>
    </row>
    <row r="56" spans="2:8" x14ac:dyDescent="0.55000000000000004">
      <c r="B56" t="str">
        <v>«Крестный отец» — Марио Пьюзо</v>
      </c>
      <c r="C56" s="9">
        <v>44046</v>
      </c>
      <c r="D56" t="str">
        <v>Редакция №1</v>
      </c>
      <c r="E56" t="str">
        <v>Покетбук</v>
      </c>
      <c r="F56" t="str">
        <v>B2B</v>
      </c>
      <c r="G56">
        <v>29</v>
      </c>
      <c r="H56">
        <v>16791</v>
      </c>
    </row>
    <row r="57" spans="2:8" x14ac:dyDescent="0.55000000000000004">
      <c r="B57" t="str">
        <v>«Лола Роза» — Жаклин Уилсон</v>
      </c>
      <c r="C57" s="9">
        <v>43955</v>
      </c>
      <c r="D57" t="str">
        <v>Редакция №1</v>
      </c>
      <c r="E57" t="str">
        <v>Мягкая обложка</v>
      </c>
      <c r="F57" t="str">
        <v>B2B</v>
      </c>
      <c r="G57">
        <v>29</v>
      </c>
      <c r="H57">
        <v>14123</v>
      </c>
    </row>
    <row r="58" spans="2:8" x14ac:dyDescent="0.55000000000000004">
      <c r="B58" t="str">
        <v>«Санта-Хрякус» — Терри Пратчетт</v>
      </c>
      <c r="C58" s="9">
        <v>43883</v>
      </c>
      <c r="D58" t="str">
        <v>Редакция №2</v>
      </c>
      <c r="E58" t="str">
        <v>Покетбук</v>
      </c>
      <c r="F58" t="str">
        <v>B2B</v>
      </c>
      <c r="G58">
        <v>29</v>
      </c>
      <c r="H58">
        <v>17922</v>
      </c>
    </row>
    <row r="59" spans="2:8" x14ac:dyDescent="0.55000000000000004">
      <c r="B59" t="str">
        <v>«Улисс» — Джеймс Джойс</v>
      </c>
      <c r="C59" s="9">
        <v>43537</v>
      </c>
      <c r="D59" t="str">
        <v>Редакция №2</v>
      </c>
      <c r="E59" t="str">
        <v>Мягкая обложка</v>
      </c>
      <c r="F59" t="str">
        <v>Интернет-магазин</v>
      </c>
      <c r="G59">
        <v>30</v>
      </c>
      <c r="H59">
        <v>14220</v>
      </c>
    </row>
    <row r="60" spans="2:8" x14ac:dyDescent="0.55000000000000004">
      <c r="B60" t="str">
        <v>«Неуютная ферма» — Стелла Гиббонс</v>
      </c>
      <c r="C60" s="9">
        <v>43227</v>
      </c>
      <c r="D60" t="str">
        <v>Редакция №2</v>
      </c>
      <c r="E60" t="str">
        <v>Покетбук</v>
      </c>
      <c r="F60" t="str">
        <v>Интернет-магазин</v>
      </c>
      <c r="G60">
        <v>30</v>
      </c>
      <c r="H60">
        <v>12810</v>
      </c>
    </row>
    <row r="61" spans="2:8" x14ac:dyDescent="0.55000000000000004">
      <c r="B61" t="str">
        <v>«Отверженные» — Виктор Гюго</v>
      </c>
      <c r="C61" s="9">
        <v>44018</v>
      </c>
      <c r="D61" t="str">
        <v>Редакция №1</v>
      </c>
      <c r="E61" t="str">
        <v>Покетбук</v>
      </c>
      <c r="F61" t="str">
        <v>Интернет-магазин</v>
      </c>
      <c r="G61">
        <v>30</v>
      </c>
      <c r="H61">
        <v>14490</v>
      </c>
    </row>
    <row r="62" spans="2:8" x14ac:dyDescent="0.55000000000000004">
      <c r="B62" t="str">
        <v>«Лола Роза» — Жаклин Уилсон</v>
      </c>
      <c r="C62" s="9">
        <v>43955</v>
      </c>
      <c r="D62" t="str">
        <v>Редакция №1</v>
      </c>
      <c r="E62" t="str">
        <v>Мягкая обложка</v>
      </c>
      <c r="F62" t="str">
        <v>Интернет-магазин</v>
      </c>
      <c r="G62">
        <v>30</v>
      </c>
      <c r="H62">
        <v>16440</v>
      </c>
    </row>
    <row r="63" spans="2:8" x14ac:dyDescent="0.55000000000000004">
      <c r="B63" t="str">
        <v>«Гордость и предубеждение» — Джейн Остин</v>
      </c>
      <c r="C63" s="9">
        <v>42609</v>
      </c>
      <c r="D63" t="str">
        <v>Редакция №1</v>
      </c>
      <c r="E63" t="str">
        <v>Покетбук</v>
      </c>
      <c r="F63" t="str">
        <v>B2B</v>
      </c>
      <c r="G63">
        <v>30</v>
      </c>
      <c r="H63">
        <v>17760</v>
      </c>
    </row>
    <row r="64" spans="2:8" x14ac:dyDescent="0.55000000000000004">
      <c r="B64" t="str">
        <v>«Грозовой перевал» — Эмили Бронте</v>
      </c>
      <c r="C64" s="9">
        <v>43435</v>
      </c>
      <c r="D64" t="str">
        <v>Редакция №2</v>
      </c>
      <c r="E64" t="str">
        <v>Мягкая обложка</v>
      </c>
      <c r="F64" t="str">
        <v>B2B</v>
      </c>
      <c r="G64">
        <v>30</v>
      </c>
      <c r="H64">
        <v>15000</v>
      </c>
    </row>
    <row r="65" spans="2:8" x14ac:dyDescent="0.55000000000000004">
      <c r="B65" t="str">
        <v>«О дивный новый мир» — Олдос Хаксли</v>
      </c>
      <c r="C65" s="9">
        <v>44068</v>
      </c>
      <c r="D65" t="str">
        <v>Редакция №1</v>
      </c>
      <c r="E65" t="str">
        <v>Твердый переплет</v>
      </c>
      <c r="F65" t="str">
        <v>B2B</v>
      </c>
      <c r="G65">
        <v>30</v>
      </c>
      <c r="H65">
        <v>15660</v>
      </c>
    </row>
    <row r="66" spans="2:8" x14ac:dyDescent="0.55000000000000004">
      <c r="B66" t="str">
        <v>«Денни — чемпион мира» — Роальд Даль</v>
      </c>
      <c r="C66" s="9">
        <v>43666</v>
      </c>
      <c r="D66" t="str">
        <v>Редакция №2</v>
      </c>
      <c r="E66" t="str">
        <v>Мягкая обложка</v>
      </c>
      <c r="F66" t="str">
        <v>B2B</v>
      </c>
      <c r="G66">
        <v>30</v>
      </c>
      <c r="H66">
        <v>16680</v>
      </c>
    </row>
    <row r="67" spans="2:8" x14ac:dyDescent="0.55000000000000004">
      <c r="B67" t="str">
        <v>«Таинственный сад» — Фрэнсис Бернетт</v>
      </c>
      <c r="C67" s="9">
        <v>43940</v>
      </c>
      <c r="D67" t="str">
        <v>Редакция №2</v>
      </c>
      <c r="E67" t="str">
        <v>Твердый переплет</v>
      </c>
      <c r="F67" t="str">
        <v>B2B</v>
      </c>
      <c r="G67">
        <v>31</v>
      </c>
      <c r="H67">
        <v>19468</v>
      </c>
    </row>
    <row r="68" spans="2:8" x14ac:dyDescent="0.55000000000000004">
      <c r="B68" t="str">
        <v>«Ужастики» — Роберт Лоуренс Стайн</v>
      </c>
      <c r="C68" s="9">
        <v>43041</v>
      </c>
      <c r="D68" t="str">
        <v>Редакция №2</v>
      </c>
      <c r="E68" t="str">
        <v>Твердый переплет</v>
      </c>
      <c r="F68" t="str">
        <v>B2B</v>
      </c>
      <c r="G68">
        <v>31</v>
      </c>
      <c r="H68">
        <v>18848</v>
      </c>
    </row>
    <row r="69" spans="2:8" x14ac:dyDescent="0.55000000000000004">
      <c r="B69" t="str">
        <v>«Доводы рассудка» — Джейн Остин</v>
      </c>
      <c r="C69" s="9">
        <v>42510</v>
      </c>
      <c r="D69" t="str">
        <v>Редакция №2</v>
      </c>
      <c r="E69" t="str">
        <v>Твердый переплет</v>
      </c>
      <c r="F69" t="str">
        <v>Интернет-магазин</v>
      </c>
      <c r="G69">
        <v>32</v>
      </c>
      <c r="H69">
        <v>15712</v>
      </c>
    </row>
    <row r="70" spans="2:8" x14ac:dyDescent="0.55000000000000004">
      <c r="B70" t="str">
        <v>«Роковая музыка» — Терри Пратчетт</v>
      </c>
      <c r="C70" s="9">
        <v>42831</v>
      </c>
      <c r="D70" t="str">
        <v>Редакция №2</v>
      </c>
      <c r="E70" t="str">
        <v>Твердый переплет</v>
      </c>
      <c r="F70" t="str">
        <v>Интернет-магазин</v>
      </c>
      <c r="G70">
        <v>32</v>
      </c>
      <c r="H70">
        <v>15360</v>
      </c>
    </row>
    <row r="71" spans="2:8" x14ac:dyDescent="0.55000000000000004">
      <c r="B71" t="str">
        <v>«Цвет волшебства» — Терри Пратчетт</v>
      </c>
      <c r="C71" s="9">
        <v>43043</v>
      </c>
      <c r="D71" t="str">
        <v>Редакция №1</v>
      </c>
      <c r="E71" t="str">
        <v>Твердый переплет</v>
      </c>
      <c r="F71" t="str">
        <v>B2B</v>
      </c>
      <c r="G71">
        <v>32</v>
      </c>
      <c r="H71">
        <v>18144</v>
      </c>
    </row>
    <row r="72" spans="2:8" x14ac:dyDescent="0.55000000000000004">
      <c r="B72" t="str">
        <v>«Уловка-22» — Джозеф Хеллер</v>
      </c>
      <c r="C72" s="9">
        <v>44073</v>
      </c>
      <c r="D72" t="str">
        <v>Редакция №2</v>
      </c>
      <c r="E72" t="str">
        <v>Мягкая обложка</v>
      </c>
      <c r="F72" t="str">
        <v>Интернет-магазин</v>
      </c>
      <c r="G72">
        <v>33</v>
      </c>
      <c r="H72">
        <v>16632</v>
      </c>
    </row>
    <row r="73" spans="2:8" x14ac:dyDescent="0.55000000000000004">
      <c r="B73" t="str">
        <v>«Миддлмарч» — Джордж Элиот</v>
      </c>
      <c r="C73" s="9">
        <v>43025</v>
      </c>
      <c r="D73" t="str">
        <v>Редакция №1</v>
      </c>
      <c r="E73" t="str">
        <v>Мягкая обложка</v>
      </c>
      <c r="F73" t="str">
        <v>Интернет-магазин</v>
      </c>
      <c r="G73">
        <v>33</v>
      </c>
      <c r="H73">
        <v>14190</v>
      </c>
    </row>
    <row r="74" spans="2:8" x14ac:dyDescent="0.55000000000000004">
      <c r="B74" t="str">
        <v>«Дэвид Копперфильд» — Чарльз Диккенс</v>
      </c>
      <c r="C74" s="9">
        <v>43598</v>
      </c>
      <c r="D74" t="str">
        <v>Редакция №1</v>
      </c>
      <c r="E74" t="str">
        <v>Твердый переплет</v>
      </c>
      <c r="F74" t="str">
        <v>Интернет-магазин</v>
      </c>
      <c r="G74">
        <v>33</v>
      </c>
      <c r="H74">
        <v>16962</v>
      </c>
    </row>
    <row r="75" spans="2:8" x14ac:dyDescent="0.55000000000000004">
      <c r="B75" t="str">
        <v>«Осиная фабрика» — Иэн Бэнкс</v>
      </c>
      <c r="C75" s="9">
        <v>43834</v>
      </c>
      <c r="D75" t="str">
        <v>Редакция №1</v>
      </c>
      <c r="E75" t="str">
        <v>Мягкая обложка</v>
      </c>
      <c r="F75" t="str">
        <v>Интернет-магазин</v>
      </c>
      <c r="G75">
        <v>33</v>
      </c>
      <c r="H75">
        <v>15774</v>
      </c>
    </row>
    <row r="76" spans="2:8" x14ac:dyDescent="0.55000000000000004">
      <c r="B76" t="str">
        <v>«Вещие сестрички» — Терри Пратчетт</v>
      </c>
      <c r="C76" s="9">
        <v>42269</v>
      </c>
      <c r="D76" t="str">
        <v>Редакция №1</v>
      </c>
      <c r="E76" t="str">
        <v>Твердый переплет</v>
      </c>
      <c r="F76" t="str">
        <v>Интернет-магазин</v>
      </c>
      <c r="G76">
        <v>33</v>
      </c>
      <c r="H76">
        <v>15246</v>
      </c>
    </row>
    <row r="77" spans="2:8" x14ac:dyDescent="0.55000000000000004">
      <c r="B77" t="str">
        <v>«Лолита» — Владимир Набоков</v>
      </c>
      <c r="C77" s="9">
        <v>43636</v>
      </c>
      <c r="D77" t="str">
        <v>Редакция №1</v>
      </c>
      <c r="E77" t="str">
        <v>Твердый переплет</v>
      </c>
      <c r="F77" t="str">
        <v>Интернет-магазин</v>
      </c>
      <c r="G77">
        <v>33</v>
      </c>
      <c r="H77">
        <v>14223</v>
      </c>
    </row>
    <row r="78" spans="2:8" x14ac:dyDescent="0.55000000000000004">
      <c r="B78" t="str">
        <v>«Правда» — Терри Пратчетт</v>
      </c>
      <c r="C78" s="9">
        <v>42048</v>
      </c>
      <c r="D78" t="str">
        <v>Редакция №1</v>
      </c>
      <c r="E78" t="str">
        <v>Мягкая обложка</v>
      </c>
      <c r="F78" t="str">
        <v>Интернет-магазин</v>
      </c>
      <c r="G78">
        <v>33</v>
      </c>
      <c r="H78">
        <v>13200</v>
      </c>
    </row>
    <row r="79" spans="2:8" x14ac:dyDescent="0.55000000000000004">
      <c r="B79" t="str">
        <v>«Остров сокровищ» — Роберт Стивенсон</v>
      </c>
      <c r="C79" s="9">
        <v>42503</v>
      </c>
      <c r="D79" t="str">
        <v>Редакция №2</v>
      </c>
      <c r="E79" t="str">
        <v>Покетбук</v>
      </c>
      <c r="F79" t="str">
        <v>B2B</v>
      </c>
      <c r="G79">
        <v>33</v>
      </c>
      <c r="H79">
        <v>20493</v>
      </c>
    </row>
    <row r="80" spans="2:8" x14ac:dyDescent="0.55000000000000004">
      <c r="B80" t="str">
        <v>«Маленький принц» — Антуан де Сент-Экзюпери</v>
      </c>
      <c r="C80" s="9">
        <v>42217</v>
      </c>
      <c r="D80" t="str">
        <v>Редакция №1</v>
      </c>
      <c r="E80" t="str">
        <v>Покетбук</v>
      </c>
      <c r="F80" t="str">
        <v>B2B</v>
      </c>
      <c r="G80">
        <v>33</v>
      </c>
      <c r="H80">
        <v>17358</v>
      </c>
    </row>
    <row r="81" spans="2:8" x14ac:dyDescent="0.55000000000000004">
      <c r="B81" t="str">
        <v>«Дневник Трейси Бикер» — Жаклин Уилсон</v>
      </c>
      <c r="C81" s="9">
        <v>43821</v>
      </c>
      <c r="D81" t="str">
        <v>Редакция №1</v>
      </c>
      <c r="E81" t="str">
        <v>Мягкая обложка</v>
      </c>
      <c r="F81" t="str">
        <v>B2B</v>
      </c>
      <c r="G81">
        <v>34</v>
      </c>
      <c r="H81">
        <v>19788</v>
      </c>
    </row>
    <row r="82" spans="2:8" x14ac:dyDescent="0.55000000000000004">
      <c r="B82" t="str">
        <v>«Рождественская песнь» — Чарльз Диккенс</v>
      </c>
      <c r="C82" s="9">
        <v>43584</v>
      </c>
      <c r="D82" t="str">
        <v>Редакция №1</v>
      </c>
      <c r="E82" t="str">
        <v>Мягкая обложка</v>
      </c>
      <c r="F82" t="str">
        <v>B2B</v>
      </c>
      <c r="G82">
        <v>34</v>
      </c>
      <c r="H82">
        <v>17680</v>
      </c>
    </row>
    <row r="83" spans="2:8" x14ac:dyDescent="0.55000000000000004">
      <c r="B83" t="str">
        <v>«Преступление и наказание» — Фёдор Достоевский</v>
      </c>
      <c r="C83" s="9">
        <v>43098</v>
      </c>
      <c r="D83" t="str">
        <v>Редакция №1</v>
      </c>
      <c r="E83" t="str">
        <v>Мягкая обложка</v>
      </c>
      <c r="F83" t="str">
        <v>B2B</v>
      </c>
      <c r="G83">
        <v>34</v>
      </c>
      <c r="H83">
        <v>16286</v>
      </c>
    </row>
    <row r="84" spans="2:8" x14ac:dyDescent="0.55000000000000004">
      <c r="B84" t="str">
        <v>«Американский психопат» — Брет Истон Эллис</v>
      </c>
      <c r="C84" s="9">
        <v>43874</v>
      </c>
      <c r="D84" t="str">
        <v>Редакция №1</v>
      </c>
      <c r="E84" t="str">
        <v>Мягкая обложка</v>
      </c>
      <c r="F84" t="str">
        <v>Интернет-магазин</v>
      </c>
      <c r="G84">
        <v>35</v>
      </c>
      <c r="H84">
        <v>18025</v>
      </c>
    </row>
    <row r="85" spans="2:8" x14ac:dyDescent="0.55000000000000004">
      <c r="B85" t="str">
        <v>«Война миров» — Герберт Уэллс</v>
      </c>
      <c r="C85" s="9">
        <v>43155</v>
      </c>
      <c r="D85" t="str">
        <v>Редакция №2</v>
      </c>
      <c r="E85" t="str">
        <v>Мягкая обложка</v>
      </c>
      <c r="F85" t="str">
        <v>Интернет-магазин</v>
      </c>
      <c r="G85">
        <v>35</v>
      </c>
      <c r="H85">
        <v>14560</v>
      </c>
    </row>
    <row r="86" spans="2:8" x14ac:dyDescent="0.55000000000000004">
      <c r="B86" t="str">
        <v>«Hi-Fi» — Ник Хорнби</v>
      </c>
      <c r="C86" s="9">
        <v>43260</v>
      </c>
      <c r="D86" t="str">
        <v>Редакция №2</v>
      </c>
      <c r="E86" t="str">
        <v>Мягкая обложка</v>
      </c>
      <c r="F86" t="str">
        <v>B2B</v>
      </c>
      <c r="G86">
        <v>35</v>
      </c>
      <c r="H86">
        <v>17990</v>
      </c>
    </row>
    <row r="87" spans="2:8" x14ac:dyDescent="0.55000000000000004">
      <c r="B87" t="str">
        <v>«Тёмные начала» — Филип Пулман</v>
      </c>
      <c r="C87" s="9">
        <v>43385</v>
      </c>
      <c r="D87" t="str">
        <v>Редакция №1</v>
      </c>
      <c r="E87" t="str">
        <v>Мягкая обложка</v>
      </c>
      <c r="F87" t="str">
        <v>Интернет-магазин</v>
      </c>
      <c r="G87">
        <v>36</v>
      </c>
      <c r="H87">
        <v>18108</v>
      </c>
    </row>
    <row r="88" spans="2:8" x14ac:dyDescent="0.55000000000000004">
      <c r="B88" t="str">
        <v>«Джейн Эйр» — Шарлотта Бронте</v>
      </c>
      <c r="C88" s="9">
        <v>43747</v>
      </c>
      <c r="D88" t="str">
        <v>Редакция №2</v>
      </c>
      <c r="E88" t="str">
        <v>Мягкая обложка</v>
      </c>
      <c r="F88" t="str">
        <v>Интернет-магазин</v>
      </c>
      <c r="G88">
        <v>36</v>
      </c>
      <c r="H88">
        <v>17136</v>
      </c>
    </row>
    <row r="89" spans="2:8" x14ac:dyDescent="0.55000000000000004">
      <c r="B89" t="str">
        <v>«Граф Монте-Кристо» — Александр Дюма</v>
      </c>
      <c r="C89" s="9">
        <v>43521</v>
      </c>
      <c r="D89" t="str">
        <v>Редакция №1</v>
      </c>
      <c r="E89" t="str">
        <v>Твердый переплет</v>
      </c>
      <c r="F89" t="str">
        <v>Интернет-магазин</v>
      </c>
      <c r="G89">
        <v>36</v>
      </c>
      <c r="H89">
        <v>19188</v>
      </c>
    </row>
    <row r="90" spans="2:8" x14ac:dyDescent="0.55000000000000004">
      <c r="B90" t="str">
        <v>«Рассказ служанки» — Маргарет Этвуд</v>
      </c>
      <c r="C90" s="9">
        <v>42368</v>
      </c>
      <c r="D90" t="str">
        <v>Редакция №2</v>
      </c>
      <c r="E90" t="str">
        <v>Твердый переплет</v>
      </c>
      <c r="F90" t="str">
        <v>B2B</v>
      </c>
      <c r="G90">
        <v>36</v>
      </c>
      <c r="H90">
        <v>23364</v>
      </c>
    </row>
    <row r="91" spans="2:8" x14ac:dyDescent="0.55000000000000004">
      <c r="B91" t="str">
        <v>«Тёмные начала» — Филип Пулман</v>
      </c>
      <c r="C91" s="9">
        <v>43385</v>
      </c>
      <c r="D91" t="str">
        <v>Редакция №1</v>
      </c>
      <c r="E91" t="str">
        <v>Мягкая обложка</v>
      </c>
      <c r="F91" t="str">
        <v>B2B</v>
      </c>
      <c r="G91">
        <v>37</v>
      </c>
      <c r="H91">
        <v>20313</v>
      </c>
    </row>
    <row r="92" spans="2:8" x14ac:dyDescent="0.55000000000000004">
      <c r="B92" t="str">
        <v>«Мандолина капитана Корелли» — Луи де Берньер</v>
      </c>
      <c r="C92" s="9">
        <v>43417</v>
      </c>
      <c r="D92" t="str">
        <v>Редакция №1</v>
      </c>
      <c r="E92" t="str">
        <v>Покетбук</v>
      </c>
      <c r="F92" t="str">
        <v>B2B</v>
      </c>
      <c r="G92">
        <v>37</v>
      </c>
      <c r="H92">
        <v>18611</v>
      </c>
    </row>
    <row r="93" spans="2:8" x14ac:dyDescent="0.55000000000000004">
      <c r="B93" t="str">
        <v>«Сто лет одиночества» — Габриэль Гарсиа Маркес</v>
      </c>
      <c r="C93" s="9">
        <v>42767</v>
      </c>
      <c r="D93" t="str">
        <v>Редакция №2</v>
      </c>
      <c r="E93" t="str">
        <v>Покетбук</v>
      </c>
      <c r="F93" t="str">
        <v>B2B</v>
      </c>
      <c r="G93">
        <v>37</v>
      </c>
      <c r="H93">
        <v>20905</v>
      </c>
    </row>
    <row r="94" spans="2:8" x14ac:dyDescent="0.55000000000000004">
      <c r="B94" t="str">
        <v>«Каин и Авель» — Джеффри Арчер</v>
      </c>
      <c r="C94" s="9">
        <v>43385</v>
      </c>
      <c r="D94" t="str">
        <v>Редакция №2</v>
      </c>
      <c r="E94" t="str">
        <v>Мягкая обложка</v>
      </c>
      <c r="F94" t="str">
        <v>B2B</v>
      </c>
      <c r="G94">
        <v>37</v>
      </c>
      <c r="H94">
        <v>17427</v>
      </c>
    </row>
    <row r="95" spans="2:8" x14ac:dyDescent="0.55000000000000004">
      <c r="B95" t="str">
        <v>«Обладать» — Антония Сьюзен Байетт</v>
      </c>
      <c r="C95" s="9">
        <v>42690</v>
      </c>
      <c r="D95" t="str">
        <v>Редакция №2</v>
      </c>
      <c r="E95" t="str">
        <v>Твердый переплет</v>
      </c>
      <c r="F95" t="str">
        <v>B2B</v>
      </c>
      <c r="G95">
        <v>37</v>
      </c>
      <c r="H95">
        <v>17279</v>
      </c>
    </row>
    <row r="96" spans="2:8" x14ac:dyDescent="0.55000000000000004">
      <c r="B96" t="str">
        <v>«На западном фронте без перемен» — Эрих Мария Ремарк</v>
      </c>
      <c r="C96" s="9">
        <v>42315</v>
      </c>
      <c r="D96" t="str">
        <v>Редакция №1</v>
      </c>
      <c r="E96" t="str">
        <v>Твердый переплет</v>
      </c>
      <c r="F96" t="str">
        <v>B2B</v>
      </c>
      <c r="G96">
        <v>37</v>
      </c>
      <c r="H96">
        <v>18167</v>
      </c>
    </row>
    <row r="97" spans="2:8" x14ac:dyDescent="0.55000000000000004">
      <c r="B97" t="str">
        <v>«Зелёная миля» — Стивен Кинг</v>
      </c>
      <c r="C97" s="9">
        <v>43472</v>
      </c>
      <c r="D97" t="str">
        <v>Редакция №1</v>
      </c>
      <c r="E97" t="str">
        <v>Мягкая обложка</v>
      </c>
      <c r="F97" t="str">
        <v>B2B</v>
      </c>
      <c r="G97">
        <v>37</v>
      </c>
      <c r="H97">
        <v>23458</v>
      </c>
    </row>
    <row r="98" spans="2:8" x14ac:dyDescent="0.55000000000000004">
      <c r="B98" t="str">
        <v>«Поющие в терновнике» — Колин Маккалоу</v>
      </c>
      <c r="C98" s="9">
        <v>42436</v>
      </c>
      <c r="D98" t="str">
        <v>Редакция №2</v>
      </c>
      <c r="E98" t="str">
        <v>Покетбук</v>
      </c>
      <c r="F98" t="str">
        <v>Интернет-магазин</v>
      </c>
      <c r="G98">
        <v>38</v>
      </c>
      <c r="H98">
        <v>20824</v>
      </c>
    </row>
    <row r="99" spans="2:8" x14ac:dyDescent="0.55000000000000004">
      <c r="B99" t="str">
        <v>«Пляж» — Алекс Гарленд</v>
      </c>
      <c r="C99" s="9">
        <v>42879</v>
      </c>
      <c r="D99" t="str">
        <v>Редакция №1</v>
      </c>
      <c r="E99" t="str">
        <v>Твердый переплет</v>
      </c>
      <c r="F99" t="str">
        <v>Интернет-магазин</v>
      </c>
      <c r="G99">
        <v>38</v>
      </c>
      <c r="H99">
        <v>18202</v>
      </c>
    </row>
    <row r="100" spans="2:8" x14ac:dyDescent="0.55000000000000004">
      <c r="B100" t="str">
        <v>«Подходящий жених» — Викрам Сет</v>
      </c>
      <c r="C100" s="9">
        <v>43919</v>
      </c>
      <c r="D100" t="str">
        <v>Редакция №1</v>
      </c>
      <c r="E100" t="str">
        <v>Твердый переплет</v>
      </c>
      <c r="F100" t="str">
        <v>Интернет-магазин</v>
      </c>
      <c r="G100">
        <v>39</v>
      </c>
      <c r="H100">
        <v>20631</v>
      </c>
    </row>
    <row r="101" spans="2:8" x14ac:dyDescent="0.55000000000000004">
      <c r="B101" t="str">
        <v>«Плохие девчонки» — Жаклин Уилсон</v>
      </c>
      <c r="C101" s="9">
        <v>43538</v>
      </c>
      <c r="D101" t="str">
        <v>Редакция №2</v>
      </c>
      <c r="E101" t="str">
        <v>Мягкая обложка</v>
      </c>
      <c r="F101" t="str">
        <v>Интернет-магазин</v>
      </c>
      <c r="G101">
        <v>39</v>
      </c>
      <c r="H101">
        <v>17160</v>
      </c>
    </row>
    <row r="102" spans="2:8" x14ac:dyDescent="0.55000000000000004">
      <c r="B102" t="str">
        <v>«Моби Дик» — Герман Мелвилл</v>
      </c>
      <c r="C102" s="9">
        <v>42091</v>
      </c>
      <c r="D102" t="str">
        <v>Редакция №1</v>
      </c>
      <c r="E102" t="str">
        <v>Покетбук</v>
      </c>
      <c r="F102" t="str">
        <v>Интернет-магазин</v>
      </c>
      <c r="G102">
        <v>39</v>
      </c>
      <c r="H102">
        <v>19851</v>
      </c>
    </row>
    <row r="103" spans="2:8" x14ac:dyDescent="0.55000000000000004">
      <c r="B103" t="str">
        <v>«Песнь на закате» — Льюис Грессик Гиббон</v>
      </c>
      <c r="C103" s="9">
        <v>43035</v>
      </c>
      <c r="D103" t="str">
        <v>Редакция №1</v>
      </c>
      <c r="E103" t="str">
        <v>Покетбук</v>
      </c>
      <c r="F103" t="str">
        <v>Интернет-магазин</v>
      </c>
      <c r="G103">
        <v>39</v>
      </c>
      <c r="H103">
        <v>16809</v>
      </c>
    </row>
    <row r="104" spans="2:8" x14ac:dyDescent="0.55000000000000004">
      <c r="B104" t="str">
        <v>«Мир глазами Гарпа» — Джон Ирвинг</v>
      </c>
      <c r="C104" s="9">
        <v>43346</v>
      </c>
      <c r="D104" t="str">
        <v>Редакция №2</v>
      </c>
      <c r="E104" t="str">
        <v>Твердый переплет</v>
      </c>
      <c r="F104" t="str">
        <v>Интернет-магазин</v>
      </c>
      <c r="G104">
        <v>39</v>
      </c>
      <c r="H104">
        <v>21099</v>
      </c>
    </row>
    <row r="105" spans="2:8" x14ac:dyDescent="0.55000000000000004">
      <c r="B105" t="str">
        <v>«Пляж» — Алекс Гарленд</v>
      </c>
      <c r="C105" s="9">
        <v>42879</v>
      </c>
      <c r="D105" t="str">
        <v>Редакция №1</v>
      </c>
      <c r="E105" t="str">
        <v>Твердый переплет</v>
      </c>
      <c r="F105" t="str">
        <v>B2B</v>
      </c>
      <c r="G105">
        <v>39</v>
      </c>
      <c r="H105">
        <v>20475</v>
      </c>
    </row>
    <row r="106" spans="2:8" x14ac:dyDescent="0.55000000000000004">
      <c r="B106" t="str">
        <v>«Лев, колдунья и платяной шкаф» — Клайв Стэйплз Льюис</v>
      </c>
      <c r="C106" s="9">
        <v>43556</v>
      </c>
      <c r="D106" t="str">
        <v>Редакция №1</v>
      </c>
      <c r="E106" t="str">
        <v>Покетбук</v>
      </c>
      <c r="F106" t="str">
        <v>Интернет-магазин</v>
      </c>
      <c r="G106">
        <v>40</v>
      </c>
      <c r="H106">
        <v>20480</v>
      </c>
    </row>
    <row r="107" spans="2:8" x14ac:dyDescent="0.55000000000000004">
      <c r="B107" t="str">
        <v>«Имя розы» — Умберто Эко</v>
      </c>
      <c r="C107" s="9">
        <v>43721</v>
      </c>
      <c r="D107" t="str">
        <v>Редакция №1</v>
      </c>
      <c r="E107" t="str">
        <v>Мягкая обложка</v>
      </c>
      <c r="F107" t="str">
        <v>Интернет-магазин</v>
      </c>
      <c r="G107">
        <v>40</v>
      </c>
      <c r="H107">
        <v>18240</v>
      </c>
    </row>
    <row r="108" spans="2:8" x14ac:dyDescent="0.55000000000000004">
      <c r="B108" t="str">
        <v>«Маленький принц» — Антуан де Сент-Экзюпери</v>
      </c>
      <c r="C108" s="9">
        <v>42217</v>
      </c>
      <c r="D108" t="str">
        <v>Редакция №1</v>
      </c>
      <c r="E108" t="str">
        <v>Покетбук</v>
      </c>
      <c r="F108" t="str">
        <v>Интернет-магазин</v>
      </c>
      <c r="G108">
        <v>40</v>
      </c>
      <c r="H108">
        <v>21920</v>
      </c>
    </row>
    <row r="109" spans="2:8" x14ac:dyDescent="0.55000000000000004">
      <c r="B109" t="str">
        <v>«Кэтрин» — Аня Сетон</v>
      </c>
      <c r="C109" s="9">
        <v>42963</v>
      </c>
      <c r="D109" t="str">
        <v>Редакция №1</v>
      </c>
      <c r="E109" t="str">
        <v>Твердый переплет</v>
      </c>
      <c r="F109" t="str">
        <v>B2B</v>
      </c>
      <c r="G109">
        <v>40</v>
      </c>
      <c r="H109">
        <v>24360</v>
      </c>
    </row>
    <row r="110" spans="2:8" x14ac:dyDescent="0.55000000000000004">
      <c r="B110" t="str">
        <v>«Хозяин морей: Командир и штурман» — Патрик О’Брайан</v>
      </c>
      <c r="C110" s="9">
        <v>43224</v>
      </c>
      <c r="D110" t="str">
        <v>Редакция №2</v>
      </c>
      <c r="E110" t="str">
        <v>Твердый переплет</v>
      </c>
      <c r="F110" t="str">
        <v>B2B</v>
      </c>
      <c r="G110">
        <v>40</v>
      </c>
      <c r="H110">
        <v>20560</v>
      </c>
    </row>
    <row r="111" spans="2:8" x14ac:dyDescent="0.55000000000000004">
      <c r="B111" t="str">
        <v>«Библия ядовитого леса» — Барбара Кингсолвер</v>
      </c>
      <c r="C111" s="9">
        <v>42758</v>
      </c>
      <c r="D111" t="str">
        <v>Редакция №2</v>
      </c>
      <c r="E111" t="str">
        <v>Твердый переплет</v>
      </c>
      <c r="F111" t="str">
        <v>Интернет-магазин</v>
      </c>
      <c r="G111">
        <v>41</v>
      </c>
      <c r="H111">
        <v>22509</v>
      </c>
    </row>
    <row r="112" spans="2:8" x14ac:dyDescent="0.55000000000000004">
      <c r="B112" t="str">
        <v>«Горменгаст» — Мервин Пик</v>
      </c>
      <c r="C112" s="9">
        <v>43807</v>
      </c>
      <c r="D112" t="str">
        <v>Редакция №1</v>
      </c>
      <c r="E112" t="str">
        <v>Твердый переплет</v>
      </c>
      <c r="F112" t="str">
        <v>B2B</v>
      </c>
      <c r="G112">
        <v>41</v>
      </c>
      <c r="H112">
        <v>19106</v>
      </c>
    </row>
    <row r="113" spans="2:8" x14ac:dyDescent="0.55000000000000004">
      <c r="B113" t="str">
        <v>«Серебряный меч» — Ян Серрэйлер</v>
      </c>
      <c r="C113" s="9">
        <v>44139</v>
      </c>
      <c r="D113" t="str">
        <v>Редакция №2</v>
      </c>
      <c r="E113" t="str">
        <v>Твердый переплет</v>
      </c>
      <c r="F113" t="str">
        <v>B2B</v>
      </c>
      <c r="G113">
        <v>41</v>
      </c>
      <c r="H113">
        <v>25379</v>
      </c>
    </row>
    <row r="114" spans="2:8" x14ac:dyDescent="0.55000000000000004">
      <c r="B114" t="str">
        <v>«Война и мир» — Лев Толстой</v>
      </c>
      <c r="C114" s="9">
        <v>42169</v>
      </c>
      <c r="D114" t="str">
        <v>Редакция №2</v>
      </c>
      <c r="E114" t="str">
        <v>Покетбук</v>
      </c>
      <c r="F114" t="str">
        <v>Интернет-магазин</v>
      </c>
      <c r="G114">
        <v>42</v>
      </c>
      <c r="H114">
        <v>22008</v>
      </c>
    </row>
    <row r="115" spans="2:8" x14ac:dyDescent="0.55000000000000004">
      <c r="B115" t="str">
        <v>«Крестный отец» — Марио Пьюзо</v>
      </c>
      <c r="C115" s="9">
        <v>44046</v>
      </c>
      <c r="D115" t="str">
        <v>Редакция №1</v>
      </c>
      <c r="E115" t="str">
        <v>Покетбук</v>
      </c>
      <c r="F115" t="str">
        <v>Интернет-магазин</v>
      </c>
      <c r="G115">
        <v>42</v>
      </c>
      <c r="H115">
        <v>21378</v>
      </c>
    </row>
    <row r="116" spans="2:8" x14ac:dyDescent="0.55000000000000004">
      <c r="B116" t="str">
        <v>«Хайди» — Иоганна Шпири</v>
      </c>
      <c r="C116" s="9">
        <v>42229</v>
      </c>
      <c r="D116" t="str">
        <v>Редакция №1</v>
      </c>
      <c r="E116" t="str">
        <v>Твердый переплет</v>
      </c>
      <c r="F116" t="str">
        <v>Интернет-магазин</v>
      </c>
      <c r="G116">
        <v>42</v>
      </c>
      <c r="H116">
        <v>21798</v>
      </c>
    </row>
    <row r="117" spans="2:8" x14ac:dyDescent="0.55000000000000004">
      <c r="B117" t="str">
        <v>«Собака Баскервилей» — Артур Конан Дойль</v>
      </c>
      <c r="C117" s="9">
        <v>43058</v>
      </c>
      <c r="D117" t="str">
        <v>Редакция №2</v>
      </c>
      <c r="E117" t="str">
        <v>Мягкая обложка</v>
      </c>
      <c r="F117" t="str">
        <v>B2B</v>
      </c>
      <c r="G117">
        <v>42</v>
      </c>
      <c r="H117">
        <v>26964</v>
      </c>
    </row>
    <row r="118" spans="2:8" x14ac:dyDescent="0.55000000000000004">
      <c r="B118" t="str">
        <v>«Имя розы» — Умберто Эко</v>
      </c>
      <c r="C118" s="9">
        <v>38243</v>
      </c>
      <c r="D118" t="str">
        <v>Редакция №1</v>
      </c>
      <c r="E118" t="str">
        <v>Мягкая обложка</v>
      </c>
      <c r="F118" t="str">
        <v>B2B</v>
      </c>
      <c r="G118">
        <v>43</v>
      </c>
      <c r="H118">
        <v>22317</v>
      </c>
    </row>
    <row r="119" spans="2:8" x14ac:dyDescent="0.55000000000000004">
      <c r="B119" t="str">
        <v>«Возвращение в Брайдсхед» — Ивлин Во</v>
      </c>
      <c r="C119" s="9">
        <v>43639</v>
      </c>
      <c r="D119" t="str">
        <v>Редакция №2</v>
      </c>
      <c r="E119" t="str">
        <v>Покетбук</v>
      </c>
      <c r="F119" t="str">
        <v>Интернет-магазин</v>
      </c>
      <c r="G119">
        <v>44</v>
      </c>
      <c r="H119">
        <v>19536</v>
      </c>
    </row>
    <row r="120" spans="2:8" x14ac:dyDescent="0.55000000000000004">
      <c r="B120" t="str">
        <v>«Стража! Стража!» — Терри Пратчетт</v>
      </c>
      <c r="C120" s="9">
        <v>42647</v>
      </c>
      <c r="D120" t="str">
        <v>Редакция №2</v>
      </c>
      <c r="E120" t="str">
        <v>Покетбук</v>
      </c>
      <c r="F120" t="str">
        <v>Интернет-магазин</v>
      </c>
      <c r="G120">
        <v>44</v>
      </c>
      <c r="H120">
        <v>18172</v>
      </c>
    </row>
    <row r="121" spans="2:8" x14ac:dyDescent="0.55000000000000004">
      <c r="B121" t="str">
        <v>«Пурпурный цвет» — Элис Уокер</v>
      </c>
      <c r="C121" s="9">
        <v>43429</v>
      </c>
      <c r="D121" t="str">
        <v>Редакция №2</v>
      </c>
      <c r="E121" t="str">
        <v>Твердый переплет</v>
      </c>
      <c r="F121" t="str">
        <v>Интернет-магазин</v>
      </c>
      <c r="G121">
        <v>44</v>
      </c>
      <c r="H121">
        <v>21604</v>
      </c>
    </row>
    <row r="122" spans="2:8" x14ac:dyDescent="0.55000000000000004">
      <c r="B122" t="str">
        <v>«Искупление» — Иэн Макьюэн</v>
      </c>
      <c r="C122" s="9">
        <v>43429</v>
      </c>
      <c r="D122" t="str">
        <v>Редакция №1</v>
      </c>
      <c r="E122" t="str">
        <v>Покетбук</v>
      </c>
      <c r="F122" t="str">
        <v>Интернет-магазин</v>
      </c>
      <c r="G122">
        <v>44</v>
      </c>
      <c r="H122">
        <v>17864</v>
      </c>
    </row>
    <row r="123" spans="2:8" x14ac:dyDescent="0.55000000000000004">
      <c r="B123" t="str">
        <v>«Автостопом по галактике» — Дуглас Адамс</v>
      </c>
      <c r="C123" s="9">
        <v>42908</v>
      </c>
      <c r="D123" t="str">
        <v>Редакция №1</v>
      </c>
      <c r="E123" t="str">
        <v>Покетбук</v>
      </c>
      <c r="F123" t="str">
        <v>B2B</v>
      </c>
      <c r="G123">
        <v>44</v>
      </c>
      <c r="H123">
        <v>22396</v>
      </c>
    </row>
    <row r="124" spans="2:8" x14ac:dyDescent="0.55000000000000004">
      <c r="B124" t="str">
        <v>«Ямы» — Луис Сейкер</v>
      </c>
      <c r="C124" s="9">
        <v>42759</v>
      </c>
      <c r="D124" t="str">
        <v>Редакция №1</v>
      </c>
      <c r="E124" t="str">
        <v>Твердый переплет</v>
      </c>
      <c r="F124" t="str">
        <v>Интернет-магазин</v>
      </c>
      <c r="G124">
        <v>45</v>
      </c>
      <c r="H124">
        <v>22365</v>
      </c>
    </row>
    <row r="125" spans="2:8" x14ac:dyDescent="0.55000000000000004">
      <c r="B125" t="str">
        <v>«На западном фронте без перемен» — Эрих Мария Ремарк</v>
      </c>
      <c r="C125" s="9">
        <v>42315</v>
      </c>
      <c r="D125" t="str">
        <v>Редакция №1</v>
      </c>
      <c r="E125" t="str">
        <v>Твердый переплет</v>
      </c>
      <c r="F125" t="str">
        <v>Интернет-магазин</v>
      </c>
      <c r="G125">
        <v>45</v>
      </c>
      <c r="H125">
        <v>23715</v>
      </c>
    </row>
    <row r="126" spans="2:8" x14ac:dyDescent="0.55000000000000004">
      <c r="B126" t="str">
        <v>«Ким» — Редьярд Киплинг</v>
      </c>
      <c r="C126" s="9">
        <v>43767</v>
      </c>
      <c r="D126" t="str">
        <v>Редакция №2</v>
      </c>
      <c r="E126" t="str">
        <v>Мягкая обложка</v>
      </c>
      <c r="F126" t="str">
        <v>Интернет-магазин</v>
      </c>
      <c r="G126">
        <v>45</v>
      </c>
      <c r="H126">
        <v>21105</v>
      </c>
    </row>
    <row r="127" spans="2:8" x14ac:dyDescent="0.55000000000000004">
      <c r="B127" t="str">
        <v>«Крестики-нолики» — Мэлори Блэкмен</v>
      </c>
      <c r="C127" s="9">
        <v>43766</v>
      </c>
      <c r="D127" t="str">
        <v>Редакция №2</v>
      </c>
      <c r="E127" t="str">
        <v>Твердый переплет</v>
      </c>
      <c r="F127" t="str">
        <v>B2B</v>
      </c>
      <c r="G127">
        <v>45</v>
      </c>
      <c r="H127">
        <v>24570</v>
      </c>
    </row>
    <row r="128" spans="2:8" x14ac:dyDescent="0.55000000000000004">
      <c r="B128" t="str">
        <v>«Мастер и Маргарита» — Михаил Булгаков</v>
      </c>
      <c r="C128" s="9">
        <v>43307</v>
      </c>
      <c r="D128" t="str">
        <v>Редакция №1</v>
      </c>
      <c r="E128" t="str">
        <v>Покетбук</v>
      </c>
      <c r="F128" t="str">
        <v>Интернет-магазин</v>
      </c>
      <c r="G128">
        <v>46</v>
      </c>
      <c r="H128">
        <v>25162</v>
      </c>
    </row>
    <row r="129" spans="2:8" x14ac:dyDescent="0.55000000000000004">
      <c r="B129" t="str">
        <v>«Аня из Зелёных Мезонинов» — Люси Мод Монтгомери</v>
      </c>
      <c r="C129" s="9">
        <v>44039</v>
      </c>
      <c r="D129" t="str">
        <v>Редакция №2</v>
      </c>
      <c r="E129" t="str">
        <v>Покетбук</v>
      </c>
      <c r="F129" t="str">
        <v>Интернет-магазин</v>
      </c>
      <c r="G129">
        <v>47</v>
      </c>
      <c r="H129">
        <v>18941</v>
      </c>
    </row>
    <row r="130" spans="2:8" x14ac:dyDescent="0.55000000000000004">
      <c r="B130" t="str">
        <v>«Дневник Бриджит Джонс» — Хелен Филдинг</v>
      </c>
      <c r="C130" s="9">
        <v>43226</v>
      </c>
      <c r="D130" t="str">
        <v>Редакция №2</v>
      </c>
      <c r="E130" t="str">
        <v>Покетбук</v>
      </c>
      <c r="F130" t="str">
        <v>Интернет-магазин</v>
      </c>
      <c r="G130">
        <v>47</v>
      </c>
      <c r="H130">
        <v>25004</v>
      </c>
    </row>
    <row r="131" spans="2:8" x14ac:dyDescent="0.55000000000000004">
      <c r="B131" t="str">
        <v>«Рискованные игры» — Жаклин Уилсон</v>
      </c>
      <c r="C131" s="9">
        <v>42962</v>
      </c>
      <c r="D131" t="str">
        <v>Редакция №2</v>
      </c>
      <c r="E131" t="str">
        <v>Покетбук</v>
      </c>
      <c r="F131" t="str">
        <v>Интернет-магазин</v>
      </c>
      <c r="G131">
        <v>47</v>
      </c>
      <c r="H131">
        <v>19129</v>
      </c>
    </row>
    <row r="132" spans="2:8" x14ac:dyDescent="0.55000000000000004">
      <c r="B132" t="str">
        <v>«На игле» — Ирвин Уэлш</v>
      </c>
      <c r="C132" s="9">
        <v>42254</v>
      </c>
      <c r="D132" t="str">
        <v>Редакция №1</v>
      </c>
      <c r="E132" t="str">
        <v>Твердый переплет</v>
      </c>
      <c r="F132" t="str">
        <v>Интернет-магазин</v>
      </c>
      <c r="G132">
        <v>47</v>
      </c>
      <c r="H132">
        <v>19505</v>
      </c>
    </row>
    <row r="133" spans="2:8" x14ac:dyDescent="0.55000000000000004">
      <c r="B133" t="str">
        <v>«Цветы на чердаке» — Вирджиния Эндрюс</v>
      </c>
      <c r="C133" s="9">
        <v>43312</v>
      </c>
      <c r="D133" t="str">
        <v>Редакция №2</v>
      </c>
      <c r="E133" t="str">
        <v>Мягкая обложка</v>
      </c>
      <c r="F133" t="str">
        <v>Интернет-магазин</v>
      </c>
      <c r="G133">
        <v>47</v>
      </c>
      <c r="H133">
        <v>24440</v>
      </c>
    </row>
    <row r="134" spans="2:8" x14ac:dyDescent="0.55000000000000004">
      <c r="B134" t="str">
        <v>«Артемис Фаул» — Йон Колфер</v>
      </c>
      <c r="C134" s="9">
        <v>44019</v>
      </c>
      <c r="D134" t="str">
        <v>Редакция №1</v>
      </c>
      <c r="E134" t="str">
        <v>Покетбук</v>
      </c>
      <c r="F134" t="str">
        <v>B2B</v>
      </c>
      <c r="G134">
        <v>47</v>
      </c>
      <c r="H134">
        <v>26085</v>
      </c>
    </row>
    <row r="135" spans="2:8" x14ac:dyDescent="0.55000000000000004">
      <c r="B135" t="str">
        <v>«Преступление и наказание» — Фёдор Достоевский</v>
      </c>
      <c r="C135" s="9">
        <v>43098</v>
      </c>
      <c r="D135" t="str">
        <v>Редакция №1</v>
      </c>
      <c r="E135" t="str">
        <v>Мягкая обложка</v>
      </c>
      <c r="F135" t="str">
        <v>Интернет-магазин</v>
      </c>
      <c r="G135">
        <v>48</v>
      </c>
      <c r="H135">
        <v>23376</v>
      </c>
    </row>
    <row r="136" spans="2:8" x14ac:dyDescent="0.55000000000000004">
      <c r="B136" t="str">
        <v>«К востоку от рая» — Джон Стейнбек</v>
      </c>
      <c r="C136" s="9">
        <v>42369</v>
      </c>
      <c r="D136" t="str">
        <v>Редакция №1</v>
      </c>
      <c r="E136" t="str">
        <v>Покетбук</v>
      </c>
      <c r="F136" t="str">
        <v>Интернет-магазин</v>
      </c>
      <c r="G136">
        <v>48</v>
      </c>
      <c r="H136">
        <v>20592</v>
      </c>
    </row>
    <row r="137" spans="2:8" x14ac:dyDescent="0.55000000000000004">
      <c r="B137" t="str">
        <v>«Мотылёк» — Анри Шарьер</v>
      </c>
      <c r="C137" s="9">
        <v>43828</v>
      </c>
      <c r="D137" t="str">
        <v>Редакция №2</v>
      </c>
      <c r="E137" t="str">
        <v>Твердый переплет</v>
      </c>
      <c r="F137" t="str">
        <v>Интернет-магазин</v>
      </c>
      <c r="G137">
        <v>48</v>
      </c>
      <c r="H137">
        <v>24624</v>
      </c>
    </row>
    <row r="138" spans="2:8" x14ac:dyDescent="0.55000000000000004">
      <c r="B138" t="str">
        <v>«Алхимик» — Пауло Коэльо</v>
      </c>
      <c r="C138" s="9">
        <v>42865</v>
      </c>
      <c r="D138" t="str">
        <v>Редакция №2</v>
      </c>
      <c r="E138" t="str">
        <v>Мягкая обложка</v>
      </c>
      <c r="F138" t="str">
        <v>Интернет-магазин</v>
      </c>
      <c r="G138">
        <v>49</v>
      </c>
      <c r="H138">
        <v>26852</v>
      </c>
    </row>
    <row r="139" spans="2:8" x14ac:dyDescent="0.55000000000000004">
      <c r="B139" t="str">
        <v>«Трое в лодке, не считая собаки» — Джером К</v>
      </c>
      <c r="C139" s="9">
        <v>42332</v>
      </c>
      <c r="D139" t="str">
        <v>Редакция №2</v>
      </c>
      <c r="E139" t="str">
        <v>Покетбук</v>
      </c>
      <c r="F139" t="str">
        <v>Интернет-магазин</v>
      </c>
      <c r="G139">
        <v>49</v>
      </c>
      <c r="H139">
        <v>23079</v>
      </c>
    </row>
    <row r="140" spans="2:8" x14ac:dyDescent="0.55000000000000004">
      <c r="B140" t="str">
        <v>«Убить пересмешника» — Харпер Ли</v>
      </c>
      <c r="C140" s="9">
        <v>44108</v>
      </c>
      <c r="D140" t="str">
        <v>Редакция №2</v>
      </c>
      <c r="E140" t="str">
        <v>Твердый переплет</v>
      </c>
      <c r="F140" t="str">
        <v>Интернет-магазин</v>
      </c>
      <c r="G140">
        <v>50</v>
      </c>
      <c r="H140">
        <v>20700</v>
      </c>
    </row>
    <row r="141" spans="2:8" x14ac:dyDescent="0.55000000000000004">
      <c r="B141" t="str">
        <v>«Эмма» — Джейн Остин</v>
      </c>
      <c r="C141" s="9">
        <v>44048</v>
      </c>
      <c r="D141" t="str">
        <v>Редакция №1</v>
      </c>
      <c r="E141" t="str">
        <v>Покетбук</v>
      </c>
      <c r="F141" t="str">
        <v>Интернет-магазин</v>
      </c>
      <c r="G141">
        <v>50</v>
      </c>
      <c r="H141">
        <v>27400</v>
      </c>
    </row>
    <row r="142" spans="2:8" x14ac:dyDescent="0.55000000000000004">
      <c r="B142" t="str">
        <v>«Они играли на траве» — Терри Венейблс и Гордон М</v>
      </c>
      <c r="C142" s="9">
        <v>43329</v>
      </c>
      <c r="D142" t="str">
        <v>Редакция №1</v>
      </c>
      <c r="E142" t="str">
        <v>Твердый переплет</v>
      </c>
      <c r="F142" t="str">
        <v>Интернет-магазин</v>
      </c>
      <c r="G142">
        <v>50</v>
      </c>
      <c r="H142">
        <v>23050</v>
      </c>
    </row>
    <row r="143" spans="2:8" x14ac:dyDescent="0.55000000000000004">
      <c r="B143" t="str">
        <v>«Дитя из чемодана» — Жаклин Уилсон</v>
      </c>
      <c r="C143" s="9">
        <v>42728</v>
      </c>
      <c r="D143" t="str">
        <v>Редакция №1</v>
      </c>
      <c r="E143" t="str">
        <v>Твердый переплет</v>
      </c>
      <c r="F143" t="str">
        <v>Интернет-магазин</v>
      </c>
      <c r="G143">
        <v>50</v>
      </c>
      <c r="H143">
        <v>27400</v>
      </c>
    </row>
    <row r="144" spans="2:8" x14ac:dyDescent="0.55000000000000004">
      <c r="B144" t="str">
        <v>«Сыновья и любовники» — Дэвид Герберт Лоуренс</v>
      </c>
      <c r="C144" s="9">
        <v>43074</v>
      </c>
      <c r="D144" t="str">
        <v>Редакция №2</v>
      </c>
      <c r="E144" t="str">
        <v>Покетбук</v>
      </c>
      <c r="F144" t="str">
        <v>Интернет-магазин</v>
      </c>
      <c r="G144">
        <v>50</v>
      </c>
      <c r="H144">
        <v>20350</v>
      </c>
    </row>
    <row r="145" spans="2:8" x14ac:dyDescent="0.55000000000000004">
      <c r="B145" t="str">
        <v>«Семейная реликвия» — Розамунд Пилчер</v>
      </c>
      <c r="C145" s="9">
        <v>42464</v>
      </c>
      <c r="D145" t="str">
        <v>Редакция №2</v>
      </c>
      <c r="E145" t="str">
        <v>Покетбук</v>
      </c>
      <c r="F145" t="str">
        <v>Интернет-магазин</v>
      </c>
      <c r="G145">
        <v>51</v>
      </c>
      <c r="H145">
        <v>23052</v>
      </c>
    </row>
    <row r="146" spans="2:8" x14ac:dyDescent="0.55000000000000004">
      <c r="B146" t="str">
        <v>«О мышах и людях» — Джон Стейнбек</v>
      </c>
      <c r="C146" s="9">
        <v>42641</v>
      </c>
      <c r="D146" t="str">
        <v>Редакция №1</v>
      </c>
      <c r="E146" t="str">
        <v>Мягкая обложка</v>
      </c>
      <c r="F146" t="str">
        <v>Интернет-магазин</v>
      </c>
      <c r="G146">
        <v>51</v>
      </c>
      <c r="H146">
        <v>26367</v>
      </c>
    </row>
    <row r="147" spans="2:8" x14ac:dyDescent="0.55000000000000004">
      <c r="B147" t="str">
        <v>«Приключения Оливера Твиста» — Чарльз Диккенс</v>
      </c>
      <c r="C147" s="9">
        <v>42908</v>
      </c>
      <c r="D147" t="str">
        <v>Редакция №2</v>
      </c>
      <c r="E147" t="str">
        <v>Твердый переплет</v>
      </c>
      <c r="F147" t="str">
        <v>Интернет-магазин</v>
      </c>
      <c r="G147">
        <v>51</v>
      </c>
      <c r="H147">
        <v>25959</v>
      </c>
    </row>
    <row r="148" spans="2:8" x14ac:dyDescent="0.55000000000000004">
      <c r="B148" t="str">
        <v>«Женщина в белом» — Уильям Уилки Коллинз</v>
      </c>
      <c r="C148" s="9">
        <v>43650</v>
      </c>
      <c r="D148" t="str">
        <v>Редакция №1</v>
      </c>
      <c r="E148" t="str">
        <v>Покетбук</v>
      </c>
      <c r="F148" t="str">
        <v>B2B</v>
      </c>
      <c r="G148">
        <v>51</v>
      </c>
      <c r="H148">
        <v>31671</v>
      </c>
    </row>
    <row r="149" spans="2:8" x14ac:dyDescent="0.55000000000000004">
      <c r="B149" t="str">
        <v>«Ведьмы за границей» — Терри Пратчетт</v>
      </c>
      <c r="C149" s="9">
        <v>44131</v>
      </c>
      <c r="D149" t="str">
        <v>Редакция №2</v>
      </c>
      <c r="E149" t="str">
        <v>Покетбук</v>
      </c>
      <c r="F149" t="str">
        <v>B2B</v>
      </c>
      <c r="G149">
        <v>51</v>
      </c>
      <c r="H149">
        <v>27744</v>
      </c>
    </row>
    <row r="150" spans="2:8" x14ac:dyDescent="0.55000000000000004">
      <c r="B150" t="str">
        <v>«Гарри Поттер и Тайная комната» — Джоан Роулинг</v>
      </c>
      <c r="C150" s="9">
        <v>43238</v>
      </c>
      <c r="D150" t="str">
        <v>Редакция №2</v>
      </c>
      <c r="E150" t="str">
        <v>Покетбук</v>
      </c>
      <c r="F150" t="str">
        <v>Интернет-магазин</v>
      </c>
      <c r="G150">
        <v>52</v>
      </c>
      <c r="H150">
        <v>21996</v>
      </c>
    </row>
    <row r="151" spans="2:8" x14ac:dyDescent="0.55000000000000004">
      <c r="B151" t="str">
        <v>«Дракула» — Брэм Стокер</v>
      </c>
      <c r="C151" s="9">
        <v>42481</v>
      </c>
      <c r="D151" t="str">
        <v>Редакция №2</v>
      </c>
      <c r="E151" t="str">
        <v>Твердый переплет</v>
      </c>
      <c r="F151" t="str">
        <v>Интернет-магазин</v>
      </c>
      <c r="G151">
        <v>52</v>
      </c>
      <c r="H151">
        <v>27248</v>
      </c>
    </row>
    <row r="152" spans="2:8" x14ac:dyDescent="0.55000000000000004">
      <c r="B152" t="str">
        <v>«Ангус, ремни и конкретные обжимашки» — Луиз Рэннисон</v>
      </c>
      <c r="C152" s="9">
        <v>42514</v>
      </c>
      <c r="D152" t="str">
        <v>Редакция №2</v>
      </c>
      <c r="E152" t="str">
        <v>Мягкая обложка</v>
      </c>
      <c r="F152" t="str">
        <v>Интернет-магазин</v>
      </c>
      <c r="G152">
        <v>52</v>
      </c>
      <c r="H152">
        <v>23296</v>
      </c>
    </row>
    <row r="153" spans="2:8" x14ac:dyDescent="0.55000000000000004">
      <c r="B153" t="str">
        <v>«Вечеринка с ночёвкой» — Жаклин Уилсон</v>
      </c>
      <c r="C153" s="9">
        <v>42654</v>
      </c>
      <c r="D153" t="str">
        <v>Редакция №1</v>
      </c>
      <c r="E153" t="str">
        <v>Мягкая обложка</v>
      </c>
      <c r="F153" t="str">
        <v>Интернет-магазин</v>
      </c>
      <c r="G153">
        <v>52</v>
      </c>
      <c r="H153">
        <v>23348</v>
      </c>
    </row>
    <row r="154" spans="2:8" x14ac:dyDescent="0.55000000000000004">
      <c r="B154" t="str">
        <v>«Девчонки гуляют допоздна» — Жаклин Уилсон</v>
      </c>
      <c r="C154" s="9">
        <v>43971</v>
      </c>
      <c r="D154" t="str">
        <v>Редакция №2</v>
      </c>
      <c r="E154" t="str">
        <v>Твердый переплет</v>
      </c>
      <c r="F154" t="str">
        <v>Интернет-магазин</v>
      </c>
      <c r="G154">
        <v>52</v>
      </c>
      <c r="H154">
        <v>24544</v>
      </c>
    </row>
    <row r="155" spans="2:8" x14ac:dyDescent="0.55000000000000004">
      <c r="B155" t="str">
        <v>«День Шакала» — Фредерик Форсайт</v>
      </c>
      <c r="C155" s="9">
        <v>42683</v>
      </c>
      <c r="D155" t="str">
        <v>Редакция №2</v>
      </c>
      <c r="E155" t="str">
        <v>Мягкая обложка</v>
      </c>
      <c r="F155" t="str">
        <v>Интернет-магазин</v>
      </c>
      <c r="G155">
        <v>53</v>
      </c>
      <c r="H155">
        <v>24009</v>
      </c>
    </row>
    <row r="156" spans="2:8" x14ac:dyDescent="0.55000000000000004">
      <c r="B156" t="str">
        <v>«Лечение Джорджа Марвелуса» — Роальд Даль</v>
      </c>
      <c r="C156" s="9">
        <v>43639</v>
      </c>
      <c r="D156" t="str">
        <v>Редакция №1</v>
      </c>
      <c r="E156" t="str">
        <v>Твердый переплет</v>
      </c>
      <c r="F156" t="str">
        <v>Интернет-магазин</v>
      </c>
      <c r="G156">
        <v>53</v>
      </c>
      <c r="H156">
        <v>21518</v>
      </c>
    </row>
    <row r="157" spans="2:8" x14ac:dyDescent="0.55000000000000004">
      <c r="B157" t="str">
        <v>«Ключ от всех дверей» — Энтони Горовиц</v>
      </c>
      <c r="C157" s="9">
        <v>43376</v>
      </c>
      <c r="D157" t="str">
        <v>Редакция №2</v>
      </c>
      <c r="E157" t="str">
        <v>Твердый переплет</v>
      </c>
      <c r="F157" t="str">
        <v>Интернет-магазин</v>
      </c>
      <c r="G157">
        <v>53</v>
      </c>
      <c r="H157">
        <v>23903</v>
      </c>
    </row>
    <row r="158" spans="2:8" x14ac:dyDescent="0.55000000000000004">
      <c r="B158" t="str">
        <v>«Каин и Авель» — Джеффри Арчер</v>
      </c>
      <c r="C158" s="9">
        <v>43385</v>
      </c>
      <c r="D158" t="str">
        <v>Редакция №2</v>
      </c>
      <c r="E158" t="str">
        <v>Мягкая обложка</v>
      </c>
      <c r="F158" t="str">
        <v>Интернет-магазин</v>
      </c>
      <c r="G158">
        <v>54</v>
      </c>
      <c r="H158">
        <v>21870</v>
      </c>
    </row>
    <row r="159" spans="2:8" x14ac:dyDescent="0.55000000000000004">
      <c r="B159" t="str">
        <v>«Серебряный меч» — Ян Серрэйлер</v>
      </c>
      <c r="C159" s="9">
        <v>44139</v>
      </c>
      <c r="D159" t="str">
        <v>Редакция №2</v>
      </c>
      <c r="E159" t="str">
        <v>Твердый переплет</v>
      </c>
      <c r="F159" t="str">
        <v>Интернет-магазин</v>
      </c>
      <c r="G159">
        <v>54</v>
      </c>
      <c r="H159">
        <v>28782</v>
      </c>
    </row>
    <row r="160" spans="2:8" x14ac:dyDescent="0.55000000000000004">
      <c r="B160" t="str">
        <v>«Мужчина и мальчик» — Тони Парсонс</v>
      </c>
      <c r="C160" s="9">
        <v>42648</v>
      </c>
      <c r="D160" t="str">
        <v>Редакция №2</v>
      </c>
      <c r="E160" t="str">
        <v>Твердый переплет</v>
      </c>
      <c r="F160" t="str">
        <v>Интернет-магазин</v>
      </c>
      <c r="G160">
        <v>54</v>
      </c>
      <c r="H160">
        <v>27972</v>
      </c>
    </row>
    <row r="161" spans="2:8" x14ac:dyDescent="0.55000000000000004">
      <c r="B161" t="str">
        <v>«Сто лет одиночества» — Габриэль Гарсиа Маркес</v>
      </c>
      <c r="C161" s="9">
        <v>42767</v>
      </c>
      <c r="D161" t="str">
        <v>Редакция №2</v>
      </c>
      <c r="E161" t="str">
        <v>Покетбук</v>
      </c>
      <c r="F161" t="str">
        <v>Интернет-магазин</v>
      </c>
      <c r="G161">
        <v>55</v>
      </c>
      <c r="H161">
        <v>28710</v>
      </c>
    </row>
    <row r="162" spans="2:8" x14ac:dyDescent="0.55000000000000004">
      <c r="B162" t="str">
        <v>«День триффидов» — Джон Уиндем</v>
      </c>
      <c r="C162" s="9">
        <v>42182</v>
      </c>
      <c r="D162" t="str">
        <v>Редакция №1</v>
      </c>
      <c r="E162" t="str">
        <v>Мягкая обложка</v>
      </c>
      <c r="F162" t="str">
        <v>Интернет-магазин</v>
      </c>
      <c r="G162">
        <v>55</v>
      </c>
      <c r="H162">
        <v>27060</v>
      </c>
    </row>
    <row r="163" spans="2:8" x14ac:dyDescent="0.55000000000000004">
      <c r="B163" t="str">
        <v>«Паутина Шарлотты» — Элвин Брукс Уайт</v>
      </c>
      <c r="C163" s="9">
        <v>42419</v>
      </c>
      <c r="D163" t="str">
        <v>Редакция №2</v>
      </c>
      <c r="E163" t="str">
        <v>Твердый переплет</v>
      </c>
      <c r="F163" t="str">
        <v>Интернет-магазин</v>
      </c>
      <c r="G163">
        <v>55</v>
      </c>
      <c r="H163">
        <v>23760</v>
      </c>
    </row>
    <row r="164" spans="2:8" x14ac:dyDescent="0.55000000000000004">
      <c r="B164" t="str">
        <v>«Ведьмы за границей» — Терри Пратчетт</v>
      </c>
      <c r="C164" s="9">
        <v>44131</v>
      </c>
      <c r="D164" t="str">
        <v>Редакция №2</v>
      </c>
      <c r="E164" t="str">
        <v>Покетбук</v>
      </c>
      <c r="F164" t="str">
        <v>Интернет-магазин</v>
      </c>
      <c r="G164">
        <v>55</v>
      </c>
      <c r="H164">
        <v>23430</v>
      </c>
    </row>
    <row r="165" spans="2:8" x14ac:dyDescent="0.55000000000000004">
      <c r="B165" t="str">
        <v>«Женщина в белом» — Уильям Уилки Коллинз</v>
      </c>
      <c r="C165" s="9">
        <v>43650</v>
      </c>
      <c r="D165" t="str">
        <v>Редакция №1</v>
      </c>
      <c r="E165" t="str">
        <v>Покетбук</v>
      </c>
      <c r="F165" t="str">
        <v>Интернет-магазин</v>
      </c>
      <c r="G165">
        <v>56</v>
      </c>
      <c r="H165">
        <v>26544</v>
      </c>
    </row>
    <row r="166" spans="2:8" x14ac:dyDescent="0.55000000000000004">
      <c r="B166" t="str">
        <v>«Двойняшки» — Жаклин Уилсон</v>
      </c>
      <c r="C166" s="9">
        <v>43937</v>
      </c>
      <c r="D166" t="str">
        <v>Редакция №1</v>
      </c>
      <c r="E166" t="str">
        <v>Мягкая обложка</v>
      </c>
      <c r="F166" t="str">
        <v>Интернет-магазин</v>
      </c>
      <c r="G166">
        <v>57</v>
      </c>
      <c r="H166">
        <v>29469</v>
      </c>
    </row>
    <row r="167" spans="2:8" x14ac:dyDescent="0.55000000000000004">
      <c r="B167" t="str">
        <v>«Ярмарка тщеславия» — Уильям Теккерей</v>
      </c>
      <c r="C167" s="9">
        <v>43309</v>
      </c>
      <c r="D167" t="str">
        <v>Редакция №2</v>
      </c>
      <c r="E167" t="str">
        <v>Покетбук</v>
      </c>
      <c r="F167" t="str">
        <v>Интернет-магазин</v>
      </c>
      <c r="G167">
        <v>58</v>
      </c>
      <c r="H167">
        <v>28884</v>
      </c>
    </row>
    <row r="168" spans="2:8" x14ac:dyDescent="0.55000000000000004">
      <c r="B168" t="str">
        <v>«Девчонки в слезах» — Жаклин Уилсон</v>
      </c>
      <c r="C168" s="9">
        <v>43479</v>
      </c>
      <c r="D168" t="str">
        <v>Редакция №2</v>
      </c>
      <c r="E168" t="str">
        <v>Твердый переплет</v>
      </c>
      <c r="F168" t="str">
        <v>Интернет-магазин</v>
      </c>
      <c r="G168">
        <v>58</v>
      </c>
      <c r="H168">
        <v>24592</v>
      </c>
    </row>
    <row r="169" spans="2:8" x14ac:dyDescent="0.55000000000000004">
      <c r="B169" t="str">
        <v>«К оружию! К оружию!» — Терри Пратчетт</v>
      </c>
      <c r="C169" s="9">
        <v>44021</v>
      </c>
      <c r="D169" t="str">
        <v>Редакция №1</v>
      </c>
      <c r="E169" t="str">
        <v>Твердый переплет</v>
      </c>
      <c r="F169" t="str">
        <v>Интернет-магазин</v>
      </c>
      <c r="G169">
        <v>58</v>
      </c>
      <c r="H169">
        <v>31610</v>
      </c>
    </row>
    <row r="170" spans="2:8" x14ac:dyDescent="0.55000000000000004">
      <c r="B170" t="str">
        <v>«Девочка-находка» — Жаклин Уилсон</v>
      </c>
      <c r="C170" s="9">
        <v>42642</v>
      </c>
      <c r="D170" t="str">
        <v>Редакция №2</v>
      </c>
      <c r="E170" t="str">
        <v>Мягкая обложка</v>
      </c>
      <c r="F170" t="str">
        <v>Интернет-магазин</v>
      </c>
      <c r="G170">
        <v>58</v>
      </c>
      <c r="H170">
        <v>27202</v>
      </c>
    </row>
    <row r="171" spans="2:8" x14ac:dyDescent="0.55000000000000004">
      <c r="B171" t="str">
        <v>«Сайлес Марнер» — Джордж Элиот</v>
      </c>
      <c r="C171" s="9">
        <v>42614</v>
      </c>
      <c r="D171" t="str">
        <v>Редакция №2</v>
      </c>
      <c r="E171" t="str">
        <v>Твердый переплет</v>
      </c>
      <c r="F171" t="str">
        <v>B2B</v>
      </c>
      <c r="G171">
        <v>58</v>
      </c>
      <c r="H171">
        <v>31030</v>
      </c>
    </row>
    <row r="172" spans="2:8" x14ac:dyDescent="0.55000000000000004">
      <c r="B172" t="str">
        <v>«Чёрный красавчик» — Анна Сьюэлл</v>
      </c>
      <c r="C172" s="9">
        <v>42571</v>
      </c>
      <c r="D172" t="str">
        <v>Редакция №1</v>
      </c>
      <c r="E172" t="str">
        <v>Покетбук</v>
      </c>
      <c r="F172" t="str">
        <v>Интернет-магазин</v>
      </c>
      <c r="G172">
        <v>59</v>
      </c>
      <c r="H172">
        <v>26078</v>
      </c>
    </row>
    <row r="173" spans="2:8" x14ac:dyDescent="0.55000000000000004">
      <c r="B173" t="str">
        <v>«Секреты» — Жаклин Уилсон</v>
      </c>
      <c r="C173" s="9">
        <v>43203</v>
      </c>
      <c r="D173" t="str">
        <v>Редакция №1</v>
      </c>
      <c r="E173" t="str">
        <v>Покетбук</v>
      </c>
      <c r="F173" t="str">
        <v>Интернет-магазин</v>
      </c>
      <c r="G173">
        <v>59</v>
      </c>
      <c r="H173">
        <v>30444</v>
      </c>
    </row>
    <row r="174" spans="2:8" x14ac:dyDescent="0.55000000000000004">
      <c r="B174" t="str">
        <v>«Мор, ученик Смерти» — Терри Пратчетт</v>
      </c>
      <c r="C174" s="9">
        <v>42724</v>
      </c>
      <c r="D174" t="str">
        <v>Редакция №2</v>
      </c>
      <c r="E174" t="str">
        <v>Мягкая обложка</v>
      </c>
      <c r="F174" t="str">
        <v>Интернет-магазин</v>
      </c>
      <c r="G174">
        <v>60</v>
      </c>
      <c r="H174">
        <v>30900</v>
      </c>
    </row>
    <row r="175" spans="2:8" x14ac:dyDescent="0.55000000000000004">
      <c r="B175" t="str">
        <v>«Белый пик» — Энтони Горовиц</v>
      </c>
      <c r="C175" s="9">
        <v>42645</v>
      </c>
      <c r="D175" t="str">
        <v>Редакция №1</v>
      </c>
      <c r="E175" t="str">
        <v>Покетбук</v>
      </c>
      <c r="F175" t="str">
        <v>Интернет-магазин</v>
      </c>
      <c r="G175">
        <v>60</v>
      </c>
      <c r="H175">
        <v>28980</v>
      </c>
    </row>
    <row r="176" spans="2:8" x14ac:dyDescent="0.55000000000000004">
      <c r="B176" t="str">
        <v>«Разрисованная мама» — Жаклин Уилсон</v>
      </c>
      <c r="C176" s="9">
        <v>42329</v>
      </c>
      <c r="D176" t="str">
        <v>Редакция №2</v>
      </c>
      <c r="E176" t="str">
        <v>Покетбук</v>
      </c>
      <c r="F176" t="str">
        <v>Интернет-магазин</v>
      </c>
      <c r="G176">
        <v>61</v>
      </c>
      <c r="H176">
        <v>29646</v>
      </c>
    </row>
    <row r="177" spans="2:8" x14ac:dyDescent="0.55000000000000004">
      <c r="B177" t="str">
        <v>«Волхв» — Джон Фаулз</v>
      </c>
      <c r="C177" s="9">
        <v>42244</v>
      </c>
      <c r="D177" t="str">
        <v>Редакция №1</v>
      </c>
      <c r="E177" t="str">
        <v>Мягкая обложка</v>
      </c>
      <c r="F177" t="str">
        <v>Интернет-магазин</v>
      </c>
      <c r="G177">
        <v>62</v>
      </c>
      <c r="H177">
        <v>34038</v>
      </c>
    </row>
    <row r="178" spans="2:8" x14ac:dyDescent="0.55000000000000004">
      <c r="B178" t="str">
        <v>«Джуд Незаметный» — Томас Харди</v>
      </c>
      <c r="C178" s="9">
        <v>42553</v>
      </c>
      <c r="D178" t="str">
        <v>Редакция №1</v>
      </c>
      <c r="E178" t="str">
        <v>Мягкая обложка</v>
      </c>
      <c r="F178" t="str">
        <v>Интернет-магазин</v>
      </c>
      <c r="G178">
        <v>62</v>
      </c>
      <c r="H178">
        <v>25606</v>
      </c>
    </row>
    <row r="179" spans="2:8" x14ac:dyDescent="0.55000000000000004">
      <c r="B179" t="str">
        <v>«Портрет Дориана Грея» — Оскар Уайльд</v>
      </c>
      <c r="C179" s="9">
        <v>42005</v>
      </c>
      <c r="D179" t="str">
        <v>Редакция №1</v>
      </c>
      <c r="E179" t="str">
        <v>Покетбук</v>
      </c>
      <c r="F179" t="str">
        <v>Интернет-магазин</v>
      </c>
      <c r="G179">
        <v>62</v>
      </c>
      <c r="H179">
        <v>29698</v>
      </c>
    </row>
    <row r="180" spans="2:8" x14ac:dyDescent="0.55000000000000004">
      <c r="B180" t="str">
        <v>«Денни — чемпион мира» — Роальд Даль</v>
      </c>
      <c r="C180" s="9">
        <v>43666</v>
      </c>
      <c r="D180" t="str">
        <v>Редакция №2</v>
      </c>
      <c r="E180" t="str">
        <v>Мягкая обложка</v>
      </c>
      <c r="F180" t="str">
        <v>Интернет-магазин</v>
      </c>
      <c r="G180">
        <v>62</v>
      </c>
      <c r="H180">
        <v>27404</v>
      </c>
    </row>
    <row r="181" spans="2:8" x14ac:dyDescent="0.55000000000000004">
      <c r="B181" t="str">
        <v>«Хрупкое равновесие» — Рохинтон Мистри</v>
      </c>
      <c r="C181" s="9">
        <v>44010</v>
      </c>
      <c r="D181" t="str">
        <v>Редакция №2</v>
      </c>
      <c r="E181" t="str">
        <v>Покетбук</v>
      </c>
      <c r="F181" t="str">
        <v>Интернет-магазин</v>
      </c>
      <c r="G181">
        <v>62</v>
      </c>
      <c r="H181">
        <v>26288</v>
      </c>
    </row>
    <row r="182" spans="2:8" x14ac:dyDescent="0.55000000000000004">
      <c r="B182" t="str">
        <v>«Гордость и предубеждение» — Джейн Остин</v>
      </c>
      <c r="C182" s="9">
        <v>42609</v>
      </c>
      <c r="D182" t="str">
        <v>Редакция №1</v>
      </c>
      <c r="E182" t="str">
        <v>Покетбук</v>
      </c>
      <c r="F182" t="str">
        <v>Интернет-магазин</v>
      </c>
      <c r="G182">
        <v>63</v>
      </c>
      <c r="H182">
        <v>33390</v>
      </c>
    </row>
    <row r="183" spans="2:8" x14ac:dyDescent="0.55000000000000004">
      <c r="B183" t="str">
        <v>«Вор времени» — Терри Пратчетт</v>
      </c>
      <c r="C183" s="9">
        <v>44108</v>
      </c>
      <c r="D183" t="str">
        <v>Редакция №1</v>
      </c>
      <c r="E183" t="str">
        <v>Мягкая обложка</v>
      </c>
      <c r="F183" t="str">
        <v>Интернет-магазин</v>
      </c>
      <c r="G183">
        <v>63</v>
      </c>
      <c r="H183">
        <v>33264</v>
      </c>
    </row>
    <row r="184" spans="2:8" x14ac:dyDescent="0.55000000000000004">
      <c r="B184" t="str">
        <v>«Алиса в Стране чудес» — Льюис Кэрролл</v>
      </c>
      <c r="C184" s="9">
        <v>42306</v>
      </c>
      <c r="D184" t="str">
        <v>Редакция №1</v>
      </c>
      <c r="E184" t="str">
        <v>Покетбук</v>
      </c>
      <c r="F184" t="str">
        <v>Интернет-магазин</v>
      </c>
      <c r="G184">
        <v>64</v>
      </c>
      <c r="H184">
        <v>34432</v>
      </c>
    </row>
    <row r="185" spans="2:8" x14ac:dyDescent="0.55000000000000004">
      <c r="B185" t="str">
        <v>«Девчонки в поисках любви» — Жаклин Уилсон</v>
      </c>
      <c r="C185" s="9">
        <v>43200</v>
      </c>
      <c r="D185" t="str">
        <v>Редакция №1</v>
      </c>
      <c r="E185" t="str">
        <v>Покетбук</v>
      </c>
      <c r="F185" t="str">
        <v>Интернет-магазин</v>
      </c>
      <c r="G185">
        <v>64</v>
      </c>
      <c r="H185">
        <v>33408</v>
      </c>
    </row>
    <row r="186" spans="2:8" x14ac:dyDescent="0.55000000000000004">
      <c r="B186" t="str">
        <v>«Зелёная миля» — Стивен Кинг</v>
      </c>
      <c r="C186" s="9">
        <v>43472</v>
      </c>
      <c r="D186" t="str">
        <v>Редакция №1</v>
      </c>
      <c r="E186" t="str">
        <v>Мягкая обложка</v>
      </c>
      <c r="F186" t="str">
        <v>Интернет-магазин</v>
      </c>
      <c r="G186">
        <v>64</v>
      </c>
      <c r="H186">
        <v>29568</v>
      </c>
    </row>
    <row r="187" spans="2:8" x14ac:dyDescent="0.55000000000000004">
      <c r="B187" t="str">
        <v>«Сайлес Марнер» — Джордж Элиот</v>
      </c>
      <c r="C187" s="9">
        <v>42614</v>
      </c>
      <c r="D187" t="str">
        <v>Редакция №2</v>
      </c>
      <c r="E187" t="str">
        <v>Твердый переплет</v>
      </c>
      <c r="F187" t="str">
        <v>Интернет-магазин</v>
      </c>
      <c r="G187">
        <v>64</v>
      </c>
      <c r="H187">
        <v>31040</v>
      </c>
    </row>
    <row r="188" spans="2:8" x14ac:dyDescent="0.55000000000000004">
      <c r="B188" t="str">
        <v>«Далёкое волшебное дерево» — Энид Блайтон</v>
      </c>
      <c r="C188" s="9">
        <v>44050</v>
      </c>
      <c r="D188" t="str">
        <v>Редакция №1</v>
      </c>
      <c r="E188" t="str">
        <v>Мягкая обложка</v>
      </c>
      <c r="F188" t="str">
        <v>B2B</v>
      </c>
      <c r="G188">
        <v>64</v>
      </c>
      <c r="H188">
        <v>38016</v>
      </c>
    </row>
    <row r="189" spans="2:8" x14ac:dyDescent="0.55000000000000004">
      <c r="B189" t="str">
        <v>«Мандолина капитана Корелли» — Луи де Берньер</v>
      </c>
      <c r="C189" s="9">
        <v>43417</v>
      </c>
      <c r="D189" t="str">
        <v>Редакция №1</v>
      </c>
      <c r="E189" t="str">
        <v>Покетбук</v>
      </c>
      <c r="F189" t="str">
        <v>Интернет-магазин</v>
      </c>
      <c r="G189">
        <v>65</v>
      </c>
      <c r="H189">
        <v>27820</v>
      </c>
    </row>
    <row r="190" spans="2:8" x14ac:dyDescent="0.55000000000000004">
      <c r="B190" t="str">
        <v>«Скотный двор» — Джордж Оруэлл</v>
      </c>
      <c r="C190" s="9">
        <v>43727</v>
      </c>
      <c r="D190" t="str">
        <v>Редакция №1</v>
      </c>
      <c r="E190" t="str">
        <v>Мягкая обложка</v>
      </c>
      <c r="F190" t="str">
        <v>Интернет-магазин</v>
      </c>
      <c r="G190">
        <v>65</v>
      </c>
      <c r="H190">
        <v>29640</v>
      </c>
    </row>
    <row r="191" spans="2:8" x14ac:dyDescent="0.55000000000000004">
      <c r="B191" t="str">
        <v>«Над пропастью во ржи» — Джером Сэлинджер</v>
      </c>
      <c r="C191" s="9">
        <v>42241</v>
      </c>
      <c r="D191" t="str">
        <v>Редакция №1</v>
      </c>
      <c r="E191" t="str">
        <v>Мягкая обложка</v>
      </c>
      <c r="F191" t="str">
        <v>Интернет-магазин</v>
      </c>
      <c r="G191">
        <v>66</v>
      </c>
      <c r="H191">
        <v>26466</v>
      </c>
    </row>
    <row r="192" spans="2:8" x14ac:dyDescent="0.55000000000000004">
      <c r="B192" t="str">
        <v>«Столпы Земли» — Кен Фоллетт</v>
      </c>
      <c r="C192" s="9">
        <v>43203</v>
      </c>
      <c r="D192" t="str">
        <v>Редакция №1</v>
      </c>
      <c r="E192" t="str">
        <v>Твердый переплет</v>
      </c>
      <c r="F192" t="str">
        <v>Интернет-магазин</v>
      </c>
      <c r="G192">
        <v>66</v>
      </c>
      <c r="H192">
        <v>35112</v>
      </c>
    </row>
    <row r="193" spans="2:8" x14ac:dyDescent="0.55000000000000004">
      <c r="B193" t="str">
        <v>«Автостопом по галактике» — Дуглас Адамс</v>
      </c>
      <c r="C193" s="9">
        <v>42908</v>
      </c>
      <c r="D193" t="str">
        <v>Редакция №1</v>
      </c>
      <c r="E193" t="str">
        <v>Покетбук</v>
      </c>
      <c r="F193" t="str">
        <v>Интернет-магазин</v>
      </c>
      <c r="G193">
        <v>67</v>
      </c>
      <c r="H193">
        <v>30820</v>
      </c>
    </row>
    <row r="194" spans="2:8" x14ac:dyDescent="0.55000000000000004">
      <c r="B194" t="str">
        <v>«Громобой» — Энтони Горовиц</v>
      </c>
      <c r="C194" s="9">
        <v>43245</v>
      </c>
      <c r="D194" t="str">
        <v>Редакция №1</v>
      </c>
      <c r="E194" t="str">
        <v>Мягкая обложка</v>
      </c>
      <c r="F194" t="str">
        <v>Интернет-магазин</v>
      </c>
      <c r="G194">
        <v>67</v>
      </c>
      <c r="H194">
        <v>29480</v>
      </c>
    </row>
    <row r="195" spans="2:8" x14ac:dyDescent="0.55000000000000004">
      <c r="B195" t="str">
        <v>«Гарри Поттер и Кубок огня» — Джоан Роулинг</v>
      </c>
      <c r="C195" s="9">
        <v>42104</v>
      </c>
      <c r="D195" t="str">
        <v>Редакция №2</v>
      </c>
      <c r="E195" t="str">
        <v>Твердый переплет</v>
      </c>
      <c r="F195" t="str">
        <v>Интернет-магазин</v>
      </c>
      <c r="G195">
        <v>68</v>
      </c>
      <c r="H195">
        <v>27812</v>
      </c>
    </row>
    <row r="196" spans="2:8" x14ac:dyDescent="0.55000000000000004">
      <c r="B196" t="str">
        <v>«Грозовой перевал» — Эмили Бронте</v>
      </c>
      <c r="C196" s="9">
        <v>43435</v>
      </c>
      <c r="D196" t="str">
        <v>Редакция №2</v>
      </c>
      <c r="E196" t="str">
        <v>Мягкая обложка</v>
      </c>
      <c r="F196" t="str">
        <v>Интернет-магазин</v>
      </c>
      <c r="G196">
        <v>68</v>
      </c>
      <c r="H196">
        <v>30464</v>
      </c>
    </row>
    <row r="197" spans="2:8" x14ac:dyDescent="0.55000000000000004">
      <c r="B197" t="str">
        <v>«Далёкое волшебное дерево» — Энид Блайтон</v>
      </c>
      <c r="C197" s="9">
        <v>44050</v>
      </c>
      <c r="D197" t="str">
        <v>Редакция №1</v>
      </c>
      <c r="E197" t="str">
        <v>Мягкая обложка</v>
      </c>
      <c r="F197" t="str">
        <v>Интернет-магазин</v>
      </c>
      <c r="G197">
        <v>68</v>
      </c>
      <c r="H197">
        <v>34748</v>
      </c>
    </row>
    <row r="198" spans="2:8" x14ac:dyDescent="0.55000000000000004">
      <c r="B198" t="str">
        <v>«Филантропы в рваных штанах» — Роберт Тресселл</v>
      </c>
      <c r="C198" s="9">
        <v>42526</v>
      </c>
      <c r="D198" t="str">
        <v>Редакция №1</v>
      </c>
      <c r="E198" t="str">
        <v>Покетбук</v>
      </c>
      <c r="F198" t="str">
        <v>Интернет-магазин</v>
      </c>
      <c r="G198">
        <v>68</v>
      </c>
      <c r="H198">
        <v>33456</v>
      </c>
    </row>
    <row r="199" spans="2:8" x14ac:dyDescent="0.55000000000000004">
      <c r="B199" t="str">
        <v>«Хозяин морей: Командир и штурман» — Патрик О’Брайан</v>
      </c>
      <c r="C199" s="9">
        <v>43224</v>
      </c>
      <c r="D199" t="str">
        <v>Редакция №2</v>
      </c>
      <c r="E199" t="str">
        <v>Твердый переплет</v>
      </c>
      <c r="F199" t="str">
        <v>Интернет-магазин</v>
      </c>
      <c r="G199">
        <v>68</v>
      </c>
      <c r="H199">
        <v>35632</v>
      </c>
    </row>
    <row r="200" spans="2:8" x14ac:dyDescent="0.55000000000000004">
      <c r="B200" t="str">
        <v>«Невыносимая лёгкость бытия» — Милан Кундера</v>
      </c>
      <c r="C200" s="9">
        <v>43492</v>
      </c>
      <c r="D200" t="str">
        <v>Редакция №2</v>
      </c>
      <c r="E200" t="str">
        <v>Твердый переплет</v>
      </c>
      <c r="F200" t="str">
        <v>Интернет-магазин</v>
      </c>
      <c r="G200">
        <v>68</v>
      </c>
      <c r="H200">
        <v>33388</v>
      </c>
    </row>
    <row r="201" spans="2:8" x14ac:dyDescent="0.55000000000000004">
      <c r="B201" t="str">
        <v>«Мотылёк» — Анри Шарьер</v>
      </c>
      <c r="C201" s="9">
        <v>43828</v>
      </c>
      <c r="D201" t="str">
        <v>Редакция №2</v>
      </c>
      <c r="E201" t="str">
        <v>Твердый переплет</v>
      </c>
      <c r="F201" t="str">
        <v>B2B</v>
      </c>
      <c r="G201">
        <v>68</v>
      </c>
      <c r="H201">
        <v>33592</v>
      </c>
    </row>
    <row r="202" spans="2:8" x14ac:dyDescent="0.55000000000000004">
      <c r="B202" t="str">
        <v>«Вдали от обезумевшей толпы» — Томас Харди</v>
      </c>
      <c r="C202" s="9">
        <v>43217</v>
      </c>
      <c r="D202" t="str">
        <v>Редакция №1</v>
      </c>
      <c r="E202" t="str">
        <v>Твердый переплет</v>
      </c>
      <c r="F202" t="str">
        <v>Интернет-магазин</v>
      </c>
      <c r="G202">
        <v>69</v>
      </c>
      <c r="H202">
        <v>30222</v>
      </c>
    </row>
    <row r="203" spans="2:8" x14ac:dyDescent="0.55000000000000004">
      <c r="B203" t="str">
        <v>«Сердце тьмы» — Джозеф Конрад</v>
      </c>
      <c r="C203" s="9">
        <v>43331</v>
      </c>
      <c r="D203" t="str">
        <v>Редакция №1</v>
      </c>
      <c r="E203" t="str">
        <v>Покетбук</v>
      </c>
      <c r="F203" t="str">
        <v>Интернет-магазин</v>
      </c>
      <c r="G203">
        <v>69</v>
      </c>
      <c r="H203">
        <v>33189</v>
      </c>
    </row>
    <row r="204" spans="2:8" x14ac:dyDescent="0.55000000000000004">
      <c r="B204" t="str">
        <v>«Сила единства» — Брайс Куртене</v>
      </c>
      <c r="C204" s="9">
        <v>43503</v>
      </c>
      <c r="D204" t="str">
        <v>Редакция №2</v>
      </c>
      <c r="E204" t="str">
        <v>Мягкая обложка</v>
      </c>
      <c r="F204" t="str">
        <v>Интернет-магазин</v>
      </c>
      <c r="G204">
        <v>70</v>
      </c>
      <c r="H204">
        <v>28630</v>
      </c>
    </row>
    <row r="205" spans="2:8" x14ac:dyDescent="0.55000000000000004">
      <c r="B205" t="str">
        <v>«В дороге» — Джек Керуак</v>
      </c>
      <c r="C205" s="9">
        <v>42784</v>
      </c>
      <c r="D205" t="str">
        <v>Редакция №1</v>
      </c>
      <c r="E205" t="str">
        <v>Твердый переплет</v>
      </c>
      <c r="F205" t="str">
        <v>Интернет-магазин</v>
      </c>
      <c r="G205">
        <v>71</v>
      </c>
      <c r="H205">
        <v>33370</v>
      </c>
    </row>
    <row r="206" spans="2:8" x14ac:dyDescent="0.55000000000000004">
      <c r="B206" t="str">
        <v>«Винни Пух» — Алан Александр Милн</v>
      </c>
      <c r="C206" s="9">
        <v>42806</v>
      </c>
      <c r="D206" t="str">
        <v>Редакция №2</v>
      </c>
      <c r="E206" t="str">
        <v>Твердый переплет</v>
      </c>
      <c r="F206" t="str">
        <v>Интернет-магазин</v>
      </c>
      <c r="G206">
        <v>72</v>
      </c>
      <c r="H206">
        <v>39312</v>
      </c>
    </row>
    <row r="207" spans="2:8" x14ac:dyDescent="0.55000000000000004">
      <c r="B207" t="str">
        <v>«Чарли и шоколадная фабрика» — Роальд Даль</v>
      </c>
      <c r="C207" s="9">
        <v>43374</v>
      </c>
      <c r="D207" t="str">
        <v>Редакция №1</v>
      </c>
      <c r="E207" t="str">
        <v>Твердый переплет</v>
      </c>
      <c r="F207" t="str">
        <v>Интернет-магазин</v>
      </c>
      <c r="G207">
        <v>72</v>
      </c>
      <c r="H207">
        <v>30024</v>
      </c>
    </row>
    <row r="208" spans="2:8" x14ac:dyDescent="0.55000000000000004">
      <c r="B208" t="str">
        <v>«Обитатели холмов» — Ричард Адамс</v>
      </c>
      <c r="C208" s="9">
        <v>42360</v>
      </c>
      <c r="D208" t="str">
        <v>Редакция №2</v>
      </c>
      <c r="E208" t="str">
        <v>Мягкая обложка</v>
      </c>
      <c r="F208" t="str">
        <v>Интернет-магазин</v>
      </c>
      <c r="G208">
        <v>73</v>
      </c>
      <c r="H208">
        <v>39128</v>
      </c>
    </row>
    <row r="209" spans="2:8" x14ac:dyDescent="0.55000000000000004">
      <c r="B209" t="str">
        <v>«Повелитель мух» — Уильям Голдинг</v>
      </c>
      <c r="C209" s="9">
        <v>42754</v>
      </c>
      <c r="D209" t="str">
        <v>Редакция №2</v>
      </c>
      <c r="E209" t="str">
        <v>Покетбук</v>
      </c>
      <c r="F209" t="str">
        <v>Интернет-магазин</v>
      </c>
      <c r="G209">
        <v>73</v>
      </c>
      <c r="H209">
        <v>36500</v>
      </c>
    </row>
    <row r="210" spans="2:8" x14ac:dyDescent="0.55000000000000004">
      <c r="B210" t="str">
        <v>«Цвет волшебства» — Терри Пратчетт</v>
      </c>
      <c r="C210" s="9">
        <v>43043</v>
      </c>
      <c r="D210" t="str">
        <v>Редакция №1</v>
      </c>
      <c r="E210" t="str">
        <v>Твердый переплет</v>
      </c>
      <c r="F210" t="str">
        <v>Интернет-магазин</v>
      </c>
      <c r="G210">
        <v>74</v>
      </c>
      <c r="H210">
        <v>29970</v>
      </c>
    </row>
    <row r="211" spans="2:8" x14ac:dyDescent="0.55000000000000004">
      <c r="B211" t="str">
        <v>«Обладать» — Антония Сьюзен Байетт</v>
      </c>
      <c r="C211" s="9">
        <v>42690</v>
      </c>
      <c r="D211" t="str">
        <v>Редакция №2</v>
      </c>
      <c r="E211" t="str">
        <v>Твердый переплет</v>
      </c>
      <c r="F211" t="str">
        <v>Интернет-магазин</v>
      </c>
      <c r="G211">
        <v>74</v>
      </c>
      <c r="H211">
        <v>30044</v>
      </c>
    </row>
    <row r="212" spans="2:8" x14ac:dyDescent="0.55000000000000004">
      <c r="B212" t="str">
        <v>«Hi-Fi» — Ник Хорнби</v>
      </c>
      <c r="C212" s="9">
        <v>43260</v>
      </c>
      <c r="D212" t="str">
        <v>Редакция №2</v>
      </c>
      <c r="E212" t="str">
        <v>Мягкая обложка</v>
      </c>
      <c r="F212" t="str">
        <v>Интернет-магазин</v>
      </c>
      <c r="G212">
        <v>74</v>
      </c>
      <c r="H212">
        <v>40330</v>
      </c>
    </row>
    <row r="213" spans="2:8" x14ac:dyDescent="0.55000000000000004">
      <c r="B213" t="str">
        <v>«Мир Софии» — Йостейн Гордер</v>
      </c>
      <c r="C213" s="9">
        <v>43140</v>
      </c>
      <c r="D213" t="str">
        <v>Редакция №1</v>
      </c>
      <c r="E213" t="str">
        <v>Твердый переплет</v>
      </c>
      <c r="F213" t="str">
        <v>Интернет-магазин</v>
      </c>
      <c r="G213">
        <v>74</v>
      </c>
      <c r="H213">
        <v>37518</v>
      </c>
    </row>
    <row r="214" spans="2:8" x14ac:dyDescent="0.55000000000000004">
      <c r="B214" t="str">
        <v>«Очень голодная гусеница» — Эрик Карл</v>
      </c>
      <c r="C214" s="9">
        <v>42923</v>
      </c>
      <c r="D214" t="str">
        <v>Редакция №1</v>
      </c>
      <c r="E214" t="str">
        <v>Твердый переплет</v>
      </c>
      <c r="F214" t="str">
        <v>Интернет-магазин</v>
      </c>
      <c r="G214">
        <v>74</v>
      </c>
      <c r="H214">
        <v>36038</v>
      </c>
    </row>
    <row r="215" spans="2:8" x14ac:dyDescent="0.55000000000000004">
      <c r="B215" t="str">
        <v>«БДВ, или Большой и добрый великан» — Роальд Даль</v>
      </c>
      <c r="C215" s="9">
        <v>42879</v>
      </c>
      <c r="D215" t="str">
        <v>Редакция №2</v>
      </c>
      <c r="E215" t="str">
        <v>Мягкая обложка</v>
      </c>
      <c r="F215" t="str">
        <v>Интернет-магазин</v>
      </c>
      <c r="G215">
        <v>76</v>
      </c>
      <c r="H215">
        <v>31996</v>
      </c>
    </row>
    <row r="216" spans="2:8" x14ac:dyDescent="0.55000000000000004">
      <c r="B216" t="str">
        <v>«На западном фронте без перемен» — Эрих Мария Ремарк</v>
      </c>
      <c r="C216" s="9">
        <v>42315</v>
      </c>
      <c r="D216" t="str">
        <v>Редакция №1</v>
      </c>
      <c r="E216" t="str">
        <v>Твердый переплет</v>
      </c>
      <c r="F216" t="str">
        <v>Дистрибуция</v>
      </c>
      <c r="G216">
        <v>105</v>
      </c>
      <c r="H216">
        <v>43680</v>
      </c>
    </row>
    <row r="217" spans="2:8" x14ac:dyDescent="0.55000000000000004">
      <c r="B217" t="str">
        <v>«Санта-Хрякус» — Терри Пратчетт</v>
      </c>
      <c r="C217" s="9">
        <v>43883</v>
      </c>
      <c r="D217" t="str">
        <v>Редакция №2</v>
      </c>
      <c r="E217" t="str">
        <v>Покетбук</v>
      </c>
      <c r="F217" t="str">
        <v>Дистрибуция</v>
      </c>
      <c r="G217">
        <v>107</v>
      </c>
      <c r="H217">
        <v>41623</v>
      </c>
    </row>
    <row r="218" spans="2:8" x14ac:dyDescent="0.55000000000000004">
      <c r="B218" t="str">
        <v>«БДВ, или Большой и добрый великан» — Роальд Даль</v>
      </c>
      <c r="C218" s="9">
        <v>42879</v>
      </c>
      <c r="D218" t="str">
        <v>Редакция №2</v>
      </c>
      <c r="E218" t="str">
        <v>Мягкая обложка</v>
      </c>
      <c r="F218" t="str">
        <v>Дистрибуция</v>
      </c>
      <c r="G218">
        <v>110</v>
      </c>
      <c r="H218">
        <v>45760</v>
      </c>
    </row>
    <row r="219" spans="2:8" x14ac:dyDescent="0.55000000000000004">
      <c r="B219" t="str">
        <v>«Дракула» — Брэм Стокер</v>
      </c>
      <c r="C219" s="9">
        <v>42481</v>
      </c>
      <c r="D219" t="str">
        <v>Редакция №2</v>
      </c>
      <c r="E219" t="str">
        <v>Твердый переплет</v>
      </c>
      <c r="F219" t="str">
        <v>Дистрибуция</v>
      </c>
      <c r="G219">
        <v>113</v>
      </c>
      <c r="H219">
        <v>37742</v>
      </c>
    </row>
    <row r="220" spans="2:8" x14ac:dyDescent="0.55000000000000004">
      <c r="B220" t="str">
        <v>«Вики-Ангел» — Жаклин Уилсон</v>
      </c>
      <c r="C220" s="9">
        <v>43126</v>
      </c>
      <c r="D220" t="str">
        <v>Редакция №1</v>
      </c>
      <c r="E220" t="str">
        <v>Мягкая обложка</v>
      </c>
      <c r="F220" t="str">
        <v>Дистрибуция</v>
      </c>
      <c r="G220">
        <v>116</v>
      </c>
      <c r="H220">
        <v>35496</v>
      </c>
    </row>
    <row r="221" spans="2:8" x14ac:dyDescent="0.55000000000000004">
      <c r="B221" t="str">
        <v>«Автостопом по галактике» — Дуглас Адамс</v>
      </c>
      <c r="C221" s="9">
        <v>42908</v>
      </c>
      <c r="D221" t="str">
        <v>Редакция №1</v>
      </c>
      <c r="E221" t="str">
        <v>Покетбук</v>
      </c>
      <c r="F221" t="str">
        <v>Дистрибуция</v>
      </c>
      <c r="G221">
        <v>118</v>
      </c>
      <c r="H221">
        <v>42126</v>
      </c>
    </row>
    <row r="222" spans="2:8" x14ac:dyDescent="0.55000000000000004">
      <c r="B222" t="str">
        <v>«Мандолина капитана Корелли» — Луи де Берньер</v>
      </c>
      <c r="C222" s="9">
        <v>43417</v>
      </c>
      <c r="D222" t="str">
        <v>Редакция №1</v>
      </c>
      <c r="E222" t="str">
        <v>Покетбук</v>
      </c>
      <c r="F222" t="str">
        <v>Дистрибуция</v>
      </c>
      <c r="G222">
        <v>128</v>
      </c>
      <c r="H222">
        <v>42368</v>
      </c>
    </row>
    <row r="223" spans="2:8" x14ac:dyDescent="0.55000000000000004">
      <c r="B223" t="str">
        <v>«Ребекка» — Дафна Дюморье</v>
      </c>
      <c r="C223" s="9">
        <v>43695</v>
      </c>
      <c r="D223" t="str">
        <v>Редакция №2</v>
      </c>
      <c r="E223" t="str">
        <v>Мягкая обложка</v>
      </c>
      <c r="F223" t="str">
        <v>Дистрибуция</v>
      </c>
      <c r="G223">
        <v>135</v>
      </c>
      <c r="H223">
        <v>56430</v>
      </c>
    </row>
    <row r="224" spans="2:8" x14ac:dyDescent="0.55000000000000004">
      <c r="B224" t="str">
        <v>«Остров сокровищ» — Роберт Стивенсон</v>
      </c>
      <c r="C224" s="9">
        <v>42503</v>
      </c>
      <c r="D224" t="str">
        <v>Редакция №2</v>
      </c>
      <c r="E224" t="str">
        <v>Покетбук</v>
      </c>
      <c r="F224" t="str">
        <v>Дистрибуция</v>
      </c>
      <c r="G224">
        <v>144</v>
      </c>
      <c r="H224">
        <v>55152</v>
      </c>
    </row>
    <row r="225" spans="2:8" x14ac:dyDescent="0.55000000000000004">
      <c r="B225" t="str">
        <v>«Искупление» — Иэн Макьюэн</v>
      </c>
      <c r="C225" s="9">
        <v>43429</v>
      </c>
      <c r="D225" t="str">
        <v>Редакция №1</v>
      </c>
      <c r="E225" t="str">
        <v>Покетбук</v>
      </c>
      <c r="F225" t="str">
        <v>Дистрибуция</v>
      </c>
      <c r="G225">
        <v>150</v>
      </c>
      <c r="H225">
        <v>60900</v>
      </c>
    </row>
    <row r="226" spans="2:8" x14ac:dyDescent="0.55000000000000004">
      <c r="B226" t="str">
        <v>«Винни Пух» — Алан Александр Милн</v>
      </c>
      <c r="C226" s="9">
        <v>42806</v>
      </c>
      <c r="D226" t="str">
        <v>Редакция №2</v>
      </c>
      <c r="E226" t="str">
        <v>Твердый переплет</v>
      </c>
      <c r="F226" t="str">
        <v>Дистрибуция</v>
      </c>
      <c r="G226">
        <v>156</v>
      </c>
      <c r="H226">
        <v>67392</v>
      </c>
    </row>
    <row r="227" spans="2:8" x14ac:dyDescent="0.55000000000000004">
      <c r="B227" t="str">
        <v>«Цветы на чердаке» — Вирджиния Эндрюс</v>
      </c>
      <c r="C227" s="9">
        <v>43312</v>
      </c>
      <c r="D227" t="str">
        <v>Редакция №2</v>
      </c>
      <c r="E227" t="str">
        <v>Мягкая обложка</v>
      </c>
      <c r="F227" t="str">
        <v>Дистрибуция</v>
      </c>
      <c r="G227">
        <v>161</v>
      </c>
      <c r="H227">
        <v>48622</v>
      </c>
    </row>
    <row r="228" spans="2:8" x14ac:dyDescent="0.55000000000000004">
      <c r="B228" t="str">
        <v>«Приключения Оливера Твиста» — Чарльз Диккенс</v>
      </c>
      <c r="C228" s="9">
        <v>42908</v>
      </c>
      <c r="D228" t="str">
        <v>Редакция №2</v>
      </c>
      <c r="E228" t="str">
        <v>Твердый переплет</v>
      </c>
      <c r="F228" t="str">
        <v>Дистрибуция</v>
      </c>
      <c r="G228">
        <v>162</v>
      </c>
      <c r="H228">
        <v>50220</v>
      </c>
    </row>
    <row r="229" spans="2:8" x14ac:dyDescent="0.55000000000000004">
      <c r="B229" t="str">
        <v>«Библия ядовитого леса» — Барбара Кингсолвер</v>
      </c>
      <c r="C229" s="9">
        <v>42758</v>
      </c>
      <c r="D229" t="str">
        <v>Редакция №2</v>
      </c>
      <c r="E229" t="str">
        <v>Твердый переплет</v>
      </c>
      <c r="F229" t="str">
        <v>Дистрибуция</v>
      </c>
      <c r="G229">
        <v>165</v>
      </c>
      <c r="H229">
        <v>53460</v>
      </c>
    </row>
    <row r="230" spans="2:8" x14ac:dyDescent="0.55000000000000004">
      <c r="B230" t="str">
        <v>«Чёрный красавчик» — Анна Сьюэлл</v>
      </c>
      <c r="C230" s="9">
        <v>42571</v>
      </c>
      <c r="D230" t="str">
        <v>Редакция №1</v>
      </c>
      <c r="E230" t="str">
        <v>Покетбук</v>
      </c>
      <c r="F230" t="str">
        <v>Дистрибуция</v>
      </c>
      <c r="G230">
        <v>166</v>
      </c>
      <c r="H230">
        <v>65902</v>
      </c>
    </row>
    <row r="231" spans="2:8" x14ac:dyDescent="0.55000000000000004">
      <c r="B231" t="str">
        <v>«Повесть о двух городах» — Чарльз Диккенс</v>
      </c>
      <c r="C231" s="9">
        <v>42717</v>
      </c>
      <c r="D231" t="str">
        <v>Редакция №1</v>
      </c>
      <c r="E231" t="str">
        <v>Покетбук</v>
      </c>
      <c r="F231" t="str">
        <v>Дистрибуция</v>
      </c>
      <c r="G231">
        <v>166</v>
      </c>
      <c r="H231">
        <v>73040</v>
      </c>
    </row>
    <row r="232" spans="2:8" x14ac:dyDescent="0.55000000000000004">
      <c r="B232" t="str">
        <v>«Благие знамения» — Терри Пратчетт и Нил Гейман</v>
      </c>
      <c r="C232" s="9">
        <v>42356</v>
      </c>
      <c r="D232" t="str">
        <v>Редакция №2</v>
      </c>
      <c r="E232" t="str">
        <v>Покетбук</v>
      </c>
      <c r="F232" t="str">
        <v>Дистрибуция</v>
      </c>
      <c r="G232">
        <v>167</v>
      </c>
      <c r="H232">
        <v>72645</v>
      </c>
    </row>
    <row r="233" spans="2:8" x14ac:dyDescent="0.55000000000000004">
      <c r="B233" t="str">
        <v>«Семейство Твит» — Роальд Даль</v>
      </c>
      <c r="C233" s="9">
        <v>43005</v>
      </c>
      <c r="D233" t="str">
        <v>Редакция №2</v>
      </c>
      <c r="E233" t="str">
        <v>Покетбук</v>
      </c>
      <c r="F233" t="str">
        <v>Дистрибуция</v>
      </c>
      <c r="G233">
        <v>172</v>
      </c>
      <c r="H233">
        <v>60716</v>
      </c>
    </row>
    <row r="234" spans="2:8" x14ac:dyDescent="0.55000000000000004">
      <c r="B234" t="str">
        <v>«Чужестранка» — Диана Гэблдон</v>
      </c>
      <c r="C234" s="9">
        <v>42380</v>
      </c>
      <c r="D234" t="str">
        <v>Редакция №1</v>
      </c>
      <c r="E234" t="str">
        <v>Мягкая обложка</v>
      </c>
      <c r="F234" t="str">
        <v>Дистрибуция</v>
      </c>
      <c r="G234">
        <v>172</v>
      </c>
      <c r="H234">
        <v>73960</v>
      </c>
    </row>
    <row r="235" spans="2:8" x14ac:dyDescent="0.55000000000000004">
      <c r="B235" t="str">
        <v>«Ярмарка тщеславия» — Уильям Теккерей</v>
      </c>
      <c r="C235" s="9">
        <v>43309</v>
      </c>
      <c r="D235" t="str">
        <v>Редакция №2</v>
      </c>
      <c r="E235" t="str">
        <v>Покетбук</v>
      </c>
      <c r="F235" t="str">
        <v>Дистрибуция</v>
      </c>
      <c r="G235">
        <v>174</v>
      </c>
      <c r="H235">
        <v>52200</v>
      </c>
    </row>
    <row r="236" spans="2:8" x14ac:dyDescent="0.55000000000000004">
      <c r="B236" t="str">
        <v>«Кэтрин» — Аня Сетон</v>
      </c>
      <c r="C236" s="9">
        <v>42963</v>
      </c>
      <c r="D236" t="str">
        <v>Редакция №1</v>
      </c>
      <c r="E236" t="str">
        <v>Твердый переплет</v>
      </c>
      <c r="F236" t="str">
        <v>Дистрибуция</v>
      </c>
      <c r="G236">
        <v>175</v>
      </c>
      <c r="H236">
        <v>59675</v>
      </c>
    </row>
    <row r="237" spans="2:8" x14ac:dyDescent="0.55000000000000004">
      <c r="B237" t="str">
        <v>«Эмма» — Джейн Остин</v>
      </c>
      <c r="C237" s="9">
        <v>44048</v>
      </c>
      <c r="D237" t="str">
        <v>Редакция №1</v>
      </c>
      <c r="E237" t="str">
        <v>Покетбук</v>
      </c>
      <c r="F237" t="str">
        <v>Дистрибуция</v>
      </c>
      <c r="G237">
        <v>176</v>
      </c>
      <c r="H237">
        <v>55264</v>
      </c>
    </row>
    <row r="238" spans="2:8" x14ac:dyDescent="0.55000000000000004">
      <c r="B238" t="str">
        <v>«Имя розы» — Умберто Эко</v>
      </c>
      <c r="C238" s="9">
        <v>43721</v>
      </c>
      <c r="D238" t="str">
        <v>Редакция №1</v>
      </c>
      <c r="E238" t="str">
        <v>Мягкая обложка</v>
      </c>
      <c r="F238" t="str">
        <v>Дистрибуция</v>
      </c>
      <c r="G238">
        <v>176</v>
      </c>
      <c r="H238">
        <v>55264</v>
      </c>
    </row>
    <row r="239" spans="2:8" x14ac:dyDescent="0.55000000000000004">
      <c r="B239" t="str">
        <v>«Стража! Стража!» — Терри Пратчетт</v>
      </c>
      <c r="C239" s="9">
        <v>42647</v>
      </c>
      <c r="D239" t="str">
        <v>Редакция №2</v>
      </c>
      <c r="E239" t="str">
        <v>Покетбук</v>
      </c>
      <c r="F239" t="str">
        <v>Дистрибуция</v>
      </c>
      <c r="G239">
        <v>177</v>
      </c>
      <c r="H239">
        <v>54162</v>
      </c>
    </row>
    <row r="240" spans="2:8" x14ac:dyDescent="0.55000000000000004">
      <c r="B240" t="str">
        <v>«Серебряный меч» — Ян Серрэйлер</v>
      </c>
      <c r="C240" s="9">
        <v>44139</v>
      </c>
      <c r="D240" t="str">
        <v>Редакция №2</v>
      </c>
      <c r="E240" t="str">
        <v>Твердый переплет</v>
      </c>
      <c r="F240" t="str">
        <v>Дистрибуция</v>
      </c>
      <c r="G240">
        <v>183</v>
      </c>
      <c r="H240">
        <v>57828</v>
      </c>
    </row>
    <row r="241" spans="2:8" x14ac:dyDescent="0.55000000000000004">
      <c r="B241" t="str">
        <v>«39 ступеней" — Джон Бьюкен</v>
      </c>
      <c r="C241" s="9">
        <v>42999</v>
      </c>
      <c r="D241" t="str">
        <v>Редакция №1</v>
      </c>
      <c r="E241" t="str">
        <v>Твердый переплет</v>
      </c>
      <c r="F241" t="str">
        <v>Дистрибуция</v>
      </c>
      <c r="G241">
        <v>185</v>
      </c>
      <c r="H241">
        <v>63825</v>
      </c>
    </row>
    <row r="242" spans="2:8" x14ac:dyDescent="0.55000000000000004">
      <c r="B242" t="str">
        <v>«Изумительный мистер Лис» — Роальд Даль</v>
      </c>
      <c r="C242" s="9">
        <v>43020</v>
      </c>
      <c r="D242" t="str">
        <v>Редакция №2</v>
      </c>
      <c r="E242" t="str">
        <v>Покетбук</v>
      </c>
      <c r="F242" t="str">
        <v>Дистрибуция</v>
      </c>
      <c r="G242">
        <v>188</v>
      </c>
      <c r="H242">
        <v>68996</v>
      </c>
    </row>
    <row r="243" spans="2:8" x14ac:dyDescent="0.55000000000000004">
      <c r="B243" t="str">
        <v>«Ведьмы за границей» — Терри Пратчетт</v>
      </c>
      <c r="C243" s="9">
        <v>44131</v>
      </c>
      <c r="D243" t="str">
        <v>Редакция №2</v>
      </c>
      <c r="E243" t="str">
        <v>Покетбук</v>
      </c>
      <c r="F243" t="str">
        <v>Дистрибуция</v>
      </c>
      <c r="G243">
        <v>190</v>
      </c>
      <c r="H243">
        <v>76000</v>
      </c>
    </row>
    <row r="244" spans="2:8" x14ac:dyDescent="0.55000000000000004">
      <c r="B244" t="str">
        <v>«Город как Элис» — Невил Шют</v>
      </c>
      <c r="C244" s="9">
        <v>44147</v>
      </c>
      <c r="D244" t="str">
        <v>Редакция №1</v>
      </c>
      <c r="E244" t="str">
        <v>Мягкая обложка</v>
      </c>
      <c r="F244" t="str">
        <v>Дистрибуция</v>
      </c>
      <c r="G244">
        <v>198</v>
      </c>
      <c r="H244">
        <v>76230</v>
      </c>
    </row>
    <row r="245" spans="2:8" x14ac:dyDescent="0.55000000000000004">
      <c r="B245" t="str">
        <v>«Каин и Авель» — Джеффри Арчер</v>
      </c>
      <c r="C245" s="9">
        <v>43385</v>
      </c>
      <c r="D245" t="str">
        <v>Редакция №2</v>
      </c>
      <c r="E245" t="str">
        <v>Мягкая обложка</v>
      </c>
      <c r="F245" t="str">
        <v>Дистрибуция</v>
      </c>
      <c r="G245">
        <v>203</v>
      </c>
      <c r="H245">
        <v>87087</v>
      </c>
    </row>
    <row r="246" spans="2:8" x14ac:dyDescent="0.55000000000000004">
      <c r="B246" t="str">
        <v>«Ключ от всех дверей» — Энтони Горовиц</v>
      </c>
      <c r="C246" s="9">
        <v>43376</v>
      </c>
      <c r="D246" t="str">
        <v>Редакция №2</v>
      </c>
      <c r="E246" t="str">
        <v>Твердый переплет</v>
      </c>
      <c r="F246" t="str">
        <v>Дистрибуция</v>
      </c>
      <c r="G246">
        <v>204</v>
      </c>
      <c r="H246">
        <v>75888</v>
      </c>
    </row>
    <row r="247" spans="2:8" x14ac:dyDescent="0.55000000000000004">
      <c r="B247" t="str">
        <v>«Девочка-находка» — Жаклин Уилсон</v>
      </c>
      <c r="C247" s="9">
        <v>42642</v>
      </c>
      <c r="D247" t="str">
        <v>Редакция №2</v>
      </c>
      <c r="E247" t="str">
        <v>Мягкая обложка</v>
      </c>
      <c r="F247" t="str">
        <v>Дистрибуция</v>
      </c>
      <c r="G247">
        <v>207</v>
      </c>
      <c r="H247">
        <v>72036</v>
      </c>
    </row>
    <row r="248" spans="2:8" x14ac:dyDescent="0.55000000000000004">
      <c r="B248" t="str">
        <v>«Корабельные новости» — Энни Пру</v>
      </c>
      <c r="C248" s="9">
        <v>42968</v>
      </c>
      <c r="D248" t="str">
        <v>Редакция №1</v>
      </c>
      <c r="E248" t="str">
        <v>Твердый переплет</v>
      </c>
      <c r="F248" t="str">
        <v>Дистрибуция</v>
      </c>
      <c r="G248">
        <v>210</v>
      </c>
      <c r="H248">
        <v>74550</v>
      </c>
    </row>
    <row r="249" spans="2:8" x14ac:dyDescent="0.55000000000000004">
      <c r="B249" t="str">
        <v>«Ночная стража» — Терри Пратчетт</v>
      </c>
      <c r="C249" s="9">
        <v>42594</v>
      </c>
      <c r="D249" t="str">
        <v>Редакция №1</v>
      </c>
      <c r="E249" t="str">
        <v>Мягкая обложка</v>
      </c>
      <c r="F249" t="str">
        <v>Дистрибуция</v>
      </c>
      <c r="G249">
        <v>213</v>
      </c>
      <c r="H249">
        <v>82857</v>
      </c>
    </row>
    <row r="250" spans="2:8" x14ac:dyDescent="0.55000000000000004">
      <c r="B250" t="str">
        <v>«Громобой» — Энтони Горовиц</v>
      </c>
      <c r="C250" s="9">
        <v>43245</v>
      </c>
      <c r="D250" t="str">
        <v>Редакция №1</v>
      </c>
      <c r="E250" t="str">
        <v>Мягкая обложка</v>
      </c>
      <c r="F250" t="str">
        <v>Дистрибуция</v>
      </c>
      <c r="G250">
        <v>213</v>
      </c>
      <c r="H250">
        <v>65178</v>
      </c>
    </row>
    <row r="251" spans="2:8" x14ac:dyDescent="0.55000000000000004">
      <c r="B251" t="str">
        <v>«В дороге» — Джек Керуак</v>
      </c>
      <c r="C251" s="9">
        <v>42784</v>
      </c>
      <c r="D251" t="str">
        <v>Редакция №1</v>
      </c>
      <c r="E251" t="str">
        <v>Твердый переплет</v>
      </c>
      <c r="F251" t="str">
        <v>Дистрибуция</v>
      </c>
      <c r="G251">
        <v>233</v>
      </c>
      <c r="H251">
        <v>78521</v>
      </c>
    </row>
    <row r="252" spans="2:8" x14ac:dyDescent="0.55000000000000004">
      <c r="B252" t="str">
        <v>«Женщина в белом» — Уильям Уилки Коллинз</v>
      </c>
      <c r="C252" s="9">
        <v>43650</v>
      </c>
      <c r="D252" t="str">
        <v>Редакция №1</v>
      </c>
      <c r="E252" t="str">
        <v>Покетбук</v>
      </c>
      <c r="F252" t="str">
        <v>Дистрибуция</v>
      </c>
      <c r="G252">
        <v>239</v>
      </c>
      <c r="H252">
        <v>106594</v>
      </c>
    </row>
    <row r="253" spans="2:8" x14ac:dyDescent="0.55000000000000004">
      <c r="B253" t="str">
        <v>«Дэвид Копперфильд» — Чарльз Диккенс</v>
      </c>
      <c r="C253" s="9">
        <v>43598</v>
      </c>
      <c r="D253" t="str">
        <v>Редакция №1</v>
      </c>
      <c r="E253" t="str">
        <v>Твердый переплет</v>
      </c>
      <c r="F253" t="str">
        <v>Дистрибуция</v>
      </c>
      <c r="G253">
        <v>242</v>
      </c>
      <c r="H253">
        <v>84458</v>
      </c>
    </row>
    <row r="254" spans="2:8" x14ac:dyDescent="0.55000000000000004">
      <c r="B254" t="str">
        <v>«Я захватываю замок» — Доди Смит</v>
      </c>
      <c r="C254" s="9">
        <v>44155</v>
      </c>
      <c r="D254" t="str">
        <v>Редакция №2</v>
      </c>
      <c r="E254" t="str">
        <v>Мягкая обложка</v>
      </c>
      <c r="F254" t="str">
        <v>Дистрибуция</v>
      </c>
      <c r="G254">
        <v>243</v>
      </c>
      <c r="H254">
        <v>84078</v>
      </c>
    </row>
    <row r="255" spans="2:8" x14ac:dyDescent="0.55000000000000004">
      <c r="B255" t="str">
        <v>«Трое в лодке, не считая собаки» — Джером К</v>
      </c>
      <c r="C255" s="9">
        <v>42332</v>
      </c>
      <c r="D255" t="str">
        <v>Редакция №2</v>
      </c>
      <c r="E255" t="str">
        <v>Покетбук</v>
      </c>
      <c r="F255" t="str">
        <v>Дистрибуция</v>
      </c>
      <c r="G255">
        <v>246</v>
      </c>
      <c r="H255">
        <v>92496</v>
      </c>
    </row>
    <row r="256" spans="2:8" x14ac:dyDescent="0.55000000000000004">
      <c r="B256" t="str">
        <v>«Сердце тьмы» — Джозеф Конрад</v>
      </c>
      <c r="C256" s="9">
        <v>43331</v>
      </c>
      <c r="D256" t="str">
        <v>Редакция №1</v>
      </c>
      <c r="E256" t="str">
        <v>Покетбук</v>
      </c>
      <c r="F256" t="str">
        <v>Дистрибуция</v>
      </c>
      <c r="G256">
        <v>246</v>
      </c>
      <c r="H256">
        <v>91758</v>
      </c>
    </row>
    <row r="257" spans="2:8" x14ac:dyDescent="0.55000000000000004">
      <c r="B257" t="str">
        <v>«Сёгун» — Джеймс Клавелл</v>
      </c>
      <c r="C257" s="9">
        <v>42093</v>
      </c>
      <c r="D257" t="str">
        <v>Редакция №2</v>
      </c>
      <c r="E257" t="str">
        <v>Твердый переплет</v>
      </c>
      <c r="F257" t="str">
        <v>Дистрибуция</v>
      </c>
      <c r="G257">
        <v>252</v>
      </c>
      <c r="H257">
        <v>87948</v>
      </c>
    </row>
    <row r="258" spans="2:8" x14ac:dyDescent="0.55000000000000004">
      <c r="B258" t="str">
        <v>«Таинственный сад» — Фрэнсис Бернетт</v>
      </c>
      <c r="C258" s="9">
        <v>43940</v>
      </c>
      <c r="D258" t="str">
        <v>Редакция №2</v>
      </c>
      <c r="E258" t="str">
        <v>Твердый переплет</v>
      </c>
      <c r="F258" t="str">
        <v>Дистрибуция</v>
      </c>
      <c r="G258">
        <v>257</v>
      </c>
      <c r="H258">
        <v>109225</v>
      </c>
    </row>
    <row r="259" spans="2:8" x14ac:dyDescent="0.55000000000000004">
      <c r="B259" t="str">
        <v>«Мемуары гейши» — Артур Голден</v>
      </c>
      <c r="C259" s="9">
        <v>43330</v>
      </c>
      <c r="D259" t="str">
        <v>Редакция №1</v>
      </c>
      <c r="E259" t="str">
        <v>Твердый переплет</v>
      </c>
      <c r="F259" t="str">
        <v>Дистрибуция</v>
      </c>
      <c r="G259">
        <v>267</v>
      </c>
      <c r="H259">
        <v>112941</v>
      </c>
    </row>
    <row r="260" spans="2:8" x14ac:dyDescent="0.55000000000000004">
      <c r="B260" t="str">
        <v>«Алиса в Стране чудес» — Льюис Кэрролл</v>
      </c>
      <c r="C260" s="9">
        <v>42306</v>
      </c>
      <c r="D260" t="str">
        <v>Редакция №1</v>
      </c>
      <c r="E260" t="str">
        <v>Покетбук</v>
      </c>
      <c r="F260" t="str">
        <v>Дистрибуция</v>
      </c>
      <c r="G260">
        <v>273</v>
      </c>
      <c r="H260">
        <v>93639</v>
      </c>
    </row>
    <row r="261" spans="2:8" x14ac:dyDescent="0.55000000000000004">
      <c r="B261" t="str">
        <v>«Далёкие шатры» — Мэри Маргарет Кей</v>
      </c>
      <c r="C261" s="9">
        <v>43949</v>
      </c>
      <c r="D261" t="str">
        <v>Редакция №2</v>
      </c>
      <c r="E261" t="str">
        <v>Покетбук</v>
      </c>
      <c r="F261" t="str">
        <v>Дистрибуция</v>
      </c>
      <c r="G261">
        <v>283</v>
      </c>
      <c r="H261">
        <v>111219</v>
      </c>
    </row>
    <row r="262" spans="2:8" x14ac:dyDescent="0.55000000000000004">
      <c r="B262" t="str">
        <v>«Дитя из чемодана» — Жаклин Уилсон</v>
      </c>
      <c r="C262" s="9">
        <v>42728</v>
      </c>
      <c r="D262" t="str">
        <v>Редакция №1</v>
      </c>
      <c r="E262" t="str">
        <v>Твердый переплет</v>
      </c>
      <c r="F262" t="str">
        <v>Дистрибуция</v>
      </c>
      <c r="G262">
        <v>288</v>
      </c>
      <c r="H262">
        <v>92448</v>
      </c>
    </row>
    <row r="263" spans="2:8" x14ac:dyDescent="0.55000000000000004">
      <c r="B263" t="str">
        <v>«Тайная история» — Донна Тартт</v>
      </c>
      <c r="C263" s="9">
        <v>43852</v>
      </c>
      <c r="D263" t="str">
        <v>Редакция №2</v>
      </c>
      <c r="E263" t="str">
        <v>Твердый переплет</v>
      </c>
      <c r="F263" t="str">
        <v>Дистрибуция</v>
      </c>
      <c r="G263">
        <v>290</v>
      </c>
      <c r="H263">
        <v>108460</v>
      </c>
    </row>
    <row r="264" spans="2:8" x14ac:dyDescent="0.55000000000000004">
      <c r="B264" t="str">
        <v>«Гарри Поттер и Тайная комната» — Джоан Роулинг</v>
      </c>
      <c r="C264" s="9">
        <v>43238</v>
      </c>
      <c r="D264" t="str">
        <v>Редакция №2</v>
      </c>
      <c r="E264" t="str">
        <v>Покетбук</v>
      </c>
      <c r="F264" t="str">
        <v>Дистрибуция</v>
      </c>
      <c r="G264">
        <v>296</v>
      </c>
      <c r="H264">
        <v>132904</v>
      </c>
    </row>
    <row r="265" spans="2:8" x14ac:dyDescent="0.55000000000000004">
      <c r="B265" t="str">
        <v>«День Шакала» — Фредерик Форсайт</v>
      </c>
      <c r="C265" s="9">
        <v>42683</v>
      </c>
      <c r="D265" t="str">
        <v>Редакция №2</v>
      </c>
      <c r="E265" t="str">
        <v>Мягкая обложка</v>
      </c>
      <c r="F265" t="str">
        <v>Дистрибуция</v>
      </c>
      <c r="G265">
        <v>298</v>
      </c>
      <c r="H265">
        <v>132908</v>
      </c>
    </row>
    <row r="266" spans="2:8" x14ac:dyDescent="0.55000000000000004">
      <c r="B266" t="str">
        <v>«Мастер и Маргарита» — Михаил Булгаков</v>
      </c>
      <c r="C266" s="9">
        <v>43307</v>
      </c>
      <c r="D266" t="str">
        <v>Редакция №1</v>
      </c>
      <c r="E266" t="str">
        <v>Покетбук</v>
      </c>
      <c r="F266" t="str">
        <v>Дистрибуция</v>
      </c>
      <c r="G266">
        <v>301</v>
      </c>
      <c r="H266">
        <v>122808</v>
      </c>
    </row>
    <row r="267" spans="2:8" x14ac:dyDescent="0.55000000000000004">
      <c r="B267" t="str">
        <v>«Секреты» — Жаклин Уилсон</v>
      </c>
      <c r="C267" s="9">
        <v>43203</v>
      </c>
      <c r="D267" t="str">
        <v>Редакция №1</v>
      </c>
      <c r="E267" t="str">
        <v>Покетбук</v>
      </c>
      <c r="F267" t="str">
        <v>Дистрибуция</v>
      </c>
      <c r="G267">
        <v>302</v>
      </c>
      <c r="H267">
        <v>98150</v>
      </c>
    </row>
    <row r="268" spans="2:8" x14ac:dyDescent="0.55000000000000004">
      <c r="B268" t="str">
        <v>«Волхв» — Джон Фаулз</v>
      </c>
      <c r="C268" s="9">
        <v>42244</v>
      </c>
      <c r="D268" t="str">
        <v>Редакция №1</v>
      </c>
      <c r="E268" t="str">
        <v>Мягкая обложка</v>
      </c>
      <c r="F268" t="str">
        <v>Дистрибуция</v>
      </c>
      <c r="G268">
        <v>304</v>
      </c>
      <c r="H268">
        <v>120384</v>
      </c>
    </row>
    <row r="269" spans="2:8" x14ac:dyDescent="0.55000000000000004">
      <c r="B269" t="str">
        <v>«Холодный дом» — Чарльз Диккенс</v>
      </c>
      <c r="C269" s="9">
        <v>43726</v>
      </c>
      <c r="D269" t="str">
        <v>Редакция №1</v>
      </c>
      <c r="E269" t="str">
        <v>Твердый переплет</v>
      </c>
      <c r="F269" t="str">
        <v>Дистрибуция</v>
      </c>
      <c r="G269">
        <v>309</v>
      </c>
      <c r="H269">
        <v>127926</v>
      </c>
    </row>
    <row r="270" spans="2:8" x14ac:dyDescent="0.55000000000000004">
      <c r="B270" t="str">
        <v>«Гарри Поттер и Кубок огня» — Джоан Роулинг</v>
      </c>
      <c r="C270" s="9">
        <v>42104</v>
      </c>
      <c r="D270" t="str">
        <v>Редакция №2</v>
      </c>
      <c r="E270" t="str">
        <v>Твердый переплет</v>
      </c>
      <c r="F270" t="str">
        <v>Дистрибуция</v>
      </c>
      <c r="G270">
        <v>310</v>
      </c>
      <c r="H270">
        <v>112840</v>
      </c>
    </row>
    <row r="271" spans="2:8" x14ac:dyDescent="0.55000000000000004">
      <c r="B271" t="str">
        <v>«Ужастики» — Роберт Лоуренс Стайн</v>
      </c>
      <c r="C271" s="9">
        <v>43041</v>
      </c>
      <c r="D271" t="str">
        <v>Редакция №2</v>
      </c>
      <c r="E271" t="str">
        <v>Твердый переплет</v>
      </c>
      <c r="F271" t="str">
        <v>Дистрибуция</v>
      </c>
      <c r="G271">
        <v>312</v>
      </c>
      <c r="H271">
        <v>139152</v>
      </c>
    </row>
    <row r="272" spans="2:8" x14ac:dyDescent="0.55000000000000004">
      <c r="B272" t="str">
        <v>«Неуютная ферма» — Стелла Гиббонс</v>
      </c>
      <c r="C272" s="9">
        <v>43227</v>
      </c>
      <c r="D272" t="str">
        <v>Редакция №2</v>
      </c>
      <c r="E272" t="str">
        <v>Покетбук</v>
      </c>
      <c r="F272" t="str">
        <v>Дистрибуция</v>
      </c>
      <c r="G272">
        <v>320</v>
      </c>
      <c r="H272">
        <v>115840</v>
      </c>
    </row>
    <row r="273" spans="2:8" x14ac:dyDescent="0.55000000000000004">
      <c r="B273" t="str">
        <v>«Денни — чемпион мира» — Роальд Даль</v>
      </c>
      <c r="C273" s="9">
        <v>43666</v>
      </c>
      <c r="D273" t="str">
        <v>Редакция №2</v>
      </c>
      <c r="E273" t="str">
        <v>Мягкая обложка</v>
      </c>
      <c r="F273" t="str">
        <v>Дистрибуция</v>
      </c>
      <c r="G273">
        <v>321</v>
      </c>
      <c r="H273">
        <v>138672</v>
      </c>
    </row>
    <row r="274" spans="2:8" x14ac:dyDescent="0.55000000000000004">
      <c r="B274" t="str">
        <v>«Поющие в терновнике» — Колин Маккалоу</v>
      </c>
      <c r="C274" s="9">
        <v>42436</v>
      </c>
      <c r="D274" t="str">
        <v>Редакция №2</v>
      </c>
      <c r="E274" t="str">
        <v>Покетбук</v>
      </c>
      <c r="F274" t="str">
        <v>Дистрибуция</v>
      </c>
      <c r="G274">
        <v>326</v>
      </c>
      <c r="H274">
        <v>133008</v>
      </c>
    </row>
    <row r="275" spans="2:8" x14ac:dyDescent="0.55000000000000004">
      <c r="B275" t="str">
        <v>«Пятый элефант» — Терри Пратчетт</v>
      </c>
      <c r="C275" s="9">
        <v>42964</v>
      </c>
      <c r="D275" t="str">
        <v>Редакция №1</v>
      </c>
      <c r="E275" t="str">
        <v>Покетбук</v>
      </c>
      <c r="F275" t="str">
        <v>Дистрибуция</v>
      </c>
      <c r="G275">
        <v>326</v>
      </c>
      <c r="H275">
        <v>130400</v>
      </c>
    </row>
    <row r="276" spans="2:8" x14ac:dyDescent="0.55000000000000004">
      <c r="B276" t="str">
        <v>«Повелитель мух» — Уильям Голдинг</v>
      </c>
      <c r="C276" s="9">
        <v>42754</v>
      </c>
      <c r="D276" t="str">
        <v>Редакция №2</v>
      </c>
      <c r="E276" t="str">
        <v>Покетбук</v>
      </c>
      <c r="F276" t="str">
        <v>Дистрибуция</v>
      </c>
      <c r="G276">
        <v>328</v>
      </c>
      <c r="H276">
        <v>116440</v>
      </c>
    </row>
    <row r="277" spans="2:8" x14ac:dyDescent="0.55000000000000004">
      <c r="B277" t="str">
        <v>«Вор времени» — Терри Пратчетт</v>
      </c>
      <c r="C277" s="9">
        <v>44108</v>
      </c>
      <c r="D277" t="str">
        <v>Редакция №1</v>
      </c>
      <c r="E277" t="str">
        <v>Мягкая обложка</v>
      </c>
      <c r="F277" t="str">
        <v>Дистрибуция</v>
      </c>
      <c r="G277">
        <v>328</v>
      </c>
      <c r="H277">
        <v>124640</v>
      </c>
    </row>
    <row r="278" spans="2:8" x14ac:dyDescent="0.55000000000000004">
      <c r="B278" t="str">
        <v>«Американский психопат» — Брет Истон Эллис</v>
      </c>
      <c r="C278" s="9">
        <v>43874</v>
      </c>
      <c r="D278" t="str">
        <v>Редакция №1</v>
      </c>
      <c r="E278" t="str">
        <v>Мягкая обложка</v>
      </c>
      <c r="F278" t="str">
        <v>Дистрибуция</v>
      </c>
      <c r="G278">
        <v>332</v>
      </c>
      <c r="H278">
        <v>102920</v>
      </c>
    </row>
    <row r="279" spans="2:8" x14ac:dyDescent="0.55000000000000004">
      <c r="B279" t="str">
        <v>«Мрачный Жнец» — Терри Пратчетт</v>
      </c>
      <c r="C279" s="9">
        <v>43339</v>
      </c>
      <c r="D279" t="str">
        <v>Редакция №1</v>
      </c>
      <c r="E279" t="str">
        <v>Покетбук</v>
      </c>
      <c r="F279" t="str">
        <v>Дистрибуция</v>
      </c>
      <c r="G279">
        <v>337</v>
      </c>
      <c r="H279">
        <v>137159</v>
      </c>
    </row>
    <row r="280" spans="2:8" x14ac:dyDescent="0.55000000000000004">
      <c r="B280" t="str">
        <v>«Противостояние» — Стивен Кинг</v>
      </c>
      <c r="C280" s="9">
        <v>42083</v>
      </c>
      <c r="D280" t="str">
        <v>Редакция №1</v>
      </c>
      <c r="E280" t="str">
        <v>Покетбук</v>
      </c>
      <c r="F280" t="str">
        <v>Дистрибуция</v>
      </c>
      <c r="G280">
        <v>342</v>
      </c>
      <c r="H280">
        <v>135090</v>
      </c>
    </row>
    <row r="281" spans="2:8" x14ac:dyDescent="0.55000000000000004">
      <c r="B281" t="str">
        <v>«Возвращение в Брайдсхед» — Ивлин Во</v>
      </c>
      <c r="C281" s="9">
        <v>43639</v>
      </c>
      <c r="D281" t="str">
        <v>Редакция №2</v>
      </c>
      <c r="E281" t="str">
        <v>Покетбук</v>
      </c>
      <c r="F281" t="str">
        <v>Дистрибуция</v>
      </c>
      <c r="G281">
        <v>348</v>
      </c>
      <c r="H281">
        <v>140592</v>
      </c>
    </row>
    <row r="282" spans="2:8" x14ac:dyDescent="0.55000000000000004">
      <c r="B282" t="str">
        <v>«Посмертные записки Пиквикского клуба» — Чарльз Диккенс</v>
      </c>
      <c r="C282" s="9">
        <v>43935</v>
      </c>
      <c r="D282" t="str">
        <v>Редакция №2</v>
      </c>
      <c r="E282" t="str">
        <v>Твердый переплет</v>
      </c>
      <c r="F282" t="str">
        <v>Дистрибуция</v>
      </c>
      <c r="G282">
        <v>350</v>
      </c>
      <c r="H282">
        <v>110250</v>
      </c>
    </row>
    <row r="283" spans="2:8" x14ac:dyDescent="0.55000000000000004">
      <c r="B283" t="str">
        <v>«О дивный новый мир» — Олдос Хаксли</v>
      </c>
      <c r="C283" s="9">
        <v>44068</v>
      </c>
      <c r="D283" t="str">
        <v>Редакция №1</v>
      </c>
      <c r="E283" t="str">
        <v>Твердый переплет</v>
      </c>
      <c r="F283" t="str">
        <v>Дистрибуция</v>
      </c>
      <c r="G283">
        <v>354</v>
      </c>
      <c r="H283">
        <v>127794</v>
      </c>
    </row>
    <row r="284" spans="2:8" x14ac:dyDescent="0.55000000000000004">
      <c r="B284" t="str">
        <v>«Алхимик» — Пауло Коэльо</v>
      </c>
      <c r="C284" s="9">
        <v>42865</v>
      </c>
      <c r="D284" t="str">
        <v>Редакция №2</v>
      </c>
      <c r="E284" t="str">
        <v>Мягкая обложка</v>
      </c>
      <c r="F284" t="str">
        <v>Дистрибуция</v>
      </c>
      <c r="G284">
        <v>355</v>
      </c>
      <c r="H284">
        <v>154070</v>
      </c>
    </row>
    <row r="285" spans="2:8" x14ac:dyDescent="0.55000000000000004">
      <c r="B285" t="str">
        <v>«Лорна Дун» — Ричард Блэкмор</v>
      </c>
      <c r="C285" s="9">
        <v>42331</v>
      </c>
      <c r="D285" t="str">
        <v>Редакция №1</v>
      </c>
      <c r="E285" t="str">
        <v>Твердый переплет</v>
      </c>
      <c r="F285" t="str">
        <v>Дистрибуция</v>
      </c>
      <c r="G285">
        <v>362</v>
      </c>
      <c r="H285">
        <v>119822</v>
      </c>
    </row>
    <row r="286" spans="2:8" x14ac:dyDescent="0.55000000000000004">
      <c r="B286" t="str">
        <v>«Война и мир» — Лев Толстой</v>
      </c>
      <c r="C286" s="9">
        <v>42169</v>
      </c>
      <c r="D286" t="str">
        <v>Редакция №2</v>
      </c>
      <c r="E286" t="str">
        <v>Покетбук</v>
      </c>
      <c r="F286" t="str">
        <v>Дистрибуция</v>
      </c>
      <c r="G286">
        <v>363</v>
      </c>
      <c r="H286">
        <v>148830</v>
      </c>
    </row>
    <row r="287" spans="2:8" x14ac:dyDescent="0.55000000000000004">
      <c r="B287" t="str">
        <v>«Моби Дик» — Герман Мелвилл</v>
      </c>
      <c r="C287" s="9">
        <v>42091</v>
      </c>
      <c r="D287" t="str">
        <v>Редакция №1</v>
      </c>
      <c r="E287" t="str">
        <v>Покетбук</v>
      </c>
      <c r="F287" t="str">
        <v>Дистрибуция</v>
      </c>
      <c r="G287">
        <v>365</v>
      </c>
      <c r="H287">
        <v>122640</v>
      </c>
    </row>
    <row r="288" spans="2:8" x14ac:dyDescent="0.55000000000000004">
      <c r="B288" t="str">
        <v>«Обладать» — Антония Сьюзен Байетт</v>
      </c>
      <c r="C288" s="9">
        <v>42690</v>
      </c>
      <c r="D288" t="str">
        <v>Редакция №2</v>
      </c>
      <c r="E288" t="str">
        <v>Твердый переплет</v>
      </c>
      <c r="F288" t="str">
        <v>Дистрибуция</v>
      </c>
      <c r="G288">
        <v>367</v>
      </c>
      <c r="H288">
        <v>143864</v>
      </c>
    </row>
    <row r="289" spans="2:8" x14ac:dyDescent="0.55000000000000004">
      <c r="B289" t="str">
        <v>«Девчонки в слезах» — Жаклин Уилсон</v>
      </c>
      <c r="C289" s="9">
        <v>43479</v>
      </c>
      <c r="D289" t="str">
        <v>Редакция №2</v>
      </c>
      <c r="E289" t="str">
        <v>Твердый переплет</v>
      </c>
      <c r="F289" t="str">
        <v>Дистрибуция</v>
      </c>
      <c r="G289">
        <v>368</v>
      </c>
      <c r="H289">
        <v>114448</v>
      </c>
    </row>
    <row r="290" spans="2:8" x14ac:dyDescent="0.55000000000000004">
      <c r="B290" t="str">
        <v>«Роковая музыка» — Терри Пратчетт</v>
      </c>
      <c r="C290" s="9">
        <v>42831</v>
      </c>
      <c r="D290" t="str">
        <v>Редакция №2</v>
      </c>
      <c r="E290" t="str">
        <v>Твердый переплет</v>
      </c>
      <c r="F290" t="str">
        <v>Дистрибуция</v>
      </c>
      <c r="G290">
        <v>368</v>
      </c>
      <c r="H290">
        <v>110768</v>
      </c>
    </row>
    <row r="291" spans="2:8" x14ac:dyDescent="0.55000000000000004">
      <c r="B291" t="str">
        <v>«Белый пик» — Энтони Горовиц</v>
      </c>
      <c r="C291" s="9">
        <v>42645</v>
      </c>
      <c r="D291" t="str">
        <v>Редакция №1</v>
      </c>
      <c r="E291" t="str">
        <v>Покетбук</v>
      </c>
      <c r="F291" t="str">
        <v>Дистрибуция</v>
      </c>
      <c r="G291">
        <v>369</v>
      </c>
      <c r="H291">
        <v>154242</v>
      </c>
    </row>
    <row r="292" spans="2:8" x14ac:dyDescent="0.55000000000000004">
      <c r="B292" t="str">
        <v>«Парфюмер» — Патрик Зюскинд</v>
      </c>
      <c r="C292" s="9">
        <v>42790</v>
      </c>
      <c r="D292" t="str">
        <v>Редакция №2</v>
      </c>
      <c r="E292" t="str">
        <v>Твердый переплет</v>
      </c>
      <c r="F292" t="str">
        <v>Дистрибуция</v>
      </c>
      <c r="G292">
        <v>372</v>
      </c>
      <c r="H292">
        <v>160704</v>
      </c>
    </row>
    <row r="293" spans="2:8" x14ac:dyDescent="0.55000000000000004">
      <c r="B293" t="str">
        <v>«Джуд Незаметный» — Томас Харди</v>
      </c>
      <c r="C293" s="9">
        <v>42553</v>
      </c>
      <c r="D293" t="str">
        <v>Редакция №1</v>
      </c>
      <c r="E293" t="str">
        <v>Мягкая обложка</v>
      </c>
      <c r="F293" t="str">
        <v>Дистрибуция</v>
      </c>
      <c r="G293">
        <v>373</v>
      </c>
      <c r="H293">
        <v>149946</v>
      </c>
    </row>
    <row r="294" spans="2:8" x14ac:dyDescent="0.55000000000000004">
      <c r="B294" t="str">
        <v>«Зелёная миля» — Стивен Кинг</v>
      </c>
      <c r="C294" s="9">
        <v>43472</v>
      </c>
      <c r="D294" t="str">
        <v>Редакция №1</v>
      </c>
      <c r="E294" t="str">
        <v>Мягкая обложка</v>
      </c>
      <c r="F294" t="str">
        <v>Дистрибуция</v>
      </c>
      <c r="G294">
        <v>375</v>
      </c>
      <c r="H294">
        <v>129375</v>
      </c>
    </row>
    <row r="295" spans="2:8" x14ac:dyDescent="0.55000000000000004">
      <c r="B295" t="str">
        <v>«Бог мелочей» — Арундати Рой</v>
      </c>
      <c r="C295" s="9">
        <v>43126</v>
      </c>
      <c r="D295" t="str">
        <v>Редакция №1</v>
      </c>
      <c r="E295" t="str">
        <v>Твердый переплет</v>
      </c>
      <c r="F295" t="str">
        <v>Дистрибуция</v>
      </c>
      <c r="G295">
        <v>377</v>
      </c>
      <c r="H295">
        <v>156078</v>
      </c>
    </row>
    <row r="296" spans="2:8" x14ac:dyDescent="0.55000000000000004">
      <c r="B296" t="str">
        <v>«Рискованные игры» — Жаклин Уилсон</v>
      </c>
      <c r="C296" s="9">
        <v>42962</v>
      </c>
      <c r="D296" t="str">
        <v>Редакция №2</v>
      </c>
      <c r="E296" t="str">
        <v>Покетбук</v>
      </c>
      <c r="F296" t="str">
        <v>Дистрибуция</v>
      </c>
      <c r="G296">
        <v>377</v>
      </c>
      <c r="H296">
        <v>167765</v>
      </c>
    </row>
    <row r="297" spans="2:8" x14ac:dyDescent="0.55000000000000004">
      <c r="B297" t="str">
        <v>«Рассказ служанки» — Маргарет Этвуд</v>
      </c>
      <c r="C297" s="9">
        <v>42368</v>
      </c>
      <c r="D297" t="str">
        <v>Редакция №2</v>
      </c>
      <c r="E297" t="str">
        <v>Твердый переплет</v>
      </c>
      <c r="F297" t="str">
        <v>Дистрибуция</v>
      </c>
      <c r="G297">
        <v>378</v>
      </c>
      <c r="H297">
        <v>133434</v>
      </c>
    </row>
    <row r="298" spans="2:8" x14ac:dyDescent="0.55000000000000004">
      <c r="B298" t="str">
        <v>«Вещие сестрички» — Терри Пратчетт</v>
      </c>
      <c r="C298" s="9">
        <v>42269</v>
      </c>
      <c r="D298" t="str">
        <v>Редакция №1</v>
      </c>
      <c r="E298" t="str">
        <v>Твердый переплет</v>
      </c>
      <c r="F298" t="str">
        <v>Дистрибуция</v>
      </c>
      <c r="G298">
        <v>378</v>
      </c>
      <c r="H298">
        <v>136458</v>
      </c>
    </row>
    <row r="299" spans="2:8" x14ac:dyDescent="0.55000000000000004">
      <c r="B299" t="str">
        <v>«Оно» — Стивен Кинг</v>
      </c>
      <c r="C299" s="9">
        <v>43715</v>
      </c>
      <c r="D299" t="str">
        <v>Редакция №2</v>
      </c>
      <c r="E299" t="str">
        <v>Покетбук</v>
      </c>
      <c r="F299" t="str">
        <v>Дистрибуция</v>
      </c>
      <c r="G299">
        <v>378</v>
      </c>
      <c r="H299">
        <v>164052</v>
      </c>
    </row>
    <row r="300" spans="2:8" x14ac:dyDescent="0.55000000000000004">
      <c r="B300" t="str">
        <v>«1984» — Джордж Оруэлл</v>
      </c>
      <c r="C300" s="9">
        <v>42736</v>
      </c>
      <c r="D300" t="str">
        <v>Редакция №1</v>
      </c>
      <c r="E300" t="str">
        <v>Мягкая обложка</v>
      </c>
      <c r="F300" t="str">
        <v>Дистрибуция</v>
      </c>
      <c r="G300">
        <v>381</v>
      </c>
      <c r="H300">
        <v>162687</v>
      </c>
    </row>
    <row r="301" spans="2:8" x14ac:dyDescent="0.55000000000000004">
      <c r="B301" t="str">
        <v>«Невыносимая лёгкость бытия» — Милан Кундера</v>
      </c>
      <c r="C301" s="9">
        <v>43492</v>
      </c>
      <c r="D301" t="str">
        <v>Редакция №2</v>
      </c>
      <c r="E301" t="str">
        <v>Твердый переплет</v>
      </c>
      <c r="F301" t="str">
        <v>Дистрибуция</v>
      </c>
      <c r="G301">
        <v>381</v>
      </c>
      <c r="H301">
        <v>169545</v>
      </c>
    </row>
    <row r="302" spans="2:8" x14ac:dyDescent="0.55000000000000004">
      <c r="B302" t="str">
        <v>«Очень голодная гусеница» — Эрик Карл</v>
      </c>
      <c r="C302" s="9">
        <v>42923</v>
      </c>
      <c r="D302" t="str">
        <v>Редакция №1</v>
      </c>
      <c r="E302" t="str">
        <v>Твердый переплет</v>
      </c>
      <c r="F302" t="str">
        <v>Дистрибуция</v>
      </c>
      <c r="G302">
        <v>384</v>
      </c>
      <c r="H302">
        <v>141312</v>
      </c>
    </row>
    <row r="303" spans="2:8" x14ac:dyDescent="0.55000000000000004">
      <c r="B303" t="str">
        <v>«Подходящий жених» — Викрам Сет</v>
      </c>
      <c r="C303" s="9">
        <v>43919</v>
      </c>
      <c r="D303" t="str">
        <v>Редакция №1</v>
      </c>
      <c r="E303" t="str">
        <v>Твердый переплет</v>
      </c>
      <c r="F303" t="str">
        <v>Дистрибуция</v>
      </c>
      <c r="G303">
        <v>385</v>
      </c>
      <c r="H303">
        <v>168245</v>
      </c>
    </row>
    <row r="304" spans="2:8" x14ac:dyDescent="0.55000000000000004">
      <c r="B304" t="str">
        <v>«Ким» — Редьярд Киплинг</v>
      </c>
      <c r="C304" s="9">
        <v>43767</v>
      </c>
      <c r="D304" t="str">
        <v>Редакция №2</v>
      </c>
      <c r="E304" t="str">
        <v>Мягкая обложка</v>
      </c>
      <c r="F304" t="str">
        <v>Дистрибуция</v>
      </c>
      <c r="G304">
        <v>387</v>
      </c>
      <c r="H304">
        <v>154413</v>
      </c>
    </row>
    <row r="305" spans="2:8" x14ac:dyDescent="0.55000000000000004">
      <c r="B305" t="str">
        <v>«Хайди» — Иоганна Шпири</v>
      </c>
      <c r="C305" s="9">
        <v>42229</v>
      </c>
      <c r="D305" t="str">
        <v>Редакция №1</v>
      </c>
      <c r="E305" t="str">
        <v>Твердый переплет</v>
      </c>
      <c r="F305" t="str">
        <v>Дистрибуция</v>
      </c>
      <c r="G305">
        <v>388</v>
      </c>
      <c r="H305">
        <v>140456</v>
      </c>
    </row>
    <row r="306" spans="2:8" x14ac:dyDescent="0.55000000000000004">
      <c r="B306" t="str">
        <v>«Божество реки» — Уилбур Смит</v>
      </c>
      <c r="C306" s="9">
        <v>42183</v>
      </c>
      <c r="D306" t="str">
        <v>Редакция №1</v>
      </c>
      <c r="E306" t="str">
        <v>Мягкая обложка</v>
      </c>
      <c r="F306" t="str">
        <v>Дистрибуция</v>
      </c>
      <c r="G306">
        <v>394</v>
      </c>
      <c r="H306">
        <v>126080</v>
      </c>
    </row>
    <row r="307" spans="2:8" x14ac:dyDescent="0.55000000000000004">
      <c r="B307" t="str">
        <v>«Гордость и предубеждение» — Джейн Остин</v>
      </c>
      <c r="C307" s="9">
        <v>42609</v>
      </c>
      <c r="D307" t="str">
        <v>Редакция №1</v>
      </c>
      <c r="E307" t="str">
        <v>Покетбук</v>
      </c>
      <c r="F307" t="str">
        <v>Дистрибуция</v>
      </c>
      <c r="G307">
        <v>396</v>
      </c>
      <c r="H307">
        <v>125136</v>
      </c>
    </row>
    <row r="308" spans="2:8" x14ac:dyDescent="0.55000000000000004">
      <c r="B308" t="str">
        <v>«Hi-Fi» — Ник Хорнби</v>
      </c>
      <c r="C308" s="9">
        <v>43260</v>
      </c>
      <c r="D308" t="str">
        <v>Редакция №2</v>
      </c>
      <c r="E308" t="str">
        <v>Мягкая обложка</v>
      </c>
      <c r="F308" t="str">
        <v>Дистрибуция</v>
      </c>
      <c r="G308">
        <v>397</v>
      </c>
      <c r="H308">
        <v>123070</v>
      </c>
    </row>
    <row r="309" spans="2:8" x14ac:dyDescent="0.55000000000000004">
      <c r="B309" t="str">
        <v>«Маленькие женщины» — Луиза Мэй Олкотт</v>
      </c>
      <c r="C309" s="9">
        <v>44110</v>
      </c>
      <c r="D309" t="str">
        <v>Редакция №2</v>
      </c>
      <c r="E309" t="str">
        <v>Покетбук</v>
      </c>
      <c r="F309" t="str">
        <v>Дистрибуция</v>
      </c>
      <c r="G309">
        <v>406</v>
      </c>
      <c r="H309">
        <v>124236</v>
      </c>
    </row>
    <row r="310" spans="2:8" x14ac:dyDescent="0.55000000000000004">
      <c r="B310" t="str">
        <v>«Семейная реликвия» — Розамунд Пилчер</v>
      </c>
      <c r="C310" s="9">
        <v>42464</v>
      </c>
      <c r="D310" t="str">
        <v>Редакция №2</v>
      </c>
      <c r="E310" t="str">
        <v>Покетбук</v>
      </c>
      <c r="F310" t="str">
        <v>Дистрибуция</v>
      </c>
      <c r="G310">
        <v>407</v>
      </c>
      <c r="H310">
        <v>173382</v>
      </c>
    </row>
    <row r="311" spans="2:8" x14ac:dyDescent="0.55000000000000004">
      <c r="B311" t="str">
        <v>«Горменгаст» — Мервин Пик</v>
      </c>
      <c r="C311" s="9">
        <v>43807</v>
      </c>
      <c r="D311" t="str">
        <v>Редакция №1</v>
      </c>
      <c r="E311" t="str">
        <v>Твердый переплет</v>
      </c>
      <c r="F311" t="str">
        <v>Дистрибуция</v>
      </c>
      <c r="G311">
        <v>407</v>
      </c>
      <c r="H311">
        <v>164835</v>
      </c>
    </row>
    <row r="312" spans="2:8" x14ac:dyDescent="0.55000000000000004">
      <c r="B312" t="str">
        <v>«Дневники принцессы» — Мэг Кэбот</v>
      </c>
      <c r="C312" s="9">
        <v>43936</v>
      </c>
      <c r="D312" t="str">
        <v>Редакция №2</v>
      </c>
      <c r="E312" t="str">
        <v>Покетбук</v>
      </c>
      <c r="F312" t="str">
        <v>Дистрибуция</v>
      </c>
      <c r="G312">
        <v>407</v>
      </c>
      <c r="H312">
        <v>125356</v>
      </c>
    </row>
    <row r="313" spans="2:8" x14ac:dyDescent="0.55000000000000004">
      <c r="B313" t="str">
        <v>«Гроздья гнева» — Джон Стейнбек</v>
      </c>
      <c r="C313" s="9">
        <v>42638</v>
      </c>
      <c r="D313" t="str">
        <v>Редакция №1</v>
      </c>
      <c r="E313" t="str">
        <v>Мягкая обложка</v>
      </c>
      <c r="F313" t="str">
        <v>Дистрибуция</v>
      </c>
      <c r="G313">
        <v>411</v>
      </c>
      <c r="H313">
        <v>176730</v>
      </c>
    </row>
    <row r="314" spans="2:8" x14ac:dyDescent="0.55000000000000004">
      <c r="B314" t="str">
        <v>«Мелкие боги» — Терри Пратчетт</v>
      </c>
      <c r="C314" s="9">
        <v>43796</v>
      </c>
      <c r="D314" t="str">
        <v>Редакция №1</v>
      </c>
      <c r="E314" t="str">
        <v>Покетбук</v>
      </c>
      <c r="F314" t="str">
        <v>Дистрибуция</v>
      </c>
      <c r="G314">
        <v>412</v>
      </c>
      <c r="H314">
        <v>168508</v>
      </c>
    </row>
    <row r="315" spans="2:8" x14ac:dyDescent="0.55000000000000004">
      <c r="B315" t="str">
        <v>«Рождественская песнь» — Чарльз Диккенс</v>
      </c>
      <c r="C315" s="9">
        <v>43584</v>
      </c>
      <c r="D315" t="str">
        <v>Редакция №1</v>
      </c>
      <c r="E315" t="str">
        <v>Мягкая обложка</v>
      </c>
      <c r="F315" t="str">
        <v>Дистрибуция</v>
      </c>
      <c r="G315">
        <v>413</v>
      </c>
      <c r="H315">
        <v>161896</v>
      </c>
    </row>
    <row r="316" spans="2:8" x14ac:dyDescent="0.55000000000000004">
      <c r="B316" t="str">
        <v>«Хрупкое равновесие» — Рохинтон Мистри</v>
      </c>
      <c r="C316" s="9">
        <v>44010</v>
      </c>
      <c r="D316" t="str">
        <v>Редакция №2</v>
      </c>
      <c r="E316" t="str">
        <v>Покетбук</v>
      </c>
      <c r="F316" t="str">
        <v>Дистрибуция</v>
      </c>
      <c r="G316">
        <v>414</v>
      </c>
      <c r="H316">
        <v>158148</v>
      </c>
    </row>
    <row r="317" spans="2:8" x14ac:dyDescent="0.55000000000000004">
      <c r="B317" t="str">
        <v>«Цвет волшебства» — Терри Пратчетт</v>
      </c>
      <c r="C317" s="9">
        <v>43043</v>
      </c>
      <c r="D317" t="str">
        <v>Редакция №1</v>
      </c>
      <c r="E317" t="str">
        <v>Твердый переплет</v>
      </c>
      <c r="F317" t="str">
        <v>Дистрибуция</v>
      </c>
      <c r="G317">
        <v>420</v>
      </c>
      <c r="H317">
        <v>133560</v>
      </c>
    </row>
    <row r="318" spans="2:8" x14ac:dyDescent="0.55000000000000004">
      <c r="B318" t="str">
        <v>«Девчонки гуляют допоздна» — Жаклин Уилсон</v>
      </c>
      <c r="C318" s="9">
        <v>43971</v>
      </c>
      <c r="D318" t="str">
        <v>Редакция №2</v>
      </c>
      <c r="E318" t="str">
        <v>Твердый переплет</v>
      </c>
      <c r="F318" t="str">
        <v>Дистрибуция</v>
      </c>
      <c r="G318">
        <v>425</v>
      </c>
      <c r="H318">
        <v>151300</v>
      </c>
    </row>
    <row r="319" spans="2:8" x14ac:dyDescent="0.55000000000000004">
      <c r="B319" t="str">
        <v>«Доводы рассудка» — Джейн Остин</v>
      </c>
      <c r="C319" s="9">
        <v>42510</v>
      </c>
      <c r="D319" t="str">
        <v>Редакция №2</v>
      </c>
      <c r="E319" t="str">
        <v>Твердый переплет</v>
      </c>
      <c r="F319" t="str">
        <v>Дистрибуция</v>
      </c>
      <c r="G319">
        <v>431</v>
      </c>
      <c r="H319">
        <v>187916</v>
      </c>
    </row>
    <row r="320" spans="2:8" x14ac:dyDescent="0.55000000000000004">
      <c r="B320" t="str">
        <v>«Ведьмы» — Роальд Даль</v>
      </c>
      <c r="C320" s="9">
        <v>43345</v>
      </c>
      <c r="D320" t="str">
        <v>Редакция №1</v>
      </c>
      <c r="E320" t="str">
        <v>Твердый переплет</v>
      </c>
      <c r="F320" t="str">
        <v>Дистрибуция</v>
      </c>
      <c r="G320">
        <v>434</v>
      </c>
      <c r="H320">
        <v>183582</v>
      </c>
    </row>
    <row r="321" spans="2:8" x14ac:dyDescent="0.55000000000000004">
      <c r="B321" t="str">
        <v>«Большие надежды» — Чарльз Диккенс</v>
      </c>
      <c r="C321" s="9">
        <v>43442</v>
      </c>
      <c r="D321" t="str">
        <v>Редакция №1</v>
      </c>
      <c r="E321" t="str">
        <v>Покетбук</v>
      </c>
      <c r="F321" t="str">
        <v>Дистрибуция</v>
      </c>
      <c r="G321">
        <v>436</v>
      </c>
      <c r="H321">
        <v>136468</v>
      </c>
    </row>
    <row r="322" spans="2:8" x14ac:dyDescent="0.55000000000000004">
      <c r="B322" t="str">
        <v>«Гарри Поттер и философский камень» — Джоан Роулинг</v>
      </c>
      <c r="C322" s="9">
        <v>42569</v>
      </c>
      <c r="D322" t="str">
        <v>Редакция №2</v>
      </c>
      <c r="E322" t="str">
        <v>Мягкая обложка</v>
      </c>
      <c r="F322" t="str">
        <v>Дистрибуция</v>
      </c>
      <c r="G322">
        <v>440</v>
      </c>
      <c r="H322">
        <v>150920</v>
      </c>
    </row>
    <row r="323" spans="2:8" x14ac:dyDescent="0.55000000000000004">
      <c r="B323" t="str">
        <v>«Хоббит, или Туда и обратно» — Джон Р. Р. Толкин</v>
      </c>
      <c r="C323" s="9">
        <v>43565</v>
      </c>
      <c r="D323" t="str">
        <v>Редакция №1</v>
      </c>
      <c r="E323" t="str">
        <v>Покетбук</v>
      </c>
      <c r="F323" t="str">
        <v>Дистрибуция</v>
      </c>
      <c r="G323">
        <v>440</v>
      </c>
      <c r="H323">
        <v>169840</v>
      </c>
    </row>
    <row r="324" spans="2:8" x14ac:dyDescent="0.55000000000000004">
      <c r="B324" t="str">
        <v>«Тёмные начала» — Филип Пулман</v>
      </c>
      <c r="C324" s="9">
        <v>43385</v>
      </c>
      <c r="D324" t="str">
        <v>Редакция №1</v>
      </c>
      <c r="E324" t="str">
        <v>Мягкая обложка</v>
      </c>
      <c r="F324" t="str">
        <v>Дистрибуция</v>
      </c>
      <c r="G324">
        <v>443</v>
      </c>
      <c r="H324">
        <v>159480</v>
      </c>
    </row>
    <row r="325" spans="2:8" x14ac:dyDescent="0.55000000000000004">
      <c r="B325" t="str">
        <v>«О мышах и людях» — Джон Стейнбек</v>
      </c>
      <c r="C325" s="9">
        <v>42641</v>
      </c>
      <c r="D325" t="str">
        <v>Редакция №1</v>
      </c>
      <c r="E325" t="str">
        <v>Мягкая обложка</v>
      </c>
      <c r="F325" t="str">
        <v>Дистрибуция</v>
      </c>
      <c r="G325">
        <v>448</v>
      </c>
      <c r="H325">
        <v>160832</v>
      </c>
    </row>
    <row r="326" spans="2:8" x14ac:dyDescent="0.55000000000000004">
      <c r="B326" t="str">
        <v>«Джеймс и гигантский персик» — Роальд Даль</v>
      </c>
      <c r="C326" s="9">
        <v>42423</v>
      </c>
      <c r="D326" t="str">
        <v>Редакция №2</v>
      </c>
      <c r="E326" t="str">
        <v>Твердый переплет</v>
      </c>
      <c r="F326" t="str">
        <v>Дистрибуция</v>
      </c>
      <c r="G326">
        <v>453</v>
      </c>
      <c r="H326">
        <v>146772</v>
      </c>
    </row>
    <row r="327" spans="2:8" x14ac:dyDescent="0.55000000000000004">
      <c r="B327" t="str">
        <v>«Спокойной ночи, мистер Том» — Мишель Магориан</v>
      </c>
      <c r="C327" s="9">
        <v>43245</v>
      </c>
      <c r="D327" t="str">
        <v>Редакция №1</v>
      </c>
      <c r="E327" t="str">
        <v>Твердый переплет</v>
      </c>
      <c r="F327" t="str">
        <v>Дистрибуция</v>
      </c>
      <c r="G327">
        <v>457</v>
      </c>
      <c r="H327">
        <v>180058</v>
      </c>
    </row>
    <row r="328" spans="2:8" x14ac:dyDescent="0.55000000000000004">
      <c r="B328" t="str">
        <v>«Сто лет одиночества» — Габриэль Гарсиа Маркес</v>
      </c>
      <c r="C328" s="9">
        <v>42767</v>
      </c>
      <c r="D328" t="str">
        <v>Редакция №2</v>
      </c>
      <c r="E328" t="str">
        <v>Покетбук</v>
      </c>
      <c r="F328" t="str">
        <v>Дистрибуция</v>
      </c>
      <c r="G328">
        <v>466</v>
      </c>
      <c r="H328">
        <v>157974</v>
      </c>
    </row>
    <row r="329" spans="2:8" x14ac:dyDescent="0.55000000000000004">
      <c r="B329" t="str">
        <v>«Скотный двор» — Джордж Оруэлл</v>
      </c>
      <c r="C329" s="9">
        <v>43727</v>
      </c>
      <c r="D329" t="str">
        <v>Редакция №1</v>
      </c>
      <c r="E329" t="str">
        <v>Мягкая обложка</v>
      </c>
      <c r="F329" t="str">
        <v>Дистрибуция</v>
      </c>
      <c r="G329">
        <v>470</v>
      </c>
      <c r="H329">
        <v>157450</v>
      </c>
    </row>
    <row r="330" spans="2:8" x14ac:dyDescent="0.55000000000000004">
      <c r="B330" t="str">
        <v>«Клан пещерного медведя» — Джин Ауэл</v>
      </c>
      <c r="C330" s="9">
        <v>42040</v>
      </c>
      <c r="D330" t="str">
        <v>Редакция №1</v>
      </c>
      <c r="E330" t="str">
        <v>Твердый переплет</v>
      </c>
      <c r="F330" t="str">
        <v>Дистрибуция</v>
      </c>
      <c r="G330">
        <v>471</v>
      </c>
      <c r="H330">
        <v>149307</v>
      </c>
    </row>
    <row r="331" spans="2:8" x14ac:dyDescent="0.55000000000000004">
      <c r="B331" t="str">
        <v>«Хозяин морей: Командир и штурман» — Патрик О’Брайан</v>
      </c>
      <c r="C331" s="9">
        <v>43224</v>
      </c>
      <c r="D331" t="str">
        <v>Редакция №2</v>
      </c>
      <c r="E331" t="str">
        <v>Твердый переплет</v>
      </c>
      <c r="F331" t="str">
        <v>Дистрибуция</v>
      </c>
      <c r="G331">
        <v>472</v>
      </c>
      <c r="H331">
        <v>170392</v>
      </c>
    </row>
    <row r="332" spans="2:8" x14ac:dyDescent="0.55000000000000004">
      <c r="B332" t="str">
        <v>«Осиная фабрика» — Иэн Бэнкс</v>
      </c>
      <c r="C332" s="9">
        <v>43834</v>
      </c>
      <c r="D332" t="str">
        <v>Редакция №1</v>
      </c>
      <c r="E332" t="str">
        <v>Мягкая обложка</v>
      </c>
      <c r="F332" t="str">
        <v>Дистрибуция</v>
      </c>
      <c r="G332">
        <v>474</v>
      </c>
      <c r="H332">
        <v>158790</v>
      </c>
    </row>
    <row r="333" spans="2:8" x14ac:dyDescent="0.55000000000000004">
      <c r="B333" t="str">
        <v>«Лев, колдунья и платяной шкаф» — Клайв Стэйплз Льюис</v>
      </c>
      <c r="C333" s="9">
        <v>43556</v>
      </c>
      <c r="D333" t="str">
        <v>Редакция №1</v>
      </c>
      <c r="E333" t="str">
        <v>Покетбук</v>
      </c>
      <c r="F333" t="str">
        <v>Дистрибуция</v>
      </c>
      <c r="G333">
        <v>475</v>
      </c>
      <c r="H333">
        <v>171950</v>
      </c>
    </row>
    <row r="334" spans="2:8" x14ac:dyDescent="0.55000000000000004">
      <c r="B334" t="str">
        <v>«Дюна» — Фрэнк Герберт</v>
      </c>
      <c r="C334" s="9">
        <v>42211</v>
      </c>
      <c r="D334" t="str">
        <v>Редакция №2</v>
      </c>
      <c r="E334" t="str">
        <v>Покетбук</v>
      </c>
      <c r="F334" t="str">
        <v>Дистрибуция</v>
      </c>
      <c r="G334">
        <v>484</v>
      </c>
      <c r="H334">
        <v>189244</v>
      </c>
    </row>
    <row r="335" spans="2:8" x14ac:dyDescent="0.55000000000000004">
      <c r="B335" t="str">
        <v>«Артемис Фаул» — Йон Колфер</v>
      </c>
      <c r="C335" s="9">
        <v>44019</v>
      </c>
      <c r="D335" t="str">
        <v>Редакция №1</v>
      </c>
      <c r="E335" t="str">
        <v>Покетбук</v>
      </c>
      <c r="F335" t="str">
        <v>Дистрибуция</v>
      </c>
      <c r="G335">
        <v>486</v>
      </c>
      <c r="H335">
        <v>201690</v>
      </c>
    </row>
    <row r="336" spans="2:8" x14ac:dyDescent="0.55000000000000004">
      <c r="B336" t="str">
        <v>«Мотылёк» — Анри Шарьер</v>
      </c>
      <c r="C336" s="9">
        <v>43828</v>
      </c>
      <c r="D336" t="str">
        <v>Редакция №2</v>
      </c>
      <c r="E336" t="str">
        <v>Твердый переплет</v>
      </c>
      <c r="F336" t="str">
        <v>Дистрибуция</v>
      </c>
      <c r="G336">
        <v>489</v>
      </c>
      <c r="H336">
        <v>202935</v>
      </c>
    </row>
    <row r="337" spans="2:8" x14ac:dyDescent="0.55000000000000004">
      <c r="B337" t="str">
        <v>«Лола Роза» — Жаклин Уилсон</v>
      </c>
      <c r="C337" s="9">
        <v>43955</v>
      </c>
      <c r="D337" t="str">
        <v>Редакция №1</v>
      </c>
      <c r="E337" t="str">
        <v>Мягкая обложка</v>
      </c>
      <c r="F337" t="str">
        <v>Дистрибуция</v>
      </c>
      <c r="G337">
        <v>490</v>
      </c>
      <c r="H337">
        <v>200900</v>
      </c>
    </row>
    <row r="338" spans="2:8" x14ac:dyDescent="0.55000000000000004">
      <c r="B338" t="str">
        <v>«Пляж» — Алекс Гарленд</v>
      </c>
      <c r="C338" s="9">
        <v>42879</v>
      </c>
      <c r="D338" t="str">
        <v>Редакция №1</v>
      </c>
      <c r="E338" t="str">
        <v>Твердый переплет</v>
      </c>
      <c r="F338" t="str">
        <v>Дистрибуция</v>
      </c>
      <c r="G338">
        <v>491</v>
      </c>
      <c r="H338">
        <v>181179</v>
      </c>
    </row>
    <row r="339" spans="2:8" x14ac:dyDescent="0.55000000000000004">
      <c r="B339" t="str">
        <v>«Правда» — Терри Пратчетт</v>
      </c>
      <c r="C339" s="9">
        <v>42048</v>
      </c>
      <c r="D339" t="str">
        <v>Редакция №1</v>
      </c>
      <c r="E339" t="str">
        <v>Мягкая обложка</v>
      </c>
      <c r="F339" t="str">
        <v>Дистрибуция</v>
      </c>
      <c r="G339">
        <v>492</v>
      </c>
      <c r="H339">
        <v>177120</v>
      </c>
    </row>
    <row r="340" spans="2:8" x14ac:dyDescent="0.55000000000000004">
      <c r="B340" t="str">
        <v>«Великий Гэтсби» — Фрэнсис Скотт Фицджеральд</v>
      </c>
      <c r="C340" s="9">
        <v>43940</v>
      </c>
      <c r="D340" t="str">
        <v>Редакция №1</v>
      </c>
      <c r="E340" t="str">
        <v>Покетбук</v>
      </c>
      <c r="F340" t="str">
        <v>Дистрибуция</v>
      </c>
      <c r="G340">
        <v>496</v>
      </c>
      <c r="H340">
        <v>164176</v>
      </c>
    </row>
    <row r="341" spans="2:8" x14ac:dyDescent="0.55000000000000004">
      <c r="B341" t="str">
        <v>«Дневник Трейси Бикер» — Жаклин Уилсон</v>
      </c>
      <c r="C341" s="9">
        <v>43821</v>
      </c>
      <c r="D341" t="str">
        <v>Редакция №1</v>
      </c>
      <c r="E341" t="str">
        <v>Мягкая обложка</v>
      </c>
      <c r="F341" t="str">
        <v>Дистрибуция</v>
      </c>
      <c r="G341">
        <v>499</v>
      </c>
      <c r="H341">
        <v>165668</v>
      </c>
    </row>
    <row r="342" spans="2:8" x14ac:dyDescent="0.55000000000000004">
      <c r="B342" t="str">
        <v>«Столпы Земли» — Кен Фоллетт</v>
      </c>
      <c r="C342" s="9">
        <v>43203</v>
      </c>
      <c r="D342" t="str">
        <v>Редакция №1</v>
      </c>
      <c r="E342" t="str">
        <v>Твердый переплет</v>
      </c>
      <c r="F342" t="str">
        <v>Дистрибуция</v>
      </c>
      <c r="G342">
        <v>499</v>
      </c>
      <c r="H342">
        <v>184131</v>
      </c>
    </row>
    <row r="343" spans="2:8" x14ac:dyDescent="0.55000000000000004">
      <c r="B343" t="str">
        <v>«Дети полуночи» — Салман Рушди</v>
      </c>
      <c r="C343" s="9">
        <v>43667</v>
      </c>
      <c r="D343" t="str">
        <v>Редакция №2</v>
      </c>
      <c r="E343" t="str">
        <v>Мягкая обложка</v>
      </c>
      <c r="F343" t="str">
        <v>Дистрибуция</v>
      </c>
      <c r="G343">
        <v>506</v>
      </c>
      <c r="H343">
        <v>223652</v>
      </c>
    </row>
    <row r="344" spans="2:8" x14ac:dyDescent="0.55000000000000004">
      <c r="B344" t="str">
        <v>«Джейн Эйр» — Шарлотта Бронте</v>
      </c>
      <c r="C344" s="9">
        <v>43747</v>
      </c>
      <c r="D344" t="str">
        <v>Редакция №2</v>
      </c>
      <c r="E344" t="str">
        <v>Мягкая обложка</v>
      </c>
      <c r="F344" t="str">
        <v>Дистрибуция</v>
      </c>
      <c r="G344">
        <v>510</v>
      </c>
      <c r="H344">
        <v>163200</v>
      </c>
    </row>
    <row r="345" spans="2:8" x14ac:dyDescent="0.55000000000000004">
      <c r="B345" t="str">
        <v>«Убить пересмешника» — Харпер Ли</v>
      </c>
      <c r="C345" s="9">
        <v>44108</v>
      </c>
      <c r="D345" t="str">
        <v>Редакция №2</v>
      </c>
      <c r="E345" t="str">
        <v>Твердый переплет</v>
      </c>
      <c r="F345" t="str">
        <v>Дистрибуция</v>
      </c>
      <c r="G345">
        <v>513</v>
      </c>
      <c r="H345">
        <v>174420</v>
      </c>
    </row>
    <row r="346" spans="2:8" x14ac:dyDescent="0.55000000000000004">
      <c r="B346" t="str">
        <v>«Тэсс из рода д’Эрбервиллей» — Томас Харди</v>
      </c>
      <c r="C346" s="9">
        <v>42643</v>
      </c>
      <c r="D346" t="str">
        <v>Редакция №2</v>
      </c>
      <c r="E346" t="str">
        <v>Покетбук</v>
      </c>
      <c r="F346" t="str">
        <v>Дистрибуция</v>
      </c>
      <c r="G346">
        <v>519</v>
      </c>
      <c r="H346">
        <v>222651</v>
      </c>
    </row>
    <row r="347" spans="2:8" x14ac:dyDescent="0.55000000000000004">
      <c r="B347" t="str">
        <v>«Вечеринка с ночёвкой» — Жаклин Уилсон</v>
      </c>
      <c r="C347" s="9">
        <v>42654</v>
      </c>
      <c r="D347" t="str">
        <v>Редакция №1</v>
      </c>
      <c r="E347" t="str">
        <v>Мягкая обложка</v>
      </c>
      <c r="F347" t="str">
        <v>Дистрибуция</v>
      </c>
      <c r="G347">
        <v>519</v>
      </c>
      <c r="H347">
        <v>226803</v>
      </c>
    </row>
    <row r="348" spans="2:8" x14ac:dyDescent="0.55000000000000004">
      <c r="B348" t="str">
        <v>«Миддлмарч» — Джордж Элиот</v>
      </c>
      <c r="C348" s="9">
        <v>43025</v>
      </c>
      <c r="D348" t="str">
        <v>Редакция №1</v>
      </c>
      <c r="E348" t="str">
        <v>Мягкая обложка</v>
      </c>
      <c r="F348" t="str">
        <v>Дистрибуция</v>
      </c>
      <c r="G348">
        <v>523</v>
      </c>
      <c r="H348">
        <v>175205</v>
      </c>
    </row>
    <row r="349" spans="2:8" x14ac:dyDescent="0.55000000000000004">
      <c r="B349" t="str">
        <v>«Уловка-22» — Джозеф Хеллер</v>
      </c>
      <c r="C349" s="9">
        <v>44073</v>
      </c>
      <c r="D349" t="str">
        <v>Редакция №2</v>
      </c>
      <c r="E349" t="str">
        <v>Мягкая обложка</v>
      </c>
      <c r="F349" t="str">
        <v>Дистрибуция</v>
      </c>
      <c r="G349">
        <v>525</v>
      </c>
      <c r="H349">
        <v>163800</v>
      </c>
    </row>
    <row r="350" spans="2:8" x14ac:dyDescent="0.55000000000000004">
      <c r="B350" t="str">
        <v>«Чародей» — Раймонд Фэйст</v>
      </c>
      <c r="C350" s="9">
        <v>42125</v>
      </c>
      <c r="D350" t="str">
        <v>Редакция №2</v>
      </c>
      <c r="E350" t="str">
        <v>Твердый переплет</v>
      </c>
      <c r="F350" t="str">
        <v>Дистрибуция</v>
      </c>
      <c r="G350">
        <v>531</v>
      </c>
      <c r="H350">
        <v>175230</v>
      </c>
    </row>
    <row r="351" spans="2:8" x14ac:dyDescent="0.55000000000000004">
      <c r="B351" t="str">
        <v>«Лечение Джорджа Марвелуса» — Роальд Даль</v>
      </c>
      <c r="C351" s="9">
        <v>43639</v>
      </c>
      <c r="D351" t="str">
        <v>Редакция №1</v>
      </c>
      <c r="E351" t="str">
        <v>Твердый переплет</v>
      </c>
      <c r="F351" t="str">
        <v>Дистрибуция</v>
      </c>
      <c r="G351">
        <v>532</v>
      </c>
      <c r="H351">
        <v>239400</v>
      </c>
    </row>
    <row r="352" spans="2:8" x14ac:dyDescent="0.55000000000000004">
      <c r="B352" t="str">
        <v>«Двойняшки» — Жаклин Уилсон</v>
      </c>
      <c r="C352" s="9">
        <v>43937</v>
      </c>
      <c r="D352" t="str">
        <v>Редакция №1</v>
      </c>
      <c r="E352" t="str">
        <v>Мягкая обложка</v>
      </c>
      <c r="F352" t="str">
        <v>Дистрибуция</v>
      </c>
      <c r="G352">
        <v>534</v>
      </c>
      <c r="H352">
        <v>204522</v>
      </c>
    </row>
    <row r="353" spans="2:8" x14ac:dyDescent="0.55000000000000004">
      <c r="B353" t="str">
        <v>«Война миров» — Герберт Уэллс</v>
      </c>
      <c r="C353" s="9">
        <v>43155</v>
      </c>
      <c r="D353" t="str">
        <v>Редакция №2</v>
      </c>
      <c r="E353" t="str">
        <v>Мягкая обложка</v>
      </c>
      <c r="F353" t="str">
        <v>Дистрибуция</v>
      </c>
      <c r="G353">
        <v>538</v>
      </c>
      <c r="H353">
        <v>191528</v>
      </c>
    </row>
    <row r="354" spans="2:8" x14ac:dyDescent="0.55000000000000004">
      <c r="B354" t="str">
        <v>«Над пропастью во ржи» — Джером Сэлинджер</v>
      </c>
      <c r="C354" s="9">
        <v>42241</v>
      </c>
      <c r="D354" t="str">
        <v>Редакция №1</v>
      </c>
      <c r="E354" t="str">
        <v>Мягкая обложка</v>
      </c>
      <c r="F354" t="str">
        <v>Дистрибуция</v>
      </c>
      <c r="G354">
        <v>541</v>
      </c>
      <c r="H354">
        <v>208826</v>
      </c>
    </row>
    <row r="355" spans="2:8" x14ac:dyDescent="0.55000000000000004">
      <c r="B355" t="str">
        <v>«Молитва об Оуэне Мини» — Джон Ирвинг</v>
      </c>
      <c r="C355" s="9">
        <v>42917</v>
      </c>
      <c r="D355" t="str">
        <v>Редакция №2</v>
      </c>
      <c r="E355" t="str">
        <v>Мягкая обложка</v>
      </c>
      <c r="F355" t="str">
        <v>Дистрибуция</v>
      </c>
      <c r="G355">
        <v>555</v>
      </c>
      <c r="H355">
        <v>248640</v>
      </c>
    </row>
    <row r="356" spans="2:8" x14ac:dyDescent="0.55000000000000004">
      <c r="B356" t="str">
        <v>«В хранилищах музея» — Кейт Аткинсон</v>
      </c>
      <c r="C356" s="9">
        <v>44029</v>
      </c>
      <c r="D356" t="str">
        <v>Редакция №1</v>
      </c>
      <c r="E356" t="str">
        <v>Твердый переплет</v>
      </c>
      <c r="F356" t="str">
        <v>Дистрибуция</v>
      </c>
      <c r="G356">
        <v>555</v>
      </c>
      <c r="H356">
        <v>168720</v>
      </c>
    </row>
    <row r="357" spans="2:8" x14ac:dyDescent="0.55000000000000004">
      <c r="B357" t="str">
        <v>«Дневник незначительного лица» — Джордж и Уидон Гроссмит</v>
      </c>
      <c r="C357" s="9">
        <v>44148</v>
      </c>
      <c r="D357" t="str">
        <v>Редакция №2</v>
      </c>
      <c r="E357" t="str">
        <v>Покетбук</v>
      </c>
      <c r="F357" t="str">
        <v>Дистрибуция</v>
      </c>
      <c r="G357">
        <v>560</v>
      </c>
      <c r="H357">
        <v>245280</v>
      </c>
    </row>
    <row r="358" spans="2:8" x14ac:dyDescent="0.55000000000000004">
      <c r="B358" t="str">
        <v>«Сила единства» — Брайс Куртене</v>
      </c>
      <c r="C358" s="9">
        <v>43503</v>
      </c>
      <c r="D358" t="str">
        <v>Редакция №2</v>
      </c>
      <c r="E358" t="str">
        <v>Мягкая обложка</v>
      </c>
      <c r="F358" t="str">
        <v>Дистрибуция</v>
      </c>
      <c r="G358">
        <v>561</v>
      </c>
      <c r="H358">
        <v>218790</v>
      </c>
    </row>
    <row r="359" spans="2:8" x14ac:dyDescent="0.55000000000000004">
      <c r="B359" t="str">
        <v>«Гарри Поттер и узник Азкабана» — Джоан Роулинг</v>
      </c>
      <c r="C359" s="9">
        <v>42218</v>
      </c>
      <c r="D359" t="str">
        <v>Редакция №1</v>
      </c>
      <c r="E359" t="str">
        <v>Покетбук</v>
      </c>
      <c r="F359" t="str">
        <v>Дистрибуция</v>
      </c>
      <c r="G359">
        <v>566</v>
      </c>
      <c r="H359">
        <v>223004</v>
      </c>
    </row>
    <row r="360" spans="2:8" x14ac:dyDescent="0.55000000000000004">
      <c r="B360" t="str">
        <v>«Аня из Зелёных Мезонинов» — Люси Мод Монтгомери</v>
      </c>
      <c r="C360" s="9">
        <v>44039</v>
      </c>
      <c r="D360" t="str">
        <v>Редакция №2</v>
      </c>
      <c r="E360" t="str">
        <v>Покетбук</v>
      </c>
      <c r="F360" t="str">
        <v>Дистрибуция</v>
      </c>
      <c r="G360">
        <v>568</v>
      </c>
      <c r="H360">
        <v>230608</v>
      </c>
    </row>
    <row r="361" spans="2:8" x14ac:dyDescent="0.55000000000000004">
      <c r="B361" t="str">
        <v>«Ласточки и амазонки» — Артур Рэнсом</v>
      </c>
      <c r="C361" s="9">
        <v>43746</v>
      </c>
      <c r="D361" t="str">
        <v>Редакция №1</v>
      </c>
      <c r="E361" t="str">
        <v>Покетбук</v>
      </c>
      <c r="F361" t="str">
        <v>Дистрибуция</v>
      </c>
      <c r="G361">
        <v>571</v>
      </c>
      <c r="H361">
        <v>218693</v>
      </c>
    </row>
    <row r="362" spans="2:8" x14ac:dyDescent="0.55000000000000004">
      <c r="B362" t="str">
        <v>«Пение птиц» — Себастьян Фолкс</v>
      </c>
      <c r="C362" s="9">
        <v>42229</v>
      </c>
      <c r="D362" t="str">
        <v>Редакция №1</v>
      </c>
      <c r="E362" t="str">
        <v>Твердый переплет</v>
      </c>
      <c r="F362" t="str">
        <v>Дистрибуция</v>
      </c>
      <c r="G362">
        <v>573</v>
      </c>
      <c r="H362">
        <v>212583</v>
      </c>
    </row>
    <row r="363" spans="2:8" x14ac:dyDescent="0.55000000000000004">
      <c r="B363" t="str">
        <v>«Мир Софии» — Йостейн Гордер</v>
      </c>
      <c r="C363" s="9">
        <v>43140</v>
      </c>
      <c r="D363" t="str">
        <v>Редакция №1</v>
      </c>
      <c r="E363" t="str">
        <v>Твердый переплет</v>
      </c>
      <c r="F363" t="str">
        <v>Дистрибуция</v>
      </c>
      <c r="G363">
        <v>580</v>
      </c>
      <c r="H363">
        <v>180960</v>
      </c>
    </row>
    <row r="364" spans="2:8" x14ac:dyDescent="0.55000000000000004">
      <c r="B364" t="str">
        <v>«Заклинатель лошадей» — Николас Эванс</v>
      </c>
      <c r="C364" s="9">
        <v>42412</v>
      </c>
      <c r="D364" t="str">
        <v>Редакция №1</v>
      </c>
      <c r="E364" t="str">
        <v>Твердый переплет</v>
      </c>
      <c r="F364" t="str">
        <v>Дистрибуция</v>
      </c>
      <c r="G364">
        <v>580</v>
      </c>
      <c r="H364">
        <v>241860</v>
      </c>
    </row>
    <row r="365" spans="2:8" x14ac:dyDescent="0.55000000000000004">
      <c r="B365" t="str">
        <v>«Вдали от обезумевшей толпы» — Томас Харди</v>
      </c>
      <c r="C365" s="9">
        <v>43217</v>
      </c>
      <c r="D365" t="str">
        <v>Редакция №1</v>
      </c>
      <c r="E365" t="str">
        <v>Твердый переплет</v>
      </c>
      <c r="F365" t="str">
        <v>Дистрибуция</v>
      </c>
      <c r="G365">
        <v>588</v>
      </c>
      <c r="H365">
        <v>239316</v>
      </c>
    </row>
    <row r="366" spans="2:8" x14ac:dyDescent="0.55000000000000004">
      <c r="B366" t="str">
        <v>«Тайный дневник Адриана Моула, 13 3/4 лет» — Сью Таунсенд</v>
      </c>
      <c r="C366" s="9">
        <v>43359</v>
      </c>
      <c r="D366" t="str">
        <v>Редакция №1</v>
      </c>
      <c r="E366" t="str">
        <v>Мягкая обложка</v>
      </c>
      <c r="F366" t="str">
        <v>Дистрибуция</v>
      </c>
      <c r="G366">
        <v>593</v>
      </c>
      <c r="H366">
        <v>265071</v>
      </c>
    </row>
    <row r="367" spans="2:8" x14ac:dyDescent="0.55000000000000004">
      <c r="B367" t="str">
        <v>«Король былого и грядущего» — Теренс Уайт</v>
      </c>
      <c r="C367" s="9">
        <v>42869</v>
      </c>
      <c r="D367" t="str">
        <v>Редакция №1</v>
      </c>
      <c r="E367" t="str">
        <v>Твердый переплет</v>
      </c>
      <c r="F367" t="str">
        <v>Дистрибуция</v>
      </c>
      <c r="G367">
        <v>611</v>
      </c>
      <c r="H367">
        <v>195520</v>
      </c>
    </row>
    <row r="368" spans="2:8" x14ac:dyDescent="0.55000000000000004">
      <c r="B368" t="str">
        <v>«Любовь во время холеры» — Габриэль Гарсиа Маркес</v>
      </c>
      <c r="C368" s="9">
        <v>42320</v>
      </c>
      <c r="D368" t="str">
        <v>Редакция №1</v>
      </c>
      <c r="E368" t="str">
        <v>Мягкая обложка</v>
      </c>
      <c r="F368" t="str">
        <v>Дистрибуция</v>
      </c>
      <c r="G368">
        <v>613</v>
      </c>
      <c r="H368">
        <v>230488</v>
      </c>
    </row>
    <row r="369" spans="2:8" x14ac:dyDescent="0.55000000000000004">
      <c r="B369" t="str">
        <v>«Плохие девчонки» — Жаклин Уилсон</v>
      </c>
      <c r="C369" s="9">
        <v>43538</v>
      </c>
      <c r="D369" t="str">
        <v>Редакция №2</v>
      </c>
      <c r="E369" t="str">
        <v>Мягкая обложка</v>
      </c>
      <c r="F369" t="str">
        <v>Дистрибуция</v>
      </c>
      <c r="G369">
        <v>616</v>
      </c>
      <c r="H369">
        <v>244552</v>
      </c>
    </row>
    <row r="370" spans="2:8" x14ac:dyDescent="0.55000000000000004">
      <c r="B370" t="str">
        <v>«Песнь на закате» — Льюис Грессик Гиббон</v>
      </c>
      <c r="C370" s="9">
        <v>43035</v>
      </c>
      <c r="D370" t="str">
        <v>Редакция №1</v>
      </c>
      <c r="E370" t="str">
        <v>Покетбук</v>
      </c>
      <c r="F370" t="str">
        <v>Дистрибуция</v>
      </c>
      <c r="G370">
        <v>620</v>
      </c>
      <c r="H370">
        <v>234980</v>
      </c>
    </row>
    <row r="371" spans="2:8" x14ac:dyDescent="0.55000000000000004">
      <c r="B371" t="str">
        <v>«Лолита» — Владимир Набоков</v>
      </c>
      <c r="C371" s="9">
        <v>43636</v>
      </c>
      <c r="D371" t="str">
        <v>Редакция №1</v>
      </c>
      <c r="E371" t="str">
        <v>Твердый переплет</v>
      </c>
      <c r="F371" t="str">
        <v>Дистрибуция</v>
      </c>
      <c r="G371">
        <v>620</v>
      </c>
      <c r="H371">
        <v>225680</v>
      </c>
    </row>
    <row r="372" spans="2:8" x14ac:dyDescent="0.55000000000000004">
      <c r="B372" t="str">
        <v>«Дневник Бриджит Джонс» — Хелен Филдинг</v>
      </c>
      <c r="C372" s="9">
        <v>43226</v>
      </c>
      <c r="D372" t="str">
        <v>Редакция №2</v>
      </c>
      <c r="E372" t="str">
        <v>Покетбук</v>
      </c>
      <c r="F372" t="str">
        <v>Дистрибуция</v>
      </c>
      <c r="G372">
        <v>624</v>
      </c>
      <c r="H372">
        <v>202176</v>
      </c>
    </row>
    <row r="373" spans="2:8" x14ac:dyDescent="0.55000000000000004">
      <c r="B373" t="str">
        <v>«Сайлес Марнер» — Джордж Элиот</v>
      </c>
      <c r="C373" s="9">
        <v>42614</v>
      </c>
      <c r="D373" t="str">
        <v>Редакция №2</v>
      </c>
      <c r="E373" t="str">
        <v>Твердый переплет</v>
      </c>
      <c r="F373" t="str">
        <v>Дистрибуция</v>
      </c>
      <c r="G373">
        <v>628</v>
      </c>
      <c r="H373">
        <v>191540</v>
      </c>
    </row>
    <row r="374" spans="2:8" x14ac:dyDescent="0.55000000000000004">
      <c r="B374" t="str">
        <v>«Портрет Дориана Грея» — Оскар Уайльд</v>
      </c>
      <c r="C374" s="9">
        <v>42005</v>
      </c>
      <c r="D374" t="str">
        <v>Редакция №1</v>
      </c>
      <c r="E374" t="str">
        <v>Покетбук</v>
      </c>
      <c r="F374" t="str">
        <v>Дистрибуция</v>
      </c>
      <c r="G374">
        <v>635</v>
      </c>
      <c r="H374">
        <v>194945</v>
      </c>
    </row>
    <row r="375" spans="2:8" x14ac:dyDescent="0.55000000000000004">
      <c r="B375" t="str">
        <v>«Отверженные» — Виктор Гюго</v>
      </c>
      <c r="C375" s="9">
        <v>44018</v>
      </c>
      <c r="D375" t="str">
        <v>Редакция №1</v>
      </c>
      <c r="E375" t="str">
        <v>Покетбук</v>
      </c>
      <c r="F375" t="str">
        <v>Дистрибуция</v>
      </c>
      <c r="G375">
        <v>639</v>
      </c>
      <c r="H375">
        <v>238986</v>
      </c>
    </row>
    <row r="376" spans="2:8" x14ac:dyDescent="0.55000000000000004">
      <c r="B376" t="str">
        <v>«Сыновья и любовники» — Дэвид Герберт Лоуренс</v>
      </c>
      <c r="C376" s="9">
        <v>43074</v>
      </c>
      <c r="D376" t="str">
        <v>Редакция №2</v>
      </c>
      <c r="E376" t="str">
        <v>Покетбук</v>
      </c>
      <c r="F376" t="str">
        <v>Дистрибуция</v>
      </c>
      <c r="G376">
        <v>640</v>
      </c>
      <c r="H376">
        <v>266240</v>
      </c>
    </row>
    <row r="377" spans="2:8" x14ac:dyDescent="0.55000000000000004">
      <c r="B377" t="str">
        <v>«Сага о Форсайтах» — Джон Голсуорси</v>
      </c>
      <c r="C377" s="9">
        <v>42540</v>
      </c>
      <c r="D377" t="str">
        <v>Редакция №1</v>
      </c>
      <c r="E377" t="str">
        <v>Покетбук</v>
      </c>
      <c r="F377" t="str">
        <v>Дистрибуция</v>
      </c>
      <c r="G377">
        <v>643</v>
      </c>
      <c r="H377">
        <v>255271</v>
      </c>
    </row>
    <row r="378" spans="2:8" x14ac:dyDescent="0.55000000000000004">
      <c r="B378" t="str">
        <v>«День триффидов» — Джон Уиндем</v>
      </c>
      <c r="C378" s="9">
        <v>42182</v>
      </c>
      <c r="D378" t="str">
        <v>Редакция №1</v>
      </c>
      <c r="E378" t="str">
        <v>Мягкая обложка</v>
      </c>
      <c r="F378" t="str">
        <v>Дистрибуция</v>
      </c>
      <c r="G378">
        <v>646</v>
      </c>
      <c r="H378">
        <v>254524</v>
      </c>
    </row>
    <row r="379" spans="2:8" x14ac:dyDescent="0.55000000000000004">
      <c r="B379" t="str">
        <v>«Властелин колец» — Джон Р. Р. Толкин</v>
      </c>
      <c r="C379" s="9">
        <v>42484</v>
      </c>
      <c r="D379" t="str">
        <v>Редакция №1</v>
      </c>
      <c r="E379" t="str">
        <v>Мягкая обложка</v>
      </c>
      <c r="F379" t="str">
        <v>Дистрибуция</v>
      </c>
      <c r="G379">
        <v>655</v>
      </c>
      <c r="H379">
        <v>224665</v>
      </c>
    </row>
    <row r="380" spans="2:8" x14ac:dyDescent="0.55000000000000004">
      <c r="B380" t="str">
        <v>«Ветер в ивах» — Кеннет Грэм</v>
      </c>
      <c r="C380" s="9">
        <v>42700</v>
      </c>
      <c r="D380" t="str">
        <v>Редакция №1</v>
      </c>
      <c r="E380" t="str">
        <v>Мягкая обложка</v>
      </c>
      <c r="F380" t="str">
        <v>Дистрибуция</v>
      </c>
      <c r="G380">
        <v>663</v>
      </c>
      <c r="H380">
        <v>201552</v>
      </c>
    </row>
    <row r="381" spans="2:8" x14ac:dyDescent="0.55000000000000004">
      <c r="B381" t="str">
        <v>«Граф Монте-Кристо» — Александр Дюма</v>
      </c>
      <c r="C381" s="9">
        <v>43521</v>
      </c>
      <c r="D381" t="str">
        <v>Редакция №1</v>
      </c>
      <c r="E381" t="str">
        <v>Твердый переплет</v>
      </c>
      <c r="F381" t="str">
        <v>Дистрибуция</v>
      </c>
      <c r="G381">
        <v>663</v>
      </c>
      <c r="H381">
        <v>289731</v>
      </c>
    </row>
    <row r="382" spans="2:8" x14ac:dyDescent="0.55000000000000004">
      <c r="B382" t="str">
        <v>«Дом из листьев» — Марк Данилевски</v>
      </c>
      <c r="C382" s="9">
        <v>44005</v>
      </c>
      <c r="D382" t="str">
        <v>Редакция №1</v>
      </c>
      <c r="E382" t="str">
        <v>Твердый переплет</v>
      </c>
      <c r="F382" t="str">
        <v>Дистрибуция</v>
      </c>
      <c r="G382">
        <v>663</v>
      </c>
      <c r="H382">
        <v>238680</v>
      </c>
    </row>
    <row r="383" spans="2:8" x14ac:dyDescent="0.55000000000000004">
      <c r="B383" t="str">
        <v>«Девчонки в поисках любви» — Жаклин Уилсон</v>
      </c>
      <c r="C383" s="9">
        <v>43200</v>
      </c>
      <c r="D383" t="str">
        <v>Редакция №1</v>
      </c>
      <c r="E383" t="str">
        <v>Покетбук</v>
      </c>
      <c r="F383" t="str">
        <v>Дистрибуция</v>
      </c>
      <c r="G383">
        <v>669</v>
      </c>
      <c r="H383">
        <v>224784</v>
      </c>
    </row>
    <row r="384" spans="2:8" x14ac:dyDescent="0.55000000000000004">
      <c r="B384" t="str">
        <v>«Жестокое море» — Николас Монсаррат</v>
      </c>
      <c r="C384" s="9">
        <v>43879</v>
      </c>
      <c r="D384" t="str">
        <v>Редакция №2</v>
      </c>
      <c r="E384" t="str">
        <v>Твердый переплет</v>
      </c>
      <c r="F384" t="str">
        <v>Дистрибуция</v>
      </c>
      <c r="G384">
        <v>671</v>
      </c>
      <c r="H384">
        <v>217404</v>
      </c>
    </row>
    <row r="385" spans="2:8" x14ac:dyDescent="0.55000000000000004">
      <c r="B385" t="str">
        <v>«Анна Каренина» — Лев Толстой</v>
      </c>
      <c r="C385" s="9">
        <v>43777</v>
      </c>
      <c r="D385" t="str">
        <v>Редакция №2</v>
      </c>
      <c r="E385" t="str">
        <v>Покетбук</v>
      </c>
      <c r="F385" t="str">
        <v>Дистрибуция</v>
      </c>
      <c r="G385">
        <v>679</v>
      </c>
      <c r="H385">
        <v>217959</v>
      </c>
    </row>
    <row r="386" spans="2:8" x14ac:dyDescent="0.55000000000000004">
      <c r="B386" t="str">
        <v>«К востоку от рая» — Джон Стейнбек</v>
      </c>
      <c r="C386" s="9">
        <v>42369</v>
      </c>
      <c r="D386" t="str">
        <v>Редакция №1</v>
      </c>
      <c r="E386" t="str">
        <v>Покетбук</v>
      </c>
      <c r="F386" t="str">
        <v>Дистрибуция</v>
      </c>
      <c r="G386">
        <v>686</v>
      </c>
      <c r="H386">
        <v>264796</v>
      </c>
    </row>
    <row r="387" spans="2:8" x14ac:dyDescent="0.55000000000000004">
      <c r="B387" t="str">
        <v>«Улисс» — Джеймс Джойс</v>
      </c>
      <c r="C387" s="9">
        <v>43537</v>
      </c>
      <c r="D387" t="str">
        <v>Редакция №2</v>
      </c>
      <c r="E387" t="str">
        <v>Мягкая обложка</v>
      </c>
      <c r="F387" t="str">
        <v>Дистрибуция</v>
      </c>
      <c r="G387">
        <v>689</v>
      </c>
      <c r="H387">
        <v>264576</v>
      </c>
    </row>
    <row r="388" spans="2:8" x14ac:dyDescent="0.55000000000000004">
      <c r="B388" t="str">
        <v>«Филантропы в рваных штанах» — Роберт Тресселл</v>
      </c>
      <c r="C388" s="9">
        <v>42526</v>
      </c>
      <c r="D388" t="str">
        <v>Редакция №1</v>
      </c>
      <c r="E388" t="str">
        <v>Покетбук</v>
      </c>
      <c r="F388" t="str">
        <v>Дистрибуция</v>
      </c>
      <c r="G388">
        <v>691</v>
      </c>
      <c r="H388">
        <v>221120</v>
      </c>
    </row>
    <row r="389" spans="2:8" x14ac:dyDescent="0.55000000000000004">
      <c r="B389" t="str">
        <v>«Унесённые ветром» — Маргарет Митчелл</v>
      </c>
      <c r="C389" s="9">
        <v>43086</v>
      </c>
      <c r="D389" t="str">
        <v>Редакция №2</v>
      </c>
      <c r="E389" t="str">
        <v>Твердый переплет</v>
      </c>
      <c r="F389" t="str">
        <v>Дистрибуция</v>
      </c>
      <c r="G389">
        <v>700</v>
      </c>
      <c r="H389">
        <v>303800</v>
      </c>
    </row>
    <row r="390" spans="2:8" x14ac:dyDescent="0.55000000000000004">
      <c r="B390" t="str">
        <v>«Матильда» — Роальд Даль</v>
      </c>
      <c r="C390" s="9">
        <v>42340</v>
      </c>
      <c r="D390" t="str">
        <v>Редакция №1</v>
      </c>
      <c r="E390" t="str">
        <v>Мягкая обложка</v>
      </c>
      <c r="F390" t="str">
        <v>Дистрибуция</v>
      </c>
      <c r="G390">
        <v>702</v>
      </c>
      <c r="H390">
        <v>212706</v>
      </c>
    </row>
    <row r="391" spans="2:8" x14ac:dyDescent="0.55000000000000004">
      <c r="B391" t="str">
        <v>«Мир глазами Гарпа» — Джон Ирвинг</v>
      </c>
      <c r="C391" s="9">
        <v>43346</v>
      </c>
      <c r="D391" t="str">
        <v>Редакция №2</v>
      </c>
      <c r="E391" t="str">
        <v>Твердый переплет</v>
      </c>
      <c r="F391" t="str">
        <v>Дистрибуция</v>
      </c>
      <c r="G391">
        <v>702</v>
      </c>
      <c r="H391">
        <v>260442</v>
      </c>
    </row>
    <row r="392" spans="2:8" x14ac:dyDescent="0.55000000000000004">
      <c r="B392" t="str">
        <v>«Мужчина и мальчик» — Тони Парсонс</v>
      </c>
      <c r="C392" s="9">
        <v>42648</v>
      </c>
      <c r="D392" t="str">
        <v>Редакция №2</v>
      </c>
      <c r="E392" t="str">
        <v>Твердый переплет</v>
      </c>
      <c r="F392" t="str">
        <v>Дистрибуция</v>
      </c>
      <c r="G392">
        <v>710</v>
      </c>
      <c r="H392">
        <v>297490</v>
      </c>
    </row>
    <row r="393" spans="2:8" x14ac:dyDescent="0.55000000000000004">
      <c r="B393" t="str">
        <v>«К оружию! К оружию!» — Терри Пратчетт</v>
      </c>
      <c r="C393" s="9">
        <v>44021</v>
      </c>
      <c r="D393" t="str">
        <v>Редакция №1</v>
      </c>
      <c r="E393" t="str">
        <v>Твердый переплет</v>
      </c>
      <c r="F393" t="str">
        <v>Дистрибуция</v>
      </c>
      <c r="G393">
        <v>714</v>
      </c>
      <c r="H393">
        <v>295596</v>
      </c>
    </row>
    <row r="394" spans="2:8" x14ac:dyDescent="0.55000000000000004">
      <c r="B394" t="str">
        <v>«Франкенштейн, или Современный Прометей» — Мэри Шелли</v>
      </c>
      <c r="C394" s="9">
        <v>42458</v>
      </c>
      <c r="D394" t="str">
        <v>Редакция №2</v>
      </c>
      <c r="E394" t="str">
        <v>Твердый переплет</v>
      </c>
      <c r="F394" t="str">
        <v>Дистрибуция</v>
      </c>
      <c r="G394">
        <v>720</v>
      </c>
      <c r="H394">
        <v>313920</v>
      </c>
    </row>
    <row r="395" spans="2:8" x14ac:dyDescent="0.55000000000000004">
      <c r="B395" t="str">
        <v>«Грозовой перевал» — Эмили Бронте</v>
      </c>
      <c r="C395" s="9">
        <v>43435</v>
      </c>
      <c r="D395" t="str">
        <v>Редакция №2</v>
      </c>
      <c r="E395" t="str">
        <v>Мягкая обложка</v>
      </c>
      <c r="F395" t="str">
        <v>Дистрибуция</v>
      </c>
      <c r="G395">
        <v>723</v>
      </c>
      <c r="H395">
        <v>307998</v>
      </c>
    </row>
    <row r="396" spans="2:8" x14ac:dyDescent="0.55000000000000004">
      <c r="B396" t="str">
        <v>«Крестики-нолики» — Мэлори Блэкмен</v>
      </c>
      <c r="C396" s="9">
        <v>43766</v>
      </c>
      <c r="D396" t="str">
        <v>Редакция №2</v>
      </c>
      <c r="E396" t="str">
        <v>Твердый переплет</v>
      </c>
      <c r="F396" t="str">
        <v>Дистрибуция</v>
      </c>
      <c r="G396">
        <v>723</v>
      </c>
      <c r="H396">
        <v>226299</v>
      </c>
    </row>
    <row r="397" spans="2:8" x14ac:dyDescent="0.55000000000000004">
      <c r="B397" t="str">
        <v>«Ямы» — Луис Сейкер</v>
      </c>
      <c r="C397" s="9">
        <v>42759</v>
      </c>
      <c r="D397" t="str">
        <v>Редакция №1</v>
      </c>
      <c r="E397" t="str">
        <v>Твердый переплет</v>
      </c>
      <c r="F397" t="str">
        <v>Дистрибуция</v>
      </c>
      <c r="G397">
        <v>724</v>
      </c>
      <c r="H397">
        <v>225164</v>
      </c>
    </row>
    <row r="398" spans="2:8" x14ac:dyDescent="0.55000000000000004">
      <c r="B398" t="str">
        <v>«Пурпурный цвет» — Элис Уокер</v>
      </c>
      <c r="C398" s="9">
        <v>43429</v>
      </c>
      <c r="D398" t="str">
        <v>Редакция №2</v>
      </c>
      <c r="E398" t="str">
        <v>Твердый переплет</v>
      </c>
      <c r="F398" t="str">
        <v>Дистрибуция</v>
      </c>
      <c r="G398">
        <v>724</v>
      </c>
      <c r="H398">
        <v>257744</v>
      </c>
    </row>
    <row r="399" spans="2:8" x14ac:dyDescent="0.55000000000000004">
      <c r="B399" t="str">
        <v>«Ангус, ремни и конкретные обжимашки» — Луиз Рэннисон</v>
      </c>
      <c r="C399" s="9">
        <v>42514</v>
      </c>
      <c r="D399" t="str">
        <v>Редакция №2</v>
      </c>
      <c r="E399" t="str">
        <v>Мягкая обложка</v>
      </c>
      <c r="F399" t="str">
        <v>Дистрибуция</v>
      </c>
      <c r="G399">
        <v>732</v>
      </c>
      <c r="H399">
        <v>325008</v>
      </c>
    </row>
    <row r="400" spans="2:8" x14ac:dyDescent="0.55000000000000004">
      <c r="B400" t="str">
        <v>«Маленький принц» — Антуан де Сент-Экзюпери</v>
      </c>
      <c r="C400" s="9">
        <v>42217</v>
      </c>
      <c r="D400" t="str">
        <v>Редакция №1</v>
      </c>
      <c r="E400" t="str">
        <v>Покетбук</v>
      </c>
      <c r="F400" t="str">
        <v>Дистрибуция</v>
      </c>
      <c r="G400">
        <v>733</v>
      </c>
      <c r="H400">
        <v>313724</v>
      </c>
    </row>
    <row r="401" spans="2:8" x14ac:dyDescent="0.55000000000000004">
      <c r="B401" t="str">
        <v>«Собака Баскервилей» — Артур Конан Дойль</v>
      </c>
      <c r="C401" s="9">
        <v>43058</v>
      </c>
      <c r="D401" t="str">
        <v>Редакция №2</v>
      </c>
      <c r="E401" t="str">
        <v>Мягкая обложка</v>
      </c>
      <c r="F401" t="str">
        <v>Дистрибуция</v>
      </c>
      <c r="G401">
        <v>736</v>
      </c>
      <c r="H401">
        <v>282624</v>
      </c>
    </row>
    <row r="402" spans="2:8" x14ac:dyDescent="0.55000000000000004">
      <c r="B402" t="str">
        <v>«Они играли на траве» — Терри Венейблс и Гордон М</v>
      </c>
      <c r="C402" s="9">
        <v>43329</v>
      </c>
      <c r="D402" t="str">
        <v>Редакция №1</v>
      </c>
      <c r="E402" t="str">
        <v>Твердый переплет</v>
      </c>
      <c r="F402" t="str">
        <v>Дистрибуция</v>
      </c>
      <c r="G402">
        <v>739</v>
      </c>
      <c r="H402">
        <v>326638</v>
      </c>
    </row>
    <row r="403" spans="2:8" x14ac:dyDescent="0.55000000000000004">
      <c r="B403" t="str">
        <v>«Крестный отец» — Марио Пьюзо</v>
      </c>
      <c r="C403" s="9">
        <v>44046</v>
      </c>
      <c r="D403" t="str">
        <v>Редакция №1</v>
      </c>
      <c r="E403" t="str">
        <v>Покетбук</v>
      </c>
      <c r="F403" t="str">
        <v>Дистрибуция</v>
      </c>
      <c r="G403">
        <v>743</v>
      </c>
      <c r="H403">
        <v>312060</v>
      </c>
    </row>
    <row r="404" spans="2:8" x14ac:dyDescent="0.55000000000000004">
      <c r="B404" t="str">
        <v>«Пролетая над гнездом кукушки» — Кен Кизи</v>
      </c>
      <c r="C404" s="9">
        <v>42213</v>
      </c>
      <c r="D404" t="str">
        <v>Редакция №1</v>
      </c>
      <c r="E404" t="str">
        <v>Покетбук</v>
      </c>
      <c r="F404" t="str">
        <v>Дистрибуция</v>
      </c>
      <c r="G404">
        <v>747</v>
      </c>
      <c r="H404">
        <v>224100</v>
      </c>
    </row>
    <row r="405" spans="2:8" x14ac:dyDescent="0.55000000000000004">
      <c r="B405" t="str">
        <v>«Разрисованная мама» — Жаклин Уилсон</v>
      </c>
      <c r="C405" s="9">
        <v>42329</v>
      </c>
      <c r="D405" t="str">
        <v>Редакция №2</v>
      </c>
      <c r="E405" t="str">
        <v>Покетбук</v>
      </c>
      <c r="F405" t="str">
        <v>Дистрибуция</v>
      </c>
      <c r="G405">
        <v>749</v>
      </c>
      <c r="H405">
        <v>295855</v>
      </c>
    </row>
    <row r="406" spans="2:8" x14ac:dyDescent="0.55000000000000004">
      <c r="B406" t="str">
        <v>«Старик и море» — Эрнест Хемингуэй</v>
      </c>
      <c r="C406" s="9">
        <v>43469</v>
      </c>
      <c r="D406" t="str">
        <v>Редакция №2</v>
      </c>
      <c r="E406" t="str">
        <v>Мягкая обложка</v>
      </c>
      <c r="F406" t="str">
        <v>Дистрибуция</v>
      </c>
      <c r="G406">
        <v>749</v>
      </c>
      <c r="H406">
        <v>227696</v>
      </c>
    </row>
    <row r="407" spans="2:8" x14ac:dyDescent="0.55000000000000004">
      <c r="B407" t="str">
        <v>«Мэр Кэстербриджа» — Томас Харди</v>
      </c>
      <c r="C407" s="9">
        <v>44056</v>
      </c>
      <c r="D407" t="str">
        <v>Редакция №2</v>
      </c>
      <c r="E407" t="str">
        <v>Твердый переплет</v>
      </c>
      <c r="F407" t="str">
        <v>Дистрибуция</v>
      </c>
      <c r="G407">
        <v>756</v>
      </c>
      <c r="H407">
        <v>307692</v>
      </c>
    </row>
    <row r="408" spans="2:8" x14ac:dyDescent="0.55000000000000004">
      <c r="B408" t="str">
        <v>«Мор, ученик Смерти» — Терри Пратчетт</v>
      </c>
      <c r="C408" s="9">
        <v>42724</v>
      </c>
      <c r="D408" t="str">
        <v>Редакция №2</v>
      </c>
      <c r="E408" t="str">
        <v>Мягкая обложка</v>
      </c>
      <c r="F408" t="str">
        <v>Дистрибуция</v>
      </c>
      <c r="G408">
        <v>763</v>
      </c>
      <c r="H408">
        <v>292992</v>
      </c>
    </row>
    <row r="409" spans="2:8" x14ac:dyDescent="0.55000000000000004">
      <c r="B409" t="str">
        <v>«Чарли и шоколадная фабрика» — Роальд Даль</v>
      </c>
      <c r="C409" s="9">
        <v>43374</v>
      </c>
      <c r="D409" t="str">
        <v>Редакция №1</v>
      </c>
      <c r="E409" t="str">
        <v>Твердый переплет</v>
      </c>
      <c r="F409" t="str">
        <v>Дистрибуция</v>
      </c>
      <c r="G409">
        <v>770</v>
      </c>
      <c r="H409">
        <v>258720</v>
      </c>
    </row>
    <row r="410" spans="2:8" x14ac:dyDescent="0.55000000000000004">
      <c r="B410" t="str">
        <v>«Обитатели холмов» — Ричард Адамс</v>
      </c>
      <c r="C410" s="9">
        <v>42360</v>
      </c>
      <c r="D410" t="str">
        <v>Редакция №2</v>
      </c>
      <c r="E410" t="str">
        <v>Мягкая обложка</v>
      </c>
      <c r="F410" t="str">
        <v>Дистрибуция</v>
      </c>
      <c r="G410">
        <v>777</v>
      </c>
      <c r="H410">
        <v>295260</v>
      </c>
    </row>
    <row r="411" spans="2:8" x14ac:dyDescent="0.55000000000000004">
      <c r="B411" t="str">
        <v>«Чайка по имени Джонатан Ливингстон» — Ричард Бах</v>
      </c>
      <c r="C411" s="9">
        <v>42235</v>
      </c>
      <c r="D411" t="str">
        <v>Редакция №1</v>
      </c>
      <c r="E411" t="str">
        <v>Покетбук</v>
      </c>
      <c r="F411" t="str">
        <v>Дистрибуция</v>
      </c>
      <c r="G411">
        <v>784</v>
      </c>
      <c r="H411">
        <v>330848</v>
      </c>
    </row>
    <row r="412" spans="2:8" x14ac:dyDescent="0.55000000000000004">
      <c r="B412" t="str">
        <v>«На игле» — Ирвин Уэлш</v>
      </c>
      <c r="C412" s="9">
        <v>42254</v>
      </c>
      <c r="D412" t="str">
        <v>Редакция №1</v>
      </c>
      <c r="E412" t="str">
        <v>Твердый переплет</v>
      </c>
      <c r="F412" t="str">
        <v>Дистрибуция</v>
      </c>
      <c r="G412">
        <v>788</v>
      </c>
      <c r="H412">
        <v>246644</v>
      </c>
    </row>
    <row r="413" spans="2:8" x14ac:dyDescent="0.55000000000000004">
      <c r="B413" t="str">
        <v>«Преступление и наказание» — Фёдор Достоевский</v>
      </c>
      <c r="C413" s="9">
        <v>43098</v>
      </c>
      <c r="D413" t="str">
        <v>Редакция №1</v>
      </c>
      <c r="E413" t="str">
        <v>Мягкая обложка</v>
      </c>
      <c r="F413" t="str">
        <v>Дистрибуция</v>
      </c>
      <c r="G413">
        <v>789</v>
      </c>
      <c r="H413">
        <v>343215</v>
      </c>
    </row>
    <row r="414" spans="2:8" x14ac:dyDescent="0.55000000000000004">
      <c r="B414" t="str">
        <v>«Далёкое волшебное дерево» — Энид Блайтон</v>
      </c>
      <c r="C414" s="9">
        <v>44050</v>
      </c>
      <c r="D414" t="str">
        <v>Редакция №1</v>
      </c>
      <c r="E414" t="str">
        <v>Мягкая обложка</v>
      </c>
      <c r="F414" t="str">
        <v>Дистрибуция</v>
      </c>
      <c r="G414">
        <v>792</v>
      </c>
      <c r="H414">
        <v>322344</v>
      </c>
    </row>
    <row r="415" spans="2:8" x14ac:dyDescent="0.55000000000000004">
      <c r="B415" t="str">
        <v>«Паутина Шарлотты» — Элвин Брукс Уайт</v>
      </c>
      <c r="C415" s="9">
        <v>42419</v>
      </c>
      <c r="D415" t="str">
        <v>Редакция №2</v>
      </c>
      <c r="E415" t="str">
        <v>Твердый переплет</v>
      </c>
      <c r="F415" t="str">
        <v>Дистрибуция</v>
      </c>
      <c r="G415">
        <v>794</v>
      </c>
      <c r="H415">
        <v>318394</v>
      </c>
    </row>
    <row r="416" spans="2:8" x14ac:dyDescent="0.55000000000000004">
      <c r="C4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Таблица умножения</vt:lpstr>
      <vt:lpstr>ТРАНСП</vt:lpstr>
      <vt:lpstr>ЧАСТОТА и топ</vt:lpstr>
      <vt:lpstr>ВПР по нескольким ст</vt:lpstr>
      <vt:lpstr>1С</vt:lpstr>
      <vt:lpstr>УНИК + кол-во</vt:lpstr>
      <vt:lpstr>СОРТ</vt:lpstr>
      <vt:lpstr>СОРТПО (регионы)</vt:lpstr>
      <vt:lpstr>ФИЛЬТР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2020-12-11T06:34:20Z</dcterms:created>
  <dcterms:modified xsi:type="dcterms:W3CDTF">2020-12-11T15:53:13Z</dcterms:modified>
</cp:coreProperties>
</file>