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5_Формулы массива. Динамические массивы\"/>
    </mc:Choice>
  </mc:AlternateContent>
  <xr:revisionPtr revIDLastSave="0" documentId="13_ncr:1_{FAEEE7BC-7D9E-4A5D-B23A-FE603657EF9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Динамика" sheetId="1" r:id="rId1"/>
    <sheet name="Нар ито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" l="1"/>
  <c r="N2" i="2" s="1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H2" i="1"/>
  <c r="E2" i="1" a="1"/>
  <c r="E2" i="1" s="1"/>
  <c r="F2" i="1"/>
  <c r="D2" i="1" a="1"/>
  <c r="D2" i="1" s="1"/>
  <c r="N10" i="2" l="1"/>
  <c r="N6" i="2"/>
  <c r="N14" i="2"/>
  <c r="N7" i="2"/>
  <c r="N15" i="2"/>
  <c r="N8" i="2"/>
  <c r="N16" i="2"/>
  <c r="N9" i="2"/>
  <c r="N17" i="2"/>
  <c r="N18" i="2"/>
  <c r="N3" i="2"/>
  <c r="N11" i="2"/>
  <c r="N19" i="2"/>
  <c r="N4" i="2"/>
  <c r="N12" i="2"/>
  <c r="N20" i="2"/>
  <c r="N5" i="2"/>
  <c r="N13" i="2"/>
  <c r="N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1" authorId="0" shapeId="0" xr:uid="{EFDDE73D-455D-4863-ADCE-220FD22711F1}">
      <text>
        <r>
          <rPr>
            <b/>
            <sz val="9"/>
            <color indexed="81"/>
            <rFont val="Tahoma"/>
            <charset val="1"/>
          </rPr>
          <t>Высота - кол-во месяцев.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<sst xmlns="http://schemas.openxmlformats.org/spreadsheetml/2006/main" count="68" uniqueCount="23">
  <si>
    <t>Период</t>
  </si>
  <si>
    <t>Выручка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</si>
  <si>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</si>
  <si>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</si>
  <si>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</si>
  <si>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</si>
  <si>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</si>
  <si>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</si>
  <si>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</si>
  <si>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</si>
  <si>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</si>
  <si>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</si>
  <si>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</si>
  <si>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</si>
  <si>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Нар итог</t>
  </si>
  <si>
    <t>Москва</t>
  </si>
  <si>
    <t>Автосервис</t>
  </si>
  <si>
    <t>Шиномонтаж</t>
  </si>
  <si>
    <t>Запчасти</t>
  </si>
  <si>
    <t>Владимир</t>
  </si>
  <si>
    <t>Тула</t>
  </si>
  <si>
    <t>Орел</t>
  </si>
  <si>
    <t>Калуга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</si>
</sst>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2"/>
    <xf numFmtId="0" fontId="3" fillId="3" borderId="0" xfId="3"/>
    <xf numFmtId="0" fontId="4" fillId="4" borderId="2" xfId="4"/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5" borderId="0" xfId="0" applyFill="1" applyAlignment="1">
      <alignment horizontal="center"/>
    </xf>
    <xf numFmtId="164" fontId="0" fillId="0" borderId="0" xfId="5" applyNumberFormat="1" applyFont="1"/>
    <xf numFmtId="14" fontId="0" fillId="0" borderId="0" xfId="0" applyNumberFormat="1"/>
    <xf numFmtId="164" fontId="4" fillId="4" borderId="2" xfId="5" applyNumberFormat="1" applyFont="1" applyFill="1" applyBorder="1"/>
    <xf numFmtId="0" fontId="0" fillId="0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0" fillId="0" borderId="0" xfId="5" applyNumberFormat="1" applyFont="1" applyAlignment="1">
      <alignment horizontal="center" vertical="center"/>
    </xf>
  </cellXfs>
  <cellStyles count="6">
    <cellStyle name="Вычисление" xfId="4" builtinId="22"/>
    <cellStyle name="Заголовок 3" xfId="1" builtinId="18"/>
    <cellStyle name="Нейтральный" xfId="3" builtinId="28"/>
    <cellStyle name="Обычный" xfId="0" builtinId="0"/>
    <cellStyle name="Финансовый" xfId="5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zoomScale="130" zoomScaleNormal="130" workbookViewId="0">
      <pane ySplit="1" topLeftCell="A2" activePane="bottomLeft" state="frozen"/>
      <selection pane="bottomLeft" activeCell="I8" sqref="I8"/>
    </sheetView>
  </sheetViews>
  <sheetFormatPr defaultRowHeight="14.4" x14ac:dyDescent="0.3"/>
  <cols>
    <col min="1" max="2" width="12.6640625" style="3" customWidth="1"/>
    <col min="4" max="4" width="9.88671875" bestFit="1" customWidth="1"/>
    <col min="5" max="5" width="12.109375" bestFit="1" customWidth="1"/>
    <col min="8" max="8" width="13.77734375" bestFit="1" customWidth="1"/>
    <col min="9" max="9" width="11.109375" customWidth="1"/>
  </cols>
  <sheetData>
    <row r="1" spans="1:9" ht="15" thickBot="1" x14ac:dyDescent="0.35">
      <c r="A1" s="1" t="s">
        <v>0</v>
      </c>
      <c r="B1" s="1" t="s">
        <v>1</v>
      </c>
      <c r="E1" s="9">
        <v>12</v>
      </c>
      <c r="F1" s="13"/>
      <c r="H1" s="14">
        <v>1</v>
      </c>
      <c r="I1" s="11">
        <v>42736</v>
      </c>
    </row>
    <row r="2" spans="1:9" x14ac:dyDescent="0.3">
      <c r="A2" s="2">
        <v>42736</v>
      </c>
      <c r="B2" s="7">
        <v>271739</v>
      </c>
      <c r="C2" s="8"/>
      <c r="D2" cm="1">
        <f t="array" aca="1" ref="D2:D6" ca="1">OFFSET(B1,1,0,5,1)</f>
        <v>271739</v>
      </c>
      <c r="E2" cm="1">
        <f t="array" aca="1" ref="E2:E13" ca="1">OFFSET(B1,1,0,E1,1)</f>
        <v>271739</v>
      </c>
      <c r="F2">
        <f ca="1">SUM(OFFSET(B1,1,0,5,1))</f>
        <v>1157673</v>
      </c>
      <c r="H2" s="10">
        <f ca="1">SUM(OFFSET(B1,MATCH(I1,A2:A49,0),0,H1,1))</f>
        <v>271739</v>
      </c>
    </row>
    <row r="3" spans="1:9" x14ac:dyDescent="0.3">
      <c r="A3" s="2">
        <v>42767</v>
      </c>
      <c r="B3" s="7">
        <v>274599</v>
      </c>
      <c r="D3">
        <f ca="1"/>
        <v>274599</v>
      </c>
      <c r="E3">
        <f ca="1"/>
        <v>274599</v>
      </c>
    </row>
    <row r="4" spans="1:9" x14ac:dyDescent="0.3">
      <c r="A4" s="2">
        <v>42795</v>
      </c>
      <c r="B4" s="7">
        <v>233636</v>
      </c>
      <c r="D4">
        <f ca="1"/>
        <v>233636</v>
      </c>
      <c r="E4" s="10">
        <f ca="1"/>
        <v>233636</v>
      </c>
      <c r="G4" s="8"/>
      <c r="I4" s="8"/>
    </row>
    <row r="5" spans="1:9" x14ac:dyDescent="0.3">
      <c r="A5" s="2">
        <v>42826</v>
      </c>
      <c r="B5" s="7">
        <v>105228</v>
      </c>
      <c r="D5">
        <f ca="1"/>
        <v>105228</v>
      </c>
      <c r="E5" s="10">
        <f ca="1"/>
        <v>105228</v>
      </c>
    </row>
    <row r="6" spans="1:9" x14ac:dyDescent="0.3">
      <c r="A6" s="2">
        <v>42856</v>
      </c>
      <c r="B6" s="7">
        <v>272471</v>
      </c>
      <c r="D6">
        <f ca="1"/>
        <v>272471</v>
      </c>
      <c r="E6" s="10">
        <f ca="1"/>
        <v>272471</v>
      </c>
    </row>
    <row r="7" spans="1:9" x14ac:dyDescent="0.3">
      <c r="A7" s="2">
        <v>42887</v>
      </c>
      <c r="B7" s="7">
        <v>163407</v>
      </c>
      <c r="E7" s="10">
        <f ca="1"/>
        <v>163407</v>
      </c>
    </row>
    <row r="8" spans="1:9" x14ac:dyDescent="0.3">
      <c r="A8" s="2">
        <v>42917</v>
      </c>
      <c r="B8" s="7">
        <v>122575</v>
      </c>
      <c r="E8" s="10">
        <f ca="1"/>
        <v>122575</v>
      </c>
    </row>
    <row r="9" spans="1:9" x14ac:dyDescent="0.3">
      <c r="A9" s="2">
        <v>42948</v>
      </c>
      <c r="B9" s="7">
        <v>135852</v>
      </c>
      <c r="E9">
        <f ca="1"/>
        <v>135852</v>
      </c>
    </row>
    <row r="10" spans="1:9" x14ac:dyDescent="0.3">
      <c r="A10" s="2">
        <v>42979</v>
      </c>
      <c r="B10" s="7">
        <v>231652</v>
      </c>
      <c r="E10">
        <f ca="1"/>
        <v>231652</v>
      </c>
    </row>
    <row r="11" spans="1:9" x14ac:dyDescent="0.3">
      <c r="A11" s="2">
        <v>43009</v>
      </c>
      <c r="B11" s="7">
        <v>285444</v>
      </c>
      <c r="E11">
        <f ca="1"/>
        <v>285444</v>
      </c>
    </row>
    <row r="12" spans="1:9" x14ac:dyDescent="0.3">
      <c r="A12" s="2">
        <v>43040</v>
      </c>
      <c r="B12" s="7">
        <v>194543</v>
      </c>
      <c r="E12">
        <f ca="1"/>
        <v>194543</v>
      </c>
    </row>
    <row r="13" spans="1:9" x14ac:dyDescent="0.3">
      <c r="A13" s="2">
        <v>43070</v>
      </c>
      <c r="B13" s="7">
        <v>173825</v>
      </c>
      <c r="E13">
        <f ca="1"/>
        <v>173825</v>
      </c>
    </row>
    <row r="14" spans="1:9" x14ac:dyDescent="0.3">
      <c r="A14" s="2">
        <v>43101</v>
      </c>
      <c r="B14" s="7">
        <v>258822</v>
      </c>
    </row>
    <row r="15" spans="1:9" x14ac:dyDescent="0.3">
      <c r="A15" s="2">
        <v>43132</v>
      </c>
      <c r="B15" s="7">
        <v>100270</v>
      </c>
    </row>
    <row r="16" spans="1:9" x14ac:dyDescent="0.3">
      <c r="A16" s="2">
        <v>43160</v>
      </c>
      <c r="B16" s="7">
        <v>248431</v>
      </c>
    </row>
    <row r="17" spans="1:2" x14ac:dyDescent="0.3">
      <c r="A17" s="2">
        <v>43191</v>
      </c>
      <c r="B17" s="7">
        <v>233784</v>
      </c>
    </row>
    <row r="18" spans="1:2" x14ac:dyDescent="0.3">
      <c r="A18" s="2">
        <v>43221</v>
      </c>
      <c r="B18" s="7">
        <v>176660</v>
      </c>
    </row>
    <row r="19" spans="1:2" x14ac:dyDescent="0.3">
      <c r="A19" s="2">
        <v>43252</v>
      </c>
      <c r="B19" s="7">
        <v>200457</v>
      </c>
    </row>
    <row r="20" spans="1:2" x14ac:dyDescent="0.3">
      <c r="A20" s="2">
        <v>43282</v>
      </c>
      <c r="B20" s="7">
        <v>196729</v>
      </c>
    </row>
    <row r="21" spans="1:2" x14ac:dyDescent="0.3">
      <c r="A21" s="2">
        <v>43313</v>
      </c>
      <c r="B21" s="7">
        <v>208699</v>
      </c>
    </row>
    <row r="22" spans="1:2" x14ac:dyDescent="0.3">
      <c r="A22" s="2">
        <v>43344</v>
      </c>
      <c r="B22" s="7">
        <v>307342</v>
      </c>
    </row>
    <row r="23" spans="1:2" x14ac:dyDescent="0.3">
      <c r="A23" s="2">
        <v>43374</v>
      </c>
      <c r="B23" s="7">
        <v>255952</v>
      </c>
    </row>
    <row r="24" spans="1:2" x14ac:dyDescent="0.3">
      <c r="A24" s="2">
        <v>43405</v>
      </c>
      <c r="B24" s="7">
        <v>140535</v>
      </c>
    </row>
    <row r="25" spans="1:2" x14ac:dyDescent="0.3">
      <c r="A25" s="2">
        <v>43435</v>
      </c>
      <c r="B25" s="7">
        <v>310899</v>
      </c>
    </row>
    <row r="26" spans="1:2" x14ac:dyDescent="0.3">
      <c r="A26" s="2">
        <v>43466</v>
      </c>
      <c r="B26" s="7">
        <v>200362</v>
      </c>
    </row>
    <row r="27" spans="1:2" x14ac:dyDescent="0.3">
      <c r="A27" s="2">
        <v>43497</v>
      </c>
      <c r="B27" s="7">
        <v>107310</v>
      </c>
    </row>
    <row r="28" spans="1:2" x14ac:dyDescent="0.3">
      <c r="A28" s="2">
        <v>43525</v>
      </c>
      <c r="B28" s="7">
        <v>147757</v>
      </c>
    </row>
    <row r="29" spans="1:2" x14ac:dyDescent="0.3">
      <c r="A29" s="2">
        <v>43556</v>
      </c>
      <c r="B29" s="7">
        <v>309155</v>
      </c>
    </row>
    <row r="30" spans="1:2" x14ac:dyDescent="0.3">
      <c r="A30" s="2">
        <v>43586</v>
      </c>
      <c r="B30" s="7">
        <v>175294</v>
      </c>
    </row>
    <row r="31" spans="1:2" x14ac:dyDescent="0.3">
      <c r="A31" s="2">
        <v>43617</v>
      </c>
      <c r="B31" s="7">
        <v>209986</v>
      </c>
    </row>
    <row r="32" spans="1:2" x14ac:dyDescent="0.3">
      <c r="A32" s="2">
        <v>43647</v>
      </c>
      <c r="B32" s="7">
        <v>222831</v>
      </c>
    </row>
    <row r="33" spans="1:2" x14ac:dyDescent="0.3">
      <c r="A33" s="2">
        <v>43678</v>
      </c>
      <c r="B33" s="7">
        <v>122388</v>
      </c>
    </row>
    <row r="34" spans="1:2" x14ac:dyDescent="0.3">
      <c r="A34" s="2">
        <v>43709</v>
      </c>
      <c r="B34" s="7">
        <v>256478</v>
      </c>
    </row>
    <row r="35" spans="1:2" x14ac:dyDescent="0.3">
      <c r="A35" s="2">
        <v>43739</v>
      </c>
      <c r="B35" s="7">
        <v>208760</v>
      </c>
    </row>
    <row r="36" spans="1:2" x14ac:dyDescent="0.3">
      <c r="A36" s="2">
        <v>43770</v>
      </c>
      <c r="B36" s="7">
        <v>266607</v>
      </c>
    </row>
    <row r="37" spans="1:2" x14ac:dyDescent="0.3">
      <c r="A37" s="2">
        <v>43800</v>
      </c>
      <c r="B37" s="7">
        <v>295853</v>
      </c>
    </row>
    <row r="38" spans="1:2" x14ac:dyDescent="0.3">
      <c r="A38" s="2">
        <v>43831</v>
      </c>
      <c r="B38" s="7">
        <v>245832</v>
      </c>
    </row>
    <row r="39" spans="1:2" x14ac:dyDescent="0.3">
      <c r="A39" s="2">
        <v>43862</v>
      </c>
      <c r="B39" s="7">
        <v>148900</v>
      </c>
    </row>
    <row r="40" spans="1:2" x14ac:dyDescent="0.3">
      <c r="A40" s="2">
        <v>43891</v>
      </c>
      <c r="B40" s="7">
        <v>316655</v>
      </c>
    </row>
    <row r="41" spans="1:2" x14ac:dyDescent="0.3">
      <c r="A41" s="2">
        <v>43922</v>
      </c>
      <c r="B41" s="7">
        <v>195564</v>
      </c>
    </row>
    <row r="42" spans="1:2" x14ac:dyDescent="0.3">
      <c r="A42" s="2">
        <v>43952</v>
      </c>
      <c r="B42" s="7">
        <v>328988</v>
      </c>
    </row>
    <row r="43" spans="1:2" x14ac:dyDescent="0.3">
      <c r="A43" s="2">
        <v>43983</v>
      </c>
      <c r="B43" s="7">
        <v>172856</v>
      </c>
    </row>
    <row r="44" spans="1:2" x14ac:dyDescent="0.3">
      <c r="A44" s="2">
        <v>44013</v>
      </c>
      <c r="B44" s="7">
        <v>319261</v>
      </c>
    </row>
    <row r="45" spans="1:2" x14ac:dyDescent="0.3">
      <c r="A45" s="2">
        <v>44044</v>
      </c>
      <c r="B45" s="7">
        <v>222693</v>
      </c>
    </row>
    <row r="46" spans="1:2" x14ac:dyDescent="0.3">
      <c r="A46" s="2">
        <v>44075</v>
      </c>
      <c r="B46" s="7">
        <v>197144</v>
      </c>
    </row>
    <row r="47" spans="1:2" x14ac:dyDescent="0.3">
      <c r="A47" s="2">
        <v>44105</v>
      </c>
      <c r="B47" s="7">
        <v>116636</v>
      </c>
    </row>
    <row r="48" spans="1:2" x14ac:dyDescent="0.3">
      <c r="A48" s="2">
        <v>44136</v>
      </c>
      <c r="B48" s="7">
        <v>315237</v>
      </c>
    </row>
    <row r="49" spans="1:2" x14ac:dyDescent="0.3">
      <c r="A49" s="2">
        <v>44166</v>
      </c>
      <c r="B49" s="7">
        <v>346237</v>
      </c>
    </row>
  </sheetData>
  <dataValidations count="1">
    <dataValidation type="list" allowBlank="1" showInputMessage="1" showErrorMessage="1" sqref="I1" xr:uid="{61259B0B-5980-474D-8D47-99D4B9EAD173}">
      <formula1>$A$2:$A$49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564F-9D6D-4FDB-A2B4-9C47BEFEA900}">
  <dimension ref="A1:P43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" sqref="P1"/>
    </sheetView>
  </sheetViews>
  <sheetFormatPr defaultRowHeight="14.4" x14ac:dyDescent="0.3"/>
  <cols>
    <col min="1" max="1" width="15.6640625" customWidth="1"/>
    <col min="2" max="6" width="10.77734375" bestFit="1" customWidth="1"/>
    <col min="7" max="7" width="9.77734375" bestFit="1" customWidth="1"/>
    <col min="8" max="9" width="8.88671875" bestFit="1" customWidth="1"/>
    <col min="10" max="10" width="9" bestFit="1" customWidth="1"/>
    <col min="11" max="13" width="8.88671875" bestFit="1" customWidth="1"/>
    <col min="14" max="14" width="10.44140625" bestFit="1" customWidth="1"/>
    <col min="16" max="16" width="10.33203125" bestFit="1" customWidth="1"/>
  </cols>
  <sheetData>
    <row r="1" spans="1:16" x14ac:dyDescent="0.3">
      <c r="A1" s="4">
        <v>2019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P1" s="15">
        <f ca="1">MONTH(TODAY())-1</f>
        <v>11</v>
      </c>
    </row>
    <row r="2" spans="1:16" x14ac:dyDescent="0.3">
      <c r="A2" s="6" t="s">
        <v>15</v>
      </c>
      <c r="B2" s="12">
        <v>97493</v>
      </c>
      <c r="C2" s="12">
        <v>62994</v>
      </c>
      <c r="D2" s="12">
        <v>83084</v>
      </c>
      <c r="E2" s="12">
        <v>133930</v>
      </c>
      <c r="F2" s="12">
        <v>103360</v>
      </c>
      <c r="G2" s="12">
        <v>106160</v>
      </c>
      <c r="H2" s="12">
        <v>60093</v>
      </c>
      <c r="I2" s="12">
        <v>121617</v>
      </c>
      <c r="J2" s="12">
        <v>115174</v>
      </c>
      <c r="K2" s="12">
        <v>59652</v>
      </c>
      <c r="L2" s="12">
        <v>128184</v>
      </c>
      <c r="M2" s="12">
        <v>66735</v>
      </c>
      <c r="N2" s="12">
        <f ca="1">SUM(OFFSET(B2,0,0,1,$P$1))</f>
        <v>1071741</v>
      </c>
    </row>
    <row r="3" spans="1:16" x14ac:dyDescent="0.3">
      <c r="A3" t="s">
        <v>16</v>
      </c>
      <c r="B3" s="10">
        <v>24584</v>
      </c>
      <c r="C3" s="10">
        <v>21159</v>
      </c>
      <c r="D3" s="10">
        <v>48020</v>
      </c>
      <c r="E3" s="10">
        <v>49332</v>
      </c>
      <c r="F3" s="10">
        <v>46117</v>
      </c>
      <c r="G3" s="10">
        <v>46205</v>
      </c>
      <c r="H3" s="10">
        <v>20380</v>
      </c>
      <c r="I3" s="10">
        <v>39312</v>
      </c>
      <c r="J3" s="10">
        <v>44194</v>
      </c>
      <c r="K3" s="10">
        <v>24798</v>
      </c>
      <c r="L3" s="10">
        <v>49767</v>
      </c>
      <c r="M3" s="10">
        <v>26230</v>
      </c>
      <c r="N3" s="10">
        <f t="shared" ref="N3:N21" ca="1" si="0">SUM(OFFSET(B3,0,0,1,$P$1))</f>
        <v>413868</v>
      </c>
    </row>
    <row r="4" spans="1:16" x14ac:dyDescent="0.3">
      <c r="A4" t="s">
        <v>17</v>
      </c>
      <c r="B4" s="10">
        <v>42710</v>
      </c>
      <c r="C4" s="10">
        <v>31596</v>
      </c>
      <c r="D4" s="10">
        <v>15218</v>
      </c>
      <c r="E4" s="10">
        <v>44224</v>
      </c>
      <c r="F4" s="10">
        <v>33769</v>
      </c>
      <c r="G4" s="10">
        <v>48691</v>
      </c>
      <c r="H4" s="10">
        <v>12787</v>
      </c>
      <c r="I4" s="10">
        <v>33565</v>
      </c>
      <c r="J4" s="10">
        <v>44435</v>
      </c>
      <c r="K4" s="10">
        <v>12689</v>
      </c>
      <c r="L4" s="10">
        <v>29950</v>
      </c>
      <c r="M4" s="10">
        <v>17190</v>
      </c>
      <c r="N4" s="10">
        <f t="shared" ca="1" si="0"/>
        <v>349634</v>
      </c>
    </row>
    <row r="5" spans="1:16" x14ac:dyDescent="0.3">
      <c r="A5" t="s">
        <v>18</v>
      </c>
      <c r="B5" s="10">
        <v>30199</v>
      </c>
      <c r="C5" s="10">
        <v>10239</v>
      </c>
      <c r="D5" s="10">
        <v>19846</v>
      </c>
      <c r="E5" s="10">
        <v>40374</v>
      </c>
      <c r="F5" s="10">
        <v>23474</v>
      </c>
      <c r="G5" s="10">
        <v>11264</v>
      </c>
      <c r="H5" s="10">
        <v>26926</v>
      </c>
      <c r="I5" s="10">
        <v>48740</v>
      </c>
      <c r="J5" s="10">
        <v>26545</v>
      </c>
      <c r="K5" s="10">
        <v>22165</v>
      </c>
      <c r="L5" s="10">
        <v>48467</v>
      </c>
      <c r="M5" s="10">
        <v>23315</v>
      </c>
      <c r="N5" s="10">
        <f t="shared" ca="1" si="0"/>
        <v>308239</v>
      </c>
    </row>
    <row r="6" spans="1:16" x14ac:dyDescent="0.3">
      <c r="A6" s="6" t="s">
        <v>19</v>
      </c>
      <c r="B6" s="12">
        <v>74410</v>
      </c>
      <c r="C6" s="12">
        <v>77680</v>
      </c>
      <c r="D6" s="12">
        <v>89589</v>
      </c>
      <c r="E6" s="12">
        <v>106027</v>
      </c>
      <c r="F6" s="12">
        <v>83211</v>
      </c>
      <c r="G6" s="12">
        <v>118445</v>
      </c>
      <c r="H6" s="12">
        <v>59319</v>
      </c>
      <c r="I6" s="12">
        <v>88710</v>
      </c>
      <c r="J6" s="12">
        <v>83159</v>
      </c>
      <c r="K6" s="12">
        <v>90233</v>
      </c>
      <c r="L6" s="12">
        <v>94842</v>
      </c>
      <c r="M6" s="12">
        <v>117016</v>
      </c>
      <c r="N6" s="12">
        <f t="shared" ca="1" si="0"/>
        <v>965625</v>
      </c>
    </row>
    <row r="7" spans="1:16" x14ac:dyDescent="0.3">
      <c r="A7" t="s">
        <v>16</v>
      </c>
      <c r="B7" s="10">
        <v>27059</v>
      </c>
      <c r="C7" s="10">
        <v>21177</v>
      </c>
      <c r="D7" s="10">
        <v>26496</v>
      </c>
      <c r="E7" s="10">
        <v>46447</v>
      </c>
      <c r="F7" s="10">
        <v>26574</v>
      </c>
      <c r="G7" s="10">
        <v>30926</v>
      </c>
      <c r="H7" s="10">
        <v>23899</v>
      </c>
      <c r="I7" s="10">
        <v>48553</v>
      </c>
      <c r="J7" s="10">
        <v>21045</v>
      </c>
      <c r="K7" s="10">
        <v>34211</v>
      </c>
      <c r="L7" s="10">
        <v>44074</v>
      </c>
      <c r="M7" s="10">
        <v>27128</v>
      </c>
      <c r="N7" s="10">
        <f t="shared" ca="1" si="0"/>
        <v>350461</v>
      </c>
    </row>
    <row r="8" spans="1:16" x14ac:dyDescent="0.3">
      <c r="A8" t="s">
        <v>17</v>
      </c>
      <c r="B8" s="10">
        <v>26986</v>
      </c>
      <c r="C8" s="10">
        <v>34944</v>
      </c>
      <c r="D8" s="10">
        <v>30094</v>
      </c>
      <c r="E8" s="10">
        <v>16718</v>
      </c>
      <c r="F8" s="10">
        <v>22143</v>
      </c>
      <c r="G8" s="10">
        <v>49850</v>
      </c>
      <c r="H8" s="10">
        <v>24416</v>
      </c>
      <c r="I8" s="10">
        <v>22589</v>
      </c>
      <c r="J8" s="10">
        <v>44102</v>
      </c>
      <c r="K8" s="10">
        <v>22415</v>
      </c>
      <c r="L8" s="10">
        <v>29212</v>
      </c>
      <c r="M8" s="10">
        <v>47588</v>
      </c>
      <c r="N8" s="10">
        <f t="shared" ca="1" si="0"/>
        <v>323469</v>
      </c>
    </row>
    <row r="9" spans="1:16" x14ac:dyDescent="0.3">
      <c r="A9" t="s">
        <v>18</v>
      </c>
      <c r="B9" s="10">
        <v>20365</v>
      </c>
      <c r="C9" s="10">
        <v>21559</v>
      </c>
      <c r="D9" s="10">
        <v>32999</v>
      </c>
      <c r="E9" s="10">
        <v>42862</v>
      </c>
      <c r="F9" s="10">
        <v>34494</v>
      </c>
      <c r="G9" s="10">
        <v>37669</v>
      </c>
      <c r="H9" s="10">
        <v>11004</v>
      </c>
      <c r="I9" s="10">
        <v>17568</v>
      </c>
      <c r="J9" s="10">
        <v>18012</v>
      </c>
      <c r="K9" s="10">
        <v>33607</v>
      </c>
      <c r="L9" s="10">
        <v>21556</v>
      </c>
      <c r="M9" s="10">
        <v>42300</v>
      </c>
      <c r="N9" s="10">
        <f t="shared" ca="1" si="0"/>
        <v>291695</v>
      </c>
    </row>
    <row r="10" spans="1:16" x14ac:dyDescent="0.3">
      <c r="A10" s="6" t="s">
        <v>20</v>
      </c>
      <c r="B10" s="12">
        <v>76231</v>
      </c>
      <c r="C10" s="12">
        <v>62503</v>
      </c>
      <c r="D10" s="12">
        <v>90174</v>
      </c>
      <c r="E10" s="12">
        <v>92080</v>
      </c>
      <c r="F10" s="12">
        <v>108375</v>
      </c>
      <c r="G10" s="12">
        <v>47086</v>
      </c>
      <c r="H10" s="12">
        <v>89621</v>
      </c>
      <c r="I10" s="12">
        <v>119473</v>
      </c>
      <c r="J10" s="12">
        <v>122508</v>
      </c>
      <c r="K10" s="12">
        <v>98352</v>
      </c>
      <c r="L10" s="12">
        <v>96524</v>
      </c>
      <c r="M10" s="12">
        <v>58047</v>
      </c>
      <c r="N10" s="12">
        <f t="shared" ca="1" si="0"/>
        <v>1002927</v>
      </c>
    </row>
    <row r="11" spans="1:16" x14ac:dyDescent="0.3">
      <c r="A11" t="s">
        <v>16</v>
      </c>
      <c r="B11" s="10">
        <v>15645</v>
      </c>
      <c r="C11" s="10">
        <v>15163</v>
      </c>
      <c r="D11" s="10">
        <v>44184</v>
      </c>
      <c r="E11" s="10">
        <v>38927</v>
      </c>
      <c r="F11" s="10">
        <v>28333</v>
      </c>
      <c r="G11" s="10">
        <v>15569</v>
      </c>
      <c r="H11" s="10">
        <v>12072</v>
      </c>
      <c r="I11" s="10">
        <v>45614</v>
      </c>
      <c r="J11" s="10">
        <v>40057</v>
      </c>
      <c r="K11" s="10">
        <v>22890</v>
      </c>
      <c r="L11" s="10">
        <v>39116</v>
      </c>
      <c r="M11" s="10">
        <v>16125</v>
      </c>
      <c r="N11" s="10">
        <f t="shared" ca="1" si="0"/>
        <v>317570</v>
      </c>
    </row>
    <row r="12" spans="1:16" x14ac:dyDescent="0.3">
      <c r="A12" t="s">
        <v>17</v>
      </c>
      <c r="B12" s="10">
        <v>14359</v>
      </c>
      <c r="C12" s="10">
        <v>15289</v>
      </c>
      <c r="D12" s="10">
        <v>28255</v>
      </c>
      <c r="E12" s="10">
        <v>33970</v>
      </c>
      <c r="F12" s="10">
        <v>48837</v>
      </c>
      <c r="G12" s="10">
        <v>16788</v>
      </c>
      <c r="H12" s="10">
        <v>38668</v>
      </c>
      <c r="I12" s="10">
        <v>27517</v>
      </c>
      <c r="J12" s="10">
        <v>43586</v>
      </c>
      <c r="K12" s="10">
        <v>42934</v>
      </c>
      <c r="L12" s="10">
        <v>30833</v>
      </c>
      <c r="M12" s="10">
        <v>14876</v>
      </c>
      <c r="N12" s="10">
        <f t="shared" ca="1" si="0"/>
        <v>341036</v>
      </c>
    </row>
    <row r="13" spans="1:16" x14ac:dyDescent="0.3">
      <c r="A13" t="s">
        <v>18</v>
      </c>
      <c r="B13" s="10">
        <v>46227</v>
      </c>
      <c r="C13" s="10">
        <v>32051</v>
      </c>
      <c r="D13" s="10">
        <v>17735</v>
      </c>
      <c r="E13" s="10">
        <v>19183</v>
      </c>
      <c r="F13" s="10">
        <v>31205</v>
      </c>
      <c r="G13" s="10">
        <v>14729</v>
      </c>
      <c r="H13" s="10">
        <v>38881</v>
      </c>
      <c r="I13" s="10">
        <v>46342</v>
      </c>
      <c r="J13" s="10">
        <v>38865</v>
      </c>
      <c r="K13" s="10">
        <v>32528</v>
      </c>
      <c r="L13" s="10">
        <v>26575</v>
      </c>
      <c r="M13" s="10">
        <v>27046</v>
      </c>
      <c r="N13" s="10">
        <f t="shared" ca="1" si="0"/>
        <v>344321</v>
      </c>
    </row>
    <row r="14" spans="1:16" x14ac:dyDescent="0.3">
      <c r="A14" s="6" t="s">
        <v>21</v>
      </c>
      <c r="B14" s="12">
        <v>111787</v>
      </c>
      <c r="C14" s="12">
        <v>109257</v>
      </c>
      <c r="D14" s="12">
        <v>91036</v>
      </c>
      <c r="E14" s="12">
        <v>101202</v>
      </c>
      <c r="F14" s="12">
        <v>92948</v>
      </c>
      <c r="G14" s="12">
        <v>76667</v>
      </c>
      <c r="H14" s="12">
        <v>81272</v>
      </c>
      <c r="I14" s="12">
        <v>96426</v>
      </c>
      <c r="J14" s="12">
        <v>84299</v>
      </c>
      <c r="K14" s="12">
        <v>97307</v>
      </c>
      <c r="L14" s="12">
        <v>85394</v>
      </c>
      <c r="M14" s="12">
        <v>99627</v>
      </c>
      <c r="N14" s="12">
        <f t="shared" ca="1" si="0"/>
        <v>1027595</v>
      </c>
    </row>
    <row r="15" spans="1:16" x14ac:dyDescent="0.3">
      <c r="A15" t="s">
        <v>16</v>
      </c>
      <c r="B15" s="10">
        <v>33555</v>
      </c>
      <c r="C15" s="10">
        <v>33645</v>
      </c>
      <c r="D15" s="10">
        <v>28957</v>
      </c>
      <c r="E15" s="10">
        <v>18992</v>
      </c>
      <c r="F15" s="10">
        <v>24513</v>
      </c>
      <c r="G15" s="10">
        <v>19646</v>
      </c>
      <c r="H15" s="10">
        <v>19388</v>
      </c>
      <c r="I15" s="10">
        <v>46131</v>
      </c>
      <c r="J15" s="10">
        <v>35945</v>
      </c>
      <c r="K15" s="10">
        <v>31617</v>
      </c>
      <c r="L15" s="10">
        <v>26790</v>
      </c>
      <c r="M15" s="10">
        <v>26385</v>
      </c>
      <c r="N15" s="10">
        <f t="shared" ca="1" si="0"/>
        <v>319179</v>
      </c>
    </row>
    <row r="16" spans="1:16" x14ac:dyDescent="0.3">
      <c r="A16" t="s">
        <v>17</v>
      </c>
      <c r="B16" s="10">
        <v>43438</v>
      </c>
      <c r="C16" s="10">
        <v>44168</v>
      </c>
      <c r="D16" s="10">
        <v>31720</v>
      </c>
      <c r="E16" s="10">
        <v>41692</v>
      </c>
      <c r="F16" s="10">
        <v>33894</v>
      </c>
      <c r="G16" s="10">
        <v>11746</v>
      </c>
      <c r="H16" s="10">
        <v>41388</v>
      </c>
      <c r="I16" s="10">
        <v>39464</v>
      </c>
      <c r="J16" s="10">
        <v>18070</v>
      </c>
      <c r="K16" s="10">
        <v>35158</v>
      </c>
      <c r="L16" s="10">
        <v>34998</v>
      </c>
      <c r="M16" s="10">
        <v>28065</v>
      </c>
      <c r="N16" s="10">
        <f t="shared" ca="1" si="0"/>
        <v>375736</v>
      </c>
    </row>
    <row r="17" spans="1:14" x14ac:dyDescent="0.3">
      <c r="A17" t="s">
        <v>18</v>
      </c>
      <c r="B17" s="10">
        <v>34794</v>
      </c>
      <c r="C17" s="10">
        <v>31444</v>
      </c>
      <c r="D17" s="10">
        <v>30359</v>
      </c>
      <c r="E17" s="10">
        <v>40518</v>
      </c>
      <c r="F17" s="10">
        <v>34541</v>
      </c>
      <c r="G17" s="10">
        <v>45275</v>
      </c>
      <c r="H17" s="10">
        <v>20496</v>
      </c>
      <c r="I17" s="10">
        <v>10831</v>
      </c>
      <c r="J17" s="10">
        <v>30284</v>
      </c>
      <c r="K17" s="10">
        <v>30532</v>
      </c>
      <c r="L17" s="10">
        <v>23606</v>
      </c>
      <c r="M17" s="10">
        <v>45177</v>
      </c>
      <c r="N17" s="10">
        <f t="shared" ca="1" si="0"/>
        <v>332680</v>
      </c>
    </row>
    <row r="18" spans="1:14" x14ac:dyDescent="0.3">
      <c r="A18" s="6" t="s">
        <v>22</v>
      </c>
      <c r="B18" s="12">
        <v>135345</v>
      </c>
      <c r="C18" s="12">
        <v>99474</v>
      </c>
      <c r="D18" s="12">
        <v>133093</v>
      </c>
      <c r="E18" s="12">
        <v>115604</v>
      </c>
      <c r="F18" s="12">
        <v>99159</v>
      </c>
      <c r="G18" s="12">
        <v>120456</v>
      </c>
      <c r="H18" s="12">
        <v>100866</v>
      </c>
      <c r="I18" s="12">
        <v>107127</v>
      </c>
      <c r="J18" s="12">
        <v>89053</v>
      </c>
      <c r="K18" s="12">
        <v>82221</v>
      </c>
      <c r="L18" s="12">
        <v>100105</v>
      </c>
      <c r="M18" s="12">
        <v>126976</v>
      </c>
      <c r="N18" s="12">
        <f t="shared" ca="1" si="0"/>
        <v>1182503</v>
      </c>
    </row>
    <row r="19" spans="1:14" x14ac:dyDescent="0.3">
      <c r="A19" t="s">
        <v>16</v>
      </c>
      <c r="B19" s="10">
        <v>46022</v>
      </c>
      <c r="C19" s="10">
        <v>20731</v>
      </c>
      <c r="D19" s="10">
        <v>47507</v>
      </c>
      <c r="E19" s="10">
        <v>41647</v>
      </c>
      <c r="F19" s="10">
        <v>37381</v>
      </c>
      <c r="G19" s="10">
        <v>48026</v>
      </c>
      <c r="H19" s="10">
        <v>38455</v>
      </c>
      <c r="I19" s="10">
        <v>38977</v>
      </c>
      <c r="J19" s="10">
        <v>44758</v>
      </c>
      <c r="K19" s="10">
        <v>33725</v>
      </c>
      <c r="L19" s="10">
        <v>29809</v>
      </c>
      <c r="M19" s="10">
        <v>49026</v>
      </c>
      <c r="N19" s="10">
        <f t="shared" ca="1" si="0"/>
        <v>427038</v>
      </c>
    </row>
    <row r="20" spans="1:14" x14ac:dyDescent="0.3">
      <c r="A20" t="s">
        <v>17</v>
      </c>
      <c r="B20" s="10">
        <v>47107</v>
      </c>
      <c r="C20" s="10">
        <v>44387</v>
      </c>
      <c r="D20" s="10">
        <v>48129</v>
      </c>
      <c r="E20" s="10">
        <v>30055</v>
      </c>
      <c r="F20" s="10">
        <v>47499</v>
      </c>
      <c r="G20" s="10">
        <v>38469</v>
      </c>
      <c r="H20" s="10">
        <v>27757</v>
      </c>
      <c r="I20" s="10">
        <v>41198</v>
      </c>
      <c r="J20" s="10">
        <v>26389</v>
      </c>
      <c r="K20" s="10">
        <v>10778</v>
      </c>
      <c r="L20" s="10">
        <v>41494</v>
      </c>
      <c r="M20" s="10">
        <v>40232</v>
      </c>
      <c r="N20" s="10">
        <f t="shared" ca="1" si="0"/>
        <v>403262</v>
      </c>
    </row>
    <row r="21" spans="1:14" x14ac:dyDescent="0.3">
      <c r="A21" t="s">
        <v>18</v>
      </c>
      <c r="B21" s="10">
        <v>42216</v>
      </c>
      <c r="C21" s="10">
        <v>34356</v>
      </c>
      <c r="D21" s="10">
        <v>37457</v>
      </c>
      <c r="E21" s="10">
        <v>43902</v>
      </c>
      <c r="F21" s="10">
        <v>14279</v>
      </c>
      <c r="G21" s="10">
        <v>33961</v>
      </c>
      <c r="H21" s="10">
        <v>34654</v>
      </c>
      <c r="I21" s="10">
        <v>26952</v>
      </c>
      <c r="J21" s="10">
        <v>17906</v>
      </c>
      <c r="K21" s="10">
        <v>37718</v>
      </c>
      <c r="L21" s="10">
        <v>28802</v>
      </c>
      <c r="M21" s="10">
        <v>37718</v>
      </c>
      <c r="N21" s="10">
        <f t="shared" ca="1" si="0"/>
        <v>352203</v>
      </c>
    </row>
    <row r="23" spans="1:14" x14ac:dyDescent="0.3">
      <c r="A23" s="5">
        <v>2020</v>
      </c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5" t="s">
        <v>9</v>
      </c>
      <c r="J23" s="5" t="s">
        <v>10</v>
      </c>
      <c r="K23" s="5" t="s">
        <v>11</v>
      </c>
      <c r="L23" s="5" t="s">
        <v>12</v>
      </c>
      <c r="M23" s="5" t="s">
        <v>13</v>
      </c>
      <c r="N23" s="5" t="s">
        <v>14</v>
      </c>
    </row>
    <row r="24" spans="1:14" x14ac:dyDescent="0.3">
      <c r="A24" s="6" t="s">
        <v>15</v>
      </c>
      <c r="B24" s="12">
        <v>92618</v>
      </c>
      <c r="C24" s="12">
        <v>67404</v>
      </c>
      <c r="D24" s="12">
        <v>86407</v>
      </c>
      <c r="E24" s="12">
        <v>128573</v>
      </c>
      <c r="F24" s="12">
        <v>142544</v>
      </c>
      <c r="G24" s="12">
        <v>145766</v>
      </c>
      <c r="H24" s="12">
        <v>142019</v>
      </c>
      <c r="I24" s="12">
        <v>121058</v>
      </c>
      <c r="J24" s="12">
        <v>158581</v>
      </c>
      <c r="K24" s="12">
        <v>87149</v>
      </c>
      <c r="L24" s="12">
        <v>112952</v>
      </c>
      <c r="M24" s="12"/>
      <c r="N24" s="12">
        <f>SUM(B24:M24)</f>
        <v>1285071</v>
      </c>
    </row>
    <row r="25" spans="1:14" x14ac:dyDescent="0.3">
      <c r="A25" t="s">
        <v>16</v>
      </c>
      <c r="B25" s="10">
        <v>23846</v>
      </c>
      <c r="C25" s="10">
        <v>21371</v>
      </c>
      <c r="D25" s="10">
        <v>57624</v>
      </c>
      <c r="E25" s="10">
        <v>60678</v>
      </c>
      <c r="F25" s="10">
        <v>51819</v>
      </c>
      <c r="G25" s="10">
        <v>52867</v>
      </c>
      <c r="H25" s="10">
        <v>49272</v>
      </c>
      <c r="I25" s="10">
        <v>45943</v>
      </c>
      <c r="J25" s="10">
        <v>60342</v>
      </c>
      <c r="K25" s="10">
        <v>23562</v>
      </c>
      <c r="L25" s="10">
        <v>53331</v>
      </c>
      <c r="M25" s="10"/>
      <c r="N25" s="10">
        <f t="shared" ref="N25:N43" si="1">SUM(B25:M25)</f>
        <v>500655</v>
      </c>
    </row>
    <row r="26" spans="1:14" x14ac:dyDescent="0.3">
      <c r="A26" t="s">
        <v>17</v>
      </c>
      <c r="B26" s="10">
        <v>49117</v>
      </c>
      <c r="C26" s="10">
        <v>37915</v>
      </c>
      <c r="D26" s="10">
        <v>15675</v>
      </c>
      <c r="E26" s="10">
        <v>49973</v>
      </c>
      <c r="F26" s="10">
        <v>48567</v>
      </c>
      <c r="G26" s="10">
        <v>38530</v>
      </c>
      <c r="H26" s="10">
        <v>49545</v>
      </c>
      <c r="I26" s="10">
        <v>47766</v>
      </c>
      <c r="J26" s="10">
        <v>49142</v>
      </c>
      <c r="K26" s="10">
        <v>26602</v>
      </c>
      <c r="L26" s="10">
        <v>29889</v>
      </c>
      <c r="M26" s="10"/>
      <c r="N26" s="10">
        <f t="shared" si="1"/>
        <v>442721</v>
      </c>
    </row>
    <row r="27" spans="1:14" x14ac:dyDescent="0.3">
      <c r="A27" t="s">
        <v>18</v>
      </c>
      <c r="B27" s="10">
        <v>33823</v>
      </c>
      <c r="C27" s="10">
        <v>10751</v>
      </c>
      <c r="D27" s="10">
        <v>19846</v>
      </c>
      <c r="E27" s="10">
        <v>43200</v>
      </c>
      <c r="F27" s="10">
        <v>42157</v>
      </c>
      <c r="G27" s="10">
        <v>54369</v>
      </c>
      <c r="H27" s="10">
        <v>43202</v>
      </c>
      <c r="I27" s="10">
        <v>27349</v>
      </c>
      <c r="J27" s="10">
        <v>49097</v>
      </c>
      <c r="K27" s="10">
        <v>36985</v>
      </c>
      <c r="L27" s="10">
        <v>29732</v>
      </c>
      <c r="M27" s="10"/>
      <c r="N27" s="10">
        <f t="shared" si="1"/>
        <v>390511</v>
      </c>
    </row>
    <row r="28" spans="1:14" x14ac:dyDescent="0.3">
      <c r="A28" s="6" t="s">
        <v>19</v>
      </c>
      <c r="B28" s="12">
        <v>82595</v>
      </c>
      <c r="C28" s="12">
        <v>74573</v>
      </c>
      <c r="D28" s="12">
        <v>96756</v>
      </c>
      <c r="E28" s="12">
        <v>108148</v>
      </c>
      <c r="F28" s="12">
        <v>100736</v>
      </c>
      <c r="G28" s="12">
        <v>120234</v>
      </c>
      <c r="H28" s="12">
        <v>107484</v>
      </c>
      <c r="I28" s="12">
        <v>146633</v>
      </c>
      <c r="J28" s="12">
        <v>80936</v>
      </c>
      <c r="K28" s="12">
        <v>112239</v>
      </c>
      <c r="L28" s="12">
        <v>77456</v>
      </c>
      <c r="M28" s="12"/>
      <c r="N28" s="12">
        <f t="shared" si="1"/>
        <v>1107790</v>
      </c>
    </row>
    <row r="29" spans="1:14" x14ac:dyDescent="0.3">
      <c r="A29" t="s">
        <v>16</v>
      </c>
      <c r="B29" s="10">
        <v>28412</v>
      </c>
      <c r="C29" s="10">
        <v>25836</v>
      </c>
      <c r="D29" s="10">
        <v>31000</v>
      </c>
      <c r="E29" s="10">
        <v>57594</v>
      </c>
      <c r="F29" s="10">
        <v>48336</v>
      </c>
      <c r="G29" s="10">
        <v>21684</v>
      </c>
      <c r="H29" s="10">
        <v>37025</v>
      </c>
      <c r="I29" s="10">
        <v>37150</v>
      </c>
      <c r="J29" s="10">
        <v>23461</v>
      </c>
      <c r="K29" s="10">
        <v>26074</v>
      </c>
      <c r="L29" s="10">
        <v>22022</v>
      </c>
      <c r="M29" s="10"/>
      <c r="N29" s="10">
        <f t="shared" si="1"/>
        <v>358594</v>
      </c>
    </row>
    <row r="30" spans="1:14" x14ac:dyDescent="0.3">
      <c r="A30" t="s">
        <v>17</v>
      </c>
      <c r="B30" s="10">
        <v>31304</v>
      </c>
      <c r="C30" s="10">
        <v>40884</v>
      </c>
      <c r="D30" s="10">
        <v>36715</v>
      </c>
      <c r="E30" s="10">
        <v>19560</v>
      </c>
      <c r="F30" s="10">
        <v>10235</v>
      </c>
      <c r="G30" s="10">
        <v>40104</v>
      </c>
      <c r="H30" s="10">
        <v>37938</v>
      </c>
      <c r="I30" s="10">
        <v>53599</v>
      </c>
      <c r="J30" s="10">
        <v>30085</v>
      </c>
      <c r="K30" s="10">
        <v>46361</v>
      </c>
      <c r="L30" s="10">
        <v>21878</v>
      </c>
      <c r="M30" s="10"/>
      <c r="N30" s="10">
        <f t="shared" si="1"/>
        <v>368663</v>
      </c>
    </row>
    <row r="31" spans="1:14" x14ac:dyDescent="0.3">
      <c r="A31" t="s">
        <v>18</v>
      </c>
      <c r="B31" s="10">
        <v>21791</v>
      </c>
      <c r="C31" s="10">
        <v>24793</v>
      </c>
      <c r="D31" s="10">
        <v>34979</v>
      </c>
      <c r="E31" s="10">
        <v>44148</v>
      </c>
      <c r="F31" s="10">
        <v>42165</v>
      </c>
      <c r="G31" s="10">
        <v>58446</v>
      </c>
      <c r="H31" s="10">
        <v>32521</v>
      </c>
      <c r="I31" s="10">
        <v>55884</v>
      </c>
      <c r="J31" s="10">
        <v>27390</v>
      </c>
      <c r="K31" s="10">
        <v>39804</v>
      </c>
      <c r="L31" s="10">
        <v>33556</v>
      </c>
      <c r="M31" s="10"/>
      <c r="N31" s="10">
        <f t="shared" si="1"/>
        <v>415477</v>
      </c>
    </row>
    <row r="32" spans="1:14" x14ac:dyDescent="0.3">
      <c r="A32" s="6" t="s">
        <v>20</v>
      </c>
      <c r="B32" s="12">
        <v>72419</v>
      </c>
      <c r="C32" s="12">
        <v>75004</v>
      </c>
      <c r="D32" s="12">
        <v>100995</v>
      </c>
      <c r="E32" s="12">
        <v>107734</v>
      </c>
      <c r="F32" s="12">
        <v>114853</v>
      </c>
      <c r="G32" s="12">
        <v>159596</v>
      </c>
      <c r="H32" s="12">
        <v>107315</v>
      </c>
      <c r="I32" s="12">
        <v>134157</v>
      </c>
      <c r="J32" s="12">
        <v>131305</v>
      </c>
      <c r="K32" s="12">
        <v>122619</v>
      </c>
      <c r="L32" s="12">
        <v>135204</v>
      </c>
      <c r="M32" s="12"/>
      <c r="N32" s="12">
        <f t="shared" si="1"/>
        <v>1261201</v>
      </c>
    </row>
    <row r="33" spans="1:14" x14ac:dyDescent="0.3">
      <c r="A33" t="s">
        <v>16</v>
      </c>
      <c r="B33" s="10">
        <v>19400</v>
      </c>
      <c r="C33" s="10">
        <v>18954</v>
      </c>
      <c r="D33" s="10">
        <v>50370</v>
      </c>
      <c r="E33" s="10">
        <v>44377</v>
      </c>
      <c r="F33" s="10">
        <v>54169</v>
      </c>
      <c r="G33" s="10">
        <v>56562</v>
      </c>
      <c r="H33" s="10">
        <v>44289</v>
      </c>
      <c r="I33" s="10">
        <v>24638</v>
      </c>
      <c r="J33" s="10">
        <v>56950</v>
      </c>
      <c r="K33" s="10">
        <v>52010</v>
      </c>
      <c r="L33" s="10">
        <v>25442</v>
      </c>
      <c r="M33" s="10"/>
      <c r="N33" s="10">
        <f t="shared" si="1"/>
        <v>447161</v>
      </c>
    </row>
    <row r="34" spans="1:14" x14ac:dyDescent="0.3">
      <c r="A34" t="s">
        <v>17</v>
      </c>
      <c r="B34" s="10">
        <v>15795</v>
      </c>
      <c r="C34" s="10">
        <v>14677</v>
      </c>
      <c r="D34" s="10">
        <v>35036</v>
      </c>
      <c r="E34" s="10">
        <v>41104</v>
      </c>
      <c r="F34" s="10">
        <v>39528</v>
      </c>
      <c r="G34" s="10">
        <v>51430</v>
      </c>
      <c r="H34" s="10">
        <v>28430</v>
      </c>
      <c r="I34" s="10">
        <v>58331</v>
      </c>
      <c r="J34" s="10">
        <v>47620</v>
      </c>
      <c r="K34" s="10">
        <v>29761</v>
      </c>
      <c r="L34" s="10">
        <v>49480</v>
      </c>
      <c r="M34" s="10"/>
      <c r="N34" s="10">
        <f t="shared" si="1"/>
        <v>411192</v>
      </c>
    </row>
    <row r="35" spans="1:14" x14ac:dyDescent="0.3">
      <c r="A35" t="s">
        <v>18</v>
      </c>
      <c r="B35" s="10">
        <v>46227</v>
      </c>
      <c r="C35" s="10">
        <v>30769</v>
      </c>
      <c r="D35" s="10">
        <v>20927</v>
      </c>
      <c r="E35" s="10">
        <v>19950</v>
      </c>
      <c r="F35" s="10">
        <v>21156</v>
      </c>
      <c r="G35" s="10">
        <v>51604</v>
      </c>
      <c r="H35" s="10">
        <v>34596</v>
      </c>
      <c r="I35" s="10">
        <v>51188</v>
      </c>
      <c r="J35" s="10">
        <v>26735</v>
      </c>
      <c r="K35" s="10">
        <v>40848</v>
      </c>
      <c r="L35" s="10">
        <v>60282</v>
      </c>
      <c r="M35" s="10"/>
      <c r="N35" s="10">
        <f t="shared" si="1"/>
        <v>404282</v>
      </c>
    </row>
    <row r="36" spans="1:14" x14ac:dyDescent="0.3">
      <c r="A36" s="6" t="s">
        <v>21</v>
      </c>
      <c r="B36" s="12">
        <v>121848</v>
      </c>
      <c r="C36" s="12">
        <v>104887</v>
      </c>
      <c r="D36" s="12">
        <v>104691</v>
      </c>
      <c r="E36" s="12">
        <v>99178</v>
      </c>
      <c r="F36" s="12">
        <v>108372</v>
      </c>
      <c r="G36" s="12">
        <v>96527</v>
      </c>
      <c r="H36" s="12">
        <v>105687</v>
      </c>
      <c r="I36" s="12">
        <v>125236</v>
      </c>
      <c r="J36" s="12">
        <v>144285</v>
      </c>
      <c r="K36" s="12">
        <v>122183</v>
      </c>
      <c r="L36" s="12">
        <v>179123</v>
      </c>
      <c r="M36" s="12"/>
      <c r="N36" s="12">
        <f t="shared" si="1"/>
        <v>1312017</v>
      </c>
    </row>
    <row r="37" spans="1:14" x14ac:dyDescent="0.3">
      <c r="A37" t="s">
        <v>16</v>
      </c>
      <c r="B37" s="10">
        <v>40937</v>
      </c>
      <c r="C37" s="10">
        <v>35664</v>
      </c>
      <c r="D37" s="10">
        <v>31274</v>
      </c>
      <c r="E37" s="10">
        <v>18802</v>
      </c>
      <c r="F37" s="10">
        <v>19113</v>
      </c>
      <c r="G37" s="10">
        <v>26800</v>
      </c>
      <c r="H37" s="10">
        <v>44441</v>
      </c>
      <c r="I37" s="10">
        <v>51737</v>
      </c>
      <c r="J37" s="10">
        <v>59492</v>
      </c>
      <c r="K37" s="10">
        <v>43954</v>
      </c>
      <c r="L37" s="10">
        <v>60314</v>
      </c>
      <c r="M37" s="10"/>
      <c r="N37" s="10">
        <f t="shared" si="1"/>
        <v>432528</v>
      </c>
    </row>
    <row r="38" spans="1:14" x14ac:dyDescent="0.3">
      <c r="A38" t="s">
        <v>17</v>
      </c>
      <c r="B38" s="10">
        <v>46913</v>
      </c>
      <c r="C38" s="10">
        <v>53443</v>
      </c>
      <c r="D38" s="10">
        <v>36161</v>
      </c>
      <c r="E38" s="10">
        <v>39607</v>
      </c>
      <c r="F38" s="10">
        <v>43793</v>
      </c>
      <c r="G38" s="10">
        <v>33816</v>
      </c>
      <c r="H38" s="10">
        <v>23404</v>
      </c>
      <c r="I38" s="10">
        <v>39204</v>
      </c>
      <c r="J38" s="10">
        <v>26678</v>
      </c>
      <c r="K38" s="10">
        <v>27269</v>
      </c>
      <c r="L38" s="10">
        <v>58369</v>
      </c>
      <c r="M38" s="10"/>
      <c r="N38" s="10">
        <f t="shared" si="1"/>
        <v>428657</v>
      </c>
    </row>
    <row r="39" spans="1:14" x14ac:dyDescent="0.3">
      <c r="A39" t="s">
        <v>18</v>
      </c>
      <c r="B39" s="10">
        <v>43493</v>
      </c>
      <c r="C39" s="10">
        <v>34903</v>
      </c>
      <c r="D39" s="10">
        <v>29752</v>
      </c>
      <c r="E39" s="10">
        <v>44975</v>
      </c>
      <c r="F39" s="10">
        <v>45466</v>
      </c>
      <c r="G39" s="10">
        <v>35911</v>
      </c>
      <c r="H39" s="10">
        <v>37842</v>
      </c>
      <c r="I39" s="10">
        <v>34295</v>
      </c>
      <c r="J39" s="10">
        <v>58115</v>
      </c>
      <c r="K39" s="10">
        <v>50960</v>
      </c>
      <c r="L39" s="10">
        <v>60440</v>
      </c>
      <c r="M39" s="10"/>
      <c r="N39" s="10">
        <f t="shared" si="1"/>
        <v>476152</v>
      </c>
    </row>
    <row r="40" spans="1:14" x14ac:dyDescent="0.3">
      <c r="A40" s="6" t="s">
        <v>22</v>
      </c>
      <c r="B40" s="12">
        <v>131285</v>
      </c>
      <c r="C40" s="12">
        <v>95495</v>
      </c>
      <c r="D40" s="12">
        <v>153057</v>
      </c>
      <c r="E40" s="12">
        <v>112136</v>
      </c>
      <c r="F40" s="12">
        <v>134031</v>
      </c>
      <c r="G40" s="12">
        <v>110994</v>
      </c>
      <c r="H40" s="12">
        <v>137379</v>
      </c>
      <c r="I40" s="12">
        <v>128352</v>
      </c>
      <c r="J40" s="12">
        <v>130504</v>
      </c>
      <c r="K40" s="12">
        <v>125862</v>
      </c>
      <c r="L40" s="12">
        <v>131770</v>
      </c>
      <c r="M40" s="12"/>
      <c r="N40" s="12">
        <f t="shared" si="1"/>
        <v>1390865</v>
      </c>
    </row>
    <row r="41" spans="1:14" x14ac:dyDescent="0.3">
      <c r="A41" t="s">
        <v>16</v>
      </c>
      <c r="B41" s="10">
        <v>48783</v>
      </c>
      <c r="C41" s="10">
        <v>24463</v>
      </c>
      <c r="D41" s="10">
        <v>57483</v>
      </c>
      <c r="E41" s="10">
        <v>49143</v>
      </c>
      <c r="F41" s="10">
        <v>41692</v>
      </c>
      <c r="G41" s="10">
        <v>28689</v>
      </c>
      <c r="H41" s="10">
        <v>53682</v>
      </c>
      <c r="I41" s="10">
        <v>36183</v>
      </c>
      <c r="J41" s="10">
        <v>49398</v>
      </c>
      <c r="K41" s="10">
        <v>46545</v>
      </c>
      <c r="L41" s="10">
        <v>59840</v>
      </c>
      <c r="M41" s="10"/>
      <c r="N41" s="10">
        <f t="shared" si="1"/>
        <v>495901</v>
      </c>
    </row>
    <row r="42" spans="1:14" x14ac:dyDescent="0.3">
      <c r="A42" t="s">
        <v>17</v>
      </c>
      <c r="B42" s="10">
        <v>45694</v>
      </c>
      <c r="C42" s="10">
        <v>43499</v>
      </c>
      <c r="D42" s="10">
        <v>46685</v>
      </c>
      <c r="E42" s="10">
        <v>31858</v>
      </c>
      <c r="F42" s="10">
        <v>38028</v>
      </c>
      <c r="G42" s="10">
        <v>45282</v>
      </c>
      <c r="H42" s="10">
        <v>47781</v>
      </c>
      <c r="I42" s="10">
        <v>41637</v>
      </c>
      <c r="J42" s="10">
        <v>26011</v>
      </c>
      <c r="K42" s="10">
        <v>56331</v>
      </c>
      <c r="L42" s="10">
        <v>38810</v>
      </c>
      <c r="M42" s="10"/>
      <c r="N42" s="10">
        <f t="shared" si="1"/>
        <v>461616</v>
      </c>
    </row>
    <row r="43" spans="1:14" x14ac:dyDescent="0.3">
      <c r="A43" t="s">
        <v>18</v>
      </c>
      <c r="B43" s="10">
        <v>42216</v>
      </c>
      <c r="C43" s="10">
        <v>42601</v>
      </c>
      <c r="D43" s="10">
        <v>37457</v>
      </c>
      <c r="E43" s="10">
        <v>44780</v>
      </c>
      <c r="F43" s="10">
        <v>54310</v>
      </c>
      <c r="G43" s="10">
        <v>37023</v>
      </c>
      <c r="H43" s="10">
        <v>35916</v>
      </c>
      <c r="I43" s="10">
        <v>50532</v>
      </c>
      <c r="J43" s="10">
        <v>55095</v>
      </c>
      <c r="K43" s="10">
        <v>22986</v>
      </c>
      <c r="L43" s="10">
        <v>33120</v>
      </c>
      <c r="M43" s="10"/>
      <c r="N43" s="10">
        <f t="shared" si="1"/>
        <v>456036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Динамика</vt:lpstr>
      <vt:lpstr>Нар 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2023-12-22T15:51:50Z</dcterms:modified>
</cp:coreProperties>
</file>