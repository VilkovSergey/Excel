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7\"/>
    </mc:Choice>
  </mc:AlternateContent>
  <xr:revisionPtr revIDLastSave="0" documentId="13_ncr:1_{2FC47364-B9E4-4693-963D-F319E8C269E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Комби + табл данных" sheetId="1" r:id="rId1"/>
    <sheet name="Проектная" sheetId="2" r:id="rId2"/>
    <sheet name="Каскадная" sheetId="3" r:id="rId3"/>
    <sheet name="Каскадная 2" sheetId="9" r:id="rId4"/>
    <sheet name="Чекбоксы" sheetId="10" r:id="rId5"/>
    <sheet name="Динамическая" sheetId="4" r:id="rId6"/>
    <sheet name="Воронка" sheetId="5" r:id="rId7"/>
    <sheet name="Парето" sheetId="6" r:id="rId8"/>
    <sheet name="Древовидная" sheetId="7" r:id="rId9"/>
    <sheet name="Картограмма" sheetId="8" r:id="rId10"/>
  </sheets>
  <definedNames>
    <definedName name="Данные">OFFSET(Динамическая!$B$2,Динамическая!$I$1,0,Динамическая!$F$1,1)</definedName>
    <definedName name="Подписи" localSheetId="5">OFFSET(Динамическая!$A$2,Динамическая!$I$1,0,Динамическая!$F$1,1)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C2" i="9"/>
</calcChain>
</file>

<file path=xl/sharedStrings.xml><?xml version="1.0" encoding="utf-8"?>
<sst xmlns="http://schemas.openxmlformats.org/spreadsheetml/2006/main" count="186" uniqueCount="126">
  <si>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</si>
  <si>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</si>
  <si>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</si>
  <si>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</si>
  <si>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</si>
  <si>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</si>
  <si>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</si>
  <si>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</si>
  <si>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</si>
  <si>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</si>
  <si>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</si>
  <si>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</si>
  <si>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</si>
  <si>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</si>
  <si>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</si>
  <si>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Сотрудники</t>
  </si>
  <si>
    <t>Этап работы</t>
  </si>
  <si>
    <t>Начало</t>
  </si>
  <si>
    <t>Окончание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</si>
  <si>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</si>
  <si>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</si>
  <si>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</si>
  <si>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</si>
  <si>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</si>
  <si>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</si>
  <si>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Подготовка домашних заданий</t>
  </si>
  <si>
    <t>Анонс и продвижение</t>
  </si>
  <si>
    <t>Страна</t>
  </si>
  <si>
    <t> США</t>
  </si>
  <si>
    <t> Китай</t>
  </si>
  <si>
    <t> Япония</t>
  </si>
  <si>
    <t> Россия</t>
  </si>
  <si>
    <t> Саудовская Аравия</t>
  </si>
  <si>
    <t> Бразилия</t>
  </si>
  <si>
    <t> Республика Корея</t>
  </si>
  <si>
    <t> Германия</t>
  </si>
  <si>
    <t> Канада</t>
  </si>
  <si>
    <t> Иран</t>
  </si>
  <si>
    <t> Мексика</t>
  </si>
  <si>
    <t> Франция</t>
  </si>
  <si>
    <t> Индонезия</t>
  </si>
  <si>
    <t> Великобритания</t>
  </si>
  <si>
    <t> Сингапур</t>
  </si>
  <si>
    <t> Италия</t>
  </si>
  <si>
    <t> Испания</t>
  </si>
  <si>
    <t> Таиланд</t>
  </si>
  <si>
    <t> Австралия</t>
  </si>
  <si>
    <t> Китайская Республика</t>
  </si>
  <si>
    <t> ОАЭ</t>
  </si>
  <si>
    <t> Египет</t>
  </si>
  <si>
    <t> Нидерланды</t>
  </si>
  <si>
    <t> Турция</t>
  </si>
  <si>
    <t> Малайзия</t>
  </si>
  <si>
    <t> Венесуэла</t>
  </si>
  <si>
    <t> Аргентина</t>
  </si>
  <si>
    <t> ЮАР</t>
  </si>
  <si>
    <t> Бельгия</t>
  </si>
  <si>
    <t> Пакистан</t>
  </si>
  <si>
    <t> Польша</t>
  </si>
  <si>
    <t> Кувейт</t>
  </si>
  <si>
    <t> Вьетнам</t>
  </si>
  <si>
    <t> Алжир</t>
  </si>
  <si>
    <t> Филиппины</t>
  </si>
  <si>
    <t> Гонконг</t>
  </si>
  <si>
    <t> Чили</t>
  </si>
  <si>
    <t> Колумбия</t>
  </si>
  <si>
    <t> Греция</t>
  </si>
  <si>
    <t> Швеция</t>
  </si>
  <si>
    <t> Казахстан</t>
  </si>
  <si>
    <t> Австрия</t>
  </si>
  <si>
    <t> Эквадор</t>
  </si>
  <si>
    <t> Португалия</t>
  </si>
  <si>
    <t> Перу</t>
  </si>
  <si>
    <t> Швейцария</t>
  </si>
  <si>
    <t> Норвегия</t>
  </si>
  <si>
    <t> Израиль</t>
  </si>
  <si>
    <t> Катар</t>
  </si>
  <si>
    <t> Чехия</t>
  </si>
  <si>
    <t> Румыния</t>
  </si>
  <si>
    <t> Украина</t>
  </si>
  <si>
    <t> Финляндия</t>
  </si>
  <si>
    <t> Дания</t>
  </si>
  <si>
    <t> Новая Зеландия</t>
  </si>
  <si>
    <t> Белоруссия</t>
  </si>
  <si>
    <t> Венгрия</t>
  </si>
  <si>
    <t> Ирландия</t>
  </si>
  <si>
    <t> Туркмения</t>
  </si>
  <si>
    <t> Бангладеш</t>
  </si>
  <si>
    <t> Азербайджан</t>
  </si>
  <si>
    <t> Болгария</t>
  </si>
  <si>
    <t> Словакия</t>
  </si>
  <si>
    <t> Узбекистан</t>
  </si>
  <si>
    <t> Литва</t>
  </si>
  <si>
    <t> Тринидад и Тобаго</t>
  </si>
  <si>
    <t>Потребление нефти, млн тонн / год</t>
  </si>
  <si>
    <t>Количество заявок</t>
  </si>
  <si>
    <t>Посетителей выставки</t>
  </si>
  <si>
    <t>Переговоры</t>
  </si>
  <si>
    <t>Договор</t>
  </si>
  <si>
    <t>Оплачено</t>
  </si>
  <si>
    <t>Этап</t>
  </si>
  <si>
    <t>Количество</t>
  </si>
  <si>
    <t>Показатель</t>
  </si>
  <si>
    <t>Выручка</t>
  </si>
  <si>
    <t>Автосервис</t>
  </si>
  <si>
    <t>Шиномонтаж</t>
  </si>
  <si>
    <t>Запчасти</t>
  </si>
  <si>
    <t>Откуда пришел клиент</t>
  </si>
  <si>
    <t>Кол-во</t>
  </si>
  <si>
    <t>Сайт</t>
  </si>
  <si>
    <t>Партнерские программы</t>
  </si>
  <si>
    <t>Телеграм</t>
  </si>
  <si>
    <t>Инстаграм</t>
  </si>
  <si>
    <t>Выставки</t>
  </si>
  <si>
    <t>Холодные звонки</t>
  </si>
  <si>
    <t>Рекомендации</t>
  </si>
  <si>
    <t>Неизвестно</t>
  </si>
  <si>
    <t>Период</t>
  </si>
  <si>
    <t>Прибыль</t>
  </si>
  <si>
    <t>Центр</t>
  </si>
  <si>
    <t>Юг</t>
  </si>
  <si>
    <t>Поволжье</t>
  </si>
  <si>
    <t>Север</t>
  </si>
  <si>
    <t>Старт --&gt;</t>
  </si>
  <si>
    <t>Период --&gt;</t>
  </si>
  <si>
    <t>Индия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</si>
</sst>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419]d\ m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19">
    <xf numFmtId="0" fontId="0" fillId="0" borderId="0" xfId="0"/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2" xfId="3"/>
    <xf numFmtId="0" fontId="3" fillId="0" borderId="2" xfId="3" applyAlignment="1">
      <alignment horizontal="center"/>
    </xf>
    <xf numFmtId="0" fontId="3" fillId="0" borderId="2" xfId="3" applyAlignment="1">
      <alignment horizontal="center" vertical="center"/>
    </xf>
    <xf numFmtId="0" fontId="3" fillId="0" borderId="2" xfId="3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3" xfId="4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</cellXfs>
  <cellStyles count="5">
    <cellStyle name="Заголовок 1" xfId="2" builtinId="16"/>
    <cellStyle name="Заголовок 3" xfId="3" builtinId="18"/>
    <cellStyle name="Обычный" xfId="0" builtinId="0"/>
    <cellStyle name="Связанная ячейка" xfId="4" builtinId="24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45" zoomScaleNormal="145" workbookViewId="0">
      <selection activeCell="C2" sqref="C2"/>
    </sheetView>
  </sheetViews>
  <sheetFormatPr defaultRowHeight="14.4" x14ac:dyDescent="0.3"/>
  <cols>
    <col min="3" max="3" width="16.44140625" bestFit="1" customWidth="1"/>
  </cols>
  <sheetData>
    <row r="1" spans="1:3" ht="20.399999999999999" thickBot="1" x14ac:dyDescent="0.35">
      <c r="A1" s="1" t="s">
        <v>0</v>
      </c>
      <c r="B1" s="1" t="s">
        <v>2</v>
      </c>
      <c r="C1" s="1" t="s">
        <v>15</v>
      </c>
    </row>
    <row r="2" spans="1:3" ht="15" thickTop="1" x14ac:dyDescent="0.3">
      <c r="A2" t="s">
        <v>3</v>
      </c>
      <c r="B2" s="2">
        <v>22834</v>
      </c>
      <c r="C2" s="14">
        <v>40</v>
      </c>
    </row>
    <row r="3" spans="1:3" x14ac:dyDescent="0.3">
      <c r="A3" t="s">
        <v>4</v>
      </c>
      <c r="B3" s="2">
        <v>20897</v>
      </c>
      <c r="C3" s="14">
        <v>41</v>
      </c>
    </row>
    <row r="4" spans="1:3" x14ac:dyDescent="0.3">
      <c r="A4" t="s">
        <v>5</v>
      </c>
      <c r="B4" s="2">
        <v>21177</v>
      </c>
      <c r="C4" s="14">
        <v>41</v>
      </c>
    </row>
    <row r="5" spans="1:3" x14ac:dyDescent="0.3">
      <c r="A5" t="s">
        <v>6</v>
      </c>
      <c r="B5" s="2">
        <v>28610</v>
      </c>
      <c r="C5" s="14">
        <v>42</v>
      </c>
    </row>
    <row r="6" spans="1:3" x14ac:dyDescent="0.3">
      <c r="A6" t="s">
        <v>7</v>
      </c>
      <c r="B6" s="2">
        <v>29355</v>
      </c>
      <c r="C6" s="14">
        <v>42</v>
      </c>
    </row>
    <row r="7" spans="1:3" x14ac:dyDescent="0.3">
      <c r="A7" t="s">
        <v>8</v>
      </c>
      <c r="B7" s="2">
        <v>22589</v>
      </c>
      <c r="C7" s="14">
        <v>40</v>
      </c>
    </row>
    <row r="8" spans="1:3" x14ac:dyDescent="0.3">
      <c r="A8" t="s">
        <v>9</v>
      </c>
      <c r="B8" s="2">
        <v>28084</v>
      </c>
      <c r="C8" s="14">
        <v>39</v>
      </c>
    </row>
    <row r="9" spans="1:3" x14ac:dyDescent="0.3">
      <c r="A9" t="s">
        <v>10</v>
      </c>
      <c r="B9" s="2">
        <v>31857</v>
      </c>
      <c r="C9" s="14">
        <v>42</v>
      </c>
    </row>
    <row r="10" spans="1:3" x14ac:dyDescent="0.3">
      <c r="A10" t="s">
        <v>11</v>
      </c>
      <c r="B10" s="2">
        <v>43288</v>
      </c>
      <c r="C10" s="14">
        <v>44</v>
      </c>
    </row>
    <row r="11" spans="1:3" x14ac:dyDescent="0.3">
      <c r="A11" t="s">
        <v>12</v>
      </c>
      <c r="B11" s="2">
        <v>48352</v>
      </c>
      <c r="C11" s="14">
        <v>44</v>
      </c>
    </row>
    <row r="12" spans="1:3" x14ac:dyDescent="0.3">
      <c r="A12" t="s">
        <v>13</v>
      </c>
      <c r="B12" s="2">
        <v>53224</v>
      </c>
      <c r="C12" s="14">
        <v>43</v>
      </c>
    </row>
    <row r="13" spans="1:3" x14ac:dyDescent="0.3">
      <c r="A13" t="s">
        <v>14</v>
      </c>
      <c r="B13" s="2">
        <v>38485</v>
      </c>
      <c r="C13" s="1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6A84-524A-4B1F-BB4F-D7D43EC07E84}">
  <dimension ref="A1:C9"/>
  <sheetViews>
    <sheetView zoomScale="130" zoomScaleNormal="130" workbookViewId="0">
      <selection activeCell="A2" sqref="A2"/>
    </sheetView>
  </sheetViews>
  <sheetFormatPr defaultRowHeight="14.4" x14ac:dyDescent="0.3"/>
  <cols>
    <col min="1" max="1" width="40" bestFit="1" customWidth="1"/>
    <col min="2" max="2" width="10.109375" bestFit="1" customWidth="1"/>
    <col min="3" max="3" width="11.109375" bestFit="1" customWidth="1"/>
  </cols>
  <sheetData>
    <row r="1" spans="1:3" x14ac:dyDescent="0.3">
      <c r="A1" s="3" t="s">
        <v>16</v>
      </c>
      <c r="B1" s="3" t="s">
        <v>17</v>
      </c>
      <c r="C1" s="3" t="s">
        <v>18</v>
      </c>
    </row>
    <row r="2" spans="1:3" x14ac:dyDescent="0.3">
      <c r="A2" t="s">
        <v>19</v>
      </c>
      <c r="B2" s="16">
        <v>43983</v>
      </c>
      <c r="C2" s="4">
        <v>44027</v>
      </c>
    </row>
    <row r="3" spans="1:3" x14ac:dyDescent="0.3">
      <c r="A3" t="s">
        <v>20</v>
      </c>
      <c r="B3" s="16">
        <v>44027</v>
      </c>
      <c r="C3" s="4">
        <v>44044</v>
      </c>
    </row>
    <row r="4" spans="1:3" x14ac:dyDescent="0.3">
      <c r="A4" t="s">
        <v>21</v>
      </c>
      <c r="B4" s="16">
        <v>44027</v>
      </c>
      <c r="C4" s="4">
        <v>44075</v>
      </c>
    </row>
    <row r="5" spans="1:3" x14ac:dyDescent="0.3">
      <c r="A5" t="s">
        <v>22</v>
      </c>
      <c r="B5" s="16">
        <v>44053</v>
      </c>
      <c r="C5" s="4">
        <v>44089</v>
      </c>
    </row>
    <row r="6" spans="1:3" x14ac:dyDescent="0.3">
      <c r="A6" t="s">
        <v>23</v>
      </c>
      <c r="B6" s="16">
        <v>44082</v>
      </c>
      <c r="C6" s="4">
        <v>44145</v>
      </c>
    </row>
    <row r="7" spans="1:3" x14ac:dyDescent="0.3">
      <c r="A7" t="s">
        <v>24</v>
      </c>
      <c r="B7" s="16">
        <v>44089</v>
      </c>
      <c r="C7" s="4">
        <v>44155</v>
      </c>
    </row>
    <row r="8" spans="1:3" x14ac:dyDescent="0.3">
      <c r="A8" t="s">
        <v>25</v>
      </c>
      <c r="B8" s="16">
        <v>44145</v>
      </c>
      <c r="C8" s="4">
        <v>44166</v>
      </c>
    </row>
    <row r="9" spans="1:3" x14ac:dyDescent="0.3">
      <c r="A9" t="s">
        <v>26</v>
      </c>
      <c r="B9" s="16">
        <v>44166</v>
      </c>
      <c r="C9" s="4">
        <v>44195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5645-5435-4DAF-BAE9-E3C66E3200E8}">
  <dimension ref="A1:F14"/>
  <sheetViews>
    <sheetView zoomScale="130" zoomScaleNormal="130" workbookViewId="0">
      <selection activeCell="B2" sqref="B2"/>
    </sheetView>
  </sheetViews>
  <sheetFormatPr defaultRowHeight="14.4" x14ac:dyDescent="0.3"/>
  <cols>
    <col min="1" max="3" width="11.44140625" customWidth="1"/>
  </cols>
  <sheetData>
    <row r="1" spans="1:6" ht="20.399999999999999" thickBot="1" x14ac:dyDescent="0.35">
      <c r="A1" s="1" t="s">
        <v>0</v>
      </c>
      <c r="B1" s="1" t="s">
        <v>1</v>
      </c>
      <c r="C1" s="1" t="s">
        <v>2</v>
      </c>
      <c r="F1" s="2"/>
    </row>
    <row r="2" spans="1:6" ht="15" thickTop="1" x14ac:dyDescent="0.3">
      <c r="A2" t="s">
        <v>3</v>
      </c>
      <c r="B2" s="2">
        <v>20000</v>
      </c>
      <c r="C2" s="2">
        <v>22834</v>
      </c>
      <c r="F2" s="11"/>
    </row>
    <row r="3" spans="1:6" x14ac:dyDescent="0.3">
      <c r="A3" t="s">
        <v>4</v>
      </c>
      <c r="B3" s="2">
        <v>20000</v>
      </c>
      <c r="C3" s="2">
        <v>20897</v>
      </c>
      <c r="F3" s="11"/>
    </row>
    <row r="4" spans="1:6" x14ac:dyDescent="0.3">
      <c r="A4" t="s">
        <v>5</v>
      </c>
      <c r="B4" s="2">
        <v>25000</v>
      </c>
      <c r="C4" s="2">
        <v>21177</v>
      </c>
      <c r="F4" s="11"/>
    </row>
    <row r="5" spans="1:6" x14ac:dyDescent="0.3">
      <c r="A5" t="s">
        <v>6</v>
      </c>
      <c r="B5" s="2">
        <v>30000</v>
      </c>
      <c r="C5" s="2">
        <v>28610</v>
      </c>
      <c r="F5" s="11"/>
    </row>
    <row r="6" spans="1:6" x14ac:dyDescent="0.3">
      <c r="A6" t="s">
        <v>7</v>
      </c>
      <c r="B6" s="2">
        <v>30000</v>
      </c>
      <c r="C6" s="2">
        <v>29355</v>
      </c>
      <c r="F6" s="11"/>
    </row>
    <row r="7" spans="1:6" x14ac:dyDescent="0.3">
      <c r="A7" t="s">
        <v>8</v>
      </c>
      <c r="B7" s="2">
        <v>25000</v>
      </c>
      <c r="C7" s="2">
        <v>22589</v>
      </c>
      <c r="F7" s="11"/>
    </row>
    <row r="8" spans="1:6" x14ac:dyDescent="0.3">
      <c r="A8" t="s">
        <v>9</v>
      </c>
      <c r="B8" s="2">
        <v>25000</v>
      </c>
      <c r="C8" s="2">
        <v>28084</v>
      </c>
      <c r="F8" s="11"/>
    </row>
    <row r="9" spans="1:6" x14ac:dyDescent="0.3">
      <c r="A9" t="s">
        <v>10</v>
      </c>
      <c r="B9" s="2">
        <v>30000</v>
      </c>
      <c r="C9" s="2">
        <v>31857</v>
      </c>
      <c r="F9" s="11"/>
    </row>
    <row r="10" spans="1:6" x14ac:dyDescent="0.3">
      <c r="A10" t="s">
        <v>11</v>
      </c>
      <c r="B10" s="2">
        <v>45000</v>
      </c>
      <c r="C10" s="2">
        <v>43288</v>
      </c>
      <c r="F10" s="11"/>
    </row>
    <row r="11" spans="1:6" x14ac:dyDescent="0.3">
      <c r="A11" t="s">
        <v>12</v>
      </c>
      <c r="B11" s="2">
        <v>45000</v>
      </c>
      <c r="C11" s="2">
        <v>48352</v>
      </c>
      <c r="F11" s="11"/>
    </row>
    <row r="12" spans="1:6" x14ac:dyDescent="0.3">
      <c r="A12" t="s">
        <v>13</v>
      </c>
      <c r="B12" s="2">
        <v>50000</v>
      </c>
      <c r="C12" s="2">
        <v>53224</v>
      </c>
      <c r="F12" s="11"/>
    </row>
    <row r="13" spans="1:6" x14ac:dyDescent="0.3">
      <c r="A13" t="s">
        <v>14</v>
      </c>
      <c r="B13" s="2">
        <v>40000</v>
      </c>
      <c r="C13" s="2">
        <v>38485</v>
      </c>
      <c r="F13" s="11"/>
    </row>
    <row r="14" spans="1:6" x14ac:dyDescent="0.3">
      <c r="F1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A731-661F-423C-A554-F59D22149D1A}">
  <dimension ref="A1:H5"/>
  <sheetViews>
    <sheetView workbookViewId="0">
      <selection activeCell="B2" sqref="B2"/>
    </sheetView>
  </sheetViews>
  <sheetFormatPr defaultRowHeight="14.4" x14ac:dyDescent="0.3"/>
  <cols>
    <col min="1" max="1" width="19.5546875" bestFit="1" customWidth="1"/>
    <col min="2" max="2" width="11.109375" customWidth="1"/>
    <col min="3" max="3" width="10.109375" customWidth="1"/>
    <col min="6" max="6" width="14.6640625" bestFit="1" customWidth="1"/>
    <col min="7" max="8" width="10.21875" bestFit="1" customWidth="1"/>
  </cols>
  <sheetData>
    <row r="1" spans="1:8" ht="15" thickBot="1" x14ac:dyDescent="0.35">
      <c r="A1" s="5" t="s">
        <v>102</v>
      </c>
      <c r="B1" s="5" t="s">
        <v>1</v>
      </c>
      <c r="C1" s="5" t="s">
        <v>2</v>
      </c>
      <c r="F1" s="5" t="s">
        <v>1</v>
      </c>
      <c r="G1" s="12"/>
    </row>
    <row r="2" spans="1:8" x14ac:dyDescent="0.3">
      <c r="A2" t="s">
        <v>103</v>
      </c>
      <c r="B2" s="9">
        <f>SUM(B3:B5)</f>
        <v>1000000</v>
      </c>
      <c r="C2" s="9">
        <f>SUM(C3:C5)</f>
        <v>1119165</v>
      </c>
      <c r="F2" s="10" t="s">
        <v>104</v>
      </c>
      <c r="G2" s="12"/>
      <c r="H2" s="12"/>
    </row>
    <row r="3" spans="1:8" x14ac:dyDescent="0.3">
      <c r="A3" s="10" t="s">
        <v>104</v>
      </c>
      <c r="B3" s="9">
        <v>550000</v>
      </c>
      <c r="C3" s="9">
        <v>690925</v>
      </c>
      <c r="F3" s="10" t="s">
        <v>105</v>
      </c>
      <c r="G3" s="12"/>
    </row>
    <row r="4" spans="1:8" x14ac:dyDescent="0.3">
      <c r="A4" s="10" t="s">
        <v>105</v>
      </c>
      <c r="B4" s="9">
        <v>320000</v>
      </c>
      <c r="C4" s="9">
        <v>329495</v>
      </c>
      <c r="F4" s="10" t="s">
        <v>106</v>
      </c>
      <c r="G4" s="12"/>
    </row>
    <row r="5" spans="1:8" ht="15" thickBot="1" x14ac:dyDescent="0.35">
      <c r="A5" s="10" t="s">
        <v>106</v>
      </c>
      <c r="B5" s="9">
        <v>130000</v>
      </c>
      <c r="C5" s="9">
        <v>98745</v>
      </c>
      <c r="F5" s="5" t="s">
        <v>2</v>
      </c>
      <c r="G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E9DD-EA3A-417E-A33C-975A93044C01}">
  <dimension ref="A1:K27"/>
  <sheetViews>
    <sheetView zoomScale="115" zoomScaleNormal="115" workbookViewId="0">
      <selection activeCell="B3" sqref="B3"/>
    </sheetView>
  </sheetViews>
  <sheetFormatPr defaultRowHeight="14.4" x14ac:dyDescent="0.3"/>
  <cols>
    <col min="2" max="5" width="17.5546875" customWidth="1"/>
  </cols>
  <sheetData>
    <row r="1" spans="1:11" ht="15" thickBot="1" x14ac:dyDescent="0.35">
      <c r="B1" s="15" t="s">
        <v>119</v>
      </c>
      <c r="C1" s="15" t="s">
        <v>120</v>
      </c>
      <c r="D1" s="15" t="s">
        <v>121</v>
      </c>
      <c r="E1" s="15" t="s">
        <v>122</v>
      </c>
      <c r="H1" s="17" t="b">
        <v>1</v>
      </c>
      <c r="I1" s="17" t="b">
        <v>1</v>
      </c>
      <c r="J1" s="17" t="b">
        <v>1</v>
      </c>
      <c r="K1" s="17" t="b">
        <v>0</v>
      </c>
    </row>
    <row r="2" spans="1:11" ht="15" thickTop="1" x14ac:dyDescent="0.3">
      <c r="A2" t="s">
        <v>3</v>
      </c>
      <c r="B2" s="14">
        <v>175</v>
      </c>
      <c r="C2" s="14">
        <v>233</v>
      </c>
      <c r="D2" s="14">
        <v>262</v>
      </c>
      <c r="E2" s="14">
        <v>161</v>
      </c>
    </row>
    <row r="3" spans="1:11" x14ac:dyDescent="0.3">
      <c r="A3" t="s">
        <v>4</v>
      </c>
      <c r="B3" s="14">
        <v>201</v>
      </c>
      <c r="C3" s="14">
        <v>261</v>
      </c>
      <c r="D3" s="14">
        <v>131</v>
      </c>
      <c r="E3" s="14">
        <v>340</v>
      </c>
    </row>
    <row r="4" spans="1:11" x14ac:dyDescent="0.3">
      <c r="A4" t="s">
        <v>5</v>
      </c>
      <c r="B4" s="14">
        <v>333</v>
      </c>
      <c r="C4" s="14">
        <v>144</v>
      </c>
      <c r="D4" s="14">
        <v>313</v>
      </c>
      <c r="E4" s="14">
        <v>181</v>
      </c>
    </row>
    <row r="5" spans="1:11" x14ac:dyDescent="0.3">
      <c r="A5" t="s">
        <v>6</v>
      </c>
      <c r="B5" s="14">
        <v>347</v>
      </c>
      <c r="C5" s="14">
        <v>285</v>
      </c>
      <c r="D5" s="14">
        <v>242</v>
      </c>
      <c r="E5" s="14">
        <v>267</v>
      </c>
    </row>
    <row r="6" spans="1:11" x14ac:dyDescent="0.3">
      <c r="A6" t="s">
        <v>7</v>
      </c>
      <c r="B6" s="14">
        <v>193</v>
      </c>
      <c r="C6" s="14">
        <v>313</v>
      </c>
      <c r="D6" s="14">
        <v>184</v>
      </c>
      <c r="E6" s="14">
        <v>135</v>
      </c>
    </row>
    <row r="7" spans="1:11" x14ac:dyDescent="0.3">
      <c r="A7" t="s">
        <v>8</v>
      </c>
      <c r="B7" s="14">
        <v>161</v>
      </c>
      <c r="C7" s="14">
        <v>337</v>
      </c>
      <c r="D7" s="14">
        <v>245</v>
      </c>
      <c r="E7" s="14">
        <v>293</v>
      </c>
    </row>
    <row r="8" spans="1:11" x14ac:dyDescent="0.3">
      <c r="A8" t="s">
        <v>9</v>
      </c>
      <c r="B8" s="14">
        <v>374</v>
      </c>
      <c r="C8" s="14">
        <v>351</v>
      </c>
      <c r="D8" s="14">
        <v>194</v>
      </c>
      <c r="E8" s="14">
        <v>139</v>
      </c>
    </row>
    <row r="9" spans="1:11" x14ac:dyDescent="0.3">
      <c r="A9" t="s">
        <v>10</v>
      </c>
      <c r="B9" s="14">
        <v>188</v>
      </c>
      <c r="C9" s="14">
        <v>260</v>
      </c>
      <c r="D9" s="14">
        <v>198</v>
      </c>
      <c r="E9" s="14">
        <v>134</v>
      </c>
    </row>
    <row r="10" spans="1:11" x14ac:dyDescent="0.3">
      <c r="A10" t="s">
        <v>11</v>
      </c>
      <c r="B10" s="14">
        <v>197</v>
      </c>
      <c r="C10" s="14">
        <v>172</v>
      </c>
      <c r="D10" s="14">
        <v>221</v>
      </c>
      <c r="E10" s="14">
        <v>215</v>
      </c>
    </row>
    <row r="11" spans="1:11" x14ac:dyDescent="0.3">
      <c r="A11" t="s">
        <v>12</v>
      </c>
      <c r="B11" s="14">
        <v>193</v>
      </c>
      <c r="C11" s="14">
        <v>225</v>
      </c>
      <c r="D11" s="14">
        <v>150</v>
      </c>
      <c r="E11" s="14">
        <v>264</v>
      </c>
    </row>
    <row r="12" spans="1:11" x14ac:dyDescent="0.3">
      <c r="A12" t="s">
        <v>13</v>
      </c>
      <c r="B12" s="14">
        <v>240</v>
      </c>
      <c r="C12" s="14">
        <v>198</v>
      </c>
      <c r="D12" s="14">
        <v>336</v>
      </c>
      <c r="E12" s="14">
        <v>307</v>
      </c>
    </row>
    <row r="13" spans="1:11" x14ac:dyDescent="0.3">
      <c r="A13" t="s">
        <v>14</v>
      </c>
      <c r="B13" s="14">
        <v>176</v>
      </c>
      <c r="C13" s="14">
        <v>149</v>
      </c>
      <c r="D13" s="14">
        <v>259</v>
      </c>
      <c r="E13" s="14">
        <v>342</v>
      </c>
    </row>
    <row r="15" spans="1:11" ht="15" thickBot="1" x14ac:dyDescent="0.35">
      <c r="B15" s="15" t="s">
        <v>119</v>
      </c>
      <c r="C15" s="15" t="s">
        <v>120</v>
      </c>
      <c r="D15" s="15" t="s">
        <v>121</v>
      </c>
      <c r="E15" s="15" t="s">
        <v>122</v>
      </c>
    </row>
    <row r="16" spans="1:11" ht="15" thickTop="1" x14ac:dyDescent="0.3">
      <c r="A16" t="s">
        <v>3</v>
      </c>
    </row>
    <row r="17" spans="1:1" x14ac:dyDescent="0.3">
      <c r="A17" t="s">
        <v>4</v>
      </c>
    </row>
    <row r="18" spans="1:1" x14ac:dyDescent="0.3">
      <c r="A18" t="s">
        <v>5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8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76CC-5062-4EF6-8A2D-01F66418EE72}">
  <dimension ref="A1:I54"/>
  <sheetViews>
    <sheetView zoomScale="130" zoomScaleNormal="130" workbookViewId="0">
      <selection activeCell="C2" sqref="C2"/>
    </sheetView>
  </sheetViews>
  <sheetFormatPr defaultRowHeight="14.4" x14ac:dyDescent="0.3"/>
  <cols>
    <col min="1" max="1" width="10.109375" bestFit="1" customWidth="1"/>
    <col min="5" max="5" width="10.109375" bestFit="1" customWidth="1"/>
    <col min="6" max="6" width="11.109375" customWidth="1"/>
    <col min="9" max="9" width="10.21875" customWidth="1"/>
    <col min="10" max="10" width="11" customWidth="1"/>
    <col min="11" max="11" width="11.5546875" customWidth="1"/>
  </cols>
  <sheetData>
    <row r="1" spans="1:9" ht="15" thickBot="1" x14ac:dyDescent="0.35">
      <c r="A1" s="6" t="s">
        <v>117</v>
      </c>
      <c r="B1" s="6" t="s">
        <v>103</v>
      </c>
      <c r="C1" s="6" t="s">
        <v>118</v>
      </c>
      <c r="E1" s="9" t="s">
        <v>124</v>
      </c>
      <c r="F1" s="13"/>
      <c r="H1" s="14" t="s">
        <v>123</v>
      </c>
      <c r="I1" s="13"/>
    </row>
    <row r="2" spans="1:9" x14ac:dyDescent="0.3">
      <c r="A2" s="4">
        <v>42736</v>
      </c>
      <c r="B2" s="2">
        <v>271739</v>
      </c>
      <c r="C2" s="2">
        <v>32608.68</v>
      </c>
      <c r="E2" s="9"/>
    </row>
    <row r="3" spans="1:9" x14ac:dyDescent="0.3">
      <c r="A3" s="4">
        <v>42767</v>
      </c>
      <c r="B3" s="2">
        <v>274599</v>
      </c>
      <c r="C3" s="2">
        <v>30205.89</v>
      </c>
      <c r="E3" s="9"/>
    </row>
    <row r="4" spans="1:9" x14ac:dyDescent="0.3">
      <c r="A4" s="4">
        <v>42795</v>
      </c>
      <c r="B4" s="2">
        <v>233636</v>
      </c>
      <c r="C4" s="2">
        <v>42054.479999999996</v>
      </c>
      <c r="E4" s="4"/>
      <c r="F4" s="18"/>
      <c r="G4" s="11"/>
    </row>
    <row r="5" spans="1:9" x14ac:dyDescent="0.3">
      <c r="A5" s="4">
        <v>42826</v>
      </c>
      <c r="B5" s="2">
        <v>105228</v>
      </c>
      <c r="C5" s="2">
        <v>13679.640000000001</v>
      </c>
      <c r="E5" s="4"/>
      <c r="F5" s="18"/>
    </row>
    <row r="6" spans="1:9" x14ac:dyDescent="0.3">
      <c r="A6" s="4">
        <v>42856</v>
      </c>
      <c r="B6" s="2">
        <v>272471</v>
      </c>
      <c r="C6" s="2">
        <v>46320.07</v>
      </c>
      <c r="E6" s="4"/>
      <c r="F6" s="18"/>
      <c r="I6" s="4"/>
    </row>
    <row r="7" spans="1:9" x14ac:dyDescent="0.3">
      <c r="A7" s="4">
        <v>42887</v>
      </c>
      <c r="B7" s="2">
        <v>163407</v>
      </c>
      <c r="C7" s="2">
        <v>22876.980000000003</v>
      </c>
      <c r="E7" s="4"/>
      <c r="F7" s="18"/>
      <c r="I7" s="4"/>
    </row>
    <row r="8" spans="1:9" x14ac:dyDescent="0.3">
      <c r="A8" s="4">
        <v>42917</v>
      </c>
      <c r="B8" s="2">
        <v>122575</v>
      </c>
      <c r="C8" s="2">
        <v>14709</v>
      </c>
      <c r="E8" s="4"/>
      <c r="F8" s="18"/>
      <c r="I8" s="4"/>
    </row>
    <row r="9" spans="1:9" x14ac:dyDescent="0.3">
      <c r="A9" s="4">
        <v>42948</v>
      </c>
      <c r="B9" s="2">
        <v>135852</v>
      </c>
      <c r="C9" s="2">
        <v>25811.88</v>
      </c>
      <c r="E9" s="4"/>
      <c r="F9" s="18"/>
      <c r="I9" s="4"/>
    </row>
    <row r="10" spans="1:9" x14ac:dyDescent="0.3">
      <c r="A10" s="4">
        <v>42979</v>
      </c>
      <c r="B10" s="2">
        <v>231652</v>
      </c>
      <c r="C10" s="2">
        <v>44013.88</v>
      </c>
      <c r="E10" s="4"/>
      <c r="F10" s="18"/>
      <c r="I10" s="4"/>
    </row>
    <row r="11" spans="1:9" x14ac:dyDescent="0.3">
      <c r="A11" s="4">
        <v>43009</v>
      </c>
      <c r="B11" s="2">
        <v>285444</v>
      </c>
      <c r="C11" s="2">
        <v>57088.800000000003</v>
      </c>
      <c r="E11" s="4"/>
      <c r="F11" s="18"/>
      <c r="I11" s="4"/>
    </row>
    <row r="12" spans="1:9" x14ac:dyDescent="0.3">
      <c r="A12" s="4">
        <v>43040</v>
      </c>
      <c r="B12" s="2">
        <v>194543</v>
      </c>
      <c r="C12" s="2">
        <v>29181.45</v>
      </c>
      <c r="E12" s="4"/>
      <c r="F12" s="18"/>
      <c r="I12" s="4"/>
    </row>
    <row r="13" spans="1:9" x14ac:dyDescent="0.3">
      <c r="A13" s="4">
        <v>43070</v>
      </c>
      <c r="B13" s="2">
        <v>173825</v>
      </c>
      <c r="C13" s="2">
        <v>24335.500000000004</v>
      </c>
      <c r="E13" s="4"/>
      <c r="F13" s="18"/>
      <c r="I13" s="4"/>
    </row>
    <row r="14" spans="1:9" x14ac:dyDescent="0.3">
      <c r="A14" s="4">
        <v>43101</v>
      </c>
      <c r="B14" s="2">
        <v>258822</v>
      </c>
      <c r="C14" s="2">
        <v>25882.2</v>
      </c>
      <c r="E14" s="4"/>
      <c r="F14" s="18"/>
      <c r="I14" s="4"/>
    </row>
    <row r="15" spans="1:9" x14ac:dyDescent="0.3">
      <c r="A15" s="4">
        <v>43132</v>
      </c>
      <c r="B15" s="2">
        <v>100270</v>
      </c>
      <c r="C15" s="2">
        <v>15040.5</v>
      </c>
      <c r="E15" s="4"/>
      <c r="F15" s="18"/>
      <c r="I15" s="4"/>
    </row>
    <row r="16" spans="1:9" x14ac:dyDescent="0.3">
      <c r="A16" s="4">
        <v>43160</v>
      </c>
      <c r="B16" s="2">
        <v>248431</v>
      </c>
      <c r="C16" s="2">
        <v>34780.340000000004</v>
      </c>
      <c r="E16" s="4"/>
      <c r="F16" s="18"/>
      <c r="I16" s="4"/>
    </row>
    <row r="17" spans="1:9" x14ac:dyDescent="0.3">
      <c r="A17" s="4">
        <v>43191</v>
      </c>
      <c r="B17" s="2">
        <v>233784</v>
      </c>
      <c r="C17" s="2">
        <v>25716.240000000002</v>
      </c>
      <c r="E17" s="4"/>
      <c r="F17" s="18"/>
      <c r="I17" s="4"/>
    </row>
    <row r="18" spans="1:9" x14ac:dyDescent="0.3">
      <c r="A18" s="4">
        <v>43221</v>
      </c>
      <c r="B18" s="2">
        <v>176660</v>
      </c>
      <c r="C18" s="2">
        <v>24732.400000000001</v>
      </c>
      <c r="E18" s="4"/>
      <c r="F18" s="18"/>
      <c r="I18" s="4"/>
    </row>
    <row r="19" spans="1:9" x14ac:dyDescent="0.3">
      <c r="A19" s="4">
        <v>43252</v>
      </c>
      <c r="B19" s="2">
        <v>200457</v>
      </c>
      <c r="C19" s="2">
        <v>30068.55</v>
      </c>
      <c r="E19" s="4"/>
      <c r="F19" s="2"/>
      <c r="I19" s="4"/>
    </row>
    <row r="20" spans="1:9" x14ac:dyDescent="0.3">
      <c r="A20" s="4">
        <v>43282</v>
      </c>
      <c r="B20" s="2">
        <v>196729</v>
      </c>
      <c r="C20" s="2">
        <v>19672.900000000001</v>
      </c>
      <c r="E20" s="4"/>
      <c r="F20" s="2"/>
      <c r="I20" s="4"/>
    </row>
    <row r="21" spans="1:9" x14ac:dyDescent="0.3">
      <c r="A21" s="4">
        <v>43313</v>
      </c>
      <c r="B21" s="2">
        <v>208699</v>
      </c>
      <c r="C21" s="2">
        <v>29217.860000000004</v>
      </c>
      <c r="E21" s="4"/>
      <c r="F21" s="2"/>
      <c r="I21" s="4"/>
    </row>
    <row r="22" spans="1:9" x14ac:dyDescent="0.3">
      <c r="A22" s="4">
        <v>43344</v>
      </c>
      <c r="B22" s="2">
        <v>307342</v>
      </c>
      <c r="C22" s="2">
        <v>46101.299999999996</v>
      </c>
      <c r="E22" s="4"/>
      <c r="F22" s="2"/>
      <c r="I22" s="4"/>
    </row>
    <row r="23" spans="1:9" x14ac:dyDescent="0.3">
      <c r="A23" s="4">
        <v>43374</v>
      </c>
      <c r="B23" s="2">
        <v>255952</v>
      </c>
      <c r="C23" s="2">
        <v>43511.840000000004</v>
      </c>
      <c r="E23" s="4"/>
      <c r="F23" s="2"/>
    </row>
    <row r="24" spans="1:9" x14ac:dyDescent="0.3">
      <c r="A24" s="4">
        <v>43405</v>
      </c>
      <c r="B24" s="2">
        <v>140535</v>
      </c>
      <c r="C24" s="2">
        <v>14053.5</v>
      </c>
      <c r="E24" s="4"/>
      <c r="F24" s="2"/>
    </row>
    <row r="25" spans="1:9" x14ac:dyDescent="0.3">
      <c r="A25" s="4">
        <v>43435</v>
      </c>
      <c r="B25" s="2">
        <v>310899</v>
      </c>
      <c r="C25" s="2">
        <v>40416.870000000003</v>
      </c>
      <c r="E25" s="4"/>
      <c r="F25" s="2"/>
    </row>
    <row r="26" spans="1:9" x14ac:dyDescent="0.3">
      <c r="A26" s="4">
        <v>43466</v>
      </c>
      <c r="B26" s="2">
        <v>200362</v>
      </c>
      <c r="C26" s="2">
        <v>28050.680000000004</v>
      </c>
      <c r="E26" s="4"/>
      <c r="F26" s="2"/>
    </row>
    <row r="27" spans="1:9" x14ac:dyDescent="0.3">
      <c r="A27" s="4">
        <v>43497</v>
      </c>
      <c r="B27" s="2">
        <v>107310</v>
      </c>
      <c r="C27" s="2">
        <v>16096.5</v>
      </c>
      <c r="E27" s="4"/>
      <c r="F27" s="2"/>
    </row>
    <row r="28" spans="1:9" x14ac:dyDescent="0.3">
      <c r="A28" s="4">
        <v>43525</v>
      </c>
      <c r="B28" s="2">
        <v>147757</v>
      </c>
      <c r="C28" s="2">
        <v>17730.84</v>
      </c>
      <c r="E28" s="4"/>
      <c r="F28" s="2"/>
    </row>
    <row r="29" spans="1:9" x14ac:dyDescent="0.3">
      <c r="A29" s="4">
        <v>43556</v>
      </c>
      <c r="B29" s="2">
        <v>309155</v>
      </c>
      <c r="C29" s="2">
        <v>49464.800000000003</v>
      </c>
      <c r="E29" s="4"/>
      <c r="F29" s="2"/>
    </row>
    <row r="30" spans="1:9" x14ac:dyDescent="0.3">
      <c r="A30" s="4">
        <v>43586</v>
      </c>
      <c r="B30" s="2">
        <v>175294</v>
      </c>
      <c r="C30" s="2">
        <v>26294.1</v>
      </c>
      <c r="E30" s="4"/>
      <c r="F30" s="2"/>
    </row>
    <row r="31" spans="1:9" x14ac:dyDescent="0.3">
      <c r="A31" s="4">
        <v>43617</v>
      </c>
      <c r="B31" s="2">
        <v>209986</v>
      </c>
      <c r="C31" s="2">
        <v>27298.18</v>
      </c>
      <c r="E31" s="4"/>
      <c r="F31" s="2"/>
    </row>
    <row r="32" spans="1:9" x14ac:dyDescent="0.3">
      <c r="A32" s="4">
        <v>43647</v>
      </c>
      <c r="B32" s="2">
        <v>222831</v>
      </c>
      <c r="C32" s="2">
        <v>31196.340000000004</v>
      </c>
      <c r="E32" s="4"/>
      <c r="F32" s="2"/>
    </row>
    <row r="33" spans="1:6" x14ac:dyDescent="0.3">
      <c r="A33" s="4">
        <v>43678</v>
      </c>
      <c r="B33" s="2">
        <v>122388</v>
      </c>
      <c r="C33" s="2">
        <v>13462.68</v>
      </c>
      <c r="E33" s="4"/>
      <c r="F33" s="2"/>
    </row>
    <row r="34" spans="1:6" x14ac:dyDescent="0.3">
      <c r="A34" s="4">
        <v>43709</v>
      </c>
      <c r="B34" s="2">
        <v>256478</v>
      </c>
      <c r="C34" s="2">
        <v>33342.14</v>
      </c>
      <c r="E34" s="4"/>
      <c r="F34" s="2"/>
    </row>
    <row r="35" spans="1:6" x14ac:dyDescent="0.3">
      <c r="A35" s="4">
        <v>43739</v>
      </c>
      <c r="B35" s="2">
        <v>208760</v>
      </c>
      <c r="C35" s="2">
        <v>37576.799999999996</v>
      </c>
      <c r="E35" s="4"/>
      <c r="F35" s="2"/>
    </row>
    <row r="36" spans="1:6" x14ac:dyDescent="0.3">
      <c r="A36" s="4">
        <v>43770</v>
      </c>
      <c r="B36" s="2">
        <v>266607</v>
      </c>
      <c r="C36" s="2">
        <v>50655.33</v>
      </c>
      <c r="E36" s="4"/>
      <c r="F36" s="2"/>
    </row>
    <row r="37" spans="1:6" x14ac:dyDescent="0.3">
      <c r="A37" s="4">
        <v>43800</v>
      </c>
      <c r="B37" s="2">
        <v>295853</v>
      </c>
      <c r="C37" s="2">
        <v>29585.300000000003</v>
      </c>
      <c r="E37" s="4"/>
      <c r="F37" s="2"/>
    </row>
    <row r="38" spans="1:6" x14ac:dyDescent="0.3">
      <c r="A38" s="4">
        <v>43831</v>
      </c>
      <c r="B38" s="2">
        <v>245832</v>
      </c>
      <c r="C38" s="2">
        <v>44249.759999999995</v>
      </c>
      <c r="E38" s="4"/>
      <c r="F38" s="2"/>
    </row>
    <row r="39" spans="1:6" x14ac:dyDescent="0.3">
      <c r="A39" s="4">
        <v>43862</v>
      </c>
      <c r="B39" s="2">
        <v>148900</v>
      </c>
      <c r="C39" s="2">
        <v>23824</v>
      </c>
      <c r="E39" s="4"/>
      <c r="F39" s="2"/>
    </row>
    <row r="40" spans="1:6" x14ac:dyDescent="0.3">
      <c r="A40" s="4">
        <v>43891</v>
      </c>
      <c r="B40" s="2">
        <v>316655</v>
      </c>
      <c r="C40" s="2">
        <v>44331.700000000004</v>
      </c>
      <c r="E40" s="4"/>
      <c r="F40" s="2"/>
    </row>
    <row r="41" spans="1:6" x14ac:dyDescent="0.3">
      <c r="A41" s="4">
        <v>43922</v>
      </c>
      <c r="B41" s="2">
        <v>195564</v>
      </c>
      <c r="C41" s="2">
        <v>19556.400000000001</v>
      </c>
      <c r="E41" s="4"/>
      <c r="F41" s="2"/>
    </row>
    <row r="42" spans="1:6" x14ac:dyDescent="0.3">
      <c r="A42" s="4">
        <v>43952</v>
      </c>
      <c r="B42" s="2">
        <v>328988</v>
      </c>
      <c r="C42" s="2">
        <v>49348.2</v>
      </c>
      <c r="E42" s="4"/>
      <c r="F42" s="2"/>
    </row>
    <row r="43" spans="1:6" x14ac:dyDescent="0.3">
      <c r="A43" s="4">
        <v>43983</v>
      </c>
      <c r="B43" s="2">
        <v>172856</v>
      </c>
      <c r="C43" s="2">
        <v>29385.52</v>
      </c>
      <c r="E43" s="4"/>
      <c r="F43" s="2"/>
    </row>
    <row r="44" spans="1:6" x14ac:dyDescent="0.3">
      <c r="A44" s="4">
        <v>44013</v>
      </c>
      <c r="B44" s="2">
        <v>319261</v>
      </c>
      <c r="C44" s="2">
        <v>63852.200000000004</v>
      </c>
      <c r="E44" s="4"/>
      <c r="F44" s="2"/>
    </row>
    <row r="45" spans="1:6" x14ac:dyDescent="0.3">
      <c r="A45" s="4">
        <v>44044</v>
      </c>
      <c r="B45" s="2">
        <v>222693</v>
      </c>
      <c r="C45" s="2">
        <v>42311.67</v>
      </c>
      <c r="E45" s="4"/>
      <c r="F45" s="2"/>
    </row>
    <row r="46" spans="1:6" x14ac:dyDescent="0.3">
      <c r="A46" s="4">
        <v>44075</v>
      </c>
      <c r="B46" s="2">
        <v>197144</v>
      </c>
      <c r="C46" s="2">
        <v>29571.599999999999</v>
      </c>
      <c r="E46" s="4"/>
      <c r="F46" s="2"/>
    </row>
    <row r="47" spans="1:6" x14ac:dyDescent="0.3">
      <c r="A47" s="4">
        <v>44105</v>
      </c>
      <c r="B47" s="2">
        <v>116636</v>
      </c>
      <c r="C47" s="2">
        <v>19828.120000000003</v>
      </c>
      <c r="E47" s="4"/>
      <c r="F47" s="2"/>
    </row>
    <row r="48" spans="1:6" x14ac:dyDescent="0.3">
      <c r="A48" s="4">
        <v>44136</v>
      </c>
      <c r="B48" s="2">
        <v>315237</v>
      </c>
      <c r="C48" s="2">
        <v>63047.4</v>
      </c>
      <c r="E48" s="4"/>
      <c r="F48" s="2"/>
    </row>
    <row r="49" spans="1:6" x14ac:dyDescent="0.3">
      <c r="A49" s="4">
        <v>44166</v>
      </c>
      <c r="B49" s="2">
        <v>346237</v>
      </c>
      <c r="C49" s="2">
        <v>65785.03</v>
      </c>
      <c r="E49" s="4"/>
      <c r="F49" s="2"/>
    </row>
    <row r="50" spans="1:6" x14ac:dyDescent="0.3">
      <c r="E50" s="4"/>
      <c r="F50" s="2"/>
    </row>
    <row r="51" spans="1:6" x14ac:dyDescent="0.3">
      <c r="E51" s="4"/>
      <c r="F51" s="2"/>
    </row>
    <row r="52" spans="1:6" x14ac:dyDescent="0.3">
      <c r="E52" s="4"/>
      <c r="F52" s="2"/>
    </row>
    <row r="53" spans="1:6" x14ac:dyDescent="0.3">
      <c r="E53" s="4"/>
      <c r="F53" s="2"/>
    </row>
    <row r="54" spans="1:6" x14ac:dyDescent="0.3">
      <c r="F5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13D-3189-4F15-B5E2-0D0769622EDA}">
  <dimension ref="A1:B6"/>
  <sheetViews>
    <sheetView zoomScale="130" zoomScaleNormal="130" workbookViewId="0">
      <selection activeCell="A2" sqref="A2"/>
    </sheetView>
  </sheetViews>
  <sheetFormatPr defaultRowHeight="14.4" x14ac:dyDescent="0.3"/>
  <cols>
    <col min="1" max="1" width="22" bestFit="1" customWidth="1"/>
    <col min="2" max="2" width="11.5546875" bestFit="1" customWidth="1"/>
  </cols>
  <sheetData>
    <row r="1" spans="1:2" ht="15" thickBot="1" x14ac:dyDescent="0.35">
      <c r="A1" s="5" t="s">
        <v>100</v>
      </c>
      <c r="B1" s="5" t="s">
        <v>101</v>
      </c>
    </row>
    <row r="2" spans="1:2" x14ac:dyDescent="0.3">
      <c r="A2" t="s">
        <v>96</v>
      </c>
      <c r="B2">
        <v>1200</v>
      </c>
    </row>
    <row r="3" spans="1:2" x14ac:dyDescent="0.3">
      <c r="A3" t="s">
        <v>95</v>
      </c>
      <c r="B3">
        <v>764</v>
      </c>
    </row>
    <row r="4" spans="1:2" x14ac:dyDescent="0.3">
      <c r="A4" t="s">
        <v>97</v>
      </c>
      <c r="B4">
        <v>237</v>
      </c>
    </row>
    <row r="5" spans="1:2" x14ac:dyDescent="0.3">
      <c r="A5" t="s">
        <v>98</v>
      </c>
      <c r="B5">
        <v>109</v>
      </c>
    </row>
    <row r="6" spans="1:2" x14ac:dyDescent="0.3">
      <c r="A6" t="s">
        <v>99</v>
      </c>
      <c r="B6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78AD-8499-4E48-8228-010563B3ACDF}">
  <dimension ref="A1:B9"/>
  <sheetViews>
    <sheetView zoomScale="205" zoomScaleNormal="205" workbookViewId="0">
      <selection activeCell="A2" sqref="A2"/>
    </sheetView>
  </sheetViews>
  <sheetFormatPr defaultRowHeight="14.4" x14ac:dyDescent="0.3"/>
  <cols>
    <col min="1" max="1" width="24.21875" bestFit="1" customWidth="1"/>
  </cols>
  <sheetData>
    <row r="1" spans="1:2" ht="15" thickBot="1" x14ac:dyDescent="0.35">
      <c r="A1" s="5" t="s">
        <v>107</v>
      </c>
      <c r="B1" s="5" t="s">
        <v>108</v>
      </c>
    </row>
    <row r="2" spans="1:2" x14ac:dyDescent="0.3">
      <c r="A2" t="s">
        <v>109</v>
      </c>
      <c r="B2">
        <v>12</v>
      </c>
    </row>
    <row r="3" spans="1:2" x14ac:dyDescent="0.3">
      <c r="A3" t="s">
        <v>110</v>
      </c>
      <c r="B3">
        <v>29</v>
      </c>
    </row>
    <row r="4" spans="1:2" x14ac:dyDescent="0.3">
      <c r="A4" t="s">
        <v>111</v>
      </c>
      <c r="B4">
        <v>58</v>
      </c>
    </row>
    <row r="5" spans="1:2" x14ac:dyDescent="0.3">
      <c r="A5" t="s">
        <v>112</v>
      </c>
      <c r="B5">
        <v>292</v>
      </c>
    </row>
    <row r="6" spans="1:2" x14ac:dyDescent="0.3">
      <c r="A6" t="s">
        <v>113</v>
      </c>
      <c r="B6">
        <v>117</v>
      </c>
    </row>
    <row r="7" spans="1:2" x14ac:dyDescent="0.3">
      <c r="A7" t="s">
        <v>114</v>
      </c>
      <c r="B7">
        <v>36</v>
      </c>
    </row>
    <row r="8" spans="1:2" x14ac:dyDescent="0.3">
      <c r="A8" t="s">
        <v>115</v>
      </c>
      <c r="B8">
        <v>11</v>
      </c>
    </row>
    <row r="9" spans="1:2" x14ac:dyDescent="0.3">
      <c r="A9" t="s">
        <v>116</v>
      </c>
      <c r="B9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DAF-4183-4711-9226-845E3AE2DB49}">
  <dimension ref="A1:B9"/>
  <sheetViews>
    <sheetView zoomScale="160" zoomScaleNormal="160" workbookViewId="0">
      <selection activeCell="H17" sqref="H17"/>
    </sheetView>
  </sheetViews>
  <sheetFormatPr defaultRowHeight="14.4" x14ac:dyDescent="0.3"/>
  <cols>
    <col min="1" max="1" width="24.21875" bestFit="1" customWidth="1"/>
  </cols>
  <sheetData>
    <row r="1" spans="1:2" ht="15" thickBot="1" x14ac:dyDescent="0.35">
      <c r="A1" s="5" t="s">
        <v>107</v>
      </c>
      <c r="B1" s="5" t="s">
        <v>108</v>
      </c>
    </row>
    <row r="2" spans="1:2" x14ac:dyDescent="0.3">
      <c r="A2" t="s">
        <v>109</v>
      </c>
      <c r="B2">
        <v>12</v>
      </c>
    </row>
    <row r="3" spans="1:2" x14ac:dyDescent="0.3">
      <c r="A3" t="s">
        <v>110</v>
      </c>
      <c r="B3">
        <v>29</v>
      </c>
    </row>
    <row r="4" spans="1:2" x14ac:dyDescent="0.3">
      <c r="A4" t="s">
        <v>111</v>
      </c>
      <c r="B4">
        <v>58</v>
      </c>
    </row>
    <row r="5" spans="1:2" x14ac:dyDescent="0.3">
      <c r="A5" t="s">
        <v>112</v>
      </c>
      <c r="B5">
        <v>292</v>
      </c>
    </row>
    <row r="6" spans="1:2" x14ac:dyDescent="0.3">
      <c r="A6" t="s">
        <v>113</v>
      </c>
      <c r="B6">
        <v>117</v>
      </c>
    </row>
    <row r="7" spans="1:2" x14ac:dyDescent="0.3">
      <c r="A7" t="s">
        <v>114</v>
      </c>
      <c r="B7">
        <v>36</v>
      </c>
    </row>
    <row r="8" spans="1:2" x14ac:dyDescent="0.3">
      <c r="A8" t="s">
        <v>115</v>
      </c>
      <c r="B8">
        <v>11</v>
      </c>
    </row>
    <row r="9" spans="1:2" x14ac:dyDescent="0.3">
      <c r="A9" t="s">
        <v>116</v>
      </c>
      <c r="B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CDEC-FE3E-4A6C-B937-C9EC54003D25}">
  <dimension ref="A1:B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109375" bestFit="1" customWidth="1"/>
    <col min="2" max="2" width="21.5546875" customWidth="1"/>
  </cols>
  <sheetData>
    <row r="1" spans="1:2" ht="30.75" customHeight="1" thickBot="1" x14ac:dyDescent="0.35">
      <c r="A1" s="7" t="s">
        <v>27</v>
      </c>
      <c r="B1" s="8" t="s">
        <v>94</v>
      </c>
    </row>
    <row r="2" spans="1:2" x14ac:dyDescent="0.3">
      <c r="A2" t="s">
        <v>28</v>
      </c>
      <c r="B2">
        <v>851.6</v>
      </c>
    </row>
    <row r="3" spans="1:2" x14ac:dyDescent="0.3">
      <c r="A3" t="s">
        <v>29</v>
      </c>
      <c r="B3">
        <v>559.70000000000005</v>
      </c>
    </row>
    <row r="4" spans="1:2" x14ac:dyDescent="0.3">
      <c r="A4" t="s">
        <v>125</v>
      </c>
      <c r="B4">
        <v>195.5</v>
      </c>
    </row>
    <row r="5" spans="1:2" x14ac:dyDescent="0.3">
      <c r="A5" t="s">
        <v>30</v>
      </c>
      <c r="B5">
        <v>189.6</v>
      </c>
    </row>
    <row r="6" spans="1:2" x14ac:dyDescent="0.3">
      <c r="A6" t="s">
        <v>31</v>
      </c>
      <c r="B6">
        <v>168.1</v>
      </c>
    </row>
    <row r="7" spans="1:2" x14ac:dyDescent="0.3">
      <c r="A7" t="s">
        <v>32</v>
      </c>
      <c r="B7">
        <v>143</v>
      </c>
    </row>
    <row r="8" spans="1:2" x14ac:dyDescent="0.3">
      <c r="A8" t="s">
        <v>33</v>
      </c>
      <c r="B8">
        <v>137.30000000000001</v>
      </c>
    </row>
    <row r="9" spans="1:2" x14ac:dyDescent="0.3">
      <c r="A9" t="s">
        <v>34</v>
      </c>
      <c r="B9">
        <v>113.7</v>
      </c>
    </row>
    <row r="10" spans="1:2" x14ac:dyDescent="0.3">
      <c r="A10" t="s">
        <v>35</v>
      </c>
      <c r="B10">
        <v>110.2</v>
      </c>
    </row>
    <row r="11" spans="1:2" x14ac:dyDescent="0.3">
      <c r="A11" t="s">
        <v>36</v>
      </c>
      <c r="B11">
        <v>100.3</v>
      </c>
    </row>
    <row r="12" spans="1:2" x14ac:dyDescent="0.3">
      <c r="A12" t="s">
        <v>37</v>
      </c>
      <c r="B12">
        <v>88.9</v>
      </c>
    </row>
    <row r="13" spans="1:2" x14ac:dyDescent="0.3">
      <c r="A13" t="s">
        <v>38</v>
      </c>
      <c r="B13">
        <v>84.3</v>
      </c>
    </row>
    <row r="14" spans="1:2" x14ac:dyDescent="0.3">
      <c r="A14" t="s">
        <v>39</v>
      </c>
      <c r="B14">
        <v>76.099999999999994</v>
      </c>
    </row>
    <row r="15" spans="1:2" x14ac:dyDescent="0.3">
      <c r="A15" t="s">
        <v>40</v>
      </c>
      <c r="B15">
        <v>73.5</v>
      </c>
    </row>
    <row r="16" spans="1:2" x14ac:dyDescent="0.3">
      <c r="A16" t="s">
        <v>41</v>
      </c>
      <c r="B16">
        <v>71.599999999999994</v>
      </c>
    </row>
    <row r="17" spans="1:2" x14ac:dyDescent="0.3">
      <c r="A17" t="s">
        <v>42</v>
      </c>
      <c r="B17">
        <v>69.5</v>
      </c>
    </row>
    <row r="18" spans="1:2" x14ac:dyDescent="0.3">
      <c r="A18" t="s">
        <v>43</v>
      </c>
      <c r="B18">
        <v>59.3</v>
      </c>
    </row>
    <row r="19" spans="1:2" x14ac:dyDescent="0.3">
      <c r="A19" t="s">
        <v>44</v>
      </c>
      <c r="B19">
        <v>60.5</v>
      </c>
    </row>
    <row r="20" spans="1:2" x14ac:dyDescent="0.3">
      <c r="A20" t="s">
        <v>45</v>
      </c>
      <c r="B20">
        <v>56.6</v>
      </c>
    </row>
    <row r="21" spans="1:2" x14ac:dyDescent="0.3">
      <c r="A21" t="s">
        <v>46</v>
      </c>
      <c r="B21">
        <v>46.2</v>
      </c>
    </row>
    <row r="22" spans="1:2" x14ac:dyDescent="0.3">
      <c r="A22" t="s">
        <v>47</v>
      </c>
      <c r="B22">
        <v>46</v>
      </c>
    </row>
    <row r="23" spans="1:2" x14ac:dyDescent="0.3">
      <c r="A23" t="s">
        <v>48</v>
      </c>
      <c r="B23">
        <v>40</v>
      </c>
    </row>
    <row r="24" spans="1:2" x14ac:dyDescent="0.3">
      <c r="A24" t="s">
        <v>49</v>
      </c>
      <c r="B24">
        <v>39.200000000000003</v>
      </c>
    </row>
    <row r="25" spans="1:2" x14ac:dyDescent="0.3">
      <c r="A25" t="s">
        <v>50</v>
      </c>
      <c r="B25">
        <v>38.700000000000003</v>
      </c>
    </row>
    <row r="26" spans="1:2" x14ac:dyDescent="0.3">
      <c r="A26" t="s">
        <v>51</v>
      </c>
      <c r="B26">
        <v>38.799999999999997</v>
      </c>
    </row>
    <row r="27" spans="1:2" x14ac:dyDescent="0.3">
      <c r="A27" t="s">
        <v>52</v>
      </c>
      <c r="B27">
        <v>36.200000000000003</v>
      </c>
    </row>
    <row r="28" spans="1:2" x14ac:dyDescent="0.3">
      <c r="A28" t="s">
        <v>53</v>
      </c>
      <c r="B28">
        <v>32</v>
      </c>
    </row>
    <row r="29" spans="1:2" x14ac:dyDescent="0.3">
      <c r="A29" t="s">
        <v>54</v>
      </c>
      <c r="B29">
        <v>31.6</v>
      </c>
    </row>
    <row r="30" spans="1:2" x14ac:dyDescent="0.3">
      <c r="A30" t="s">
        <v>55</v>
      </c>
      <c r="B30">
        <v>31.1</v>
      </c>
    </row>
    <row r="31" spans="1:2" x14ac:dyDescent="0.3">
      <c r="A31" t="s">
        <v>56</v>
      </c>
      <c r="B31">
        <v>30.5</v>
      </c>
    </row>
    <row r="32" spans="1:2" x14ac:dyDescent="0.3">
      <c r="A32" t="s">
        <v>57</v>
      </c>
      <c r="B32">
        <v>25.2</v>
      </c>
    </row>
    <row r="33" spans="1:2" x14ac:dyDescent="0.3">
      <c r="A33" t="s">
        <v>58</v>
      </c>
      <c r="B33">
        <v>25.1</v>
      </c>
    </row>
    <row r="34" spans="1:2" x14ac:dyDescent="0.3">
      <c r="A34" t="s">
        <v>59</v>
      </c>
      <c r="B34">
        <v>23.6</v>
      </c>
    </row>
    <row r="35" spans="1:2" x14ac:dyDescent="0.3">
      <c r="A35" t="s">
        <v>60</v>
      </c>
      <c r="B35">
        <v>19.5</v>
      </c>
    </row>
    <row r="36" spans="1:2" x14ac:dyDescent="0.3">
      <c r="A36" t="s">
        <v>61</v>
      </c>
      <c r="B36">
        <v>19.3</v>
      </c>
    </row>
    <row r="37" spans="1:2" x14ac:dyDescent="0.3">
      <c r="A37" t="s">
        <v>62</v>
      </c>
      <c r="B37">
        <v>18.399999999999999</v>
      </c>
    </row>
    <row r="38" spans="1:2" x14ac:dyDescent="0.3">
      <c r="A38" t="s">
        <v>63</v>
      </c>
      <c r="B38">
        <v>18.3</v>
      </c>
    </row>
    <row r="39" spans="1:2" x14ac:dyDescent="0.3">
      <c r="A39" t="s">
        <v>64</v>
      </c>
      <c r="B39">
        <v>16.899999999999999</v>
      </c>
    </row>
    <row r="40" spans="1:2" x14ac:dyDescent="0.3">
      <c r="A40" t="s">
        <v>65</v>
      </c>
      <c r="B40">
        <v>15.5</v>
      </c>
    </row>
    <row r="41" spans="1:2" x14ac:dyDescent="0.3">
      <c r="A41" t="s">
        <v>66</v>
      </c>
      <c r="B41">
        <v>14.8</v>
      </c>
    </row>
    <row r="42" spans="1:2" x14ac:dyDescent="0.3">
      <c r="A42" t="s">
        <v>67</v>
      </c>
      <c r="B42">
        <v>14.1</v>
      </c>
    </row>
    <row r="43" spans="1:2" x14ac:dyDescent="0.3">
      <c r="A43" t="s">
        <v>68</v>
      </c>
      <c r="B43">
        <v>12.7</v>
      </c>
    </row>
    <row r="44" spans="1:2" x14ac:dyDescent="0.3">
      <c r="A44" t="s">
        <v>69</v>
      </c>
      <c r="B44">
        <v>12.6</v>
      </c>
    </row>
    <row r="45" spans="1:2" x14ac:dyDescent="0.3">
      <c r="A45" t="s">
        <v>70</v>
      </c>
      <c r="B45">
        <v>11.7</v>
      </c>
    </row>
    <row r="46" spans="1:2" x14ac:dyDescent="0.3">
      <c r="A46" t="s">
        <v>71</v>
      </c>
      <c r="B46">
        <v>11.4</v>
      </c>
    </row>
    <row r="47" spans="1:2" x14ac:dyDescent="0.3">
      <c r="A47" t="s">
        <v>72</v>
      </c>
      <c r="B47">
        <v>10.9</v>
      </c>
    </row>
    <row r="48" spans="1:2" x14ac:dyDescent="0.3">
      <c r="A48" t="s">
        <v>73</v>
      </c>
      <c r="B48">
        <v>10.7</v>
      </c>
    </row>
    <row r="49" spans="1:2" x14ac:dyDescent="0.3">
      <c r="A49" t="s">
        <v>74</v>
      </c>
      <c r="B49">
        <v>10.199999999999999</v>
      </c>
    </row>
    <row r="50" spans="1:2" x14ac:dyDescent="0.3">
      <c r="A50" t="s">
        <v>75</v>
      </c>
      <c r="B50">
        <v>11</v>
      </c>
    </row>
    <row r="51" spans="1:2" x14ac:dyDescent="0.3">
      <c r="A51" t="s">
        <v>76</v>
      </c>
      <c r="B51">
        <v>10.9</v>
      </c>
    </row>
    <row r="52" spans="1:2" x14ac:dyDescent="0.3">
      <c r="A52" t="s">
        <v>77</v>
      </c>
      <c r="B52">
        <v>9.4</v>
      </c>
    </row>
    <row r="53" spans="1:2" x14ac:dyDescent="0.3">
      <c r="A53" t="s">
        <v>78</v>
      </c>
      <c r="B53">
        <v>9.1</v>
      </c>
    </row>
    <row r="54" spans="1:2" x14ac:dyDescent="0.3">
      <c r="A54" t="s">
        <v>79</v>
      </c>
      <c r="B54">
        <v>8.4</v>
      </c>
    </row>
    <row r="55" spans="1:2" x14ac:dyDescent="0.3">
      <c r="A55" t="s">
        <v>80</v>
      </c>
      <c r="B55">
        <v>8.3000000000000007</v>
      </c>
    </row>
    <row r="56" spans="1:2" x14ac:dyDescent="0.3">
      <c r="A56" t="s">
        <v>81</v>
      </c>
      <c r="B56">
        <v>8.1</v>
      </c>
    </row>
    <row r="57" spans="1:2" x14ac:dyDescent="0.3">
      <c r="A57" t="s">
        <v>82</v>
      </c>
      <c r="B57">
        <v>7.5</v>
      </c>
    </row>
    <row r="58" spans="1:2" x14ac:dyDescent="0.3">
      <c r="A58" t="s">
        <v>83</v>
      </c>
      <c r="B58">
        <v>7.1</v>
      </c>
    </row>
    <row r="59" spans="1:2" x14ac:dyDescent="0.3">
      <c r="A59" t="s">
        <v>84</v>
      </c>
      <c r="B59">
        <v>7</v>
      </c>
    </row>
    <row r="60" spans="1:2" x14ac:dyDescent="0.3">
      <c r="A60" t="s">
        <v>85</v>
      </c>
      <c r="B60">
        <v>6.9</v>
      </c>
    </row>
    <row r="61" spans="1:2" x14ac:dyDescent="0.3">
      <c r="A61" t="s">
        <v>86</v>
      </c>
      <c r="B61">
        <v>6.4</v>
      </c>
    </row>
    <row r="62" spans="1:2" x14ac:dyDescent="0.3">
      <c r="A62" t="s">
        <v>87</v>
      </c>
      <c r="B62">
        <v>5.5</v>
      </c>
    </row>
    <row r="63" spans="1:2" x14ac:dyDescent="0.3">
      <c r="A63" t="s">
        <v>88</v>
      </c>
      <c r="B63">
        <v>4.5</v>
      </c>
    </row>
    <row r="64" spans="1:2" x14ac:dyDescent="0.3">
      <c r="A64" t="s">
        <v>89</v>
      </c>
      <c r="B64">
        <v>4.2</v>
      </c>
    </row>
    <row r="65" spans="1:2" x14ac:dyDescent="0.3">
      <c r="A65" t="s">
        <v>90</v>
      </c>
      <c r="B65">
        <v>3.8</v>
      </c>
    </row>
    <row r="66" spans="1:2" x14ac:dyDescent="0.3">
      <c r="A66" t="s">
        <v>91</v>
      </c>
      <c r="B66">
        <v>2.8</v>
      </c>
    </row>
    <row r="67" spans="1:2" x14ac:dyDescent="0.3">
      <c r="A67" t="s">
        <v>92</v>
      </c>
      <c r="B67">
        <v>2.6</v>
      </c>
    </row>
    <row r="68" spans="1:2" x14ac:dyDescent="0.3">
      <c r="A68" t="s">
        <v>93</v>
      </c>
      <c r="B68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Комби + табл данных</vt:lpstr>
      <vt:lpstr>Проектная</vt:lpstr>
      <vt:lpstr>Каскадная</vt:lpstr>
      <vt:lpstr>Каскадная 2</vt:lpstr>
      <vt:lpstr>Чекбоксы</vt:lpstr>
      <vt:lpstr>Динамическая</vt:lpstr>
      <vt:lpstr>Воронка</vt:lpstr>
      <vt:lpstr>Парето</vt:lpstr>
      <vt:lpstr>Древовидная</vt:lpstr>
      <vt:lpstr>Картограмма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2021-02-10T18:12:44Z</dcterms:modified>
</cp:coreProperties>
</file>