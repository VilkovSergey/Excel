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УЧЁБА\EXCEL\Excel\17_Сложные диаграммы. Динамические диаграммы\"/>
    </mc:Choice>
  </mc:AlternateContent>
  <xr:revisionPtr revIDLastSave="0" documentId="13_ncr:1_{45C2C3F3-4536-437C-95D6-2C634B518F18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Комби + табл данных" sheetId="1" r:id="rId1"/>
    <sheet name="Диаграмма1" sheetId="11" r:id="rId2"/>
    <sheet name="Проектная" sheetId="2" r:id="rId3"/>
    <sheet name="Каскадная" sheetId="3" r:id="rId4"/>
    <sheet name="Каскадная 2" sheetId="9" r:id="rId5"/>
    <sheet name="Чекбоксы" sheetId="10" r:id="rId6"/>
    <sheet name="Динамическая" sheetId="4" r:id="rId7"/>
    <sheet name="Воронка" sheetId="5" r:id="rId8"/>
    <sheet name="Парето" sheetId="6" r:id="rId9"/>
    <sheet name="Древовидная" sheetId="7" r:id="rId10"/>
    <sheet name="Картограмма" sheetId="8" r:id="rId11"/>
  </sheets>
  <definedNames>
    <definedName name="_xlchart.v1.0" hidden="1">Каскадная!$E$2:$E$13</definedName>
    <definedName name="_xlchart.v1.1" hidden="1">Каскадная!$F$1</definedName>
    <definedName name="_xlchart.v1.2" hidden="1">Каскадная!$F$2:$F$13</definedName>
    <definedName name="_xlchart.v1.3" hidden="1">'Каскадная 2'!$F$1:$F$5</definedName>
    <definedName name="_xlchart.v1.4" hidden="1">'Каскадная 2'!$G$1:$G$5</definedName>
    <definedName name="_xlchart.v1.5" hidden="1">'Каскадная 2'!$F$1:$F$5</definedName>
    <definedName name="_xlchart.v1.6" hidden="1">'Каскадная 2'!$G$1:$G$5</definedName>
    <definedName name="Данные">OFFSET(Динамическая!$B$2,Динамическая!$I$1,0,Динамическая!$F$1,1)</definedName>
    <definedName name="Подписи" localSheetId="6">OFFSET(Динамическая!$A$2,Динамическая!$I$1,0,Динамическая!$F$1,1)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9" l="1"/>
  <c r="G1" i="9"/>
  <c r="G3" i="9"/>
  <c r="G4" i="9"/>
  <c r="G2" i="9"/>
  <c r="F3" i="3"/>
  <c r="F4" i="3"/>
  <c r="F5" i="3"/>
  <c r="F6" i="3"/>
  <c r="F7" i="3"/>
  <c r="F8" i="3"/>
  <c r="F9" i="3"/>
  <c r="F10" i="3"/>
  <c r="F11" i="3"/>
  <c r="F12" i="3"/>
  <c r="F13" i="3"/>
  <c r="F2" i="3"/>
  <c r="C3" i="2"/>
  <c r="C4" i="2"/>
  <c r="C5" i="2"/>
  <c r="C6" i="2"/>
  <c r="C7" i="2"/>
  <c r="C8" i="2"/>
  <c r="C9" i="2"/>
  <c r="C2" i="2"/>
  <c r="B2" i="9"/>
  <c r="C2" i="9"/>
</calcChain>
</file>

<file path=xl/sharedStrings.xml><?xml version="1.0" encoding="utf-8"?>
<sst xmlns="http://schemas.openxmlformats.org/spreadsheetml/2006/main" count="201" uniqueCount="128">
  <si>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</si>
  <si>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</si>
  <si>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</si>
  <si>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</si>
  <si>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</si>
  <si>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</si>
  <si>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</si>
  <si>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</si>
  <si>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</si>
  <si>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</si>
  <si>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</si>
  <si>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</si>
  <si>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</si>
  <si>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</si>
  <si>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</si>
  <si>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Сотрудники</t>
  </si>
  <si>
    <t>Этап работы</t>
  </si>
  <si>
    <t>Начало</t>
  </si>
  <si>
    <t>Окончание</t>
  </si>
  <si>
    <t>Подготовка программы курса</t>
  </si>
  <si>
    <t>Подготовка презентаций</t>
  </si>
  <si>
    <t>Подготовка файлов-примеров</t>
  </si>
  <si>
    <t>Подготовка памяток</t>
  </si>
  <si>
    <t>Подготовка дополнительных материалов</t>
  </si>
  <si>
    <t>Запись видео-уроков</t>
  </si>
  <si>
    <t>Подготовка домашних заданий</t>
  </si>
  <si>
    <t>Анонс и продвижение</t>
  </si>
  <si>
    <t>Страна</t>
  </si>
  <si>
    <t> США</t>
  </si>
  <si>
    <t> Китай</t>
  </si>
  <si>
    <t> Япония</t>
  </si>
  <si>
    <t> Россия</t>
  </si>
  <si>
    <t> Саудовская Аравия</t>
  </si>
  <si>
    <t> Бразилия</t>
  </si>
  <si>
    <t> Республика Корея</t>
  </si>
  <si>
    <t> Германия</t>
  </si>
  <si>
    <t> Канада</t>
  </si>
  <si>
    <t> Иран</t>
  </si>
  <si>
    <t> Мексика</t>
  </si>
  <si>
    <t> Франция</t>
  </si>
  <si>
    <t> Индонезия</t>
  </si>
  <si>
    <t> Великобритания</t>
  </si>
  <si>
    <t> Сингапур</t>
  </si>
  <si>
    <t> Италия</t>
  </si>
  <si>
    <t> Испания</t>
  </si>
  <si>
    <t> Таиланд</t>
  </si>
  <si>
    <t> Австралия</t>
  </si>
  <si>
    <t> Китайская Республика</t>
  </si>
  <si>
    <t> ОАЭ</t>
  </si>
  <si>
    <t> Египет</t>
  </si>
  <si>
    <t> Нидерланды</t>
  </si>
  <si>
    <t> Турция</t>
  </si>
  <si>
    <t> Малайзия</t>
  </si>
  <si>
    <t> Венесуэла</t>
  </si>
  <si>
    <t> Аргентина</t>
  </si>
  <si>
    <t> ЮАР</t>
  </si>
  <si>
    <t> Бельгия</t>
  </si>
  <si>
    <t> Пакистан</t>
  </si>
  <si>
    <t> Польша</t>
  </si>
  <si>
    <t> Кувейт</t>
  </si>
  <si>
    <t> Вьетнам</t>
  </si>
  <si>
    <t> Алжир</t>
  </si>
  <si>
    <t> Филиппины</t>
  </si>
  <si>
    <t> Гонконг</t>
  </si>
  <si>
    <t> Чили</t>
  </si>
  <si>
    <t> Колумбия</t>
  </si>
  <si>
    <t> Греция</t>
  </si>
  <si>
    <t> Швеция</t>
  </si>
  <si>
    <t> Казахстан</t>
  </si>
  <si>
    <t> Австрия</t>
  </si>
  <si>
    <t> Эквадор</t>
  </si>
  <si>
    <t> Португалия</t>
  </si>
  <si>
    <t> Перу</t>
  </si>
  <si>
    <t> Швейцария</t>
  </si>
  <si>
    <t> Норвегия</t>
  </si>
  <si>
    <t> Израиль</t>
  </si>
  <si>
    <t> Катар</t>
  </si>
  <si>
    <t> Чехия</t>
  </si>
  <si>
    <t> Румыния</t>
  </si>
  <si>
    <t> Украина</t>
  </si>
  <si>
    <t> Финляндия</t>
  </si>
  <si>
    <t> Дания</t>
  </si>
  <si>
    <t> Новая Зеландия</t>
  </si>
  <si>
    <t> Белоруссия</t>
  </si>
  <si>
    <t> Венгрия</t>
  </si>
  <si>
    <t> Ирландия</t>
  </si>
  <si>
    <t> Туркмения</t>
  </si>
  <si>
    <t> Бангладеш</t>
  </si>
  <si>
    <t> Азербайджан</t>
  </si>
  <si>
    <t> Болгария</t>
  </si>
  <si>
    <t> Словакия</t>
  </si>
  <si>
    <t> Узбекистан</t>
  </si>
  <si>
    <t> Литва</t>
  </si>
  <si>
    <t> Тринидад и Тобаго</t>
  </si>
  <si>
    <t>Потребление нефти, млн тонн / год</t>
  </si>
  <si>
    <t>Количество заявок</t>
  </si>
  <si>
    <t>Посетителей выставки</t>
  </si>
  <si>
    <t>Переговоры</t>
  </si>
  <si>
    <t>Договор</t>
  </si>
  <si>
    <t>Оплачено</t>
  </si>
  <si>
    <t>Этап</t>
  </si>
  <si>
    <t>Количество</t>
  </si>
  <si>
    <t>Показатель</t>
  </si>
  <si>
    <t>Выручка</t>
  </si>
  <si>
    <t>Автосервис</t>
  </si>
  <si>
    <t>Шиномонтаж</t>
  </si>
  <si>
    <t>Запчасти</t>
  </si>
  <si>
    <t>Откуда пришел клиент</t>
  </si>
  <si>
    <t>Кол-во</t>
  </si>
  <si>
    <t>Сайт</t>
  </si>
  <si>
    <t>Партнерские программы</t>
  </si>
  <si>
    <t>Телеграм</t>
  </si>
  <si>
    <t>Инстаграм</t>
  </si>
  <si>
    <t>Выставки</t>
  </si>
  <si>
    <t>Холодные звонки</t>
  </si>
  <si>
    <t>Рекомендации</t>
  </si>
  <si>
    <t>Неизвестно</t>
  </si>
  <si>
    <t>Период</t>
  </si>
  <si>
    <t>Прибыль</t>
  </si>
  <si>
    <t>Центр</t>
  </si>
  <si>
    <t>Юг</t>
  </si>
  <si>
    <t>Поволжье</t>
  </si>
  <si>
    <t>Север</t>
  </si>
  <si>
    <t>Старт --&gt;</t>
  </si>
  <si>
    <t>Период --&gt;</t>
  </si>
  <si>
    <t>Индия</t>
  </si>
  <si>
    <t>Продолжительность</t>
  </si>
  <si>
    <t>Отклонения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</si>
</sst>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8" formatCode="d/m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</cellStyleXfs>
  <cellXfs count="20">
    <xf numFmtId="0" fontId="0" fillId="0" borderId="0" xfId="0"/>
    <xf numFmtId="0" fontId="2" fillId="0" borderId="1" xfId="2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3" fillId="0" borderId="2" xfId="3"/>
    <xf numFmtId="0" fontId="3" fillId="0" borderId="2" xfId="3" applyAlignment="1">
      <alignment horizontal="center"/>
    </xf>
    <xf numFmtId="0" fontId="3" fillId="0" borderId="2" xfId="3" applyAlignment="1">
      <alignment horizontal="center" vertical="center"/>
    </xf>
    <xf numFmtId="0" fontId="3" fillId="0" borderId="2" xfId="3" applyAlignment="1">
      <alignment horizontal="center" vertical="center" wrapText="1"/>
    </xf>
    <xf numFmtId="164" fontId="0" fillId="0" borderId="0" xfId="1" applyNumberFormat="1" applyFont="1"/>
    <xf numFmtId="0" fontId="0" fillId="0" borderId="0" xfId="0" applyAlignment="1">
      <alignment horizontal="left" indent="1"/>
    </xf>
    <xf numFmtId="3" fontId="0" fillId="0" borderId="0" xfId="0" applyNumberFormat="1"/>
    <xf numFmtId="164" fontId="0" fillId="0" borderId="0" xfId="0" applyNumberForma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0" borderId="3" xfId="4" applyAlignment="1">
      <alignment horizontal="center"/>
    </xf>
    <xf numFmtId="0" fontId="5" fillId="0" borderId="0" xfId="0" applyFont="1"/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</cellXfs>
  <cellStyles count="5">
    <cellStyle name="Заголовок 1" xfId="2" builtinId="16"/>
    <cellStyle name="Заголовок 3" xfId="3" builtinId="18"/>
    <cellStyle name="Обычный" xfId="0" builtinId="0"/>
    <cellStyle name="Связанная ячейка" xfId="4" builtinId="24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23381452318461"/>
          <c:y val="5.0925925925925923E-2"/>
          <c:w val="0.82318525809273846"/>
          <c:h val="0.763192986293379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'Комби + табл данных'!$B$1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'Комби + табл данных'!$A$2:$A$13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'Комби + табл данных'!$B$2:$B$13</c:f>
              <c:numCache>
                <c:formatCode>#,##0</c:formatCode>
                <c:ptCount val="12"/>
                <c:pt idx="0">
                  <c:v>22834</c:v>
                </c:pt>
                <c:pt idx="1">
                  <c:v>20897</c:v>
                </c:pt>
                <c:pt idx="2">
                  <c:v>21177</c:v>
                </c:pt>
                <c:pt idx="3">
                  <c:v>28610</c:v>
                </c:pt>
                <c:pt idx="4">
                  <c:v>29355</c:v>
                </c:pt>
                <c:pt idx="5">
                  <c:v>22589</c:v>
                </c:pt>
                <c:pt idx="6">
                  <c:v>28084</c:v>
                </c:pt>
                <c:pt idx="7">
                  <c:v>31857</c:v>
                </c:pt>
                <c:pt idx="8">
                  <c:v>43288</c:v>
                </c:pt>
                <c:pt idx="9">
                  <c:v>48352</c:v>
                </c:pt>
                <c:pt idx="10">
                  <c:v>53224</c:v>
                </c:pt>
                <c:pt idx="11">
                  <c:v>38485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3-42F5-BBE2-6FEBF6577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342143"/>
        <c:axId val="377556399"/>
      </c:barChart>
      <c:lineChart>
        <c:grouping val="standard"/>
        <c:varyColors val="0"/>
        <c:ser>
          <c:idx val="1"/>
          <c:order val="1"/>
          <c:tx>
            <c:strRef>
              <c:f>'Комби + табл данных'!$C$1</c:f>
              <c:strCache>
                <c:ptCount val="1"/>
                <c:pt idx="0">
                  <c:v>Сотрудники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13-42F5-BBE2-6FEBF6577746}"/>
                </c:ext>
              </c:extLst>
            </c:dLbl>
            <c:dLbl>
              <c:idx val="8"/>
              <c:layout>
                <c:manualLayout>
                  <c:x val="-0.16944444444444454"/>
                  <c:y val="-6.018518518518519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13-42F5-BBE2-6FEBF657774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'Комби + табл данных'!$A$2:$A$13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'Комби + табл данных'!$C$2:$C$13</c:f>
              <c:numCache>
                <c:formatCode>General</c:formatCode>
                <c:ptCount val="12"/>
                <c:pt idx="0">
                  <c:v>40</c:v>
                </c:pt>
                <c:pt idx="1">
                  <c:v>41</c:v>
                </c:pt>
                <c:pt idx="2">
                  <c:v>41</c:v>
                </c:pt>
                <c:pt idx="3">
                  <c:v>42</c:v>
                </c:pt>
                <c:pt idx="4">
                  <c:v>42</c:v>
                </c:pt>
                <c:pt idx="5">
                  <c:v>40</c:v>
                </c:pt>
                <c:pt idx="6">
                  <c:v>39</c:v>
                </c:pt>
                <c:pt idx="7">
                  <c:v>42</c:v>
                </c:pt>
                <c:pt idx="8">
                  <c:v>44</c:v>
                </c:pt>
                <c:pt idx="9">
                  <c:v>44</c:v>
                </c:pt>
                <c:pt idx="10">
                  <c:v>43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13-42F5-BBE2-6FEBF6577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336383"/>
        <c:axId val="330396943"/>
      </c:lineChart>
      <c:catAx>
        <c:axId val="37934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7556399"/>
        <c:crosses val="autoZero"/>
        <c:auto val="1"/>
        <c:lblAlgn val="ctr"/>
        <c:lblOffset val="100"/>
        <c:noMultiLvlLbl val="0"/>
      </c:catAx>
      <c:valAx>
        <c:axId val="37755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9342143"/>
        <c:crosses val="autoZero"/>
        <c:crossBetween val="between"/>
      </c:valAx>
      <c:valAx>
        <c:axId val="3303969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9336383"/>
        <c:crosses val="max"/>
        <c:crossBetween val="between"/>
      </c:valAx>
      <c:catAx>
        <c:axId val="3793363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03969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Проектная диаграмма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Проектная!$B$1</c:f>
              <c:strCache>
                <c:ptCount val="1"/>
                <c:pt idx="0">
                  <c:v>Начало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Проектная!$A$2:$A$9</c:f>
              <c:strCache>
                <c:ptCount val="8"/>
                <c:pt idx="0">
                  <c:v>Подготовка программы курса</c:v>
                </c:pt>
                <c:pt idx="1">
                  <c:v>Подготовка презентаций</c:v>
                </c:pt>
                <c:pt idx="2">
                  <c:v>Подготовка файлов-примеров</c:v>
                </c:pt>
                <c:pt idx="3">
                  <c:v>Подготовка памяток</c:v>
                </c:pt>
                <c:pt idx="4">
                  <c:v>Подготовка дополнительных материалов</c:v>
                </c:pt>
                <c:pt idx="5">
                  <c:v>Запись видео-уроков</c:v>
                </c:pt>
                <c:pt idx="6">
                  <c:v>Подготовка домашних заданий</c:v>
                </c:pt>
                <c:pt idx="7">
                  <c:v>Анонс и продвижение</c:v>
                </c:pt>
              </c:strCache>
            </c:strRef>
          </c:cat>
          <c:val>
            <c:numRef>
              <c:f>Проектная!$B$2:$B$9</c:f>
              <c:numCache>
                <c:formatCode>d/m;@</c:formatCode>
                <c:ptCount val="8"/>
                <c:pt idx="0">
                  <c:v>43983</c:v>
                </c:pt>
                <c:pt idx="1">
                  <c:v>44027</c:v>
                </c:pt>
                <c:pt idx="2">
                  <c:v>44027</c:v>
                </c:pt>
                <c:pt idx="3">
                  <c:v>44053</c:v>
                </c:pt>
                <c:pt idx="4">
                  <c:v>44082</c:v>
                </c:pt>
                <c:pt idx="5">
                  <c:v>44089</c:v>
                </c:pt>
                <c:pt idx="6">
                  <c:v>44145</c:v>
                </c:pt>
                <c:pt idx="7">
                  <c:v>44166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8-46EF-B36D-BF4F1CD24FD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Проектная!$A$2:$A$9</c:f>
              <c:strCache>
                <c:ptCount val="8"/>
                <c:pt idx="0">
                  <c:v>Подготовка программы курса</c:v>
                </c:pt>
                <c:pt idx="1">
                  <c:v>Подготовка презентаций</c:v>
                </c:pt>
                <c:pt idx="2">
                  <c:v>Подготовка файлов-примеров</c:v>
                </c:pt>
                <c:pt idx="3">
                  <c:v>Подготовка памяток</c:v>
                </c:pt>
                <c:pt idx="4">
                  <c:v>Подготовка дополнительных материалов</c:v>
                </c:pt>
                <c:pt idx="5">
                  <c:v>Запись видео-уроков</c:v>
                </c:pt>
                <c:pt idx="6">
                  <c:v>Подготовка домашних заданий</c:v>
                </c:pt>
                <c:pt idx="7">
                  <c:v>Анонс и продвижение</c:v>
                </c:pt>
              </c:strCache>
            </c:strRef>
          </c:cat>
          <c:val>
            <c:numRef>
              <c:f>Проектная!$C$2:$C$9</c:f>
              <c:numCache>
                <c:formatCode>0</c:formatCode>
                <c:ptCount val="8"/>
                <c:pt idx="0">
                  <c:v>44</c:v>
                </c:pt>
                <c:pt idx="1">
                  <c:v>17</c:v>
                </c:pt>
                <c:pt idx="2">
                  <c:v>48</c:v>
                </c:pt>
                <c:pt idx="3">
                  <c:v>36</c:v>
                </c:pt>
                <c:pt idx="4">
                  <c:v>63</c:v>
                </c:pt>
                <c:pt idx="5">
                  <c:v>66</c:v>
                </c:pt>
                <c:pt idx="6">
                  <c:v>21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98-46EF-B36D-BF4F1CD24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2"/>
        <c:overlap val="100"/>
        <c:axId val="235373631"/>
        <c:axId val="338947199"/>
      </c:barChart>
      <c:catAx>
        <c:axId val="235373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947199"/>
        <c:crosses val="autoZero"/>
        <c:auto val="1"/>
        <c:lblAlgn val="ctr"/>
        <c:lblOffset val="100"/>
        <c:noMultiLvlLbl val="0"/>
      </c:catAx>
      <c:valAx>
        <c:axId val="33894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/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537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waterfall" uniqueId="{B5655368-A351-4303-9A74-370E2A0F0DE0}">
          <cx:tx>
            <cx:txData>
              <cx:f>_xlchart.v1.1</cx:f>
              <cx:v>Отклонения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_xlchart.v1.6</cx:f>
      </cx:numDim>
    </cx:data>
  </cx:chartData>
  <cx:chart>
    <cx:title pos="t" align="ctr" overlay="0">
      <cx:tx>
        <cx:txData>
          <cx:v>План выполнен за счет Автосервиса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План выполнен за счет Автосервиса</a:t>
          </a:r>
        </a:p>
      </cx:txPr>
    </cx:title>
    <cx:plotArea>
      <cx:plotAreaRegion>
        <cx:series layoutId="waterfall" uniqueId="{5EF398D4-CD8C-498F-8545-46C5360914D5}">
          <cx:dataLabels pos="outEnd">
            <cx:visibility seriesName="0" categoryName="0" value="1"/>
          </cx:dataLabels>
          <cx:dataId val="0"/>
          <cx:layoutPr>
            <cx:subtotals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A78C784-EBA5-4590-80FF-80FA6B004009}">
  <sheetPr/>
  <sheetViews>
    <sheetView zoomScale="8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628" cy="6069419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DE76CF2-FB6C-9CB3-2F33-5FE9CE278A5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169983</xdr:colOff>
      <xdr:row>2</xdr:row>
      <xdr:rowOff>172914</xdr:rowOff>
    </xdr:from>
    <xdr:to>
      <xdr:col>12</xdr:col>
      <xdr:colOff>457198</xdr:colOff>
      <xdr:row>19</xdr:row>
      <xdr:rowOff>105508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7003BDB-62D1-7075-1799-7604C1D68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254977</xdr:colOff>
      <xdr:row>0</xdr:row>
      <xdr:rowOff>126023</xdr:rowOff>
    </xdr:from>
    <xdr:to>
      <xdr:col>13</xdr:col>
      <xdr:colOff>559777</xdr:colOff>
      <xdr:row>15</xdr:row>
      <xdr:rowOff>55685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9EE81074-E892-E661-A459-CD5AFFF980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6623" y="12602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8</xdr:row>
      <xdr:rowOff>7620</xdr:rowOff>
    </xdr:from>
    <xdr:to>
      <xdr:col>9</xdr:col>
      <xdr:colOff>236220</xdr:colOff>
      <xdr:row>23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A5A2C776-D074-1CB7-5D6D-81108C6A87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97480" y="1485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="145" zoomScaleNormal="145" workbookViewId="0">
      <selection activeCell="N14" sqref="N14"/>
    </sheetView>
  </sheetViews>
  <sheetFormatPr defaultRowHeight="14.4" x14ac:dyDescent="0.3"/>
  <cols>
    <col min="3" max="3" width="16.44140625" bestFit="1" customWidth="1"/>
  </cols>
  <sheetData>
    <row r="1" spans="1:3" ht="20.399999999999999" thickBot="1" x14ac:dyDescent="0.35">
      <c r="A1" s="1" t="s">
        <v>0</v>
      </c>
      <c r="B1" s="1" t="s">
        <v>2</v>
      </c>
      <c r="C1" s="1" t="s">
        <v>15</v>
      </c>
    </row>
    <row r="2" spans="1:3" ht="15" thickTop="1" x14ac:dyDescent="0.3">
      <c r="A2" t="s">
        <v>3</v>
      </c>
      <c r="B2" s="2">
        <v>22834</v>
      </c>
      <c r="C2" s="14">
        <v>40</v>
      </c>
    </row>
    <row r="3" spans="1:3" x14ac:dyDescent="0.3">
      <c r="A3" t="s">
        <v>4</v>
      </c>
      <c r="B3" s="2">
        <v>20897</v>
      </c>
      <c r="C3" s="14">
        <v>41</v>
      </c>
    </row>
    <row r="4" spans="1:3" x14ac:dyDescent="0.3">
      <c r="A4" t="s">
        <v>5</v>
      </c>
      <c r="B4" s="2">
        <v>21177</v>
      </c>
      <c r="C4" s="14">
        <v>41</v>
      </c>
    </row>
    <row r="5" spans="1:3" x14ac:dyDescent="0.3">
      <c r="A5" t="s">
        <v>6</v>
      </c>
      <c r="B5" s="2">
        <v>28610</v>
      </c>
      <c r="C5" s="14">
        <v>42</v>
      </c>
    </row>
    <row r="6" spans="1:3" x14ac:dyDescent="0.3">
      <c r="A6" t="s">
        <v>7</v>
      </c>
      <c r="B6" s="2">
        <v>29355</v>
      </c>
      <c r="C6" s="14">
        <v>42</v>
      </c>
    </row>
    <row r="7" spans="1:3" x14ac:dyDescent="0.3">
      <c r="A7" t="s">
        <v>8</v>
      </c>
      <c r="B7" s="2">
        <v>22589</v>
      </c>
      <c r="C7" s="14">
        <v>40</v>
      </c>
    </row>
    <row r="8" spans="1:3" x14ac:dyDescent="0.3">
      <c r="A8" t="s">
        <v>9</v>
      </c>
      <c r="B8" s="2">
        <v>28084</v>
      </c>
      <c r="C8" s="14">
        <v>39</v>
      </c>
    </row>
    <row r="9" spans="1:3" x14ac:dyDescent="0.3">
      <c r="A9" t="s">
        <v>10</v>
      </c>
      <c r="B9" s="2">
        <v>31857</v>
      </c>
      <c r="C9" s="14">
        <v>42</v>
      </c>
    </row>
    <row r="10" spans="1:3" x14ac:dyDescent="0.3">
      <c r="A10" t="s">
        <v>11</v>
      </c>
      <c r="B10" s="2">
        <v>43288</v>
      </c>
      <c r="C10" s="14">
        <v>44</v>
      </c>
    </row>
    <row r="11" spans="1:3" x14ac:dyDescent="0.3">
      <c r="A11" t="s">
        <v>12</v>
      </c>
      <c r="B11" s="2">
        <v>48352</v>
      </c>
      <c r="C11" s="14">
        <v>44</v>
      </c>
    </row>
    <row r="12" spans="1:3" x14ac:dyDescent="0.3">
      <c r="A12" t="s">
        <v>13</v>
      </c>
      <c r="B12" s="2">
        <v>53224</v>
      </c>
      <c r="C12" s="14">
        <v>43</v>
      </c>
    </row>
    <row r="13" spans="1:3" x14ac:dyDescent="0.3">
      <c r="A13" t="s">
        <v>14</v>
      </c>
      <c r="B13" s="2">
        <v>38485</v>
      </c>
      <c r="C13" s="14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6A84-524A-4B1F-BB4F-D7D43EC07E84}">
  <dimension ref="A1:D9"/>
  <sheetViews>
    <sheetView zoomScale="130" zoomScaleNormal="130" workbookViewId="0">
      <selection activeCell="C17" sqref="C17"/>
    </sheetView>
  </sheetViews>
  <sheetFormatPr defaultRowHeight="14.4" x14ac:dyDescent="0.3"/>
  <cols>
    <col min="1" max="1" width="37.109375" customWidth="1"/>
    <col min="2" max="2" width="10.109375" bestFit="1" customWidth="1"/>
    <col min="3" max="3" width="18.77734375" bestFit="1" customWidth="1"/>
    <col min="4" max="4" width="11.109375" bestFit="1" customWidth="1"/>
  </cols>
  <sheetData>
    <row r="1" spans="1:4" x14ac:dyDescent="0.3">
      <c r="A1" s="3" t="s">
        <v>16</v>
      </c>
      <c r="B1" s="3" t="s">
        <v>17</v>
      </c>
      <c r="C1" s="3" t="s">
        <v>126</v>
      </c>
      <c r="D1" s="3" t="s">
        <v>18</v>
      </c>
    </row>
    <row r="2" spans="1:4" x14ac:dyDescent="0.3">
      <c r="A2" t="s">
        <v>19</v>
      </c>
      <c r="B2" s="19">
        <v>43983</v>
      </c>
      <c r="C2" s="18">
        <f>D2-B2</f>
        <v>44</v>
      </c>
      <c r="D2" s="4">
        <v>44027</v>
      </c>
    </row>
    <row r="3" spans="1:4" x14ac:dyDescent="0.3">
      <c r="A3" t="s">
        <v>20</v>
      </c>
      <c r="B3" s="19">
        <v>44027</v>
      </c>
      <c r="C3" s="18">
        <f t="shared" ref="C3:C9" si="0">D3-B3</f>
        <v>17</v>
      </c>
      <c r="D3" s="4">
        <v>44044</v>
      </c>
    </row>
    <row r="4" spans="1:4" x14ac:dyDescent="0.3">
      <c r="A4" t="s">
        <v>21</v>
      </c>
      <c r="B4" s="19">
        <v>44027</v>
      </c>
      <c r="C4" s="18">
        <f t="shared" si="0"/>
        <v>48</v>
      </c>
      <c r="D4" s="4">
        <v>44075</v>
      </c>
    </row>
    <row r="5" spans="1:4" x14ac:dyDescent="0.3">
      <c r="A5" t="s">
        <v>22</v>
      </c>
      <c r="B5" s="19">
        <v>44053</v>
      </c>
      <c r="C5" s="18">
        <f t="shared" si="0"/>
        <v>36</v>
      </c>
      <c r="D5" s="4">
        <v>44089</v>
      </c>
    </row>
    <row r="6" spans="1:4" x14ac:dyDescent="0.3">
      <c r="A6" t="s">
        <v>23</v>
      </c>
      <c r="B6" s="19">
        <v>44082</v>
      </c>
      <c r="C6" s="18">
        <f t="shared" si="0"/>
        <v>63</v>
      </c>
      <c r="D6" s="4">
        <v>44145</v>
      </c>
    </row>
    <row r="7" spans="1:4" x14ac:dyDescent="0.3">
      <c r="A7" t="s">
        <v>24</v>
      </c>
      <c r="B7" s="19">
        <v>44089</v>
      </c>
      <c r="C7" s="18">
        <f t="shared" si="0"/>
        <v>66</v>
      </c>
      <c r="D7" s="4">
        <v>44155</v>
      </c>
    </row>
    <row r="8" spans="1:4" x14ac:dyDescent="0.3">
      <c r="A8" t="s">
        <v>25</v>
      </c>
      <c r="B8" s="19">
        <v>44145</v>
      </c>
      <c r="C8" s="18">
        <f t="shared" si="0"/>
        <v>21</v>
      </c>
      <c r="D8" s="4">
        <v>44166</v>
      </c>
    </row>
    <row r="9" spans="1:4" x14ac:dyDescent="0.3">
      <c r="A9" t="s">
        <v>26</v>
      </c>
      <c r="B9" s="19">
        <v>44166</v>
      </c>
      <c r="C9" s="18">
        <f t="shared" si="0"/>
        <v>29</v>
      </c>
      <c r="D9" s="4">
        <v>44195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D5645-5435-4DAF-BAE9-E3C66E3200E8}">
  <dimension ref="A1:F14"/>
  <sheetViews>
    <sheetView zoomScale="130" zoomScaleNormal="130" workbookViewId="0">
      <selection activeCell="P10" sqref="P10"/>
    </sheetView>
  </sheetViews>
  <sheetFormatPr defaultRowHeight="14.4" x14ac:dyDescent="0.3"/>
  <cols>
    <col min="1" max="3" width="11.44140625" customWidth="1"/>
    <col min="6" max="6" width="16" bestFit="1" customWidth="1"/>
  </cols>
  <sheetData>
    <row r="1" spans="1:6" ht="20.399999999999999" thickBot="1" x14ac:dyDescent="0.35">
      <c r="A1" s="1" t="s">
        <v>0</v>
      </c>
      <c r="B1" s="1" t="s">
        <v>1</v>
      </c>
      <c r="C1" s="1" t="s">
        <v>2</v>
      </c>
      <c r="E1" s="1" t="s">
        <v>0</v>
      </c>
      <c r="F1" s="1" t="s">
        <v>127</v>
      </c>
    </row>
    <row r="2" spans="1:6" ht="15" thickTop="1" x14ac:dyDescent="0.3">
      <c r="A2" t="s">
        <v>3</v>
      </c>
      <c r="B2" s="2">
        <v>20000</v>
      </c>
      <c r="C2" s="2">
        <v>22834</v>
      </c>
      <c r="E2" t="s">
        <v>3</v>
      </c>
      <c r="F2" s="11">
        <f>C2-B2</f>
        <v>2834</v>
      </c>
    </row>
    <row r="3" spans="1:6" x14ac:dyDescent="0.3">
      <c r="A3" t="s">
        <v>4</v>
      </c>
      <c r="B3" s="2">
        <v>20000</v>
      </c>
      <c r="C3" s="2">
        <v>20897</v>
      </c>
      <c r="E3" t="s">
        <v>4</v>
      </c>
      <c r="F3" s="11">
        <f t="shared" ref="F3:F13" si="0">C3-B3</f>
        <v>897</v>
      </c>
    </row>
    <row r="4" spans="1:6" x14ac:dyDescent="0.3">
      <c r="A4" t="s">
        <v>5</v>
      </c>
      <c r="B4" s="2">
        <v>25000</v>
      </c>
      <c r="C4" s="2">
        <v>21177</v>
      </c>
      <c r="E4" t="s">
        <v>5</v>
      </c>
      <c r="F4" s="11">
        <f t="shared" si="0"/>
        <v>-3823</v>
      </c>
    </row>
    <row r="5" spans="1:6" x14ac:dyDescent="0.3">
      <c r="A5" t="s">
        <v>6</v>
      </c>
      <c r="B5" s="2">
        <v>30000</v>
      </c>
      <c r="C5" s="2">
        <v>28610</v>
      </c>
      <c r="E5" t="s">
        <v>6</v>
      </c>
      <c r="F5" s="11">
        <f t="shared" si="0"/>
        <v>-1390</v>
      </c>
    </row>
    <row r="6" spans="1:6" x14ac:dyDescent="0.3">
      <c r="A6" t="s">
        <v>7</v>
      </c>
      <c r="B6" s="2">
        <v>30000</v>
      </c>
      <c r="C6" s="2">
        <v>29355</v>
      </c>
      <c r="E6" t="s">
        <v>7</v>
      </c>
      <c r="F6" s="11">
        <f t="shared" si="0"/>
        <v>-645</v>
      </c>
    </row>
    <row r="7" spans="1:6" x14ac:dyDescent="0.3">
      <c r="A7" t="s">
        <v>8</v>
      </c>
      <c r="B7" s="2">
        <v>25000</v>
      </c>
      <c r="C7" s="2">
        <v>22589</v>
      </c>
      <c r="E7" t="s">
        <v>8</v>
      </c>
      <c r="F7" s="11">
        <f t="shared" si="0"/>
        <v>-2411</v>
      </c>
    </row>
    <row r="8" spans="1:6" x14ac:dyDescent="0.3">
      <c r="A8" t="s">
        <v>9</v>
      </c>
      <c r="B8" s="2">
        <v>25000</v>
      </c>
      <c r="C8" s="2">
        <v>28084</v>
      </c>
      <c r="E8" t="s">
        <v>9</v>
      </c>
      <c r="F8" s="11">
        <f t="shared" si="0"/>
        <v>3084</v>
      </c>
    </row>
    <row r="9" spans="1:6" x14ac:dyDescent="0.3">
      <c r="A9" t="s">
        <v>10</v>
      </c>
      <c r="B9" s="2">
        <v>30000</v>
      </c>
      <c r="C9" s="2">
        <v>31857</v>
      </c>
      <c r="E9" t="s">
        <v>10</v>
      </c>
      <c r="F9" s="11">
        <f t="shared" si="0"/>
        <v>1857</v>
      </c>
    </row>
    <row r="10" spans="1:6" x14ac:dyDescent="0.3">
      <c r="A10" t="s">
        <v>11</v>
      </c>
      <c r="B10" s="2">
        <v>45000</v>
      </c>
      <c r="C10" s="2">
        <v>43288</v>
      </c>
      <c r="E10" t="s">
        <v>11</v>
      </c>
      <c r="F10" s="11">
        <f t="shared" si="0"/>
        <v>-1712</v>
      </c>
    </row>
    <row r="11" spans="1:6" x14ac:dyDescent="0.3">
      <c r="A11" t="s">
        <v>12</v>
      </c>
      <c r="B11" s="2">
        <v>45000</v>
      </c>
      <c r="C11" s="2">
        <v>48352</v>
      </c>
      <c r="E11" t="s">
        <v>12</v>
      </c>
      <c r="F11" s="11">
        <f t="shared" si="0"/>
        <v>3352</v>
      </c>
    </row>
    <row r="12" spans="1:6" x14ac:dyDescent="0.3">
      <c r="A12" t="s">
        <v>13</v>
      </c>
      <c r="B12" s="2">
        <v>50000</v>
      </c>
      <c r="C12" s="2">
        <v>53224</v>
      </c>
      <c r="E12" t="s">
        <v>13</v>
      </c>
      <c r="F12" s="11">
        <f t="shared" si="0"/>
        <v>3224</v>
      </c>
    </row>
    <row r="13" spans="1:6" x14ac:dyDescent="0.3">
      <c r="A13" t="s">
        <v>14</v>
      </c>
      <c r="B13" s="2">
        <v>40000</v>
      </c>
      <c r="C13" s="2">
        <v>38485</v>
      </c>
      <c r="E13" t="s">
        <v>14</v>
      </c>
      <c r="F13" s="11">
        <f t="shared" si="0"/>
        <v>-1515</v>
      </c>
    </row>
    <row r="14" spans="1:6" x14ac:dyDescent="0.3">
      <c r="F14" s="1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A731-661F-423C-A554-F59D22149D1A}">
  <dimension ref="A1:H5"/>
  <sheetViews>
    <sheetView tabSelected="1" workbookViewId="0">
      <selection activeCell="M17" sqref="M17"/>
    </sheetView>
  </sheetViews>
  <sheetFormatPr defaultRowHeight="14.4" x14ac:dyDescent="0.3"/>
  <cols>
    <col min="1" max="1" width="19.5546875" bestFit="1" customWidth="1"/>
    <col min="2" max="2" width="11.109375" customWidth="1"/>
    <col min="3" max="3" width="10.109375" customWidth="1"/>
    <col min="6" max="6" width="14.6640625" bestFit="1" customWidth="1"/>
    <col min="7" max="8" width="10.21875" bestFit="1" customWidth="1"/>
  </cols>
  <sheetData>
    <row r="1" spans="1:8" ht="15" thickBot="1" x14ac:dyDescent="0.35">
      <c r="A1" s="5" t="s">
        <v>102</v>
      </c>
      <c r="B1" s="5" t="s">
        <v>1</v>
      </c>
      <c r="C1" s="5" t="s">
        <v>2</v>
      </c>
      <c r="F1" s="5" t="s">
        <v>1</v>
      </c>
      <c r="G1" s="12">
        <f>B2</f>
        <v>1000000</v>
      </c>
    </row>
    <row r="2" spans="1:8" x14ac:dyDescent="0.3">
      <c r="A2" t="s">
        <v>103</v>
      </c>
      <c r="B2" s="9">
        <f>SUM(B3:B5)</f>
        <v>1000000</v>
      </c>
      <c r="C2" s="9">
        <f>SUM(C3:C5)</f>
        <v>1119165</v>
      </c>
      <c r="F2" s="10" t="s">
        <v>104</v>
      </c>
      <c r="G2" s="12">
        <f>C3-B3</f>
        <v>140925</v>
      </c>
      <c r="H2" s="12"/>
    </row>
    <row r="3" spans="1:8" x14ac:dyDescent="0.3">
      <c r="A3" s="10" t="s">
        <v>104</v>
      </c>
      <c r="B3" s="9">
        <v>550000</v>
      </c>
      <c r="C3" s="9">
        <v>690925</v>
      </c>
      <c r="F3" s="10" t="s">
        <v>105</v>
      </c>
      <c r="G3" s="12">
        <f t="shared" ref="G3:G4" si="0">C4-B4</f>
        <v>9495</v>
      </c>
    </row>
    <row r="4" spans="1:8" x14ac:dyDescent="0.3">
      <c r="A4" s="10" t="s">
        <v>105</v>
      </c>
      <c r="B4" s="9">
        <v>320000</v>
      </c>
      <c r="C4" s="9">
        <v>329495</v>
      </c>
      <c r="F4" s="10" t="s">
        <v>106</v>
      </c>
      <c r="G4" s="12">
        <f t="shared" si="0"/>
        <v>-31255</v>
      </c>
    </row>
    <row r="5" spans="1:8" ht="15" thickBot="1" x14ac:dyDescent="0.35">
      <c r="A5" s="10" t="s">
        <v>106</v>
      </c>
      <c r="B5" s="9">
        <v>130000</v>
      </c>
      <c r="C5" s="9">
        <v>98745</v>
      </c>
      <c r="F5" s="5" t="s">
        <v>2</v>
      </c>
      <c r="G5" s="12">
        <f>C2</f>
        <v>1119165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E9DD-EA3A-417E-A33C-975A93044C01}">
  <dimension ref="A1:K27"/>
  <sheetViews>
    <sheetView zoomScale="115" zoomScaleNormal="115" workbookViewId="0">
      <selection activeCell="B3" sqref="B3"/>
    </sheetView>
  </sheetViews>
  <sheetFormatPr defaultRowHeight="14.4" x14ac:dyDescent="0.3"/>
  <cols>
    <col min="2" max="5" width="17.5546875" customWidth="1"/>
  </cols>
  <sheetData>
    <row r="1" spans="1:11" ht="15" thickBot="1" x14ac:dyDescent="0.35">
      <c r="B1" s="15" t="s">
        <v>119</v>
      </c>
      <c r="C1" s="15" t="s">
        <v>120</v>
      </c>
      <c r="D1" s="15" t="s">
        <v>121</v>
      </c>
      <c r="E1" s="15" t="s">
        <v>122</v>
      </c>
      <c r="H1" s="16" t="b">
        <v>1</v>
      </c>
      <c r="I1" s="16" t="b">
        <v>1</v>
      </c>
      <c r="J1" s="16" t="b">
        <v>1</v>
      </c>
      <c r="K1" s="16" t="b">
        <v>0</v>
      </c>
    </row>
    <row r="2" spans="1:11" ht="15" thickTop="1" x14ac:dyDescent="0.3">
      <c r="A2" t="s">
        <v>3</v>
      </c>
      <c r="B2" s="14">
        <v>175</v>
      </c>
      <c r="C2" s="14">
        <v>233</v>
      </c>
      <c r="D2" s="14">
        <v>262</v>
      </c>
      <c r="E2" s="14">
        <v>161</v>
      </c>
    </row>
    <row r="3" spans="1:11" x14ac:dyDescent="0.3">
      <c r="A3" t="s">
        <v>4</v>
      </c>
      <c r="B3" s="14">
        <v>201</v>
      </c>
      <c r="C3" s="14">
        <v>261</v>
      </c>
      <c r="D3" s="14">
        <v>131</v>
      </c>
      <c r="E3" s="14">
        <v>340</v>
      </c>
    </row>
    <row r="4" spans="1:11" x14ac:dyDescent="0.3">
      <c r="A4" t="s">
        <v>5</v>
      </c>
      <c r="B4" s="14">
        <v>333</v>
      </c>
      <c r="C4" s="14">
        <v>144</v>
      </c>
      <c r="D4" s="14">
        <v>313</v>
      </c>
      <c r="E4" s="14">
        <v>181</v>
      </c>
    </row>
    <row r="5" spans="1:11" x14ac:dyDescent="0.3">
      <c r="A5" t="s">
        <v>6</v>
      </c>
      <c r="B5" s="14">
        <v>347</v>
      </c>
      <c r="C5" s="14">
        <v>285</v>
      </c>
      <c r="D5" s="14">
        <v>242</v>
      </c>
      <c r="E5" s="14">
        <v>267</v>
      </c>
    </row>
    <row r="6" spans="1:11" x14ac:dyDescent="0.3">
      <c r="A6" t="s">
        <v>7</v>
      </c>
      <c r="B6" s="14">
        <v>193</v>
      </c>
      <c r="C6" s="14">
        <v>313</v>
      </c>
      <c r="D6" s="14">
        <v>184</v>
      </c>
      <c r="E6" s="14">
        <v>135</v>
      </c>
    </row>
    <row r="7" spans="1:11" x14ac:dyDescent="0.3">
      <c r="A7" t="s">
        <v>8</v>
      </c>
      <c r="B7" s="14">
        <v>161</v>
      </c>
      <c r="C7" s="14">
        <v>337</v>
      </c>
      <c r="D7" s="14">
        <v>245</v>
      </c>
      <c r="E7" s="14">
        <v>293</v>
      </c>
    </row>
    <row r="8" spans="1:11" x14ac:dyDescent="0.3">
      <c r="A8" t="s">
        <v>9</v>
      </c>
      <c r="B8" s="14">
        <v>374</v>
      </c>
      <c r="C8" s="14">
        <v>351</v>
      </c>
      <c r="D8" s="14">
        <v>194</v>
      </c>
      <c r="E8" s="14">
        <v>139</v>
      </c>
    </row>
    <row r="9" spans="1:11" x14ac:dyDescent="0.3">
      <c r="A9" t="s">
        <v>10</v>
      </c>
      <c r="B9" s="14">
        <v>188</v>
      </c>
      <c r="C9" s="14">
        <v>260</v>
      </c>
      <c r="D9" s="14">
        <v>198</v>
      </c>
      <c r="E9" s="14">
        <v>134</v>
      </c>
    </row>
    <row r="10" spans="1:11" x14ac:dyDescent="0.3">
      <c r="A10" t="s">
        <v>11</v>
      </c>
      <c r="B10" s="14">
        <v>197</v>
      </c>
      <c r="C10" s="14">
        <v>172</v>
      </c>
      <c r="D10" s="14">
        <v>221</v>
      </c>
      <c r="E10" s="14">
        <v>215</v>
      </c>
    </row>
    <row r="11" spans="1:11" x14ac:dyDescent="0.3">
      <c r="A11" t="s">
        <v>12</v>
      </c>
      <c r="B11" s="14">
        <v>193</v>
      </c>
      <c r="C11" s="14">
        <v>225</v>
      </c>
      <c r="D11" s="14">
        <v>150</v>
      </c>
      <c r="E11" s="14">
        <v>264</v>
      </c>
    </row>
    <row r="12" spans="1:11" x14ac:dyDescent="0.3">
      <c r="A12" t="s">
        <v>13</v>
      </c>
      <c r="B12" s="14">
        <v>240</v>
      </c>
      <c r="C12" s="14">
        <v>198</v>
      </c>
      <c r="D12" s="14">
        <v>336</v>
      </c>
      <c r="E12" s="14">
        <v>307</v>
      </c>
    </row>
    <row r="13" spans="1:11" x14ac:dyDescent="0.3">
      <c r="A13" t="s">
        <v>14</v>
      </c>
      <c r="B13" s="14">
        <v>176</v>
      </c>
      <c r="C13" s="14">
        <v>149</v>
      </c>
      <c r="D13" s="14">
        <v>259</v>
      </c>
      <c r="E13" s="14">
        <v>342</v>
      </c>
    </row>
    <row r="15" spans="1:11" ht="15" thickBot="1" x14ac:dyDescent="0.35">
      <c r="B15" s="15" t="s">
        <v>119</v>
      </c>
      <c r="C15" s="15" t="s">
        <v>120</v>
      </c>
      <c r="D15" s="15" t="s">
        <v>121</v>
      </c>
      <c r="E15" s="15" t="s">
        <v>122</v>
      </c>
    </row>
    <row r="16" spans="1:11" ht="15" thickTop="1" x14ac:dyDescent="0.3">
      <c r="A16" t="s">
        <v>3</v>
      </c>
    </row>
    <row r="17" spans="1:1" x14ac:dyDescent="0.3">
      <c r="A17" t="s">
        <v>4</v>
      </c>
    </row>
    <row r="18" spans="1:1" x14ac:dyDescent="0.3">
      <c r="A18" t="s">
        <v>5</v>
      </c>
    </row>
    <row r="19" spans="1:1" x14ac:dyDescent="0.3">
      <c r="A19" t="s">
        <v>6</v>
      </c>
    </row>
    <row r="20" spans="1:1" x14ac:dyDescent="0.3">
      <c r="A20" t="s">
        <v>7</v>
      </c>
    </row>
    <row r="21" spans="1:1" x14ac:dyDescent="0.3">
      <c r="A21" t="s">
        <v>8</v>
      </c>
    </row>
    <row r="22" spans="1:1" x14ac:dyDescent="0.3">
      <c r="A22" t="s">
        <v>9</v>
      </c>
    </row>
    <row r="23" spans="1:1" x14ac:dyDescent="0.3">
      <c r="A23" t="s">
        <v>10</v>
      </c>
    </row>
    <row r="24" spans="1:1" x14ac:dyDescent="0.3">
      <c r="A24" t="s">
        <v>11</v>
      </c>
    </row>
    <row r="25" spans="1:1" x14ac:dyDescent="0.3">
      <c r="A25" t="s">
        <v>12</v>
      </c>
    </row>
    <row r="26" spans="1:1" x14ac:dyDescent="0.3">
      <c r="A26" t="s">
        <v>13</v>
      </c>
    </row>
    <row r="27" spans="1:1" x14ac:dyDescent="0.3">
      <c r="A27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76CC-5062-4EF6-8A2D-01F66418EE72}">
  <dimension ref="A1:I54"/>
  <sheetViews>
    <sheetView zoomScale="130" zoomScaleNormal="130" workbookViewId="0">
      <selection activeCell="C2" sqref="C2"/>
    </sheetView>
  </sheetViews>
  <sheetFormatPr defaultRowHeight="14.4" x14ac:dyDescent="0.3"/>
  <cols>
    <col min="1" max="1" width="10.109375" bestFit="1" customWidth="1"/>
    <col min="5" max="5" width="10.109375" bestFit="1" customWidth="1"/>
    <col min="6" max="6" width="11.109375" customWidth="1"/>
    <col min="9" max="9" width="10.21875" customWidth="1"/>
    <col min="10" max="10" width="11" customWidth="1"/>
    <col min="11" max="11" width="11.5546875" customWidth="1"/>
  </cols>
  <sheetData>
    <row r="1" spans="1:9" ht="15" thickBot="1" x14ac:dyDescent="0.35">
      <c r="A1" s="6" t="s">
        <v>117</v>
      </c>
      <c r="B1" s="6" t="s">
        <v>103</v>
      </c>
      <c r="C1" s="6" t="s">
        <v>118</v>
      </c>
      <c r="E1" s="9" t="s">
        <v>124</v>
      </c>
      <c r="F1" s="13"/>
      <c r="H1" s="14" t="s">
        <v>123</v>
      </c>
      <c r="I1" s="13"/>
    </row>
    <row r="2" spans="1:9" x14ac:dyDescent="0.3">
      <c r="A2" s="4">
        <v>42736</v>
      </c>
      <c r="B2" s="2">
        <v>271739</v>
      </c>
      <c r="C2" s="2">
        <v>32608.68</v>
      </c>
      <c r="E2" s="9"/>
    </row>
    <row r="3" spans="1:9" x14ac:dyDescent="0.3">
      <c r="A3" s="4">
        <v>42767</v>
      </c>
      <c r="B3" s="2">
        <v>274599</v>
      </c>
      <c r="C3" s="2">
        <v>30205.89</v>
      </c>
      <c r="E3" s="9"/>
    </row>
    <row r="4" spans="1:9" x14ac:dyDescent="0.3">
      <c r="A4" s="4">
        <v>42795</v>
      </c>
      <c r="B4" s="2">
        <v>233636</v>
      </c>
      <c r="C4" s="2">
        <v>42054.479999999996</v>
      </c>
      <c r="E4" s="4"/>
      <c r="F4" s="17"/>
      <c r="G4" s="11"/>
    </row>
    <row r="5" spans="1:9" x14ac:dyDescent="0.3">
      <c r="A5" s="4">
        <v>42826</v>
      </c>
      <c r="B5" s="2">
        <v>105228</v>
      </c>
      <c r="C5" s="2">
        <v>13679.640000000001</v>
      </c>
      <c r="E5" s="4"/>
      <c r="F5" s="17"/>
    </row>
    <row r="6" spans="1:9" x14ac:dyDescent="0.3">
      <c r="A6" s="4">
        <v>42856</v>
      </c>
      <c r="B6" s="2">
        <v>272471</v>
      </c>
      <c r="C6" s="2">
        <v>46320.07</v>
      </c>
      <c r="E6" s="4"/>
      <c r="F6" s="17"/>
      <c r="I6" s="4"/>
    </row>
    <row r="7" spans="1:9" x14ac:dyDescent="0.3">
      <c r="A7" s="4">
        <v>42887</v>
      </c>
      <c r="B7" s="2">
        <v>163407</v>
      </c>
      <c r="C7" s="2">
        <v>22876.980000000003</v>
      </c>
      <c r="E7" s="4"/>
      <c r="F7" s="17"/>
      <c r="I7" s="4"/>
    </row>
    <row r="8" spans="1:9" x14ac:dyDescent="0.3">
      <c r="A8" s="4">
        <v>42917</v>
      </c>
      <c r="B8" s="2">
        <v>122575</v>
      </c>
      <c r="C8" s="2">
        <v>14709</v>
      </c>
      <c r="E8" s="4"/>
      <c r="F8" s="17"/>
      <c r="I8" s="4"/>
    </row>
    <row r="9" spans="1:9" x14ac:dyDescent="0.3">
      <c r="A9" s="4">
        <v>42948</v>
      </c>
      <c r="B9" s="2">
        <v>135852</v>
      </c>
      <c r="C9" s="2">
        <v>25811.88</v>
      </c>
      <c r="E9" s="4"/>
      <c r="F9" s="17"/>
      <c r="I9" s="4"/>
    </row>
    <row r="10" spans="1:9" x14ac:dyDescent="0.3">
      <c r="A10" s="4">
        <v>42979</v>
      </c>
      <c r="B10" s="2">
        <v>231652</v>
      </c>
      <c r="C10" s="2">
        <v>44013.88</v>
      </c>
      <c r="E10" s="4"/>
      <c r="F10" s="17"/>
      <c r="I10" s="4"/>
    </row>
    <row r="11" spans="1:9" x14ac:dyDescent="0.3">
      <c r="A11" s="4">
        <v>43009</v>
      </c>
      <c r="B11" s="2">
        <v>285444</v>
      </c>
      <c r="C11" s="2">
        <v>57088.800000000003</v>
      </c>
      <c r="E11" s="4"/>
      <c r="F11" s="17"/>
      <c r="I11" s="4"/>
    </row>
    <row r="12" spans="1:9" x14ac:dyDescent="0.3">
      <c r="A12" s="4">
        <v>43040</v>
      </c>
      <c r="B12" s="2">
        <v>194543</v>
      </c>
      <c r="C12" s="2">
        <v>29181.45</v>
      </c>
      <c r="E12" s="4"/>
      <c r="F12" s="17"/>
      <c r="I12" s="4"/>
    </row>
    <row r="13" spans="1:9" x14ac:dyDescent="0.3">
      <c r="A13" s="4">
        <v>43070</v>
      </c>
      <c r="B13" s="2">
        <v>173825</v>
      </c>
      <c r="C13" s="2">
        <v>24335.500000000004</v>
      </c>
      <c r="E13" s="4"/>
      <c r="F13" s="17"/>
      <c r="I13" s="4"/>
    </row>
    <row r="14" spans="1:9" x14ac:dyDescent="0.3">
      <c r="A14" s="4">
        <v>43101</v>
      </c>
      <c r="B14" s="2">
        <v>258822</v>
      </c>
      <c r="C14" s="2">
        <v>25882.2</v>
      </c>
      <c r="E14" s="4"/>
      <c r="F14" s="17"/>
      <c r="I14" s="4"/>
    </row>
    <row r="15" spans="1:9" x14ac:dyDescent="0.3">
      <c r="A15" s="4">
        <v>43132</v>
      </c>
      <c r="B15" s="2">
        <v>100270</v>
      </c>
      <c r="C15" s="2">
        <v>15040.5</v>
      </c>
      <c r="E15" s="4"/>
      <c r="F15" s="17"/>
      <c r="I15" s="4"/>
    </row>
    <row r="16" spans="1:9" x14ac:dyDescent="0.3">
      <c r="A16" s="4">
        <v>43160</v>
      </c>
      <c r="B16" s="2">
        <v>248431</v>
      </c>
      <c r="C16" s="2">
        <v>34780.340000000004</v>
      </c>
      <c r="E16" s="4"/>
      <c r="F16" s="17"/>
      <c r="I16" s="4"/>
    </row>
    <row r="17" spans="1:9" x14ac:dyDescent="0.3">
      <c r="A17" s="4">
        <v>43191</v>
      </c>
      <c r="B17" s="2">
        <v>233784</v>
      </c>
      <c r="C17" s="2">
        <v>25716.240000000002</v>
      </c>
      <c r="E17" s="4"/>
      <c r="F17" s="17"/>
      <c r="I17" s="4"/>
    </row>
    <row r="18" spans="1:9" x14ac:dyDescent="0.3">
      <c r="A18" s="4">
        <v>43221</v>
      </c>
      <c r="B18" s="2">
        <v>176660</v>
      </c>
      <c r="C18" s="2">
        <v>24732.400000000001</v>
      </c>
      <c r="E18" s="4"/>
      <c r="F18" s="17"/>
      <c r="I18" s="4"/>
    </row>
    <row r="19" spans="1:9" x14ac:dyDescent="0.3">
      <c r="A19" s="4">
        <v>43252</v>
      </c>
      <c r="B19" s="2">
        <v>200457</v>
      </c>
      <c r="C19" s="2">
        <v>30068.55</v>
      </c>
      <c r="E19" s="4"/>
      <c r="F19" s="2"/>
      <c r="I19" s="4"/>
    </row>
    <row r="20" spans="1:9" x14ac:dyDescent="0.3">
      <c r="A20" s="4">
        <v>43282</v>
      </c>
      <c r="B20" s="2">
        <v>196729</v>
      </c>
      <c r="C20" s="2">
        <v>19672.900000000001</v>
      </c>
      <c r="E20" s="4"/>
      <c r="F20" s="2"/>
      <c r="I20" s="4"/>
    </row>
    <row r="21" spans="1:9" x14ac:dyDescent="0.3">
      <c r="A21" s="4">
        <v>43313</v>
      </c>
      <c r="B21" s="2">
        <v>208699</v>
      </c>
      <c r="C21" s="2">
        <v>29217.860000000004</v>
      </c>
      <c r="E21" s="4"/>
      <c r="F21" s="2"/>
      <c r="I21" s="4"/>
    </row>
    <row r="22" spans="1:9" x14ac:dyDescent="0.3">
      <c r="A22" s="4">
        <v>43344</v>
      </c>
      <c r="B22" s="2">
        <v>307342</v>
      </c>
      <c r="C22" s="2">
        <v>46101.299999999996</v>
      </c>
      <c r="E22" s="4"/>
      <c r="F22" s="2"/>
      <c r="I22" s="4"/>
    </row>
    <row r="23" spans="1:9" x14ac:dyDescent="0.3">
      <c r="A23" s="4">
        <v>43374</v>
      </c>
      <c r="B23" s="2">
        <v>255952</v>
      </c>
      <c r="C23" s="2">
        <v>43511.840000000004</v>
      </c>
      <c r="E23" s="4"/>
      <c r="F23" s="2"/>
    </row>
    <row r="24" spans="1:9" x14ac:dyDescent="0.3">
      <c r="A24" s="4">
        <v>43405</v>
      </c>
      <c r="B24" s="2">
        <v>140535</v>
      </c>
      <c r="C24" s="2">
        <v>14053.5</v>
      </c>
      <c r="E24" s="4"/>
      <c r="F24" s="2"/>
    </row>
    <row r="25" spans="1:9" x14ac:dyDescent="0.3">
      <c r="A25" s="4">
        <v>43435</v>
      </c>
      <c r="B25" s="2">
        <v>310899</v>
      </c>
      <c r="C25" s="2">
        <v>40416.870000000003</v>
      </c>
      <c r="E25" s="4"/>
      <c r="F25" s="2"/>
    </row>
    <row r="26" spans="1:9" x14ac:dyDescent="0.3">
      <c r="A26" s="4">
        <v>43466</v>
      </c>
      <c r="B26" s="2">
        <v>200362</v>
      </c>
      <c r="C26" s="2">
        <v>28050.680000000004</v>
      </c>
      <c r="E26" s="4"/>
      <c r="F26" s="2"/>
    </row>
    <row r="27" spans="1:9" x14ac:dyDescent="0.3">
      <c r="A27" s="4">
        <v>43497</v>
      </c>
      <c r="B27" s="2">
        <v>107310</v>
      </c>
      <c r="C27" s="2">
        <v>16096.5</v>
      </c>
      <c r="E27" s="4"/>
      <c r="F27" s="2"/>
    </row>
    <row r="28" spans="1:9" x14ac:dyDescent="0.3">
      <c r="A28" s="4">
        <v>43525</v>
      </c>
      <c r="B28" s="2">
        <v>147757</v>
      </c>
      <c r="C28" s="2">
        <v>17730.84</v>
      </c>
      <c r="E28" s="4"/>
      <c r="F28" s="2"/>
    </row>
    <row r="29" spans="1:9" x14ac:dyDescent="0.3">
      <c r="A29" s="4">
        <v>43556</v>
      </c>
      <c r="B29" s="2">
        <v>309155</v>
      </c>
      <c r="C29" s="2">
        <v>49464.800000000003</v>
      </c>
      <c r="E29" s="4"/>
      <c r="F29" s="2"/>
    </row>
    <row r="30" spans="1:9" x14ac:dyDescent="0.3">
      <c r="A30" s="4">
        <v>43586</v>
      </c>
      <c r="B30" s="2">
        <v>175294</v>
      </c>
      <c r="C30" s="2">
        <v>26294.1</v>
      </c>
      <c r="E30" s="4"/>
      <c r="F30" s="2"/>
    </row>
    <row r="31" spans="1:9" x14ac:dyDescent="0.3">
      <c r="A31" s="4">
        <v>43617</v>
      </c>
      <c r="B31" s="2">
        <v>209986</v>
      </c>
      <c r="C31" s="2">
        <v>27298.18</v>
      </c>
      <c r="E31" s="4"/>
      <c r="F31" s="2"/>
    </row>
    <row r="32" spans="1:9" x14ac:dyDescent="0.3">
      <c r="A32" s="4">
        <v>43647</v>
      </c>
      <c r="B32" s="2">
        <v>222831</v>
      </c>
      <c r="C32" s="2">
        <v>31196.340000000004</v>
      </c>
      <c r="E32" s="4"/>
      <c r="F32" s="2"/>
    </row>
    <row r="33" spans="1:6" x14ac:dyDescent="0.3">
      <c r="A33" s="4">
        <v>43678</v>
      </c>
      <c r="B33" s="2">
        <v>122388</v>
      </c>
      <c r="C33" s="2">
        <v>13462.68</v>
      </c>
      <c r="E33" s="4"/>
      <c r="F33" s="2"/>
    </row>
    <row r="34" spans="1:6" x14ac:dyDescent="0.3">
      <c r="A34" s="4">
        <v>43709</v>
      </c>
      <c r="B34" s="2">
        <v>256478</v>
      </c>
      <c r="C34" s="2">
        <v>33342.14</v>
      </c>
      <c r="E34" s="4"/>
      <c r="F34" s="2"/>
    </row>
    <row r="35" spans="1:6" x14ac:dyDescent="0.3">
      <c r="A35" s="4">
        <v>43739</v>
      </c>
      <c r="B35" s="2">
        <v>208760</v>
      </c>
      <c r="C35" s="2">
        <v>37576.799999999996</v>
      </c>
      <c r="E35" s="4"/>
      <c r="F35" s="2"/>
    </row>
    <row r="36" spans="1:6" x14ac:dyDescent="0.3">
      <c r="A36" s="4">
        <v>43770</v>
      </c>
      <c r="B36" s="2">
        <v>266607</v>
      </c>
      <c r="C36" s="2">
        <v>50655.33</v>
      </c>
      <c r="E36" s="4"/>
      <c r="F36" s="2"/>
    </row>
    <row r="37" spans="1:6" x14ac:dyDescent="0.3">
      <c r="A37" s="4">
        <v>43800</v>
      </c>
      <c r="B37" s="2">
        <v>295853</v>
      </c>
      <c r="C37" s="2">
        <v>29585.300000000003</v>
      </c>
      <c r="E37" s="4"/>
      <c r="F37" s="2"/>
    </row>
    <row r="38" spans="1:6" x14ac:dyDescent="0.3">
      <c r="A38" s="4">
        <v>43831</v>
      </c>
      <c r="B38" s="2">
        <v>245832</v>
      </c>
      <c r="C38" s="2">
        <v>44249.759999999995</v>
      </c>
      <c r="E38" s="4"/>
      <c r="F38" s="2"/>
    </row>
    <row r="39" spans="1:6" x14ac:dyDescent="0.3">
      <c r="A39" s="4">
        <v>43862</v>
      </c>
      <c r="B39" s="2">
        <v>148900</v>
      </c>
      <c r="C39" s="2">
        <v>23824</v>
      </c>
      <c r="E39" s="4"/>
      <c r="F39" s="2"/>
    </row>
    <row r="40" spans="1:6" x14ac:dyDescent="0.3">
      <c r="A40" s="4">
        <v>43891</v>
      </c>
      <c r="B40" s="2">
        <v>316655</v>
      </c>
      <c r="C40" s="2">
        <v>44331.700000000004</v>
      </c>
      <c r="E40" s="4"/>
      <c r="F40" s="2"/>
    </row>
    <row r="41" spans="1:6" x14ac:dyDescent="0.3">
      <c r="A41" s="4">
        <v>43922</v>
      </c>
      <c r="B41" s="2">
        <v>195564</v>
      </c>
      <c r="C41" s="2">
        <v>19556.400000000001</v>
      </c>
      <c r="E41" s="4"/>
      <c r="F41" s="2"/>
    </row>
    <row r="42" spans="1:6" x14ac:dyDescent="0.3">
      <c r="A42" s="4">
        <v>43952</v>
      </c>
      <c r="B42" s="2">
        <v>328988</v>
      </c>
      <c r="C42" s="2">
        <v>49348.2</v>
      </c>
      <c r="E42" s="4"/>
      <c r="F42" s="2"/>
    </row>
    <row r="43" spans="1:6" x14ac:dyDescent="0.3">
      <c r="A43" s="4">
        <v>43983</v>
      </c>
      <c r="B43" s="2">
        <v>172856</v>
      </c>
      <c r="C43" s="2">
        <v>29385.52</v>
      </c>
      <c r="E43" s="4"/>
      <c r="F43" s="2"/>
    </row>
    <row r="44" spans="1:6" x14ac:dyDescent="0.3">
      <c r="A44" s="4">
        <v>44013</v>
      </c>
      <c r="B44" s="2">
        <v>319261</v>
      </c>
      <c r="C44" s="2">
        <v>63852.200000000004</v>
      </c>
      <c r="E44" s="4"/>
      <c r="F44" s="2"/>
    </row>
    <row r="45" spans="1:6" x14ac:dyDescent="0.3">
      <c r="A45" s="4">
        <v>44044</v>
      </c>
      <c r="B45" s="2">
        <v>222693</v>
      </c>
      <c r="C45" s="2">
        <v>42311.67</v>
      </c>
      <c r="E45" s="4"/>
      <c r="F45" s="2"/>
    </row>
    <row r="46" spans="1:6" x14ac:dyDescent="0.3">
      <c r="A46" s="4">
        <v>44075</v>
      </c>
      <c r="B46" s="2">
        <v>197144</v>
      </c>
      <c r="C46" s="2">
        <v>29571.599999999999</v>
      </c>
      <c r="E46" s="4"/>
      <c r="F46" s="2"/>
    </row>
    <row r="47" spans="1:6" x14ac:dyDescent="0.3">
      <c r="A47" s="4">
        <v>44105</v>
      </c>
      <c r="B47" s="2">
        <v>116636</v>
      </c>
      <c r="C47" s="2">
        <v>19828.120000000003</v>
      </c>
      <c r="E47" s="4"/>
      <c r="F47" s="2"/>
    </row>
    <row r="48" spans="1:6" x14ac:dyDescent="0.3">
      <c r="A48" s="4">
        <v>44136</v>
      </c>
      <c r="B48" s="2">
        <v>315237</v>
      </c>
      <c r="C48" s="2">
        <v>63047.4</v>
      </c>
      <c r="E48" s="4"/>
      <c r="F48" s="2"/>
    </row>
    <row r="49" spans="1:6" x14ac:dyDescent="0.3">
      <c r="A49" s="4">
        <v>44166</v>
      </c>
      <c r="B49" s="2">
        <v>346237</v>
      </c>
      <c r="C49" s="2">
        <v>65785.03</v>
      </c>
      <c r="E49" s="4"/>
      <c r="F49" s="2"/>
    </row>
    <row r="50" spans="1:6" x14ac:dyDescent="0.3">
      <c r="E50" s="4"/>
      <c r="F50" s="2"/>
    </row>
    <row r="51" spans="1:6" x14ac:dyDescent="0.3">
      <c r="E51" s="4"/>
      <c r="F51" s="2"/>
    </row>
    <row r="52" spans="1:6" x14ac:dyDescent="0.3">
      <c r="E52" s="4"/>
      <c r="F52" s="2"/>
    </row>
    <row r="53" spans="1:6" x14ac:dyDescent="0.3">
      <c r="E53" s="4"/>
      <c r="F53" s="2"/>
    </row>
    <row r="54" spans="1:6" x14ac:dyDescent="0.3">
      <c r="F5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013D-3189-4F15-B5E2-0D0769622EDA}">
  <dimension ref="A1:B6"/>
  <sheetViews>
    <sheetView zoomScale="130" zoomScaleNormal="130" workbookViewId="0">
      <selection activeCell="A2" sqref="A2"/>
    </sheetView>
  </sheetViews>
  <sheetFormatPr defaultRowHeight="14.4" x14ac:dyDescent="0.3"/>
  <cols>
    <col min="1" max="1" width="22" bestFit="1" customWidth="1"/>
    <col min="2" max="2" width="11.5546875" bestFit="1" customWidth="1"/>
  </cols>
  <sheetData>
    <row r="1" spans="1:2" ht="15" thickBot="1" x14ac:dyDescent="0.35">
      <c r="A1" s="5" t="s">
        <v>100</v>
      </c>
      <c r="B1" s="5" t="s">
        <v>101</v>
      </c>
    </row>
    <row r="2" spans="1:2" x14ac:dyDescent="0.3">
      <c r="A2" t="s">
        <v>96</v>
      </c>
      <c r="B2">
        <v>1200</v>
      </c>
    </row>
    <row r="3" spans="1:2" x14ac:dyDescent="0.3">
      <c r="A3" t="s">
        <v>95</v>
      </c>
      <c r="B3">
        <v>764</v>
      </c>
    </row>
    <row r="4" spans="1:2" x14ac:dyDescent="0.3">
      <c r="A4" t="s">
        <v>97</v>
      </c>
      <c r="B4">
        <v>237</v>
      </c>
    </row>
    <row r="5" spans="1:2" x14ac:dyDescent="0.3">
      <c r="A5" t="s">
        <v>98</v>
      </c>
      <c r="B5">
        <v>109</v>
      </c>
    </row>
    <row r="6" spans="1:2" x14ac:dyDescent="0.3">
      <c r="A6" t="s">
        <v>99</v>
      </c>
      <c r="B6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78AD-8499-4E48-8228-010563B3ACDF}">
  <dimension ref="A1:B9"/>
  <sheetViews>
    <sheetView zoomScale="205" zoomScaleNormal="205" workbookViewId="0">
      <selection activeCell="A2" sqref="A2"/>
    </sheetView>
  </sheetViews>
  <sheetFormatPr defaultRowHeight="14.4" x14ac:dyDescent="0.3"/>
  <cols>
    <col min="1" max="1" width="24.21875" bestFit="1" customWidth="1"/>
  </cols>
  <sheetData>
    <row r="1" spans="1:2" ht="15" thickBot="1" x14ac:dyDescent="0.35">
      <c r="A1" s="5" t="s">
        <v>107</v>
      </c>
      <c r="B1" s="5" t="s">
        <v>108</v>
      </c>
    </row>
    <row r="2" spans="1:2" x14ac:dyDescent="0.3">
      <c r="A2" t="s">
        <v>109</v>
      </c>
      <c r="B2">
        <v>12</v>
      </c>
    </row>
    <row r="3" spans="1:2" x14ac:dyDescent="0.3">
      <c r="A3" t="s">
        <v>110</v>
      </c>
      <c r="B3">
        <v>29</v>
      </c>
    </row>
    <row r="4" spans="1:2" x14ac:dyDescent="0.3">
      <c r="A4" t="s">
        <v>111</v>
      </c>
      <c r="B4">
        <v>58</v>
      </c>
    </row>
    <row r="5" spans="1:2" x14ac:dyDescent="0.3">
      <c r="A5" t="s">
        <v>112</v>
      </c>
      <c r="B5">
        <v>292</v>
      </c>
    </row>
    <row r="6" spans="1:2" x14ac:dyDescent="0.3">
      <c r="A6" t="s">
        <v>113</v>
      </c>
      <c r="B6">
        <v>117</v>
      </c>
    </row>
    <row r="7" spans="1:2" x14ac:dyDescent="0.3">
      <c r="A7" t="s">
        <v>114</v>
      </c>
      <c r="B7">
        <v>36</v>
      </c>
    </row>
    <row r="8" spans="1:2" x14ac:dyDescent="0.3">
      <c r="A8" t="s">
        <v>115</v>
      </c>
      <c r="B8">
        <v>11</v>
      </c>
    </row>
    <row r="9" spans="1:2" x14ac:dyDescent="0.3">
      <c r="A9" t="s">
        <v>116</v>
      </c>
      <c r="B9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CDAF-4183-4711-9226-845E3AE2DB49}">
  <dimension ref="A1:B9"/>
  <sheetViews>
    <sheetView zoomScale="160" zoomScaleNormal="160" workbookViewId="0">
      <selection activeCell="H17" sqref="H17"/>
    </sheetView>
  </sheetViews>
  <sheetFormatPr defaultRowHeight="14.4" x14ac:dyDescent="0.3"/>
  <cols>
    <col min="1" max="1" width="24.21875" bestFit="1" customWidth="1"/>
  </cols>
  <sheetData>
    <row r="1" spans="1:2" ht="15" thickBot="1" x14ac:dyDescent="0.35">
      <c r="A1" s="5" t="s">
        <v>107</v>
      </c>
      <c r="B1" s="5" t="s">
        <v>108</v>
      </c>
    </row>
    <row r="2" spans="1:2" x14ac:dyDescent="0.3">
      <c r="A2" t="s">
        <v>109</v>
      </c>
      <c r="B2">
        <v>12</v>
      </c>
    </row>
    <row r="3" spans="1:2" x14ac:dyDescent="0.3">
      <c r="A3" t="s">
        <v>110</v>
      </c>
      <c r="B3">
        <v>29</v>
      </c>
    </row>
    <row r="4" spans="1:2" x14ac:dyDescent="0.3">
      <c r="A4" t="s">
        <v>111</v>
      </c>
      <c r="B4">
        <v>58</v>
      </c>
    </row>
    <row r="5" spans="1:2" x14ac:dyDescent="0.3">
      <c r="A5" t="s">
        <v>112</v>
      </c>
      <c r="B5">
        <v>292</v>
      </c>
    </row>
    <row r="6" spans="1:2" x14ac:dyDescent="0.3">
      <c r="A6" t="s">
        <v>113</v>
      </c>
      <c r="B6">
        <v>117</v>
      </c>
    </row>
    <row r="7" spans="1:2" x14ac:dyDescent="0.3">
      <c r="A7" t="s">
        <v>114</v>
      </c>
      <c r="B7">
        <v>36</v>
      </c>
    </row>
    <row r="8" spans="1:2" x14ac:dyDescent="0.3">
      <c r="A8" t="s">
        <v>115</v>
      </c>
      <c r="B8">
        <v>11</v>
      </c>
    </row>
    <row r="9" spans="1:2" x14ac:dyDescent="0.3">
      <c r="A9" t="s">
        <v>116</v>
      </c>
      <c r="B9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CDEC-FE3E-4A6C-B937-C9EC54003D25}">
  <dimension ref="A1:B6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.109375" bestFit="1" customWidth="1"/>
    <col min="2" max="2" width="21.5546875" customWidth="1"/>
  </cols>
  <sheetData>
    <row r="1" spans="1:2" ht="30.75" customHeight="1" thickBot="1" x14ac:dyDescent="0.35">
      <c r="A1" s="7" t="s">
        <v>27</v>
      </c>
      <c r="B1" s="8" t="s">
        <v>94</v>
      </c>
    </row>
    <row r="2" spans="1:2" x14ac:dyDescent="0.3">
      <c r="A2" t="s">
        <v>28</v>
      </c>
      <c r="B2">
        <v>851.6</v>
      </c>
    </row>
    <row r="3" spans="1:2" x14ac:dyDescent="0.3">
      <c r="A3" t="s">
        <v>29</v>
      </c>
      <c r="B3">
        <v>559.70000000000005</v>
      </c>
    </row>
    <row r="4" spans="1:2" x14ac:dyDescent="0.3">
      <c r="A4" t="s">
        <v>125</v>
      </c>
      <c r="B4">
        <v>195.5</v>
      </c>
    </row>
    <row r="5" spans="1:2" x14ac:dyDescent="0.3">
      <c r="A5" t="s">
        <v>30</v>
      </c>
      <c r="B5">
        <v>189.6</v>
      </c>
    </row>
    <row r="6" spans="1:2" x14ac:dyDescent="0.3">
      <c r="A6" t="s">
        <v>31</v>
      </c>
      <c r="B6">
        <v>168.1</v>
      </c>
    </row>
    <row r="7" spans="1:2" x14ac:dyDescent="0.3">
      <c r="A7" t="s">
        <v>32</v>
      </c>
      <c r="B7">
        <v>143</v>
      </c>
    </row>
    <row r="8" spans="1:2" x14ac:dyDescent="0.3">
      <c r="A8" t="s">
        <v>33</v>
      </c>
      <c r="B8">
        <v>137.30000000000001</v>
      </c>
    </row>
    <row r="9" spans="1:2" x14ac:dyDescent="0.3">
      <c r="A9" t="s">
        <v>34</v>
      </c>
      <c r="B9">
        <v>113.7</v>
      </c>
    </row>
    <row r="10" spans="1:2" x14ac:dyDescent="0.3">
      <c r="A10" t="s">
        <v>35</v>
      </c>
      <c r="B10">
        <v>110.2</v>
      </c>
    </row>
    <row r="11" spans="1:2" x14ac:dyDescent="0.3">
      <c r="A11" t="s">
        <v>36</v>
      </c>
      <c r="B11">
        <v>100.3</v>
      </c>
    </row>
    <row r="12" spans="1:2" x14ac:dyDescent="0.3">
      <c r="A12" t="s">
        <v>37</v>
      </c>
      <c r="B12">
        <v>88.9</v>
      </c>
    </row>
    <row r="13" spans="1:2" x14ac:dyDescent="0.3">
      <c r="A13" t="s">
        <v>38</v>
      </c>
      <c r="B13">
        <v>84.3</v>
      </c>
    </row>
    <row r="14" spans="1:2" x14ac:dyDescent="0.3">
      <c r="A14" t="s">
        <v>39</v>
      </c>
      <c r="B14">
        <v>76.099999999999994</v>
      </c>
    </row>
    <row r="15" spans="1:2" x14ac:dyDescent="0.3">
      <c r="A15" t="s">
        <v>40</v>
      </c>
      <c r="B15">
        <v>73.5</v>
      </c>
    </row>
    <row r="16" spans="1:2" x14ac:dyDescent="0.3">
      <c r="A16" t="s">
        <v>41</v>
      </c>
      <c r="B16">
        <v>71.599999999999994</v>
      </c>
    </row>
    <row r="17" spans="1:2" x14ac:dyDescent="0.3">
      <c r="A17" t="s">
        <v>42</v>
      </c>
      <c r="B17">
        <v>69.5</v>
      </c>
    </row>
    <row r="18" spans="1:2" x14ac:dyDescent="0.3">
      <c r="A18" t="s">
        <v>43</v>
      </c>
      <c r="B18">
        <v>59.3</v>
      </c>
    </row>
    <row r="19" spans="1:2" x14ac:dyDescent="0.3">
      <c r="A19" t="s">
        <v>44</v>
      </c>
      <c r="B19">
        <v>60.5</v>
      </c>
    </row>
    <row r="20" spans="1:2" x14ac:dyDescent="0.3">
      <c r="A20" t="s">
        <v>45</v>
      </c>
      <c r="B20">
        <v>56.6</v>
      </c>
    </row>
    <row r="21" spans="1:2" x14ac:dyDescent="0.3">
      <c r="A21" t="s">
        <v>46</v>
      </c>
      <c r="B21">
        <v>46.2</v>
      </c>
    </row>
    <row r="22" spans="1:2" x14ac:dyDescent="0.3">
      <c r="A22" t="s">
        <v>47</v>
      </c>
      <c r="B22">
        <v>46</v>
      </c>
    </row>
    <row r="23" spans="1:2" x14ac:dyDescent="0.3">
      <c r="A23" t="s">
        <v>48</v>
      </c>
      <c r="B23">
        <v>40</v>
      </c>
    </row>
    <row r="24" spans="1:2" x14ac:dyDescent="0.3">
      <c r="A24" t="s">
        <v>49</v>
      </c>
      <c r="B24">
        <v>39.200000000000003</v>
      </c>
    </row>
    <row r="25" spans="1:2" x14ac:dyDescent="0.3">
      <c r="A25" t="s">
        <v>50</v>
      </c>
      <c r="B25">
        <v>38.700000000000003</v>
      </c>
    </row>
    <row r="26" spans="1:2" x14ac:dyDescent="0.3">
      <c r="A26" t="s">
        <v>51</v>
      </c>
      <c r="B26">
        <v>38.799999999999997</v>
      </c>
    </row>
    <row r="27" spans="1:2" x14ac:dyDescent="0.3">
      <c r="A27" t="s">
        <v>52</v>
      </c>
      <c r="B27">
        <v>36.200000000000003</v>
      </c>
    </row>
    <row r="28" spans="1:2" x14ac:dyDescent="0.3">
      <c r="A28" t="s">
        <v>53</v>
      </c>
      <c r="B28">
        <v>32</v>
      </c>
    </row>
    <row r="29" spans="1:2" x14ac:dyDescent="0.3">
      <c r="A29" t="s">
        <v>54</v>
      </c>
      <c r="B29">
        <v>31.6</v>
      </c>
    </row>
    <row r="30" spans="1:2" x14ac:dyDescent="0.3">
      <c r="A30" t="s">
        <v>55</v>
      </c>
      <c r="B30">
        <v>31.1</v>
      </c>
    </row>
    <row r="31" spans="1:2" x14ac:dyDescent="0.3">
      <c r="A31" t="s">
        <v>56</v>
      </c>
      <c r="B31">
        <v>30.5</v>
      </c>
    </row>
    <row r="32" spans="1:2" x14ac:dyDescent="0.3">
      <c r="A32" t="s">
        <v>57</v>
      </c>
      <c r="B32">
        <v>25.2</v>
      </c>
    </row>
    <row r="33" spans="1:2" x14ac:dyDescent="0.3">
      <c r="A33" t="s">
        <v>58</v>
      </c>
      <c r="B33">
        <v>25.1</v>
      </c>
    </row>
    <row r="34" spans="1:2" x14ac:dyDescent="0.3">
      <c r="A34" t="s">
        <v>59</v>
      </c>
      <c r="B34">
        <v>23.6</v>
      </c>
    </row>
    <row r="35" spans="1:2" x14ac:dyDescent="0.3">
      <c r="A35" t="s">
        <v>60</v>
      </c>
      <c r="B35">
        <v>19.5</v>
      </c>
    </row>
    <row r="36" spans="1:2" x14ac:dyDescent="0.3">
      <c r="A36" t="s">
        <v>61</v>
      </c>
      <c r="B36">
        <v>19.3</v>
      </c>
    </row>
    <row r="37" spans="1:2" x14ac:dyDescent="0.3">
      <c r="A37" t="s">
        <v>62</v>
      </c>
      <c r="B37">
        <v>18.399999999999999</v>
      </c>
    </row>
    <row r="38" spans="1:2" x14ac:dyDescent="0.3">
      <c r="A38" t="s">
        <v>63</v>
      </c>
      <c r="B38">
        <v>18.3</v>
      </c>
    </row>
    <row r="39" spans="1:2" x14ac:dyDescent="0.3">
      <c r="A39" t="s">
        <v>64</v>
      </c>
      <c r="B39">
        <v>16.899999999999999</v>
      </c>
    </row>
    <row r="40" spans="1:2" x14ac:dyDescent="0.3">
      <c r="A40" t="s">
        <v>65</v>
      </c>
      <c r="B40">
        <v>15.5</v>
      </c>
    </row>
    <row r="41" spans="1:2" x14ac:dyDescent="0.3">
      <c r="A41" t="s">
        <v>66</v>
      </c>
      <c r="B41">
        <v>14.8</v>
      </c>
    </row>
    <row r="42" spans="1:2" x14ac:dyDescent="0.3">
      <c r="A42" t="s">
        <v>67</v>
      </c>
      <c r="B42">
        <v>14.1</v>
      </c>
    </row>
    <row r="43" spans="1:2" x14ac:dyDescent="0.3">
      <c r="A43" t="s">
        <v>68</v>
      </c>
      <c r="B43">
        <v>12.7</v>
      </c>
    </row>
    <row r="44" spans="1:2" x14ac:dyDescent="0.3">
      <c r="A44" t="s">
        <v>69</v>
      </c>
      <c r="B44">
        <v>12.6</v>
      </c>
    </row>
    <row r="45" spans="1:2" x14ac:dyDescent="0.3">
      <c r="A45" t="s">
        <v>70</v>
      </c>
      <c r="B45">
        <v>11.7</v>
      </c>
    </row>
    <row r="46" spans="1:2" x14ac:dyDescent="0.3">
      <c r="A46" t="s">
        <v>71</v>
      </c>
      <c r="B46">
        <v>11.4</v>
      </c>
    </row>
    <row r="47" spans="1:2" x14ac:dyDescent="0.3">
      <c r="A47" t="s">
        <v>72</v>
      </c>
      <c r="B47">
        <v>10.9</v>
      </c>
    </row>
    <row r="48" spans="1:2" x14ac:dyDescent="0.3">
      <c r="A48" t="s">
        <v>73</v>
      </c>
      <c r="B48">
        <v>10.7</v>
      </c>
    </row>
    <row r="49" spans="1:2" x14ac:dyDescent="0.3">
      <c r="A49" t="s">
        <v>74</v>
      </c>
      <c r="B49">
        <v>10.199999999999999</v>
      </c>
    </row>
    <row r="50" spans="1:2" x14ac:dyDescent="0.3">
      <c r="A50" t="s">
        <v>75</v>
      </c>
      <c r="B50">
        <v>11</v>
      </c>
    </row>
    <row r="51" spans="1:2" x14ac:dyDescent="0.3">
      <c r="A51" t="s">
        <v>76</v>
      </c>
      <c r="B51">
        <v>10.9</v>
      </c>
    </row>
    <row r="52" spans="1:2" x14ac:dyDescent="0.3">
      <c r="A52" t="s">
        <v>77</v>
      </c>
      <c r="B52">
        <v>9.4</v>
      </c>
    </row>
    <row r="53" spans="1:2" x14ac:dyDescent="0.3">
      <c r="A53" t="s">
        <v>78</v>
      </c>
      <c r="B53">
        <v>9.1</v>
      </c>
    </row>
    <row r="54" spans="1:2" x14ac:dyDescent="0.3">
      <c r="A54" t="s">
        <v>79</v>
      </c>
      <c r="B54">
        <v>8.4</v>
      </c>
    </row>
    <row r="55" spans="1:2" x14ac:dyDescent="0.3">
      <c r="A55" t="s">
        <v>80</v>
      </c>
      <c r="B55">
        <v>8.3000000000000007</v>
      </c>
    </row>
    <row r="56" spans="1:2" x14ac:dyDescent="0.3">
      <c r="A56" t="s">
        <v>81</v>
      </c>
      <c r="B56">
        <v>8.1</v>
      </c>
    </row>
    <row r="57" spans="1:2" x14ac:dyDescent="0.3">
      <c r="A57" t="s">
        <v>82</v>
      </c>
      <c r="B57">
        <v>7.5</v>
      </c>
    </row>
    <row r="58" spans="1:2" x14ac:dyDescent="0.3">
      <c r="A58" t="s">
        <v>83</v>
      </c>
      <c r="B58">
        <v>7.1</v>
      </c>
    </row>
    <row r="59" spans="1:2" x14ac:dyDescent="0.3">
      <c r="A59" t="s">
        <v>84</v>
      </c>
      <c r="B59">
        <v>7</v>
      </c>
    </row>
    <row r="60" spans="1:2" x14ac:dyDescent="0.3">
      <c r="A60" t="s">
        <v>85</v>
      </c>
      <c r="B60">
        <v>6.9</v>
      </c>
    </row>
    <row r="61" spans="1:2" x14ac:dyDescent="0.3">
      <c r="A61" t="s">
        <v>86</v>
      </c>
      <c r="B61">
        <v>6.4</v>
      </c>
    </row>
    <row r="62" spans="1:2" x14ac:dyDescent="0.3">
      <c r="A62" t="s">
        <v>87</v>
      </c>
      <c r="B62">
        <v>5.5</v>
      </c>
    </row>
    <row r="63" spans="1:2" x14ac:dyDescent="0.3">
      <c r="A63" t="s">
        <v>88</v>
      </c>
      <c r="B63">
        <v>4.5</v>
      </c>
    </row>
    <row r="64" spans="1:2" x14ac:dyDescent="0.3">
      <c r="A64" t="s">
        <v>89</v>
      </c>
      <c r="B64">
        <v>4.2</v>
      </c>
    </row>
    <row r="65" spans="1:2" x14ac:dyDescent="0.3">
      <c r="A65" t="s">
        <v>90</v>
      </c>
      <c r="B65">
        <v>3.8</v>
      </c>
    </row>
    <row r="66" spans="1:2" x14ac:dyDescent="0.3">
      <c r="A66" t="s">
        <v>91</v>
      </c>
      <c r="B66">
        <v>2.8</v>
      </c>
    </row>
    <row r="67" spans="1:2" x14ac:dyDescent="0.3">
      <c r="A67" t="s">
        <v>92</v>
      </c>
      <c r="B67">
        <v>2.6</v>
      </c>
    </row>
    <row r="68" spans="1:2" x14ac:dyDescent="0.3">
      <c r="A68" t="s">
        <v>93</v>
      </c>
      <c r="B68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Диаграммы</vt:lpstr>
      </vt:variant>
      <vt:variant>
        <vt:i4>1</vt:i4>
      </vt:variant>
    </vt:vector>
  </HeadingPairs>
  <TitlesOfParts>
    <vt:vector size="11" baseType="lpstr">
      <vt:lpstr>Комби + табл данных</vt:lpstr>
      <vt:lpstr>Проектная</vt:lpstr>
      <vt:lpstr>Каскадная</vt:lpstr>
      <vt:lpstr>Каскадная 2</vt:lpstr>
      <vt:lpstr>Чекбоксы</vt:lpstr>
      <vt:lpstr>Динамическая</vt:lpstr>
      <vt:lpstr>Воронка</vt:lpstr>
      <vt:lpstr>Парето</vt:lpstr>
      <vt:lpstr>Древовидная</vt:lpstr>
      <vt:lpstr>Картограмма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2024-01-11T15:00:01Z</dcterms:modified>
</cp:coreProperties>
</file>