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ДЗ\"/>
    </mc:Choice>
  </mc:AlternateContent>
  <xr:revisionPtr revIDLastSave="0" documentId="13_ncr:1_{9DD94671-778D-4696-87A0-575280AF2A63}" xr6:coauthVersionLast="46" xr6:coauthVersionMax="46" xr10:uidLastSave="{00000000-0000-0000-0000-000000000000}"/>
  <bookViews>
    <workbookView xWindow="-96" yWindow="-96" windowWidth="23232" windowHeight="12552" xr2:uid="{00000000-000D-0000-FFFF-FFFF00000000}"/>
  </bookViews>
  <sheets>
    <sheet name="Задание" sheetId="15" r:id="rId1"/>
    <sheet name="Страны" sheetId="14" r:id="rId2"/>
    <sheet name="Проекты" sheetId="2" r:id="rId3"/>
    <sheet name="План-факт" sheetId="3" r:id="rId4"/>
    <sheet name="Сделки" sheetId="5" r:id="rId5"/>
    <sheet name="Скидки" sheetId="1" r:id="rId6"/>
    <sheet name="Факультеты" sheetId="7" r:id="rId7"/>
    <sheet name="Доходы бюджета" sheetId="6" r:id="rId8"/>
  </sheets>
  <definedNames>
    <definedName name="Данные">OFFSET(#REF!,#REF!,0,#REF!,1)</definedName>
    <definedName name="Подписи">OFFSET(#REF!,#REF!,0,#REF!,1)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2" l="1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C2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Ренат Шагабутдинов</author>
  </authors>
  <commentList>
    <comment ref="B1" authorId="0" shapeId="0" xr:uid="{ED3A7E06-C5AD-4B09-9691-B5D9E2514941}">
      <text>
        <r>
          <rPr>
            <b/>
            <sz val="9"/>
            <color indexed="81"/>
            <rFont val="Tahoma"/>
            <family val="2"/>
            <charset val="204"/>
          </rPr>
          <t>Ренат Шагабутдинов:</t>
        </r>
        <r>
          <rPr>
            <sz val="9"/>
            <color indexed="81"/>
            <rFont val="Tahoma"/>
            <family val="2"/>
            <charset val="204"/>
          </rPr>
          <t xml:space="preserve">
https://ru.wikipedia.org/wiki/Список_стран_по_производству_автотранспортных_средств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Ренат Шагабутдинов</author>
  </authors>
  <commentList>
    <comment ref="A1" authorId="0" shapeId="0" xr:uid="{A61B6B84-BBAD-4701-BF90-74EE8B0F80D2}">
      <text>
        <r>
          <rPr>
            <b/>
            <sz val="9"/>
            <color indexed="81"/>
            <rFont val="Tahoma"/>
            <family val="2"/>
            <charset val="204"/>
          </rPr>
          <t>Ренат Шагабутдинов:</t>
        </r>
        <r>
          <rPr>
            <sz val="9"/>
            <color indexed="81"/>
            <rFont val="Tahoma"/>
            <family val="2"/>
            <charset val="204"/>
          </rPr>
          <t xml:space="preserve">
Источник -- https://budget.mos.ru/income_2020_2022</t>
        </r>
      </text>
    </comment>
  </commentList>
</comments>
</file>

<file path=xl/sharedStrings.xml><?xml version="1.0" encoding="utf-8"?>
<sst xmlns="http://schemas.openxmlformats.org/spreadsheetml/2006/main" count="135" uniqueCount="123">
  <si>
    <t>Месяц</t>
  </si>
  <si>
    <t>План</t>
  </si>
  <si>
    <t>Факт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</si>
  <si>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</si>
  <si>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</si>
  <si>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</si>
  <si>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</si>
  <si>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</si>
  <si>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</si>
  <si>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</si>
  <si>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</si>
  <si>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</si>
  <si>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</si>
  <si>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</si>
  <si>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</si>
  <si>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Оплачено</t>
  </si>
  <si>
    <t>Этап</t>
  </si>
  <si>
    <t>Количество</t>
  </si>
  <si>
    <t>Период</t>
  </si>
  <si>
    <t>Проект</t>
  </si>
  <si>
    <t>Дата начала</t>
  </si>
  <si>
    <t>Дата окончания</t>
  </si>
  <si>
    <t>Проект 1</t>
  </si>
  <si>
    <t>Проект 2</t>
  </si>
  <si>
    <t>Проект 3</t>
  </si>
  <si>
    <t>Проект 4</t>
  </si>
  <si>
    <t>Проект 5</t>
  </si>
  <si>
    <t>Проект 6</t>
  </si>
  <si>
    <t>Проект 7</t>
  </si>
  <si>
    <t>Проект 8</t>
  </si>
  <si>
    <t>Проект 9</t>
  </si>
  <si>
    <t>Проект 10</t>
  </si>
  <si>
    <t>Проект 11</t>
  </si>
  <si>
    <t>Проект 12</t>
  </si>
  <si>
    <t>Проект 13</t>
  </si>
  <si>
    <t>Проект 14</t>
  </si>
  <si>
    <t>Средняя скидка</t>
  </si>
  <si>
    <t>Продажи</t>
  </si>
  <si>
    <t>Первый звонок/встреча</t>
  </si>
  <si>
    <t>Торг/Переговоры</t>
  </si>
  <si>
    <t>Согласование условий</t>
  </si>
  <si>
    <t>Договор подписан</t>
  </si>
  <si>
    <t>Факультет</t>
  </si>
  <si>
    <t>Число студентов</t>
  </si>
  <si>
    <t>Журналистика</t>
  </si>
  <si>
    <t>Социология</t>
  </si>
  <si>
    <t>Экономика</t>
  </si>
  <si>
    <t>История</t>
  </si>
  <si>
    <t>Психология</t>
  </si>
  <si>
    <t>Филология</t>
  </si>
  <si>
    <t>Архивоведение</t>
  </si>
  <si>
    <t>Налог на прибыль организаций</t>
  </si>
  <si>
    <t>Налог на доходы физических лиц</t>
  </si>
  <si>
    <t>Акцизы</t>
  </si>
  <si>
    <t>Налоги, предусмотренные специальными налоговыми режимами</t>
  </si>
  <si>
    <t>Торговый сбор</t>
  </si>
  <si>
    <t>Налог на имущество физических лиц</t>
  </si>
  <si>
    <t>Налог на имущество организаций</t>
  </si>
  <si>
    <t>Транспортный налог</t>
  </si>
  <si>
    <t>Земельный налог</t>
  </si>
  <si>
    <t>Иные налоговые доходы</t>
  </si>
  <si>
    <t>Доходы от использования имущества</t>
  </si>
  <si>
    <t>Доходы от оказания платных услуг и компенсация затрат государства</t>
  </si>
  <si>
    <t>Доходы от продажи материальных и нематериальных активов</t>
  </si>
  <si>
    <t>Штрафные санкции, возмещение ущерба</t>
  </si>
  <si>
    <t>Прочие неналоговые доходы</t>
  </si>
  <si>
    <t>Субсидии</t>
  </si>
  <si>
    <t>Субвенции</t>
  </si>
  <si>
    <t>Иные межбюджетные трансферты</t>
  </si>
  <si>
    <t>Доходы от возврата бюджетами бюджетной системы РФ и организациями остатков субсидий , субвенций и иных межбюджетных трансфертов, имеющих целевое назначени, прошлых лет</t>
  </si>
  <si>
    <t>Вид деятельности</t>
  </si>
  <si>
    <t>Бюджет Москвы</t>
  </si>
  <si>
    <t>Доходы 2019, млн. руб.</t>
  </si>
  <si>
    <t>Китайская Республика Тайвань</t>
  </si>
  <si>
    <t>Китай</t>
  </si>
  <si>
    <t>Соединённые Штаты Америки</t>
  </si>
  <si>
    <t>Япония</t>
  </si>
  <si>
    <t>Германия</t>
  </si>
  <si>
    <t>Индия</t>
  </si>
  <si>
    <t>Мексика</t>
  </si>
  <si>
    <t>Республика Корея</t>
  </si>
  <si>
    <t>Бразилия</t>
  </si>
  <si>
    <t>Испания</t>
  </si>
  <si>
    <t>Франция</t>
  </si>
  <si>
    <t>Таиланд</t>
  </si>
  <si>
    <t>Канада</t>
  </si>
  <si>
    <t>Россия</t>
  </si>
  <si>
    <t>Турция</t>
  </si>
  <si>
    <t>Чехия</t>
  </si>
  <si>
    <t>Великобритания</t>
  </si>
  <si>
    <t>Индонезия</t>
  </si>
  <si>
    <t>Словакия</t>
  </si>
  <si>
    <t>Италия</t>
  </si>
  <si>
    <t>Иран</t>
  </si>
  <si>
    <t>Польша</t>
  </si>
  <si>
    <t>Южно-Африканская Республика</t>
  </si>
  <si>
    <t>Малайзия</t>
  </si>
  <si>
    <t>Венгрия</t>
  </si>
  <si>
    <t>Румыния</t>
  </si>
  <si>
    <t>Марокко</t>
  </si>
  <si>
    <t>Португалия</t>
  </si>
  <si>
    <t>Аргентина</t>
  </si>
  <si>
    <t>Бельгия</t>
  </si>
  <si>
    <t>Швеция</t>
  </si>
  <si>
    <t>Узбекистан</t>
  </si>
  <si>
    <t>Вьетнам</t>
  </si>
  <si>
    <t>Словения</t>
  </si>
  <si>
    <t>Пакистан</t>
  </si>
  <si>
    <t>Австрия</t>
  </si>
  <si>
    <t>Нидерланды</t>
  </si>
  <si>
    <t>Финляндия</t>
  </si>
  <si>
    <t>Колумбия</t>
  </si>
  <si>
    <t>Алжир</t>
  </si>
  <si>
    <t>Казахстан</t>
  </si>
  <si>
    <t>Сербия</t>
  </si>
  <si>
    <t>Белоруссия</t>
  </si>
  <si>
    <t>Египет</t>
  </si>
  <si>
    <t>Филиппины</t>
  </si>
  <si>
    <t>Украина</t>
  </si>
  <si>
    <t>Австралия</t>
  </si>
  <si>
    <t>Азербайджан</t>
  </si>
  <si>
    <t>Страна</t>
  </si>
  <si>
    <t>Производство автомобилей,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</si>
</sst>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59999389629810485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2" borderId="3" applyNumberFormat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15">
    <xf numFmtId="0" fontId="0" fillId="0" borderId="0" xfId="0"/>
    <xf numFmtId="0" fontId="4" fillId="0" borderId="1" xfId="2" applyAlignment="1">
      <alignment horizontal="center" vertical="center"/>
    </xf>
    <xf numFmtId="3" fontId="0" fillId="0" borderId="0" xfId="0" applyNumberFormat="1" applyAlignment="1">
      <alignment horizontal="center"/>
    </xf>
    <xf numFmtId="0" fontId="5" fillId="0" borderId="2" xfId="3"/>
    <xf numFmtId="0" fontId="5" fillId="0" borderId="2" xfId="3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 vertical="center"/>
    </xf>
    <xf numFmtId="0" fontId="2" fillId="3" borderId="0" xfId="5" applyAlignment="1">
      <alignment horizontal="center"/>
    </xf>
    <xf numFmtId="9" fontId="0" fillId="0" borderId="0" xfId="0" applyNumberFormat="1" applyAlignment="1">
      <alignment horizontal="center"/>
    </xf>
    <xf numFmtId="0" fontId="6" fillId="2" borderId="3" xfId="4"/>
    <xf numFmtId="0" fontId="0" fillId="0" borderId="0" xfId="0" applyAlignment="1">
      <alignment wrapText="1"/>
    </xf>
    <xf numFmtId="0" fontId="1" fillId="4" borderId="0" xfId="6" applyFont="1" applyAlignment="1">
      <alignment horizontal="left"/>
    </xf>
    <xf numFmtId="0" fontId="1" fillId="4" borderId="0" xfId="6" applyFont="1" applyAlignment="1">
      <alignment horizontal="left" wrapText="1"/>
    </xf>
  </cellXfs>
  <cellStyles count="7">
    <cellStyle name="40% — акцент6" xfId="6" builtinId="51"/>
    <cellStyle name="60% — акцент1" xfId="5" builtinId="32"/>
    <cellStyle name="Вычисление" xfId="4" builtinId="22"/>
    <cellStyle name="Заголовок 1" xfId="2" builtinId="16"/>
    <cellStyle name="Заголовок 3" xfId="3" builtinId="18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35040" cy="291465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34A5BF3-54D5-4D55-8E73-B71F0F29C5F4}"/>
            </a:ext>
          </a:extLst>
        </xdr:cNvPr>
        <xdr:cNvSpPr txBox="1"/>
      </xdr:nvSpPr>
      <xdr:spPr>
        <a:xfrm>
          <a:off x="0" y="0"/>
          <a:ext cx="6035040" cy="2914650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Продвинутый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17. Продвинутые диаграммы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r>
            <a:rPr lang="ru-RU" sz="1100" b="1"/>
            <a:t>Задание.</a:t>
          </a:r>
          <a:r>
            <a:rPr lang="ru-RU" sz="1100" b="0" baseline="0"/>
            <a:t> </a:t>
          </a:r>
        </a:p>
        <a:p>
          <a:r>
            <a:rPr lang="ru-RU" sz="1100" b="0" baseline="0"/>
            <a:t>— Визуализируйте данные на каждом листе этого документа, используя обсуждавшиеся в модуле диаграммы.</a:t>
          </a:r>
        </a:p>
        <a:p>
          <a:r>
            <a:rPr lang="ru-RU" sz="1100" b="0" baseline="0"/>
            <a:t>— Самостоятельно подберите тип диаграмм, которые, на ваш взгляд, лучше подходят для отражения данных.</a:t>
          </a:r>
        </a:p>
        <a:p>
          <a:r>
            <a:rPr lang="ru-RU" sz="1100" b="0" baseline="0"/>
            <a:t>— Как минимум одну любую диаграмму разместите на отдельном листе диаграммы.</a:t>
          </a:r>
        </a:p>
        <a:p>
          <a:r>
            <a:rPr lang="ru-RU" sz="1100" b="0" baseline="0"/>
            <a:t>— Удаляйте лишние элементы диаграмм, которые не несут информационной нагрузки.</a:t>
          </a:r>
        </a:p>
        <a:p>
          <a:endParaRPr lang="ru-RU" sz="1100" b="0" baseline="0"/>
        </a:p>
        <a:p>
          <a:r>
            <a:rPr lang="en-US" sz="1100" b="0" baseline="0"/>
            <a:t>p.s. </a:t>
          </a:r>
          <a:r>
            <a:rPr lang="ru-RU" sz="1100" b="0" baseline="0"/>
            <a:t>Если в вашей версии </a:t>
          </a:r>
          <a:r>
            <a:rPr lang="en-US" sz="1100" b="0" baseline="0"/>
            <a:t>Excel </a:t>
          </a:r>
          <a:r>
            <a:rPr lang="ru-RU" sz="1100" b="0" baseline="0"/>
            <a:t>нет той диаграммы, которую вы бы хотели использовать, укажите тип этой диаграммы в заметке (примечании) и попробуйте использовать доступные типы диаграмм.</a:t>
          </a:r>
          <a:endParaRPr lang="ru-RU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7492F-0C79-473D-AA55-F492E2D09C1E}">
  <dimension ref="A1"/>
  <sheetViews>
    <sheetView tabSelected="1" workbookViewId="0">
      <selection activeCell="E18" sqref="E18"/>
    </sheetView>
  </sheetViews>
  <sheetFormatPr defaultRowHeight="14.4" x14ac:dyDescent="0.5500000000000000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856AB-B2CD-47DC-8C4E-2BED1E9328C7}">
  <dimension ref="A1:B83"/>
  <sheetViews>
    <sheetView workbookViewId="0">
      <pane ySplit="1" topLeftCell="A2" activePane="bottomLeft" state="frozen"/>
      <selection pane="bottomLeft" activeCell="E7" sqref="E7"/>
    </sheetView>
  </sheetViews>
  <sheetFormatPr defaultRowHeight="14.4" x14ac:dyDescent="0.55000000000000004"/>
  <cols>
    <col min="1" max="1" width="27.578125" bestFit="1" customWidth="1"/>
    <col min="2" max="2" width="22.15625" customWidth="1"/>
  </cols>
  <sheetData>
    <row r="1" spans="1:2" ht="28.8" x14ac:dyDescent="0.55000000000000004">
      <c r="A1" s="13" t="s">
        <v>121</v>
      </c>
      <c r="B1" s="14" t="s">
        <v>122</v>
      </c>
    </row>
    <row r="2" spans="1:2" x14ac:dyDescent="0.55000000000000004">
      <c r="A2" t="s">
        <v>74</v>
      </c>
      <c r="B2" s="5">
        <v>25721</v>
      </c>
    </row>
    <row r="3" spans="1:2" x14ac:dyDescent="0.55000000000000004">
      <c r="A3" t="s">
        <v>75</v>
      </c>
      <c r="B3" s="5">
        <v>10880</v>
      </c>
    </row>
    <row r="4" spans="1:2" x14ac:dyDescent="0.55000000000000004">
      <c r="A4" t="s">
        <v>76</v>
      </c>
      <c r="B4" s="5">
        <v>9684</v>
      </c>
    </row>
    <row r="5" spans="1:2" x14ac:dyDescent="0.55000000000000004">
      <c r="A5" t="s">
        <v>77</v>
      </c>
      <c r="B5" s="5">
        <v>4661</v>
      </c>
    </row>
    <row r="6" spans="1:2" x14ac:dyDescent="0.55000000000000004">
      <c r="A6" t="s">
        <v>78</v>
      </c>
      <c r="B6" s="5">
        <v>4516</v>
      </c>
    </row>
    <row r="7" spans="1:2" x14ac:dyDescent="0.55000000000000004">
      <c r="A7" t="s">
        <v>79</v>
      </c>
      <c r="B7" s="5">
        <v>3987</v>
      </c>
    </row>
    <row r="8" spans="1:2" x14ac:dyDescent="0.55000000000000004">
      <c r="A8" t="s">
        <v>80</v>
      </c>
      <c r="B8" s="5">
        <v>3951</v>
      </c>
    </row>
    <row r="9" spans="1:2" x14ac:dyDescent="0.55000000000000004">
      <c r="A9" t="s">
        <v>81</v>
      </c>
      <c r="B9" s="5">
        <v>2945</v>
      </c>
    </row>
    <row r="10" spans="1:2" x14ac:dyDescent="0.55000000000000004">
      <c r="A10" t="s">
        <v>82</v>
      </c>
      <c r="B10" s="5">
        <v>2822</v>
      </c>
    </row>
    <row r="11" spans="1:2" x14ac:dyDescent="0.55000000000000004">
      <c r="A11" t="s">
        <v>83</v>
      </c>
      <c r="B11" s="5">
        <v>2202</v>
      </c>
    </row>
    <row r="12" spans="1:2" x14ac:dyDescent="0.55000000000000004">
      <c r="A12" t="s">
        <v>84</v>
      </c>
      <c r="B12" s="5">
        <v>2014</v>
      </c>
    </row>
    <row r="13" spans="1:2" x14ac:dyDescent="0.55000000000000004">
      <c r="A13" t="s">
        <v>85</v>
      </c>
      <c r="B13" s="5">
        <v>1917</v>
      </c>
    </row>
    <row r="14" spans="1:2" x14ac:dyDescent="0.55000000000000004">
      <c r="A14" t="s">
        <v>86</v>
      </c>
      <c r="B14" s="5">
        <v>1720</v>
      </c>
    </row>
    <row r="15" spans="1:2" x14ac:dyDescent="0.55000000000000004">
      <c r="A15" t="s">
        <v>87</v>
      </c>
      <c r="B15" s="5">
        <v>1461</v>
      </c>
    </row>
    <row r="16" spans="1:2" x14ac:dyDescent="0.55000000000000004">
      <c r="A16" t="s">
        <v>88</v>
      </c>
      <c r="B16" s="5">
        <v>1434</v>
      </c>
    </row>
    <row r="17" spans="1:2" x14ac:dyDescent="0.55000000000000004">
      <c r="A17" t="s">
        <v>89</v>
      </c>
      <c r="B17" s="5">
        <v>1381</v>
      </c>
    </row>
    <row r="18" spans="1:2" x14ac:dyDescent="0.55000000000000004">
      <c r="A18" t="s">
        <v>90</v>
      </c>
      <c r="B18" s="5">
        <v>1287</v>
      </c>
    </row>
    <row r="19" spans="1:2" x14ac:dyDescent="0.55000000000000004">
      <c r="A19" t="s">
        <v>91</v>
      </c>
      <c r="B19" s="5">
        <v>1100</v>
      </c>
    </row>
    <row r="20" spans="1:2" x14ac:dyDescent="0.55000000000000004">
      <c r="A20" t="s">
        <v>92</v>
      </c>
      <c r="B20">
        <v>915</v>
      </c>
    </row>
    <row r="21" spans="1:2" x14ac:dyDescent="0.55000000000000004">
      <c r="A21" t="s">
        <v>93</v>
      </c>
      <c r="B21">
        <v>821</v>
      </c>
    </row>
    <row r="22" spans="1:2" x14ac:dyDescent="0.55000000000000004">
      <c r="A22" t="s">
        <v>94</v>
      </c>
      <c r="B22">
        <v>650</v>
      </c>
    </row>
    <row r="23" spans="1:2" x14ac:dyDescent="0.55000000000000004">
      <c r="A23" t="s">
        <v>95</v>
      </c>
      <c r="B23">
        <v>632</v>
      </c>
    </row>
    <row r="24" spans="1:2" x14ac:dyDescent="0.55000000000000004">
      <c r="A24" t="s">
        <v>96</v>
      </c>
      <c r="B24">
        <v>572</v>
      </c>
    </row>
    <row r="25" spans="1:2" x14ac:dyDescent="0.55000000000000004">
      <c r="A25" t="s">
        <v>97</v>
      </c>
      <c r="B25">
        <v>498</v>
      </c>
    </row>
    <row r="26" spans="1:2" x14ac:dyDescent="0.55000000000000004">
      <c r="A26" t="s">
        <v>98</v>
      </c>
      <c r="B26">
        <v>490</v>
      </c>
    </row>
    <row r="27" spans="1:2" x14ac:dyDescent="0.55000000000000004">
      <c r="A27" t="s">
        <v>99</v>
      </c>
      <c r="B27">
        <v>395</v>
      </c>
    </row>
    <row r="28" spans="1:2" x14ac:dyDescent="0.55000000000000004">
      <c r="A28" t="s">
        <v>100</v>
      </c>
      <c r="B28">
        <v>346</v>
      </c>
    </row>
    <row r="29" spans="1:2" x14ac:dyDescent="0.55000000000000004">
      <c r="A29" t="s">
        <v>101</v>
      </c>
      <c r="B29">
        <v>315</v>
      </c>
    </row>
    <row r="30" spans="1:2" x14ac:dyDescent="0.55000000000000004">
      <c r="A30" t="s">
        <v>102</v>
      </c>
      <c r="B30">
        <v>286</v>
      </c>
    </row>
    <row r="31" spans="1:2" x14ac:dyDescent="0.55000000000000004">
      <c r="A31" t="s">
        <v>103</v>
      </c>
      <c r="B31">
        <v>279</v>
      </c>
    </row>
    <row r="32" spans="1:2" x14ac:dyDescent="0.55000000000000004">
      <c r="A32" t="s">
        <v>104</v>
      </c>
      <c r="B32">
        <v>271</v>
      </c>
    </row>
    <row r="33" spans="1:2" x14ac:dyDescent="0.55000000000000004">
      <c r="A33" t="s">
        <v>73</v>
      </c>
      <c r="B33">
        <v>251</v>
      </c>
    </row>
    <row r="34" spans="1:2" x14ac:dyDescent="0.55000000000000004">
      <c r="A34" t="s">
        <v>105</v>
      </c>
      <c r="B34">
        <v>250</v>
      </c>
    </row>
    <row r="35" spans="1:2" x14ac:dyDescent="0.55000000000000004">
      <c r="A35" t="s">
        <v>106</v>
      </c>
      <c r="B35">
        <v>199</v>
      </c>
    </row>
    <row r="36" spans="1:2" x14ac:dyDescent="0.55000000000000004">
      <c r="A36" t="s">
        <v>107</v>
      </c>
      <c r="B36">
        <v>187</v>
      </c>
    </row>
    <row r="37" spans="1:2" x14ac:dyDescent="0.55000000000000004">
      <c r="A37" t="s">
        <v>108</v>
      </c>
      <c r="B37">
        <v>179</v>
      </c>
    </row>
    <row r="38" spans="1:2" x14ac:dyDescent="0.55000000000000004">
      <c r="A38" t="s">
        <v>109</v>
      </c>
      <c r="B38">
        <v>176</v>
      </c>
    </row>
    <row r="39" spans="1:2" x14ac:dyDescent="0.55000000000000004">
      <c r="A39" t="s">
        <v>110</v>
      </c>
      <c r="B39">
        <v>115</v>
      </c>
    </row>
    <row r="40" spans="1:2" x14ac:dyDescent="0.55000000000000004">
      <c r="A40" t="s">
        <v>111</v>
      </c>
      <c r="B40">
        <v>60</v>
      </c>
    </row>
    <row r="41" spans="1:2" x14ac:dyDescent="0.55000000000000004">
      <c r="A41" t="s">
        <v>112</v>
      </c>
      <c r="B41">
        <v>60</v>
      </c>
    </row>
    <row r="42" spans="1:2" x14ac:dyDescent="0.55000000000000004">
      <c r="A42" t="s">
        <v>113</v>
      </c>
      <c r="B42">
        <v>49</v>
      </c>
    </row>
    <row r="43" spans="1:2" x14ac:dyDescent="0.55000000000000004">
      <c r="A43" t="s">
        <v>114</v>
      </c>
      <c r="B43">
        <v>35</v>
      </c>
    </row>
    <row r="44" spans="1:2" x14ac:dyDescent="0.55000000000000004">
      <c r="A44" t="s">
        <v>115</v>
      </c>
      <c r="B44">
        <v>30</v>
      </c>
    </row>
    <row r="45" spans="1:2" x14ac:dyDescent="0.55000000000000004">
      <c r="A45" t="s">
        <v>116</v>
      </c>
      <c r="B45">
        <v>19</v>
      </c>
    </row>
    <row r="46" spans="1:2" x14ac:dyDescent="0.55000000000000004">
      <c r="A46" t="s">
        <v>117</v>
      </c>
      <c r="B46">
        <v>8</v>
      </c>
    </row>
    <row r="47" spans="1:2" x14ac:dyDescent="0.55000000000000004">
      <c r="A47" t="s">
        <v>118</v>
      </c>
      <c r="B47">
        <v>7</v>
      </c>
    </row>
    <row r="48" spans="1:2" x14ac:dyDescent="0.55000000000000004">
      <c r="A48" t="s">
        <v>119</v>
      </c>
      <c r="B48">
        <v>6</v>
      </c>
    </row>
    <row r="49" spans="1:2" x14ac:dyDescent="0.55000000000000004">
      <c r="A49" t="s">
        <v>120</v>
      </c>
      <c r="B49">
        <v>2.5</v>
      </c>
    </row>
    <row r="50" spans="1:2" x14ac:dyDescent="0.55000000000000004">
      <c r="A50" s="7"/>
    </row>
    <row r="51" spans="1:2" x14ac:dyDescent="0.55000000000000004">
      <c r="A51" s="7"/>
    </row>
    <row r="52" spans="1:2" x14ac:dyDescent="0.55000000000000004">
      <c r="A52" s="7"/>
    </row>
    <row r="53" spans="1:2" x14ac:dyDescent="0.55000000000000004">
      <c r="A53" s="7"/>
    </row>
    <row r="54" spans="1:2" x14ac:dyDescent="0.55000000000000004">
      <c r="A54" s="7"/>
    </row>
    <row r="55" spans="1:2" x14ac:dyDescent="0.55000000000000004">
      <c r="A55" s="7"/>
    </row>
    <row r="56" spans="1:2" x14ac:dyDescent="0.55000000000000004">
      <c r="A56" s="7"/>
    </row>
    <row r="57" spans="1:2" x14ac:dyDescent="0.55000000000000004">
      <c r="A57" s="7"/>
    </row>
    <row r="58" spans="1:2" x14ac:dyDescent="0.55000000000000004">
      <c r="A58" s="7"/>
    </row>
    <row r="59" spans="1:2" x14ac:dyDescent="0.55000000000000004">
      <c r="A59" s="7"/>
    </row>
    <row r="60" spans="1:2" x14ac:dyDescent="0.55000000000000004">
      <c r="A60" s="7"/>
    </row>
    <row r="61" spans="1:2" x14ac:dyDescent="0.55000000000000004">
      <c r="A61" s="7"/>
    </row>
    <row r="62" spans="1:2" x14ac:dyDescent="0.55000000000000004">
      <c r="A62" s="7"/>
    </row>
    <row r="63" spans="1:2" x14ac:dyDescent="0.55000000000000004">
      <c r="A63" s="7"/>
    </row>
    <row r="64" spans="1:2" x14ac:dyDescent="0.55000000000000004">
      <c r="A64" s="7"/>
    </row>
    <row r="65" spans="1:1" x14ac:dyDescent="0.55000000000000004">
      <c r="A65" s="7"/>
    </row>
    <row r="66" spans="1:1" x14ac:dyDescent="0.55000000000000004">
      <c r="A66" s="7"/>
    </row>
    <row r="67" spans="1:1" x14ac:dyDescent="0.55000000000000004">
      <c r="A67" s="7"/>
    </row>
    <row r="68" spans="1:1" x14ac:dyDescent="0.55000000000000004">
      <c r="A68" s="7"/>
    </row>
    <row r="69" spans="1:1" x14ac:dyDescent="0.55000000000000004">
      <c r="A69" s="7"/>
    </row>
    <row r="70" spans="1:1" x14ac:dyDescent="0.55000000000000004">
      <c r="A70" s="7"/>
    </row>
    <row r="71" spans="1:1" x14ac:dyDescent="0.55000000000000004">
      <c r="A71" s="7"/>
    </row>
    <row r="72" spans="1:1" x14ac:dyDescent="0.55000000000000004">
      <c r="A72" s="7"/>
    </row>
    <row r="73" spans="1:1" x14ac:dyDescent="0.55000000000000004">
      <c r="A73" s="7"/>
    </row>
    <row r="74" spans="1:1" x14ac:dyDescent="0.55000000000000004">
      <c r="A74" s="7"/>
    </row>
    <row r="75" spans="1:1" x14ac:dyDescent="0.55000000000000004">
      <c r="A75" s="7"/>
    </row>
    <row r="76" spans="1:1" x14ac:dyDescent="0.55000000000000004">
      <c r="A76" s="7"/>
    </row>
    <row r="77" spans="1:1" x14ac:dyDescent="0.55000000000000004">
      <c r="A77" s="7"/>
    </row>
    <row r="78" spans="1:1" x14ac:dyDescent="0.55000000000000004">
      <c r="A78" s="7"/>
    </row>
    <row r="79" spans="1:1" x14ac:dyDescent="0.55000000000000004">
      <c r="A79" s="7"/>
    </row>
    <row r="80" spans="1:1" x14ac:dyDescent="0.55000000000000004">
      <c r="A80" s="7"/>
    </row>
    <row r="81" spans="1:1" x14ac:dyDescent="0.55000000000000004">
      <c r="A81" s="7"/>
    </row>
    <row r="82" spans="1:1" x14ac:dyDescent="0.55000000000000004">
      <c r="A82" s="7"/>
    </row>
    <row r="83" spans="1:1" x14ac:dyDescent="0.55000000000000004">
      <c r="A83" s="7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6A84-524A-4B1F-BB4F-D7D43EC07E84}">
  <dimension ref="A1:C15"/>
  <sheetViews>
    <sheetView zoomScale="130" zoomScaleNormal="130" workbookViewId="0">
      <selection activeCell="C8" sqref="C8"/>
    </sheetView>
  </sheetViews>
  <sheetFormatPr defaultRowHeight="14.4" x14ac:dyDescent="0.55000000000000004"/>
  <cols>
    <col min="1" max="1" width="40" bestFit="1" customWidth="1"/>
    <col min="2" max="2" width="10.15625" bestFit="1" customWidth="1"/>
    <col min="3" max="3" width="17.734375" bestFit="1" customWidth="1"/>
  </cols>
  <sheetData>
    <row r="1" spans="1:3" ht="14.7" thickBot="1" x14ac:dyDescent="0.6">
      <c r="A1" s="3" t="s">
        <v>19</v>
      </c>
      <c r="B1" s="3" t="s">
        <v>20</v>
      </c>
      <c r="C1" s="3" t="s">
        <v>21</v>
      </c>
    </row>
    <row r="2" spans="1:3" x14ac:dyDescent="0.55000000000000004">
      <c r="A2" t="s">
        <v>22</v>
      </c>
      <c r="B2" s="8">
        <f ca="1">DATE(YEAR(TODAY()),1,12)</f>
        <v>44208</v>
      </c>
      <c r="C2" s="8">
        <f ca="1">DATE(YEAR(TODAY()),1,23)</f>
        <v>44219</v>
      </c>
    </row>
    <row r="3" spans="1:3" x14ac:dyDescent="0.55000000000000004">
      <c r="A3" t="s">
        <v>23</v>
      </c>
      <c r="B3" s="8">
        <f ca="1">DATE(YEAR(TODAY()),2,1)</f>
        <v>44228</v>
      </c>
      <c r="C3" s="8">
        <f ca="1">DATE(YEAR(TODAY()),2,27)</f>
        <v>44254</v>
      </c>
    </row>
    <row r="4" spans="1:3" x14ac:dyDescent="0.55000000000000004">
      <c r="A4" t="s">
        <v>24</v>
      </c>
      <c r="B4" s="8">
        <f ca="1">DATE(YEAR(TODAY()),3,5)</f>
        <v>44260</v>
      </c>
      <c r="C4" s="8">
        <f ca="1">DATE(YEAR(TODAY()),4,30)</f>
        <v>44316</v>
      </c>
    </row>
    <row r="5" spans="1:3" x14ac:dyDescent="0.55000000000000004">
      <c r="A5" t="s">
        <v>25</v>
      </c>
      <c r="B5" s="8">
        <f ca="1">DATE(YEAR(TODAY()),4,1)</f>
        <v>44287</v>
      </c>
      <c r="C5" s="8">
        <f ca="1">DATE(YEAR(TODAY()),7,1)</f>
        <v>44378</v>
      </c>
    </row>
    <row r="6" spans="1:3" x14ac:dyDescent="0.55000000000000004">
      <c r="A6" t="s">
        <v>26</v>
      </c>
      <c r="B6" s="8">
        <f ca="1">DATE(YEAR(TODAY()),4,1)</f>
        <v>44287</v>
      </c>
      <c r="C6" s="8">
        <f ca="1">DATE(YEAR(TODAY()),4,20)</f>
        <v>44306</v>
      </c>
    </row>
    <row r="7" spans="1:3" x14ac:dyDescent="0.55000000000000004">
      <c r="A7" t="s">
        <v>27</v>
      </c>
      <c r="B7" s="8">
        <f ca="1">DATE(YEAR(TODAY()),5,1)</f>
        <v>44317</v>
      </c>
      <c r="C7" s="8">
        <f ca="1">DATE(YEAR(TODAY()),7,20)</f>
        <v>44397</v>
      </c>
    </row>
    <row r="8" spans="1:3" x14ac:dyDescent="0.55000000000000004">
      <c r="A8" t="s">
        <v>28</v>
      </c>
      <c r="B8" s="8">
        <f ca="1">DATE(YEAR(TODAY()),6,15)</f>
        <v>44362</v>
      </c>
      <c r="C8" s="8">
        <f ca="1">DATE(YEAR(TODAY()),8,1)</f>
        <v>44409</v>
      </c>
    </row>
    <row r="9" spans="1:3" x14ac:dyDescent="0.55000000000000004">
      <c r="A9" t="s">
        <v>29</v>
      </c>
      <c r="B9" s="8">
        <f ca="1">DATE(YEAR(TODAY()),6,15)</f>
        <v>44362</v>
      </c>
      <c r="C9" s="8">
        <f ca="1">DATE(YEAR(TODAY()),9,1)</f>
        <v>44440</v>
      </c>
    </row>
    <row r="10" spans="1:3" x14ac:dyDescent="0.55000000000000004">
      <c r="A10" t="s">
        <v>30</v>
      </c>
      <c r="B10" s="8">
        <f ca="1">DATE(YEAR(TODAY()),8,1)</f>
        <v>44409</v>
      </c>
      <c r="C10" s="8">
        <f ca="1">DATE(YEAR(TODAY()),9,1)</f>
        <v>44440</v>
      </c>
    </row>
    <row r="11" spans="1:3" x14ac:dyDescent="0.55000000000000004">
      <c r="A11" t="s">
        <v>31</v>
      </c>
      <c r="B11" s="8">
        <f ca="1">DATE(YEAR(TODAY()),8,1)</f>
        <v>44409</v>
      </c>
      <c r="C11" s="8">
        <f ca="1">DATE(YEAR(TODAY()),9,15)</f>
        <v>44454</v>
      </c>
    </row>
    <row r="12" spans="1:3" x14ac:dyDescent="0.55000000000000004">
      <c r="A12" t="s">
        <v>32</v>
      </c>
      <c r="B12" s="8">
        <f ca="1">DATE(YEAR(TODAY()),10,1)</f>
        <v>44470</v>
      </c>
      <c r="C12" s="8">
        <f ca="1">DATE(YEAR(TODAY()),11,15)</f>
        <v>44515</v>
      </c>
    </row>
    <row r="13" spans="1:3" x14ac:dyDescent="0.55000000000000004">
      <c r="A13" t="s">
        <v>33</v>
      </c>
      <c r="B13" s="8">
        <f ca="1">DATE(YEAR(TODAY()),10,20)</f>
        <v>44489</v>
      </c>
      <c r="C13" s="8">
        <f ca="1">DATE(YEAR(TODAY()),12,1)</f>
        <v>44531</v>
      </c>
    </row>
    <row r="14" spans="1:3" x14ac:dyDescent="0.55000000000000004">
      <c r="A14" t="s">
        <v>34</v>
      </c>
      <c r="B14" s="8">
        <f ca="1">DATE(YEAR(TODAY()),10,20)</f>
        <v>44489</v>
      </c>
      <c r="C14" s="8">
        <f ca="1">DATE(YEAR(TODAY()),12,1)</f>
        <v>44531</v>
      </c>
    </row>
    <row r="15" spans="1:3" x14ac:dyDescent="0.55000000000000004">
      <c r="A15" t="s">
        <v>35</v>
      </c>
      <c r="B15" s="8">
        <f ca="1">DATE(YEAR(TODAY()),11,1)</f>
        <v>44501</v>
      </c>
      <c r="C15" s="8">
        <f ca="1">DATE(YEAR(TODAY()),12,25)</f>
        <v>44555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D5645-5435-4DAF-BAE9-E3C66E3200E8}">
  <dimension ref="A1:F14"/>
  <sheetViews>
    <sheetView zoomScale="130" zoomScaleNormal="130" workbookViewId="0">
      <selection activeCell="B17" sqref="B17"/>
    </sheetView>
  </sheetViews>
  <sheetFormatPr defaultRowHeight="14.4" x14ac:dyDescent="0.55000000000000004"/>
  <cols>
    <col min="1" max="3" width="11.41796875" customWidth="1"/>
  </cols>
  <sheetData>
    <row r="1" spans="1:6" x14ac:dyDescent="0.55000000000000004">
      <c r="A1" s="9" t="s">
        <v>18</v>
      </c>
      <c r="B1" s="9" t="s">
        <v>1</v>
      </c>
      <c r="C1" s="9" t="s">
        <v>2</v>
      </c>
      <c r="F1" s="2"/>
    </row>
    <row r="2" spans="1:6" x14ac:dyDescent="0.55000000000000004">
      <c r="A2" t="s">
        <v>3</v>
      </c>
      <c r="B2" s="5">
        <v>500000</v>
      </c>
      <c r="C2" s="5">
        <v>480476</v>
      </c>
      <c r="F2" s="5"/>
    </row>
    <row r="3" spans="1:6" x14ac:dyDescent="0.55000000000000004">
      <c r="A3" t="s">
        <v>4</v>
      </c>
      <c r="B3" s="5">
        <v>530000</v>
      </c>
      <c r="C3" s="5">
        <v>577277</v>
      </c>
      <c r="F3" s="5"/>
    </row>
    <row r="4" spans="1:6" x14ac:dyDescent="0.55000000000000004">
      <c r="A4" t="s">
        <v>5</v>
      </c>
      <c r="B4" s="5">
        <v>510000</v>
      </c>
      <c r="C4" s="5">
        <v>539392</v>
      </c>
      <c r="F4" s="5"/>
    </row>
    <row r="5" spans="1:6" x14ac:dyDescent="0.55000000000000004">
      <c r="A5" t="s">
        <v>6</v>
      </c>
      <c r="B5" s="5">
        <v>500000</v>
      </c>
      <c r="C5" s="5">
        <v>529984</v>
      </c>
      <c r="F5" s="5"/>
    </row>
    <row r="6" spans="1:6" x14ac:dyDescent="0.55000000000000004">
      <c r="A6" t="s">
        <v>7</v>
      </c>
      <c r="B6" s="5">
        <v>530000</v>
      </c>
      <c r="C6" s="5">
        <v>547354</v>
      </c>
      <c r="F6" s="5"/>
    </row>
    <row r="7" spans="1:6" x14ac:dyDescent="0.55000000000000004">
      <c r="A7" t="s">
        <v>8</v>
      </c>
      <c r="B7" s="5">
        <v>510000</v>
      </c>
      <c r="C7" s="5">
        <v>530360</v>
      </c>
      <c r="F7" s="5"/>
    </row>
    <row r="8" spans="1:6" x14ac:dyDescent="0.55000000000000004">
      <c r="A8" t="s">
        <v>9</v>
      </c>
      <c r="B8" s="5">
        <v>510000</v>
      </c>
      <c r="C8" s="5">
        <v>482794</v>
      </c>
      <c r="F8" s="5"/>
    </row>
    <row r="9" spans="1:6" x14ac:dyDescent="0.55000000000000004">
      <c r="A9" t="s">
        <v>10</v>
      </c>
      <c r="B9" s="5">
        <v>540000</v>
      </c>
      <c r="C9" s="5">
        <v>533105</v>
      </c>
      <c r="F9" s="5"/>
    </row>
    <row r="10" spans="1:6" x14ac:dyDescent="0.55000000000000004">
      <c r="A10" t="s">
        <v>11</v>
      </c>
      <c r="B10" s="5">
        <v>580000</v>
      </c>
      <c r="C10" s="5">
        <v>546475</v>
      </c>
      <c r="F10" s="5"/>
    </row>
    <row r="11" spans="1:6" x14ac:dyDescent="0.55000000000000004">
      <c r="A11" t="s">
        <v>12</v>
      </c>
      <c r="B11" s="5">
        <v>580000</v>
      </c>
      <c r="C11" s="5">
        <v>604353</v>
      </c>
      <c r="F11" s="5"/>
    </row>
    <row r="12" spans="1:6" x14ac:dyDescent="0.55000000000000004">
      <c r="A12" t="s">
        <v>13</v>
      </c>
      <c r="B12" s="5">
        <v>570000</v>
      </c>
      <c r="C12" s="5">
        <v>530118</v>
      </c>
      <c r="F12" s="5"/>
    </row>
    <row r="13" spans="1:6" x14ac:dyDescent="0.55000000000000004">
      <c r="A13" t="s">
        <v>14</v>
      </c>
      <c r="B13" s="5">
        <v>520000</v>
      </c>
      <c r="C13" s="5">
        <v>556768</v>
      </c>
      <c r="F13" s="5"/>
    </row>
    <row r="14" spans="1:6" x14ac:dyDescent="0.55000000000000004">
      <c r="F1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E013D-3189-4F15-B5E2-0D0769622EDA}">
  <dimension ref="A1:B6"/>
  <sheetViews>
    <sheetView zoomScale="130" zoomScaleNormal="130" workbookViewId="0">
      <selection activeCell="E14" sqref="E14"/>
    </sheetView>
  </sheetViews>
  <sheetFormatPr defaultRowHeight="14.4" x14ac:dyDescent="0.55000000000000004"/>
  <cols>
    <col min="1" max="1" width="22" bestFit="1" customWidth="1"/>
    <col min="2" max="2" width="11.578125" bestFit="1" customWidth="1"/>
  </cols>
  <sheetData>
    <row r="1" spans="1:2" ht="14.7" thickBot="1" x14ac:dyDescent="0.6">
      <c r="A1" s="3" t="s">
        <v>16</v>
      </c>
      <c r="B1" s="4" t="s">
        <v>17</v>
      </c>
    </row>
    <row r="2" spans="1:2" x14ac:dyDescent="0.55000000000000004">
      <c r="A2" t="s">
        <v>38</v>
      </c>
      <c r="B2" s="6">
        <v>220</v>
      </c>
    </row>
    <row r="3" spans="1:2" x14ac:dyDescent="0.55000000000000004">
      <c r="A3" t="s">
        <v>39</v>
      </c>
      <c r="B3" s="6">
        <v>186</v>
      </c>
    </row>
    <row r="4" spans="1:2" x14ac:dyDescent="0.55000000000000004">
      <c r="A4" t="s">
        <v>40</v>
      </c>
      <c r="B4" s="6">
        <v>139</v>
      </c>
    </row>
    <row r="5" spans="1:2" x14ac:dyDescent="0.55000000000000004">
      <c r="A5" t="s">
        <v>41</v>
      </c>
      <c r="B5" s="6">
        <v>72</v>
      </c>
    </row>
    <row r="6" spans="1:2" x14ac:dyDescent="0.55000000000000004">
      <c r="A6" t="s">
        <v>15</v>
      </c>
      <c r="B6" s="6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zoomScale="145" zoomScaleNormal="145" workbookViewId="0">
      <selection activeCell="B14" sqref="B14"/>
    </sheetView>
  </sheetViews>
  <sheetFormatPr defaultRowHeight="14.4" x14ac:dyDescent="0.55000000000000004"/>
  <cols>
    <col min="2" max="2" width="11.68359375" bestFit="1" customWidth="1"/>
    <col min="3" max="3" width="19.41796875" bestFit="1" customWidth="1"/>
  </cols>
  <sheetData>
    <row r="1" spans="1:3" ht="19.5" thickBot="1" x14ac:dyDescent="0.6">
      <c r="A1" s="1" t="s">
        <v>0</v>
      </c>
      <c r="B1" s="1" t="s">
        <v>37</v>
      </c>
      <c r="C1" s="1" t="s">
        <v>36</v>
      </c>
    </row>
    <row r="2" spans="1:3" ht="14.7" thickTop="1" x14ac:dyDescent="0.55000000000000004">
      <c r="A2" t="s">
        <v>3</v>
      </c>
      <c r="B2" s="2">
        <v>125368</v>
      </c>
      <c r="C2" s="10">
        <v>7.0000000000000007E-2</v>
      </c>
    </row>
    <row r="3" spans="1:3" x14ac:dyDescent="0.55000000000000004">
      <c r="A3" t="s">
        <v>4</v>
      </c>
      <c r="B3" s="2">
        <v>127112</v>
      </c>
      <c r="C3" s="10">
        <v>0.12</v>
      </c>
    </row>
    <row r="4" spans="1:3" x14ac:dyDescent="0.55000000000000004">
      <c r="A4" t="s">
        <v>5</v>
      </c>
      <c r="B4" s="2">
        <v>121158</v>
      </c>
      <c r="C4" s="10">
        <v>0.1</v>
      </c>
    </row>
    <row r="5" spans="1:3" x14ac:dyDescent="0.55000000000000004">
      <c r="A5" t="s">
        <v>6</v>
      </c>
      <c r="B5" s="2">
        <v>107304</v>
      </c>
      <c r="C5" s="10">
        <v>0.25</v>
      </c>
    </row>
    <row r="6" spans="1:3" x14ac:dyDescent="0.55000000000000004">
      <c r="A6" t="s">
        <v>7</v>
      </c>
      <c r="B6" s="2">
        <v>130160</v>
      </c>
      <c r="C6" s="10">
        <v>0.06</v>
      </c>
    </row>
    <row r="7" spans="1:3" x14ac:dyDescent="0.55000000000000004">
      <c r="A7" t="s">
        <v>8</v>
      </c>
      <c r="B7" s="2">
        <v>129043</v>
      </c>
      <c r="C7" s="10">
        <v>0.05</v>
      </c>
    </row>
    <row r="8" spans="1:3" x14ac:dyDescent="0.55000000000000004">
      <c r="A8" t="s">
        <v>9</v>
      </c>
      <c r="B8" s="2">
        <v>115210</v>
      </c>
      <c r="C8" s="10">
        <v>0.05</v>
      </c>
    </row>
    <row r="9" spans="1:3" x14ac:dyDescent="0.55000000000000004">
      <c r="A9" t="s">
        <v>10</v>
      </c>
      <c r="B9" s="2">
        <v>135944</v>
      </c>
      <c r="C9" s="10">
        <v>0.06</v>
      </c>
    </row>
    <row r="10" spans="1:3" x14ac:dyDescent="0.55000000000000004">
      <c r="A10" t="s">
        <v>11</v>
      </c>
      <c r="B10" s="2">
        <v>107173</v>
      </c>
      <c r="C10" s="10">
        <v>0.18</v>
      </c>
    </row>
    <row r="11" spans="1:3" x14ac:dyDescent="0.55000000000000004">
      <c r="A11" t="s">
        <v>12</v>
      </c>
      <c r="B11" s="2">
        <v>136827</v>
      </c>
      <c r="C11" s="10">
        <v>0.14000000000000001</v>
      </c>
    </row>
    <row r="12" spans="1:3" x14ac:dyDescent="0.55000000000000004">
      <c r="A12" t="s">
        <v>13</v>
      </c>
      <c r="B12" s="2">
        <v>132289</v>
      </c>
      <c r="C12" s="10">
        <v>0.35</v>
      </c>
    </row>
    <row r="13" spans="1:3" x14ac:dyDescent="0.55000000000000004">
      <c r="A13" t="s">
        <v>14</v>
      </c>
      <c r="B13" s="2">
        <v>120115</v>
      </c>
      <c r="C13" s="10">
        <v>0.3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5CDAF-4183-4711-9226-845E3AE2DB49}">
  <dimension ref="A1:B8"/>
  <sheetViews>
    <sheetView zoomScale="160" zoomScaleNormal="160" workbookViewId="0">
      <selection activeCell="A9" sqref="A9"/>
    </sheetView>
  </sheetViews>
  <sheetFormatPr defaultRowHeight="14.4" x14ac:dyDescent="0.55000000000000004"/>
  <cols>
    <col min="1" max="1" width="24.26171875" bestFit="1" customWidth="1"/>
    <col min="2" max="2" width="14.62890625" bestFit="1" customWidth="1"/>
  </cols>
  <sheetData>
    <row r="1" spans="1:2" ht="14.7" thickBot="1" x14ac:dyDescent="0.6">
      <c r="A1" s="3" t="s">
        <v>42</v>
      </c>
      <c r="B1" s="3" t="s">
        <v>43</v>
      </c>
    </row>
    <row r="2" spans="1:2" x14ac:dyDescent="0.55000000000000004">
      <c r="A2" t="s">
        <v>44</v>
      </c>
      <c r="B2">
        <v>220</v>
      </c>
    </row>
    <row r="3" spans="1:2" x14ac:dyDescent="0.55000000000000004">
      <c r="A3" t="s">
        <v>45</v>
      </c>
      <c r="B3">
        <v>140</v>
      </c>
    </row>
    <row r="4" spans="1:2" x14ac:dyDescent="0.55000000000000004">
      <c r="A4" t="s">
        <v>47</v>
      </c>
      <c r="B4">
        <v>340</v>
      </c>
    </row>
    <row r="5" spans="1:2" x14ac:dyDescent="0.55000000000000004">
      <c r="A5" t="s">
        <v>46</v>
      </c>
      <c r="B5">
        <v>420</v>
      </c>
    </row>
    <row r="6" spans="1:2" x14ac:dyDescent="0.55000000000000004">
      <c r="A6" t="s">
        <v>48</v>
      </c>
      <c r="B6">
        <v>190</v>
      </c>
    </row>
    <row r="7" spans="1:2" x14ac:dyDescent="0.55000000000000004">
      <c r="A7" t="s">
        <v>49</v>
      </c>
      <c r="B7">
        <v>80</v>
      </c>
    </row>
    <row r="8" spans="1:2" x14ac:dyDescent="0.55000000000000004">
      <c r="A8" t="s">
        <v>50</v>
      </c>
      <c r="B8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678AD-8499-4E48-8228-010563B3ACDF}">
  <dimension ref="A1:B21"/>
  <sheetViews>
    <sheetView zoomScale="145" zoomScaleNormal="145" workbookViewId="0">
      <pane ySplit="2" topLeftCell="A9" activePane="bottomLeft" state="frozen"/>
      <selection pane="bottomLeft" activeCell="B14" sqref="B14"/>
    </sheetView>
  </sheetViews>
  <sheetFormatPr defaultRowHeight="14.4" x14ac:dyDescent="0.55000000000000004"/>
  <cols>
    <col min="1" max="1" width="54.20703125" customWidth="1"/>
    <col min="2" max="2" width="27.41796875" bestFit="1" customWidth="1"/>
  </cols>
  <sheetData>
    <row r="1" spans="1:2" x14ac:dyDescent="0.55000000000000004">
      <c r="A1" s="11" t="s">
        <v>71</v>
      </c>
    </row>
    <row r="2" spans="1:2" ht="14.7" thickBot="1" x14ac:dyDescent="0.6">
      <c r="A2" s="3" t="s">
        <v>70</v>
      </c>
      <c r="B2" s="3" t="s">
        <v>72</v>
      </c>
    </row>
    <row r="3" spans="1:2" x14ac:dyDescent="0.55000000000000004">
      <c r="A3" s="12" t="s">
        <v>51</v>
      </c>
      <c r="B3" s="5">
        <v>900018.6</v>
      </c>
    </row>
    <row r="4" spans="1:2" x14ac:dyDescent="0.55000000000000004">
      <c r="A4" s="12" t="s">
        <v>52</v>
      </c>
      <c r="B4" s="5">
        <v>1047494.5</v>
      </c>
    </row>
    <row r="5" spans="1:2" x14ac:dyDescent="0.55000000000000004">
      <c r="A5" s="12" t="s">
        <v>53</v>
      </c>
      <c r="B5" s="5">
        <v>43151.9</v>
      </c>
    </row>
    <row r="6" spans="1:2" ht="28.8" x14ac:dyDescent="0.55000000000000004">
      <c r="A6" s="12" t="s">
        <v>54</v>
      </c>
      <c r="B6" s="5">
        <v>123733.1</v>
      </c>
    </row>
    <row r="7" spans="1:2" x14ac:dyDescent="0.55000000000000004">
      <c r="A7" s="12" t="s">
        <v>55</v>
      </c>
      <c r="B7" s="5">
        <v>7700</v>
      </c>
    </row>
    <row r="8" spans="1:2" x14ac:dyDescent="0.55000000000000004">
      <c r="A8" s="12" t="s">
        <v>56</v>
      </c>
      <c r="B8" s="5">
        <v>16615.599999999999</v>
      </c>
    </row>
    <row r="9" spans="1:2" x14ac:dyDescent="0.55000000000000004">
      <c r="A9" s="12" t="s">
        <v>57</v>
      </c>
      <c r="B9" s="5">
        <v>141538.6</v>
      </c>
    </row>
    <row r="10" spans="1:2" x14ac:dyDescent="0.55000000000000004">
      <c r="A10" s="12" t="s">
        <v>58</v>
      </c>
      <c r="B10" s="5">
        <v>25351.9</v>
      </c>
    </row>
    <row r="11" spans="1:2" x14ac:dyDescent="0.55000000000000004">
      <c r="A11" s="12" t="s">
        <v>59</v>
      </c>
      <c r="B11" s="5">
        <v>13344.6</v>
      </c>
    </row>
    <row r="12" spans="1:2" x14ac:dyDescent="0.55000000000000004">
      <c r="A12" s="12" t="s">
        <v>60</v>
      </c>
      <c r="B12" s="5">
        <v>4833.6000000000004</v>
      </c>
    </row>
    <row r="13" spans="1:2" x14ac:dyDescent="0.55000000000000004">
      <c r="A13" s="12" t="s">
        <v>61</v>
      </c>
      <c r="B13" s="5">
        <v>186523.1</v>
      </c>
    </row>
    <row r="14" spans="1:2" ht="28.8" x14ac:dyDescent="0.55000000000000004">
      <c r="A14" s="12" t="s">
        <v>62</v>
      </c>
      <c r="B14" s="5">
        <v>12588</v>
      </c>
    </row>
    <row r="15" spans="1:2" x14ac:dyDescent="0.55000000000000004">
      <c r="A15" s="12" t="s">
        <v>63</v>
      </c>
      <c r="B15" s="5">
        <v>20635.5</v>
      </c>
    </row>
    <row r="16" spans="1:2" x14ac:dyDescent="0.55000000000000004">
      <c r="A16" s="12" t="s">
        <v>64</v>
      </c>
      <c r="B16" s="5">
        <v>30355.4</v>
      </c>
    </row>
    <row r="17" spans="1:2" x14ac:dyDescent="0.55000000000000004">
      <c r="A17" s="12" t="s">
        <v>65</v>
      </c>
      <c r="B17" s="5">
        <v>17712.3</v>
      </c>
    </row>
    <row r="18" spans="1:2" x14ac:dyDescent="0.55000000000000004">
      <c r="A18" s="12" t="s">
        <v>66</v>
      </c>
      <c r="B18" s="5">
        <v>307.3</v>
      </c>
    </row>
    <row r="19" spans="1:2" x14ac:dyDescent="0.55000000000000004">
      <c r="A19" s="12" t="s">
        <v>67</v>
      </c>
      <c r="B19" s="5">
        <v>23667.9</v>
      </c>
    </row>
    <row r="20" spans="1:2" x14ac:dyDescent="0.55000000000000004">
      <c r="A20" s="12" t="s">
        <v>68</v>
      </c>
      <c r="B20" s="5">
        <v>1744</v>
      </c>
    </row>
    <row r="21" spans="1:2" ht="57.6" x14ac:dyDescent="0.55000000000000004">
      <c r="A21" s="12" t="s">
        <v>69</v>
      </c>
      <c r="B21" s="5">
        <v>24864.3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Задание</vt:lpstr>
      <vt:lpstr>Страны</vt:lpstr>
      <vt:lpstr>Проекты</vt:lpstr>
      <vt:lpstr>План-факт</vt:lpstr>
      <vt:lpstr>Сделки</vt:lpstr>
      <vt:lpstr>Скидки</vt:lpstr>
      <vt:lpstr>Факультеты</vt:lpstr>
      <vt:lpstr>Доходы бюджета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2021-01-15T18:09:45Z</dcterms:modified>
</cp:coreProperties>
</file>