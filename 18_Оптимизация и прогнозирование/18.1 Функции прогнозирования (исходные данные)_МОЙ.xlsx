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УЧЁБА\EXCEL\Excel\18_Оптимизация и прогнозирование\"/>
    </mc:Choice>
  </mc:AlternateContent>
  <xr:revisionPtr revIDLastSave="0" documentId="13_ncr:1_{A041101A-A4B7-4D53-AF14-23A11B52906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Выручка (тенденция и пр.линейн)" sheetId="1" r:id="rId1"/>
    <sheet name="Выручка (рост)" sheetId="2" r:id="rId2"/>
    <sheet name="Сезонность" sheetId="3" r:id="rId3"/>
    <sheet name="Лист2" sheetId="7" r:id="rId4"/>
    <sheet name="Лист_Прогноз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3" l="1"/>
  <c r="F52" i="3"/>
  <c r="F53" i="3"/>
  <c r="F54" i="3"/>
  <c r="F55" i="3"/>
  <c r="F56" i="3"/>
  <c r="F57" i="3"/>
  <c r="F58" i="3"/>
  <c r="F59" i="3"/>
  <c r="F60" i="3"/>
  <c r="F61" i="3"/>
  <c r="F50" i="3"/>
  <c r="E50" i="3"/>
  <c r="E51" i="3"/>
  <c r="H3" i="3" s="1"/>
  <c r="E52" i="3"/>
  <c r="E53" i="3"/>
  <c r="E54" i="3"/>
  <c r="E55" i="3"/>
  <c r="E56" i="3"/>
  <c r="E57" i="3"/>
  <c r="E58" i="3"/>
  <c r="E59" i="3"/>
  <c r="H11" i="3" s="1"/>
  <c r="E60" i="3"/>
  <c r="E61" i="3"/>
  <c r="D50" i="3"/>
  <c r="D51" i="3"/>
  <c r="D52" i="3"/>
  <c r="D53" i="3"/>
  <c r="D54" i="3"/>
  <c r="D55" i="3"/>
  <c r="D56" i="3"/>
  <c r="D57" i="3"/>
  <c r="D58" i="3"/>
  <c r="D59" i="3"/>
  <c r="D60" i="3"/>
  <c r="D6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D2" i="3"/>
  <c r="C2" i="3"/>
  <c r="B50" i="1"/>
  <c r="C50" i="1" a="1"/>
  <c r="C50" i="1" s="1"/>
  <c r="C51" i="1" a="1"/>
  <c r="C51" i="1" s="1"/>
  <c r="C52" i="1" a="1"/>
  <c r="C52" i="1" s="1"/>
  <c r="C53" i="1" a="1"/>
  <c r="C53" i="1"/>
  <c r="C54" i="1" a="1"/>
  <c r="C54" i="1" s="1"/>
  <c r="C55" i="1" a="1"/>
  <c r="C55" i="1" s="1"/>
  <c r="C56" i="1" a="1"/>
  <c r="C56" i="1" s="1"/>
  <c r="C57" i="1" a="1"/>
  <c r="C57" i="1"/>
  <c r="C58" i="1" a="1"/>
  <c r="C58" i="1" s="1"/>
  <c r="C59" i="1" a="1"/>
  <c r="C59" i="1" s="1"/>
  <c r="C60" i="1" a="1"/>
  <c r="C60" i="1" s="1"/>
  <c r="C61" i="1" a="1"/>
  <c r="C61" i="1" s="1"/>
  <c r="B51" i="1"/>
  <c r="B52" i="1"/>
  <c r="B53" i="1"/>
  <c r="B54" i="1"/>
  <c r="B55" i="1"/>
  <c r="B56" i="1"/>
  <c r="B57" i="1"/>
  <c r="B58" i="1"/>
  <c r="B59" i="1"/>
  <c r="B60" i="1"/>
  <c r="B61" i="1"/>
  <c r="B51" i="3" a="1"/>
  <c r="B51" i="3" s="1"/>
  <c r="B52" i="3" a="1"/>
  <c r="B52" i="3" s="1"/>
  <c r="B53" i="3" a="1"/>
  <c r="B53" i="3"/>
  <c r="B54" i="3" a="1"/>
  <c r="B54" i="3"/>
  <c r="B55" i="3" a="1"/>
  <c r="B55" i="3" s="1"/>
  <c r="B56" i="3" a="1"/>
  <c r="B56" i="3" s="1"/>
  <c r="B57" i="3" a="1"/>
  <c r="B57" i="3"/>
  <c r="B58" i="3" a="1"/>
  <c r="B58" i="3" s="1"/>
  <c r="B59" i="3" a="1"/>
  <c r="B59" i="3" s="1"/>
  <c r="B60" i="3" a="1"/>
  <c r="B60" i="3" s="1"/>
  <c r="B61" i="3" a="1"/>
  <c r="B61" i="3" s="1"/>
  <c r="B50" i="3" a="1"/>
  <c r="B50" i="3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0" i="2" a="1"/>
  <c r="B50" i="2" s="1"/>
  <c r="H12" i="3"/>
  <c r="H7" i="3"/>
  <c r="H5" i="3"/>
  <c r="H9" i="3"/>
  <c r="H10" i="3"/>
  <c r="H13" i="3"/>
  <c r="H6" i="3"/>
  <c r="H4" i="3"/>
  <c r="H8" i="3"/>
  <c r="H2" i="3"/>
  <c r="C73" i="7"/>
  <c r="C70" i="7"/>
  <c r="C72" i="7"/>
  <c r="C71" i="7"/>
  <c r="C69" i="7"/>
  <c r="C68" i="7"/>
  <c r="C65" i="7"/>
  <c r="C66" i="7"/>
  <c r="C64" i="7"/>
  <c r="C67" i="7"/>
  <c r="C63" i="7"/>
  <c r="C62" i="7"/>
  <c r="C50" i="7"/>
  <c r="C52" i="7"/>
  <c r="C60" i="7"/>
  <c r="C59" i="7"/>
  <c r="C53" i="7"/>
  <c r="C61" i="7"/>
  <c r="C51" i="7"/>
  <c r="C54" i="7"/>
  <c r="C55" i="7"/>
  <c r="C56" i="7"/>
  <c r="C57" i="7"/>
  <c r="C58" i="7"/>
  <c r="D58" i="7"/>
  <c r="E54" i="7"/>
  <c r="E59" i="7"/>
  <c r="D54" i="7"/>
  <c r="D59" i="7"/>
  <c r="E52" i="7"/>
  <c r="D61" i="7"/>
  <c r="E53" i="7"/>
  <c r="E50" i="7"/>
  <c r="E58" i="7"/>
  <c r="D57" i="7"/>
  <c r="D51" i="7"/>
  <c r="E60" i="7"/>
  <c r="E51" i="7"/>
  <c r="D60" i="7"/>
  <c r="E61" i="7"/>
  <c r="D52" i="7"/>
  <c r="D50" i="7"/>
  <c r="D53" i="7"/>
  <c r="E57" i="7"/>
  <c r="D56" i="7"/>
  <c r="E55" i="7"/>
  <c r="E56" i="7"/>
  <c r="D55" i="7"/>
  <c r="E62" i="7"/>
  <c r="D62" i="7"/>
  <c r="D63" i="7"/>
  <c r="E63" i="7"/>
  <c r="E64" i="7"/>
  <c r="D66" i="7"/>
  <c r="D65" i="7"/>
  <c r="D67" i="7"/>
  <c r="E68" i="7"/>
  <c r="D64" i="7"/>
  <c r="E65" i="7"/>
  <c r="E67" i="7"/>
  <c r="E66" i="7"/>
  <c r="D68" i="7"/>
  <c r="E69" i="7"/>
  <c r="D69" i="7"/>
  <c r="E70" i="7"/>
  <c r="D71" i="7"/>
  <c r="D72" i="7"/>
  <c r="E72" i="7"/>
  <c r="E71" i="7"/>
  <c r="D70" i="7"/>
  <c r="E73" i="7"/>
  <c r="D7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<sst xmlns="http://schemas.openxmlformats.org/spreadsheetml/2006/main" count="21" uniqueCount="11">
  <si>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Период</t>
  </si>
  <si>
    <t>Выручка</t>
  </si>
  <si>
    <t xml:space="preserve">alt+f1 - строим график </t>
  </si>
  <si>
    <t>год</t>
  </si>
  <si>
    <t>месяц</t>
  </si>
  <si>
    <t>Индекс месяца</t>
  </si>
  <si>
    <t>Индекс мес. в среднем</t>
  </si>
  <si>
    <t>Прогноз(Выручка)</t>
  </si>
  <si>
    <t>Привязка низкой вероятности(Выручка)</t>
  </si>
  <si>
    <t>Привязка высокой вероятности(Выручка)</t>
  </si>
  <si>
    <t>Прогноз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</si>
</sst>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1" applyFill="1" applyBorder="1" applyAlignment="1">
      <alignment horizontal="center"/>
    </xf>
    <xf numFmtId="0" fontId="3" fillId="0" borderId="0" xfId="0" applyFont="1"/>
    <xf numFmtId="3" fontId="0" fillId="2" borderId="0" xfId="0" applyNumberFormat="1" applyFill="1" applyAlignment="1">
      <alignment horizontal="center"/>
    </xf>
    <xf numFmtId="164" fontId="0" fillId="3" borderId="0" xfId="2" applyNumberFormat="1" applyFont="1" applyFill="1"/>
    <xf numFmtId="164" fontId="0" fillId="2" borderId="0" xfId="2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</cellXfs>
  <cellStyles count="3">
    <cellStyle name="Заголовок 3" xfId="1" builtinId="18"/>
    <cellStyle name="Обычный" xfId="0" builtinId="0"/>
    <cellStyle name="Финансовый" xfId="2" builtinId="3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'Выручка (тенденция и пр.линейн)'!$B$1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'Выручка (тенденция и пр.линейн)'!$A$2:$A$49</c:f>
              <c:numCache>
                <c:formatCode>m/d/yyyy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'Выручка (тенденция и пр.линейн)'!$B$2:$B$49</c:f>
              <c:numCache>
                <c:formatCode>#,##0</c:formatCode>
                <c:ptCount val="48"/>
                <c:pt idx="0">
                  <c:v>271739</c:v>
                </c:pt>
                <c:pt idx="1">
                  <c:v>274599</c:v>
                </c:pt>
                <c:pt idx="2">
                  <c:v>233636</c:v>
                </c:pt>
                <c:pt idx="3">
                  <c:v>105228</c:v>
                </c:pt>
                <c:pt idx="4">
                  <c:v>272471</c:v>
                </c:pt>
                <c:pt idx="5">
                  <c:v>163407</c:v>
                </c:pt>
                <c:pt idx="6">
                  <c:v>122575</c:v>
                </c:pt>
                <c:pt idx="7">
                  <c:v>135852</c:v>
                </c:pt>
                <c:pt idx="8">
                  <c:v>231652</c:v>
                </c:pt>
                <c:pt idx="9">
                  <c:v>285444</c:v>
                </c:pt>
                <c:pt idx="10">
                  <c:v>194543</c:v>
                </c:pt>
                <c:pt idx="11">
                  <c:v>173825</c:v>
                </c:pt>
                <c:pt idx="12">
                  <c:v>258822</c:v>
                </c:pt>
                <c:pt idx="13">
                  <c:v>100270</c:v>
                </c:pt>
                <c:pt idx="14">
                  <c:v>248431</c:v>
                </c:pt>
                <c:pt idx="15">
                  <c:v>233784</c:v>
                </c:pt>
                <c:pt idx="16">
                  <c:v>176660</c:v>
                </c:pt>
                <c:pt idx="17">
                  <c:v>200457</c:v>
                </c:pt>
                <c:pt idx="18">
                  <c:v>196729</c:v>
                </c:pt>
                <c:pt idx="19">
                  <c:v>208699</c:v>
                </c:pt>
                <c:pt idx="20">
                  <c:v>307342</c:v>
                </c:pt>
                <c:pt idx="21">
                  <c:v>255952</c:v>
                </c:pt>
                <c:pt idx="22">
                  <c:v>140535</c:v>
                </c:pt>
                <c:pt idx="23">
                  <c:v>310899</c:v>
                </c:pt>
                <c:pt idx="24">
                  <c:v>200362</c:v>
                </c:pt>
                <c:pt idx="25">
                  <c:v>107310</c:v>
                </c:pt>
                <c:pt idx="26">
                  <c:v>147757</c:v>
                </c:pt>
                <c:pt idx="27">
                  <c:v>309155</c:v>
                </c:pt>
                <c:pt idx="28">
                  <c:v>175294</c:v>
                </c:pt>
                <c:pt idx="29">
                  <c:v>209986</c:v>
                </c:pt>
                <c:pt idx="30">
                  <c:v>222831</c:v>
                </c:pt>
                <c:pt idx="31">
                  <c:v>122388</c:v>
                </c:pt>
                <c:pt idx="32">
                  <c:v>256478</c:v>
                </c:pt>
                <c:pt idx="33">
                  <c:v>208760</c:v>
                </c:pt>
                <c:pt idx="34">
                  <c:v>266607</c:v>
                </c:pt>
                <c:pt idx="35">
                  <c:v>295853</c:v>
                </c:pt>
                <c:pt idx="36">
                  <c:v>245832</c:v>
                </c:pt>
                <c:pt idx="37">
                  <c:v>148900</c:v>
                </c:pt>
                <c:pt idx="38">
                  <c:v>316655</c:v>
                </c:pt>
                <c:pt idx="39">
                  <c:v>195564</c:v>
                </c:pt>
                <c:pt idx="40">
                  <c:v>328988</c:v>
                </c:pt>
                <c:pt idx="41">
                  <c:v>172856</c:v>
                </c:pt>
                <c:pt idx="42">
                  <c:v>319261</c:v>
                </c:pt>
                <c:pt idx="43">
                  <c:v>222693</c:v>
                </c:pt>
                <c:pt idx="44">
                  <c:v>197144</c:v>
                </c:pt>
                <c:pt idx="45">
                  <c:v>116636</c:v>
                </c:pt>
                <c:pt idx="46">
                  <c:v>315237</c:v>
                </c:pt>
                <c:pt idx="47">
                  <c:v>346237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C-4AAF-AEB6-296842D2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988208"/>
        <c:axId val="958989040"/>
      </c:lineChart>
      <c:dateAx>
        <c:axId val="958988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9040"/>
        <c:crosses val="autoZero"/>
        <c:auto val="1"/>
        <c:lblOffset val="100"/>
        <c:baseTimeUnit val="months"/>
      </c:dateAx>
      <c:valAx>
        <c:axId val="9589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(рост)'!$B$1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'Выручка (рост)'!$A$2:$A$55</c:f>
              <c:numCache>
                <c:formatCode>m/d/yyyy</c:formatCode>
                <c:ptCount val="5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</c:numCache>
            </c:numRef>
          </c:cat>
          <c:val>
            <c:numRef>
              <c:f>'Выручка (рост)'!$B$2:$B$55</c:f>
              <c:numCache>
                <c:formatCode>#,##0</c:formatCode>
                <c:ptCount val="54"/>
                <c:pt idx="0">
                  <c:v>42451.6</c:v>
                </c:pt>
                <c:pt idx="1">
                  <c:v>61582.2</c:v>
                </c:pt>
                <c:pt idx="2">
                  <c:v>89175.2</c:v>
                </c:pt>
                <c:pt idx="3">
                  <c:v>113801</c:v>
                </c:pt>
                <c:pt idx="4">
                  <c:v>136173.6</c:v>
                </c:pt>
                <c:pt idx="5">
                  <c:v>140165.20000000001</c:v>
                </c:pt>
                <c:pt idx="6">
                  <c:v>165121.60000000001</c:v>
                </c:pt>
                <c:pt idx="7">
                  <c:v>187927.2</c:v>
                </c:pt>
                <c:pt idx="8">
                  <c:v>226564</c:v>
                </c:pt>
                <c:pt idx="9">
                  <c:v>257747.6</c:v>
                </c:pt>
                <c:pt idx="10">
                  <c:v>283980</c:v>
                </c:pt>
                <c:pt idx="11">
                  <c:v>275241.2</c:v>
                </c:pt>
                <c:pt idx="12">
                  <c:v>333782.40000000002</c:v>
                </c:pt>
                <c:pt idx="13">
                  <c:v>334233</c:v>
                </c:pt>
                <c:pt idx="14">
                  <c:v>334835.20000000001</c:v>
                </c:pt>
                <c:pt idx="15">
                  <c:v>395865.4</c:v>
                </c:pt>
                <c:pt idx="16">
                  <c:v>427406.4</c:v>
                </c:pt>
                <c:pt idx="17">
                  <c:v>395800.4</c:v>
                </c:pt>
                <c:pt idx="18">
                  <c:v>472492</c:v>
                </c:pt>
                <c:pt idx="19">
                  <c:v>495377.4</c:v>
                </c:pt>
                <c:pt idx="20">
                  <c:v>457692.4</c:v>
                </c:pt>
                <c:pt idx="21">
                  <c:v>488510.8</c:v>
                </c:pt>
                <c:pt idx="22">
                  <c:v>549326.4</c:v>
                </c:pt>
                <c:pt idx="23">
                  <c:v>556190</c:v>
                </c:pt>
                <c:pt idx="24">
                  <c:v>556478</c:v>
                </c:pt>
                <c:pt idx="25">
                  <c:v>570445.19999999995</c:v>
                </c:pt>
                <c:pt idx="26">
                  <c:v>639391.19999999995</c:v>
                </c:pt>
                <c:pt idx="27">
                  <c:v>690229</c:v>
                </c:pt>
                <c:pt idx="28">
                  <c:v>718104</c:v>
                </c:pt>
                <c:pt idx="29">
                  <c:v>650944.19999999995</c:v>
                </c:pt>
                <c:pt idx="30">
                  <c:v>674265.59999999998</c:v>
                </c:pt>
                <c:pt idx="31">
                  <c:v>774206.4</c:v>
                </c:pt>
                <c:pt idx="32">
                  <c:v>799659.6</c:v>
                </c:pt>
                <c:pt idx="33">
                  <c:v>791273</c:v>
                </c:pt>
                <c:pt idx="34">
                  <c:v>791856</c:v>
                </c:pt>
                <c:pt idx="35">
                  <c:v>875109.2</c:v>
                </c:pt>
                <c:pt idx="36">
                  <c:v>886517.2</c:v>
                </c:pt>
                <c:pt idx="37">
                  <c:v>927739.8</c:v>
                </c:pt>
                <c:pt idx="38">
                  <c:v>863808</c:v>
                </c:pt>
                <c:pt idx="39">
                  <c:v>894005</c:v>
                </c:pt>
                <c:pt idx="40">
                  <c:v>993090</c:v>
                </c:pt>
                <c:pt idx="41">
                  <c:v>936101.4</c:v>
                </c:pt>
                <c:pt idx="42">
                  <c:v>920779.2</c:v>
                </c:pt>
                <c:pt idx="43">
                  <c:v>1007631</c:v>
                </c:pt>
                <c:pt idx="44">
                  <c:v>1064780.3999999999</c:v>
                </c:pt>
                <c:pt idx="45">
                  <c:v>949616.2</c:v>
                </c:pt>
                <c:pt idx="46">
                  <c:v>1009699.2</c:v>
                </c:pt>
                <c:pt idx="47">
                  <c:v>1077167</c:v>
                </c:pt>
                <c:pt idx="48">
                  <c:v>1639729.6978463051</c:v>
                </c:pt>
                <c:pt idx="49">
                  <c:v>1729943.5193827918</c:v>
                </c:pt>
                <c:pt idx="50">
                  <c:v>1815685.6068086235</c:v>
                </c:pt>
                <c:pt idx="51">
                  <c:v>1915580.0818029735</c:v>
                </c:pt>
                <c:pt idx="52">
                  <c:v>2017481.9722517603</c:v>
                </c:pt>
                <c:pt idx="53">
                  <c:v>2128478.7779062856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4-4493-9C4C-D039FF82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12143"/>
        <c:axId val="2082036703"/>
      </c:barChart>
      <c:dateAx>
        <c:axId val="692121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2036703"/>
        <c:crosses val="autoZero"/>
        <c:auto val="1"/>
        <c:lblOffset val="100"/>
        <c:baseTimeUnit val="months"/>
      </c:dateAx>
      <c:valAx>
        <c:axId val="20820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82320144764514E-2"/>
          <c:y val="3.9800933974162324E-2"/>
          <c:w val="0.89290451737011134"/>
          <c:h val="0.71303405256161156"/>
        </c:manualLayout>
      </c:layout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Лист2!$B$2:$B$66</c:f>
              <c:numCache>
                <c:formatCode>#,##0</c:formatCode>
                <c:ptCount val="65"/>
                <c:pt idx="0">
                  <c:v>1060006</c:v>
                </c:pt>
                <c:pt idx="1">
                  <c:v>1016249</c:v>
                </c:pt>
                <c:pt idx="2">
                  <c:v>1190842</c:v>
                </c:pt>
                <c:pt idx="3">
                  <c:v>1061994</c:v>
                </c:pt>
                <c:pt idx="4">
                  <c:v>1175292</c:v>
                </c:pt>
                <c:pt idx="5">
                  <c:v>1177291</c:v>
                </c:pt>
                <c:pt idx="6">
                  <c:v>1042555</c:v>
                </c:pt>
                <c:pt idx="7">
                  <c:v>1198237</c:v>
                </c:pt>
                <c:pt idx="8">
                  <c:v>1029982</c:v>
                </c:pt>
                <c:pt idx="9">
                  <c:v>1248187</c:v>
                </c:pt>
                <c:pt idx="10">
                  <c:v>1252012</c:v>
                </c:pt>
                <c:pt idx="11">
                  <c:v>1087343</c:v>
                </c:pt>
                <c:pt idx="12">
                  <c:v>1033761</c:v>
                </c:pt>
                <c:pt idx="13">
                  <c:v>1178972</c:v>
                </c:pt>
                <c:pt idx="14">
                  <c:v>1297593</c:v>
                </c:pt>
                <c:pt idx="15">
                  <c:v>1309888</c:v>
                </c:pt>
                <c:pt idx="16">
                  <c:v>1302768</c:v>
                </c:pt>
                <c:pt idx="17">
                  <c:v>1350600</c:v>
                </c:pt>
                <c:pt idx="18">
                  <c:v>1365146</c:v>
                </c:pt>
                <c:pt idx="19">
                  <c:v>1258628</c:v>
                </c:pt>
                <c:pt idx="20">
                  <c:v>1343181</c:v>
                </c:pt>
                <c:pt idx="21">
                  <c:v>1312282</c:v>
                </c:pt>
                <c:pt idx="22">
                  <c:v>1420583</c:v>
                </c:pt>
                <c:pt idx="23">
                  <c:v>1509642</c:v>
                </c:pt>
                <c:pt idx="24">
                  <c:v>1387633</c:v>
                </c:pt>
                <c:pt idx="25">
                  <c:v>1499714</c:v>
                </c:pt>
                <c:pt idx="26">
                  <c:v>1352381</c:v>
                </c:pt>
                <c:pt idx="27">
                  <c:v>1424287</c:v>
                </c:pt>
                <c:pt idx="28">
                  <c:v>1485661</c:v>
                </c:pt>
                <c:pt idx="29">
                  <c:v>1465237</c:v>
                </c:pt>
                <c:pt idx="30">
                  <c:v>1461197</c:v>
                </c:pt>
                <c:pt idx="31">
                  <c:v>1540648</c:v>
                </c:pt>
                <c:pt idx="32">
                  <c:v>1557424</c:v>
                </c:pt>
                <c:pt idx="33">
                  <c:v>1711023</c:v>
                </c:pt>
                <c:pt idx="34">
                  <c:v>1578509</c:v>
                </c:pt>
                <c:pt idx="35">
                  <c:v>1464080</c:v>
                </c:pt>
                <c:pt idx="36">
                  <c:v>1554282</c:v>
                </c:pt>
                <c:pt idx="37">
                  <c:v>1485026</c:v>
                </c:pt>
                <c:pt idx="38">
                  <c:v>1608037</c:v>
                </c:pt>
                <c:pt idx="39">
                  <c:v>1549038</c:v>
                </c:pt>
                <c:pt idx="40">
                  <c:v>1613646</c:v>
                </c:pt>
                <c:pt idx="41">
                  <c:v>1577889</c:v>
                </c:pt>
                <c:pt idx="42">
                  <c:v>1615970</c:v>
                </c:pt>
                <c:pt idx="43">
                  <c:v>1686289</c:v>
                </c:pt>
                <c:pt idx="44">
                  <c:v>1699802</c:v>
                </c:pt>
                <c:pt idx="45">
                  <c:v>1676483</c:v>
                </c:pt>
                <c:pt idx="46">
                  <c:v>1741271</c:v>
                </c:pt>
                <c:pt idx="47">
                  <c:v>1606715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1-4830-953A-381EFCB22B51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Прогноз(Выручка)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Лист2!$A$2:$A$66</c:f>
              <c:numCache>
                <c:formatCode>m/d/yyyy</c:formatCode>
                <c:ptCount val="6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</c:numCache>
            </c:numRef>
          </c:cat>
          <c:val>
            <c:numRef>
              <c:f>Лист2!$C$2:$C$66</c:f>
              <c:numCache>
                <c:formatCode>General</c:formatCode>
                <c:ptCount val="65"/>
                <c:pt idx="47" formatCode="#,##0">
                  <c:v>1606715</c:v>
                </c:pt>
                <c:pt idx="48" formatCode="#,##0">
                  <c:v>1603869.7587058379</c:v>
                </c:pt>
                <c:pt idx="49" formatCode="#,##0">
                  <c:v>1729453.0061416854</c:v>
                </c:pt>
                <c:pt idx="50" formatCode="#,##0">
                  <c:v>1710458.8504417338</c:v>
                </c:pt>
                <c:pt idx="51" formatCode="#,##0">
                  <c:v>1748401.1304085937</c:v>
                </c:pt>
                <c:pt idx="52" formatCode="#,##0">
                  <c:v>1775568.2084720908</c:v>
                </c:pt>
                <c:pt idx="53" formatCode="#,##0">
                  <c:v>1817760.0291427113</c:v>
                </c:pt>
                <c:pt idx="54" formatCode="#,##0">
                  <c:v>1753568.017036322</c:v>
                </c:pt>
                <c:pt idx="55" formatCode="#,##0">
                  <c:v>1775161.3451780486</c:v>
                </c:pt>
                <c:pt idx="56" formatCode="#,##0">
                  <c:v>1736898.1640097431</c:v>
                </c:pt>
                <c:pt idx="57" formatCode="#,##0">
                  <c:v>1831264.9404086038</c:v>
                </c:pt>
                <c:pt idx="58" formatCode="#,##0">
                  <c:v>1887536.5215990662</c:v>
                </c:pt>
                <c:pt idx="59" formatCode="#,##0">
                  <c:v>1852197.7788387816</c:v>
                </c:pt>
                <c:pt idx="60" formatCode="#,##0">
                  <c:v>1764143.4629040204</c:v>
                </c:pt>
                <c:pt idx="61" formatCode="#,##0">
                  <c:v>1889726.7103398677</c:v>
                </c:pt>
                <c:pt idx="62" formatCode="#,##0">
                  <c:v>1870732.5546399162</c:v>
                </c:pt>
                <c:pt idx="63" formatCode="#,##0">
                  <c:v>1908674.834606776</c:v>
                </c:pt>
                <c:pt idx="64" formatCode="#,##0">
                  <c:v>1935841.9126702733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1-4830-953A-381EFCB22B51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Привязка низкой вероятности(Выручка)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Лист2!$A$2:$A$66</c:f>
              <c:numCache>
                <c:formatCode>m/d/yyyy</c:formatCode>
                <c:ptCount val="6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</c:numCache>
            </c:numRef>
          </c:cat>
          <c:val>
            <c:numRef>
              <c:f>Лист2!$D$2:$D$66</c:f>
              <c:numCache>
                <c:formatCode>General</c:formatCode>
                <c:ptCount val="65"/>
                <c:pt idx="47" formatCode="#,##0">
                  <c:v>1606715</c:v>
                </c:pt>
                <c:pt idx="48" formatCode="#,##0">
                  <c:v>1446182.8093856231</c:v>
                </c:pt>
                <c:pt idx="49" formatCode="#,##0">
                  <c:v>1566836.2419544787</c:v>
                </c:pt>
                <c:pt idx="50" formatCode="#,##0">
                  <c:v>1543019.8856922404</c:v>
                </c:pt>
                <c:pt idx="51" formatCode="#,##0">
                  <c:v>1576238.3920438201</c:v>
                </c:pt>
                <c:pt idx="52" formatCode="#,##0">
                  <c:v>1598772.0930744621</c:v>
                </c:pt>
                <c:pt idx="53" formatCode="#,##0">
                  <c:v>1636413.867170552</c:v>
                </c:pt>
                <c:pt idx="54" formatCode="#,##0">
                  <c:v>1567748.8836333584</c:v>
                </c:pt>
                <c:pt idx="55" formatCode="#,##0">
                  <c:v>1584940.7475030678</c:v>
                </c:pt>
                <c:pt idx="56" formatCode="#,##0">
                  <c:v>1542342.6281954772</c:v>
                </c:pt>
                <c:pt idx="57" formatCode="#,##0">
                  <c:v>1632436.5161895701</c:v>
                </c:pt>
                <c:pt idx="58" formatCode="#,##0">
                  <c:v>1684493.2188419483</c:v>
                </c:pt>
                <c:pt idx="59" formatCode="#,##0">
                  <c:v>1644993.9473162736</c:v>
                </c:pt>
                <c:pt idx="60" formatCode="#,##0">
                  <c:v>1552799.1207423948</c:v>
                </c:pt>
                <c:pt idx="61" formatCode="#,##0">
                  <c:v>1674321.4315515968</c:v>
                </c:pt>
                <c:pt idx="62" formatCode="#,##0">
                  <c:v>1651311.5187909948</c:v>
                </c:pt>
                <c:pt idx="63" formatCode="#,##0">
                  <c:v>1685280.6734844202</c:v>
                </c:pt>
                <c:pt idx="64" formatCode="#,##0">
                  <c:v>1708514.9133678521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1-4830-953A-381EFCB22B51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Привязка высокой вероятности(Выручка)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Лист2!$A$2:$A$66</c:f>
              <c:numCache>
                <c:formatCode>m/d/yyyy</c:formatCode>
                <c:ptCount val="6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</c:numCache>
            </c:numRef>
          </c:cat>
          <c:val>
            <c:numRef>
              <c:f>Лист2!$E$2:$E$66</c:f>
              <c:numCache>
                <c:formatCode>General</c:formatCode>
                <c:ptCount val="65"/>
                <c:pt idx="47" formatCode="#,##0">
                  <c:v>1606715</c:v>
                </c:pt>
                <c:pt idx="48" formatCode="#,##0">
                  <c:v>1761556.7080260527</c:v>
                </c:pt>
                <c:pt idx="49" formatCode="#,##0">
                  <c:v>1892069.7703288922</c:v>
                </c:pt>
                <c:pt idx="50" formatCode="#,##0">
                  <c:v>1877897.8151912272</c:v>
                </c:pt>
                <c:pt idx="51" formatCode="#,##0">
                  <c:v>1920563.8687733673</c:v>
                </c:pt>
                <c:pt idx="52" formatCode="#,##0">
                  <c:v>1952364.3238697194</c:v>
                </c:pt>
                <c:pt idx="53" formatCode="#,##0">
                  <c:v>1999106.1911148706</c:v>
                </c:pt>
                <c:pt idx="54" formatCode="#,##0">
                  <c:v>1939387.1504392857</c:v>
                </c:pt>
                <c:pt idx="55" formatCode="#,##0">
                  <c:v>1965381.9428530294</c:v>
                </c:pt>
                <c:pt idx="56" formatCode="#,##0">
                  <c:v>1931453.6998240091</c:v>
                </c:pt>
                <c:pt idx="57" formatCode="#,##0">
                  <c:v>2030093.3646276374</c:v>
                </c:pt>
                <c:pt idx="58" formatCode="#,##0">
                  <c:v>2090579.8243561841</c:v>
                </c:pt>
                <c:pt idx="59" formatCode="#,##0">
                  <c:v>2059401.6103612897</c:v>
                </c:pt>
                <c:pt idx="60" formatCode="#,##0">
                  <c:v>1975487.8050656461</c:v>
                </c:pt>
                <c:pt idx="61" formatCode="#,##0">
                  <c:v>2105131.9891281384</c:v>
                </c:pt>
                <c:pt idx="62" formatCode="#,##0">
                  <c:v>2090153.5904888376</c:v>
                </c:pt>
                <c:pt idx="63" formatCode="#,##0">
                  <c:v>2132068.9957291316</c:v>
                </c:pt>
                <c:pt idx="64" formatCode="#,##0">
                  <c:v>2163168.9119726946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51-4830-953A-381EFCB2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6847"/>
        <c:axId val="13167215"/>
      </c:lineChart>
      <c:catAx>
        <c:axId val="157268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67215"/>
        <c:crosses val="autoZero"/>
        <c:auto val="1"/>
        <c:lblAlgn val="ctr"/>
        <c:lblOffset val="100"/>
        <c:noMultiLvlLbl val="0"/>
      </c:catAx>
      <c:valAx>
        <c:axId val="131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2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482112</xdr:colOff>
      <xdr:row>1</xdr:row>
      <xdr:rowOff>93784</xdr:rowOff>
    </xdr:from>
    <xdr:to>
      <xdr:col>9</xdr:col>
      <xdr:colOff>552450</xdr:colOff>
      <xdr:row>16</xdr:row>
      <xdr:rowOff>111369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6A80849-1CF5-4328-8A6B-15EA92CF6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172279</xdr:colOff>
      <xdr:row>1</xdr:row>
      <xdr:rowOff>76199</xdr:rowOff>
    </xdr:from>
    <xdr:to>
      <xdr:col>11</xdr:col>
      <xdr:colOff>404192</xdr:colOff>
      <xdr:row>15</xdr:row>
      <xdr:rowOff>92765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64B615-942D-1D18-2F98-9EFCB4E18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152400</xdr:rowOff>
    </xdr:from>
    <xdr:to>
      <xdr:col>18</xdr:col>
      <xdr:colOff>62865</xdr:colOff>
      <xdr:row>20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0C22A8-7362-079D-7379-30E57FC20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51E5-3716-47AD-8EEA-0F5BB8F3A67A}" name="Таблица1" displayName="Таблица1" ref="A1:E73" totalsRowShown="0">
  <autoFilter ref="A1:E73" xr:uid="{227851E5-3716-47AD-8EEA-0F5BB8F3A67A}"/>
  <tableColumns count="5">
    <tableColumn id="1" xr3:uid="{DC25489B-0B78-4AC2-BA0B-507CB575F57B}" name="Период" dataDxfId="3"/>
    <tableColumn id="2" xr3:uid="{C0808F03-9BFD-4234-A5E5-DC15125A8E2E}" name="Выручка"/>
    <tableColumn id="3" xr3:uid="{38328B25-D453-4843-87BD-545802365599}" name="Прогноз(Выручка)" dataDxfId="2">
      <calculatedColumnFormula>_xlfn.FORECAST.ETS(A2,$B$2:$B$49,$A$2:$A$49,12,1)</calculatedColumnFormula>
    </tableColumn>
    <tableColumn id="4" xr3:uid="{22939ED3-23A1-463D-9B34-527FC7724913}" name="Привязка низкой вероятности(Выручка)" dataDxfId="1">
      <calculatedColumnFormula>C2-_xlfn.FORECAST.ETS.CONFINT(A2,$B$2:$B$49,$A$2:$A$49,0.95,12,1)</calculatedColumnFormula>
    </tableColumn>
    <tableColumn id="5" xr3:uid="{DD728FFA-0B3F-4DCD-AF62-FE56496C433F}" name="Привязка высокой вероятности(Выручка)" dataDxfId="0">
      <calculatedColumnFormula>C2+_xlfn.FORECAST.ETS.CONFINT(A2,$B$2:$B$49,$A$2:$A$49,0.95,12,1)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zoomScale="130" zoomScaleNormal="130" workbookViewId="0">
      <pane ySplit="1" topLeftCell="A5" activePane="bottomLeft" state="frozen"/>
      <selection pane="bottomLeft" activeCell="J25" sqref="J25"/>
    </sheetView>
  </sheetViews>
  <sheetFormatPr defaultRowHeight="14.4" x14ac:dyDescent="0.3"/>
  <cols>
    <col min="1" max="1" width="11.88671875" customWidth="1"/>
    <col min="2" max="2" width="12.88671875" customWidth="1"/>
    <col min="3" max="3" width="10.21875" bestFit="1" customWidth="1"/>
  </cols>
  <sheetData>
    <row r="1" spans="1:6" ht="15" thickBot="1" x14ac:dyDescent="0.35">
      <c r="A1" s="1" t="s">
        <v>0</v>
      </c>
      <c r="B1" s="1" t="s">
        <v>1</v>
      </c>
    </row>
    <row r="2" spans="1:6" x14ac:dyDescent="0.3">
      <c r="A2" s="2">
        <v>42736</v>
      </c>
      <c r="B2" s="3">
        <v>271739</v>
      </c>
    </row>
    <row r="3" spans="1:6" x14ac:dyDescent="0.3">
      <c r="A3" s="2">
        <v>42767</v>
      </c>
      <c r="B3" s="3">
        <v>274599</v>
      </c>
    </row>
    <row r="4" spans="1:6" x14ac:dyDescent="0.3">
      <c r="A4" s="2">
        <v>42795</v>
      </c>
      <c r="B4" s="3">
        <v>233636</v>
      </c>
    </row>
    <row r="5" spans="1:6" x14ac:dyDescent="0.3">
      <c r="A5" s="2">
        <v>42826</v>
      </c>
      <c r="B5" s="3">
        <v>105228</v>
      </c>
      <c r="F5" s="4"/>
    </row>
    <row r="6" spans="1:6" x14ac:dyDescent="0.3">
      <c r="A6" s="2">
        <v>42856</v>
      </c>
      <c r="B6" s="3">
        <v>272471</v>
      </c>
      <c r="F6" s="4"/>
    </row>
    <row r="7" spans="1:6" x14ac:dyDescent="0.3">
      <c r="A7" s="2">
        <v>42887</v>
      </c>
      <c r="B7" s="3">
        <v>163407</v>
      </c>
      <c r="F7" s="4"/>
    </row>
    <row r="8" spans="1:6" x14ac:dyDescent="0.3">
      <c r="A8" s="2">
        <v>42917</v>
      </c>
      <c r="B8" s="3">
        <v>122575</v>
      </c>
      <c r="F8" s="4"/>
    </row>
    <row r="9" spans="1:6" x14ac:dyDescent="0.3">
      <c r="A9" s="2">
        <v>42948</v>
      </c>
      <c r="B9" s="3">
        <v>135852</v>
      </c>
      <c r="F9" s="4"/>
    </row>
    <row r="10" spans="1:6" x14ac:dyDescent="0.3">
      <c r="A10" s="2">
        <v>42979</v>
      </c>
      <c r="B10" s="3">
        <v>231652</v>
      </c>
      <c r="F10" s="4"/>
    </row>
    <row r="11" spans="1:6" x14ac:dyDescent="0.3">
      <c r="A11" s="2">
        <v>43009</v>
      </c>
      <c r="B11" s="3">
        <v>285444</v>
      </c>
      <c r="F11" s="4"/>
    </row>
    <row r="12" spans="1:6" x14ac:dyDescent="0.3">
      <c r="A12" s="2">
        <v>43040</v>
      </c>
      <c r="B12" s="3">
        <v>194543</v>
      </c>
      <c r="F12" s="4"/>
    </row>
    <row r="13" spans="1:6" x14ac:dyDescent="0.3">
      <c r="A13" s="2">
        <v>43070</v>
      </c>
      <c r="B13" s="3">
        <v>173825</v>
      </c>
      <c r="F13" s="4"/>
    </row>
    <row r="14" spans="1:6" x14ac:dyDescent="0.3">
      <c r="A14" s="2">
        <v>43101</v>
      </c>
      <c r="B14" s="3">
        <v>258822</v>
      </c>
      <c r="F14" s="4"/>
    </row>
    <row r="15" spans="1:6" x14ac:dyDescent="0.3">
      <c r="A15" s="2">
        <v>43132</v>
      </c>
      <c r="B15" s="3">
        <v>100270</v>
      </c>
      <c r="F15" s="4"/>
    </row>
    <row r="16" spans="1:6" x14ac:dyDescent="0.3">
      <c r="A16" s="2">
        <v>43160</v>
      </c>
      <c r="B16" s="3">
        <v>248431</v>
      </c>
      <c r="F16" s="4"/>
    </row>
    <row r="17" spans="1:6" x14ac:dyDescent="0.3">
      <c r="A17" s="2">
        <v>43191</v>
      </c>
      <c r="B17" s="3">
        <v>233784</v>
      </c>
      <c r="F17" s="4"/>
    </row>
    <row r="18" spans="1:6" x14ac:dyDescent="0.3">
      <c r="A18" s="2">
        <v>43221</v>
      </c>
      <c r="B18" s="3">
        <v>176660</v>
      </c>
      <c r="F18" s="4"/>
    </row>
    <row r="19" spans="1:6" x14ac:dyDescent="0.3">
      <c r="A19" s="2">
        <v>43252</v>
      </c>
      <c r="B19" s="3">
        <v>200457</v>
      </c>
      <c r="F19" s="4"/>
    </row>
    <row r="20" spans="1:6" x14ac:dyDescent="0.3">
      <c r="A20" s="2">
        <v>43282</v>
      </c>
      <c r="B20" s="3">
        <v>196729</v>
      </c>
      <c r="F20" t="s">
        <v>2</v>
      </c>
    </row>
    <row r="21" spans="1:6" x14ac:dyDescent="0.3">
      <c r="A21" s="2">
        <v>43313</v>
      </c>
      <c r="B21" s="3">
        <v>208699</v>
      </c>
      <c r="F21" s="4"/>
    </row>
    <row r="22" spans="1:6" x14ac:dyDescent="0.3">
      <c r="A22" s="2">
        <v>43344</v>
      </c>
      <c r="B22" s="3">
        <v>307342</v>
      </c>
      <c r="F22" s="4"/>
    </row>
    <row r="23" spans="1:6" x14ac:dyDescent="0.3">
      <c r="A23" s="2">
        <v>43374</v>
      </c>
      <c r="B23" s="3">
        <v>255952</v>
      </c>
      <c r="F23" s="4"/>
    </row>
    <row r="24" spans="1:6" x14ac:dyDescent="0.3">
      <c r="A24" s="2">
        <v>43405</v>
      </c>
      <c r="B24" s="3">
        <v>140535</v>
      </c>
      <c r="F24" s="4"/>
    </row>
    <row r="25" spans="1:6" x14ac:dyDescent="0.3">
      <c r="A25" s="2">
        <v>43435</v>
      </c>
      <c r="B25" s="3">
        <v>310899</v>
      </c>
      <c r="F25" s="4"/>
    </row>
    <row r="26" spans="1:6" x14ac:dyDescent="0.3">
      <c r="A26" s="2">
        <v>43466</v>
      </c>
      <c r="B26" s="3">
        <v>200362</v>
      </c>
      <c r="F26" s="4"/>
    </row>
    <row r="27" spans="1:6" x14ac:dyDescent="0.3">
      <c r="A27" s="2">
        <v>43497</v>
      </c>
      <c r="B27" s="3">
        <v>107310</v>
      </c>
      <c r="F27" s="4"/>
    </row>
    <row r="28" spans="1:6" x14ac:dyDescent="0.3">
      <c r="A28" s="2">
        <v>43525</v>
      </c>
      <c r="B28" s="3">
        <v>147757</v>
      </c>
      <c r="F28" s="4"/>
    </row>
    <row r="29" spans="1:6" x14ac:dyDescent="0.3">
      <c r="A29" s="2">
        <v>43556</v>
      </c>
      <c r="B29" s="3">
        <v>309155</v>
      </c>
      <c r="F29" s="4"/>
    </row>
    <row r="30" spans="1:6" x14ac:dyDescent="0.3">
      <c r="A30" s="2">
        <v>43586</v>
      </c>
      <c r="B30" s="3">
        <v>175294</v>
      </c>
      <c r="F30" s="4"/>
    </row>
    <row r="31" spans="1:6" x14ac:dyDescent="0.3">
      <c r="A31" s="2">
        <v>43617</v>
      </c>
      <c r="B31" s="3">
        <v>209986</v>
      </c>
      <c r="F31" s="4"/>
    </row>
    <row r="32" spans="1:6" x14ac:dyDescent="0.3">
      <c r="A32" s="2">
        <v>43647</v>
      </c>
      <c r="B32" s="3">
        <v>222831</v>
      </c>
      <c r="F32" s="4"/>
    </row>
    <row r="33" spans="1:6" x14ac:dyDescent="0.3">
      <c r="A33" s="2">
        <v>43678</v>
      </c>
      <c r="B33" s="3">
        <v>122388</v>
      </c>
      <c r="F33" s="4"/>
    </row>
    <row r="34" spans="1:6" x14ac:dyDescent="0.3">
      <c r="A34" s="2">
        <v>43709</v>
      </c>
      <c r="B34" s="3">
        <v>256478</v>
      </c>
      <c r="F34" s="4"/>
    </row>
    <row r="35" spans="1:6" x14ac:dyDescent="0.3">
      <c r="A35" s="2">
        <v>43739</v>
      </c>
      <c r="B35" s="3">
        <v>208760</v>
      </c>
      <c r="F35" s="4"/>
    </row>
    <row r="36" spans="1:6" x14ac:dyDescent="0.3">
      <c r="A36" s="2">
        <v>43770</v>
      </c>
      <c r="B36" s="3">
        <v>266607</v>
      </c>
      <c r="F36" s="4"/>
    </row>
    <row r="37" spans="1:6" x14ac:dyDescent="0.3">
      <c r="A37" s="2">
        <v>43800</v>
      </c>
      <c r="B37" s="3">
        <v>295853</v>
      </c>
      <c r="F37" s="4"/>
    </row>
    <row r="38" spans="1:6" x14ac:dyDescent="0.3">
      <c r="A38" s="2">
        <v>43831</v>
      </c>
      <c r="B38" s="3">
        <v>245832</v>
      </c>
      <c r="F38" s="4"/>
    </row>
    <row r="39" spans="1:6" x14ac:dyDescent="0.3">
      <c r="A39" s="2">
        <v>43862</v>
      </c>
      <c r="B39" s="3">
        <v>148900</v>
      </c>
      <c r="F39" s="4"/>
    </row>
    <row r="40" spans="1:6" x14ac:dyDescent="0.3">
      <c r="A40" s="2">
        <v>43891</v>
      </c>
      <c r="B40" s="3">
        <v>316655</v>
      </c>
      <c r="F40" s="4"/>
    </row>
    <row r="41" spans="1:6" x14ac:dyDescent="0.3">
      <c r="A41" s="2">
        <v>43922</v>
      </c>
      <c r="B41" s="3">
        <v>195564</v>
      </c>
      <c r="F41" s="4"/>
    </row>
    <row r="42" spans="1:6" x14ac:dyDescent="0.3">
      <c r="A42" s="2">
        <v>43952</v>
      </c>
      <c r="B42" s="3">
        <v>328988</v>
      </c>
      <c r="F42" s="4"/>
    </row>
    <row r="43" spans="1:6" x14ac:dyDescent="0.3">
      <c r="A43" s="2">
        <v>43983</v>
      </c>
      <c r="B43" s="3">
        <v>172856</v>
      </c>
      <c r="F43" s="4"/>
    </row>
    <row r="44" spans="1:6" x14ac:dyDescent="0.3">
      <c r="A44" s="2">
        <v>44013</v>
      </c>
      <c r="B44" s="3">
        <v>319261</v>
      </c>
      <c r="F44" s="4"/>
    </row>
    <row r="45" spans="1:6" x14ac:dyDescent="0.3">
      <c r="A45" s="2">
        <v>44044</v>
      </c>
      <c r="B45" s="3">
        <v>222693</v>
      </c>
      <c r="F45" s="4"/>
    </row>
    <row r="46" spans="1:6" x14ac:dyDescent="0.3">
      <c r="A46" s="2">
        <v>44075</v>
      </c>
      <c r="B46" s="3">
        <v>197144</v>
      </c>
      <c r="F46" s="4"/>
    </row>
    <row r="47" spans="1:6" x14ac:dyDescent="0.3">
      <c r="A47" s="2">
        <v>44105</v>
      </c>
      <c r="B47" s="3">
        <v>116636</v>
      </c>
      <c r="F47" s="4"/>
    </row>
    <row r="48" spans="1:6" x14ac:dyDescent="0.3">
      <c r="A48" s="2">
        <v>44136</v>
      </c>
      <c r="B48" s="3">
        <v>315237</v>
      </c>
      <c r="F48" s="4"/>
    </row>
    <row r="49" spans="1:3" x14ac:dyDescent="0.3">
      <c r="A49" s="2">
        <v>44166</v>
      </c>
      <c r="B49" s="3">
        <v>346237</v>
      </c>
    </row>
    <row r="50" spans="1:3" x14ac:dyDescent="0.3">
      <c r="A50" s="2">
        <v>44197</v>
      </c>
      <c r="B50" s="9">
        <f>_xlfn.FORECAST.LINEAR(A50,$B$2:$B$49,$A$2:$A$49)</f>
        <v>245059.72736085136</v>
      </c>
      <c r="C50" s="10" cm="1">
        <f t="array" ref="C50">TREND($B$2:$B$49,$A$2:$A$49,A50)</f>
        <v>245059.7273608516</v>
      </c>
    </row>
    <row r="51" spans="1:3" x14ac:dyDescent="0.3">
      <c r="A51" s="2">
        <v>44228</v>
      </c>
      <c r="B51" s="9">
        <f t="shared" ref="B51:B61" si="0">_xlfn.FORECAST.LINEAR(A51,$B$2:$B$49,$A$2:$A$49)</f>
        <v>246106.60816520755</v>
      </c>
      <c r="C51" s="10" cm="1">
        <f t="array" ref="C51">TREND($B$2:$B$49,$A$2:$A$49,A51)</f>
        <v>246106.60816520755</v>
      </c>
    </row>
    <row r="52" spans="1:3" x14ac:dyDescent="0.3">
      <c r="A52" s="2">
        <v>44256</v>
      </c>
      <c r="B52" s="9">
        <f t="shared" si="0"/>
        <v>247052.17792398063</v>
      </c>
      <c r="C52" s="10" cm="1">
        <f t="array" ref="C52">TREND($B$2:$B$49,$A$2:$A$49,A52)</f>
        <v>247052.17792398087</v>
      </c>
    </row>
    <row r="53" spans="1:3" x14ac:dyDescent="0.3">
      <c r="A53" s="2">
        <v>44287</v>
      </c>
      <c r="B53" s="9">
        <f t="shared" si="0"/>
        <v>248099.05872833682</v>
      </c>
      <c r="C53" s="10" cm="1">
        <f t="array" ref="C53">TREND($B$2:$B$49,$A$2:$A$49,A53)</f>
        <v>248099.05872833682</v>
      </c>
    </row>
    <row r="54" spans="1:3" x14ac:dyDescent="0.3">
      <c r="A54" s="2">
        <v>44317</v>
      </c>
      <c r="B54" s="9">
        <f t="shared" si="0"/>
        <v>249112.16918416531</v>
      </c>
      <c r="C54" s="10" cm="1">
        <f t="array" ref="C54">TREND($B$2:$B$49,$A$2:$A$49,A54)</f>
        <v>249112.16918416531</v>
      </c>
    </row>
    <row r="55" spans="1:3" x14ac:dyDescent="0.3">
      <c r="A55" s="2">
        <v>44348</v>
      </c>
      <c r="B55" s="9">
        <f t="shared" si="0"/>
        <v>250159.04998852126</v>
      </c>
      <c r="C55" s="10" cm="1">
        <f t="array" ref="C55">TREND($B$2:$B$49,$A$2:$A$49,A55)</f>
        <v>250159.04998852126</v>
      </c>
    </row>
    <row r="56" spans="1:3" x14ac:dyDescent="0.3">
      <c r="A56" s="2">
        <v>44378</v>
      </c>
      <c r="B56" s="9">
        <f t="shared" si="0"/>
        <v>251172.16044434975</v>
      </c>
      <c r="C56" s="10" cm="1">
        <f t="array" ref="C56">TREND($B$2:$B$49,$A$2:$A$49,A56)</f>
        <v>251172.16044434975</v>
      </c>
    </row>
    <row r="57" spans="1:3" x14ac:dyDescent="0.3">
      <c r="A57" s="2">
        <v>44409</v>
      </c>
      <c r="B57" s="9">
        <f t="shared" si="0"/>
        <v>252219.0412487057</v>
      </c>
      <c r="C57" s="10" cm="1">
        <f t="array" ref="C57">TREND($B$2:$B$49,$A$2:$A$49,A57)</f>
        <v>252219.04124870594</v>
      </c>
    </row>
    <row r="58" spans="1:3" x14ac:dyDescent="0.3">
      <c r="A58" s="2">
        <v>44440</v>
      </c>
      <c r="B58" s="9">
        <f t="shared" si="0"/>
        <v>253265.92205306189</v>
      </c>
      <c r="C58" s="10" cm="1">
        <f t="array" ref="C58">TREND($B$2:$B$49,$A$2:$A$49,A58)</f>
        <v>253265.92205306189</v>
      </c>
    </row>
    <row r="59" spans="1:3" x14ac:dyDescent="0.3">
      <c r="A59" s="2">
        <v>44470</v>
      </c>
      <c r="B59" s="9">
        <f t="shared" si="0"/>
        <v>254279.03250889038</v>
      </c>
      <c r="C59" s="10" cm="1">
        <f t="array" ref="C59">TREND($B$2:$B$49,$A$2:$A$49,A59)</f>
        <v>254279.03250889038</v>
      </c>
    </row>
    <row r="60" spans="1:3" x14ac:dyDescent="0.3">
      <c r="A60" s="2">
        <v>44501</v>
      </c>
      <c r="B60" s="9">
        <f t="shared" si="0"/>
        <v>255325.91331324633</v>
      </c>
      <c r="C60" s="10" cm="1">
        <f t="array" ref="C60">TREND($B$2:$B$49,$A$2:$A$49,A60)</f>
        <v>255325.91331324633</v>
      </c>
    </row>
    <row r="61" spans="1:3" x14ac:dyDescent="0.3">
      <c r="A61" s="2">
        <v>44531</v>
      </c>
      <c r="B61" s="9">
        <f t="shared" si="0"/>
        <v>256339.02376907482</v>
      </c>
      <c r="C61" s="10" cm="1">
        <f t="array" ref="C61">TREND($B$2:$B$49,$A$2:$A$49,A61)</f>
        <v>256339.02376907482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48E-7FAE-4490-AB98-327CA6105B0E}">
  <dimension ref="A1:H85"/>
  <sheetViews>
    <sheetView zoomScale="115" zoomScaleNormal="115" workbookViewId="0">
      <pane ySplit="1" topLeftCell="A11" activePane="bottomLeft" state="frozen"/>
      <selection pane="bottomLeft" activeCell="G24" sqref="G24"/>
    </sheetView>
  </sheetViews>
  <sheetFormatPr defaultRowHeight="14.4" x14ac:dyDescent="0.3"/>
  <cols>
    <col min="1" max="1" width="10.109375" bestFit="1" customWidth="1"/>
    <col min="2" max="2" width="15.109375" style="5" customWidth="1"/>
    <col min="3" max="3" width="15.109375" customWidth="1"/>
  </cols>
  <sheetData>
    <row r="1" spans="1:3" ht="15" thickBot="1" x14ac:dyDescent="0.35">
      <c r="A1" s="1" t="s">
        <v>0</v>
      </c>
      <c r="B1" s="1" t="s">
        <v>1</v>
      </c>
    </row>
    <row r="2" spans="1:3" x14ac:dyDescent="0.3">
      <c r="A2" s="2">
        <v>42736</v>
      </c>
      <c r="B2" s="3">
        <v>42451.6</v>
      </c>
    </row>
    <row r="3" spans="1:3" x14ac:dyDescent="0.3">
      <c r="A3" s="2">
        <v>42767</v>
      </c>
      <c r="B3" s="3">
        <v>61582.2</v>
      </c>
    </row>
    <row r="4" spans="1:3" x14ac:dyDescent="0.3">
      <c r="A4" s="2">
        <v>42795</v>
      </c>
      <c r="B4" s="3">
        <v>89175.2</v>
      </c>
      <c r="C4" s="3"/>
    </row>
    <row r="5" spans="1:3" x14ac:dyDescent="0.3">
      <c r="A5" s="2">
        <v>42826</v>
      </c>
      <c r="B5" s="3">
        <v>113801</v>
      </c>
    </row>
    <row r="6" spans="1:3" x14ac:dyDescent="0.3">
      <c r="A6" s="2">
        <v>42856</v>
      </c>
      <c r="B6" s="3">
        <v>136173.6</v>
      </c>
    </row>
    <row r="7" spans="1:3" x14ac:dyDescent="0.3">
      <c r="A7" s="2">
        <v>42887</v>
      </c>
      <c r="B7" s="3">
        <v>140165.20000000001</v>
      </c>
    </row>
    <row r="8" spans="1:3" x14ac:dyDescent="0.3">
      <c r="A8" s="2">
        <v>42917</v>
      </c>
      <c r="B8" s="3">
        <v>165121.60000000001</v>
      </c>
    </row>
    <row r="9" spans="1:3" x14ac:dyDescent="0.3">
      <c r="A9" s="2">
        <v>42948</v>
      </c>
      <c r="B9" s="3">
        <v>187927.2</v>
      </c>
    </row>
    <row r="10" spans="1:3" x14ac:dyDescent="0.3">
      <c r="A10" s="2">
        <v>42979</v>
      </c>
      <c r="B10" s="3">
        <v>226564</v>
      </c>
    </row>
    <row r="11" spans="1:3" x14ac:dyDescent="0.3">
      <c r="A11" s="2">
        <v>43009</v>
      </c>
      <c r="B11" s="3">
        <v>257747.6</v>
      </c>
    </row>
    <row r="12" spans="1:3" x14ac:dyDescent="0.3">
      <c r="A12" s="2">
        <v>43040</v>
      </c>
      <c r="B12" s="3">
        <v>283980</v>
      </c>
    </row>
    <row r="13" spans="1:3" x14ac:dyDescent="0.3">
      <c r="A13" s="2">
        <v>43070</v>
      </c>
      <c r="B13" s="3">
        <v>275241.2</v>
      </c>
    </row>
    <row r="14" spans="1:3" x14ac:dyDescent="0.3">
      <c r="A14" s="2">
        <v>43101</v>
      </c>
      <c r="B14" s="3">
        <v>333782.40000000002</v>
      </c>
    </row>
    <row r="15" spans="1:3" x14ac:dyDescent="0.3">
      <c r="A15" s="2">
        <v>43132</v>
      </c>
      <c r="B15" s="3">
        <v>334233</v>
      </c>
    </row>
    <row r="16" spans="1:3" x14ac:dyDescent="0.3">
      <c r="A16" s="2">
        <v>43160</v>
      </c>
      <c r="B16" s="3">
        <v>334835.20000000001</v>
      </c>
    </row>
    <row r="17" spans="1:8" x14ac:dyDescent="0.3">
      <c r="A17" s="2">
        <v>43191</v>
      </c>
      <c r="B17" s="3">
        <v>395865.4</v>
      </c>
    </row>
    <row r="18" spans="1:8" x14ac:dyDescent="0.3">
      <c r="A18" s="2">
        <v>43221</v>
      </c>
      <c r="B18" s="3">
        <v>427406.4</v>
      </c>
    </row>
    <row r="19" spans="1:8" x14ac:dyDescent="0.3">
      <c r="A19" s="2">
        <v>43252</v>
      </c>
      <c r="B19" s="3">
        <v>395800.4</v>
      </c>
      <c r="H19" t="s">
        <v>2</v>
      </c>
    </row>
    <row r="20" spans="1:8" x14ac:dyDescent="0.3">
      <c r="A20" s="2">
        <v>43282</v>
      </c>
      <c r="B20" s="3">
        <v>472492</v>
      </c>
    </row>
    <row r="21" spans="1:8" x14ac:dyDescent="0.3">
      <c r="A21" s="2">
        <v>43313</v>
      </c>
      <c r="B21" s="3">
        <v>495377.4</v>
      </c>
    </row>
    <row r="22" spans="1:8" x14ac:dyDescent="0.3">
      <c r="A22" s="2">
        <v>43344</v>
      </c>
      <c r="B22" s="3">
        <v>457692.4</v>
      </c>
    </row>
    <row r="23" spans="1:8" x14ac:dyDescent="0.3">
      <c r="A23" s="2">
        <v>43374</v>
      </c>
      <c r="B23" s="3">
        <v>488510.8</v>
      </c>
    </row>
    <row r="24" spans="1:8" x14ac:dyDescent="0.3">
      <c r="A24" s="2">
        <v>43405</v>
      </c>
      <c r="B24" s="3">
        <v>549326.4</v>
      </c>
    </row>
    <row r="25" spans="1:8" x14ac:dyDescent="0.3">
      <c r="A25" s="2">
        <v>43435</v>
      </c>
      <c r="B25" s="3">
        <v>556190</v>
      </c>
    </row>
    <row r="26" spans="1:8" x14ac:dyDescent="0.3">
      <c r="A26" s="2">
        <v>43466</v>
      </c>
      <c r="B26" s="3">
        <v>556478</v>
      </c>
    </row>
    <row r="27" spans="1:8" x14ac:dyDescent="0.3">
      <c r="A27" s="2">
        <v>43497</v>
      </c>
      <c r="B27" s="3">
        <v>570445.19999999995</v>
      </c>
    </row>
    <row r="28" spans="1:8" x14ac:dyDescent="0.3">
      <c r="A28" s="2">
        <v>43525</v>
      </c>
      <c r="B28" s="3">
        <v>639391.19999999995</v>
      </c>
    </row>
    <row r="29" spans="1:8" x14ac:dyDescent="0.3">
      <c r="A29" s="2">
        <v>43556</v>
      </c>
      <c r="B29" s="3">
        <v>690229</v>
      </c>
    </row>
    <row r="30" spans="1:8" x14ac:dyDescent="0.3">
      <c r="A30" s="2">
        <v>43586</v>
      </c>
      <c r="B30" s="3">
        <v>718104</v>
      </c>
    </row>
    <row r="31" spans="1:8" x14ac:dyDescent="0.3">
      <c r="A31" s="2">
        <v>43617</v>
      </c>
      <c r="B31" s="3">
        <v>650944.19999999995</v>
      </c>
    </row>
    <row r="32" spans="1:8" x14ac:dyDescent="0.3">
      <c r="A32" s="2">
        <v>43647</v>
      </c>
      <c r="B32" s="3">
        <v>674265.59999999998</v>
      </c>
    </row>
    <row r="33" spans="1:2" x14ac:dyDescent="0.3">
      <c r="A33" s="2">
        <v>43678</v>
      </c>
      <c r="B33" s="3">
        <v>774206.4</v>
      </c>
    </row>
    <row r="34" spans="1:2" x14ac:dyDescent="0.3">
      <c r="A34" s="2">
        <v>43709</v>
      </c>
      <c r="B34" s="3">
        <v>799659.6</v>
      </c>
    </row>
    <row r="35" spans="1:2" x14ac:dyDescent="0.3">
      <c r="A35" s="2">
        <v>43739</v>
      </c>
      <c r="B35" s="3">
        <v>791273</v>
      </c>
    </row>
    <row r="36" spans="1:2" x14ac:dyDescent="0.3">
      <c r="A36" s="2">
        <v>43770</v>
      </c>
      <c r="B36" s="3">
        <v>791856</v>
      </c>
    </row>
    <row r="37" spans="1:2" x14ac:dyDescent="0.3">
      <c r="A37" s="2">
        <v>43800</v>
      </c>
      <c r="B37" s="3">
        <v>875109.2</v>
      </c>
    </row>
    <row r="38" spans="1:2" x14ac:dyDescent="0.3">
      <c r="A38" s="2">
        <v>43831</v>
      </c>
      <c r="B38" s="3">
        <v>886517.2</v>
      </c>
    </row>
    <row r="39" spans="1:2" x14ac:dyDescent="0.3">
      <c r="A39" s="2">
        <v>43862</v>
      </c>
      <c r="B39" s="3">
        <v>927739.8</v>
      </c>
    </row>
    <row r="40" spans="1:2" x14ac:dyDescent="0.3">
      <c r="A40" s="2">
        <v>43891</v>
      </c>
      <c r="B40" s="3">
        <v>863808</v>
      </c>
    </row>
    <row r="41" spans="1:2" x14ac:dyDescent="0.3">
      <c r="A41" s="2">
        <v>43922</v>
      </c>
      <c r="B41" s="3">
        <v>894005</v>
      </c>
    </row>
    <row r="42" spans="1:2" x14ac:dyDescent="0.3">
      <c r="A42" s="2">
        <v>43952</v>
      </c>
      <c r="B42" s="3">
        <v>993090</v>
      </c>
    </row>
    <row r="43" spans="1:2" x14ac:dyDescent="0.3">
      <c r="A43" s="2">
        <v>43983</v>
      </c>
      <c r="B43" s="3">
        <v>936101.4</v>
      </c>
    </row>
    <row r="44" spans="1:2" x14ac:dyDescent="0.3">
      <c r="A44" s="2">
        <v>44013</v>
      </c>
      <c r="B44" s="3">
        <v>920779.2</v>
      </c>
    </row>
    <row r="45" spans="1:2" x14ac:dyDescent="0.3">
      <c r="A45" s="2">
        <v>44044</v>
      </c>
      <c r="B45" s="3">
        <v>1007631</v>
      </c>
    </row>
    <row r="46" spans="1:2" x14ac:dyDescent="0.3">
      <c r="A46" s="2">
        <v>44075</v>
      </c>
      <c r="B46" s="3">
        <v>1064780.3999999999</v>
      </c>
    </row>
    <row r="47" spans="1:2" x14ac:dyDescent="0.3">
      <c r="A47" s="2">
        <v>44105</v>
      </c>
      <c r="B47" s="3">
        <v>949616.2</v>
      </c>
    </row>
    <row r="48" spans="1:2" x14ac:dyDescent="0.3">
      <c r="A48" s="2">
        <v>44136</v>
      </c>
      <c r="B48" s="3">
        <v>1009699.2</v>
      </c>
    </row>
    <row r="49" spans="1:2" x14ac:dyDescent="0.3">
      <c r="A49" s="2">
        <v>44166</v>
      </c>
      <c r="B49" s="3">
        <v>1077167</v>
      </c>
    </row>
    <row r="50" spans="1:2" x14ac:dyDescent="0.3">
      <c r="A50" s="2">
        <v>44197</v>
      </c>
      <c r="B50" s="9" cm="1">
        <f t="array" ref="B50">GROWTH($B$2:$B$49,$A$2:$A$49,A50)</f>
        <v>1639729.6978463051</v>
      </c>
    </row>
    <row r="51" spans="1:2" x14ac:dyDescent="0.3">
      <c r="A51" s="2">
        <v>44228</v>
      </c>
      <c r="B51" s="9" cm="1">
        <f t="array" ref="B51">GROWTH($B$2:$B$49,$A$2:$A$49,A51)</f>
        <v>1729943.5193827918</v>
      </c>
    </row>
    <row r="52" spans="1:2" x14ac:dyDescent="0.3">
      <c r="A52" s="2">
        <v>44256</v>
      </c>
      <c r="B52" s="9" cm="1">
        <f t="array" ref="B52">GROWTH($B$2:$B$49,$A$2:$A$49,A52)</f>
        <v>1815685.6068086235</v>
      </c>
    </row>
    <row r="53" spans="1:2" x14ac:dyDescent="0.3">
      <c r="A53" s="2">
        <v>44287</v>
      </c>
      <c r="B53" s="9" cm="1">
        <f t="array" ref="B53">GROWTH($B$2:$B$49,$A$2:$A$49,A53)</f>
        <v>1915580.0818029735</v>
      </c>
    </row>
    <row r="54" spans="1:2" x14ac:dyDescent="0.3">
      <c r="A54" s="2">
        <v>44317</v>
      </c>
      <c r="B54" s="9" cm="1">
        <f t="array" ref="B54">GROWTH($B$2:$B$49,$A$2:$A$49,A54)</f>
        <v>2017481.9722517603</v>
      </c>
    </row>
    <row r="55" spans="1:2" x14ac:dyDescent="0.3">
      <c r="A55" s="2">
        <v>44348</v>
      </c>
      <c r="B55" s="9" cm="1">
        <f t="array" ref="B55">GROWTH($B$2:$B$49,$A$2:$A$49,A55)</f>
        <v>2128478.7779062856</v>
      </c>
    </row>
    <row r="56" spans="1:2" x14ac:dyDescent="0.3">
      <c r="A56" s="2"/>
    </row>
    <row r="57" spans="1:2" x14ac:dyDescent="0.3">
      <c r="A57" s="2"/>
    </row>
    <row r="58" spans="1:2" x14ac:dyDescent="0.3">
      <c r="A58" s="2"/>
    </row>
    <row r="59" spans="1:2" x14ac:dyDescent="0.3">
      <c r="A59" s="2"/>
    </row>
    <row r="60" spans="1:2" x14ac:dyDescent="0.3">
      <c r="A60" s="2"/>
    </row>
    <row r="61" spans="1:2" x14ac:dyDescent="0.3">
      <c r="A61" s="2"/>
    </row>
    <row r="62" spans="1:2" x14ac:dyDescent="0.3">
      <c r="A62" s="2"/>
    </row>
    <row r="63" spans="1:2" x14ac:dyDescent="0.3">
      <c r="A63" s="2"/>
    </row>
    <row r="64" spans="1:2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0CA-DE92-4751-878E-6861EA09FD71}">
  <dimension ref="A1:I61"/>
  <sheetViews>
    <sheetView tabSelected="1" zoomScaleNormal="100" workbookViewId="0">
      <pane ySplit="1" topLeftCell="A2" activePane="bottomLeft" state="frozen"/>
      <selection pane="bottomLeft" activeCell="I56" sqref="I56"/>
    </sheetView>
  </sheetViews>
  <sheetFormatPr defaultRowHeight="14.4" x14ac:dyDescent="0.3"/>
  <cols>
    <col min="1" max="1" width="12.5546875" customWidth="1"/>
    <col min="2" max="2" width="11.109375" customWidth="1"/>
    <col min="4" max="4" width="9.21875" bestFit="1" customWidth="1"/>
    <col min="5" max="5" width="14.44140625" bestFit="1" customWidth="1"/>
    <col min="6" max="6" width="19.88671875" bestFit="1" customWidth="1"/>
    <col min="8" max="8" width="21.6640625" bestFit="1" customWidth="1"/>
    <col min="9" max="9" width="19.44140625" bestFit="1" customWidth="1"/>
  </cols>
  <sheetData>
    <row r="1" spans="1:9" ht="15" thickBot="1" x14ac:dyDescent="0.35">
      <c r="A1" s="1" t="s">
        <v>0</v>
      </c>
      <c r="B1" s="7" t="s">
        <v>1</v>
      </c>
      <c r="C1" s="7" t="s">
        <v>3</v>
      </c>
      <c r="D1" s="7" t="s">
        <v>4</v>
      </c>
      <c r="E1" s="1" t="s">
        <v>5</v>
      </c>
      <c r="F1" s="7" t="s">
        <v>10</v>
      </c>
      <c r="G1" s="7" t="s">
        <v>4</v>
      </c>
      <c r="H1" s="7" t="s">
        <v>6</v>
      </c>
      <c r="I1" s="8"/>
    </row>
    <row r="2" spans="1:9" x14ac:dyDescent="0.3">
      <c r="A2" s="2">
        <v>42736</v>
      </c>
      <c r="B2" s="3">
        <v>1060006</v>
      </c>
      <c r="C2" s="5">
        <f>YEAR(A2)</f>
        <v>2017</v>
      </c>
      <c r="D2" s="5">
        <f>MONTH(A2)</f>
        <v>1</v>
      </c>
      <c r="E2" s="12">
        <f>B2/AVERAGEIF($C$2:$C$61,C2,$B$2:$B$61)</f>
        <v>0.93944471155443987</v>
      </c>
      <c r="G2">
        <v>1</v>
      </c>
      <c r="H2" s="12">
        <f>AVERAGEIF($D$2:$D$61,G2,$E$2:$E$61)</f>
        <v>0.9155155618318217</v>
      </c>
      <c r="I2" s="6"/>
    </row>
    <row r="3" spans="1:9" x14ac:dyDescent="0.3">
      <c r="A3" s="2">
        <v>42767</v>
      </c>
      <c r="B3" s="3">
        <v>1016249</v>
      </c>
      <c r="C3" s="5">
        <f t="shared" ref="C3:C61" si="0">YEAR(A3)</f>
        <v>2017</v>
      </c>
      <c r="D3" s="5">
        <f t="shared" ref="D3:D61" si="1">MONTH(A3)</f>
        <v>2</v>
      </c>
      <c r="E3" s="12">
        <f t="shared" ref="E3:E61" si="2">B3/AVERAGEIF($C$2:$C$61,C3,$B$2:$B$61)</f>
        <v>0.90066447611852007</v>
      </c>
      <c r="G3">
        <v>2</v>
      </c>
      <c r="H3" s="12">
        <f t="shared" ref="H3:H13" si="3">AVERAGEIF($D$2:$D$61,G3,$E$2:$E$61)</f>
        <v>0.93800197230067683</v>
      </c>
      <c r="I3" s="6"/>
    </row>
    <row r="4" spans="1:9" x14ac:dyDescent="0.3">
      <c r="A4" s="2">
        <v>42795</v>
      </c>
      <c r="B4" s="3">
        <v>1190842</v>
      </c>
      <c r="C4" s="5">
        <f t="shared" si="0"/>
        <v>2017</v>
      </c>
      <c r="D4" s="5">
        <f t="shared" si="1"/>
        <v>3</v>
      </c>
      <c r="E4" s="12">
        <f t="shared" si="2"/>
        <v>1.0553998932052386</v>
      </c>
      <c r="G4">
        <v>3</v>
      </c>
      <c r="H4" s="12">
        <f t="shared" si="3"/>
        <v>0.98400979437257319</v>
      </c>
      <c r="I4" s="6"/>
    </row>
    <row r="5" spans="1:9" x14ac:dyDescent="0.3">
      <c r="A5" s="2">
        <v>42826</v>
      </c>
      <c r="B5" s="3">
        <v>1061994</v>
      </c>
      <c r="C5" s="5">
        <f t="shared" si="0"/>
        <v>2017</v>
      </c>
      <c r="D5" s="5">
        <f t="shared" si="1"/>
        <v>4</v>
      </c>
      <c r="E5" s="12">
        <f t="shared" si="2"/>
        <v>0.9412066035499288</v>
      </c>
      <c r="G5">
        <v>4</v>
      </c>
      <c r="H5" s="12">
        <f t="shared" si="3"/>
        <v>0.96696297873539083</v>
      </c>
      <c r="I5" s="6"/>
    </row>
    <row r="6" spans="1:9" x14ac:dyDescent="0.3">
      <c r="A6" s="2">
        <v>42856</v>
      </c>
      <c r="B6" s="3">
        <v>1175292</v>
      </c>
      <c r="C6" s="5">
        <f t="shared" si="0"/>
        <v>2017</v>
      </c>
      <c r="D6" s="5">
        <f t="shared" si="1"/>
        <v>5</v>
      </c>
      <c r="E6" s="12">
        <f t="shared" si="2"/>
        <v>1.0416184945483711</v>
      </c>
      <c r="G6">
        <v>5</v>
      </c>
      <c r="H6" s="12">
        <f t="shared" si="3"/>
        <v>1.0036854856546729</v>
      </c>
      <c r="I6" s="6"/>
    </row>
    <row r="7" spans="1:9" x14ac:dyDescent="0.3">
      <c r="A7" s="2">
        <v>42887</v>
      </c>
      <c r="B7" s="3">
        <v>1177291</v>
      </c>
      <c r="C7" s="5">
        <f t="shared" si="0"/>
        <v>2017</v>
      </c>
      <c r="D7" s="5">
        <f t="shared" si="1"/>
        <v>6</v>
      </c>
      <c r="E7" s="12">
        <f t="shared" si="2"/>
        <v>1.0433901354432316</v>
      </c>
      <c r="G7">
        <v>6</v>
      </c>
      <c r="H7" s="12">
        <f t="shared" si="3"/>
        <v>1.0057828472009427</v>
      </c>
      <c r="I7" s="6"/>
    </row>
    <row r="8" spans="1:9" x14ac:dyDescent="0.3">
      <c r="A8" s="2">
        <v>42917</v>
      </c>
      <c r="B8" s="3">
        <v>1042555</v>
      </c>
      <c r="C8" s="5">
        <f t="shared" si="0"/>
        <v>2017</v>
      </c>
      <c r="D8" s="5">
        <f t="shared" si="1"/>
        <v>7</v>
      </c>
      <c r="E8" s="12">
        <f t="shared" si="2"/>
        <v>0.92397852583347551</v>
      </c>
      <c r="G8">
        <v>7</v>
      </c>
      <c r="H8" s="12">
        <f t="shared" si="3"/>
        <v>0.98981999143414634</v>
      </c>
      <c r="I8" s="6"/>
    </row>
    <row r="9" spans="1:9" x14ac:dyDescent="0.3">
      <c r="A9" s="2">
        <v>42948</v>
      </c>
      <c r="B9" s="3">
        <v>1198237</v>
      </c>
      <c r="C9" s="5">
        <f t="shared" si="0"/>
        <v>2017</v>
      </c>
      <c r="D9" s="5">
        <f t="shared" si="1"/>
        <v>8</v>
      </c>
      <c r="E9" s="12">
        <f t="shared" si="2"/>
        <v>1.061953812373569</v>
      </c>
      <c r="G9">
        <v>8</v>
      </c>
      <c r="H9" s="12">
        <f t="shared" si="3"/>
        <v>1.0220210067789075</v>
      </c>
      <c r="I9" s="6"/>
    </row>
    <row r="10" spans="1:9" x14ac:dyDescent="0.3">
      <c r="A10" s="2">
        <v>42979</v>
      </c>
      <c r="B10" s="3">
        <v>1029982</v>
      </c>
      <c r="C10" s="5">
        <f t="shared" si="0"/>
        <v>2017</v>
      </c>
      <c r="D10" s="5">
        <f t="shared" si="1"/>
        <v>9</v>
      </c>
      <c r="E10" s="12">
        <f t="shared" si="2"/>
        <v>0.91283553385194527</v>
      </c>
      <c r="G10">
        <v>9</v>
      </c>
      <c r="H10" s="12">
        <f t="shared" si="3"/>
        <v>1.0106305533584188</v>
      </c>
      <c r="I10" s="6"/>
    </row>
    <row r="11" spans="1:9" x14ac:dyDescent="0.3">
      <c r="A11" s="2">
        <v>43009</v>
      </c>
      <c r="B11" s="3">
        <v>1248187</v>
      </c>
      <c r="C11" s="5">
        <f t="shared" si="0"/>
        <v>2017</v>
      </c>
      <c r="D11" s="5">
        <f t="shared" si="1"/>
        <v>10</v>
      </c>
      <c r="E11" s="12">
        <f t="shared" si="2"/>
        <v>1.1062226781555968</v>
      </c>
      <c r="G11">
        <v>10</v>
      </c>
      <c r="H11" s="12">
        <f t="shared" si="3"/>
        <v>1.0637858951958583</v>
      </c>
      <c r="I11" s="6"/>
    </row>
    <row r="12" spans="1:9" x14ac:dyDescent="0.3">
      <c r="A12" s="2">
        <v>43040</v>
      </c>
      <c r="B12" s="3">
        <v>1252012</v>
      </c>
      <c r="C12" s="5">
        <f t="shared" si="0"/>
        <v>2017</v>
      </c>
      <c r="D12" s="5">
        <f t="shared" si="1"/>
        <v>11</v>
      </c>
      <c r="E12" s="12">
        <f t="shared" si="2"/>
        <v>1.1096126363461125</v>
      </c>
      <c r="G12">
        <v>11</v>
      </c>
      <c r="H12" s="12">
        <f t="shared" si="3"/>
        <v>1.0728843558507921</v>
      </c>
      <c r="I12" s="6"/>
    </row>
    <row r="13" spans="1:9" x14ac:dyDescent="0.3">
      <c r="A13" s="2">
        <v>43070</v>
      </c>
      <c r="B13" s="3">
        <v>1087343</v>
      </c>
      <c r="C13" s="5">
        <f t="shared" si="0"/>
        <v>2017</v>
      </c>
      <c r="D13" s="5">
        <f t="shared" si="1"/>
        <v>12</v>
      </c>
      <c r="E13" s="12">
        <f t="shared" si="2"/>
        <v>0.96367249901957086</v>
      </c>
      <c r="G13">
        <v>12</v>
      </c>
      <c r="H13" s="12">
        <f t="shared" si="3"/>
        <v>1.0268995572857991</v>
      </c>
      <c r="I13" s="6"/>
    </row>
    <row r="14" spans="1:9" x14ac:dyDescent="0.3">
      <c r="A14" s="2">
        <v>43101</v>
      </c>
      <c r="B14" s="3">
        <v>1033761</v>
      </c>
      <c r="C14" s="5">
        <f t="shared" si="0"/>
        <v>2018</v>
      </c>
      <c r="D14" s="5">
        <f t="shared" si="1"/>
        <v>1</v>
      </c>
      <c r="E14" s="12">
        <f t="shared" si="2"/>
        <v>0.79099006544902895</v>
      </c>
    </row>
    <row r="15" spans="1:9" x14ac:dyDescent="0.3">
      <c r="A15" s="2">
        <v>43132</v>
      </c>
      <c r="B15" s="3">
        <v>1178972</v>
      </c>
      <c r="C15" s="5">
        <f t="shared" si="0"/>
        <v>2018</v>
      </c>
      <c r="D15" s="5">
        <f t="shared" si="1"/>
        <v>2</v>
      </c>
      <c r="E15" s="12">
        <f t="shared" si="2"/>
        <v>0.90209936285328285</v>
      </c>
    </row>
    <row r="16" spans="1:9" x14ac:dyDescent="0.3">
      <c r="A16" s="2">
        <v>43160</v>
      </c>
      <c r="B16" s="3">
        <v>1297593</v>
      </c>
      <c r="C16" s="5">
        <f t="shared" si="0"/>
        <v>2018</v>
      </c>
      <c r="D16" s="5">
        <f t="shared" si="1"/>
        <v>3</v>
      </c>
      <c r="E16" s="12">
        <f t="shared" si="2"/>
        <v>0.99286312019528866</v>
      </c>
    </row>
    <row r="17" spans="1:5" x14ac:dyDescent="0.3">
      <c r="A17" s="2">
        <v>43191</v>
      </c>
      <c r="B17" s="3">
        <v>1309888</v>
      </c>
      <c r="C17" s="5">
        <f t="shared" si="0"/>
        <v>2018</v>
      </c>
      <c r="D17" s="5">
        <f t="shared" si="1"/>
        <v>4</v>
      </c>
      <c r="E17" s="12">
        <f t="shared" si="2"/>
        <v>1.0022707326460349</v>
      </c>
    </row>
    <row r="18" spans="1:5" x14ac:dyDescent="0.3">
      <c r="A18" s="2">
        <v>43221</v>
      </c>
      <c r="B18" s="3">
        <v>1302768</v>
      </c>
      <c r="C18" s="5">
        <f t="shared" si="0"/>
        <v>2018</v>
      </c>
      <c r="D18" s="5">
        <f t="shared" si="1"/>
        <v>5</v>
      </c>
      <c r="E18" s="12">
        <f t="shared" si="2"/>
        <v>0.99682281067374423</v>
      </c>
    </row>
    <row r="19" spans="1:5" x14ac:dyDescent="0.3">
      <c r="A19" s="2">
        <v>43252</v>
      </c>
      <c r="B19" s="3">
        <v>1350600</v>
      </c>
      <c r="C19" s="5">
        <f t="shared" si="0"/>
        <v>2018</v>
      </c>
      <c r="D19" s="5">
        <f t="shared" si="1"/>
        <v>6</v>
      </c>
      <c r="E19" s="12">
        <f t="shared" si="2"/>
        <v>1.0334218280583796</v>
      </c>
    </row>
    <row r="20" spans="1:5" x14ac:dyDescent="0.3">
      <c r="A20" s="2">
        <v>43282</v>
      </c>
      <c r="B20" s="3">
        <v>1365146</v>
      </c>
      <c r="C20" s="5">
        <f t="shared" si="0"/>
        <v>2018</v>
      </c>
      <c r="D20" s="5">
        <f t="shared" si="1"/>
        <v>7</v>
      </c>
      <c r="E20" s="12">
        <f t="shared" si="2"/>
        <v>1.0445518102225564</v>
      </c>
    </row>
    <row r="21" spans="1:5" x14ac:dyDescent="0.3">
      <c r="A21" s="2">
        <v>43313</v>
      </c>
      <c r="B21" s="3">
        <v>1258628</v>
      </c>
      <c r="C21" s="5">
        <f t="shared" si="0"/>
        <v>2018</v>
      </c>
      <c r="D21" s="5">
        <f t="shared" si="1"/>
        <v>8</v>
      </c>
      <c r="E21" s="12">
        <f t="shared" si="2"/>
        <v>0.96304875507586418</v>
      </c>
    </row>
    <row r="22" spans="1:5" x14ac:dyDescent="0.3">
      <c r="A22" s="2">
        <v>43344</v>
      </c>
      <c r="B22" s="3">
        <v>1343181</v>
      </c>
      <c r="C22" s="5">
        <f t="shared" si="0"/>
        <v>2018</v>
      </c>
      <c r="D22" s="5">
        <f t="shared" si="1"/>
        <v>9</v>
      </c>
      <c r="E22" s="12">
        <f t="shared" si="2"/>
        <v>1.0277451239695559</v>
      </c>
    </row>
    <row r="23" spans="1:5" x14ac:dyDescent="0.3">
      <c r="A23" s="2">
        <v>43374</v>
      </c>
      <c r="B23" s="3">
        <v>1312282</v>
      </c>
      <c r="C23" s="5">
        <f t="shared" si="0"/>
        <v>2018</v>
      </c>
      <c r="D23" s="5">
        <f t="shared" si="1"/>
        <v>10</v>
      </c>
      <c r="E23" s="12">
        <f t="shared" si="2"/>
        <v>1.0041025198934594</v>
      </c>
    </row>
    <row r="24" spans="1:5" x14ac:dyDescent="0.3">
      <c r="A24" s="2">
        <v>43405</v>
      </c>
      <c r="B24" s="3">
        <v>1420583</v>
      </c>
      <c r="C24" s="5">
        <f t="shared" si="0"/>
        <v>2018</v>
      </c>
      <c r="D24" s="5">
        <f t="shared" si="1"/>
        <v>11</v>
      </c>
      <c r="E24" s="12">
        <f t="shared" si="2"/>
        <v>1.0869698510059655</v>
      </c>
    </row>
    <row r="25" spans="1:5" x14ac:dyDescent="0.3">
      <c r="A25" s="2">
        <v>43435</v>
      </c>
      <c r="B25" s="3">
        <v>1509642</v>
      </c>
      <c r="C25" s="5">
        <f t="shared" si="0"/>
        <v>2018</v>
      </c>
      <c r="D25" s="5">
        <f t="shared" si="1"/>
        <v>12</v>
      </c>
      <c r="E25" s="12">
        <f t="shared" si="2"/>
        <v>1.1551140199568402</v>
      </c>
    </row>
    <row r="26" spans="1:5" x14ac:dyDescent="0.3">
      <c r="A26" s="2">
        <v>43466</v>
      </c>
      <c r="B26" s="3">
        <v>1387633</v>
      </c>
      <c r="C26" s="5">
        <f t="shared" si="0"/>
        <v>2019</v>
      </c>
      <c r="D26" s="5">
        <f t="shared" si="1"/>
        <v>1</v>
      </c>
      <c r="E26" s="12">
        <f t="shared" si="2"/>
        <v>0.92881455465184404</v>
      </c>
    </row>
    <row r="27" spans="1:5" x14ac:dyDescent="0.3">
      <c r="A27" s="2">
        <v>43497</v>
      </c>
      <c r="B27" s="3">
        <v>1499714</v>
      </c>
      <c r="C27" s="5">
        <f t="shared" si="0"/>
        <v>2019</v>
      </c>
      <c r="D27" s="5">
        <f t="shared" si="1"/>
        <v>2</v>
      </c>
      <c r="E27" s="12">
        <f t="shared" si="2"/>
        <v>1.0038361663459543</v>
      </c>
    </row>
    <row r="28" spans="1:5" x14ac:dyDescent="0.3">
      <c r="A28" s="2">
        <v>43525</v>
      </c>
      <c r="B28" s="3">
        <v>1352381</v>
      </c>
      <c r="C28" s="5">
        <f t="shared" si="0"/>
        <v>2019</v>
      </c>
      <c r="D28" s="5">
        <f t="shared" si="1"/>
        <v>3</v>
      </c>
      <c r="E28" s="12">
        <f t="shared" si="2"/>
        <v>0.90521856732624217</v>
      </c>
    </row>
    <row r="29" spans="1:5" x14ac:dyDescent="0.3">
      <c r="A29" s="2">
        <v>43556</v>
      </c>
      <c r="B29" s="3">
        <v>1424287</v>
      </c>
      <c r="C29" s="5">
        <f t="shared" si="0"/>
        <v>2019</v>
      </c>
      <c r="D29" s="5">
        <f t="shared" si="1"/>
        <v>4</v>
      </c>
      <c r="E29" s="12">
        <f t="shared" si="2"/>
        <v>0.95334897310845945</v>
      </c>
    </row>
    <row r="30" spans="1:5" x14ac:dyDescent="0.3">
      <c r="A30" s="2">
        <v>43586</v>
      </c>
      <c r="B30" s="3">
        <v>1485661</v>
      </c>
      <c r="C30" s="5">
        <f t="shared" si="0"/>
        <v>2019</v>
      </c>
      <c r="D30" s="5">
        <f t="shared" si="1"/>
        <v>5</v>
      </c>
      <c r="E30" s="12">
        <f t="shared" si="2"/>
        <v>0.99442976642859693</v>
      </c>
    </row>
    <row r="31" spans="1:5" x14ac:dyDescent="0.3">
      <c r="A31" s="2">
        <v>43617</v>
      </c>
      <c r="B31" s="3">
        <v>1465237</v>
      </c>
      <c r="C31" s="5">
        <f t="shared" si="0"/>
        <v>2019</v>
      </c>
      <c r="D31" s="5">
        <f t="shared" si="1"/>
        <v>6</v>
      </c>
      <c r="E31" s="12">
        <f t="shared" si="2"/>
        <v>0.98075892661417241</v>
      </c>
    </row>
    <row r="32" spans="1:5" x14ac:dyDescent="0.3">
      <c r="A32" s="2">
        <v>43647</v>
      </c>
      <c r="B32" s="3">
        <v>1461197</v>
      </c>
      <c r="C32" s="5">
        <f t="shared" si="0"/>
        <v>2019</v>
      </c>
      <c r="D32" s="5">
        <f t="shared" si="1"/>
        <v>7</v>
      </c>
      <c r="E32" s="12">
        <f t="shared" si="2"/>
        <v>0.97805474560896899</v>
      </c>
    </row>
    <row r="33" spans="1:5" x14ac:dyDescent="0.3">
      <c r="A33" s="2">
        <v>43678</v>
      </c>
      <c r="B33" s="3">
        <v>1540648</v>
      </c>
      <c r="C33" s="5">
        <f t="shared" si="0"/>
        <v>2019</v>
      </c>
      <c r="D33" s="5">
        <f t="shared" si="1"/>
        <v>8</v>
      </c>
      <c r="E33" s="12">
        <f t="shared" si="2"/>
        <v>1.0312354102239238</v>
      </c>
    </row>
    <row r="34" spans="1:5" x14ac:dyDescent="0.3">
      <c r="A34" s="2">
        <v>43709</v>
      </c>
      <c r="B34" s="3">
        <v>1557424</v>
      </c>
      <c r="C34" s="5">
        <f t="shared" si="0"/>
        <v>2019</v>
      </c>
      <c r="D34" s="5">
        <f t="shared" si="1"/>
        <v>9</v>
      </c>
      <c r="E34" s="12">
        <f t="shared" si="2"/>
        <v>1.0424644549128577</v>
      </c>
    </row>
    <row r="35" spans="1:5" x14ac:dyDescent="0.3">
      <c r="A35" s="2">
        <v>43739</v>
      </c>
      <c r="B35" s="3">
        <v>1711023</v>
      </c>
      <c r="C35" s="5">
        <f t="shared" si="0"/>
        <v>2019</v>
      </c>
      <c r="D35" s="5">
        <f t="shared" si="1"/>
        <v>10</v>
      </c>
      <c r="E35" s="12">
        <f t="shared" si="2"/>
        <v>1.145276211897571</v>
      </c>
    </row>
    <row r="36" spans="1:5" x14ac:dyDescent="0.3">
      <c r="A36" s="2">
        <v>43770</v>
      </c>
      <c r="B36" s="3">
        <v>1578509</v>
      </c>
      <c r="C36" s="5">
        <f t="shared" si="0"/>
        <v>2019</v>
      </c>
      <c r="D36" s="5">
        <f t="shared" si="1"/>
        <v>11</v>
      </c>
      <c r="E36" s="12">
        <f t="shared" si="2"/>
        <v>1.0565777362234305</v>
      </c>
    </row>
    <row r="37" spans="1:5" x14ac:dyDescent="0.3">
      <c r="A37" s="2">
        <v>43800</v>
      </c>
      <c r="B37" s="3">
        <v>1464080</v>
      </c>
      <c r="C37" s="5">
        <f t="shared" si="0"/>
        <v>2019</v>
      </c>
      <c r="D37" s="5">
        <f t="shared" si="1"/>
        <v>12</v>
      </c>
      <c r="E37" s="12">
        <f t="shared" si="2"/>
        <v>0.97998448665797933</v>
      </c>
    </row>
    <row r="38" spans="1:5" x14ac:dyDescent="0.3">
      <c r="A38" s="2">
        <v>43831</v>
      </c>
      <c r="B38" s="3">
        <v>1554282</v>
      </c>
      <c r="C38" s="5">
        <f t="shared" si="0"/>
        <v>2020</v>
      </c>
      <c r="D38" s="5">
        <f t="shared" si="1"/>
        <v>1</v>
      </c>
      <c r="E38" s="12">
        <f t="shared" si="2"/>
        <v>0.96069607541764768</v>
      </c>
    </row>
    <row r="39" spans="1:5" x14ac:dyDescent="0.3">
      <c r="A39" s="2">
        <v>43862</v>
      </c>
      <c r="B39" s="3">
        <v>1485026</v>
      </c>
      <c r="C39" s="5">
        <f t="shared" si="0"/>
        <v>2020</v>
      </c>
      <c r="D39" s="5">
        <f t="shared" si="1"/>
        <v>2</v>
      </c>
      <c r="E39" s="12">
        <f t="shared" si="2"/>
        <v>0.91788919262602775</v>
      </c>
    </row>
    <row r="40" spans="1:5" x14ac:dyDescent="0.3">
      <c r="A40" s="2">
        <v>43891</v>
      </c>
      <c r="B40" s="3">
        <v>1608037</v>
      </c>
      <c r="C40" s="5">
        <f t="shared" si="0"/>
        <v>2020</v>
      </c>
      <c r="D40" s="5">
        <f t="shared" si="1"/>
        <v>3</v>
      </c>
      <c r="E40" s="12">
        <f t="shared" si="2"/>
        <v>0.99392184624564139</v>
      </c>
    </row>
    <row r="41" spans="1:5" x14ac:dyDescent="0.3">
      <c r="A41" s="2">
        <v>43922</v>
      </c>
      <c r="B41" s="3">
        <v>1549038</v>
      </c>
      <c r="C41" s="5">
        <f t="shared" si="0"/>
        <v>2020</v>
      </c>
      <c r="D41" s="5">
        <f t="shared" si="1"/>
        <v>4</v>
      </c>
      <c r="E41" s="12">
        <f t="shared" si="2"/>
        <v>0.95745477800862533</v>
      </c>
    </row>
    <row r="42" spans="1:5" x14ac:dyDescent="0.3">
      <c r="A42" s="2">
        <v>43952</v>
      </c>
      <c r="B42" s="3">
        <v>1613646</v>
      </c>
      <c r="C42" s="5">
        <f t="shared" si="0"/>
        <v>2020</v>
      </c>
      <c r="D42" s="5">
        <f t="shared" si="1"/>
        <v>5</v>
      </c>
      <c r="E42" s="12">
        <f t="shared" si="2"/>
        <v>0.99738874883282791</v>
      </c>
    </row>
    <row r="43" spans="1:5" x14ac:dyDescent="0.3">
      <c r="A43" s="2">
        <v>43983</v>
      </c>
      <c r="B43" s="3">
        <v>1577889</v>
      </c>
      <c r="C43" s="5">
        <f t="shared" si="0"/>
        <v>2020</v>
      </c>
      <c r="D43" s="5">
        <f t="shared" si="1"/>
        <v>6</v>
      </c>
      <c r="E43" s="12">
        <f t="shared" si="2"/>
        <v>0.97528747662565529</v>
      </c>
    </row>
    <row r="44" spans="1:5" x14ac:dyDescent="0.3">
      <c r="A44" s="2">
        <v>44013</v>
      </c>
      <c r="B44" s="3">
        <v>1615970</v>
      </c>
      <c r="C44" s="5">
        <f t="shared" si="0"/>
        <v>2020</v>
      </c>
      <c r="D44" s="5">
        <f t="shared" si="1"/>
        <v>7</v>
      </c>
      <c r="E44" s="12">
        <f t="shared" si="2"/>
        <v>0.99882520481653658</v>
      </c>
    </row>
    <row r="45" spans="1:5" x14ac:dyDescent="0.3">
      <c r="A45" s="2">
        <v>44044</v>
      </c>
      <c r="B45" s="3">
        <v>1686289</v>
      </c>
      <c r="C45" s="5">
        <f t="shared" si="0"/>
        <v>2020</v>
      </c>
      <c r="D45" s="5">
        <f t="shared" si="1"/>
        <v>8</v>
      </c>
      <c r="E45" s="12">
        <f t="shared" si="2"/>
        <v>1.0422891240585361</v>
      </c>
    </row>
    <row r="46" spans="1:5" x14ac:dyDescent="0.3">
      <c r="A46" s="2">
        <v>44075</v>
      </c>
      <c r="B46" s="3">
        <v>1699802</v>
      </c>
      <c r="C46" s="5">
        <f t="shared" si="0"/>
        <v>2020</v>
      </c>
      <c r="D46" s="5">
        <f t="shared" si="1"/>
        <v>9</v>
      </c>
      <c r="E46" s="12">
        <f t="shared" si="2"/>
        <v>1.0506414604216405</v>
      </c>
    </row>
    <row r="47" spans="1:5" x14ac:dyDescent="0.3">
      <c r="A47" s="2">
        <v>44105</v>
      </c>
      <c r="B47" s="3">
        <v>1676483</v>
      </c>
      <c r="C47" s="5">
        <f t="shared" si="0"/>
        <v>2020</v>
      </c>
      <c r="D47" s="5">
        <f t="shared" si="1"/>
        <v>10</v>
      </c>
      <c r="E47" s="12">
        <f t="shared" si="2"/>
        <v>1.0362280709706502</v>
      </c>
    </row>
    <row r="48" spans="1:5" x14ac:dyDescent="0.3">
      <c r="A48" s="2">
        <v>44136</v>
      </c>
      <c r="B48" s="3">
        <v>1741271</v>
      </c>
      <c r="C48" s="5">
        <f t="shared" si="0"/>
        <v>2020</v>
      </c>
      <c r="D48" s="5">
        <f t="shared" si="1"/>
        <v>11</v>
      </c>
      <c r="E48" s="12">
        <f t="shared" si="2"/>
        <v>1.0762732991429886</v>
      </c>
    </row>
    <row r="49" spans="1:6" x14ac:dyDescent="0.3">
      <c r="A49" s="2">
        <v>44166</v>
      </c>
      <c r="B49" s="3">
        <v>1606715</v>
      </c>
      <c r="C49" s="5">
        <f t="shared" si="0"/>
        <v>2020</v>
      </c>
      <c r="D49" s="5">
        <f t="shared" si="1"/>
        <v>12</v>
      </c>
      <c r="E49" s="12">
        <f t="shared" si="2"/>
        <v>0.99310472283322193</v>
      </c>
    </row>
    <row r="50" spans="1:6" x14ac:dyDescent="0.3">
      <c r="A50" s="2">
        <v>44197</v>
      </c>
      <c r="B50" s="9" cm="1">
        <f t="array" ref="B50">TREND($B$2:$B$49,$A$2:$A$49,A50)</f>
        <v>1730088.1801667549</v>
      </c>
      <c r="C50" s="5">
        <f t="shared" si="0"/>
        <v>2021</v>
      </c>
      <c r="D50" s="5">
        <f t="shared" si="1"/>
        <v>1</v>
      </c>
      <c r="E50" s="12">
        <f t="shared" si="2"/>
        <v>0.95763240208614797</v>
      </c>
      <c r="F50" s="11">
        <f>B50*H2</f>
        <v>1583922.6522839605</v>
      </c>
    </row>
    <row r="51" spans="1:6" x14ac:dyDescent="0.3">
      <c r="A51" s="2">
        <v>44228</v>
      </c>
      <c r="B51" s="9" cm="1">
        <f t="array" ref="B51">TREND($B$2:$B$49,$A$2:$A$49,A51)</f>
        <v>1744339.3562000133</v>
      </c>
      <c r="C51" s="5">
        <f t="shared" si="0"/>
        <v>2021</v>
      </c>
      <c r="D51" s="5">
        <f t="shared" si="1"/>
        <v>2</v>
      </c>
      <c r="E51" s="12">
        <f t="shared" si="2"/>
        <v>0.96552066355959865</v>
      </c>
      <c r="F51" s="11">
        <f t="shared" ref="F51:F61" si="4">B51*H3</f>
        <v>1636193.7564773054</v>
      </c>
    </row>
    <row r="52" spans="1:6" x14ac:dyDescent="0.3">
      <c r="A52" s="2">
        <v>44256</v>
      </c>
      <c r="B52" s="9" cm="1">
        <f t="array" ref="B52">TREND($B$2:$B$49,$A$2:$A$49,A52)</f>
        <v>1757211.3861655332</v>
      </c>
      <c r="C52" s="5">
        <f t="shared" si="0"/>
        <v>2021</v>
      </c>
      <c r="D52" s="5">
        <f t="shared" si="1"/>
        <v>3</v>
      </c>
      <c r="E52" s="12">
        <f t="shared" si="2"/>
        <v>0.97264554489045518</v>
      </c>
      <c r="F52" s="11">
        <f t="shared" si="4"/>
        <v>1729113.2147698905</v>
      </c>
    </row>
    <row r="53" spans="1:6" x14ac:dyDescent="0.3">
      <c r="A53" s="2">
        <v>44287</v>
      </c>
      <c r="B53" s="9" cm="1">
        <f t="array" ref="B53">TREND($B$2:$B$49,$A$2:$A$49,A53)</f>
        <v>1771462.5621987917</v>
      </c>
      <c r="C53" s="5">
        <f t="shared" si="0"/>
        <v>2021</v>
      </c>
      <c r="D53" s="5">
        <f t="shared" si="1"/>
        <v>4</v>
      </c>
      <c r="E53" s="12">
        <f t="shared" si="2"/>
        <v>0.98053380636390586</v>
      </c>
      <c r="F53" s="11">
        <f t="shared" si="4"/>
        <v>1712938.715861971</v>
      </c>
    </row>
    <row r="54" spans="1:6" x14ac:dyDescent="0.3">
      <c r="A54" s="2">
        <v>44317</v>
      </c>
      <c r="B54" s="9" cm="1">
        <f t="array" ref="B54">TREND($B$2:$B$49,$A$2:$A$49,A54)</f>
        <v>1785254.022876136</v>
      </c>
      <c r="C54" s="5">
        <f t="shared" si="0"/>
        <v>2021</v>
      </c>
      <c r="D54" s="5">
        <f t="shared" si="1"/>
        <v>5</v>
      </c>
      <c r="E54" s="12">
        <f t="shared" si="2"/>
        <v>0.98816760778982449</v>
      </c>
      <c r="F54" s="11">
        <f t="shared" si="4"/>
        <v>1791833.550967393</v>
      </c>
    </row>
    <row r="55" spans="1:6" x14ac:dyDescent="0.3">
      <c r="A55" s="2">
        <v>44348</v>
      </c>
      <c r="B55" s="9" cm="1">
        <f t="array" ref="B55">TREND($B$2:$B$49,$A$2:$A$49,A55)</f>
        <v>1799505.1989093944</v>
      </c>
      <c r="C55" s="5">
        <f t="shared" si="0"/>
        <v>2021</v>
      </c>
      <c r="D55" s="5">
        <f t="shared" si="1"/>
        <v>6</v>
      </c>
      <c r="E55" s="12">
        <f t="shared" si="2"/>
        <v>0.99605586926327516</v>
      </c>
      <c r="F55" s="11">
        <f t="shared" si="4"/>
        <v>1809911.4625119895</v>
      </c>
    </row>
    <row r="56" spans="1:6" x14ac:dyDescent="0.3">
      <c r="A56" s="2">
        <v>44378</v>
      </c>
      <c r="B56" s="9" cm="1">
        <f t="array" ref="B56">TREND($B$2:$B$49,$A$2:$A$49,A56)</f>
        <v>1813296.6595867388</v>
      </c>
      <c r="C56" s="5">
        <f t="shared" si="0"/>
        <v>2021</v>
      </c>
      <c r="D56" s="5">
        <f t="shared" si="1"/>
        <v>7</v>
      </c>
      <c r="E56" s="12">
        <f t="shared" si="2"/>
        <v>1.0036896706891938</v>
      </c>
      <c r="F56" s="11">
        <f t="shared" si="4"/>
        <v>1794837.284059712</v>
      </c>
    </row>
    <row r="57" spans="1:6" x14ac:dyDescent="0.3">
      <c r="A57" s="2">
        <v>44409</v>
      </c>
      <c r="B57" s="9" cm="1">
        <f t="array" ref="B57">TREND($B$2:$B$49,$A$2:$A$49,A57)</f>
        <v>1827547.8356199972</v>
      </c>
      <c r="C57" s="5">
        <f t="shared" si="0"/>
        <v>2021</v>
      </c>
      <c r="D57" s="5">
        <f t="shared" si="1"/>
        <v>8</v>
      </c>
      <c r="E57" s="12">
        <f t="shared" si="2"/>
        <v>1.0115779321626446</v>
      </c>
      <c r="F57" s="11">
        <f t="shared" si="4"/>
        <v>1867792.278896963</v>
      </c>
    </row>
    <row r="58" spans="1:6" x14ac:dyDescent="0.3">
      <c r="A58" s="2">
        <v>44440</v>
      </c>
      <c r="B58" s="9" cm="1">
        <f t="array" ref="B58">TREND($B$2:$B$49,$A$2:$A$49,A58)</f>
        <v>1841799.0116532557</v>
      </c>
      <c r="C58" s="5">
        <f t="shared" si="0"/>
        <v>2021</v>
      </c>
      <c r="D58" s="5">
        <f t="shared" si="1"/>
        <v>9</v>
      </c>
      <c r="E58" s="12">
        <f t="shared" si="2"/>
        <v>1.0194661936360951</v>
      </c>
      <c r="F58" s="11">
        <f t="shared" si="4"/>
        <v>1861378.3543221187</v>
      </c>
    </row>
    <row r="59" spans="1:6" x14ac:dyDescent="0.3">
      <c r="A59" s="2">
        <v>44470</v>
      </c>
      <c r="B59" s="9" cm="1">
        <f t="array" ref="B59">TREND($B$2:$B$49,$A$2:$A$49,A59)</f>
        <v>1855590.4723306</v>
      </c>
      <c r="C59" s="5">
        <f t="shared" si="0"/>
        <v>2021</v>
      </c>
      <c r="D59" s="5">
        <f t="shared" si="1"/>
        <v>10</v>
      </c>
      <c r="E59" s="12">
        <f t="shared" si="2"/>
        <v>1.0270999950620139</v>
      </c>
      <c r="F59" s="11">
        <f t="shared" si="4"/>
        <v>1973950.971725113</v>
      </c>
    </row>
    <row r="60" spans="1:6" x14ac:dyDescent="0.3">
      <c r="A60" s="2">
        <v>44501</v>
      </c>
      <c r="B60" s="9" cm="1">
        <f t="array" ref="B60">TREND($B$2:$B$49,$A$2:$A$49,A60)</f>
        <v>1869841.6483638547</v>
      </c>
      <c r="C60" s="5">
        <f t="shared" si="0"/>
        <v>2021</v>
      </c>
      <c r="D60" s="5">
        <f t="shared" si="1"/>
        <v>11</v>
      </c>
      <c r="E60" s="12">
        <f t="shared" si="2"/>
        <v>1.0349882565354624</v>
      </c>
      <c r="F60" s="11">
        <f t="shared" si="4"/>
        <v>2006123.8524478376</v>
      </c>
    </row>
    <row r="61" spans="1:6" x14ac:dyDescent="0.3">
      <c r="A61" s="2">
        <v>44531</v>
      </c>
      <c r="B61" s="9" cm="1">
        <f t="array" ref="B61">TREND($B$2:$B$49,$A$2:$A$49,A61)</f>
        <v>1883633.1090412028</v>
      </c>
      <c r="C61" s="5">
        <f t="shared" si="0"/>
        <v>2021</v>
      </c>
      <c r="D61" s="5">
        <f t="shared" si="1"/>
        <v>12</v>
      </c>
      <c r="E61" s="12">
        <f t="shared" si="2"/>
        <v>1.0426220579613832</v>
      </c>
      <c r="F61" s="11">
        <f t="shared" si="4"/>
        <v>1934302.0057632844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6661-F8FF-48EE-8831-69A345B74387}">
  <dimension ref="A1:E73"/>
  <sheetViews>
    <sheetView workbookViewId="0">
      <pane ySplit="1" topLeftCell="A17" activePane="bottomLeft" state="frozen"/>
      <selection pane="bottomLeft" activeCell="G25" sqref="G25"/>
    </sheetView>
  </sheetViews>
  <sheetFormatPr defaultRowHeight="14.4" x14ac:dyDescent="0.3"/>
  <cols>
    <col min="1" max="1" width="10.109375" bestFit="1" customWidth="1"/>
    <col min="2" max="2" width="10.5546875" customWidth="1"/>
    <col min="3" max="3" width="19.109375" customWidth="1"/>
    <col min="4" max="4" width="38.44140625" customWidth="1"/>
    <col min="5" max="5" width="39.77734375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3">
      <c r="A2" s="13">
        <v>42736</v>
      </c>
      <c r="B2" s="4">
        <v>1060006</v>
      </c>
    </row>
    <row r="3" spans="1:5" x14ac:dyDescent="0.3">
      <c r="A3" s="13">
        <v>42767</v>
      </c>
      <c r="B3" s="4">
        <v>1016249</v>
      </c>
    </row>
    <row r="4" spans="1:5" x14ac:dyDescent="0.3">
      <c r="A4" s="13">
        <v>42795</v>
      </c>
      <c r="B4" s="4">
        <v>1190842</v>
      </c>
    </row>
    <row r="5" spans="1:5" x14ac:dyDescent="0.3">
      <c r="A5" s="13">
        <v>42826</v>
      </c>
      <c r="B5" s="4">
        <v>1061994</v>
      </c>
    </row>
    <row r="6" spans="1:5" x14ac:dyDescent="0.3">
      <c r="A6" s="13">
        <v>42856</v>
      </c>
      <c r="B6" s="4">
        <v>1175292</v>
      </c>
    </row>
    <row r="7" spans="1:5" x14ac:dyDescent="0.3">
      <c r="A7" s="13">
        <v>42887</v>
      </c>
      <c r="B7" s="4">
        <v>1177291</v>
      </c>
    </row>
    <row r="8" spans="1:5" x14ac:dyDescent="0.3">
      <c r="A8" s="13">
        <v>42917</v>
      </c>
      <c r="B8" s="4">
        <v>1042555</v>
      </c>
    </row>
    <row r="9" spans="1:5" x14ac:dyDescent="0.3">
      <c r="A9" s="13">
        <v>42948</v>
      </c>
      <c r="B9" s="4">
        <v>1198237</v>
      </c>
    </row>
    <row r="10" spans="1:5" x14ac:dyDescent="0.3">
      <c r="A10" s="13">
        <v>42979</v>
      </c>
      <c r="B10" s="4">
        <v>1029982</v>
      </c>
    </row>
    <row r="11" spans="1:5" x14ac:dyDescent="0.3">
      <c r="A11" s="13">
        <v>43009</v>
      </c>
      <c r="B11" s="4">
        <v>1248187</v>
      </c>
    </row>
    <row r="12" spans="1:5" x14ac:dyDescent="0.3">
      <c r="A12" s="13">
        <v>43040</v>
      </c>
      <c r="B12" s="4">
        <v>1252012</v>
      </c>
    </row>
    <row r="13" spans="1:5" x14ac:dyDescent="0.3">
      <c r="A13" s="13">
        <v>43070</v>
      </c>
      <c r="B13" s="4">
        <v>1087343</v>
      </c>
    </row>
    <row r="14" spans="1:5" x14ac:dyDescent="0.3">
      <c r="A14" s="13">
        <v>43101</v>
      </c>
      <c r="B14" s="4">
        <v>1033761</v>
      </c>
    </row>
    <row r="15" spans="1:5" x14ac:dyDescent="0.3">
      <c r="A15" s="13">
        <v>43132</v>
      </c>
      <c r="B15" s="4">
        <v>1178972</v>
      </c>
    </row>
    <row r="16" spans="1:5" x14ac:dyDescent="0.3">
      <c r="A16" s="13">
        <v>43160</v>
      </c>
      <c r="B16" s="4">
        <v>1297593</v>
      </c>
    </row>
    <row r="17" spans="1:2" x14ac:dyDescent="0.3">
      <c r="A17" s="13">
        <v>43191</v>
      </c>
      <c r="B17" s="4">
        <v>1309888</v>
      </c>
    </row>
    <row r="18" spans="1:2" x14ac:dyDescent="0.3">
      <c r="A18" s="13">
        <v>43221</v>
      </c>
      <c r="B18" s="4">
        <v>1302768</v>
      </c>
    </row>
    <row r="19" spans="1:2" x14ac:dyDescent="0.3">
      <c r="A19" s="13">
        <v>43252</v>
      </c>
      <c r="B19" s="4">
        <v>1350600</v>
      </c>
    </row>
    <row r="20" spans="1:2" x14ac:dyDescent="0.3">
      <c r="A20" s="13">
        <v>43282</v>
      </c>
      <c r="B20" s="4">
        <v>1365146</v>
      </c>
    </row>
    <row r="21" spans="1:2" x14ac:dyDescent="0.3">
      <c r="A21" s="13">
        <v>43313</v>
      </c>
      <c r="B21" s="4">
        <v>1258628</v>
      </c>
    </row>
    <row r="22" spans="1:2" x14ac:dyDescent="0.3">
      <c r="A22" s="13">
        <v>43344</v>
      </c>
      <c r="B22" s="4">
        <v>1343181</v>
      </c>
    </row>
    <row r="23" spans="1:2" x14ac:dyDescent="0.3">
      <c r="A23" s="13">
        <v>43374</v>
      </c>
      <c r="B23" s="4">
        <v>1312282</v>
      </c>
    </row>
    <row r="24" spans="1:2" x14ac:dyDescent="0.3">
      <c r="A24" s="13">
        <v>43405</v>
      </c>
      <c r="B24" s="4">
        <v>1420583</v>
      </c>
    </row>
    <row r="25" spans="1:2" x14ac:dyDescent="0.3">
      <c r="A25" s="13">
        <v>43435</v>
      </c>
      <c r="B25" s="4">
        <v>1509642</v>
      </c>
    </row>
    <row r="26" spans="1:2" x14ac:dyDescent="0.3">
      <c r="A26" s="13">
        <v>43466</v>
      </c>
      <c r="B26" s="4">
        <v>1387633</v>
      </c>
    </row>
    <row r="27" spans="1:2" x14ac:dyDescent="0.3">
      <c r="A27" s="13">
        <v>43497</v>
      </c>
      <c r="B27" s="4">
        <v>1499714</v>
      </c>
    </row>
    <row r="28" spans="1:2" x14ac:dyDescent="0.3">
      <c r="A28" s="13">
        <v>43525</v>
      </c>
      <c r="B28" s="4">
        <v>1352381</v>
      </c>
    </row>
    <row r="29" spans="1:2" x14ac:dyDescent="0.3">
      <c r="A29" s="13">
        <v>43556</v>
      </c>
      <c r="B29" s="4">
        <v>1424287</v>
      </c>
    </row>
    <row r="30" spans="1:2" x14ac:dyDescent="0.3">
      <c r="A30" s="13">
        <v>43586</v>
      </c>
      <c r="B30" s="4">
        <v>1485661</v>
      </c>
    </row>
    <row r="31" spans="1:2" x14ac:dyDescent="0.3">
      <c r="A31" s="13">
        <v>43617</v>
      </c>
      <c r="B31" s="4">
        <v>1465237</v>
      </c>
    </row>
    <row r="32" spans="1:2" x14ac:dyDescent="0.3">
      <c r="A32" s="13">
        <v>43647</v>
      </c>
      <c r="B32" s="4">
        <v>1461197</v>
      </c>
    </row>
    <row r="33" spans="1:2" x14ac:dyDescent="0.3">
      <c r="A33" s="13">
        <v>43678</v>
      </c>
      <c r="B33" s="4">
        <v>1540648</v>
      </c>
    </row>
    <row r="34" spans="1:2" x14ac:dyDescent="0.3">
      <c r="A34" s="13">
        <v>43709</v>
      </c>
      <c r="B34" s="4">
        <v>1557424</v>
      </c>
    </row>
    <row r="35" spans="1:2" x14ac:dyDescent="0.3">
      <c r="A35" s="13">
        <v>43739</v>
      </c>
      <c r="B35" s="4">
        <v>1711023</v>
      </c>
    </row>
    <row r="36" spans="1:2" x14ac:dyDescent="0.3">
      <c r="A36" s="13">
        <v>43770</v>
      </c>
      <c r="B36" s="4">
        <v>1578509</v>
      </c>
    </row>
    <row r="37" spans="1:2" x14ac:dyDescent="0.3">
      <c r="A37" s="13">
        <v>43800</v>
      </c>
      <c r="B37" s="4">
        <v>1464080</v>
      </c>
    </row>
    <row r="38" spans="1:2" x14ac:dyDescent="0.3">
      <c r="A38" s="13">
        <v>43831</v>
      </c>
      <c r="B38" s="4">
        <v>1554282</v>
      </c>
    </row>
    <row r="39" spans="1:2" x14ac:dyDescent="0.3">
      <c r="A39" s="13">
        <v>43862</v>
      </c>
      <c r="B39" s="4">
        <v>1485026</v>
      </c>
    </row>
    <row r="40" spans="1:2" x14ac:dyDescent="0.3">
      <c r="A40" s="13">
        <v>43891</v>
      </c>
      <c r="B40" s="4">
        <v>1608037</v>
      </c>
    </row>
    <row r="41" spans="1:2" x14ac:dyDescent="0.3">
      <c r="A41" s="13">
        <v>43922</v>
      </c>
      <c r="B41" s="4">
        <v>1549038</v>
      </c>
    </row>
    <row r="42" spans="1:2" x14ac:dyDescent="0.3">
      <c r="A42" s="13">
        <v>43952</v>
      </c>
      <c r="B42" s="4">
        <v>1613646</v>
      </c>
    </row>
    <row r="43" spans="1:2" x14ac:dyDescent="0.3">
      <c r="A43" s="13">
        <v>43983</v>
      </c>
      <c r="B43" s="4">
        <v>1577889</v>
      </c>
    </row>
    <row r="44" spans="1:2" x14ac:dyDescent="0.3">
      <c r="A44" s="13">
        <v>44013</v>
      </c>
      <c r="B44" s="4">
        <v>1615970</v>
      </c>
    </row>
    <row r="45" spans="1:2" x14ac:dyDescent="0.3">
      <c r="A45" s="13">
        <v>44044</v>
      </c>
      <c r="B45" s="4">
        <v>1686289</v>
      </c>
    </row>
    <row r="46" spans="1:2" x14ac:dyDescent="0.3">
      <c r="A46" s="13">
        <v>44075</v>
      </c>
      <c r="B46" s="4">
        <v>1699802</v>
      </c>
    </row>
    <row r="47" spans="1:2" x14ac:dyDescent="0.3">
      <c r="A47" s="13">
        <v>44105</v>
      </c>
      <c r="B47" s="4">
        <v>1676483</v>
      </c>
    </row>
    <row r="48" spans="1:2" x14ac:dyDescent="0.3">
      <c r="A48" s="13">
        <v>44136</v>
      </c>
      <c r="B48" s="4">
        <v>1741271</v>
      </c>
    </row>
    <row r="49" spans="1:5" x14ac:dyDescent="0.3">
      <c r="A49" s="13">
        <v>44166</v>
      </c>
      <c r="B49" s="4">
        <v>1606715</v>
      </c>
      <c r="C49" s="4">
        <v>1606715</v>
      </c>
      <c r="D49" s="4">
        <v>1606715</v>
      </c>
      <c r="E49" s="4">
        <v>1606715</v>
      </c>
    </row>
    <row r="50" spans="1:5" x14ac:dyDescent="0.3">
      <c r="A50" s="13">
        <v>44197</v>
      </c>
      <c r="C50" s="4">
        <f>_xlfn.FORECAST.ETS(A50,$B$2:$B$49,$A$2:$A$49,12,1)</f>
        <v>1603869.7587058379</v>
      </c>
      <c r="D50" s="4">
        <f>C50-_xlfn.FORECAST.ETS.CONFINT(A50,$B$2:$B$49,$A$2:$A$49,0.95,12,1)</f>
        <v>1446182.8093856231</v>
      </c>
      <c r="E50" s="4">
        <f>C50+_xlfn.FORECAST.ETS.CONFINT(A50,$B$2:$B$49,$A$2:$A$49,0.95,12,1)</f>
        <v>1761556.7080260527</v>
      </c>
    </row>
    <row r="51" spans="1:5" x14ac:dyDescent="0.3">
      <c r="A51" s="13">
        <v>44228</v>
      </c>
      <c r="C51" s="4">
        <f>_xlfn.FORECAST.ETS(A51,$B$2:$B$49,$A$2:$A$49,12,1)</f>
        <v>1729453.0061416854</v>
      </c>
      <c r="D51" s="4">
        <f>C51-_xlfn.FORECAST.ETS.CONFINT(A51,$B$2:$B$49,$A$2:$A$49,0.95,12,1)</f>
        <v>1566836.2419544787</v>
      </c>
      <c r="E51" s="4">
        <f>C51+_xlfn.FORECAST.ETS.CONFINT(A51,$B$2:$B$49,$A$2:$A$49,0.95,12,1)</f>
        <v>1892069.7703288922</v>
      </c>
    </row>
    <row r="52" spans="1:5" x14ac:dyDescent="0.3">
      <c r="A52" s="13">
        <v>44256</v>
      </c>
      <c r="C52" s="4">
        <f>_xlfn.FORECAST.ETS(A52,$B$2:$B$49,$A$2:$A$49,12,1)</f>
        <v>1710458.8504417338</v>
      </c>
      <c r="D52" s="4">
        <f>C52-_xlfn.FORECAST.ETS.CONFINT(A52,$B$2:$B$49,$A$2:$A$49,0.95,12,1)</f>
        <v>1543019.8856922404</v>
      </c>
      <c r="E52" s="4">
        <f>C52+_xlfn.FORECAST.ETS.CONFINT(A52,$B$2:$B$49,$A$2:$A$49,0.95,12,1)</f>
        <v>1877897.8151912272</v>
      </c>
    </row>
    <row r="53" spans="1:5" x14ac:dyDescent="0.3">
      <c r="A53" s="13">
        <v>44287</v>
      </c>
      <c r="C53" s="4">
        <f>_xlfn.FORECAST.ETS(A53,$B$2:$B$49,$A$2:$A$49,12,1)</f>
        <v>1748401.1304085937</v>
      </c>
      <c r="D53" s="4">
        <f>C53-_xlfn.FORECAST.ETS.CONFINT(A53,$B$2:$B$49,$A$2:$A$49,0.95,12,1)</f>
        <v>1576238.3920438201</v>
      </c>
      <c r="E53" s="4">
        <f>C53+_xlfn.FORECAST.ETS.CONFINT(A53,$B$2:$B$49,$A$2:$A$49,0.95,12,1)</f>
        <v>1920563.8687733673</v>
      </c>
    </row>
    <row r="54" spans="1:5" x14ac:dyDescent="0.3">
      <c r="A54" s="13">
        <v>44317</v>
      </c>
      <c r="C54" s="4">
        <f>_xlfn.FORECAST.ETS(A54,$B$2:$B$49,$A$2:$A$49,12,1)</f>
        <v>1775568.2084720908</v>
      </c>
      <c r="D54" s="4">
        <f>C54-_xlfn.FORECAST.ETS.CONFINT(A54,$B$2:$B$49,$A$2:$A$49,0.95,12,1)</f>
        <v>1598772.0930744621</v>
      </c>
      <c r="E54" s="4">
        <f>C54+_xlfn.FORECAST.ETS.CONFINT(A54,$B$2:$B$49,$A$2:$A$49,0.95,12,1)</f>
        <v>1952364.3238697194</v>
      </c>
    </row>
    <row r="55" spans="1:5" x14ac:dyDescent="0.3">
      <c r="A55" s="13">
        <v>44348</v>
      </c>
      <c r="C55" s="4">
        <f>_xlfn.FORECAST.ETS(A55,$B$2:$B$49,$A$2:$A$49,12,1)</f>
        <v>1817760.0291427113</v>
      </c>
      <c r="D55" s="4">
        <f>C55-_xlfn.FORECAST.ETS.CONFINT(A55,$B$2:$B$49,$A$2:$A$49,0.95,12,1)</f>
        <v>1636413.867170552</v>
      </c>
      <c r="E55" s="4">
        <f>C55+_xlfn.FORECAST.ETS.CONFINT(A55,$B$2:$B$49,$A$2:$A$49,0.95,12,1)</f>
        <v>1999106.1911148706</v>
      </c>
    </row>
    <row r="56" spans="1:5" x14ac:dyDescent="0.3">
      <c r="A56" s="13">
        <v>44378</v>
      </c>
      <c r="C56" s="4">
        <f>_xlfn.FORECAST.ETS(A56,$B$2:$B$49,$A$2:$A$49,12,1)</f>
        <v>1753568.017036322</v>
      </c>
      <c r="D56" s="4">
        <f>C56-_xlfn.FORECAST.ETS.CONFINT(A56,$B$2:$B$49,$A$2:$A$49,0.95,12,1)</f>
        <v>1567748.8836333584</v>
      </c>
      <c r="E56" s="4">
        <f>C56+_xlfn.FORECAST.ETS.CONFINT(A56,$B$2:$B$49,$A$2:$A$49,0.95,12,1)</f>
        <v>1939387.1504392857</v>
      </c>
    </row>
    <row r="57" spans="1:5" x14ac:dyDescent="0.3">
      <c r="A57" s="13">
        <v>44409</v>
      </c>
      <c r="C57" s="4">
        <f>_xlfn.FORECAST.ETS(A57,$B$2:$B$49,$A$2:$A$49,12,1)</f>
        <v>1775161.3451780486</v>
      </c>
      <c r="D57" s="4">
        <f>C57-_xlfn.FORECAST.ETS.CONFINT(A57,$B$2:$B$49,$A$2:$A$49,0.95,12,1)</f>
        <v>1584940.7475030678</v>
      </c>
      <c r="E57" s="4">
        <f>C57+_xlfn.FORECAST.ETS.CONFINT(A57,$B$2:$B$49,$A$2:$A$49,0.95,12,1)</f>
        <v>1965381.9428530294</v>
      </c>
    </row>
    <row r="58" spans="1:5" x14ac:dyDescent="0.3">
      <c r="A58" s="13">
        <v>44440</v>
      </c>
      <c r="C58" s="4">
        <f>_xlfn.FORECAST.ETS(A58,$B$2:$B$49,$A$2:$A$49,12,1)</f>
        <v>1736898.1640097431</v>
      </c>
      <c r="D58" s="4">
        <f>C58-_xlfn.FORECAST.ETS.CONFINT(A58,$B$2:$B$49,$A$2:$A$49,0.95,12,1)</f>
        <v>1542342.6281954772</v>
      </c>
      <c r="E58" s="4">
        <f>C58+_xlfn.FORECAST.ETS.CONFINT(A58,$B$2:$B$49,$A$2:$A$49,0.95,12,1)</f>
        <v>1931453.6998240091</v>
      </c>
    </row>
    <row r="59" spans="1:5" x14ac:dyDescent="0.3">
      <c r="A59" s="13">
        <v>44470</v>
      </c>
      <c r="C59" s="4">
        <f>_xlfn.FORECAST.ETS(A59,$B$2:$B$49,$A$2:$A$49,12,1)</f>
        <v>1831264.9404086038</v>
      </c>
      <c r="D59" s="4">
        <f>C59-_xlfn.FORECAST.ETS.CONFINT(A59,$B$2:$B$49,$A$2:$A$49,0.95,12,1)</f>
        <v>1632436.5161895701</v>
      </c>
      <c r="E59" s="4">
        <f>C59+_xlfn.FORECAST.ETS.CONFINT(A59,$B$2:$B$49,$A$2:$A$49,0.95,12,1)</f>
        <v>2030093.3646276374</v>
      </c>
    </row>
    <row r="60" spans="1:5" x14ac:dyDescent="0.3">
      <c r="A60" s="13">
        <v>44501</v>
      </c>
      <c r="C60" s="4">
        <f>_xlfn.FORECAST.ETS(A60,$B$2:$B$49,$A$2:$A$49,12,1)</f>
        <v>1887536.5215990662</v>
      </c>
      <c r="D60" s="4">
        <f>C60-_xlfn.FORECAST.ETS.CONFINT(A60,$B$2:$B$49,$A$2:$A$49,0.95,12,1)</f>
        <v>1684493.2188419483</v>
      </c>
      <c r="E60" s="4">
        <f>C60+_xlfn.FORECAST.ETS.CONFINT(A60,$B$2:$B$49,$A$2:$A$49,0.95,12,1)</f>
        <v>2090579.8243561841</v>
      </c>
    </row>
    <row r="61" spans="1:5" x14ac:dyDescent="0.3">
      <c r="A61" s="13">
        <v>44531</v>
      </c>
      <c r="C61" s="4">
        <f>_xlfn.FORECAST.ETS(A61,$B$2:$B$49,$A$2:$A$49,12,1)</f>
        <v>1852197.7788387816</v>
      </c>
      <c r="D61" s="4">
        <f>C61-_xlfn.FORECAST.ETS.CONFINT(A61,$B$2:$B$49,$A$2:$A$49,0.95,12,1)</f>
        <v>1644993.9473162736</v>
      </c>
      <c r="E61" s="4">
        <f>C61+_xlfn.FORECAST.ETS.CONFINT(A61,$B$2:$B$49,$A$2:$A$49,0.95,12,1)</f>
        <v>2059401.6103612897</v>
      </c>
    </row>
    <row r="62" spans="1:5" x14ac:dyDescent="0.3">
      <c r="A62" s="13">
        <v>44562</v>
      </c>
      <c r="C62" s="4">
        <f>_xlfn.FORECAST.ETS(A62,$B$2:$B$49,$A$2:$A$49,12,1)</f>
        <v>1764143.4629040204</v>
      </c>
      <c r="D62" s="4">
        <f>C62-_xlfn.FORECAST.ETS.CONFINT(A62,$B$2:$B$49,$A$2:$A$49,0.95,12,1)</f>
        <v>1552799.1207423948</v>
      </c>
      <c r="E62" s="4">
        <f>C62+_xlfn.FORECAST.ETS.CONFINT(A62,$B$2:$B$49,$A$2:$A$49,0.95,12,1)</f>
        <v>1975487.8050656461</v>
      </c>
    </row>
    <row r="63" spans="1:5" x14ac:dyDescent="0.3">
      <c r="A63" s="13">
        <v>44593</v>
      </c>
      <c r="C63" s="4">
        <f>_xlfn.FORECAST.ETS(A63,$B$2:$B$49,$A$2:$A$49,12,1)</f>
        <v>1889726.7103398677</v>
      </c>
      <c r="D63" s="4">
        <f>C63-_xlfn.FORECAST.ETS.CONFINT(A63,$B$2:$B$49,$A$2:$A$49,0.95,12,1)</f>
        <v>1674321.4315515968</v>
      </c>
      <c r="E63" s="4">
        <f>C63+_xlfn.FORECAST.ETS.CONFINT(A63,$B$2:$B$49,$A$2:$A$49,0.95,12,1)</f>
        <v>2105131.9891281384</v>
      </c>
    </row>
    <row r="64" spans="1:5" x14ac:dyDescent="0.3">
      <c r="A64" s="13">
        <v>44621</v>
      </c>
      <c r="C64" s="4">
        <f t="shared" ref="C64:C68" si="0">_xlfn.FORECAST.ETS(A64,$B$2:$B$49,$A$2:$A$49,12,1)</f>
        <v>1870732.5546399162</v>
      </c>
      <c r="D64" s="4">
        <f t="shared" ref="D64:D68" si="1">C64-_xlfn.FORECAST.ETS.CONFINT(A64,$B$2:$B$49,$A$2:$A$49,0.95,12,1)</f>
        <v>1651311.5187909948</v>
      </c>
      <c r="E64" s="4">
        <f t="shared" ref="E64:E68" si="2">C64+_xlfn.FORECAST.ETS.CONFINT(A64,$B$2:$B$49,$A$2:$A$49,0.95,12,1)</f>
        <v>2090153.5904888376</v>
      </c>
    </row>
    <row r="65" spans="1:5" x14ac:dyDescent="0.3">
      <c r="A65" s="13">
        <v>44652</v>
      </c>
      <c r="C65" s="4">
        <f t="shared" si="0"/>
        <v>1908674.834606776</v>
      </c>
      <c r="D65" s="4">
        <f t="shared" si="1"/>
        <v>1685280.6734844202</v>
      </c>
      <c r="E65" s="4">
        <f t="shared" si="2"/>
        <v>2132068.9957291316</v>
      </c>
    </row>
    <row r="66" spans="1:5" x14ac:dyDescent="0.3">
      <c r="A66" s="13">
        <v>44682</v>
      </c>
      <c r="C66" s="4">
        <f t="shared" si="0"/>
        <v>1935841.9126702733</v>
      </c>
      <c r="D66" s="4">
        <f t="shared" si="1"/>
        <v>1708514.9133678521</v>
      </c>
      <c r="E66" s="4">
        <f t="shared" si="2"/>
        <v>2163168.9119726946</v>
      </c>
    </row>
    <row r="67" spans="1:5" x14ac:dyDescent="0.3">
      <c r="A67" s="13">
        <v>44713</v>
      </c>
      <c r="C67" s="4">
        <f t="shared" si="0"/>
        <v>1978033.7333408936</v>
      </c>
      <c r="D67" s="4">
        <f t="shared" si="1"/>
        <v>1746812.0196801575</v>
      </c>
      <c r="E67" s="4">
        <f t="shared" si="2"/>
        <v>2209255.44700163</v>
      </c>
    </row>
    <row r="68" spans="1:5" x14ac:dyDescent="0.3">
      <c r="A68" s="13">
        <v>44743</v>
      </c>
      <c r="C68" s="4">
        <f t="shared" si="0"/>
        <v>1913841.7212345044</v>
      </c>
      <c r="D68" s="4">
        <f t="shared" si="1"/>
        <v>1678761.4163959187</v>
      </c>
      <c r="E68" s="4">
        <f t="shared" si="2"/>
        <v>2148922.0260730898</v>
      </c>
    </row>
    <row r="69" spans="1:5" x14ac:dyDescent="0.3">
      <c r="A69" s="13">
        <v>44774</v>
      </c>
      <c r="C69" s="4">
        <f>_xlfn.FORECAST.ETS(A69,$B$2:$B$49,$A$2:$A$49,12,1)</f>
        <v>1935435.0493762312</v>
      </c>
      <c r="D69" s="4">
        <f>C69-_xlfn.FORECAST.ETS.CONFINT(A69,$B$2:$B$49,$A$2:$A$49,0.95,12,1)</f>
        <v>1696530.4221573854</v>
      </c>
      <c r="E69" s="4">
        <f>C69+_xlfn.FORECAST.ETS.CONFINT(A69,$B$2:$B$49,$A$2:$A$49,0.95,12,1)</f>
        <v>2174339.6765950769</v>
      </c>
    </row>
    <row r="70" spans="1:5" x14ac:dyDescent="0.3">
      <c r="A70" s="13">
        <v>44805</v>
      </c>
      <c r="C70" s="4">
        <f>_xlfn.FORECAST.ETS(A70,$B$2:$B$49,$A$2:$A$49,12,1)</f>
        <v>1897171.8682079257</v>
      </c>
      <c r="D70" s="4">
        <f>C70-_xlfn.FORECAST.ETS.CONFINT(A70,$B$2:$B$49,$A$2:$A$49,0.95,12,1)</f>
        <v>1654475.4649604212</v>
      </c>
      <c r="E70" s="4">
        <f>C70+_xlfn.FORECAST.ETS.CONFINT(A70,$B$2:$B$49,$A$2:$A$49,0.95,12,1)</f>
        <v>2139868.27145543</v>
      </c>
    </row>
    <row r="71" spans="1:5" x14ac:dyDescent="0.3">
      <c r="A71" s="13">
        <v>44835</v>
      </c>
      <c r="C71" s="4">
        <f t="shared" ref="C71:C72" si="3">_xlfn.FORECAST.ETS(A71,$B$2:$B$49,$A$2:$A$49,12,1)</f>
        <v>1991538.6446067861</v>
      </c>
      <c r="D71" s="4">
        <f t="shared" ref="D71:D72" si="4">C71-_xlfn.FORECAST.ETS.CONFINT(A71,$B$2:$B$49,$A$2:$A$49,0.95,12,1)</f>
        <v>1745081.4085972721</v>
      </c>
      <c r="E71" s="4">
        <f t="shared" ref="E71:E72" si="5">C71+_xlfn.FORECAST.ETS.CONFINT(A71,$B$2:$B$49,$A$2:$A$49,0.95,12,1)</f>
        <v>2237995.8806163003</v>
      </c>
    </row>
    <row r="72" spans="1:5" x14ac:dyDescent="0.3">
      <c r="A72" s="13">
        <v>44866</v>
      </c>
      <c r="C72" s="4">
        <f t="shared" si="3"/>
        <v>2047810.2257972485</v>
      </c>
      <c r="D72" s="4">
        <f t="shared" si="4"/>
        <v>1797621.6054856014</v>
      </c>
      <c r="E72" s="4">
        <f t="shared" si="5"/>
        <v>2297998.8461088957</v>
      </c>
    </row>
    <row r="73" spans="1:5" x14ac:dyDescent="0.3">
      <c r="A73" s="13">
        <v>44896</v>
      </c>
      <c r="C73" s="4">
        <f>_xlfn.FORECAST.ETS(A73,$B$2:$B$49,$A$2:$A$49,12,1)</f>
        <v>2012471.483036964</v>
      </c>
      <c r="D73" s="4">
        <f>C73-_xlfn.FORECAST.ETS.CONFINT(A73,$B$2:$B$49,$A$2:$A$49,0.95,12,1)</f>
        <v>1758579.5305539989</v>
      </c>
      <c r="E73" s="4">
        <f>C73+_xlfn.FORECAST.ETS.CONFINT(A73,$B$2:$B$49,$A$2:$A$49,0.95,12,1)</f>
        <v>2266363.435519929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CF82-CBA1-462D-91CE-C2E69B6BAD1F}">
  <dimension ref="A1:B49"/>
  <sheetViews>
    <sheetView workbookViewId="0">
      <selection activeCell="H17" sqref="H17"/>
    </sheetView>
  </sheetViews>
  <sheetFormatPr defaultRowHeight="14.4" x14ac:dyDescent="0.3"/>
  <cols>
    <col min="1" max="1" width="10.109375" bestFit="1" customWidth="1"/>
  </cols>
  <sheetData>
    <row r="1" spans="1:2" ht="15" thickBot="1" x14ac:dyDescent="0.35">
      <c r="A1" s="1" t="s">
        <v>0</v>
      </c>
      <c r="B1" s="7" t="s">
        <v>1</v>
      </c>
    </row>
    <row r="2" spans="1:2" x14ac:dyDescent="0.3">
      <c r="A2" s="2">
        <v>42736</v>
      </c>
      <c r="B2" s="3">
        <v>1060006</v>
      </c>
    </row>
    <row r="3" spans="1:2" x14ac:dyDescent="0.3">
      <c r="A3" s="2">
        <v>42767</v>
      </c>
      <c r="B3" s="3">
        <v>1016249</v>
      </c>
    </row>
    <row r="4" spans="1:2" x14ac:dyDescent="0.3">
      <c r="A4" s="2">
        <v>42795</v>
      </c>
      <c r="B4" s="3">
        <v>1190842</v>
      </c>
    </row>
    <row r="5" spans="1:2" x14ac:dyDescent="0.3">
      <c r="A5" s="2">
        <v>42826</v>
      </c>
      <c r="B5" s="3">
        <v>1061994</v>
      </c>
    </row>
    <row r="6" spans="1:2" x14ac:dyDescent="0.3">
      <c r="A6" s="2">
        <v>42856</v>
      </c>
      <c r="B6" s="3">
        <v>1175292</v>
      </c>
    </row>
    <row r="7" spans="1:2" x14ac:dyDescent="0.3">
      <c r="A7" s="2">
        <v>42887</v>
      </c>
      <c r="B7" s="3">
        <v>1177291</v>
      </c>
    </row>
    <row r="8" spans="1:2" x14ac:dyDescent="0.3">
      <c r="A8" s="2">
        <v>42917</v>
      </c>
      <c r="B8" s="3">
        <v>1042555</v>
      </c>
    </row>
    <row r="9" spans="1:2" x14ac:dyDescent="0.3">
      <c r="A9" s="2">
        <v>42948</v>
      </c>
      <c r="B9" s="3">
        <v>1198237</v>
      </c>
    </row>
    <row r="10" spans="1:2" x14ac:dyDescent="0.3">
      <c r="A10" s="2">
        <v>42979</v>
      </c>
      <c r="B10" s="3">
        <v>1029982</v>
      </c>
    </row>
    <row r="11" spans="1:2" x14ac:dyDescent="0.3">
      <c r="A11" s="2">
        <v>43009</v>
      </c>
      <c r="B11" s="3">
        <v>1248187</v>
      </c>
    </row>
    <row r="12" spans="1:2" x14ac:dyDescent="0.3">
      <c r="A12" s="2">
        <v>43040</v>
      </c>
      <c r="B12" s="3">
        <v>1252012</v>
      </c>
    </row>
    <row r="13" spans="1:2" x14ac:dyDescent="0.3">
      <c r="A13" s="2">
        <v>43070</v>
      </c>
      <c r="B13" s="3">
        <v>1087343</v>
      </c>
    </row>
    <row r="14" spans="1:2" x14ac:dyDescent="0.3">
      <c r="A14" s="2">
        <v>43101</v>
      </c>
      <c r="B14" s="3">
        <v>1033761</v>
      </c>
    </row>
    <row r="15" spans="1:2" x14ac:dyDescent="0.3">
      <c r="A15" s="2">
        <v>43132</v>
      </c>
      <c r="B15" s="3">
        <v>1178972</v>
      </c>
    </row>
    <row r="16" spans="1:2" x14ac:dyDescent="0.3">
      <c r="A16" s="2">
        <v>43160</v>
      </c>
      <c r="B16" s="3">
        <v>1297593</v>
      </c>
    </row>
    <row r="17" spans="1:2" x14ac:dyDescent="0.3">
      <c r="A17" s="2">
        <v>43191</v>
      </c>
      <c r="B17" s="3">
        <v>1309888</v>
      </c>
    </row>
    <row r="18" spans="1:2" x14ac:dyDescent="0.3">
      <c r="A18" s="2">
        <v>43221</v>
      </c>
      <c r="B18" s="3">
        <v>1302768</v>
      </c>
    </row>
    <row r="19" spans="1:2" x14ac:dyDescent="0.3">
      <c r="A19" s="2">
        <v>43252</v>
      </c>
      <c r="B19" s="3">
        <v>1350600</v>
      </c>
    </row>
    <row r="20" spans="1:2" x14ac:dyDescent="0.3">
      <c r="A20" s="2">
        <v>43282</v>
      </c>
      <c r="B20" s="3">
        <v>1365146</v>
      </c>
    </row>
    <row r="21" spans="1:2" x14ac:dyDescent="0.3">
      <c r="A21" s="2">
        <v>43313</v>
      </c>
      <c r="B21" s="3">
        <v>1258628</v>
      </c>
    </row>
    <row r="22" spans="1:2" x14ac:dyDescent="0.3">
      <c r="A22" s="2">
        <v>43344</v>
      </c>
      <c r="B22" s="3">
        <v>1343181</v>
      </c>
    </row>
    <row r="23" spans="1:2" x14ac:dyDescent="0.3">
      <c r="A23" s="2">
        <v>43374</v>
      </c>
      <c r="B23" s="3">
        <v>1312282</v>
      </c>
    </row>
    <row r="24" spans="1:2" x14ac:dyDescent="0.3">
      <c r="A24" s="2">
        <v>43405</v>
      </c>
      <c r="B24" s="3">
        <v>1420583</v>
      </c>
    </row>
    <row r="25" spans="1:2" x14ac:dyDescent="0.3">
      <c r="A25" s="2">
        <v>43435</v>
      </c>
      <c r="B25" s="3">
        <v>1509642</v>
      </c>
    </row>
    <row r="26" spans="1:2" x14ac:dyDescent="0.3">
      <c r="A26" s="2">
        <v>43466</v>
      </c>
      <c r="B26" s="3">
        <v>1387633</v>
      </c>
    </row>
    <row r="27" spans="1:2" x14ac:dyDescent="0.3">
      <c r="A27" s="2">
        <v>43497</v>
      </c>
      <c r="B27" s="3">
        <v>1499714</v>
      </c>
    </row>
    <row r="28" spans="1:2" x14ac:dyDescent="0.3">
      <c r="A28" s="2">
        <v>43525</v>
      </c>
      <c r="B28" s="3">
        <v>1352381</v>
      </c>
    </row>
    <row r="29" spans="1:2" x14ac:dyDescent="0.3">
      <c r="A29" s="2">
        <v>43556</v>
      </c>
      <c r="B29" s="3">
        <v>1424287</v>
      </c>
    </row>
    <row r="30" spans="1:2" x14ac:dyDescent="0.3">
      <c r="A30" s="2">
        <v>43586</v>
      </c>
      <c r="B30" s="3">
        <v>1485661</v>
      </c>
    </row>
    <row r="31" spans="1:2" x14ac:dyDescent="0.3">
      <c r="A31" s="2">
        <v>43617</v>
      </c>
      <c r="B31" s="3">
        <v>1465237</v>
      </c>
    </row>
    <row r="32" spans="1:2" x14ac:dyDescent="0.3">
      <c r="A32" s="2">
        <v>43647</v>
      </c>
      <c r="B32" s="3">
        <v>1461197</v>
      </c>
    </row>
    <row r="33" spans="1:2" x14ac:dyDescent="0.3">
      <c r="A33" s="2">
        <v>43678</v>
      </c>
      <c r="B33" s="3">
        <v>1540648</v>
      </c>
    </row>
    <row r="34" spans="1:2" x14ac:dyDescent="0.3">
      <c r="A34" s="2">
        <v>43709</v>
      </c>
      <c r="B34" s="3">
        <v>1557424</v>
      </c>
    </row>
    <row r="35" spans="1:2" x14ac:dyDescent="0.3">
      <c r="A35" s="2">
        <v>43739</v>
      </c>
      <c r="B35" s="3">
        <v>1711023</v>
      </c>
    </row>
    <row r="36" spans="1:2" x14ac:dyDescent="0.3">
      <c r="A36" s="2">
        <v>43770</v>
      </c>
      <c r="B36" s="3">
        <v>1578509</v>
      </c>
    </row>
    <row r="37" spans="1:2" x14ac:dyDescent="0.3">
      <c r="A37" s="2">
        <v>43800</v>
      </c>
      <c r="B37" s="3">
        <v>1464080</v>
      </c>
    </row>
    <row r="38" spans="1:2" x14ac:dyDescent="0.3">
      <c r="A38" s="2">
        <v>43831</v>
      </c>
      <c r="B38" s="3">
        <v>1554282</v>
      </c>
    </row>
    <row r="39" spans="1:2" x14ac:dyDescent="0.3">
      <c r="A39" s="2">
        <v>43862</v>
      </c>
      <c r="B39" s="3">
        <v>1485026</v>
      </c>
    </row>
    <row r="40" spans="1:2" x14ac:dyDescent="0.3">
      <c r="A40" s="2">
        <v>43891</v>
      </c>
      <c r="B40" s="3">
        <v>1608037</v>
      </c>
    </row>
    <row r="41" spans="1:2" x14ac:dyDescent="0.3">
      <c r="A41" s="2">
        <v>43922</v>
      </c>
      <c r="B41" s="3">
        <v>1549038</v>
      </c>
    </row>
    <row r="42" spans="1:2" x14ac:dyDescent="0.3">
      <c r="A42" s="2">
        <v>43952</v>
      </c>
      <c r="B42" s="3">
        <v>1613646</v>
      </c>
    </row>
    <row r="43" spans="1:2" x14ac:dyDescent="0.3">
      <c r="A43" s="2">
        <v>43983</v>
      </c>
      <c r="B43" s="3">
        <v>1577889</v>
      </c>
    </row>
    <row r="44" spans="1:2" x14ac:dyDescent="0.3">
      <c r="A44" s="2">
        <v>44013</v>
      </c>
      <c r="B44" s="3">
        <v>1615970</v>
      </c>
    </row>
    <row r="45" spans="1:2" x14ac:dyDescent="0.3">
      <c r="A45" s="2">
        <v>44044</v>
      </c>
      <c r="B45" s="3">
        <v>1686289</v>
      </c>
    </row>
    <row r="46" spans="1:2" x14ac:dyDescent="0.3">
      <c r="A46" s="2">
        <v>44075</v>
      </c>
      <c r="B46" s="3">
        <v>1699802</v>
      </c>
    </row>
    <row r="47" spans="1:2" x14ac:dyDescent="0.3">
      <c r="A47" s="2">
        <v>44105</v>
      </c>
      <c r="B47" s="3">
        <v>1676483</v>
      </c>
    </row>
    <row r="48" spans="1:2" x14ac:dyDescent="0.3">
      <c r="A48" s="2">
        <v>44136</v>
      </c>
      <c r="B48" s="3">
        <v>1741271</v>
      </c>
    </row>
    <row r="49" spans="1:2" x14ac:dyDescent="0.3">
      <c r="A49" s="2">
        <v>44166</v>
      </c>
      <c r="B49" s="3">
        <v>1606715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Выручка (тенденция и пр.линейн)</vt:lpstr>
      <vt:lpstr>Выручка (рост)</vt:lpstr>
      <vt:lpstr>Сезонность</vt:lpstr>
      <vt:lpstr>Лист2</vt:lpstr>
      <vt:lpstr>Лист_Прогноза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2024-02-16T15:36:05Z</dcterms:modified>
</cp:coreProperties>
</file>