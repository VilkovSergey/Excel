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Исходные\"/>
    </mc:Choice>
  </mc:AlternateContent>
  <xr:revisionPtr revIDLastSave="0" documentId="13_ncr:1_{C37AD7F2-CB2E-4982-8DF4-44EABC61DB8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Поиск решения" sheetId="2" r:id="rId1"/>
  </sheets>
  <definedNames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'Поиск решения'!$B$10</definedName>
    <definedName name="solver_lhs2" localSheetId="0" hidden="1">'Поиск решения'!$B$11</definedName>
    <definedName name="solver_lhs3" localSheetId="0" hidden="1">'Поиск решения'!$B$9</definedName>
    <definedName name="solver_lhs4" localSheetId="0" hidden="1">'Поиск решения'!$B$9:$B$11</definedName>
    <definedName name="solver_lhs5" localSheetId="0" hidden="1">'Поиск решения'!$I$4</definedName>
    <definedName name="solver_lhs6" localSheetId="0" hidden="1">'Поиск решения'!$I$5</definedName>
    <definedName name="solver_lhs7" localSheetId="0" hidden="1">'Поиск решения'!$I$6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4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'Поиск решения'!$E$10</definedName>
    <definedName name="solver_rhs2" localSheetId="0" hidden="1">'Поиск решения'!$E$11</definedName>
    <definedName name="solver_rhs3" localSheetId="0" hidden="1">'Поиск решения'!$E$9</definedName>
    <definedName name="solver_rhs4" localSheetId="0" hidden="1">целое</definedName>
    <definedName name="solver_rhs5" localSheetId="0" hidden="1">'Поиск решения'!$J$4</definedName>
    <definedName name="solver_rhs6" localSheetId="0" hidden="1">'Поиск решения'!$J$5</definedName>
    <definedName name="solver_rhs7" localSheetId="0" hidden="1">'Поиск решения'!$J$6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11" i="2"/>
  <c r="C9" i="2"/>
  <c r="I6" i="2"/>
  <c r="I5" i="2"/>
  <c r="I4" i="2"/>
  <c r="B13" i="2" l="1"/>
</calcChain>
</file>

<file path=xl/sharedStrings.xml><?xml version="1.0" encoding="utf-8"?>
<sst xmlns="http://schemas.openxmlformats.org/spreadsheetml/2006/main" count="20" uniqueCount="14">
  <si>
    <t>Выручка</t>
  </si>
  <si>
    <t>Остатки</t>
  </si>
  <si>
    <t>Товар A</t>
  </si>
  <si>
    <t>Товар B</t>
  </si>
  <si>
    <t>Товар C</t>
  </si>
  <si>
    <t>Материал X</t>
  </si>
  <si>
    <t>Материал Z</t>
  </si>
  <si>
    <t>Материал Y</t>
  </si>
  <si>
    <t>Потребность в материалах на 1 ед.</t>
  </si>
  <si>
    <t>Цена</t>
  </si>
  <si>
    <t>Расход</t>
  </si>
  <si>
    <t>Производство</t>
  </si>
  <si>
    <t>Общая выручка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</si>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</sst>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9638-3B20-458E-955D-C0E5ECE7F59C}">
  <dimension ref="A2:J13"/>
  <sheetViews>
    <sheetView tabSelected="1" zoomScale="115" zoomScaleNormal="115" workbookViewId="0">
      <selection activeCell="B13" sqref="B13"/>
    </sheetView>
  </sheetViews>
  <sheetFormatPr defaultRowHeight="14.4" x14ac:dyDescent="0.3"/>
  <cols>
    <col min="1" max="1" width="15.21875" bestFit="1" customWidth="1"/>
    <col min="2" max="2" width="13.88671875" bestFit="1" customWidth="1"/>
    <col min="3" max="3" width="12.6640625" bestFit="1" customWidth="1"/>
    <col min="4" max="4" width="11.5546875" bestFit="1" customWidth="1"/>
    <col min="5" max="5" width="11.44140625" bestFit="1" customWidth="1"/>
    <col min="8" max="8" width="11.6640625" bestFit="1" customWidth="1"/>
    <col min="9" max="9" width="12.6640625" bestFit="1" customWidth="1"/>
  </cols>
  <sheetData>
    <row r="2" spans="1:10" x14ac:dyDescent="0.3">
      <c r="B2" s="4" t="s">
        <v>8</v>
      </c>
      <c r="C2" s="4"/>
      <c r="D2" s="4"/>
    </row>
    <row r="3" spans="1:10" ht="15" thickBot="1" x14ac:dyDescent="0.35">
      <c r="B3" s="1" t="s">
        <v>5</v>
      </c>
      <c r="C3" s="1" t="s">
        <v>7</v>
      </c>
      <c r="D3" s="1" t="s">
        <v>6</v>
      </c>
      <c r="E3" s="1" t="s">
        <v>9</v>
      </c>
      <c r="I3" s="1" t="s">
        <v>10</v>
      </c>
      <c r="J3" s="1" t="s">
        <v>1</v>
      </c>
    </row>
    <row r="4" spans="1:10" x14ac:dyDescent="0.3">
      <c r="A4" t="s">
        <v>2</v>
      </c>
      <c r="B4" s="2">
        <v>7</v>
      </c>
      <c r="C4" s="2">
        <v>4</v>
      </c>
      <c r="D4" s="2">
        <v>2</v>
      </c>
      <c r="E4" s="2">
        <v>350</v>
      </c>
      <c r="H4" t="s">
        <v>5</v>
      </c>
      <c r="I4" s="2">
        <f>SUMPRODUCT(B4:B6,$B$9:$B$11)</f>
        <v>2900</v>
      </c>
      <c r="J4" s="3">
        <v>2900</v>
      </c>
    </row>
    <row r="5" spans="1:10" x14ac:dyDescent="0.3">
      <c r="A5" t="s">
        <v>3</v>
      </c>
      <c r="B5" s="2">
        <v>12</v>
      </c>
      <c r="C5" s="2">
        <v>11</v>
      </c>
      <c r="D5" s="2">
        <v>3</v>
      </c>
      <c r="E5" s="2">
        <v>600</v>
      </c>
      <c r="H5" t="s">
        <v>7</v>
      </c>
      <c r="I5" s="2">
        <f>SUMPRODUCT(C4:C6,$B$9:$B$11)</f>
        <v>1750</v>
      </c>
      <c r="J5" s="3">
        <v>1750</v>
      </c>
    </row>
    <row r="6" spans="1:10" x14ac:dyDescent="0.3">
      <c r="A6" t="s">
        <v>4</v>
      </c>
      <c r="B6" s="2">
        <v>20</v>
      </c>
      <c r="C6" s="2">
        <v>5</v>
      </c>
      <c r="D6" s="2">
        <v>2</v>
      </c>
      <c r="E6" s="2">
        <v>450</v>
      </c>
      <c r="H6" t="s">
        <v>6</v>
      </c>
      <c r="I6" s="2">
        <f>SUMPRODUCT(D4:D6,$B$9:$B$11)</f>
        <v>600</v>
      </c>
      <c r="J6" s="3">
        <v>653</v>
      </c>
    </row>
    <row r="8" spans="1:10" ht="15" thickBot="1" x14ac:dyDescent="0.35">
      <c r="B8" s="1" t="s">
        <v>11</v>
      </c>
      <c r="C8" s="1" t="s">
        <v>0</v>
      </c>
      <c r="E8" s="1" t="s">
        <v>13</v>
      </c>
    </row>
    <row r="9" spans="1:10" x14ac:dyDescent="0.3">
      <c r="A9" t="s">
        <v>2</v>
      </c>
      <c r="B9" s="2">
        <v>100</v>
      </c>
      <c r="C9" s="3">
        <f>B9*E4</f>
        <v>35000</v>
      </c>
      <c r="E9" s="2">
        <v>70</v>
      </c>
    </row>
    <row r="10" spans="1:10" x14ac:dyDescent="0.3">
      <c r="A10" t="s">
        <v>3</v>
      </c>
      <c r="B10" s="2">
        <v>100</v>
      </c>
      <c r="C10" s="3">
        <f t="shared" ref="C10:C11" si="0">B10*E5</f>
        <v>60000</v>
      </c>
      <c r="E10" s="2">
        <v>40</v>
      </c>
    </row>
    <row r="11" spans="1:10" x14ac:dyDescent="0.3">
      <c r="A11" t="s">
        <v>4</v>
      </c>
      <c r="B11" s="2">
        <v>50</v>
      </c>
      <c r="C11" s="3">
        <f t="shared" si="0"/>
        <v>22500</v>
      </c>
      <c r="E11" s="2">
        <v>50</v>
      </c>
    </row>
    <row r="13" spans="1:10" x14ac:dyDescent="0.3">
      <c r="A13" t="s">
        <v>12</v>
      </c>
      <c r="B13" s="3">
        <f>SUM(C9:C11)</f>
        <v>117500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2021-02-10T18:15:40Z</dcterms:modified>
</cp:coreProperties>
</file>