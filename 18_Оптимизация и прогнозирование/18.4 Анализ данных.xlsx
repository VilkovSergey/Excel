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8\"/>
    </mc:Choice>
  </mc:AlternateContent>
  <xr:revisionPtr revIDLastSave="0" documentId="13_ncr:1_{CEB31E28-A5FD-4666-A787-A4176FBD0E82}" xr6:coauthVersionLast="45" xr6:coauthVersionMax="45" xr10:uidLastSave="{00000000-0000-0000-0000-000000000000}"/>
  <bookViews>
    <workbookView xWindow="-96" yWindow="-96" windowWidth="23232" windowHeight="12552" activeTab="2" xr2:uid="{00000000-000D-0000-FFFF-FFFF00000000}"/>
  </bookViews>
  <sheets>
    <sheet name="Скользящее" sheetId="1" r:id="rId1"/>
    <sheet name="Гистограмма" sheetId="4" r:id="rId2"/>
    <sheet name="Описательная статистика" sheetId="5" r:id="rId3"/>
    <sheet name="Гистограмма(данные)" sheetId="2" r:id="rId4"/>
  </sheets>
  <definedNames>
    <definedName name="solver_eng" localSheetId="3" hidden="1">1</definedName>
    <definedName name="solver_eng" localSheetId="0" hidden="1">1</definedName>
    <definedName name="solver_neg" localSheetId="3" hidden="1">1</definedName>
    <definedName name="solver_neg" localSheetId="0" hidden="1">1</definedName>
    <definedName name="solver_num" localSheetId="3" hidden="1">0</definedName>
    <definedName name="solver_num" localSheetId="0" hidden="1">0</definedName>
    <definedName name="solver_opt" localSheetId="3" hidden="1">'Гистограмма(данные)'!$A$6</definedName>
    <definedName name="solver_opt" localSheetId="0" hidden="1">Скользящее!$B$2</definedName>
    <definedName name="solver_typ" localSheetId="3" hidden="1">1</definedName>
    <definedName name="solver_typ" localSheetId="0" hidden="1">1</definedName>
    <definedName name="solver_val" localSheetId="3" hidden="1">0</definedName>
    <definedName name="solver_val" localSheetId="0" hidden="1">0</definedName>
    <definedName name="solver_ver" localSheetId="3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</calcChain>
</file>

<file path=xl/sharedStrings.xml><?xml version="1.0" encoding="utf-8"?>
<sst xmlns="http://schemas.openxmlformats.org/spreadsheetml/2006/main" count="107" uniqueCount="107">
  <si>
    <t>Период</t>
  </si>
  <si>
    <t>Выручка</t>
  </si>
  <si>
    <t>УРОВЕНЬ ДЕНЕЖНЫХ ДОХОДОВ НАСЕЛЕНИЯ В ЦЕЛОМ ПО РОССИИ И ПО СУБЪЕКТАМ РОССИЙСКОЙ ФЕДЕРАЦИИ ЗА 2018 ГОД</t>
  </si>
  <si>
    <t>Денежные доходы в расчете на душу населения, рублей в месяц</t>
  </si>
  <si>
    <t xml:space="preserve">Белгородская область  </t>
  </si>
  <si>
    <t xml:space="preserve">Брянская область 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</si>
  <si>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</si>
  <si>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</si>
  <si>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</si>
  <si>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</si>
  <si>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</si>
  <si>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</si>
  <si>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</si>
  <si>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</si>
  <si>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</si>
  <si>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</si>
  <si>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</si>
  <si>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</si>
  <si>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</si>
  <si>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</si>
  <si>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</si>
  <si>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г.Москва</t>
  </si>
  <si>
    <t>Республика Карелия</t>
  </si>
  <si>
    <t>Республика Коми</t>
  </si>
  <si>
    <t xml:space="preserve">Архангельская область </t>
  </si>
  <si>
    <t xml:space="preserve">    Ненецкий авт.округ</t>
  </si>
  <si>
    <t xml:space="preserve">Архангельская область (без НАО)  </t>
  </si>
  <si>
    <t>Вологодская область</t>
  </si>
  <si>
    <t>Калининградская область</t>
  </si>
  <si>
    <t xml:space="preserve">Ленинградская область </t>
  </si>
  <si>
    <t xml:space="preserve">Мурманская область   </t>
  </si>
  <si>
    <t>Новгородская область</t>
  </si>
  <si>
    <t xml:space="preserve">Псковская область   </t>
  </si>
  <si>
    <t>г.Санкт-Петербург</t>
  </si>
  <si>
    <t xml:space="preserve">Республика Адыгея 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</si>
  <si>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</si>
  <si>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</si>
  <si>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</si>
  <si>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</si>
  <si>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</si>
  <si>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 xml:space="preserve">Ростовская область </t>
  </si>
  <si>
    <t>г.Севастополь</t>
  </si>
  <si>
    <t>Республика Дагестан</t>
  </si>
  <si>
    <t>Республика Ингушетия</t>
  </si>
  <si>
    <t>Кабардино-Балкарская  Республика</t>
  </si>
  <si>
    <t>Карачаево-Черкесская  Республика</t>
  </si>
  <si>
    <t>Республика  Северная Осетия - Алания</t>
  </si>
  <si>
    <t>Чеченская Республика</t>
  </si>
  <si>
    <t>Ставропольский край</t>
  </si>
  <si>
    <t>Республика Башкортостан</t>
  </si>
  <si>
    <t xml:space="preserve">Республика Марий Эл  </t>
  </si>
  <si>
    <t>Республика Мордовия</t>
  </si>
  <si>
    <t>Республика Татарстан</t>
  </si>
  <si>
    <t>Удмуртская Республика</t>
  </si>
  <si>
    <t xml:space="preserve">Чувашская Республика </t>
  </si>
  <si>
    <t xml:space="preserve">Пермский край </t>
  </si>
  <si>
    <t>Кировская область</t>
  </si>
  <si>
    <t xml:space="preserve">Нижегородская область </t>
  </si>
  <si>
    <t>Оренбургская область</t>
  </si>
  <si>
    <t xml:space="preserve">Пензенская область 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</si>
  <si>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</si>
  <si>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</si>
  <si>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</si>
  <si>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</si>
  <si>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</si>
  <si>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 xml:space="preserve">    Ханты-Мансийский авт.округ</t>
  </si>
  <si>
    <t xml:space="preserve">    Ямало-Ненецкий авт.округ</t>
  </si>
  <si>
    <t>Тюменская область (без авт.округов)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</si>
  <si>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</si>
  <si>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</si>
  <si>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</si>
  <si>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</si>
  <si>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</si>
  <si>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 xml:space="preserve">Красноярский край   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</si>
  <si>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</si>
  <si>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</si>
  <si>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</si>
  <si>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</si>
  <si>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</si>
  <si>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</si>
  <si>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</si>
  <si>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</si>
  <si>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 xml:space="preserve">Камчатский край   </t>
  </si>
  <si>
    <t>Приморский край</t>
  </si>
  <si>
    <t xml:space="preserve">Хабаровский край </t>
  </si>
  <si>
    <t>Амурская область</t>
  </si>
  <si>
    <t xml:space="preserve">Магаданская область </t>
  </si>
  <si>
    <t xml:space="preserve">Сахалинская область   </t>
  </si>
  <si>
    <t>Еврейская  авт.область</t>
  </si>
  <si>
    <t>Чукотский  авт.округ</t>
  </si>
  <si>
    <t>Карман</t>
  </si>
  <si>
    <t>Еще</t>
  </si>
  <si>
    <t>Частота</t>
  </si>
  <si>
    <t>Столбец1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</si>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</sst>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0">
    <xf numFmtId="0" fontId="0" fillId="0" borderId="0" xfId="0"/>
    <xf numFmtId="0" fontId="2" fillId="0" borderId="1" xfId="2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3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6" fillId="2" borderId="5" xfId="0" applyFont="1" applyFill="1" applyBorder="1"/>
    <xf numFmtId="164" fontId="7" fillId="2" borderId="5" xfId="1" applyNumberFormat="1" applyFont="1" applyFill="1" applyBorder="1" applyAlignment="1">
      <alignment horizontal="center"/>
    </xf>
    <xf numFmtId="164" fontId="0" fillId="0" borderId="0" xfId="0" applyNumberFormat="1"/>
    <xf numFmtId="10" fontId="0" fillId="0" borderId="0" xfId="0" applyNumberFormat="1"/>
    <xf numFmtId="0" fontId="0" fillId="0" borderId="0" xfId="0" applyFill="1" applyBorder="1" applyAlignment="1"/>
    <xf numFmtId="0" fontId="0" fillId="0" borderId="8" xfId="0" applyFill="1" applyBorder="1" applyAlignment="1"/>
    <xf numFmtId="0" fontId="8" fillId="0" borderId="9" xfId="0" applyFont="1" applyFill="1" applyBorder="1" applyAlignment="1">
      <alignment horizontal="center"/>
    </xf>
    <xf numFmtId="164" fontId="0" fillId="0" borderId="0" xfId="0" applyNumberFormat="1" applyFill="1" applyBorder="1" applyAlignment="1"/>
    <xf numFmtId="0" fontId="8" fillId="0" borderId="9" xfId="0" applyFont="1" applyFill="1" applyBorder="1" applyAlignment="1">
      <alignment horizontal="centerContinuous"/>
    </xf>
    <xf numFmtId="0" fontId="5" fillId="3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 wrapText="1"/>
    </xf>
  </cellXfs>
  <cellStyles count="3">
    <cellStyle name="Заголовок 3" xfId="2" builtinId="1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Скользящее среднее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Прогноз</c:v>
          </c:tx>
          <c:val>
            <c:numRef>
              <c:f>Скользящее!$C$1:$C$48</c:f>
              <c:numCache>
                <c:formatCode>General</c:formatCode>
                <c:ptCount val="48"/>
                <c:pt idx="4" formatCode="#,##0">
                  <c:v>231534.6</c:v>
                </c:pt>
                <c:pt idx="5" formatCode="#,##0">
                  <c:v>209868.2</c:v>
                </c:pt>
                <c:pt idx="6" formatCode="#,##0">
                  <c:v>179463.4</c:v>
                </c:pt>
                <c:pt idx="7" formatCode="#,##0">
                  <c:v>159906.6</c:v>
                </c:pt>
                <c:pt idx="8" formatCode="#,##0">
                  <c:v>185191.4</c:v>
                </c:pt>
                <c:pt idx="9" formatCode="#,##0">
                  <c:v>187786</c:v>
                </c:pt>
                <c:pt idx="10" formatCode="#,##0">
                  <c:v>194013.2</c:v>
                </c:pt>
                <c:pt idx="11" formatCode="#,##0">
                  <c:v>204263.2</c:v>
                </c:pt>
                <c:pt idx="12" formatCode="#,##0">
                  <c:v>228857.2</c:v>
                </c:pt>
                <c:pt idx="13" formatCode="#,##0">
                  <c:v>202580.8</c:v>
                </c:pt>
                <c:pt idx="14" formatCode="#,##0">
                  <c:v>195178.2</c:v>
                </c:pt>
                <c:pt idx="15" formatCode="#,##0">
                  <c:v>203026.4</c:v>
                </c:pt>
                <c:pt idx="16" formatCode="#,##0">
                  <c:v>203593.4</c:v>
                </c:pt>
                <c:pt idx="17" formatCode="#,##0">
                  <c:v>191920.4</c:v>
                </c:pt>
                <c:pt idx="18" formatCode="#,##0">
                  <c:v>211212.2</c:v>
                </c:pt>
                <c:pt idx="19" formatCode="#,##0">
                  <c:v>203265.8</c:v>
                </c:pt>
                <c:pt idx="20" formatCode="#,##0">
                  <c:v>217977.4</c:v>
                </c:pt>
                <c:pt idx="21" formatCode="#,##0">
                  <c:v>233835.8</c:v>
                </c:pt>
                <c:pt idx="22" formatCode="#,##0">
                  <c:v>221851.4</c:v>
                </c:pt>
                <c:pt idx="23" formatCode="#,##0">
                  <c:v>244685.4</c:v>
                </c:pt>
                <c:pt idx="24" formatCode="#,##0">
                  <c:v>243018</c:v>
                </c:pt>
                <c:pt idx="25" formatCode="#,##0">
                  <c:v>203011.6</c:v>
                </c:pt>
                <c:pt idx="26" formatCode="#,##0">
                  <c:v>181372.6</c:v>
                </c:pt>
                <c:pt idx="27" formatCode="#,##0">
                  <c:v>215096.6</c:v>
                </c:pt>
                <c:pt idx="28" formatCode="#,##0">
                  <c:v>187975.6</c:v>
                </c:pt>
                <c:pt idx="29" formatCode="#,##0">
                  <c:v>189900.4</c:v>
                </c:pt>
                <c:pt idx="30" formatCode="#,##0">
                  <c:v>213004.6</c:v>
                </c:pt>
                <c:pt idx="31" formatCode="#,##0">
                  <c:v>207930.8</c:v>
                </c:pt>
                <c:pt idx="32" formatCode="#,##0">
                  <c:v>197395.4</c:v>
                </c:pt>
                <c:pt idx="33" formatCode="#,##0">
                  <c:v>204088.6</c:v>
                </c:pt>
                <c:pt idx="34" formatCode="#,##0">
                  <c:v>215412.8</c:v>
                </c:pt>
                <c:pt idx="35" formatCode="#,##0">
                  <c:v>230017.2</c:v>
                </c:pt>
                <c:pt idx="36" formatCode="#,##0">
                  <c:v>254706</c:v>
                </c:pt>
                <c:pt idx="37" formatCode="#,##0">
                  <c:v>233190.39999999999</c:v>
                </c:pt>
                <c:pt idx="38" formatCode="#,##0">
                  <c:v>254769.4</c:v>
                </c:pt>
                <c:pt idx="39" formatCode="#,##0">
                  <c:v>240560.8</c:v>
                </c:pt>
                <c:pt idx="40" formatCode="#,##0">
                  <c:v>247187.8</c:v>
                </c:pt>
                <c:pt idx="41" formatCode="#,##0">
                  <c:v>232592.6</c:v>
                </c:pt>
                <c:pt idx="42" formatCode="#,##0">
                  <c:v>266664.8</c:v>
                </c:pt>
                <c:pt idx="43" formatCode="#,##0">
                  <c:v>247872.4</c:v>
                </c:pt>
                <c:pt idx="44" formatCode="#,##0">
                  <c:v>248188.4</c:v>
                </c:pt>
                <c:pt idx="45" formatCode="#,##0">
                  <c:v>205718</c:v>
                </c:pt>
                <c:pt idx="46" formatCode="#,##0">
                  <c:v>234194.2</c:v>
                </c:pt>
                <c:pt idx="47" formatCode="#,##0">
                  <c:v>239589.4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33-4D9E-8134-FAB9C17C7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993168"/>
        <c:axId val="12479998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Фактический</c:v>
                </c:tx>
                <c:val>
                  <c:numRef>
                    <c:extLst>
                      <c:ext uri="{02D57815-91ED-43cb-92C2-25804820EDAC}">
                        <c15:formulaRef>
                          <c15:sqref>Скользящее!$B$2:$B$49</c15:sqref>
                        </c15:formulaRef>
                      </c:ext>
                    </c:extLst>
                    <c:numCache>
                      <c:formatCode>#,##0</c:formatCode>
                      <c:ptCount val="48"/>
                      <c:pt idx="0">
                        <c:v>271739</c:v>
                      </c:pt>
                      <c:pt idx="1">
                        <c:v>274599</c:v>
                      </c:pt>
                      <c:pt idx="2">
                        <c:v>233636</c:v>
                      </c:pt>
                      <c:pt idx="3">
                        <c:v>105228</c:v>
                      </c:pt>
                      <c:pt idx="4">
                        <c:v>272471</c:v>
                      </c:pt>
                      <c:pt idx="5">
                        <c:v>163407</c:v>
                      </c:pt>
                      <c:pt idx="6">
                        <c:v>122575</c:v>
                      </c:pt>
                      <c:pt idx="7">
                        <c:v>135852</c:v>
                      </c:pt>
                      <c:pt idx="8">
                        <c:v>231652</c:v>
                      </c:pt>
                      <c:pt idx="9">
                        <c:v>285444</c:v>
                      </c:pt>
                      <c:pt idx="10">
                        <c:v>194543</c:v>
                      </c:pt>
                      <c:pt idx="11">
                        <c:v>173825</c:v>
                      </c:pt>
                      <c:pt idx="12">
                        <c:v>258822</c:v>
                      </c:pt>
                      <c:pt idx="13">
                        <c:v>100270</c:v>
                      </c:pt>
                      <c:pt idx="14">
                        <c:v>248431</c:v>
                      </c:pt>
                      <c:pt idx="15">
                        <c:v>233784</c:v>
                      </c:pt>
                      <c:pt idx="16">
                        <c:v>176660</c:v>
                      </c:pt>
                      <c:pt idx="17">
                        <c:v>200457</c:v>
                      </c:pt>
                      <c:pt idx="18">
                        <c:v>196729</c:v>
                      </c:pt>
                      <c:pt idx="19">
                        <c:v>208699</c:v>
                      </c:pt>
                      <c:pt idx="20">
                        <c:v>307342</c:v>
                      </c:pt>
                      <c:pt idx="21">
                        <c:v>255952</c:v>
                      </c:pt>
                      <c:pt idx="22">
                        <c:v>140535</c:v>
                      </c:pt>
                      <c:pt idx="23">
                        <c:v>310899</c:v>
                      </c:pt>
                      <c:pt idx="24">
                        <c:v>200362</c:v>
                      </c:pt>
                      <c:pt idx="25">
                        <c:v>107310</c:v>
                      </c:pt>
                      <c:pt idx="26">
                        <c:v>147757</c:v>
                      </c:pt>
                      <c:pt idx="27">
                        <c:v>309155</c:v>
                      </c:pt>
                      <c:pt idx="28">
                        <c:v>175294</c:v>
                      </c:pt>
                      <c:pt idx="29">
                        <c:v>209986</c:v>
                      </c:pt>
                      <c:pt idx="30">
                        <c:v>222831</c:v>
                      </c:pt>
                      <c:pt idx="31">
                        <c:v>122388</c:v>
                      </c:pt>
                      <c:pt idx="32">
                        <c:v>256478</c:v>
                      </c:pt>
                      <c:pt idx="33">
                        <c:v>208760</c:v>
                      </c:pt>
                      <c:pt idx="34">
                        <c:v>266607</c:v>
                      </c:pt>
                      <c:pt idx="35">
                        <c:v>295853</c:v>
                      </c:pt>
                      <c:pt idx="36">
                        <c:v>245832</c:v>
                      </c:pt>
                      <c:pt idx="37">
                        <c:v>148900</c:v>
                      </c:pt>
                      <c:pt idx="38">
                        <c:v>316655</c:v>
                      </c:pt>
                      <c:pt idx="39">
                        <c:v>195564</c:v>
                      </c:pt>
                      <c:pt idx="40">
                        <c:v>328988</c:v>
                      </c:pt>
                      <c:pt idx="41">
                        <c:v>172856</c:v>
                      </c:pt>
                      <c:pt idx="42">
                        <c:v>319261</c:v>
                      </c:pt>
                      <c:pt idx="43">
                        <c:v>222693</c:v>
                      </c:pt>
                      <c:pt idx="44">
                        <c:v>197144</c:v>
                      </c:pt>
                      <c:pt idx="45">
                        <c:v>116636</c:v>
                      </c:pt>
                      <c:pt idx="46">
                        <c:v>315237</c:v>
                      </c:pt>
                      <c:pt idx="47">
                        <c:v>346237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A33-4D9E-8134-FAB9C17C7D89}"/>
                  </c:ext>
                </c:extLst>
              </c15:ser>
            </c15:filteredLineSeries>
          </c:ext>
        </c:extLst>
      </c:lineChart>
      <c:catAx>
        <c:axId val="1247993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Точка данных</a:t>
                </a:r>
              </a:p>
            </c:rich>
          </c:tx>
          <c:overlay val="0"/>
        </c:title>
        <c:majorTickMark val="out"/>
        <c:minorTickMark val="none"/>
        <c:tickLblPos val="nextTo"/>
        <c:crossAx val="1247999824"/>
        <c:crosses val="autoZero"/>
        <c:auto val="1"/>
        <c:lblAlgn val="ctr"/>
        <c:lblOffset val="100"/>
        <c:noMultiLvlLbl val="0"/>
      </c:catAx>
      <c:valAx>
        <c:axId val="12479998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Значение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79931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Гистограмма!$A$2:$A$6</c:f>
              <c:strCache>
                <c:ptCount val="5"/>
                <c:pt idx="0">
                  <c:v> 20 000 </c:v>
                </c:pt>
                <c:pt idx="1">
                  <c:v> 30 000 </c:v>
                </c:pt>
                <c:pt idx="2">
                  <c:v> 40 000 </c:v>
                </c:pt>
                <c:pt idx="3">
                  <c:v> 50 000 </c:v>
                </c:pt>
                <c:pt idx="4">
                  <c:v>Еще</c:v>
                </c:pt>
              </c:strCache>
            </c:strRef>
          </c:cat>
          <c:val>
            <c:numRef>
              <c:f>Гистограмма!$B$2:$B$6</c:f>
              <c:numCache>
                <c:formatCode>General</c:formatCode>
                <c:ptCount val="5"/>
                <c:pt idx="0">
                  <c:v>8</c:v>
                </c:pt>
                <c:pt idx="1">
                  <c:v>54</c:v>
                </c:pt>
                <c:pt idx="2">
                  <c:v>13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32-47E7-A10E-E9F923E45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8024784"/>
        <c:axId val="1248034768"/>
      </c:barChart>
      <c:catAx>
        <c:axId val="1248024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8034768"/>
        <c:crosses val="autoZero"/>
        <c:auto val="1"/>
        <c:lblAlgn val="ctr"/>
        <c:lblOffset val="100"/>
        <c:noMultiLvlLbl val="0"/>
      </c:catAx>
      <c:valAx>
        <c:axId val="1248034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8024784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1</xdr:row>
      <xdr:rowOff>102870</xdr:rowOff>
    </xdr:from>
    <xdr:to>
      <xdr:col>14</xdr:col>
      <xdr:colOff>202223</xdr:colOff>
      <xdr:row>19</xdr:row>
      <xdr:rowOff>134815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EA26CA6-ADF3-4244-8A31-646A9CB01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255270</xdr:colOff>
      <xdr:row>0</xdr:row>
      <xdr:rowOff>179070</xdr:rowOff>
    </xdr:from>
    <xdr:to>
      <xdr:col>10</xdr:col>
      <xdr:colOff>499110</xdr:colOff>
      <xdr:row>17</xdr:row>
      <xdr:rowOff>160020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B44B440-87BE-439C-8A24-4135E511C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zoomScale="130" zoomScaleNormal="130" workbookViewId="0">
      <pane ySplit="1" topLeftCell="A2" activePane="bottomLeft" state="frozen"/>
      <selection pane="bottomLeft" activeCell="C6" sqref="C6"/>
    </sheetView>
  </sheetViews>
  <sheetFormatPr defaultRowHeight="14.4" x14ac:dyDescent="0.55000000000000004"/>
  <cols>
    <col min="1" max="1" width="10.15625" bestFit="1" customWidth="1"/>
  </cols>
  <sheetData>
    <row r="1" spans="1:6" ht="14.7" thickBot="1" x14ac:dyDescent="0.6">
      <c r="A1" s="1" t="s">
        <v>0</v>
      </c>
      <c r="B1" s="1" t="s">
        <v>1</v>
      </c>
    </row>
    <row r="2" spans="1:6" x14ac:dyDescent="0.55000000000000004">
      <c r="A2" s="2">
        <v>42736</v>
      </c>
      <c r="B2" s="3">
        <v>271739</v>
      </c>
    </row>
    <row r="3" spans="1:6" x14ac:dyDescent="0.55000000000000004">
      <c r="A3" s="2">
        <v>42767</v>
      </c>
      <c r="B3" s="3">
        <v>274599</v>
      </c>
      <c r="F3" s="4"/>
    </row>
    <row r="4" spans="1:6" x14ac:dyDescent="0.55000000000000004">
      <c r="A4" s="2">
        <v>42795</v>
      </c>
      <c r="B4" s="3">
        <v>233636</v>
      </c>
      <c r="F4" s="4"/>
    </row>
    <row r="5" spans="1:6" x14ac:dyDescent="0.55000000000000004">
      <c r="A5" s="2">
        <v>42826</v>
      </c>
      <c r="B5" s="3">
        <v>105228</v>
      </c>
      <c r="C5" s="4">
        <f t="shared" ref="C5:C48" si="0">AVERAGE(B2:B6)</f>
        <v>231534.6</v>
      </c>
      <c r="F5" s="4"/>
    </row>
    <row r="6" spans="1:6" x14ac:dyDescent="0.55000000000000004">
      <c r="A6" s="2">
        <v>42856</v>
      </c>
      <c r="B6" s="3">
        <v>272471</v>
      </c>
      <c r="C6" s="4">
        <f t="shared" si="0"/>
        <v>209868.2</v>
      </c>
      <c r="F6" s="4"/>
    </row>
    <row r="7" spans="1:6" x14ac:dyDescent="0.55000000000000004">
      <c r="A7" s="2">
        <v>42887</v>
      </c>
      <c r="B7" s="3">
        <v>163407</v>
      </c>
      <c r="C7" s="4">
        <f t="shared" si="0"/>
        <v>179463.4</v>
      </c>
      <c r="F7" s="4"/>
    </row>
    <row r="8" spans="1:6" x14ac:dyDescent="0.55000000000000004">
      <c r="A8" s="2">
        <v>42917</v>
      </c>
      <c r="B8" s="3">
        <v>122575</v>
      </c>
      <c r="C8" s="4">
        <f t="shared" si="0"/>
        <v>159906.6</v>
      </c>
      <c r="E8" s="4"/>
      <c r="F8" s="4"/>
    </row>
    <row r="9" spans="1:6" x14ac:dyDescent="0.55000000000000004">
      <c r="A9" s="2">
        <v>42948</v>
      </c>
      <c r="B9" s="3">
        <v>135852</v>
      </c>
      <c r="C9" s="4">
        <f t="shared" si="0"/>
        <v>185191.4</v>
      </c>
      <c r="E9" s="4"/>
      <c r="F9" s="4"/>
    </row>
    <row r="10" spans="1:6" x14ac:dyDescent="0.55000000000000004">
      <c r="A10" s="2">
        <v>42979</v>
      </c>
      <c r="B10" s="3">
        <v>231652</v>
      </c>
      <c r="C10" s="4">
        <f t="shared" si="0"/>
        <v>187786</v>
      </c>
      <c r="E10" s="4"/>
      <c r="F10" s="4"/>
    </row>
    <row r="11" spans="1:6" x14ac:dyDescent="0.55000000000000004">
      <c r="A11" s="2">
        <v>43009</v>
      </c>
      <c r="B11" s="3">
        <v>285444</v>
      </c>
      <c r="C11" s="4">
        <f t="shared" si="0"/>
        <v>194013.2</v>
      </c>
      <c r="E11" s="4"/>
      <c r="F11" s="4"/>
    </row>
    <row r="12" spans="1:6" x14ac:dyDescent="0.55000000000000004">
      <c r="A12" s="2">
        <v>43040</v>
      </c>
      <c r="B12" s="3">
        <v>194543</v>
      </c>
      <c r="C12" s="4">
        <f t="shared" si="0"/>
        <v>204263.2</v>
      </c>
      <c r="E12" s="4"/>
      <c r="F12" s="4"/>
    </row>
    <row r="13" spans="1:6" x14ac:dyDescent="0.55000000000000004">
      <c r="A13" s="2">
        <v>43070</v>
      </c>
      <c r="B13" s="3">
        <v>173825</v>
      </c>
      <c r="C13" s="4">
        <f t="shared" si="0"/>
        <v>228857.2</v>
      </c>
      <c r="E13" s="4"/>
      <c r="F13" s="4"/>
    </row>
    <row r="14" spans="1:6" x14ac:dyDescent="0.55000000000000004">
      <c r="A14" s="2">
        <v>43101</v>
      </c>
      <c r="B14" s="3">
        <v>258822</v>
      </c>
      <c r="C14" s="4">
        <f t="shared" si="0"/>
        <v>202580.8</v>
      </c>
      <c r="E14" s="4"/>
      <c r="F14" s="4"/>
    </row>
    <row r="15" spans="1:6" x14ac:dyDescent="0.55000000000000004">
      <c r="A15" s="2">
        <v>43132</v>
      </c>
      <c r="B15" s="3">
        <v>100270</v>
      </c>
      <c r="C15" s="4">
        <f t="shared" si="0"/>
        <v>195178.2</v>
      </c>
      <c r="E15" s="4"/>
      <c r="F15" s="4"/>
    </row>
    <row r="16" spans="1:6" x14ac:dyDescent="0.55000000000000004">
      <c r="A16" s="2">
        <v>43160</v>
      </c>
      <c r="B16" s="3">
        <v>248431</v>
      </c>
      <c r="C16" s="4">
        <f t="shared" si="0"/>
        <v>203026.4</v>
      </c>
      <c r="E16" s="4"/>
      <c r="F16" s="4"/>
    </row>
    <row r="17" spans="1:6" x14ac:dyDescent="0.55000000000000004">
      <c r="A17" s="2">
        <v>43191</v>
      </c>
      <c r="B17" s="3">
        <v>233784</v>
      </c>
      <c r="C17" s="4">
        <f t="shared" si="0"/>
        <v>203593.4</v>
      </c>
      <c r="E17" s="4"/>
      <c r="F17" s="4"/>
    </row>
    <row r="18" spans="1:6" x14ac:dyDescent="0.55000000000000004">
      <c r="A18" s="2">
        <v>43221</v>
      </c>
      <c r="B18" s="3">
        <v>176660</v>
      </c>
      <c r="C18" s="4">
        <f t="shared" si="0"/>
        <v>191920.4</v>
      </c>
      <c r="E18" s="4"/>
      <c r="F18" s="4"/>
    </row>
    <row r="19" spans="1:6" x14ac:dyDescent="0.55000000000000004">
      <c r="A19" s="2">
        <v>43252</v>
      </c>
      <c r="B19" s="3">
        <v>200457</v>
      </c>
      <c r="C19" s="4">
        <f t="shared" si="0"/>
        <v>211212.2</v>
      </c>
      <c r="E19" s="4"/>
      <c r="F19" s="4"/>
    </row>
    <row r="20" spans="1:6" x14ac:dyDescent="0.55000000000000004">
      <c r="A20" s="2">
        <v>43282</v>
      </c>
      <c r="B20" s="3">
        <v>196729</v>
      </c>
      <c r="C20" s="4">
        <f t="shared" si="0"/>
        <v>203265.8</v>
      </c>
      <c r="E20" s="4"/>
      <c r="F20" s="4"/>
    </row>
    <row r="21" spans="1:6" x14ac:dyDescent="0.55000000000000004">
      <c r="A21" s="2">
        <v>43313</v>
      </c>
      <c r="B21" s="3">
        <v>208699</v>
      </c>
      <c r="C21" s="4">
        <f t="shared" si="0"/>
        <v>217977.4</v>
      </c>
      <c r="E21" s="4"/>
      <c r="F21" s="4"/>
    </row>
    <row r="22" spans="1:6" x14ac:dyDescent="0.55000000000000004">
      <c r="A22" s="2">
        <v>43344</v>
      </c>
      <c r="B22" s="3">
        <v>307342</v>
      </c>
      <c r="C22" s="4">
        <f t="shared" si="0"/>
        <v>233835.8</v>
      </c>
      <c r="E22" s="4"/>
      <c r="F22" s="4"/>
    </row>
    <row r="23" spans="1:6" x14ac:dyDescent="0.55000000000000004">
      <c r="A23" s="2">
        <v>43374</v>
      </c>
      <c r="B23" s="3">
        <v>255952</v>
      </c>
      <c r="C23" s="4">
        <f t="shared" si="0"/>
        <v>221851.4</v>
      </c>
      <c r="E23" s="4"/>
      <c r="F23" s="4"/>
    </row>
    <row r="24" spans="1:6" x14ac:dyDescent="0.55000000000000004">
      <c r="A24" s="2">
        <v>43405</v>
      </c>
      <c r="B24" s="3">
        <v>140535</v>
      </c>
      <c r="C24" s="4">
        <f t="shared" si="0"/>
        <v>244685.4</v>
      </c>
      <c r="E24" s="4"/>
      <c r="F24" s="4"/>
    </row>
    <row r="25" spans="1:6" x14ac:dyDescent="0.55000000000000004">
      <c r="A25" s="2">
        <v>43435</v>
      </c>
      <c r="B25" s="3">
        <v>310899</v>
      </c>
      <c r="C25" s="4">
        <f t="shared" si="0"/>
        <v>243018</v>
      </c>
      <c r="E25" s="4"/>
      <c r="F25" s="4"/>
    </row>
    <row r="26" spans="1:6" x14ac:dyDescent="0.55000000000000004">
      <c r="A26" s="2">
        <v>43466</v>
      </c>
      <c r="B26" s="3">
        <v>200362</v>
      </c>
      <c r="C26" s="4">
        <f t="shared" si="0"/>
        <v>203011.6</v>
      </c>
      <c r="E26" s="4"/>
      <c r="F26" s="4"/>
    </row>
    <row r="27" spans="1:6" x14ac:dyDescent="0.55000000000000004">
      <c r="A27" s="2">
        <v>43497</v>
      </c>
      <c r="B27" s="3">
        <v>107310</v>
      </c>
      <c r="C27" s="4">
        <f t="shared" si="0"/>
        <v>181372.6</v>
      </c>
      <c r="E27" s="4"/>
      <c r="F27" s="4"/>
    </row>
    <row r="28" spans="1:6" x14ac:dyDescent="0.55000000000000004">
      <c r="A28" s="2">
        <v>43525</v>
      </c>
      <c r="B28" s="3">
        <v>147757</v>
      </c>
      <c r="C28" s="4">
        <f t="shared" si="0"/>
        <v>215096.6</v>
      </c>
      <c r="E28" s="4"/>
      <c r="F28" s="4"/>
    </row>
    <row r="29" spans="1:6" x14ac:dyDescent="0.55000000000000004">
      <c r="A29" s="2">
        <v>43556</v>
      </c>
      <c r="B29" s="3">
        <v>309155</v>
      </c>
      <c r="C29" s="4">
        <f t="shared" si="0"/>
        <v>187975.6</v>
      </c>
      <c r="E29" s="4"/>
      <c r="F29" s="4"/>
    </row>
    <row r="30" spans="1:6" x14ac:dyDescent="0.55000000000000004">
      <c r="A30" s="2">
        <v>43586</v>
      </c>
      <c r="B30" s="3">
        <v>175294</v>
      </c>
      <c r="C30" s="4">
        <f t="shared" si="0"/>
        <v>189900.4</v>
      </c>
      <c r="E30" s="4"/>
      <c r="F30" s="4"/>
    </row>
    <row r="31" spans="1:6" x14ac:dyDescent="0.55000000000000004">
      <c r="A31" s="2">
        <v>43617</v>
      </c>
      <c r="B31" s="3">
        <v>209986</v>
      </c>
      <c r="C31" s="4">
        <f t="shared" si="0"/>
        <v>213004.6</v>
      </c>
      <c r="E31" s="4"/>
      <c r="F31" s="4"/>
    </row>
    <row r="32" spans="1:6" x14ac:dyDescent="0.55000000000000004">
      <c r="A32" s="2">
        <v>43647</v>
      </c>
      <c r="B32" s="3">
        <v>222831</v>
      </c>
      <c r="C32" s="4">
        <f t="shared" si="0"/>
        <v>207930.8</v>
      </c>
      <c r="E32" s="4"/>
      <c r="F32" s="4"/>
    </row>
    <row r="33" spans="1:6" x14ac:dyDescent="0.55000000000000004">
      <c r="A33" s="2">
        <v>43678</v>
      </c>
      <c r="B33" s="3">
        <v>122388</v>
      </c>
      <c r="C33" s="4">
        <f t="shared" si="0"/>
        <v>197395.4</v>
      </c>
      <c r="E33" s="4"/>
      <c r="F33" s="4"/>
    </row>
    <row r="34" spans="1:6" x14ac:dyDescent="0.55000000000000004">
      <c r="A34" s="2">
        <v>43709</v>
      </c>
      <c r="B34" s="3">
        <v>256478</v>
      </c>
      <c r="C34" s="4">
        <f t="shared" si="0"/>
        <v>204088.6</v>
      </c>
      <c r="E34" s="4"/>
      <c r="F34" s="4"/>
    </row>
    <row r="35" spans="1:6" x14ac:dyDescent="0.55000000000000004">
      <c r="A35" s="2">
        <v>43739</v>
      </c>
      <c r="B35" s="3">
        <v>208760</v>
      </c>
      <c r="C35" s="4">
        <f t="shared" si="0"/>
        <v>215412.8</v>
      </c>
      <c r="E35" s="4"/>
      <c r="F35" s="4"/>
    </row>
    <row r="36" spans="1:6" x14ac:dyDescent="0.55000000000000004">
      <c r="A36" s="2">
        <v>43770</v>
      </c>
      <c r="B36" s="3">
        <v>266607</v>
      </c>
      <c r="C36" s="4">
        <f t="shared" si="0"/>
        <v>230017.2</v>
      </c>
      <c r="E36" s="4"/>
      <c r="F36" s="4"/>
    </row>
    <row r="37" spans="1:6" x14ac:dyDescent="0.55000000000000004">
      <c r="A37" s="2">
        <v>43800</v>
      </c>
      <c r="B37" s="3">
        <v>295853</v>
      </c>
      <c r="C37" s="4">
        <f t="shared" si="0"/>
        <v>254706</v>
      </c>
      <c r="E37" s="4"/>
      <c r="F37" s="4"/>
    </row>
    <row r="38" spans="1:6" x14ac:dyDescent="0.55000000000000004">
      <c r="A38" s="2">
        <v>43831</v>
      </c>
      <c r="B38" s="3">
        <v>245832</v>
      </c>
      <c r="C38" s="4">
        <f t="shared" si="0"/>
        <v>233190.39999999999</v>
      </c>
      <c r="E38" s="4"/>
      <c r="F38" s="4"/>
    </row>
    <row r="39" spans="1:6" x14ac:dyDescent="0.55000000000000004">
      <c r="A39" s="2">
        <v>43862</v>
      </c>
      <c r="B39" s="3">
        <v>148900</v>
      </c>
      <c r="C39" s="4">
        <f t="shared" si="0"/>
        <v>254769.4</v>
      </c>
      <c r="E39" s="4"/>
      <c r="F39" s="4"/>
    </row>
    <row r="40" spans="1:6" x14ac:dyDescent="0.55000000000000004">
      <c r="A40" s="2">
        <v>43891</v>
      </c>
      <c r="B40" s="3">
        <v>316655</v>
      </c>
      <c r="C40" s="4">
        <f t="shared" si="0"/>
        <v>240560.8</v>
      </c>
      <c r="E40" s="4"/>
      <c r="F40" s="4"/>
    </row>
    <row r="41" spans="1:6" x14ac:dyDescent="0.55000000000000004">
      <c r="A41" s="2">
        <v>43922</v>
      </c>
      <c r="B41" s="3">
        <v>195564</v>
      </c>
      <c r="C41" s="4">
        <f t="shared" si="0"/>
        <v>247187.8</v>
      </c>
      <c r="E41" s="4"/>
      <c r="F41" s="4"/>
    </row>
    <row r="42" spans="1:6" x14ac:dyDescent="0.55000000000000004">
      <c r="A42" s="2">
        <v>43952</v>
      </c>
      <c r="B42" s="3">
        <v>328988</v>
      </c>
      <c r="C42" s="4">
        <f t="shared" si="0"/>
        <v>232592.6</v>
      </c>
      <c r="E42" s="4"/>
      <c r="F42" s="4"/>
    </row>
    <row r="43" spans="1:6" x14ac:dyDescent="0.55000000000000004">
      <c r="A43" s="2">
        <v>43983</v>
      </c>
      <c r="B43" s="3">
        <v>172856</v>
      </c>
      <c r="C43" s="4">
        <f t="shared" si="0"/>
        <v>266664.8</v>
      </c>
      <c r="E43" s="4"/>
      <c r="F43" s="4"/>
    </row>
    <row r="44" spans="1:6" x14ac:dyDescent="0.55000000000000004">
      <c r="A44" s="2">
        <v>44013</v>
      </c>
      <c r="B44" s="3">
        <v>319261</v>
      </c>
      <c r="C44" s="4">
        <f t="shared" si="0"/>
        <v>247872.4</v>
      </c>
      <c r="E44" s="4"/>
      <c r="F44" s="4"/>
    </row>
    <row r="45" spans="1:6" x14ac:dyDescent="0.55000000000000004">
      <c r="A45" s="2">
        <v>44044</v>
      </c>
      <c r="B45" s="3">
        <v>222693</v>
      </c>
      <c r="C45" s="4">
        <f t="shared" si="0"/>
        <v>248188.4</v>
      </c>
      <c r="E45" s="4"/>
      <c r="F45" s="4"/>
    </row>
    <row r="46" spans="1:6" x14ac:dyDescent="0.55000000000000004">
      <c r="A46" s="2">
        <v>44075</v>
      </c>
      <c r="B46" s="3">
        <v>197144</v>
      </c>
      <c r="C46" s="4">
        <f t="shared" si="0"/>
        <v>205718</v>
      </c>
      <c r="E46" s="4"/>
      <c r="F46" s="4"/>
    </row>
    <row r="47" spans="1:6" x14ac:dyDescent="0.55000000000000004">
      <c r="A47" s="2">
        <v>44105</v>
      </c>
      <c r="B47" s="3">
        <v>116636</v>
      </c>
      <c r="C47" s="4">
        <f t="shared" si="0"/>
        <v>234194.2</v>
      </c>
      <c r="E47" s="4"/>
      <c r="F47" s="4"/>
    </row>
    <row r="48" spans="1:6" x14ac:dyDescent="0.55000000000000004">
      <c r="A48" s="2">
        <v>44136</v>
      </c>
      <c r="B48" s="3">
        <v>315237</v>
      </c>
      <c r="C48" s="4">
        <f t="shared" si="0"/>
        <v>239589.4</v>
      </c>
      <c r="E48" s="4"/>
      <c r="F48" s="4"/>
    </row>
    <row r="49" spans="1:5" x14ac:dyDescent="0.55000000000000004">
      <c r="A49" s="2">
        <v>44166</v>
      </c>
      <c r="B49" s="3">
        <v>346237</v>
      </c>
      <c r="E49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2572-E06B-405B-9468-CE75CF0AD9A6}">
  <dimension ref="A1:B6"/>
  <sheetViews>
    <sheetView workbookViewId="0">
      <selection sqref="A1:B6"/>
    </sheetView>
  </sheetViews>
  <sheetFormatPr defaultRowHeight="14.4" x14ac:dyDescent="0.55000000000000004"/>
  <sheetData>
    <row r="1" spans="1:2" x14ac:dyDescent="0.55000000000000004">
      <c r="A1" s="13" t="s">
        <v>90</v>
      </c>
      <c r="B1" s="13" t="s">
        <v>92</v>
      </c>
    </row>
    <row r="2" spans="1:2" x14ac:dyDescent="0.55000000000000004">
      <c r="A2" s="14">
        <v>20000</v>
      </c>
      <c r="B2" s="11">
        <v>8</v>
      </c>
    </row>
    <row r="3" spans="1:2" x14ac:dyDescent="0.55000000000000004">
      <c r="A3" s="14">
        <v>30000</v>
      </c>
      <c r="B3" s="11">
        <v>54</v>
      </c>
    </row>
    <row r="4" spans="1:2" x14ac:dyDescent="0.55000000000000004">
      <c r="A4" s="14">
        <v>40000</v>
      </c>
      <c r="B4" s="11">
        <v>13</v>
      </c>
    </row>
    <row r="5" spans="1:2" x14ac:dyDescent="0.55000000000000004">
      <c r="A5" s="14">
        <v>50000</v>
      </c>
      <c r="B5" s="11">
        <v>6</v>
      </c>
    </row>
    <row r="6" spans="1:2" ht="14.7" thickBot="1" x14ac:dyDescent="0.6">
      <c r="A6" s="12" t="s">
        <v>91</v>
      </c>
      <c r="B6" s="12">
        <v>5</v>
      </c>
    </row>
  </sheetData>
  <sortState xmlns:xlrd2="http://schemas.microsoft.com/office/spreadsheetml/2017/richdata2" ref="A2:A5">
    <sortCondition ref="A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6BD9-362F-47E3-A0AF-5FBE96A49EC1}">
  <dimension ref="A1:B15"/>
  <sheetViews>
    <sheetView tabSelected="1" workbookViewId="0">
      <selection activeCell="D11" sqref="D11"/>
    </sheetView>
  </sheetViews>
  <sheetFormatPr defaultRowHeight="14.4" x14ac:dyDescent="0.55000000000000004"/>
  <cols>
    <col min="1" max="1" width="21.68359375" bestFit="1" customWidth="1"/>
    <col min="2" max="2" width="14.5234375" customWidth="1"/>
  </cols>
  <sheetData>
    <row r="1" spans="1:2" x14ac:dyDescent="0.55000000000000004">
      <c r="A1" s="15" t="s">
        <v>93</v>
      </c>
      <c r="B1" s="15"/>
    </row>
    <row r="2" spans="1:2" x14ac:dyDescent="0.55000000000000004">
      <c r="A2" s="11"/>
      <c r="B2" s="11"/>
    </row>
    <row r="3" spans="1:2" x14ac:dyDescent="0.55000000000000004">
      <c r="A3" s="11" t="s">
        <v>94</v>
      </c>
      <c r="B3" s="11">
        <v>29523.89534883721</v>
      </c>
    </row>
    <row r="4" spans="1:2" x14ac:dyDescent="0.55000000000000004">
      <c r="A4" s="11" t="s">
        <v>95</v>
      </c>
      <c r="B4" s="11">
        <v>1272.7585960360286</v>
      </c>
    </row>
    <row r="5" spans="1:2" x14ac:dyDescent="0.55000000000000004">
      <c r="A5" s="11" t="s">
        <v>96</v>
      </c>
      <c r="B5" s="11">
        <v>26213</v>
      </c>
    </row>
    <row r="6" spans="1:2" x14ac:dyDescent="0.55000000000000004">
      <c r="A6" s="11" t="s">
        <v>97</v>
      </c>
      <c r="B6" s="11" t="e">
        <v>#N/A</v>
      </c>
    </row>
    <row r="7" spans="1:2" x14ac:dyDescent="0.55000000000000004">
      <c r="A7" s="11" t="s">
        <v>98</v>
      </c>
      <c r="B7" s="11">
        <v>11803.07765650086</v>
      </c>
    </row>
    <row r="8" spans="1:2" x14ac:dyDescent="0.55000000000000004">
      <c r="A8" s="11" t="s">
        <v>99</v>
      </c>
      <c r="B8" s="11">
        <v>139312642.16538984</v>
      </c>
    </row>
    <row r="9" spans="1:2" x14ac:dyDescent="0.55000000000000004">
      <c r="A9" s="11" t="s">
        <v>100</v>
      </c>
      <c r="B9" s="11">
        <v>5.8416305972420259</v>
      </c>
    </row>
    <row r="10" spans="1:2" x14ac:dyDescent="0.55000000000000004">
      <c r="A10" s="11" t="s">
        <v>101</v>
      </c>
      <c r="B10" s="11">
        <v>2.2872625423225084</v>
      </c>
    </row>
    <row r="11" spans="1:2" x14ac:dyDescent="0.55000000000000004">
      <c r="A11" s="11" t="s">
        <v>102</v>
      </c>
      <c r="B11" s="11">
        <v>60180</v>
      </c>
    </row>
    <row r="12" spans="1:2" x14ac:dyDescent="0.55000000000000004">
      <c r="A12" s="11" t="s">
        <v>103</v>
      </c>
      <c r="B12" s="11">
        <v>14379</v>
      </c>
    </row>
    <row r="13" spans="1:2" x14ac:dyDescent="0.55000000000000004">
      <c r="A13" s="11" t="s">
        <v>104</v>
      </c>
      <c r="B13" s="11">
        <v>74559</v>
      </c>
    </row>
    <row r="14" spans="1:2" x14ac:dyDescent="0.55000000000000004">
      <c r="A14" s="11" t="s">
        <v>105</v>
      </c>
      <c r="B14" s="11">
        <v>2539055</v>
      </c>
    </row>
    <row r="15" spans="1:2" ht="14.7" thickBot="1" x14ac:dyDescent="0.6">
      <c r="A15" s="12" t="s">
        <v>106</v>
      </c>
      <c r="B15" s="12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8017-D2CC-4BB0-AA6C-E010965DC201}">
  <dimension ref="A1:MJ155"/>
  <sheetViews>
    <sheetView topLeftCell="A6" zoomScaleNormal="100" workbookViewId="0">
      <selection activeCell="B6" sqref="B6:B91"/>
    </sheetView>
  </sheetViews>
  <sheetFormatPr defaultRowHeight="14.4" x14ac:dyDescent="0.55000000000000004"/>
  <cols>
    <col min="1" max="1" width="39.15625" customWidth="1"/>
    <col min="2" max="2" width="54.578125" bestFit="1" customWidth="1"/>
    <col min="4" max="4" width="12.83984375" customWidth="1"/>
  </cols>
  <sheetData>
    <row r="1" spans="1:4" ht="50.1" x14ac:dyDescent="0.55000000000000004">
      <c r="A1" s="5" t="s">
        <v>2</v>
      </c>
      <c r="B1" s="6"/>
    </row>
    <row r="2" spans="1:4" x14ac:dyDescent="0.55000000000000004">
      <c r="A2" s="16"/>
      <c r="B2" s="19" t="s">
        <v>3</v>
      </c>
    </row>
    <row r="3" spans="1:4" x14ac:dyDescent="0.55000000000000004">
      <c r="A3" s="17"/>
      <c r="B3" s="19"/>
    </row>
    <row r="4" spans="1:4" x14ac:dyDescent="0.55000000000000004">
      <c r="A4" s="17"/>
      <c r="B4" s="19"/>
    </row>
    <row r="5" spans="1:4" x14ac:dyDescent="0.55000000000000004">
      <c r="A5" s="18"/>
      <c r="B5" s="19"/>
    </row>
    <row r="6" spans="1:4" ht="17.7" x14ac:dyDescent="0.6">
      <c r="A6" s="7" t="s">
        <v>4</v>
      </c>
      <c r="B6" s="8">
        <v>30878</v>
      </c>
    </row>
    <row r="7" spans="1:4" ht="17.7" x14ac:dyDescent="0.6">
      <c r="A7" s="7" t="s">
        <v>5</v>
      </c>
      <c r="B7" s="8">
        <v>27488</v>
      </c>
      <c r="D7" s="8">
        <v>20000</v>
      </c>
    </row>
    <row r="8" spans="1:4" ht="17.7" x14ac:dyDescent="0.6">
      <c r="A8" s="7" t="s">
        <v>6</v>
      </c>
      <c r="B8" s="8">
        <v>24185</v>
      </c>
      <c r="D8" s="8">
        <v>30000</v>
      </c>
    </row>
    <row r="9" spans="1:4" ht="17.7" x14ac:dyDescent="0.6">
      <c r="A9" s="7" t="s">
        <v>7</v>
      </c>
      <c r="B9" s="8">
        <v>30487</v>
      </c>
      <c r="D9" s="8">
        <v>40000</v>
      </c>
    </row>
    <row r="10" spans="1:4" ht="17.7" x14ac:dyDescent="0.6">
      <c r="A10" s="7" t="s">
        <v>8</v>
      </c>
      <c r="B10" s="8">
        <v>24511</v>
      </c>
      <c r="D10" s="8">
        <v>50000</v>
      </c>
    </row>
    <row r="11" spans="1:4" ht="17.7" x14ac:dyDescent="0.6">
      <c r="A11" s="7" t="s">
        <v>9</v>
      </c>
      <c r="B11" s="8">
        <v>28364</v>
      </c>
    </row>
    <row r="12" spans="1:4" ht="17.7" x14ac:dyDescent="0.6">
      <c r="A12" s="7" t="s">
        <v>10</v>
      </c>
      <c r="B12" s="8">
        <v>23464</v>
      </c>
    </row>
    <row r="13" spans="1:4" ht="17.7" x14ac:dyDescent="0.6">
      <c r="A13" s="7" t="s">
        <v>11</v>
      </c>
      <c r="B13" s="8">
        <v>27218</v>
      </c>
    </row>
    <row r="14" spans="1:4" ht="17.7" x14ac:dyDescent="0.6">
      <c r="A14" s="7" t="s">
        <v>12</v>
      </c>
      <c r="B14" s="8">
        <v>29921</v>
      </c>
    </row>
    <row r="15" spans="1:4" ht="17.7" x14ac:dyDescent="0.6">
      <c r="A15" s="7" t="s">
        <v>13</v>
      </c>
      <c r="B15" s="8">
        <v>42814</v>
      </c>
    </row>
    <row r="16" spans="1:4" ht="17.7" x14ac:dyDescent="0.6">
      <c r="A16" s="7" t="s">
        <v>14</v>
      </c>
      <c r="B16" s="8">
        <v>24658</v>
      </c>
    </row>
    <row r="17" spans="1:2" ht="17.7" x14ac:dyDescent="0.6">
      <c r="A17" s="7" t="s">
        <v>15</v>
      </c>
      <c r="B17" s="8">
        <v>25751</v>
      </c>
    </row>
    <row r="18" spans="1:2" ht="17.7" x14ac:dyDescent="0.6">
      <c r="A18" s="7" t="s">
        <v>16</v>
      </c>
      <c r="B18" s="8">
        <v>26085</v>
      </c>
    </row>
    <row r="19" spans="1:2" ht="17.7" x14ac:dyDescent="0.6">
      <c r="A19" s="7" t="s">
        <v>17</v>
      </c>
      <c r="B19" s="8">
        <v>26233</v>
      </c>
    </row>
    <row r="20" spans="1:2" ht="17.7" x14ac:dyDescent="0.6">
      <c r="A20" s="7" t="s">
        <v>18</v>
      </c>
      <c r="B20" s="8">
        <v>25467</v>
      </c>
    </row>
    <row r="21" spans="1:2" ht="17.7" x14ac:dyDescent="0.6">
      <c r="A21" s="7" t="s">
        <v>19</v>
      </c>
      <c r="B21" s="8">
        <v>27775</v>
      </c>
    </row>
    <row r="22" spans="1:2" ht="17.7" x14ac:dyDescent="0.6">
      <c r="A22" s="7" t="s">
        <v>20</v>
      </c>
      <c r="B22" s="8">
        <v>26610</v>
      </c>
    </row>
    <row r="23" spans="1:2" ht="17.7" x14ac:dyDescent="0.6">
      <c r="A23" s="7" t="s">
        <v>21</v>
      </c>
      <c r="B23" s="8">
        <v>62481</v>
      </c>
    </row>
    <row r="24" spans="1:2" ht="17.7" x14ac:dyDescent="0.6">
      <c r="A24" s="7" t="s">
        <v>22</v>
      </c>
      <c r="B24" s="8">
        <v>27846</v>
      </c>
    </row>
    <row r="25" spans="1:2" ht="17.7" x14ac:dyDescent="0.6">
      <c r="A25" s="7" t="s">
        <v>23</v>
      </c>
      <c r="B25" s="8">
        <v>32125</v>
      </c>
    </row>
    <row r="26" spans="1:2" ht="17.7" x14ac:dyDescent="0.6">
      <c r="A26" s="7" t="s">
        <v>24</v>
      </c>
      <c r="B26" s="8">
        <v>33518</v>
      </c>
    </row>
    <row r="27" spans="1:2" ht="17.7" x14ac:dyDescent="0.6">
      <c r="A27" s="7" t="s">
        <v>25</v>
      </c>
      <c r="B27" s="8">
        <v>74559</v>
      </c>
    </row>
    <row r="28" spans="1:2" ht="17.7" x14ac:dyDescent="0.6">
      <c r="A28" s="7" t="s">
        <v>26</v>
      </c>
      <c r="B28" s="8">
        <v>31888</v>
      </c>
    </row>
    <row r="29" spans="1:2" ht="17.7" x14ac:dyDescent="0.6">
      <c r="A29" s="7" t="s">
        <v>27</v>
      </c>
      <c r="B29" s="8">
        <v>26730</v>
      </c>
    </row>
    <row r="30" spans="1:2" ht="17.7" x14ac:dyDescent="0.6">
      <c r="A30" s="7" t="s">
        <v>28</v>
      </c>
      <c r="B30" s="8">
        <v>27219</v>
      </c>
    </row>
    <row r="31" spans="1:2" ht="17.7" x14ac:dyDescent="0.6">
      <c r="A31" s="7" t="s">
        <v>29</v>
      </c>
      <c r="B31" s="8">
        <v>29532</v>
      </c>
    </row>
    <row r="32" spans="1:2" ht="17.7" x14ac:dyDescent="0.6">
      <c r="A32" s="7" t="s">
        <v>30</v>
      </c>
      <c r="B32" s="8">
        <v>37077</v>
      </c>
    </row>
    <row r="33" spans="1:2" ht="17.7" x14ac:dyDescent="0.6">
      <c r="A33" s="7" t="s">
        <v>31</v>
      </c>
      <c r="B33" s="8">
        <v>25198</v>
      </c>
    </row>
    <row r="34" spans="1:2" ht="17.7" x14ac:dyDescent="0.6">
      <c r="A34" s="7" t="s">
        <v>32</v>
      </c>
      <c r="B34" s="8">
        <v>23500</v>
      </c>
    </row>
    <row r="35" spans="1:2" ht="17.7" x14ac:dyDescent="0.6">
      <c r="A35" s="7" t="s">
        <v>33</v>
      </c>
      <c r="B35" s="8">
        <v>42823</v>
      </c>
    </row>
    <row r="36" spans="1:2" ht="17.7" x14ac:dyDescent="0.6">
      <c r="A36" s="7" t="s">
        <v>34</v>
      </c>
      <c r="B36" s="8">
        <v>26947</v>
      </c>
    </row>
    <row r="37" spans="1:2" ht="17.7" x14ac:dyDescent="0.6">
      <c r="A37" s="7" t="s">
        <v>35</v>
      </c>
      <c r="B37" s="8">
        <v>16837</v>
      </c>
    </row>
    <row r="38" spans="1:2" ht="17.7" x14ac:dyDescent="0.6">
      <c r="A38" s="7" t="s">
        <v>36</v>
      </c>
      <c r="B38" s="8">
        <v>22518</v>
      </c>
    </row>
    <row r="39" spans="1:2" ht="17.7" x14ac:dyDescent="0.6">
      <c r="A39" s="7" t="s">
        <v>37</v>
      </c>
      <c r="B39" s="8">
        <v>33698</v>
      </c>
    </row>
    <row r="40" spans="1:2" ht="17.7" x14ac:dyDescent="0.6">
      <c r="A40" s="7" t="s">
        <v>38</v>
      </c>
      <c r="B40" s="8">
        <v>23024</v>
      </c>
    </row>
    <row r="41" spans="1:2" ht="17.7" x14ac:dyDescent="0.6">
      <c r="A41" s="7" t="s">
        <v>39</v>
      </c>
      <c r="B41" s="8">
        <v>22341</v>
      </c>
    </row>
    <row r="42" spans="1:2" ht="17.7" x14ac:dyDescent="0.6">
      <c r="A42" s="7" t="s">
        <v>40</v>
      </c>
      <c r="B42" s="8">
        <v>28885</v>
      </c>
    </row>
    <row r="43" spans="1:2" ht="17.7" x14ac:dyDescent="0.6">
      <c r="A43" s="7" t="s">
        <v>41</v>
      </c>
      <c r="B43" s="8">
        <v>26193</v>
      </c>
    </row>
    <row r="44" spans="1:2" ht="17.7" x14ac:dyDescent="0.6">
      <c r="A44" s="7" t="s">
        <v>42</v>
      </c>
      <c r="B44" s="8">
        <v>24988</v>
      </c>
    </row>
    <row r="45" spans="1:2" ht="17.7" x14ac:dyDescent="0.6">
      <c r="A45" s="7" t="s">
        <v>43</v>
      </c>
      <c r="B45" s="8">
        <v>15751</v>
      </c>
    </row>
    <row r="46" spans="1:2" ht="17.7" x14ac:dyDescent="0.6">
      <c r="A46" s="7" t="s">
        <v>44</v>
      </c>
      <c r="B46" s="8">
        <v>21371</v>
      </c>
    </row>
    <row r="47" spans="1:2" ht="17.7" x14ac:dyDescent="0.6">
      <c r="A47" s="7" t="s">
        <v>45</v>
      </c>
      <c r="B47" s="8">
        <v>17397</v>
      </c>
    </row>
    <row r="48" spans="1:2" ht="17.7" x14ac:dyDescent="0.6">
      <c r="A48" s="7" t="s">
        <v>46</v>
      </c>
      <c r="B48" s="8">
        <v>23005</v>
      </c>
    </row>
    <row r="49" spans="1:2" ht="17.7" x14ac:dyDescent="0.6">
      <c r="A49" s="7" t="s">
        <v>47</v>
      </c>
      <c r="B49" s="8">
        <v>22802</v>
      </c>
    </row>
    <row r="50" spans="1:2" ht="17.7" x14ac:dyDescent="0.6">
      <c r="A50" s="7" t="s">
        <v>48</v>
      </c>
      <c r="B50" s="8">
        <v>24202</v>
      </c>
    </row>
    <row r="51" spans="1:2" ht="17.7" x14ac:dyDescent="0.6">
      <c r="A51" s="7" t="s">
        <v>49</v>
      </c>
      <c r="B51" s="8">
        <v>28727</v>
      </c>
    </row>
    <row r="52" spans="1:2" ht="17.7" x14ac:dyDescent="0.6">
      <c r="A52" s="7" t="s">
        <v>50</v>
      </c>
      <c r="B52" s="8">
        <v>19236</v>
      </c>
    </row>
    <row r="53" spans="1:2" ht="17.7" x14ac:dyDescent="0.6">
      <c r="A53" s="7" t="s">
        <v>51</v>
      </c>
      <c r="B53" s="8">
        <v>18039</v>
      </c>
    </row>
    <row r="54" spans="1:2" ht="17.7" x14ac:dyDescent="0.6">
      <c r="A54" s="7" t="s">
        <v>52</v>
      </c>
      <c r="B54" s="8">
        <v>33017</v>
      </c>
    </row>
    <row r="55" spans="1:2" ht="17.7" x14ac:dyDescent="0.6">
      <c r="A55" s="7" t="s">
        <v>53</v>
      </c>
      <c r="B55" s="8">
        <v>24631</v>
      </c>
    </row>
    <row r="56" spans="1:2" ht="17.7" x14ac:dyDescent="0.6">
      <c r="A56" s="7" t="s">
        <v>54</v>
      </c>
      <c r="B56" s="8">
        <v>18177</v>
      </c>
    </row>
    <row r="57" spans="1:2" ht="17.7" x14ac:dyDescent="0.6">
      <c r="A57" s="7" t="s">
        <v>55</v>
      </c>
      <c r="B57" s="8">
        <v>28849</v>
      </c>
    </row>
    <row r="58" spans="1:2" ht="17.7" x14ac:dyDescent="0.6">
      <c r="A58" s="7" t="s">
        <v>56</v>
      </c>
      <c r="B58" s="8">
        <v>22019</v>
      </c>
    </row>
    <row r="59" spans="1:2" ht="17.7" x14ac:dyDescent="0.6">
      <c r="A59" s="7" t="s">
        <v>57</v>
      </c>
      <c r="B59" s="8">
        <v>31700</v>
      </c>
    </row>
    <row r="60" spans="1:2" ht="17.7" x14ac:dyDescent="0.6">
      <c r="A60" s="7" t="s">
        <v>58</v>
      </c>
      <c r="B60" s="8">
        <v>23923</v>
      </c>
    </row>
    <row r="61" spans="1:2" ht="17.7" x14ac:dyDescent="0.6">
      <c r="A61" s="7" t="s">
        <v>59</v>
      </c>
      <c r="B61" s="8">
        <v>21549</v>
      </c>
    </row>
    <row r="62" spans="1:2" ht="17.7" x14ac:dyDescent="0.6">
      <c r="A62" s="7" t="s">
        <v>60</v>
      </c>
      <c r="B62" s="8">
        <v>27549</v>
      </c>
    </row>
    <row r="63" spans="1:2" ht="17.7" x14ac:dyDescent="0.6">
      <c r="A63" s="7" t="s">
        <v>61</v>
      </c>
      <c r="B63" s="8">
        <v>20634</v>
      </c>
    </row>
    <row r="64" spans="1:2" ht="17.7" x14ac:dyDescent="0.6">
      <c r="A64" s="7" t="s">
        <v>62</v>
      </c>
      <c r="B64" s="8">
        <v>23014</v>
      </c>
    </row>
    <row r="65" spans="1:348" ht="17.7" x14ac:dyDescent="0.6">
      <c r="A65" s="7" t="s">
        <v>63</v>
      </c>
      <c r="B65" s="8">
        <v>21006</v>
      </c>
    </row>
    <row r="66" spans="1:348" ht="17.7" x14ac:dyDescent="0.6">
      <c r="A66" s="7" t="s">
        <v>64</v>
      </c>
      <c r="B66" s="8">
        <v>36284</v>
      </c>
    </row>
    <row r="67" spans="1:348" ht="17.7" x14ac:dyDescent="0.6">
      <c r="A67" s="7" t="s">
        <v>65</v>
      </c>
      <c r="B67" s="8">
        <v>46258</v>
      </c>
    </row>
    <row r="68" spans="1:348" ht="17.7" x14ac:dyDescent="0.6">
      <c r="A68" s="7" t="s">
        <v>66</v>
      </c>
      <c r="B68" s="8">
        <v>74304</v>
      </c>
    </row>
    <row r="69" spans="1:348" ht="17.7" x14ac:dyDescent="0.6">
      <c r="A69" s="7" t="s">
        <v>67</v>
      </c>
      <c r="B69" s="8">
        <v>29460</v>
      </c>
    </row>
    <row r="70" spans="1:348" ht="17.7" x14ac:dyDescent="0.6">
      <c r="A70" s="7" t="s">
        <v>68</v>
      </c>
      <c r="B70" s="8">
        <v>23868</v>
      </c>
      <c r="F70" s="9"/>
      <c r="H70" s="10"/>
      <c r="J70" s="9"/>
      <c r="L70" s="10"/>
      <c r="N70" s="9"/>
      <c r="P70" s="10"/>
      <c r="R70" s="9"/>
      <c r="T70" s="10"/>
      <c r="V70" s="9"/>
      <c r="X70" s="10"/>
      <c r="Z70" s="9"/>
      <c r="AB70" s="10"/>
      <c r="AD70" s="9"/>
      <c r="AF70" s="10"/>
      <c r="AH70" s="9"/>
      <c r="AJ70" s="10"/>
      <c r="AL70" s="9"/>
      <c r="AN70" s="10"/>
      <c r="AP70" s="9"/>
      <c r="AR70" s="10"/>
      <c r="AT70" s="9"/>
      <c r="AV70" s="10"/>
      <c r="AX70" s="9"/>
      <c r="AZ70" s="10"/>
      <c r="BB70" s="9"/>
      <c r="BD70" s="10"/>
      <c r="BF70" s="9"/>
      <c r="BH70" s="10"/>
      <c r="BJ70" s="9"/>
      <c r="BL70" s="10"/>
      <c r="BN70" s="9"/>
      <c r="BP70" s="10"/>
      <c r="BR70" s="9"/>
      <c r="BT70" s="10"/>
      <c r="BV70" s="9"/>
      <c r="BX70" s="10"/>
      <c r="BZ70" s="9"/>
      <c r="CB70" s="10"/>
      <c r="CD70" s="9"/>
      <c r="CF70" s="10"/>
      <c r="CH70" s="9"/>
      <c r="CJ70" s="10"/>
      <c r="CL70" s="9"/>
      <c r="CN70" s="10"/>
      <c r="CP70" s="9"/>
      <c r="CR70" s="10"/>
      <c r="CT70" s="9"/>
      <c r="CV70" s="10"/>
      <c r="CX70" s="9"/>
      <c r="CZ70" s="10"/>
      <c r="DB70" s="9"/>
      <c r="DD70" s="10"/>
      <c r="DF70" s="9"/>
      <c r="DH70" s="10"/>
      <c r="DJ70" s="9"/>
      <c r="DL70" s="10"/>
      <c r="DN70" s="9"/>
      <c r="DP70" s="10"/>
      <c r="DR70" s="9"/>
      <c r="DT70" s="10"/>
      <c r="DV70" s="9"/>
      <c r="DX70" s="10"/>
      <c r="DZ70" s="9"/>
      <c r="EB70" s="10"/>
      <c r="ED70" s="9"/>
      <c r="EF70" s="10"/>
      <c r="EH70" s="9"/>
      <c r="EJ70" s="10"/>
      <c r="EL70" s="9"/>
      <c r="EN70" s="10"/>
      <c r="EP70" s="9"/>
      <c r="ER70" s="10"/>
      <c r="ET70" s="9"/>
      <c r="EV70" s="10"/>
      <c r="EX70" s="9"/>
      <c r="EZ70" s="10"/>
      <c r="FB70" s="9"/>
      <c r="FD70" s="10"/>
      <c r="FF70" s="9"/>
      <c r="FH70" s="10"/>
      <c r="FJ70" s="9"/>
      <c r="FL70" s="10"/>
      <c r="FN70" s="9"/>
      <c r="FP70" s="10"/>
      <c r="FR70" s="9"/>
      <c r="FT70" s="10"/>
      <c r="FV70" s="9"/>
      <c r="FX70" s="10"/>
      <c r="FZ70" s="9"/>
      <c r="GB70" s="10"/>
      <c r="GD70" s="9"/>
      <c r="GF70" s="10"/>
      <c r="GH70" s="9"/>
      <c r="GJ70" s="10"/>
      <c r="GL70" s="9"/>
      <c r="GN70" s="10"/>
      <c r="GP70" s="9"/>
      <c r="GR70" s="10"/>
      <c r="GT70" s="9"/>
      <c r="GV70" s="10"/>
      <c r="GX70" s="9"/>
      <c r="GZ70" s="10"/>
      <c r="HB70" s="9"/>
      <c r="HD70" s="10"/>
      <c r="HF70" s="9"/>
      <c r="HH70" s="10"/>
      <c r="HJ70" s="9"/>
      <c r="HL70" s="10"/>
      <c r="HN70" s="9"/>
      <c r="HP70" s="10"/>
      <c r="HR70" s="9"/>
      <c r="HT70" s="10"/>
      <c r="HV70" s="9"/>
      <c r="HX70" s="10"/>
      <c r="HZ70" s="9"/>
      <c r="IB70" s="10"/>
      <c r="ID70" s="9"/>
      <c r="IF70" s="10"/>
      <c r="IH70" s="9"/>
      <c r="IJ70" s="10"/>
      <c r="IL70" s="9"/>
      <c r="IN70" s="10"/>
      <c r="IP70" s="9"/>
      <c r="IR70" s="10"/>
      <c r="IT70" s="9"/>
      <c r="IV70" s="10"/>
      <c r="IX70" s="9"/>
      <c r="IZ70" s="10"/>
      <c r="JB70" s="9"/>
      <c r="JD70" s="10"/>
      <c r="JF70" s="9"/>
      <c r="JH70" s="10"/>
      <c r="JJ70" s="9"/>
      <c r="JL70" s="10"/>
      <c r="JN70" s="9"/>
      <c r="JP70" s="10"/>
      <c r="JR70" s="9"/>
      <c r="JT70" s="10"/>
      <c r="JV70" s="9"/>
      <c r="JX70" s="10"/>
      <c r="JZ70" s="9"/>
      <c r="KB70" s="10"/>
      <c r="KD70" s="9"/>
      <c r="KF70" s="10"/>
      <c r="KH70" s="9"/>
      <c r="KJ70" s="10"/>
      <c r="KL70" s="9"/>
      <c r="KN70" s="10"/>
      <c r="KP70" s="9"/>
      <c r="KR70" s="10"/>
      <c r="KT70" s="9"/>
      <c r="KV70" s="10"/>
      <c r="KX70" s="9"/>
      <c r="KZ70" s="10"/>
      <c r="LB70" s="9"/>
      <c r="LD70" s="10"/>
      <c r="LF70" s="9"/>
      <c r="LH70" s="10"/>
      <c r="LJ70" s="9"/>
      <c r="LL70" s="10"/>
      <c r="LN70" s="9"/>
      <c r="LP70" s="10"/>
      <c r="LR70" s="9"/>
      <c r="LT70" s="10"/>
      <c r="LV70" s="9"/>
      <c r="LX70" s="10"/>
      <c r="LZ70" s="9"/>
      <c r="MB70" s="10"/>
      <c r="MD70" s="9"/>
      <c r="MF70" s="10"/>
      <c r="MH70" s="9"/>
      <c r="MJ70" s="10"/>
    </row>
    <row r="71" spans="1:348" ht="17.7" x14ac:dyDescent="0.6">
      <c r="A71" s="7" t="s">
        <v>69</v>
      </c>
      <c r="B71" s="8">
        <v>19412</v>
      </c>
      <c r="F71" s="9"/>
      <c r="H71" s="10"/>
    </row>
    <row r="72" spans="1:348" ht="17.7" x14ac:dyDescent="0.6">
      <c r="A72" s="7" t="s">
        <v>70</v>
      </c>
      <c r="B72" s="8">
        <v>14379</v>
      </c>
      <c r="F72" s="9"/>
      <c r="H72" s="10"/>
    </row>
    <row r="73" spans="1:348" ht="17.7" x14ac:dyDescent="0.6">
      <c r="A73" s="7" t="s">
        <v>71</v>
      </c>
      <c r="B73" s="8">
        <v>21826</v>
      </c>
      <c r="F73" s="9"/>
      <c r="H73" s="10"/>
    </row>
    <row r="74" spans="1:348" ht="17.7" x14ac:dyDescent="0.6">
      <c r="A74" s="7" t="s">
        <v>72</v>
      </c>
      <c r="B74" s="8">
        <v>22483</v>
      </c>
      <c r="F74" s="9"/>
      <c r="H74" s="10"/>
    </row>
    <row r="75" spans="1:348" ht="17.7" x14ac:dyDescent="0.6">
      <c r="A75" s="7" t="s">
        <v>73</v>
      </c>
      <c r="B75" s="8">
        <v>28561</v>
      </c>
      <c r="F75" s="9"/>
      <c r="H75" s="10"/>
    </row>
    <row r="76" spans="1:348" ht="17.7" x14ac:dyDescent="0.6">
      <c r="A76" s="7" t="s">
        <v>74</v>
      </c>
      <c r="B76" s="8">
        <v>22891</v>
      </c>
      <c r="F76" s="9"/>
      <c r="H76" s="10"/>
    </row>
    <row r="77" spans="1:348" ht="17.7" x14ac:dyDescent="0.6">
      <c r="A77" s="7" t="s">
        <v>75</v>
      </c>
      <c r="B77" s="8">
        <v>22208</v>
      </c>
      <c r="F77" s="9"/>
      <c r="H77" s="10"/>
    </row>
    <row r="78" spans="1:348" ht="17.7" x14ac:dyDescent="0.6">
      <c r="A78" s="7" t="s">
        <v>76</v>
      </c>
      <c r="B78" s="8">
        <v>25461</v>
      </c>
      <c r="F78" s="9"/>
      <c r="H78" s="10"/>
    </row>
    <row r="79" spans="1:348" ht="17.7" x14ac:dyDescent="0.6">
      <c r="A79" s="7" t="s">
        <v>77</v>
      </c>
      <c r="B79" s="8">
        <v>25268</v>
      </c>
      <c r="F79" s="9"/>
      <c r="H79" s="10"/>
    </row>
    <row r="80" spans="1:348" ht="17.7" x14ac:dyDescent="0.6">
      <c r="A80" s="7" t="s">
        <v>78</v>
      </c>
      <c r="B80" s="8">
        <v>26320</v>
      </c>
      <c r="F80" s="9"/>
      <c r="H80" s="10"/>
    </row>
    <row r="81" spans="1:8" ht="17.7" x14ac:dyDescent="0.6">
      <c r="A81" s="7" t="s">
        <v>79</v>
      </c>
      <c r="B81" s="8">
        <v>24837</v>
      </c>
      <c r="F81" s="9"/>
      <c r="H81" s="10"/>
    </row>
    <row r="82" spans="1:8" ht="17.7" x14ac:dyDescent="0.6">
      <c r="A82" s="7" t="s">
        <v>80</v>
      </c>
      <c r="B82" s="8">
        <v>42172</v>
      </c>
      <c r="F82" s="9"/>
      <c r="H82" s="10"/>
    </row>
    <row r="83" spans="1:8" ht="17.7" x14ac:dyDescent="0.6">
      <c r="A83" s="7" t="s">
        <v>81</v>
      </c>
      <c r="B83" s="8">
        <v>24220</v>
      </c>
      <c r="F83" s="9"/>
      <c r="H83" s="10"/>
    </row>
    <row r="84" spans="1:8" ht="17.7" x14ac:dyDescent="0.6">
      <c r="A84" s="7" t="s">
        <v>82</v>
      </c>
      <c r="B84" s="8">
        <v>45034</v>
      </c>
      <c r="F84" s="9"/>
      <c r="H84" s="10"/>
    </row>
    <row r="85" spans="1:8" ht="17.7" x14ac:dyDescent="0.6">
      <c r="A85" s="7" t="s">
        <v>83</v>
      </c>
      <c r="B85" s="8">
        <v>34620</v>
      </c>
      <c r="F85" s="9"/>
      <c r="H85" s="10"/>
    </row>
    <row r="86" spans="1:8" ht="17.7" x14ac:dyDescent="0.6">
      <c r="A86" s="7" t="s">
        <v>84</v>
      </c>
      <c r="B86" s="8">
        <v>39653</v>
      </c>
      <c r="F86" s="9"/>
      <c r="H86" s="10"/>
    </row>
    <row r="87" spans="1:8" ht="17.7" x14ac:dyDescent="0.6">
      <c r="A87" s="7" t="s">
        <v>85</v>
      </c>
      <c r="B87" s="8">
        <v>31883</v>
      </c>
      <c r="F87" s="9"/>
      <c r="H87" s="10"/>
    </row>
    <row r="88" spans="1:8" ht="17.7" x14ac:dyDescent="0.6">
      <c r="A88" s="7" t="s">
        <v>86</v>
      </c>
      <c r="B88" s="8">
        <v>53137</v>
      </c>
      <c r="F88" s="9"/>
      <c r="H88" s="10"/>
    </row>
    <row r="89" spans="1:8" ht="17.7" x14ac:dyDescent="0.6">
      <c r="A89" s="7" t="s">
        <v>87</v>
      </c>
      <c r="B89" s="8">
        <v>49543</v>
      </c>
      <c r="F89" s="9"/>
      <c r="H89" s="10"/>
    </row>
    <row r="90" spans="1:8" ht="17.7" x14ac:dyDescent="0.6">
      <c r="A90" s="7" t="s">
        <v>88</v>
      </c>
      <c r="B90" s="8">
        <v>23823</v>
      </c>
      <c r="F90" s="9"/>
      <c r="H90" s="10"/>
    </row>
    <row r="91" spans="1:8" ht="17.7" x14ac:dyDescent="0.6">
      <c r="A91" s="7" t="s">
        <v>89</v>
      </c>
      <c r="B91" s="8">
        <v>72716</v>
      </c>
      <c r="F91" s="9"/>
      <c r="H91" s="10"/>
    </row>
    <row r="92" spans="1:8" x14ac:dyDescent="0.55000000000000004">
      <c r="F92" s="9"/>
      <c r="H92" s="10"/>
    </row>
    <row r="93" spans="1:8" x14ac:dyDescent="0.55000000000000004">
      <c r="F93" s="9"/>
      <c r="H93" s="10"/>
    </row>
    <row r="94" spans="1:8" x14ac:dyDescent="0.55000000000000004">
      <c r="F94" s="9"/>
      <c r="H94" s="10"/>
    </row>
    <row r="95" spans="1:8" x14ac:dyDescent="0.55000000000000004">
      <c r="F95" s="9"/>
      <c r="H95" s="10"/>
    </row>
    <row r="96" spans="1:8" x14ac:dyDescent="0.55000000000000004">
      <c r="F96" s="9"/>
      <c r="H96" s="10"/>
    </row>
    <row r="97" spans="6:8" x14ac:dyDescent="0.55000000000000004">
      <c r="F97" s="9"/>
      <c r="H97" s="10"/>
    </row>
    <row r="98" spans="6:8" x14ac:dyDescent="0.55000000000000004">
      <c r="F98" s="9"/>
      <c r="H98" s="10"/>
    </row>
    <row r="99" spans="6:8" x14ac:dyDescent="0.55000000000000004">
      <c r="F99" s="9"/>
      <c r="H99" s="10"/>
    </row>
    <row r="100" spans="6:8" x14ac:dyDescent="0.55000000000000004">
      <c r="F100" s="9"/>
      <c r="H100" s="10"/>
    </row>
    <row r="101" spans="6:8" x14ac:dyDescent="0.55000000000000004">
      <c r="F101" s="9"/>
      <c r="H101" s="10"/>
    </row>
    <row r="102" spans="6:8" x14ac:dyDescent="0.55000000000000004">
      <c r="F102" s="9"/>
      <c r="H102" s="10"/>
    </row>
    <row r="103" spans="6:8" x14ac:dyDescent="0.55000000000000004">
      <c r="F103" s="9"/>
      <c r="H103" s="10"/>
    </row>
    <row r="104" spans="6:8" x14ac:dyDescent="0.55000000000000004">
      <c r="F104" s="9"/>
      <c r="H104" s="10"/>
    </row>
    <row r="105" spans="6:8" x14ac:dyDescent="0.55000000000000004">
      <c r="F105" s="9"/>
      <c r="H105" s="10"/>
    </row>
    <row r="106" spans="6:8" x14ac:dyDescent="0.55000000000000004">
      <c r="F106" s="9"/>
      <c r="H106" s="10"/>
    </row>
    <row r="107" spans="6:8" x14ac:dyDescent="0.55000000000000004">
      <c r="F107" s="9"/>
      <c r="H107" s="10"/>
    </row>
    <row r="108" spans="6:8" x14ac:dyDescent="0.55000000000000004">
      <c r="F108" s="9"/>
      <c r="H108" s="10"/>
    </row>
    <row r="109" spans="6:8" x14ac:dyDescent="0.55000000000000004">
      <c r="F109" s="9"/>
      <c r="H109" s="10"/>
    </row>
    <row r="110" spans="6:8" x14ac:dyDescent="0.55000000000000004">
      <c r="F110" s="9"/>
      <c r="H110" s="10"/>
    </row>
    <row r="111" spans="6:8" x14ac:dyDescent="0.55000000000000004">
      <c r="F111" s="9"/>
      <c r="H111" s="10"/>
    </row>
    <row r="112" spans="6:8" x14ac:dyDescent="0.55000000000000004">
      <c r="F112" s="9"/>
      <c r="H112" s="10"/>
    </row>
    <row r="113" spans="6:8" x14ac:dyDescent="0.55000000000000004">
      <c r="F113" s="9"/>
      <c r="H113" s="10"/>
    </row>
    <row r="114" spans="6:8" x14ac:dyDescent="0.55000000000000004">
      <c r="F114" s="9"/>
      <c r="H114" s="10"/>
    </row>
    <row r="115" spans="6:8" x14ac:dyDescent="0.55000000000000004">
      <c r="F115" s="9"/>
      <c r="H115" s="10"/>
    </row>
    <row r="116" spans="6:8" x14ac:dyDescent="0.55000000000000004">
      <c r="F116" s="9"/>
      <c r="H116" s="10"/>
    </row>
    <row r="117" spans="6:8" x14ac:dyDescent="0.55000000000000004">
      <c r="F117" s="9"/>
      <c r="H117" s="10"/>
    </row>
    <row r="118" spans="6:8" x14ac:dyDescent="0.55000000000000004">
      <c r="F118" s="9"/>
      <c r="H118" s="10"/>
    </row>
    <row r="119" spans="6:8" x14ac:dyDescent="0.55000000000000004">
      <c r="F119" s="9"/>
      <c r="H119" s="10"/>
    </row>
    <row r="120" spans="6:8" x14ac:dyDescent="0.55000000000000004">
      <c r="F120" s="9"/>
      <c r="H120" s="10"/>
    </row>
    <row r="121" spans="6:8" x14ac:dyDescent="0.55000000000000004">
      <c r="F121" s="9"/>
      <c r="H121" s="10"/>
    </row>
    <row r="122" spans="6:8" x14ac:dyDescent="0.55000000000000004">
      <c r="F122" s="9"/>
      <c r="H122" s="10"/>
    </row>
    <row r="123" spans="6:8" x14ac:dyDescent="0.55000000000000004">
      <c r="F123" s="9"/>
      <c r="H123" s="10"/>
    </row>
    <row r="124" spans="6:8" x14ac:dyDescent="0.55000000000000004">
      <c r="F124" s="9"/>
      <c r="H124" s="10"/>
    </row>
    <row r="125" spans="6:8" x14ac:dyDescent="0.55000000000000004">
      <c r="F125" s="9"/>
      <c r="H125" s="10"/>
    </row>
    <row r="126" spans="6:8" x14ac:dyDescent="0.55000000000000004">
      <c r="F126" s="9"/>
      <c r="H126" s="10"/>
    </row>
    <row r="127" spans="6:8" x14ac:dyDescent="0.55000000000000004">
      <c r="F127" s="9"/>
      <c r="H127" s="10"/>
    </row>
    <row r="128" spans="6:8" x14ac:dyDescent="0.55000000000000004">
      <c r="F128" s="9"/>
      <c r="H128" s="10"/>
    </row>
    <row r="129" spans="6:8" x14ac:dyDescent="0.55000000000000004">
      <c r="F129" s="9"/>
      <c r="H129" s="10"/>
    </row>
    <row r="130" spans="6:8" x14ac:dyDescent="0.55000000000000004">
      <c r="F130" s="9"/>
      <c r="H130" s="10"/>
    </row>
    <row r="131" spans="6:8" x14ac:dyDescent="0.55000000000000004">
      <c r="F131" s="9"/>
      <c r="H131" s="10"/>
    </row>
    <row r="132" spans="6:8" x14ac:dyDescent="0.55000000000000004">
      <c r="F132" s="9"/>
      <c r="H132" s="10"/>
    </row>
    <row r="133" spans="6:8" x14ac:dyDescent="0.55000000000000004">
      <c r="F133" s="9"/>
      <c r="H133" s="10"/>
    </row>
    <row r="134" spans="6:8" x14ac:dyDescent="0.55000000000000004">
      <c r="F134" s="9"/>
      <c r="H134" s="10"/>
    </row>
    <row r="135" spans="6:8" x14ac:dyDescent="0.55000000000000004">
      <c r="F135" s="9"/>
      <c r="H135" s="10"/>
    </row>
    <row r="136" spans="6:8" x14ac:dyDescent="0.55000000000000004">
      <c r="F136" s="9"/>
      <c r="H136" s="10"/>
    </row>
    <row r="137" spans="6:8" x14ac:dyDescent="0.55000000000000004">
      <c r="F137" s="9"/>
      <c r="H137" s="10"/>
    </row>
    <row r="138" spans="6:8" x14ac:dyDescent="0.55000000000000004">
      <c r="F138" s="9"/>
      <c r="H138" s="10"/>
    </row>
    <row r="139" spans="6:8" x14ac:dyDescent="0.55000000000000004">
      <c r="F139" s="9"/>
      <c r="H139" s="10"/>
    </row>
    <row r="140" spans="6:8" x14ac:dyDescent="0.55000000000000004">
      <c r="F140" s="9"/>
      <c r="H140" s="10"/>
    </row>
    <row r="141" spans="6:8" x14ac:dyDescent="0.55000000000000004">
      <c r="F141" s="9"/>
      <c r="H141" s="10"/>
    </row>
    <row r="142" spans="6:8" x14ac:dyDescent="0.55000000000000004">
      <c r="F142" s="9"/>
      <c r="H142" s="10"/>
    </row>
    <row r="143" spans="6:8" x14ac:dyDescent="0.55000000000000004">
      <c r="F143" s="9"/>
      <c r="H143" s="10"/>
    </row>
    <row r="144" spans="6:8" x14ac:dyDescent="0.55000000000000004">
      <c r="F144" s="9"/>
      <c r="H144" s="10"/>
    </row>
    <row r="145" spans="6:8" x14ac:dyDescent="0.55000000000000004">
      <c r="F145" s="9"/>
      <c r="H145" s="10"/>
    </row>
    <row r="146" spans="6:8" x14ac:dyDescent="0.55000000000000004">
      <c r="F146" s="9"/>
      <c r="H146" s="10"/>
    </row>
    <row r="147" spans="6:8" x14ac:dyDescent="0.55000000000000004">
      <c r="F147" s="9"/>
      <c r="H147" s="10"/>
    </row>
    <row r="148" spans="6:8" x14ac:dyDescent="0.55000000000000004">
      <c r="F148" s="9"/>
      <c r="H148" s="10"/>
    </row>
    <row r="149" spans="6:8" x14ac:dyDescent="0.55000000000000004">
      <c r="F149" s="9"/>
      <c r="H149" s="10"/>
    </row>
    <row r="150" spans="6:8" x14ac:dyDescent="0.55000000000000004">
      <c r="F150" s="9"/>
      <c r="H150" s="10"/>
    </row>
    <row r="151" spans="6:8" x14ac:dyDescent="0.55000000000000004">
      <c r="F151" s="9"/>
      <c r="H151" s="10"/>
    </row>
    <row r="152" spans="6:8" x14ac:dyDescent="0.55000000000000004">
      <c r="F152" s="9"/>
      <c r="H152" s="10"/>
    </row>
    <row r="153" spans="6:8" x14ac:dyDescent="0.55000000000000004">
      <c r="F153" s="9"/>
      <c r="H153" s="10"/>
    </row>
    <row r="154" spans="6:8" x14ac:dyDescent="0.55000000000000004">
      <c r="F154" s="9"/>
      <c r="H154" s="10"/>
    </row>
    <row r="155" spans="6:8" x14ac:dyDescent="0.55000000000000004">
      <c r="F155" s="9"/>
      <c r="H155" s="10"/>
    </row>
  </sheetData>
  <sortState xmlns:xlrd2="http://schemas.microsoft.com/office/spreadsheetml/2017/richdata2" ref="E70:H154">
    <sortCondition ref="G71"/>
  </sortState>
  <mergeCells count="2">
    <mergeCell ref="A2:A5"/>
    <mergeCell ref="B2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Скользящее</vt:lpstr>
      <vt:lpstr>Гистограмма</vt:lpstr>
      <vt:lpstr>Описательная статистика</vt:lpstr>
      <vt:lpstr>Гистограмма(данные)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2020-12-18T18:36:53Z</dcterms:modified>
</cp:coreProperties>
</file>