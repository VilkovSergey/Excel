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5\"/>
    </mc:Choice>
  </mc:AlternateContent>
  <xr:revisionPtr revIDLastSave="0" documentId="13_ncr:1_{A276A86A-A7C8-4BB5-B83A-90FB393E28B1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роверка данных" sheetId="7" r:id="rId1"/>
    <sheet name="Контакты" sheetId="8" r:id="rId2"/>
    <sheet name="Справочник" sheetId="9" r:id="rId3"/>
  </sheets>
  <definedNames>
    <definedName name="_xlnm._FilterDatabase" localSheetId="0" hidden="1">'Проверка данных'!$A$1:$M$62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7" l="1"/>
  <c r="E4" i="7" l="1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" i="7"/>
  <c r="E2" i="7"/>
</calcChain>
</file>

<file path=xl/sharedStrings.xml><?xml version="1.0" encoding="utf-8"?>
<sst xmlns="http://schemas.openxmlformats.org/spreadsheetml/2006/main" count="467" uniqueCount="114">
  <si>
    <t>Менеджер</t>
  </si>
  <si>
    <t>Дата первой встречи</t>
  </si>
  <si>
    <t>Компания-клиент</t>
  </si>
  <si>
    <t>Статус клиента</t>
  </si>
  <si>
    <t>E-mail</t>
  </si>
  <si>
    <t>Продукт</t>
  </si>
  <si>
    <t>Канал</t>
  </si>
  <si>
    <t>Коммерческое предложение</t>
  </si>
  <si>
    <t>Статус сделки</t>
  </si>
  <si>
    <t>Скидка</t>
  </si>
  <si>
    <t>Факт оплаты</t>
  </si>
  <si>
    <t>Дата оплаты</t>
  </si>
  <si>
    <t>Причина отказа</t>
  </si>
  <si>
    <t>Ягренев</t>
  </si>
  <si>
    <t>МЕГАПОЛИС, торговая компания</t>
  </si>
  <si>
    <t>Постоянный</t>
  </si>
  <si>
    <t>petrovamn@MEGAPOLIS.ru</t>
  </si>
  <si>
    <t>Бумажные книги</t>
  </si>
  <si>
    <t>Холодный звонок</t>
  </si>
  <si>
    <t>Торг/согласование</t>
  </si>
  <si>
    <t>Сахалин Энерджи</t>
  </si>
  <si>
    <t>or@Sakhalin.ru</t>
  </si>
  <si>
    <t>Выставка</t>
  </si>
  <si>
    <t>КП</t>
  </si>
  <si>
    <t>Росатом, госкорпорация</t>
  </si>
  <si>
    <t>info@Rosatom.ru</t>
  </si>
  <si>
    <t>Электронная библиотека</t>
  </si>
  <si>
    <t>Работа с постоянными</t>
  </si>
  <si>
    <t>Закрыта</t>
  </si>
  <si>
    <t>Лоскутников</t>
  </si>
  <si>
    <t>Ашан</t>
  </si>
  <si>
    <t>petrovamn@Ashan.ru</t>
  </si>
  <si>
    <t>В оплате</t>
  </si>
  <si>
    <t>Система, АФК</t>
  </si>
  <si>
    <t>sales@AFK.ru</t>
  </si>
  <si>
    <t>Записи тренингов</t>
  </si>
  <si>
    <t>Русал, объединенная компания</t>
  </si>
  <si>
    <t>al@Rusal.ru</t>
  </si>
  <si>
    <t>Онлайн-курс</t>
  </si>
  <si>
    <t>Тренинги</t>
  </si>
  <si>
    <t>Сайт</t>
  </si>
  <si>
    <t>Отказ</t>
  </si>
  <si>
    <t>Нет потребности</t>
  </si>
  <si>
    <t>Аэрофлот</t>
  </si>
  <si>
    <t>sgAeroflot.ru</t>
  </si>
  <si>
    <t>Нет бюджета</t>
  </si>
  <si>
    <t>Лукьянова</t>
  </si>
  <si>
    <t>ЛУКОЙЛ</t>
  </si>
  <si>
    <t>lebedev@LUKOJL.ru</t>
  </si>
  <si>
    <t>Головаха</t>
  </si>
  <si>
    <t>Лента (сеть гипермаркетов)</t>
  </si>
  <si>
    <t>Новый</t>
  </si>
  <si>
    <t>kuznetsova@Lenta.ru</t>
  </si>
  <si>
    <t>Сбербанк России</t>
  </si>
  <si>
    <t>kn@Sberbank.ru</t>
  </si>
  <si>
    <t>Транснефть, АК</t>
  </si>
  <si>
    <t>ey@Transneft.ru</t>
  </si>
  <si>
    <t>Роснефть, нефтяная компания</t>
  </si>
  <si>
    <t>pavlov@Rosneft.ru</t>
  </si>
  <si>
    <t>Другой</t>
  </si>
  <si>
    <t>РусГидро</t>
  </si>
  <si>
    <t>semenov@RusGidro.ru</t>
  </si>
  <si>
    <t>Газпром</t>
  </si>
  <si>
    <t>kozlov@Gazprom.ru</t>
  </si>
  <si>
    <t>НОВАТЭК</t>
  </si>
  <si>
    <t>ceo@NOVATEK.ru</t>
  </si>
  <si>
    <t>Российский Сельскохозяйственный банк</t>
  </si>
  <si>
    <t>pukhov@RSB.ru</t>
  </si>
  <si>
    <t>Российские сети</t>
  </si>
  <si>
    <t>smirnov@Rossijskie_seti.ru</t>
  </si>
  <si>
    <t>Объединенная авиастроительная корпорация</t>
  </si>
  <si>
    <t>uv@Obedinennaya.ru</t>
  </si>
  <si>
    <t>Дж.Т.И. Россия</t>
  </si>
  <si>
    <t>ivanov@Dzh.ru</t>
  </si>
  <si>
    <t>Покупают у конкурентов</t>
  </si>
  <si>
    <t>Северсталь</t>
  </si>
  <si>
    <t>volkov@Severstal.ru</t>
  </si>
  <si>
    <t>Интер РАО</t>
  </si>
  <si>
    <t>marketing@Inter.ru</t>
  </si>
  <si>
    <t>Металлоинвест, холдинговая компания</t>
  </si>
  <si>
    <t>smirnov@Metalloinvest.ru</t>
  </si>
  <si>
    <t>СИБУР Холдинг</t>
  </si>
  <si>
    <t>vinogradov@SIBUR.ru</t>
  </si>
  <si>
    <t>Другое</t>
  </si>
  <si>
    <t>Ростех</t>
  </si>
  <si>
    <t>iv@Rostekh.ru</t>
  </si>
  <si>
    <t>ВымпелКом</t>
  </si>
  <si>
    <t>vinogradov@VympelKom.ru</t>
  </si>
  <si>
    <t>АЛРОСА, АК</t>
  </si>
  <si>
    <t>ivanov@ALROSA.ru</t>
  </si>
  <si>
    <t>ММК</t>
  </si>
  <si>
    <t>sr@MMK.ru</t>
  </si>
  <si>
    <t>Филип Моррис Сэйлз энд Маркетинг</t>
  </si>
  <si>
    <t>info@Filip.ru</t>
  </si>
  <si>
    <t>Татнефть</t>
  </si>
  <si>
    <t>uv@Tatneft.ru</t>
  </si>
  <si>
    <t>УГМК</t>
  </si>
  <si>
    <t>uc@UGMK.ru</t>
  </si>
  <si>
    <t>РЖД</t>
  </si>
  <si>
    <t>semenov@RZHD.ru</t>
  </si>
  <si>
    <t>ДИКСИ Групп</t>
  </si>
  <si>
    <t>kuznetsova@DIKSI.ru</t>
  </si>
  <si>
    <t>Дорого</t>
  </si>
  <si>
    <t>МегаФон</t>
  </si>
  <si>
    <t>info@MegaFon</t>
  </si>
  <si>
    <t>Банк ВТБ</t>
  </si>
  <si>
    <t>pukhov@Bank.ru</t>
  </si>
  <si>
    <t xml:space="preserve">Выставка </t>
  </si>
  <si>
    <t>Курс</t>
  </si>
  <si>
    <t>Онлайн курс</t>
  </si>
  <si>
    <t xml:space="preserve">Онлайн-курс </t>
  </si>
  <si>
    <t>ЭБ</t>
  </si>
  <si>
    <t>Компания</t>
  </si>
  <si>
    <t>Контакт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</si>
</sst>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6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/>
    <xf numFmtId="164" fontId="1" fillId="0" borderId="0" xfId="0" applyNumberFormat="1" applyFont="1" applyAlignment="1"/>
    <xf numFmtId="9" fontId="1" fillId="0" borderId="0" xfId="0" applyNumberFormat="1" applyFont="1" applyAlignment="1">
      <alignment horizontal="right"/>
    </xf>
    <xf numFmtId="0" fontId="1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gaeroflot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2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14.44140625" defaultRowHeight="15.75" customHeight="1" x14ac:dyDescent="0.4"/>
  <cols>
    <col min="3" max="3" width="41.1640625" bestFit="1" customWidth="1"/>
    <col min="5" max="5" width="24" bestFit="1" customWidth="1"/>
    <col min="6" max="6" width="22.83203125" customWidth="1"/>
    <col min="7" max="7" width="20.71875" bestFit="1" customWidth="1"/>
    <col min="9" max="9" width="17.1640625" customWidth="1"/>
  </cols>
  <sheetData>
    <row r="1" spans="1:13" ht="24.6" x14ac:dyDescent="0.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.75" customHeight="1" x14ac:dyDescent="0.4">
      <c r="A2" s="1" t="s">
        <v>13</v>
      </c>
      <c r="B2" s="5">
        <v>43467</v>
      </c>
      <c r="C2" s="1" t="s">
        <v>14</v>
      </c>
      <c r="D2" s="1" t="s">
        <v>15</v>
      </c>
      <c r="E2" s="1" t="str">
        <f>VLOOKUP(C2,Контакты!A:B,2,0)</f>
        <v>petrovamn@MEGAPOLIS.ru</v>
      </c>
      <c r="F2" s="1" t="s">
        <v>17</v>
      </c>
      <c r="G2" s="1" t="s">
        <v>18</v>
      </c>
      <c r="H2" s="6">
        <v>1915117</v>
      </c>
      <c r="I2" s="1" t="s">
        <v>19</v>
      </c>
      <c r="J2" s="6">
        <v>95755.85</v>
      </c>
      <c r="K2" s="7">
        <f>H2-J2</f>
        <v>1819361.15</v>
      </c>
      <c r="L2" s="8"/>
      <c r="M2" s="1"/>
    </row>
    <row r="3" spans="1:13" ht="15.75" customHeight="1" x14ac:dyDescent="0.4">
      <c r="A3" s="1" t="s">
        <v>13</v>
      </c>
      <c r="B3" s="5">
        <v>43471</v>
      </c>
      <c r="C3" s="1" t="s">
        <v>20</v>
      </c>
      <c r="D3" s="1" t="s">
        <v>15</v>
      </c>
      <c r="E3" s="2" t="str">
        <f>VLOOKUP(C3,Контакты!A:B,2,0)</f>
        <v>or@Sakhalin.ru</v>
      </c>
      <c r="F3" s="1" t="s">
        <v>17</v>
      </c>
      <c r="G3" s="1" t="s">
        <v>18</v>
      </c>
      <c r="H3" s="6">
        <v>939129</v>
      </c>
      <c r="I3" s="1" t="s">
        <v>23</v>
      </c>
      <c r="J3" s="9"/>
      <c r="K3" s="7"/>
      <c r="L3" s="8"/>
      <c r="M3" s="1"/>
    </row>
    <row r="4" spans="1:13" ht="15.75" customHeight="1" x14ac:dyDescent="0.4">
      <c r="A4" s="1" t="s">
        <v>13</v>
      </c>
      <c r="B4" s="5">
        <v>43477</v>
      </c>
      <c r="C4" s="1" t="s">
        <v>24</v>
      </c>
      <c r="D4" s="1" t="s">
        <v>15</v>
      </c>
      <c r="E4" s="2" t="str">
        <f>VLOOKUP(C4,Контакты!A:B,2,0)</f>
        <v>info@Rosatom.ru</v>
      </c>
      <c r="F4" s="1" t="s">
        <v>111</v>
      </c>
      <c r="G4" s="1" t="s">
        <v>27</v>
      </c>
      <c r="H4" s="6">
        <v>1648102</v>
      </c>
      <c r="I4" s="1" t="s">
        <v>28</v>
      </c>
      <c r="J4" s="9"/>
      <c r="K4" s="6">
        <v>1648102</v>
      </c>
      <c r="L4" s="5">
        <v>43498</v>
      </c>
      <c r="M4" s="1"/>
    </row>
    <row r="5" spans="1:13" ht="15.75" customHeight="1" x14ac:dyDescent="0.4">
      <c r="A5" s="1" t="s">
        <v>29</v>
      </c>
      <c r="B5" s="5">
        <v>43479</v>
      </c>
      <c r="C5" s="1" t="s">
        <v>30</v>
      </c>
      <c r="D5" s="1" t="s">
        <v>15</v>
      </c>
      <c r="E5" s="2" t="str">
        <f>VLOOKUP(C5,Контакты!A:B,2,0)</f>
        <v>petrovamn@Ashan.ru</v>
      </c>
      <c r="F5" s="1" t="s">
        <v>17</v>
      </c>
      <c r="G5" s="1" t="s">
        <v>27</v>
      </c>
      <c r="H5" s="6">
        <v>962636</v>
      </c>
      <c r="I5" s="1" t="s">
        <v>32</v>
      </c>
      <c r="J5" s="9"/>
      <c r="K5" s="7"/>
      <c r="L5" s="8"/>
      <c r="M5" s="1"/>
    </row>
    <row r="6" spans="1:13" ht="15.75" customHeight="1" x14ac:dyDescent="0.4">
      <c r="A6" s="1" t="s">
        <v>29</v>
      </c>
      <c r="B6" s="5">
        <v>43484</v>
      </c>
      <c r="C6" s="1" t="s">
        <v>33</v>
      </c>
      <c r="D6" s="1" t="s">
        <v>15</v>
      </c>
      <c r="E6" s="2" t="str">
        <f>VLOOKUP(C6,Контакты!A:B,2,0)</f>
        <v>sales@AFK.ru</v>
      </c>
      <c r="F6" s="1" t="s">
        <v>35</v>
      </c>
      <c r="G6" s="1" t="s">
        <v>22</v>
      </c>
      <c r="H6" s="6">
        <v>1161335</v>
      </c>
      <c r="I6" s="1" t="s">
        <v>32</v>
      </c>
      <c r="J6" s="9"/>
      <c r="K6" s="7"/>
      <c r="L6" s="8"/>
      <c r="M6" s="1"/>
    </row>
    <row r="7" spans="1:13" ht="15.75" customHeight="1" x14ac:dyDescent="0.4">
      <c r="A7" s="1" t="s">
        <v>13</v>
      </c>
      <c r="B7" s="5">
        <v>43488</v>
      </c>
      <c r="C7" s="1" t="s">
        <v>36</v>
      </c>
      <c r="D7" s="1" t="s">
        <v>15</v>
      </c>
      <c r="E7" s="2" t="str">
        <f>VLOOKUP(C7,Контакты!A:B,2,0)</f>
        <v>al@Rusal.ru</v>
      </c>
      <c r="F7" s="1" t="s">
        <v>110</v>
      </c>
      <c r="G7" s="2" t="s">
        <v>107</v>
      </c>
      <c r="H7" s="6">
        <v>1073347</v>
      </c>
      <c r="I7" s="1" t="s">
        <v>32</v>
      </c>
      <c r="J7" s="9"/>
      <c r="K7" s="7"/>
      <c r="L7" s="8"/>
      <c r="M7" s="1"/>
    </row>
    <row r="8" spans="1:13" ht="15.75" customHeight="1" x14ac:dyDescent="0.4">
      <c r="A8" s="1" t="s">
        <v>29</v>
      </c>
      <c r="B8" s="5">
        <v>43493</v>
      </c>
      <c r="C8" s="1" t="s">
        <v>20</v>
      </c>
      <c r="D8" s="1" t="s">
        <v>15</v>
      </c>
      <c r="E8" s="2" t="str">
        <f>VLOOKUP(C8,Контакты!A:B,2,0)</f>
        <v>or@Sakhalin.ru</v>
      </c>
      <c r="F8" s="1" t="s">
        <v>39</v>
      </c>
      <c r="G8" s="1" t="s">
        <v>40</v>
      </c>
      <c r="H8" s="6">
        <v>6025810</v>
      </c>
      <c r="I8" s="1" t="s">
        <v>41</v>
      </c>
      <c r="J8" s="9"/>
      <c r="K8" s="7"/>
      <c r="L8" s="8"/>
      <c r="M8" s="1" t="s">
        <v>42</v>
      </c>
    </row>
    <row r="9" spans="1:13" ht="15.75" customHeight="1" x14ac:dyDescent="0.4">
      <c r="A9" s="1" t="s">
        <v>13</v>
      </c>
      <c r="B9" s="5">
        <v>43494</v>
      </c>
      <c r="C9" s="1" t="s">
        <v>43</v>
      </c>
      <c r="D9" s="1" t="s">
        <v>15</v>
      </c>
      <c r="E9" s="2" t="str">
        <f>VLOOKUP(C9,Контакты!A:B,2,0)</f>
        <v>sgAeroflot.ru</v>
      </c>
      <c r="F9" s="1" t="s">
        <v>38</v>
      </c>
      <c r="G9" s="1" t="s">
        <v>18</v>
      </c>
      <c r="H9" s="6">
        <v>929108</v>
      </c>
      <c r="I9" s="1" t="s">
        <v>41</v>
      </c>
      <c r="J9" s="9"/>
      <c r="K9" s="7"/>
      <c r="L9" s="8"/>
      <c r="M9" s="1" t="s">
        <v>45</v>
      </c>
    </row>
    <row r="10" spans="1:13" ht="15.75" customHeight="1" x14ac:dyDescent="0.4">
      <c r="A10" s="1" t="s">
        <v>46</v>
      </c>
      <c r="B10" s="5">
        <v>43497</v>
      </c>
      <c r="C10" s="1" t="s">
        <v>43</v>
      </c>
      <c r="D10" s="1" t="s">
        <v>15</v>
      </c>
      <c r="E10" s="2" t="str">
        <f>VLOOKUP(C10,Контакты!A:B,2,0)</f>
        <v>sgAeroflot.ru</v>
      </c>
      <c r="F10" s="1" t="s">
        <v>39</v>
      </c>
      <c r="G10" s="1" t="s">
        <v>27</v>
      </c>
      <c r="H10" s="6">
        <v>5400127</v>
      </c>
      <c r="I10" s="1" t="s">
        <v>28</v>
      </c>
      <c r="J10" s="9"/>
      <c r="K10" s="6">
        <v>5400127</v>
      </c>
      <c r="L10" s="5">
        <v>43516</v>
      </c>
      <c r="M10" s="1"/>
    </row>
    <row r="11" spans="1:13" ht="15.75" customHeight="1" x14ac:dyDescent="0.4">
      <c r="A11" s="1" t="s">
        <v>46</v>
      </c>
      <c r="B11" s="5">
        <v>43501</v>
      </c>
      <c r="C11" s="1" t="s">
        <v>47</v>
      </c>
      <c r="D11" s="1" t="s">
        <v>15</v>
      </c>
      <c r="E11" s="2" t="str">
        <f>VLOOKUP(C11,Контакты!A:B,2,0)</f>
        <v>lebedev@LUKOJL.ru</v>
      </c>
      <c r="F11" s="1" t="s">
        <v>39</v>
      </c>
      <c r="G11" s="1" t="s">
        <v>27</v>
      </c>
      <c r="H11" s="6">
        <v>4754707</v>
      </c>
      <c r="I11" s="1" t="s">
        <v>32</v>
      </c>
      <c r="J11" s="9"/>
      <c r="K11" s="7"/>
      <c r="L11" s="8"/>
      <c r="M11" s="1"/>
    </row>
    <row r="12" spans="1:13" ht="15.75" customHeight="1" x14ac:dyDescent="0.4">
      <c r="A12" s="1" t="s">
        <v>49</v>
      </c>
      <c r="B12" s="5">
        <v>43524</v>
      </c>
      <c r="C12" s="1" t="s">
        <v>50</v>
      </c>
      <c r="D12" s="1" t="s">
        <v>51</v>
      </c>
      <c r="E12" s="2" t="str">
        <f>VLOOKUP(C12,Контакты!A:B,2,0)</f>
        <v>kuznetsova@Lenta.ru</v>
      </c>
      <c r="F12" s="1" t="s">
        <v>38</v>
      </c>
      <c r="G12" s="2" t="s">
        <v>40</v>
      </c>
      <c r="H12" s="6">
        <v>275688</v>
      </c>
      <c r="I12" s="1" t="s">
        <v>19</v>
      </c>
      <c r="J12" s="6">
        <v>13784.400000000001</v>
      </c>
      <c r="K12" s="7"/>
      <c r="L12" s="8"/>
      <c r="M12" s="1"/>
    </row>
    <row r="13" spans="1:13" ht="15.75" customHeight="1" x14ac:dyDescent="0.4">
      <c r="A13" s="1" t="s">
        <v>29</v>
      </c>
      <c r="B13" s="5">
        <v>43552</v>
      </c>
      <c r="C13" s="1" t="s">
        <v>53</v>
      </c>
      <c r="D13" s="1" t="s">
        <v>15</v>
      </c>
      <c r="E13" s="2" t="str">
        <f>VLOOKUP(C13,Контакты!A:B,2,0)</f>
        <v>kn@Sberbank.ru</v>
      </c>
      <c r="F13" s="1" t="s">
        <v>26</v>
      </c>
      <c r="G13" s="1" t="s">
        <v>27</v>
      </c>
      <c r="H13" s="6">
        <v>5757530</v>
      </c>
      <c r="I13" s="1" t="s">
        <v>23</v>
      </c>
      <c r="J13" s="9"/>
      <c r="K13" s="7"/>
      <c r="L13" s="8"/>
      <c r="M13" s="1"/>
    </row>
    <row r="14" spans="1:13" ht="15.75" customHeight="1" x14ac:dyDescent="0.4">
      <c r="A14" s="1" t="s">
        <v>46</v>
      </c>
      <c r="B14" s="5">
        <v>43556</v>
      </c>
      <c r="C14" s="1" t="s">
        <v>55</v>
      </c>
      <c r="D14" s="1" t="s">
        <v>51</v>
      </c>
      <c r="E14" s="2" t="str">
        <f>VLOOKUP(C14,Контакты!A:B,2,0)</f>
        <v>ey@Transneft.ru</v>
      </c>
      <c r="F14" s="1" t="s">
        <v>39</v>
      </c>
      <c r="G14" s="1" t="s">
        <v>22</v>
      </c>
      <c r="H14" s="6">
        <v>3437765</v>
      </c>
      <c r="I14" s="1" t="s">
        <v>19</v>
      </c>
      <c r="J14" s="9"/>
      <c r="K14" s="7"/>
      <c r="L14" s="8"/>
      <c r="M14" s="1"/>
    </row>
    <row r="15" spans="1:13" ht="15.75" customHeight="1" x14ac:dyDescent="0.4">
      <c r="A15" s="1" t="s">
        <v>29</v>
      </c>
      <c r="B15" s="5">
        <v>43566</v>
      </c>
      <c r="C15" s="1" t="s">
        <v>57</v>
      </c>
      <c r="D15" s="1" t="s">
        <v>15</v>
      </c>
      <c r="E15" s="2" t="str">
        <f>VLOOKUP(C15,Контакты!A:B,2,0)</f>
        <v>pavlov@Rosneft.ru</v>
      </c>
      <c r="F15" s="1" t="s">
        <v>35</v>
      </c>
      <c r="G15" s="12" t="s">
        <v>59</v>
      </c>
      <c r="H15" s="6">
        <v>1159999</v>
      </c>
      <c r="I15" s="1" t="s">
        <v>32</v>
      </c>
      <c r="J15" s="9"/>
      <c r="K15" s="7"/>
      <c r="L15" s="8"/>
      <c r="M15" s="1"/>
    </row>
    <row r="16" spans="1:13" ht="15.75" customHeight="1" x14ac:dyDescent="0.4">
      <c r="A16" s="1" t="s">
        <v>29</v>
      </c>
      <c r="B16" s="5">
        <v>43567</v>
      </c>
      <c r="C16" s="1" t="s">
        <v>60</v>
      </c>
      <c r="D16" s="1" t="s">
        <v>15</v>
      </c>
      <c r="E16" s="2" t="str">
        <f>VLOOKUP(C16,Контакты!A:B,2,0)</f>
        <v>semenov@RusGidro.ru</v>
      </c>
      <c r="F16" s="1" t="s">
        <v>38</v>
      </c>
      <c r="G16" s="1" t="s">
        <v>18</v>
      </c>
      <c r="H16" s="6">
        <v>2001156</v>
      </c>
      <c r="I16" s="1" t="s">
        <v>19</v>
      </c>
      <c r="J16" s="9"/>
      <c r="K16" s="7"/>
      <c r="L16" s="8"/>
      <c r="M16" s="1"/>
    </row>
    <row r="17" spans="1:13" ht="15.75" customHeight="1" x14ac:dyDescent="0.4">
      <c r="A17" s="1" t="s">
        <v>13</v>
      </c>
      <c r="B17" s="5">
        <v>43567</v>
      </c>
      <c r="C17" s="1" t="s">
        <v>62</v>
      </c>
      <c r="D17" s="1" t="s">
        <v>15</v>
      </c>
      <c r="E17" s="2" t="str">
        <f>VLOOKUP(C17,Контакты!A:B,2,0)</f>
        <v>kozlov@Gazprom.ru</v>
      </c>
      <c r="F17" s="1" t="s">
        <v>17</v>
      </c>
      <c r="G17" s="1" t="s">
        <v>27</v>
      </c>
      <c r="H17" s="6">
        <v>1479938</v>
      </c>
      <c r="I17" s="1" t="s">
        <v>19</v>
      </c>
      <c r="J17" s="9"/>
      <c r="K17" s="7"/>
      <c r="L17" s="8"/>
      <c r="M17" s="1"/>
    </row>
    <row r="18" spans="1:13" ht="15.75" customHeight="1" x14ac:dyDescent="0.4">
      <c r="A18" s="1" t="s">
        <v>13</v>
      </c>
      <c r="B18" s="5">
        <v>43570</v>
      </c>
      <c r="C18" s="1" t="s">
        <v>64</v>
      </c>
      <c r="D18" s="1" t="s">
        <v>15</v>
      </c>
      <c r="E18" s="2" t="str">
        <f>VLOOKUP(C18,Контакты!A:B,2,0)</f>
        <v>ceo@NOVATEK.ru</v>
      </c>
      <c r="F18" s="1" t="s">
        <v>39</v>
      </c>
      <c r="G18" s="1" t="s">
        <v>40</v>
      </c>
      <c r="H18" s="6">
        <v>576223</v>
      </c>
      <c r="I18" s="1" t="s">
        <v>23</v>
      </c>
      <c r="J18" s="9"/>
      <c r="K18" s="7"/>
      <c r="L18" s="8"/>
      <c r="M18" s="1"/>
    </row>
    <row r="19" spans="1:13" ht="15.75" customHeight="1" x14ac:dyDescent="0.4">
      <c r="A19" s="1" t="s">
        <v>13</v>
      </c>
      <c r="B19" s="5">
        <v>43588</v>
      </c>
      <c r="C19" s="1" t="s">
        <v>66</v>
      </c>
      <c r="D19" s="1" t="s">
        <v>15</v>
      </c>
      <c r="E19" s="2" t="str">
        <f>VLOOKUP(C19,Контакты!A:B,2,0)</f>
        <v>pukhov@RSB.ru</v>
      </c>
      <c r="F19" s="1" t="s">
        <v>26</v>
      </c>
      <c r="G19" s="1" t="s">
        <v>18</v>
      </c>
      <c r="H19" s="6">
        <v>289773</v>
      </c>
      <c r="I19" s="1" t="s">
        <v>19</v>
      </c>
      <c r="J19" s="6">
        <v>8693.19</v>
      </c>
      <c r="K19" s="7"/>
      <c r="L19" s="8"/>
      <c r="M19" s="1"/>
    </row>
    <row r="20" spans="1:13" ht="15.75" customHeight="1" x14ac:dyDescent="0.4">
      <c r="A20" s="1" t="s">
        <v>13</v>
      </c>
      <c r="B20" s="5">
        <v>43598</v>
      </c>
      <c r="C20" s="1" t="s">
        <v>30</v>
      </c>
      <c r="D20" s="1" t="s">
        <v>15</v>
      </c>
      <c r="E20" s="2" t="str">
        <f>VLOOKUP(C20,Контакты!A:B,2,0)</f>
        <v>petrovamn@Ashan.ru</v>
      </c>
      <c r="F20" s="1" t="s">
        <v>26</v>
      </c>
      <c r="G20" s="1" t="s">
        <v>27</v>
      </c>
      <c r="H20" s="6">
        <v>5859854</v>
      </c>
      <c r="I20" s="1" t="s">
        <v>32</v>
      </c>
      <c r="J20" s="9"/>
      <c r="K20" s="7"/>
      <c r="L20" s="8"/>
      <c r="M20" s="1"/>
    </row>
    <row r="21" spans="1:13" ht="15.75" customHeight="1" x14ac:dyDescent="0.4">
      <c r="A21" s="1" t="s">
        <v>49</v>
      </c>
      <c r="B21" s="5">
        <v>43607</v>
      </c>
      <c r="C21" s="1" t="s">
        <v>68</v>
      </c>
      <c r="D21" s="1" t="s">
        <v>51</v>
      </c>
      <c r="E21" s="2" t="str">
        <f>VLOOKUP(C21,Контакты!A:B,2,0)</f>
        <v>smirnov@Rossijskie_seti.ru</v>
      </c>
      <c r="F21" s="1" t="s">
        <v>17</v>
      </c>
      <c r="G21" s="1" t="s">
        <v>22</v>
      </c>
      <c r="H21" s="6">
        <v>985377</v>
      </c>
      <c r="I21" s="1" t="s">
        <v>32</v>
      </c>
      <c r="J21" s="9"/>
      <c r="K21" s="7"/>
      <c r="L21" s="8"/>
      <c r="M21" s="1"/>
    </row>
    <row r="22" spans="1:13" ht="15.75" customHeight="1" x14ac:dyDescent="0.4">
      <c r="A22" s="1" t="s">
        <v>46</v>
      </c>
      <c r="B22" s="5">
        <v>43628</v>
      </c>
      <c r="C22" s="1" t="s">
        <v>70</v>
      </c>
      <c r="D22" s="1" t="s">
        <v>15</v>
      </c>
      <c r="E22" s="2" t="str">
        <f>VLOOKUP(C22,Контакты!A:B,2,0)</f>
        <v>uv@Obedinennaya.ru</v>
      </c>
      <c r="F22" s="1" t="s">
        <v>35</v>
      </c>
      <c r="G22" s="1" t="s">
        <v>18</v>
      </c>
      <c r="H22" s="6">
        <v>1862733</v>
      </c>
      <c r="I22" s="1" t="s">
        <v>23</v>
      </c>
      <c r="J22" s="9"/>
      <c r="K22" s="7"/>
      <c r="L22" s="8"/>
      <c r="M22" s="1"/>
    </row>
    <row r="23" spans="1:13" ht="15.75" customHeight="1" x14ac:dyDescent="0.4">
      <c r="A23" s="1" t="s">
        <v>49</v>
      </c>
      <c r="B23" s="5">
        <v>43642</v>
      </c>
      <c r="C23" s="1" t="s">
        <v>70</v>
      </c>
      <c r="D23" s="1" t="s">
        <v>15</v>
      </c>
      <c r="E23" s="2" t="str">
        <f>VLOOKUP(C23,Контакты!A:B,2,0)</f>
        <v>uv@Obedinennaya.ru</v>
      </c>
      <c r="F23" s="1" t="s">
        <v>17</v>
      </c>
      <c r="G23" s="1" t="s">
        <v>59</v>
      </c>
      <c r="H23" s="6">
        <v>801952</v>
      </c>
      <c r="I23" s="1" t="s">
        <v>41</v>
      </c>
      <c r="J23" s="9"/>
      <c r="K23" s="7"/>
      <c r="L23" s="8"/>
      <c r="M23" s="1" t="s">
        <v>42</v>
      </c>
    </row>
    <row r="24" spans="1:13" ht="15.75" customHeight="1" x14ac:dyDescent="0.4">
      <c r="A24" s="1" t="s">
        <v>46</v>
      </c>
      <c r="B24" s="5">
        <v>43644</v>
      </c>
      <c r="C24" s="1" t="s">
        <v>70</v>
      </c>
      <c r="D24" s="1" t="s">
        <v>15</v>
      </c>
      <c r="E24" s="2" t="str">
        <f>VLOOKUP(C24,Контакты!A:B,2,0)</f>
        <v>uv@Obedinennaya.ru</v>
      </c>
      <c r="F24" s="1" t="s">
        <v>26</v>
      </c>
      <c r="G24" s="1" t="s">
        <v>22</v>
      </c>
      <c r="H24" s="6">
        <v>7392760</v>
      </c>
      <c r="I24" s="1" t="s">
        <v>28</v>
      </c>
      <c r="J24" s="6">
        <v>221782.8</v>
      </c>
      <c r="K24" s="6">
        <v>7392760</v>
      </c>
      <c r="L24" s="5">
        <v>43543</v>
      </c>
      <c r="M24" s="1"/>
    </row>
    <row r="25" spans="1:13" ht="15.75" customHeight="1" x14ac:dyDescent="0.4">
      <c r="A25" s="1" t="s">
        <v>49</v>
      </c>
      <c r="B25" s="5">
        <v>43646</v>
      </c>
      <c r="C25" s="1" t="s">
        <v>72</v>
      </c>
      <c r="D25" s="1" t="s">
        <v>15</v>
      </c>
      <c r="E25" s="2" t="str">
        <f>VLOOKUP(C25,Контакты!A:B,2,0)</f>
        <v>ivanov@Dzh.ru</v>
      </c>
      <c r="F25" s="1" t="s">
        <v>26</v>
      </c>
      <c r="G25" s="1" t="s">
        <v>59</v>
      </c>
      <c r="H25" s="6">
        <v>3849971</v>
      </c>
      <c r="I25" s="1" t="s">
        <v>19</v>
      </c>
      <c r="J25" s="9"/>
      <c r="K25" s="7"/>
      <c r="L25" s="8"/>
      <c r="M25" s="1"/>
    </row>
    <row r="26" spans="1:13" ht="15.75" customHeight="1" x14ac:dyDescent="0.4">
      <c r="A26" s="1" t="s">
        <v>29</v>
      </c>
      <c r="B26" s="5">
        <v>43652</v>
      </c>
      <c r="C26" s="1" t="s">
        <v>57</v>
      </c>
      <c r="D26" s="1" t="s">
        <v>15</v>
      </c>
      <c r="E26" s="2" t="str">
        <f>VLOOKUP(C26,Контакты!A:B,2,0)</f>
        <v>pavlov@Rosneft.ru</v>
      </c>
      <c r="F26" s="1" t="s">
        <v>39</v>
      </c>
      <c r="G26" s="1" t="s">
        <v>22</v>
      </c>
      <c r="H26" s="6">
        <v>1403650</v>
      </c>
      <c r="I26" s="1" t="s">
        <v>41</v>
      </c>
      <c r="J26" s="9"/>
      <c r="K26" s="7"/>
      <c r="L26" s="8"/>
      <c r="M26" s="10" t="s">
        <v>74</v>
      </c>
    </row>
    <row r="27" spans="1:13" ht="15.75" customHeight="1" x14ac:dyDescent="0.4">
      <c r="A27" s="1" t="s">
        <v>13</v>
      </c>
      <c r="B27" s="5">
        <v>43673</v>
      </c>
      <c r="C27" s="1" t="s">
        <v>68</v>
      </c>
      <c r="D27" s="1" t="s">
        <v>51</v>
      </c>
      <c r="E27" s="2" t="str">
        <f>VLOOKUP(C27,Контакты!A:B,2,0)</f>
        <v>smirnov@Rossijskie_seti.ru</v>
      </c>
      <c r="F27" s="1" t="s">
        <v>39</v>
      </c>
      <c r="G27" s="1" t="s">
        <v>40</v>
      </c>
      <c r="H27" s="6">
        <v>2497678</v>
      </c>
      <c r="I27" s="1" t="s">
        <v>41</v>
      </c>
      <c r="J27" s="9"/>
      <c r="K27" s="7"/>
      <c r="L27" s="8"/>
      <c r="M27" s="1" t="s">
        <v>45</v>
      </c>
    </row>
    <row r="28" spans="1:13" ht="15.75" customHeight="1" x14ac:dyDescent="0.4">
      <c r="A28" s="1" t="s">
        <v>13</v>
      </c>
      <c r="B28" s="5">
        <v>43688</v>
      </c>
      <c r="C28" s="1" t="s">
        <v>64</v>
      </c>
      <c r="D28" s="1" t="s">
        <v>15</v>
      </c>
      <c r="E28" s="2" t="str">
        <f>VLOOKUP(C28,Контакты!A:B,2,0)</f>
        <v>ceo@NOVATEK.ru</v>
      </c>
      <c r="F28" s="1" t="s">
        <v>38</v>
      </c>
      <c r="G28" s="1" t="s">
        <v>22</v>
      </c>
      <c r="H28" s="6">
        <v>1484752</v>
      </c>
      <c r="I28" s="1" t="s">
        <v>23</v>
      </c>
      <c r="J28" s="9"/>
      <c r="K28" s="7"/>
      <c r="L28" s="8"/>
      <c r="M28" s="1"/>
    </row>
    <row r="29" spans="1:13" ht="12.3" x14ac:dyDescent="0.4">
      <c r="A29" s="1" t="s">
        <v>46</v>
      </c>
      <c r="B29" s="5">
        <v>43691</v>
      </c>
      <c r="C29" s="1" t="s">
        <v>75</v>
      </c>
      <c r="D29" s="1" t="s">
        <v>15</v>
      </c>
      <c r="E29" s="2" t="str">
        <f>VLOOKUP(C29,Контакты!A:B,2,0)</f>
        <v>volkov@Severstal.ru</v>
      </c>
      <c r="F29" s="1" t="s">
        <v>39</v>
      </c>
      <c r="G29" s="1" t="s">
        <v>27</v>
      </c>
      <c r="H29" s="6">
        <v>5478085</v>
      </c>
      <c r="I29" s="1" t="s">
        <v>32</v>
      </c>
      <c r="J29" s="6">
        <v>164342.54999999999</v>
      </c>
      <c r="K29" s="7"/>
      <c r="L29" s="8"/>
      <c r="M29" s="1"/>
    </row>
    <row r="30" spans="1:13" ht="12.3" x14ac:dyDescent="0.4">
      <c r="A30" s="1" t="s">
        <v>29</v>
      </c>
      <c r="B30" s="5">
        <v>43702</v>
      </c>
      <c r="C30" s="1" t="s">
        <v>53</v>
      </c>
      <c r="D30" s="1" t="s">
        <v>15</v>
      </c>
      <c r="E30" s="2" t="str">
        <f>VLOOKUP(C30,Контакты!A:B,2,0)</f>
        <v>kn@Sberbank.ru</v>
      </c>
      <c r="F30" s="1" t="s">
        <v>35</v>
      </c>
      <c r="G30" s="12" t="s">
        <v>40</v>
      </c>
      <c r="H30" s="6">
        <v>345315</v>
      </c>
      <c r="I30" s="1" t="s">
        <v>19</v>
      </c>
      <c r="J30" s="9"/>
      <c r="K30" s="7"/>
      <c r="L30" s="8"/>
      <c r="M30" s="1"/>
    </row>
    <row r="31" spans="1:13" ht="12.3" x14ac:dyDescent="0.4">
      <c r="A31" s="1" t="s">
        <v>46</v>
      </c>
      <c r="B31" s="5">
        <v>43706</v>
      </c>
      <c r="C31" s="1" t="s">
        <v>72</v>
      </c>
      <c r="D31" s="1" t="s">
        <v>15</v>
      </c>
      <c r="E31" s="2" t="str">
        <f>VLOOKUP(C31,Контакты!A:B,2,0)</f>
        <v>ivanov@Dzh.ru</v>
      </c>
      <c r="F31" s="1" t="s">
        <v>35</v>
      </c>
      <c r="G31" s="12" t="s">
        <v>22</v>
      </c>
      <c r="H31" s="6">
        <v>1049413</v>
      </c>
      <c r="I31" s="1" t="s">
        <v>19</v>
      </c>
      <c r="J31" s="9"/>
      <c r="K31" s="7"/>
      <c r="L31" s="8"/>
      <c r="M31" s="1"/>
    </row>
    <row r="32" spans="1:13" ht="12.3" x14ac:dyDescent="0.4">
      <c r="A32" s="1" t="s">
        <v>13</v>
      </c>
      <c r="B32" s="5">
        <v>43716</v>
      </c>
      <c r="C32" s="1" t="s">
        <v>77</v>
      </c>
      <c r="D32" s="1" t="s">
        <v>15</v>
      </c>
      <c r="E32" s="2" t="str">
        <f>VLOOKUP(C32,Контакты!A:B,2,0)</f>
        <v>marketing@Inter.ru</v>
      </c>
      <c r="F32" s="1" t="s">
        <v>35</v>
      </c>
      <c r="G32" s="1" t="s">
        <v>40</v>
      </c>
      <c r="H32" s="6">
        <v>1667065</v>
      </c>
      <c r="I32" s="1" t="s">
        <v>23</v>
      </c>
      <c r="J32" s="9"/>
      <c r="K32" s="7"/>
      <c r="L32" s="8"/>
      <c r="M32" s="1"/>
    </row>
    <row r="33" spans="1:13" ht="12.3" x14ac:dyDescent="0.4">
      <c r="A33" s="1" t="s">
        <v>29</v>
      </c>
      <c r="B33" s="5">
        <v>43719</v>
      </c>
      <c r="C33" s="1" t="s">
        <v>79</v>
      </c>
      <c r="D33" s="1" t="s">
        <v>15</v>
      </c>
      <c r="E33" s="2" t="str">
        <f>VLOOKUP(C33,Контакты!A:B,2,0)</f>
        <v>smirnov@Metalloinvest.ru</v>
      </c>
      <c r="F33" s="1" t="s">
        <v>26</v>
      </c>
      <c r="G33" s="1" t="s">
        <v>27</v>
      </c>
      <c r="H33" s="6">
        <v>2782323</v>
      </c>
      <c r="I33" s="1" t="s">
        <v>23</v>
      </c>
      <c r="J33" s="9"/>
      <c r="K33" s="7"/>
      <c r="L33" s="8"/>
      <c r="M33" s="1"/>
    </row>
    <row r="34" spans="1:13" ht="12.3" x14ac:dyDescent="0.4">
      <c r="A34" s="1" t="s">
        <v>29</v>
      </c>
      <c r="B34" s="5">
        <v>43719</v>
      </c>
      <c r="C34" s="1" t="s">
        <v>81</v>
      </c>
      <c r="D34" s="1" t="s">
        <v>15</v>
      </c>
      <c r="E34" s="2" t="str">
        <f>VLOOKUP(C34,Контакты!A:B,2,0)</f>
        <v>vinogradov@SIBUR.ru</v>
      </c>
      <c r="F34" s="1" t="s">
        <v>26</v>
      </c>
      <c r="G34" s="1" t="s">
        <v>22</v>
      </c>
      <c r="H34" s="6">
        <v>4435278</v>
      </c>
      <c r="I34" s="1" t="s">
        <v>28</v>
      </c>
      <c r="J34" s="9"/>
      <c r="K34" s="6">
        <v>4435278</v>
      </c>
      <c r="L34" s="5">
        <v>43748</v>
      </c>
      <c r="M34" s="1"/>
    </row>
    <row r="35" spans="1:13" ht="12.3" x14ac:dyDescent="0.4">
      <c r="A35" s="1" t="s">
        <v>49</v>
      </c>
      <c r="B35" s="5">
        <v>43722</v>
      </c>
      <c r="C35" s="1" t="s">
        <v>79</v>
      </c>
      <c r="D35" s="1" t="s">
        <v>15</v>
      </c>
      <c r="E35" s="2" t="str">
        <f>VLOOKUP(C35,Контакты!A:B,2,0)</f>
        <v>smirnov@Metalloinvest.ru</v>
      </c>
      <c r="F35" s="1" t="s">
        <v>38</v>
      </c>
      <c r="G35" s="1" t="s">
        <v>27</v>
      </c>
      <c r="H35" s="6">
        <v>3866703</v>
      </c>
      <c r="I35" s="1" t="s">
        <v>41</v>
      </c>
      <c r="J35" s="9"/>
      <c r="K35" s="7"/>
      <c r="L35" s="8"/>
      <c r="M35" s="1" t="s">
        <v>83</v>
      </c>
    </row>
    <row r="36" spans="1:13" ht="12.3" x14ac:dyDescent="0.4">
      <c r="A36" s="1" t="s">
        <v>13</v>
      </c>
      <c r="B36" s="5">
        <v>43725</v>
      </c>
      <c r="C36" s="1" t="s">
        <v>77</v>
      </c>
      <c r="D36" s="1" t="s">
        <v>51</v>
      </c>
      <c r="E36" s="2" t="str">
        <f>VLOOKUP(C36,Контакты!A:B,2,0)</f>
        <v>marketing@Inter.ru</v>
      </c>
      <c r="F36" s="1" t="s">
        <v>17</v>
      </c>
      <c r="G36" s="12" t="s">
        <v>40</v>
      </c>
      <c r="H36" s="6">
        <v>1701791</v>
      </c>
      <c r="I36" s="1" t="s">
        <v>41</v>
      </c>
      <c r="J36" s="9"/>
      <c r="K36" s="7"/>
      <c r="L36" s="8"/>
      <c r="M36" s="1" t="s">
        <v>83</v>
      </c>
    </row>
    <row r="37" spans="1:13" ht="12.3" x14ac:dyDescent="0.4">
      <c r="A37" s="1" t="s">
        <v>46</v>
      </c>
      <c r="B37" s="5">
        <v>43731</v>
      </c>
      <c r="C37" s="1" t="s">
        <v>84</v>
      </c>
      <c r="D37" s="1" t="s">
        <v>51</v>
      </c>
      <c r="E37" s="2" t="str">
        <f>VLOOKUP(C37,Контакты!A:B,2,0)</f>
        <v>iv@Rostekh.ru</v>
      </c>
      <c r="F37" s="1" t="s">
        <v>38</v>
      </c>
      <c r="G37" s="1" t="s">
        <v>22</v>
      </c>
      <c r="H37" s="6">
        <v>3890483</v>
      </c>
      <c r="I37" s="1" t="s">
        <v>19</v>
      </c>
      <c r="J37" s="9"/>
      <c r="K37" s="7"/>
      <c r="L37" s="8"/>
      <c r="M37" s="1"/>
    </row>
    <row r="38" spans="1:13" ht="12.3" x14ac:dyDescent="0.4">
      <c r="A38" s="1" t="s">
        <v>13</v>
      </c>
      <c r="B38" s="5">
        <v>43735</v>
      </c>
      <c r="C38" s="1" t="s">
        <v>86</v>
      </c>
      <c r="D38" s="1" t="s">
        <v>51</v>
      </c>
      <c r="E38" s="2" t="str">
        <f>VLOOKUP(C38,Контакты!A:B,2,0)</f>
        <v>vinogradov@VympelKom.ru</v>
      </c>
      <c r="F38" s="1" t="s">
        <v>39</v>
      </c>
      <c r="G38" s="1" t="s">
        <v>59</v>
      </c>
      <c r="H38" s="6">
        <v>5875064</v>
      </c>
      <c r="I38" s="1" t="s">
        <v>19</v>
      </c>
      <c r="J38" s="6">
        <v>293753.2</v>
      </c>
      <c r="K38" s="7"/>
      <c r="L38" s="8"/>
      <c r="M38" s="1"/>
    </row>
    <row r="39" spans="1:13" ht="12.3" x14ac:dyDescent="0.4">
      <c r="A39" s="1" t="s">
        <v>13</v>
      </c>
      <c r="B39" s="5">
        <v>43747</v>
      </c>
      <c r="C39" s="1" t="s">
        <v>20</v>
      </c>
      <c r="D39" s="1" t="s">
        <v>15</v>
      </c>
      <c r="E39" s="2" t="str">
        <f>VLOOKUP(C39,Контакты!A:B,2,0)</f>
        <v>or@Sakhalin.ru</v>
      </c>
      <c r="F39" s="1" t="s">
        <v>38</v>
      </c>
      <c r="G39" s="1" t="s">
        <v>27</v>
      </c>
      <c r="H39" s="6">
        <v>1806335</v>
      </c>
      <c r="I39" s="1" t="s">
        <v>32</v>
      </c>
      <c r="J39" s="9"/>
      <c r="K39" s="7"/>
      <c r="L39" s="8"/>
      <c r="M39" s="1"/>
    </row>
    <row r="40" spans="1:13" ht="12.3" x14ac:dyDescent="0.4">
      <c r="A40" s="1" t="s">
        <v>13</v>
      </c>
      <c r="B40" s="5">
        <v>43770</v>
      </c>
      <c r="C40" s="1" t="s">
        <v>36</v>
      </c>
      <c r="D40" s="1" t="s">
        <v>15</v>
      </c>
      <c r="E40" s="2" t="str">
        <f>VLOOKUP(C40,Контакты!A:B,2,0)</f>
        <v>al@Rusal.ru</v>
      </c>
      <c r="F40" s="1" t="s">
        <v>17</v>
      </c>
      <c r="G40" s="12" t="s">
        <v>18</v>
      </c>
      <c r="H40" s="6">
        <v>516347</v>
      </c>
      <c r="I40" s="1" t="s">
        <v>32</v>
      </c>
      <c r="J40" s="9"/>
      <c r="K40" s="7"/>
      <c r="L40" s="8"/>
      <c r="M40" s="1"/>
    </row>
    <row r="41" spans="1:13" ht="12.3" x14ac:dyDescent="0.4">
      <c r="A41" s="1" t="s">
        <v>46</v>
      </c>
      <c r="B41" s="5">
        <v>43777</v>
      </c>
      <c r="C41" s="1" t="s">
        <v>33</v>
      </c>
      <c r="D41" s="1" t="s">
        <v>15</v>
      </c>
      <c r="E41" s="2" t="str">
        <f>VLOOKUP(C41,Контакты!A:B,2,0)</f>
        <v>sales@AFK.ru</v>
      </c>
      <c r="F41" s="1" t="s">
        <v>26</v>
      </c>
      <c r="G41" s="1" t="s">
        <v>18</v>
      </c>
      <c r="H41" s="6">
        <v>5157330</v>
      </c>
      <c r="I41" s="1" t="s">
        <v>23</v>
      </c>
      <c r="J41" s="9"/>
      <c r="K41" s="7"/>
      <c r="L41" s="8"/>
      <c r="M41" s="1"/>
    </row>
    <row r="42" spans="1:13" ht="12.3" x14ac:dyDescent="0.4">
      <c r="A42" s="1" t="s">
        <v>49</v>
      </c>
      <c r="B42" s="5">
        <v>43791</v>
      </c>
      <c r="C42" s="1" t="s">
        <v>72</v>
      </c>
      <c r="D42" s="1" t="s">
        <v>15</v>
      </c>
      <c r="E42" s="2" t="str">
        <f>VLOOKUP(C42,Контакты!A:B,2,0)</f>
        <v>ivanov@Dzh.ru</v>
      </c>
      <c r="F42" s="1" t="s">
        <v>38</v>
      </c>
      <c r="G42" s="1" t="s">
        <v>18</v>
      </c>
      <c r="H42" s="6">
        <v>3222777</v>
      </c>
      <c r="I42" s="1" t="s">
        <v>32</v>
      </c>
      <c r="J42" s="9"/>
      <c r="K42" s="7"/>
      <c r="L42" s="8"/>
      <c r="M42" s="1"/>
    </row>
    <row r="43" spans="1:13" ht="12.3" x14ac:dyDescent="0.4">
      <c r="A43" s="1" t="s">
        <v>46</v>
      </c>
      <c r="B43" s="5">
        <v>43795</v>
      </c>
      <c r="C43" s="1" t="s">
        <v>79</v>
      </c>
      <c r="D43" s="1" t="s">
        <v>15</v>
      </c>
      <c r="E43" s="2" t="str">
        <f>VLOOKUP(C43,Контакты!A:B,2,0)</f>
        <v>smirnov@Metalloinvest.ru</v>
      </c>
      <c r="F43" s="1" t="s">
        <v>35</v>
      </c>
      <c r="G43" s="1" t="s">
        <v>18</v>
      </c>
      <c r="H43" s="6">
        <v>296185</v>
      </c>
      <c r="I43" s="1" t="s">
        <v>19</v>
      </c>
      <c r="J43" s="9"/>
      <c r="K43" s="7"/>
      <c r="L43" s="8"/>
      <c r="M43" s="1"/>
    </row>
    <row r="44" spans="1:13" ht="12.3" x14ac:dyDescent="0.4">
      <c r="A44" s="1" t="s">
        <v>46</v>
      </c>
      <c r="B44" s="5">
        <v>43801</v>
      </c>
      <c r="C44" s="1" t="s">
        <v>64</v>
      </c>
      <c r="D44" s="1" t="s">
        <v>15</v>
      </c>
      <c r="E44" s="2" t="str">
        <f>VLOOKUP(C44,Контакты!A:B,2,0)</f>
        <v>ceo@NOVATEK.ru</v>
      </c>
      <c r="F44" s="1" t="s">
        <v>35</v>
      </c>
      <c r="G44" s="1" t="s">
        <v>27</v>
      </c>
      <c r="H44" s="6">
        <v>1860268</v>
      </c>
      <c r="I44" s="1" t="s">
        <v>19</v>
      </c>
      <c r="J44" s="9"/>
      <c r="K44" s="7"/>
      <c r="L44" s="8"/>
      <c r="M44" s="1"/>
    </row>
    <row r="45" spans="1:13" ht="12.3" x14ac:dyDescent="0.4">
      <c r="A45" s="1" t="s">
        <v>46</v>
      </c>
      <c r="B45" s="5">
        <v>43804</v>
      </c>
      <c r="C45" s="1" t="s">
        <v>88</v>
      </c>
      <c r="D45" s="1" t="s">
        <v>15</v>
      </c>
      <c r="E45" s="2" t="str">
        <f>VLOOKUP(C45,Контакты!A:B,2,0)</f>
        <v>ivanov@ALROSA.ru</v>
      </c>
      <c r="F45" s="1" t="s">
        <v>17</v>
      </c>
      <c r="G45" s="1" t="s">
        <v>22</v>
      </c>
      <c r="H45" s="6">
        <v>1803692</v>
      </c>
      <c r="I45" s="1" t="s">
        <v>23</v>
      </c>
      <c r="J45" s="9"/>
      <c r="K45" s="7"/>
      <c r="L45" s="8"/>
      <c r="M45" s="1"/>
    </row>
    <row r="46" spans="1:13" ht="12.3" x14ac:dyDescent="0.4">
      <c r="A46" s="1" t="s">
        <v>13</v>
      </c>
      <c r="B46" s="5">
        <v>43811</v>
      </c>
      <c r="C46" s="1" t="s">
        <v>90</v>
      </c>
      <c r="D46" s="1" t="s">
        <v>15</v>
      </c>
      <c r="E46" s="2" t="str">
        <f>VLOOKUP(C46,Контакты!A:B,2,0)</f>
        <v>sr@MMK.ru</v>
      </c>
      <c r="F46" s="1" t="s">
        <v>35</v>
      </c>
      <c r="G46" s="1" t="s">
        <v>18</v>
      </c>
      <c r="H46" s="6">
        <v>2232929</v>
      </c>
      <c r="I46" s="1" t="s">
        <v>19</v>
      </c>
      <c r="J46" s="9"/>
      <c r="K46" s="7"/>
      <c r="L46" s="8"/>
      <c r="M46" s="1"/>
    </row>
    <row r="47" spans="1:13" ht="12.3" x14ac:dyDescent="0.4">
      <c r="A47" s="1" t="s">
        <v>49</v>
      </c>
      <c r="B47" s="5">
        <v>43824</v>
      </c>
      <c r="C47" s="1" t="s">
        <v>24</v>
      </c>
      <c r="D47" s="1" t="s">
        <v>15</v>
      </c>
      <c r="E47" s="2" t="str">
        <f>VLOOKUP(C47,Контакты!A:B,2,0)</f>
        <v>info@Rosatom.ru</v>
      </c>
      <c r="F47" s="1" t="s">
        <v>38</v>
      </c>
      <c r="G47" s="1" t="s">
        <v>18</v>
      </c>
      <c r="H47" s="6">
        <v>2549742</v>
      </c>
      <c r="I47" s="1" t="s">
        <v>32</v>
      </c>
      <c r="J47" s="9"/>
      <c r="K47" s="7"/>
      <c r="L47" s="8"/>
      <c r="M47" s="1"/>
    </row>
    <row r="48" spans="1:13" ht="12.3" x14ac:dyDescent="0.4">
      <c r="A48" s="1" t="s">
        <v>49</v>
      </c>
      <c r="B48" s="5">
        <v>43826</v>
      </c>
      <c r="C48" s="1" t="s">
        <v>84</v>
      </c>
      <c r="D48" s="1" t="s">
        <v>51</v>
      </c>
      <c r="E48" s="2" t="str">
        <f>VLOOKUP(C48,Контакты!A:B,2,0)</f>
        <v>iv@Rostekh.ru</v>
      </c>
      <c r="F48" s="1" t="s">
        <v>35</v>
      </c>
      <c r="G48" s="2" t="s">
        <v>40</v>
      </c>
      <c r="H48" s="6">
        <v>2782838</v>
      </c>
      <c r="I48" s="1" t="s">
        <v>28</v>
      </c>
      <c r="J48" s="9"/>
      <c r="K48" s="6">
        <v>2782838</v>
      </c>
      <c r="L48" s="5">
        <v>43165</v>
      </c>
      <c r="M48" s="1"/>
    </row>
    <row r="49" spans="1:13" ht="12.3" x14ac:dyDescent="0.4">
      <c r="A49" s="1" t="s">
        <v>49</v>
      </c>
      <c r="B49" s="5">
        <v>43826</v>
      </c>
      <c r="C49" s="1" t="s">
        <v>92</v>
      </c>
      <c r="D49" s="1" t="s">
        <v>15</v>
      </c>
      <c r="E49" s="2" t="str">
        <f>VLOOKUP(C49,Контакты!A:B,2,0)</f>
        <v>info@Filip.ru</v>
      </c>
      <c r="F49" s="1" t="s">
        <v>35</v>
      </c>
      <c r="G49" s="1" t="s">
        <v>59</v>
      </c>
      <c r="H49" s="6">
        <v>1690972</v>
      </c>
      <c r="I49" s="1" t="s">
        <v>23</v>
      </c>
      <c r="J49" s="9"/>
      <c r="K49" s="7"/>
      <c r="L49" s="8"/>
      <c r="M49" s="1"/>
    </row>
    <row r="50" spans="1:13" ht="12.3" x14ac:dyDescent="0.4">
      <c r="A50" s="1" t="s">
        <v>13</v>
      </c>
      <c r="B50" s="5">
        <v>43109</v>
      </c>
      <c r="C50" s="1" t="s">
        <v>66</v>
      </c>
      <c r="D50" s="1" t="s">
        <v>15</v>
      </c>
      <c r="E50" s="2" t="str">
        <f>VLOOKUP(C50,Контакты!A:B,2,0)</f>
        <v>pukhov@RSB.ru</v>
      </c>
      <c r="F50" s="1" t="s">
        <v>35</v>
      </c>
      <c r="G50" s="1" t="s">
        <v>27</v>
      </c>
      <c r="H50" s="6">
        <v>1359173</v>
      </c>
      <c r="I50" s="1" t="s">
        <v>32</v>
      </c>
      <c r="J50" s="6">
        <v>40775.189999999995</v>
      </c>
      <c r="K50" s="7"/>
      <c r="L50" s="8"/>
      <c r="M50" s="1"/>
    </row>
    <row r="51" spans="1:13" ht="12.3" x14ac:dyDescent="0.4">
      <c r="A51" s="1" t="s">
        <v>49</v>
      </c>
      <c r="B51" s="5">
        <v>43112</v>
      </c>
      <c r="C51" s="1" t="s">
        <v>79</v>
      </c>
      <c r="D51" s="1" t="s">
        <v>15</v>
      </c>
      <c r="E51" s="2" t="str">
        <f>VLOOKUP(C51,Контакты!A:B,2,0)</f>
        <v>smirnov@Metalloinvest.ru</v>
      </c>
      <c r="F51" s="1" t="s">
        <v>39</v>
      </c>
      <c r="G51" s="1" t="s">
        <v>40</v>
      </c>
      <c r="H51" s="6">
        <v>6088488</v>
      </c>
      <c r="I51" s="1" t="s">
        <v>28</v>
      </c>
      <c r="J51" s="9"/>
      <c r="K51" s="6">
        <v>6088488</v>
      </c>
      <c r="L51" s="5">
        <v>43178</v>
      </c>
      <c r="M51" s="1"/>
    </row>
    <row r="52" spans="1:13" ht="12.3" x14ac:dyDescent="0.4">
      <c r="A52" s="1" t="s">
        <v>46</v>
      </c>
      <c r="B52" s="5">
        <v>43114</v>
      </c>
      <c r="C52" s="1" t="s">
        <v>94</v>
      </c>
      <c r="D52" s="1" t="s">
        <v>15</v>
      </c>
      <c r="E52" s="2" t="str">
        <f>VLOOKUP(C52,Контакты!A:B,2,0)</f>
        <v>uv@Tatneft.ru</v>
      </c>
      <c r="F52" s="1" t="s">
        <v>38</v>
      </c>
      <c r="G52" s="1" t="s">
        <v>59</v>
      </c>
      <c r="H52" s="6">
        <v>318577</v>
      </c>
      <c r="I52" s="1" t="s">
        <v>23</v>
      </c>
      <c r="J52" s="9"/>
      <c r="K52" s="7"/>
      <c r="L52" s="8"/>
      <c r="M52" s="1"/>
    </row>
    <row r="53" spans="1:13" ht="12.3" x14ac:dyDescent="0.4">
      <c r="A53" s="1" t="s">
        <v>49</v>
      </c>
      <c r="B53" s="5">
        <v>43116</v>
      </c>
      <c r="C53" s="1" t="s">
        <v>96</v>
      </c>
      <c r="D53" s="1" t="s">
        <v>15</v>
      </c>
      <c r="E53" s="2" t="str">
        <f>VLOOKUP(C53,Контакты!A:B,2,0)</f>
        <v>uc@UGMK.ru</v>
      </c>
      <c r="F53" s="2" t="s">
        <v>108</v>
      </c>
      <c r="G53" s="1" t="s">
        <v>22</v>
      </c>
      <c r="H53" s="6">
        <v>780706</v>
      </c>
      <c r="I53" s="1" t="s">
        <v>28</v>
      </c>
      <c r="J53" s="9"/>
      <c r="K53" s="6">
        <v>780706</v>
      </c>
      <c r="L53" s="5">
        <v>43179</v>
      </c>
      <c r="M53" s="1"/>
    </row>
    <row r="54" spans="1:13" ht="12.3" x14ac:dyDescent="0.4">
      <c r="A54" s="1" t="s">
        <v>13</v>
      </c>
      <c r="B54" s="5">
        <v>43118</v>
      </c>
      <c r="C54" s="1" t="s">
        <v>98</v>
      </c>
      <c r="D54" s="1" t="s">
        <v>51</v>
      </c>
      <c r="E54" s="2" t="str">
        <f>VLOOKUP(C54,Контакты!A:B,2,0)</f>
        <v>semenov@RZHD.ru</v>
      </c>
      <c r="F54" s="2" t="s">
        <v>109</v>
      </c>
      <c r="G54" s="1" t="s">
        <v>27</v>
      </c>
      <c r="H54" s="6">
        <v>3720020</v>
      </c>
      <c r="I54" s="1" t="s">
        <v>41</v>
      </c>
      <c r="J54" s="6">
        <v>186001</v>
      </c>
      <c r="K54" s="7"/>
      <c r="L54" s="8"/>
      <c r="M54" s="1" t="s">
        <v>42</v>
      </c>
    </row>
    <row r="55" spans="1:13" ht="12.3" x14ac:dyDescent="0.4">
      <c r="A55" s="1" t="s">
        <v>46</v>
      </c>
      <c r="B55" s="5">
        <v>43121</v>
      </c>
      <c r="C55" s="1" t="s">
        <v>90</v>
      </c>
      <c r="D55" s="1" t="s">
        <v>15</v>
      </c>
      <c r="E55" s="2" t="str">
        <f>VLOOKUP(C55,Контакты!A:B,2,0)</f>
        <v>sr@MMK.ru</v>
      </c>
      <c r="F55" s="1" t="s">
        <v>39</v>
      </c>
      <c r="G55" s="1" t="s">
        <v>22</v>
      </c>
      <c r="H55" s="6">
        <v>4661823</v>
      </c>
      <c r="I55" s="1" t="s">
        <v>41</v>
      </c>
      <c r="J55" s="9"/>
      <c r="K55" s="7"/>
      <c r="L55" s="8"/>
      <c r="M55" s="1" t="s">
        <v>83</v>
      </c>
    </row>
    <row r="56" spans="1:13" ht="12.3" x14ac:dyDescent="0.4">
      <c r="A56" s="1" t="s">
        <v>13</v>
      </c>
      <c r="B56" s="5">
        <v>43144</v>
      </c>
      <c r="C56" s="1" t="s">
        <v>100</v>
      </c>
      <c r="D56" s="1" t="s">
        <v>51</v>
      </c>
      <c r="E56" s="2" t="str">
        <f>VLOOKUP(C56,Контакты!A:B,2,0)</f>
        <v>kuznetsova@DIKSI.ru</v>
      </c>
      <c r="F56" s="1" t="s">
        <v>17</v>
      </c>
      <c r="G56" s="1" t="s">
        <v>22</v>
      </c>
      <c r="H56" s="6">
        <v>978279</v>
      </c>
      <c r="I56" s="1" t="s">
        <v>28</v>
      </c>
      <c r="J56" s="6">
        <v>29348.37</v>
      </c>
      <c r="K56" s="6">
        <v>978279</v>
      </c>
      <c r="L56" s="5">
        <v>43207</v>
      </c>
      <c r="M56" s="1"/>
    </row>
    <row r="57" spans="1:13" ht="12.3" x14ac:dyDescent="0.4">
      <c r="A57" s="1" t="s">
        <v>29</v>
      </c>
      <c r="B57" s="5">
        <v>43144</v>
      </c>
      <c r="C57" s="1" t="s">
        <v>47</v>
      </c>
      <c r="D57" s="1" t="s">
        <v>51</v>
      </c>
      <c r="E57" s="2" t="str">
        <f>VLOOKUP(C57,Контакты!A:B,2,0)</f>
        <v>lebedev@LUKOJL.ru</v>
      </c>
      <c r="F57" s="1" t="s">
        <v>35</v>
      </c>
      <c r="G57" s="1" t="s">
        <v>18</v>
      </c>
      <c r="H57" s="6">
        <v>153210</v>
      </c>
      <c r="I57" s="1" t="s">
        <v>41</v>
      </c>
      <c r="J57" s="9"/>
      <c r="K57" s="7"/>
      <c r="L57" s="8"/>
      <c r="M57" s="1" t="s">
        <v>102</v>
      </c>
    </row>
    <row r="58" spans="1:13" ht="12.3" x14ac:dyDescent="0.4">
      <c r="A58" s="1" t="s">
        <v>29</v>
      </c>
      <c r="B58" s="5">
        <v>43145</v>
      </c>
      <c r="C58" s="1" t="s">
        <v>84</v>
      </c>
      <c r="D58" s="1" t="s">
        <v>51</v>
      </c>
      <c r="E58" s="2" t="str">
        <f>VLOOKUP(C58,Контакты!A:B,2,0)</f>
        <v>iv@Rostekh.ru</v>
      </c>
      <c r="F58" s="1" t="s">
        <v>26</v>
      </c>
      <c r="G58" s="1" t="s">
        <v>40</v>
      </c>
      <c r="H58" s="6">
        <v>3370902</v>
      </c>
      <c r="I58" s="1" t="s">
        <v>32</v>
      </c>
      <c r="J58" s="6">
        <v>168545.1</v>
      </c>
      <c r="K58" s="7"/>
      <c r="L58" s="8"/>
      <c r="M58" s="1"/>
    </row>
    <row r="59" spans="1:13" ht="12.3" x14ac:dyDescent="0.4">
      <c r="A59" s="1" t="s">
        <v>13</v>
      </c>
      <c r="B59" s="5">
        <v>43146</v>
      </c>
      <c r="C59" s="1" t="s">
        <v>60</v>
      </c>
      <c r="D59" s="1" t="s">
        <v>15</v>
      </c>
      <c r="E59" s="2" t="str">
        <f>VLOOKUP(C59,Контакты!A:B,2,0)</f>
        <v>semenov@RusGidro.ru</v>
      </c>
      <c r="F59" s="1" t="s">
        <v>35</v>
      </c>
      <c r="G59" s="1" t="s">
        <v>40</v>
      </c>
      <c r="H59" s="6">
        <v>1437913</v>
      </c>
      <c r="I59" s="1" t="s">
        <v>19</v>
      </c>
      <c r="J59" s="9"/>
      <c r="K59" s="7"/>
      <c r="L59" s="8"/>
      <c r="M59" s="1"/>
    </row>
    <row r="60" spans="1:13" ht="12.3" x14ac:dyDescent="0.4">
      <c r="A60" s="1" t="s">
        <v>29</v>
      </c>
      <c r="B60" s="5">
        <v>43153</v>
      </c>
      <c r="C60" s="1" t="s">
        <v>103</v>
      </c>
      <c r="D60" s="1" t="s">
        <v>15</v>
      </c>
      <c r="E60" s="2" t="str">
        <f>VLOOKUP(C60,Контакты!A:B,2,0)</f>
        <v>info@MegaFon</v>
      </c>
      <c r="F60" s="1" t="s">
        <v>26</v>
      </c>
      <c r="G60" s="1" t="s">
        <v>27</v>
      </c>
      <c r="H60" s="6">
        <v>2567007</v>
      </c>
      <c r="I60" s="1" t="s">
        <v>41</v>
      </c>
      <c r="J60" s="9"/>
      <c r="K60" s="7"/>
      <c r="L60" s="8"/>
      <c r="M60" s="1" t="s">
        <v>83</v>
      </c>
    </row>
    <row r="61" spans="1:13" ht="12.3" x14ac:dyDescent="0.4">
      <c r="A61" s="1" t="s">
        <v>46</v>
      </c>
      <c r="B61" s="5">
        <v>43160</v>
      </c>
      <c r="C61" s="1" t="s">
        <v>105</v>
      </c>
      <c r="D61" s="1" t="s">
        <v>15</v>
      </c>
      <c r="E61" s="2" t="str">
        <f>VLOOKUP(C61,Контакты!A:B,2,0)</f>
        <v>pukhov@Bank.ru</v>
      </c>
      <c r="F61" s="1" t="s">
        <v>17</v>
      </c>
      <c r="G61" s="1" t="s">
        <v>27</v>
      </c>
      <c r="H61" s="6">
        <v>456710</v>
      </c>
      <c r="I61" s="1" t="s">
        <v>19</v>
      </c>
      <c r="J61" s="9"/>
      <c r="K61" s="7"/>
      <c r="L61" s="8"/>
      <c r="M61" s="1"/>
    </row>
    <row r="62" spans="1:13" ht="12.3" x14ac:dyDescent="0.4">
      <c r="A62" s="1" t="s">
        <v>29</v>
      </c>
      <c r="B62" s="5">
        <v>43167</v>
      </c>
      <c r="C62" s="1" t="s">
        <v>14</v>
      </c>
      <c r="D62" s="1" t="s">
        <v>15</v>
      </c>
      <c r="E62" s="2" t="str">
        <f>VLOOKUP(C62,Контакты!A:B,2,0)</f>
        <v>petrovamn@MEGAPOLIS.ru</v>
      </c>
      <c r="F62" s="1" t="s">
        <v>38</v>
      </c>
      <c r="G62" s="1" t="s">
        <v>18</v>
      </c>
      <c r="H62" s="6">
        <v>899823</v>
      </c>
      <c r="I62" s="1" t="s">
        <v>28</v>
      </c>
      <c r="J62" s="9"/>
      <c r="K62" s="6">
        <v>899823</v>
      </c>
      <c r="L62" s="5">
        <v>43190</v>
      </c>
      <c r="M62" s="1"/>
    </row>
  </sheetData>
  <autoFilter ref="A1:M62" xr:uid="{D93831D4-2D90-410F-86C4-48EA066FE6E9}"/>
  <dataValidations count="5">
    <dataValidation type="list" allowBlank="1" showErrorMessage="1" sqref="G63:G1000" xr:uid="{00000000-0002-0000-0600-000000000000}">
      <formula1>"Сайт,Выставка"</formula1>
    </dataValidation>
    <dataValidation allowBlank="1" showInputMessage="1" showErrorMessage="1" errorTitle="Ошибка" error="Выберите канал из существующего списка" promptTitle="Канал продаж" prompt="Выберите канал из списка" sqref="G3" xr:uid="{8B575310-D18E-4016-9FE4-0A8AF6BB7458}"/>
    <dataValidation type="date" operator="greaterThan" allowBlank="1" showInputMessage="1" showErrorMessage="1" sqref="B2:B62" xr:uid="{2B832827-8D2A-49CC-BA95-B64F0640B215}">
      <formula1>43101</formula1>
    </dataValidation>
    <dataValidation type="decimal" operator="greaterThanOrEqual" allowBlank="1" showInputMessage="1" showErrorMessage="1" sqref="K2:K62" xr:uid="{4279F51B-6C75-441A-AB70-790A1B714604}">
      <formula1>0</formula1>
    </dataValidation>
    <dataValidation type="list" allowBlank="1" showInputMessage="1" showErrorMessage="1" sqref="D2:D62" xr:uid="{EB37864D-55DF-47BF-878A-E6B244C9F7CA}">
      <formula1>"Новый,Постоянный"</formula1>
    </dataValidation>
  </dataValidations>
  <hyperlinks>
    <hyperlink ref="E9" r:id="rId1" display="sgAeroflot.ru" xr:uid="{00000000-0004-0000-06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Ошибка" error="Выберите канал из существующего списка" promptTitle="Канал продаж" prompt="Выберите канал из списка" xr:uid="{4E6A90FA-5335-4078-BFA0-25FA917B0331}">
          <x14:formula1>
            <xm:f>Справочник!$A$2:$A$7</xm:f>
          </x14:formula1>
          <xm:sqref>G2 G4:G62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A8AF-6EAD-4D15-8246-908A6FE48763}">
  <dimension ref="A1:B35"/>
  <sheetViews>
    <sheetView workbookViewId="0">
      <selection activeCell="B4" sqref="B4"/>
    </sheetView>
  </sheetViews>
  <sheetFormatPr defaultRowHeight="12.3" x14ac:dyDescent="0.4"/>
  <cols>
    <col min="1" max="1" width="41.1640625" bestFit="1" customWidth="1"/>
    <col min="2" max="2" width="24.83203125" bestFit="1" customWidth="1"/>
  </cols>
  <sheetData>
    <row r="1" spans="1:2" x14ac:dyDescent="0.4">
      <c r="A1" s="11" t="s">
        <v>112</v>
      </c>
      <c r="B1" s="11" t="s">
        <v>113</v>
      </c>
    </row>
    <row r="2" spans="1:2" x14ac:dyDescent="0.4">
      <c r="A2" t="s">
        <v>14</v>
      </c>
      <c r="B2" t="s">
        <v>16</v>
      </c>
    </row>
    <row r="3" spans="1:2" x14ac:dyDescent="0.4">
      <c r="A3" t="s">
        <v>20</v>
      </c>
      <c r="B3" t="s">
        <v>21</v>
      </c>
    </row>
    <row r="4" spans="1:2" x14ac:dyDescent="0.4">
      <c r="A4" t="s">
        <v>24</v>
      </c>
      <c r="B4" t="s">
        <v>25</v>
      </c>
    </row>
    <row r="5" spans="1:2" x14ac:dyDescent="0.4">
      <c r="A5" t="s">
        <v>30</v>
      </c>
      <c r="B5" t="s">
        <v>31</v>
      </c>
    </row>
    <row r="6" spans="1:2" x14ac:dyDescent="0.4">
      <c r="A6" t="s">
        <v>33</v>
      </c>
      <c r="B6" t="s">
        <v>34</v>
      </c>
    </row>
    <row r="7" spans="1:2" x14ac:dyDescent="0.4">
      <c r="A7" t="s">
        <v>36</v>
      </c>
      <c r="B7" t="s">
        <v>37</v>
      </c>
    </row>
    <row r="8" spans="1:2" x14ac:dyDescent="0.4">
      <c r="A8" t="s">
        <v>43</v>
      </c>
      <c r="B8" t="s">
        <v>44</v>
      </c>
    </row>
    <row r="9" spans="1:2" x14ac:dyDescent="0.4">
      <c r="A9" t="s">
        <v>47</v>
      </c>
      <c r="B9" t="s">
        <v>48</v>
      </c>
    </row>
    <row r="10" spans="1:2" x14ac:dyDescent="0.4">
      <c r="A10" t="s">
        <v>50</v>
      </c>
      <c r="B10" t="s">
        <v>52</v>
      </c>
    </row>
    <row r="11" spans="1:2" x14ac:dyDescent="0.4">
      <c r="A11" t="s">
        <v>53</v>
      </c>
      <c r="B11" t="s">
        <v>54</v>
      </c>
    </row>
    <row r="12" spans="1:2" x14ac:dyDescent="0.4">
      <c r="A12" t="s">
        <v>55</v>
      </c>
      <c r="B12" t="s">
        <v>56</v>
      </c>
    </row>
    <row r="13" spans="1:2" x14ac:dyDescent="0.4">
      <c r="A13" t="s">
        <v>57</v>
      </c>
      <c r="B13" t="s">
        <v>58</v>
      </c>
    </row>
    <row r="14" spans="1:2" x14ac:dyDescent="0.4">
      <c r="A14" t="s">
        <v>60</v>
      </c>
      <c r="B14" t="s">
        <v>61</v>
      </c>
    </row>
    <row r="15" spans="1:2" x14ac:dyDescent="0.4">
      <c r="A15" t="s">
        <v>62</v>
      </c>
      <c r="B15" t="s">
        <v>63</v>
      </c>
    </row>
    <row r="16" spans="1:2" x14ac:dyDescent="0.4">
      <c r="A16" t="s">
        <v>64</v>
      </c>
      <c r="B16" t="s">
        <v>65</v>
      </c>
    </row>
    <row r="17" spans="1:2" x14ac:dyDescent="0.4">
      <c r="A17" t="s">
        <v>66</v>
      </c>
      <c r="B17" t="s">
        <v>67</v>
      </c>
    </row>
    <row r="18" spans="1:2" x14ac:dyDescent="0.4">
      <c r="A18" t="s">
        <v>68</v>
      </c>
      <c r="B18" t="s">
        <v>69</v>
      </c>
    </row>
    <row r="19" spans="1:2" x14ac:dyDescent="0.4">
      <c r="A19" t="s">
        <v>70</v>
      </c>
      <c r="B19" t="s">
        <v>71</v>
      </c>
    </row>
    <row r="20" spans="1:2" x14ac:dyDescent="0.4">
      <c r="A20" t="s">
        <v>72</v>
      </c>
      <c r="B20" t="s">
        <v>73</v>
      </c>
    </row>
    <row r="21" spans="1:2" x14ac:dyDescent="0.4">
      <c r="A21" t="s">
        <v>75</v>
      </c>
      <c r="B21" t="s">
        <v>76</v>
      </c>
    </row>
    <row r="22" spans="1:2" x14ac:dyDescent="0.4">
      <c r="A22" t="s">
        <v>77</v>
      </c>
      <c r="B22" t="s">
        <v>78</v>
      </c>
    </row>
    <row r="23" spans="1:2" x14ac:dyDescent="0.4">
      <c r="A23" t="s">
        <v>79</v>
      </c>
      <c r="B23" t="s">
        <v>80</v>
      </c>
    </row>
    <row r="24" spans="1:2" x14ac:dyDescent="0.4">
      <c r="A24" t="s">
        <v>81</v>
      </c>
      <c r="B24" t="s">
        <v>82</v>
      </c>
    </row>
    <row r="25" spans="1:2" x14ac:dyDescent="0.4">
      <c r="A25" t="s">
        <v>84</v>
      </c>
      <c r="B25" t="s">
        <v>85</v>
      </c>
    </row>
    <row r="26" spans="1:2" x14ac:dyDescent="0.4">
      <c r="A26" t="s">
        <v>86</v>
      </c>
      <c r="B26" t="s">
        <v>87</v>
      </c>
    </row>
    <row r="27" spans="1:2" x14ac:dyDescent="0.4">
      <c r="A27" t="s">
        <v>88</v>
      </c>
      <c r="B27" t="s">
        <v>89</v>
      </c>
    </row>
    <row r="28" spans="1:2" x14ac:dyDescent="0.4">
      <c r="A28" t="s">
        <v>90</v>
      </c>
      <c r="B28" t="s">
        <v>91</v>
      </c>
    </row>
    <row r="29" spans="1:2" x14ac:dyDescent="0.4">
      <c r="A29" t="s">
        <v>92</v>
      </c>
      <c r="B29" t="s">
        <v>93</v>
      </c>
    </row>
    <row r="30" spans="1:2" x14ac:dyDescent="0.4">
      <c r="A30" t="s">
        <v>94</v>
      </c>
      <c r="B30" t="s">
        <v>95</v>
      </c>
    </row>
    <row r="31" spans="1:2" x14ac:dyDescent="0.4">
      <c r="A31" t="s">
        <v>96</v>
      </c>
      <c r="B31" t="s">
        <v>97</v>
      </c>
    </row>
    <row r="32" spans="1:2" x14ac:dyDescent="0.4">
      <c r="A32" t="s">
        <v>98</v>
      </c>
      <c r="B32" t="s">
        <v>99</v>
      </c>
    </row>
    <row r="33" spans="1:2" x14ac:dyDescent="0.4">
      <c r="A33" t="s">
        <v>100</v>
      </c>
      <c r="B33" t="s">
        <v>101</v>
      </c>
    </row>
    <row r="34" spans="1:2" x14ac:dyDescent="0.4">
      <c r="A34" t="s">
        <v>103</v>
      </c>
      <c r="B34" t="s">
        <v>104</v>
      </c>
    </row>
    <row r="35" spans="1:2" x14ac:dyDescent="0.4">
      <c r="A35" t="s">
        <v>105</v>
      </c>
      <c r="B35" t="s">
        <v>106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57C7-4427-4B4E-A393-39CA2B2C756C}">
  <dimension ref="A1:A9"/>
  <sheetViews>
    <sheetView workbookViewId="0">
      <selection activeCell="A8" sqref="A8"/>
    </sheetView>
  </sheetViews>
  <sheetFormatPr defaultRowHeight="12.3" x14ac:dyDescent="0.4"/>
  <cols>
    <col min="1" max="1" width="19.94140625" bestFit="1" customWidth="1"/>
  </cols>
  <sheetData>
    <row r="1" spans="1:1" x14ac:dyDescent="0.4">
      <c r="A1" s="13" t="s">
        <v>6</v>
      </c>
    </row>
    <row r="2" spans="1:1" x14ac:dyDescent="0.4">
      <c r="A2" s="2" t="s">
        <v>18</v>
      </c>
    </row>
    <row r="3" spans="1:1" x14ac:dyDescent="0.4">
      <c r="A3" s="2" t="s">
        <v>22</v>
      </c>
    </row>
    <row r="4" spans="1:1" x14ac:dyDescent="0.4">
      <c r="A4" s="2" t="s">
        <v>27</v>
      </c>
    </row>
    <row r="5" spans="1:1" x14ac:dyDescent="0.4">
      <c r="A5" s="2" t="s">
        <v>107</v>
      </c>
    </row>
    <row r="6" spans="1:1" x14ac:dyDescent="0.4">
      <c r="A6" s="2" t="s">
        <v>40</v>
      </c>
    </row>
    <row r="7" spans="1:1" x14ac:dyDescent="0.4">
      <c r="A7" s="12" t="s">
        <v>59</v>
      </c>
    </row>
    <row r="9" spans="1:1" x14ac:dyDescent="0.4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Проверка данных</vt:lpstr>
      <vt:lpstr>Контакты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2020-11-05T16:59:47Z</dcterms:modified>
</cp:coreProperties>
</file>