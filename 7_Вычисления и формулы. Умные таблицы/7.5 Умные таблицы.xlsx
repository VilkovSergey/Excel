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7\"/>
    </mc:Choice>
  </mc:AlternateContent>
  <xr:revisionPtr revIDLastSave="0" documentId="13_ncr:1_{5A16DD46-BCEB-48DD-A2B3-42A6A5215ED5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Лист1" sheetId="4" r:id="rId1"/>
    <sheet name="Данные" sheetId="2" r:id="rId2"/>
    <sheet name="Диаграмма" sheetId="3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2" l="1"/>
  <c r="J2" i="2"/>
  <c r="H32" i="2"/>
  <c r="F32" i="2"/>
  <c r="I32" i="2"/>
  <c r="J31" i="2"/>
  <c r="M2" i="2"/>
  <c r="J3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</calcChain>
</file>

<file path=xl/sharedStrings.xml><?xml version="1.0" encoding="utf-8"?>
<sst xmlns="http://schemas.openxmlformats.org/spreadsheetml/2006/main" count="184" uniqueCount="69">
  <si>
    <t>Менеджер</t>
  </si>
  <si>
    <t>Дата первой встречи</t>
  </si>
  <si>
    <t>Месяц</t>
  </si>
  <si>
    <t>Компания-клиент</t>
  </si>
  <si>
    <t>Продукт</t>
  </si>
  <si>
    <t>Канал</t>
  </si>
  <si>
    <t>Коммерческое предложение</t>
  </si>
  <si>
    <t>Статус сделки</t>
  </si>
  <si>
    <t>Факт оплаты</t>
  </si>
  <si>
    <t>Дата оплаты</t>
  </si>
  <si>
    <t>Лазарев</t>
  </si>
  <si>
    <t>МЕГАПОЛИС, торговая компания</t>
  </si>
  <si>
    <t>Канцелярские товары</t>
  </si>
  <si>
    <t>Холодный звонок</t>
  </si>
  <si>
    <t>Торг/согласование</t>
  </si>
  <si>
    <t>Росатом, госкорпорация</t>
  </si>
  <si>
    <t>Работа с постоянными</t>
  </si>
  <si>
    <t>Закрыта</t>
  </si>
  <si>
    <t>Аэрофлот</t>
  </si>
  <si>
    <t>ЛУКОЙЛ</t>
  </si>
  <si>
    <t>В оплате</t>
  </si>
  <si>
    <t>Лента (сеть гипермаркетов)</t>
  </si>
  <si>
    <t>Бытовая техника</t>
  </si>
  <si>
    <t>Сайт</t>
  </si>
  <si>
    <t>Сбербанк России</t>
  </si>
  <si>
    <t>КП</t>
  </si>
  <si>
    <t>Транснефть, АК</t>
  </si>
  <si>
    <t>Выставка</t>
  </si>
  <si>
    <t>Роснефть, нефтяная компания</t>
  </si>
  <si>
    <t>Другой</t>
  </si>
  <si>
    <t>РусГидро</t>
  </si>
  <si>
    <t>НОВАТЭК</t>
  </si>
  <si>
    <t>Объединенная авиастроительная корпорация</t>
  </si>
  <si>
    <t>Отказ</t>
  </si>
  <si>
    <t>Никулин</t>
  </si>
  <si>
    <t>Дж.Т.И. Россия</t>
  </si>
  <si>
    <t>Мебель</t>
  </si>
  <si>
    <t>Интер РАО</t>
  </si>
  <si>
    <t>СИБУР Холдинг</t>
  </si>
  <si>
    <t>ВымпелКом</t>
  </si>
  <si>
    <t>Система, АФК</t>
  </si>
  <si>
    <t>ММК</t>
  </si>
  <si>
    <t>Металлоинвест, холдинговая компания</t>
  </si>
  <si>
    <t>Татнефть</t>
  </si>
  <si>
    <t>УГМК</t>
  </si>
  <si>
    <t>РЖД</t>
  </si>
  <si>
    <t>МегаФон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</si>
  <si>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</si>
  <si>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</si>
  <si>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</si>
  <si>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</si>
  <si>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</si>
  <si>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</si>
  <si>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</si>
  <si>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</si>
  <si>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</si>
  <si>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</si>
  <si>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Продажи</t>
  </si>
  <si>
    <t>Ноябрь</t>
  </si>
  <si>
    <t>Декабрь</t>
  </si>
  <si>
    <t>Итог</t>
  </si>
  <si>
    <t>Комиссия</t>
  </si>
  <si>
    <t>Мегафон</t>
  </si>
  <si>
    <t>Иванов</t>
  </si>
  <si>
    <t>Названия строк</t>
  </si>
  <si>
    <t>(пусто)</t>
  </si>
  <si>
    <t>Общий итог</t>
  </si>
  <si>
    <t>Названия столбцов</t>
  </si>
  <si>
    <t>Сумма по полю Факт оплаты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</si>
</sst>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0" fontId="3" fillId="2" borderId="2" xfId="0" applyFont="1" applyFill="1" applyBorder="1"/>
    <xf numFmtId="0" fontId="0" fillId="4" borderId="1" xfId="0" applyFont="1" applyFill="1" applyBorder="1"/>
    <xf numFmtId="0" fontId="0" fillId="3" borderId="1" xfId="0" applyFont="1" applyFill="1" applyBorder="1"/>
    <xf numFmtId="165" fontId="0" fillId="0" borderId="0" xfId="0" applyNumberFormat="1"/>
    <xf numFmtId="0" fontId="3" fillId="2" borderId="0" xfId="0" applyFont="1" applyFill="1" applyBorder="1"/>
    <xf numFmtId="0" fontId="3" fillId="2" borderId="3" xfId="0" applyFont="1" applyFill="1" applyBorder="1"/>
    <xf numFmtId="0" fontId="0" fillId="3" borderId="4" xfId="0" applyFont="1" applyFill="1" applyBorder="1"/>
    <xf numFmtId="14" fontId="0" fillId="3" borderId="2" xfId="0" applyNumberFormat="1" applyFont="1" applyFill="1" applyBorder="1"/>
    <xf numFmtId="0" fontId="0" fillId="3" borderId="2" xfId="0" applyFont="1" applyFill="1" applyBorder="1"/>
    <xf numFmtId="165" fontId="0" fillId="3" borderId="2" xfId="1" applyNumberFormat="1" applyFont="1" applyFill="1" applyBorder="1"/>
    <xf numFmtId="0" fontId="0" fillId="4" borderId="5" xfId="0" applyFont="1" applyFill="1" applyBorder="1"/>
    <xf numFmtId="14" fontId="0" fillId="4" borderId="1" xfId="0" applyNumberFormat="1" applyFont="1" applyFill="1" applyBorder="1"/>
    <xf numFmtId="165" fontId="0" fillId="4" borderId="1" xfId="1" applyNumberFormat="1" applyFont="1" applyFill="1" applyBorder="1"/>
    <xf numFmtId="0" fontId="0" fillId="3" borderId="5" xfId="0" applyFont="1" applyFill="1" applyBorder="1"/>
    <xf numFmtId="14" fontId="0" fillId="3" borderId="1" xfId="0" applyNumberFormat="1" applyFont="1" applyFill="1" applyBorder="1"/>
    <xf numFmtId="165" fontId="0" fillId="3" borderId="1" xfId="1" applyNumberFormat="1" applyFont="1" applyFill="1" applyBorder="1"/>
    <xf numFmtId="0" fontId="3" fillId="2" borderId="4" xfId="0" applyFont="1" applyFill="1" applyBorder="1"/>
    <xf numFmtId="165" fontId="3" fillId="2" borderId="2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Обычный" xfId="0" builtinId="0"/>
    <cellStyle name="Финансовый" xfId="1" builtinId="3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Диаграмма!$B$1</c:f>
              <c:strCache>
                <c:ptCount val="1"/>
                <c:pt idx="0">
                  <c:v>Продажи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Диаграмма!$B$2:$B$13</c:f>
              <c:numCache>
                <c:formatCode>General</c:formatCode>
                <c:ptCount val="12"/>
                <c:pt idx="0">
                  <c:v>11178</c:v>
                </c:pt>
                <c:pt idx="1">
                  <c:v>10744</c:v>
                </c:pt>
                <c:pt idx="2">
                  <c:v>11922</c:v>
                </c:pt>
                <c:pt idx="3">
                  <c:v>10813</c:v>
                </c:pt>
                <c:pt idx="4">
                  <c:v>11471</c:v>
                </c:pt>
                <c:pt idx="5">
                  <c:v>10716</c:v>
                </c:pt>
                <c:pt idx="6">
                  <c:v>10629</c:v>
                </c:pt>
                <c:pt idx="7">
                  <c:v>11950</c:v>
                </c:pt>
                <c:pt idx="8">
                  <c:v>11695</c:v>
                </c:pt>
                <c:pt idx="9">
                  <c:v>10366</c:v>
                </c:pt>
                <c:pt idx="10">
                  <c:v>12000</c:v>
                </c:pt>
                <c:pt idx="11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F-42D7-AD7A-E0C150793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0018847"/>
        <c:axId val="1203948127"/>
      </c:barChart>
      <c:catAx>
        <c:axId val="122001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3948127"/>
        <c:crosses val="autoZero"/>
        <c:auto val="1"/>
        <c:lblAlgn val="ctr"/>
        <c:lblOffset val="100"/>
        <c:noMultiLvlLbl val="0"/>
      </c:catAx>
      <c:valAx>
        <c:axId val="12039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001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148590</xdr:colOff>
      <xdr:row>0</xdr:row>
      <xdr:rowOff>49530</xdr:rowOff>
    </xdr:from>
    <xdr:to>
      <xdr:col>12</xdr:col>
      <xdr:colOff>240030</xdr:colOff>
      <xdr:row>15</xdr:row>
      <xdr:rowOff>49530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4F3275C-70CF-4712-9782-A7FA407C9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енат Шагабутдинов" refreshedDate="44147.846750925928" createdVersion="6" refreshedVersion="6" minRefreshableVersion="3" recordCount="31" xr:uid="{4EF078C0-7BA3-4BDA-9731-36B980B19687}">
  <cacheSource type="worksheet">
    <worksheetSource name="Таблица4"/>
  </cacheSource>
  <cacheFields count="10">
    <cacheField name="Менеджер" numFmtId="0">
      <sharedItems/>
    </cacheField>
    <cacheField name="Дата первой встречи" numFmtId="0">
      <sharedItems containsNonDate="0" containsDate="1" containsString="0" containsBlank="1" minDate="2020-01-04T00:00:00" maxDate="2021-01-01T00:00:00"/>
    </cacheField>
    <cacheField name="Компания-клиент" numFmtId="0">
      <sharedItems containsBlank="1"/>
    </cacheField>
    <cacheField name="Продукт" numFmtId="0">
      <sharedItems containsBlank="1" count="4">
        <s v="Канцелярские товары"/>
        <s v="Бытовая техника"/>
        <s v="Мебель"/>
        <m/>
      </sharedItems>
    </cacheField>
    <cacheField name="Канал" numFmtId="0">
      <sharedItems containsBlank="1" count="6">
        <s v="Холодный звонок"/>
        <s v="Работа с постоянными"/>
        <s v="Сайт"/>
        <s v="Выставка"/>
        <s v="Другой"/>
        <m/>
      </sharedItems>
    </cacheField>
    <cacheField name="Коммерческое предложение" numFmtId="165">
      <sharedItems containsString="0" containsBlank="1" containsNumber="1" minValue="95000" maxValue="5000000"/>
    </cacheField>
    <cacheField name="Статус сделки" numFmtId="0">
      <sharedItems containsBlank="1"/>
    </cacheField>
    <cacheField name="Факт оплаты" numFmtId="0">
      <sharedItems containsString="0" containsBlank="1" containsNumber="1" containsInteger="1" minValue="100000" maxValue="9528736"/>
    </cacheField>
    <cacheField name="Дата оплаты" numFmtId="0">
      <sharedItems containsDate="1" containsString="0" containsBlank="1" containsMixedTypes="1" minDate="2018-08-12T00:00:00" maxDate="1899-12-31T00:33:04"/>
    </cacheField>
    <cacheField name="Комиссия" numFmtId="0">
      <sharedItems containsString="0" containsBlank="1" containsNumber="1" containsInteger="1" minValue="0" maxValue="7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Лазарев"/>
    <d v="2020-04-02T00:00:00"/>
    <s v="МЕГАПОЛИС, торговая компания"/>
    <x v="0"/>
    <x v="0"/>
    <n v="100000"/>
    <s v="Закрыта"/>
    <n v="100000"/>
    <d v="2020-10-26T00:00:00"/>
    <n v="15000"/>
  </r>
  <r>
    <s v="Лазарев"/>
    <d v="2020-01-27T00:00:00"/>
    <s v="Росатом, госкорпорация"/>
    <x v="0"/>
    <x v="1"/>
    <n v="1700000"/>
    <s v="Закрыта"/>
    <m/>
    <d v="2019-03-18T00:00:00"/>
    <n v="255000"/>
  </r>
  <r>
    <s v="Лазарев"/>
    <d v="2020-03-05T00:00:00"/>
    <s v="Аэрофлот"/>
    <x v="0"/>
    <x v="1"/>
    <n v="600000"/>
    <s v="Закрыта"/>
    <n v="600000"/>
    <d v="2019-04-08T00:00:00"/>
    <n v="90000"/>
  </r>
  <r>
    <s v="Лазарев"/>
    <d v="2020-08-01T00:00:00"/>
    <s v="ЛУКОЙЛ"/>
    <x v="0"/>
    <x v="1"/>
    <n v="1700000"/>
    <s v="В оплате"/>
    <m/>
    <m/>
    <n v="255000"/>
  </r>
  <r>
    <s v="Лазарев"/>
    <d v="2020-02-05T00:00:00"/>
    <s v="Лента (сеть гипермаркетов)"/>
    <x v="1"/>
    <x v="2"/>
    <n v="1000000"/>
    <s v="Торг/согласование"/>
    <m/>
    <m/>
    <n v="150000"/>
  </r>
  <r>
    <s v="Лазарев"/>
    <d v="2020-09-04T00:00:00"/>
    <s v="Сбербанк России"/>
    <x v="1"/>
    <x v="1"/>
    <n v="300000"/>
    <s v="КП"/>
    <m/>
    <m/>
    <n v="45000"/>
  </r>
  <r>
    <s v="Лазарев"/>
    <d v="2020-04-01T00:00:00"/>
    <s v="Транснефть, АК"/>
    <x v="0"/>
    <x v="3"/>
    <n v="1400000"/>
    <s v="Закрыта"/>
    <n v="1470565"/>
    <d v="2018-08-12T00:00:00"/>
    <n v="210000"/>
  </r>
  <r>
    <s v="Лазарев"/>
    <d v="2020-12-31T00:00:00"/>
    <s v="Роснефть, нефтяная компания"/>
    <x v="1"/>
    <x v="4"/>
    <n v="1400000"/>
    <s v="В оплате"/>
    <m/>
    <m/>
    <n v="210000"/>
  </r>
  <r>
    <s v="Лазарев"/>
    <d v="2020-01-16T00:00:00"/>
    <s v="РусГидро"/>
    <x v="1"/>
    <x v="0"/>
    <n v="1000000"/>
    <s v="Торг/согласование"/>
    <m/>
    <m/>
    <n v="150000"/>
  </r>
  <r>
    <s v="Лазарев"/>
    <d v="2020-05-14T00:00:00"/>
    <s v="НОВАТЭК"/>
    <x v="1"/>
    <x v="2"/>
    <n v="2000000"/>
    <s v="Закрыта"/>
    <n v="2000000"/>
    <d v="2019-09-11T00:00:00"/>
    <n v="300000"/>
  </r>
  <r>
    <s v="Лазарев"/>
    <d v="2020-11-29T00:00:00"/>
    <s v="Объединенная авиастроительная корпорация"/>
    <x v="1"/>
    <x v="0"/>
    <n v="95000"/>
    <s v="КП"/>
    <m/>
    <m/>
    <n v="14250"/>
  </r>
  <r>
    <s v="Лазарев"/>
    <d v="2020-06-05T00:00:00"/>
    <s v="Объединенная авиастроительная корпорация"/>
    <x v="0"/>
    <x v="4"/>
    <n v="2000000"/>
    <s v="Отказ"/>
    <m/>
    <m/>
    <n v="300000"/>
  </r>
  <r>
    <s v="Никулин"/>
    <d v="2020-05-28T00:00:00"/>
    <s v="Дж.Т.И. Россия"/>
    <x v="2"/>
    <x v="4"/>
    <n v="1000000"/>
    <s v="Торг/согласование"/>
    <m/>
    <m/>
    <n v="150000"/>
  </r>
  <r>
    <s v="Никулин"/>
    <d v="2020-07-16T00:00:00"/>
    <s v="НОВАТЭК"/>
    <x v="2"/>
    <x v="3"/>
    <n v="600000"/>
    <s v="КП"/>
    <m/>
    <m/>
    <n v="90000"/>
  </r>
  <r>
    <s v="Никулин"/>
    <d v="2020-01-04T00:00:00"/>
    <s v="Интер РАО"/>
    <x v="2"/>
    <x v="2"/>
    <n v="400000"/>
    <s v="КП"/>
    <m/>
    <m/>
    <n v="60000"/>
  </r>
  <r>
    <s v="Никулин"/>
    <d v="2020-06-15T00:00:00"/>
    <s v="СИБУР Холдинг"/>
    <x v="1"/>
    <x v="3"/>
    <n v="1500000"/>
    <s v="Закрыта"/>
    <n v="1558171"/>
    <d v="2018-09-07T00:00:00"/>
    <n v="225000"/>
  </r>
  <r>
    <s v="Никулин"/>
    <d v="2020-12-04T00:00:00"/>
    <s v="Интер РАО"/>
    <x v="2"/>
    <x v="2"/>
    <n v="700000"/>
    <s v="Отказ"/>
    <m/>
    <m/>
    <n v="105000"/>
  </r>
  <r>
    <s v="Никулин"/>
    <d v="2020-04-06T00:00:00"/>
    <s v="ВымпелКом"/>
    <x v="0"/>
    <x v="4"/>
    <n v="900000"/>
    <s v="Торг/согласование"/>
    <m/>
    <m/>
    <n v="135000"/>
  </r>
  <r>
    <s v="Никулин"/>
    <d v="2020-01-14T00:00:00"/>
    <s v="Система, АФК"/>
    <x v="0"/>
    <x v="0"/>
    <n v="1700000"/>
    <s v="КП"/>
    <m/>
    <m/>
    <n v="255000"/>
  </r>
  <r>
    <s v="Никулин"/>
    <d v="2020-07-24T00:00:00"/>
    <s v="НОВАТЭК"/>
    <x v="1"/>
    <x v="1"/>
    <n v="500000"/>
    <s v="Торг/согласование"/>
    <m/>
    <m/>
    <n v="75000"/>
  </r>
  <r>
    <s v="Никулин"/>
    <d v="2020-06-15T00:00:00"/>
    <s v="ММК"/>
    <x v="0"/>
    <x v="0"/>
    <n v="1800000"/>
    <s v="Торг/согласование"/>
    <m/>
    <m/>
    <n v="270000"/>
  </r>
  <r>
    <s v="Никулин"/>
    <d v="2020-08-28T00:00:00"/>
    <s v="Металлоинвест, холдинговая компания"/>
    <x v="2"/>
    <x v="2"/>
    <n v="1100000"/>
    <s v="Закрыта"/>
    <n v="1100000"/>
    <d v="2019-03-04T00:00:00"/>
    <n v="165000"/>
  </r>
  <r>
    <s v="Никулин"/>
    <d v="2020-05-01T00:00:00"/>
    <s v="Татнефть"/>
    <x v="1"/>
    <x v="4"/>
    <n v="1700000"/>
    <s v="КП"/>
    <m/>
    <m/>
    <n v="255000"/>
  </r>
  <r>
    <s v="Никулин"/>
    <d v="2020-10-16T00:00:00"/>
    <s v="УГМК"/>
    <x v="2"/>
    <x v="3"/>
    <n v="1700000"/>
    <s v="Закрыта"/>
    <n v="1700000"/>
    <d v="2018-11-12T00:00:00"/>
    <n v="255000"/>
  </r>
  <r>
    <s v="Никулин"/>
    <d v="2020-01-29T00:00:00"/>
    <s v="РЖД"/>
    <x v="0"/>
    <x v="1"/>
    <n v="1600000"/>
    <s v="Отказ"/>
    <m/>
    <m/>
    <n v="240000"/>
  </r>
  <r>
    <s v="Никулин"/>
    <d v="2020-01-27T00:00:00"/>
    <s v="ММК"/>
    <x v="2"/>
    <x v="3"/>
    <n v="1500000"/>
    <s v="Отказ"/>
    <m/>
    <m/>
    <n v="225000"/>
  </r>
  <r>
    <s v="Никулин"/>
    <d v="2020-10-01T00:00:00"/>
    <s v="МегаФон"/>
    <x v="2"/>
    <x v="1"/>
    <n v="500000"/>
    <s v="Отказ"/>
    <m/>
    <m/>
    <n v="75000"/>
  </r>
  <r>
    <s v="Никулин"/>
    <d v="2020-11-12T00:00:00"/>
    <s v="МегаФон"/>
    <x v="2"/>
    <x v="1"/>
    <n v="5000000"/>
    <s v="Закрыта"/>
    <m/>
    <m/>
    <n v="750000"/>
  </r>
  <r>
    <s v="Никулин"/>
    <m/>
    <m/>
    <x v="3"/>
    <x v="5"/>
    <n v="1000000"/>
    <s v="Торг/согласование"/>
    <m/>
    <m/>
    <n v="150000"/>
  </r>
  <r>
    <s v="Иванов"/>
    <d v="2020-11-12T00:00:00"/>
    <s v="МегаФон"/>
    <x v="3"/>
    <x v="5"/>
    <m/>
    <m/>
    <n v="1000000"/>
    <m/>
    <n v="0"/>
  </r>
  <r>
    <s v="Итог"/>
    <m/>
    <m/>
    <x v="3"/>
    <x v="5"/>
    <n v="1258448.2758620689"/>
    <m/>
    <n v="9528736"/>
    <n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0717A-3415-4CE0-858F-B819942FC1CE}" name="Сводная таблица3" cacheId="1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H9" firstHeaderRow="1" firstDataRow="2" firstDataCol="1"/>
  <pivotFields count="10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Col"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Факт оплаты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A4A9BF-B331-4E06-936B-68A17A89B326}" name="Таблица4" displayName="Таблица4" ref="A1:J32" totalsRowShown="0" headerRowDxfId="0">
  <autoFilter ref="A1:J32" xr:uid="{FA747193-8ED3-4957-A162-A94BC95F526B}"/>
  <tableColumns count="10">
    <tableColumn id="1" xr3:uid="{2C0A6F1C-36C8-4769-849A-8CF222D69229}" name="Менеджер"/>
    <tableColumn id="2" xr3:uid="{3D6A3291-399A-4364-9E8E-29E227DC6A92}" name="Дата первой встречи"/>
    <tableColumn id="3" xr3:uid="{EFADBCBC-B487-47B6-A983-62EB6E90592A}" name="Компания-клиент"/>
    <tableColumn id="4" xr3:uid="{956A3797-34A2-4059-AC8D-44056F5B8ADB}" name="Продукт"/>
    <tableColumn id="5" xr3:uid="{4983984D-B801-4361-8BD5-40D7F4976464}" name="Канал"/>
    <tableColumn id="6" xr3:uid="{C73EE733-66FF-4082-812D-56CEB7F70692}" name="Коммерческое предложение"/>
    <tableColumn id="7" xr3:uid="{0208F3B5-07D4-4509-9D1F-6DCB805056E6}" name="Статус сделки"/>
    <tableColumn id="8" xr3:uid="{7CF3362B-EB0E-43C8-8885-5DFC1D5B26C5}" name="Факт оплаты"/>
    <tableColumn id="9" xr3:uid="{03BA64B0-AD3A-4773-9410-64466A5B573B}" name="Дата оплаты"/>
    <tableColumn id="10" xr3:uid="{B6DE98B8-794D-4AFF-8FF7-C5898FA1AE75}" name="Комисси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DAE1A-6360-4773-A7E3-EB5228832915}" name="Таблица3" displayName="Таблица3" ref="A1:B13" totalsRowShown="0">
  <autoFilter ref="A1:B13" xr:uid="{F010EE57-BE2B-444F-9CEE-6F30A88E1507}"/>
  <tableColumns count="2">
    <tableColumn id="1" xr3:uid="{0A836439-5C84-4968-B89E-B8D8364242C6}" name="Месяц"/>
    <tableColumn id="2" xr3:uid="{AF2528F0-E97D-48D7-A5E2-64550E98AD08}" name="Продаж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355C-DED2-4A3C-B7BC-5B1CA049D7AD}">
  <dimension ref="A3:H9"/>
  <sheetViews>
    <sheetView tabSelected="1" workbookViewId="0">
      <selection activeCell="D14" sqref="D14"/>
    </sheetView>
  </sheetViews>
  <sheetFormatPr defaultRowHeight="14.4" x14ac:dyDescent="0.55000000000000004"/>
  <cols>
    <col min="1" max="1" width="25.15625" bestFit="1" customWidth="1"/>
    <col min="2" max="2" width="19.15625" bestFit="1" customWidth="1"/>
    <col min="3" max="3" width="6.83984375" bestFit="1" customWidth="1"/>
    <col min="4" max="4" width="19.7890625" bestFit="1" customWidth="1"/>
    <col min="5" max="5" width="7.68359375" bestFit="1" customWidth="1"/>
    <col min="6" max="6" width="15.89453125" bestFit="1" customWidth="1"/>
    <col min="7" max="7" width="8.68359375" bestFit="1" customWidth="1"/>
    <col min="8" max="8" width="10.7890625" bestFit="1" customWidth="1"/>
  </cols>
  <sheetData>
    <row r="3" spans="1:8" x14ac:dyDescent="0.55000000000000004">
      <c r="A3" s="20" t="s">
        <v>68</v>
      </c>
      <c r="B3" s="20" t="s">
        <v>67</v>
      </c>
    </row>
    <row r="4" spans="1:8" x14ac:dyDescent="0.55000000000000004">
      <c r="A4" s="20" t="s">
        <v>64</v>
      </c>
      <c r="B4" t="s">
        <v>27</v>
      </c>
      <c r="C4" t="s">
        <v>29</v>
      </c>
      <c r="D4" t="s">
        <v>16</v>
      </c>
      <c r="E4" t="s">
        <v>23</v>
      </c>
      <c r="F4" t="s">
        <v>13</v>
      </c>
      <c r="G4" t="s">
        <v>65</v>
      </c>
      <c r="H4" t="s">
        <v>66</v>
      </c>
    </row>
    <row r="5" spans="1:8" x14ac:dyDescent="0.55000000000000004">
      <c r="A5" s="21" t="s">
        <v>22</v>
      </c>
      <c r="B5" s="22">
        <v>1558171</v>
      </c>
      <c r="C5" s="22"/>
      <c r="D5" s="22"/>
      <c r="E5" s="22">
        <v>2000000</v>
      </c>
      <c r="F5" s="22"/>
      <c r="G5" s="22"/>
      <c r="H5" s="22">
        <v>3558171</v>
      </c>
    </row>
    <row r="6" spans="1:8" x14ac:dyDescent="0.55000000000000004">
      <c r="A6" s="21" t="s">
        <v>12</v>
      </c>
      <c r="B6" s="22">
        <v>1470565</v>
      </c>
      <c r="C6" s="22"/>
      <c r="D6" s="22">
        <v>600000</v>
      </c>
      <c r="E6" s="22"/>
      <c r="F6" s="22">
        <v>100000</v>
      </c>
      <c r="G6" s="22"/>
      <c r="H6" s="22">
        <v>2170565</v>
      </c>
    </row>
    <row r="7" spans="1:8" x14ac:dyDescent="0.55000000000000004">
      <c r="A7" s="21" t="s">
        <v>36</v>
      </c>
      <c r="B7" s="22">
        <v>1700000</v>
      </c>
      <c r="C7" s="22"/>
      <c r="D7" s="22"/>
      <c r="E7" s="22">
        <v>1100000</v>
      </c>
      <c r="F7" s="22"/>
      <c r="G7" s="22"/>
      <c r="H7" s="22">
        <v>2800000</v>
      </c>
    </row>
    <row r="8" spans="1:8" x14ac:dyDescent="0.55000000000000004">
      <c r="A8" s="21" t="s">
        <v>65</v>
      </c>
      <c r="B8" s="22"/>
      <c r="C8" s="22"/>
      <c r="D8" s="22"/>
      <c r="E8" s="22"/>
      <c r="F8" s="22"/>
      <c r="G8" s="22">
        <v>10528736</v>
      </c>
      <c r="H8" s="22">
        <v>10528736</v>
      </c>
    </row>
    <row r="9" spans="1:8" x14ac:dyDescent="0.55000000000000004">
      <c r="A9" s="21" t="s">
        <v>66</v>
      </c>
      <c r="B9" s="22">
        <v>4728736</v>
      </c>
      <c r="C9" s="22"/>
      <c r="D9" s="22">
        <v>600000</v>
      </c>
      <c r="E9" s="22">
        <v>3100000</v>
      </c>
      <c r="F9" s="22">
        <v>100000</v>
      </c>
      <c r="G9" s="22">
        <v>10528736</v>
      </c>
      <c r="H9" s="22">
        <v>19057472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9409-A56E-41C7-ABF3-7BE3CEA2EF32}">
  <dimension ref="A1:M32"/>
  <sheetViews>
    <sheetView topLeftCell="A5" zoomScaleNormal="100" workbookViewId="0">
      <selection activeCell="C31" sqref="C31"/>
    </sheetView>
  </sheetViews>
  <sheetFormatPr defaultRowHeight="14.4" x14ac:dyDescent="0.55000000000000004"/>
  <cols>
    <col min="1" max="1" width="11.89453125" customWidth="1"/>
    <col min="2" max="2" width="20.41796875" customWidth="1"/>
    <col min="3" max="3" width="37.41796875" bestFit="1" customWidth="1"/>
    <col min="4" max="4" width="19.83984375" bestFit="1" customWidth="1"/>
    <col min="5" max="5" width="20.68359375" bestFit="1" customWidth="1"/>
    <col min="6" max="6" width="27.05078125" customWidth="1"/>
    <col min="7" max="7" width="17.26171875" bestFit="1" customWidth="1"/>
    <col min="8" max="8" width="13.41796875" customWidth="1"/>
    <col min="9" max="9" width="17.26171875" customWidth="1"/>
    <col min="10" max="10" width="11" customWidth="1"/>
    <col min="12" max="12" width="9.578125" bestFit="1" customWidth="1"/>
    <col min="13" max="13" width="9.68359375" bestFit="1" customWidth="1"/>
  </cols>
  <sheetData>
    <row r="1" spans="1:13" ht="14.7" thickBot="1" x14ac:dyDescent="0.6">
      <c r="A1" s="6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61</v>
      </c>
    </row>
    <row r="2" spans="1:13" ht="14.7" thickTop="1" x14ac:dyDescent="0.55000000000000004">
      <c r="A2" s="8" t="s">
        <v>10</v>
      </c>
      <c r="B2" s="9">
        <v>43923</v>
      </c>
      <c r="C2" s="10" t="s">
        <v>11</v>
      </c>
      <c r="D2" s="10" t="s">
        <v>12</v>
      </c>
      <c r="E2" s="10" t="s">
        <v>13</v>
      </c>
      <c r="F2" s="11">
        <v>100000</v>
      </c>
      <c r="G2" s="10" t="s">
        <v>17</v>
      </c>
      <c r="H2" s="10">
        <v>100000</v>
      </c>
      <c r="I2" s="9">
        <v>44130</v>
      </c>
      <c r="J2" s="11">
        <f>Данные!$F2*0.15</f>
        <v>15000</v>
      </c>
      <c r="L2" s="1"/>
      <c r="M2">
        <f>SUM(Данные!$H$2:$H$31)</f>
        <v>9528736</v>
      </c>
    </row>
    <row r="3" spans="1:13" x14ac:dyDescent="0.55000000000000004">
      <c r="A3" s="12" t="s">
        <v>10</v>
      </c>
      <c r="B3" s="13">
        <v>43857</v>
      </c>
      <c r="C3" s="3" t="s">
        <v>15</v>
      </c>
      <c r="D3" s="3" t="s">
        <v>12</v>
      </c>
      <c r="E3" s="3" t="s">
        <v>16</v>
      </c>
      <c r="F3" s="14">
        <v>1700000</v>
      </c>
      <c r="G3" s="3" t="s">
        <v>17</v>
      </c>
      <c r="H3" s="3"/>
      <c r="I3" s="13">
        <v>43542</v>
      </c>
      <c r="J3" s="14">
        <f>Данные!$F3*0.15</f>
        <v>255000</v>
      </c>
    </row>
    <row r="4" spans="1:13" x14ac:dyDescent="0.55000000000000004">
      <c r="A4" s="15" t="s">
        <v>10</v>
      </c>
      <c r="B4" s="16">
        <v>43895</v>
      </c>
      <c r="C4" s="4" t="s">
        <v>18</v>
      </c>
      <c r="D4" s="4" t="s">
        <v>12</v>
      </c>
      <c r="E4" s="4" t="s">
        <v>16</v>
      </c>
      <c r="F4" s="17">
        <v>600000</v>
      </c>
      <c r="G4" s="4" t="s">
        <v>17</v>
      </c>
      <c r="H4" s="4">
        <v>600000</v>
      </c>
      <c r="I4" s="16">
        <v>43563</v>
      </c>
      <c r="J4" s="17">
        <f>Данные!$F4*0.15</f>
        <v>90000</v>
      </c>
    </row>
    <row r="5" spans="1:13" x14ac:dyDescent="0.55000000000000004">
      <c r="A5" s="12" t="s">
        <v>10</v>
      </c>
      <c r="B5" s="13">
        <v>44044</v>
      </c>
      <c r="C5" s="3" t="s">
        <v>19</v>
      </c>
      <c r="D5" s="3" t="s">
        <v>12</v>
      </c>
      <c r="E5" s="3" t="s">
        <v>16</v>
      </c>
      <c r="F5" s="14">
        <v>1700000</v>
      </c>
      <c r="G5" s="3" t="s">
        <v>20</v>
      </c>
      <c r="H5" s="3"/>
      <c r="I5" s="13"/>
      <c r="J5" s="14">
        <f>Данные!$F5*0.15</f>
        <v>255000</v>
      </c>
    </row>
    <row r="6" spans="1:13" x14ac:dyDescent="0.55000000000000004">
      <c r="A6" s="15" t="s">
        <v>10</v>
      </c>
      <c r="B6" s="16">
        <v>43866</v>
      </c>
      <c r="C6" s="4" t="s">
        <v>21</v>
      </c>
      <c r="D6" s="4" t="s">
        <v>22</v>
      </c>
      <c r="E6" s="4" t="s">
        <v>23</v>
      </c>
      <c r="F6" s="17">
        <v>1000000</v>
      </c>
      <c r="G6" s="4" t="s">
        <v>14</v>
      </c>
      <c r="H6" s="4"/>
      <c r="I6" s="16"/>
      <c r="J6" s="17">
        <f>Данные!$F6*0.15</f>
        <v>150000</v>
      </c>
    </row>
    <row r="7" spans="1:13" x14ac:dyDescent="0.55000000000000004">
      <c r="A7" s="12" t="s">
        <v>10</v>
      </c>
      <c r="B7" s="13">
        <v>44078</v>
      </c>
      <c r="C7" s="3" t="s">
        <v>24</v>
      </c>
      <c r="D7" s="3" t="s">
        <v>22</v>
      </c>
      <c r="E7" s="3" t="s">
        <v>16</v>
      </c>
      <c r="F7" s="14">
        <v>300000</v>
      </c>
      <c r="G7" s="3" t="s">
        <v>25</v>
      </c>
      <c r="H7" s="3"/>
      <c r="I7" s="13"/>
      <c r="J7" s="14">
        <f>Данные!$F7*0.15</f>
        <v>45000</v>
      </c>
    </row>
    <row r="8" spans="1:13" x14ac:dyDescent="0.55000000000000004">
      <c r="A8" s="15" t="s">
        <v>10</v>
      </c>
      <c r="B8" s="16">
        <v>43922</v>
      </c>
      <c r="C8" s="4" t="s">
        <v>26</v>
      </c>
      <c r="D8" s="4" t="s">
        <v>12</v>
      </c>
      <c r="E8" s="4" t="s">
        <v>27</v>
      </c>
      <c r="F8" s="17">
        <v>1400000</v>
      </c>
      <c r="G8" s="4" t="s">
        <v>17</v>
      </c>
      <c r="H8" s="4">
        <v>1470565</v>
      </c>
      <c r="I8" s="16">
        <v>43324</v>
      </c>
      <c r="J8" s="17">
        <f>Данные!$F8*0.15</f>
        <v>210000</v>
      </c>
    </row>
    <row r="9" spans="1:13" x14ac:dyDescent="0.55000000000000004">
      <c r="A9" s="12" t="s">
        <v>10</v>
      </c>
      <c r="B9" s="13">
        <v>44196</v>
      </c>
      <c r="C9" s="3" t="s">
        <v>28</v>
      </c>
      <c r="D9" s="3" t="s">
        <v>22</v>
      </c>
      <c r="E9" s="3" t="s">
        <v>29</v>
      </c>
      <c r="F9" s="14">
        <v>1400000</v>
      </c>
      <c r="G9" s="3" t="s">
        <v>20</v>
      </c>
      <c r="H9" s="3"/>
      <c r="I9" s="13"/>
      <c r="J9" s="14">
        <f>Данные!$F9*0.15</f>
        <v>210000</v>
      </c>
    </row>
    <row r="10" spans="1:13" x14ac:dyDescent="0.55000000000000004">
      <c r="A10" s="15" t="s">
        <v>10</v>
      </c>
      <c r="B10" s="16">
        <v>43846</v>
      </c>
      <c r="C10" s="4" t="s">
        <v>30</v>
      </c>
      <c r="D10" s="4" t="s">
        <v>22</v>
      </c>
      <c r="E10" s="4" t="s">
        <v>13</v>
      </c>
      <c r="F10" s="17">
        <v>1000000</v>
      </c>
      <c r="G10" s="4" t="s">
        <v>14</v>
      </c>
      <c r="H10" s="4"/>
      <c r="I10" s="16"/>
      <c r="J10" s="17">
        <f>Данные!$F10*0.15</f>
        <v>150000</v>
      </c>
    </row>
    <row r="11" spans="1:13" x14ac:dyDescent="0.55000000000000004">
      <c r="A11" s="12" t="s">
        <v>10</v>
      </c>
      <c r="B11" s="13">
        <v>43965</v>
      </c>
      <c r="C11" s="3" t="s">
        <v>31</v>
      </c>
      <c r="D11" s="3" t="s">
        <v>22</v>
      </c>
      <c r="E11" s="3" t="s">
        <v>23</v>
      </c>
      <c r="F11" s="14">
        <v>2000000</v>
      </c>
      <c r="G11" s="3" t="s">
        <v>17</v>
      </c>
      <c r="H11" s="3">
        <v>2000000</v>
      </c>
      <c r="I11" s="13">
        <v>43719</v>
      </c>
      <c r="J11" s="14">
        <f>Данные!$F11*0.15</f>
        <v>300000</v>
      </c>
    </row>
    <row r="12" spans="1:13" x14ac:dyDescent="0.55000000000000004">
      <c r="A12" s="15" t="s">
        <v>10</v>
      </c>
      <c r="B12" s="16">
        <v>44164</v>
      </c>
      <c r="C12" s="4" t="s">
        <v>32</v>
      </c>
      <c r="D12" s="4" t="s">
        <v>22</v>
      </c>
      <c r="E12" s="4" t="s">
        <v>13</v>
      </c>
      <c r="F12" s="17">
        <v>95000</v>
      </c>
      <c r="G12" s="4" t="s">
        <v>25</v>
      </c>
      <c r="H12" s="4"/>
      <c r="I12" s="16"/>
      <c r="J12" s="17">
        <f>Данные!$F12*0.15</f>
        <v>14250</v>
      </c>
    </row>
    <row r="13" spans="1:13" x14ac:dyDescent="0.55000000000000004">
      <c r="A13" s="12" t="s">
        <v>10</v>
      </c>
      <c r="B13" s="13">
        <v>43987</v>
      </c>
      <c r="C13" s="3" t="s">
        <v>32</v>
      </c>
      <c r="D13" s="3" t="s">
        <v>12</v>
      </c>
      <c r="E13" s="3" t="s">
        <v>29</v>
      </c>
      <c r="F13" s="14">
        <v>2000000</v>
      </c>
      <c r="G13" s="3" t="s">
        <v>33</v>
      </c>
      <c r="H13" s="3"/>
      <c r="I13" s="13"/>
      <c r="J13" s="14">
        <f>Данные!$F13*0.15</f>
        <v>300000</v>
      </c>
    </row>
    <row r="14" spans="1:13" x14ac:dyDescent="0.55000000000000004">
      <c r="A14" s="15" t="s">
        <v>34</v>
      </c>
      <c r="B14" s="16">
        <v>43979</v>
      </c>
      <c r="C14" s="4" t="s">
        <v>35</v>
      </c>
      <c r="D14" s="4" t="s">
        <v>36</v>
      </c>
      <c r="E14" s="4" t="s">
        <v>29</v>
      </c>
      <c r="F14" s="17">
        <v>1000000</v>
      </c>
      <c r="G14" s="4" t="s">
        <v>14</v>
      </c>
      <c r="H14" s="4"/>
      <c r="I14" s="16"/>
      <c r="J14" s="17">
        <f>Данные!$F14*0.15</f>
        <v>150000</v>
      </c>
    </row>
    <row r="15" spans="1:13" x14ac:dyDescent="0.55000000000000004">
      <c r="A15" s="12" t="s">
        <v>34</v>
      </c>
      <c r="B15" s="13">
        <v>44028</v>
      </c>
      <c r="C15" s="3" t="s">
        <v>31</v>
      </c>
      <c r="D15" s="3" t="s">
        <v>36</v>
      </c>
      <c r="E15" s="3" t="s">
        <v>27</v>
      </c>
      <c r="F15" s="14">
        <v>600000</v>
      </c>
      <c r="G15" s="3" t="s">
        <v>25</v>
      </c>
      <c r="H15" s="3"/>
      <c r="I15" s="13"/>
      <c r="J15" s="14">
        <f>Данные!$F15*0.15</f>
        <v>90000</v>
      </c>
    </row>
    <row r="16" spans="1:13" x14ac:dyDescent="0.55000000000000004">
      <c r="A16" s="15" t="s">
        <v>34</v>
      </c>
      <c r="B16" s="16">
        <v>43834</v>
      </c>
      <c r="C16" s="4" t="s">
        <v>37</v>
      </c>
      <c r="D16" s="4" t="s">
        <v>36</v>
      </c>
      <c r="E16" s="4" t="s">
        <v>23</v>
      </c>
      <c r="F16" s="17">
        <v>400000</v>
      </c>
      <c r="G16" s="4" t="s">
        <v>25</v>
      </c>
      <c r="H16" s="4"/>
      <c r="I16" s="16"/>
      <c r="J16" s="17">
        <f>Данные!$F16*0.15</f>
        <v>60000</v>
      </c>
    </row>
    <row r="17" spans="1:13" x14ac:dyDescent="0.55000000000000004">
      <c r="A17" s="12" t="s">
        <v>34</v>
      </c>
      <c r="B17" s="13">
        <v>43997</v>
      </c>
      <c r="C17" s="3" t="s">
        <v>38</v>
      </c>
      <c r="D17" s="3" t="s">
        <v>22</v>
      </c>
      <c r="E17" s="3" t="s">
        <v>27</v>
      </c>
      <c r="F17" s="14">
        <v>1500000</v>
      </c>
      <c r="G17" s="3" t="s">
        <v>17</v>
      </c>
      <c r="H17" s="3">
        <v>1558171</v>
      </c>
      <c r="I17" s="13">
        <v>43350</v>
      </c>
      <c r="J17" s="14">
        <f>Данные!$F17*0.15</f>
        <v>225000</v>
      </c>
    </row>
    <row r="18" spans="1:13" x14ac:dyDescent="0.55000000000000004">
      <c r="A18" s="15" t="s">
        <v>34</v>
      </c>
      <c r="B18" s="16">
        <v>44169</v>
      </c>
      <c r="C18" s="4" t="s">
        <v>37</v>
      </c>
      <c r="D18" s="4" t="s">
        <v>36</v>
      </c>
      <c r="E18" s="4" t="s">
        <v>23</v>
      </c>
      <c r="F18" s="17">
        <v>700000</v>
      </c>
      <c r="G18" s="4" t="s">
        <v>33</v>
      </c>
      <c r="H18" s="4"/>
      <c r="I18" s="16"/>
      <c r="J18" s="17">
        <f>Данные!$F18*0.15</f>
        <v>105000</v>
      </c>
    </row>
    <row r="19" spans="1:13" x14ac:dyDescent="0.55000000000000004">
      <c r="A19" s="12" t="s">
        <v>34</v>
      </c>
      <c r="B19" s="13">
        <v>43927</v>
      </c>
      <c r="C19" s="3" t="s">
        <v>39</v>
      </c>
      <c r="D19" s="3" t="s">
        <v>12</v>
      </c>
      <c r="E19" s="3" t="s">
        <v>29</v>
      </c>
      <c r="F19" s="14">
        <v>900000</v>
      </c>
      <c r="G19" s="3" t="s">
        <v>14</v>
      </c>
      <c r="H19" s="3"/>
      <c r="I19" s="13"/>
      <c r="J19" s="14">
        <f>Данные!$F19*0.15</f>
        <v>135000</v>
      </c>
      <c r="M19" s="5">
        <f>Данные!$F$32</f>
        <v>1258448.2758620689</v>
      </c>
    </row>
    <row r="20" spans="1:13" x14ac:dyDescent="0.55000000000000004">
      <c r="A20" s="15" t="s">
        <v>34</v>
      </c>
      <c r="B20" s="16">
        <v>43844</v>
      </c>
      <c r="C20" s="4" t="s">
        <v>40</v>
      </c>
      <c r="D20" s="4" t="s">
        <v>12</v>
      </c>
      <c r="E20" s="4" t="s">
        <v>13</v>
      </c>
      <c r="F20" s="17">
        <v>1700000</v>
      </c>
      <c r="G20" s="4" t="s">
        <v>25</v>
      </c>
      <c r="H20" s="4"/>
      <c r="I20" s="16"/>
      <c r="J20" s="17">
        <f>Данные!$F20*0.15</f>
        <v>255000</v>
      </c>
    </row>
    <row r="21" spans="1:13" x14ac:dyDescent="0.55000000000000004">
      <c r="A21" s="12" t="s">
        <v>34</v>
      </c>
      <c r="B21" s="13">
        <v>44036</v>
      </c>
      <c r="C21" s="3" t="s">
        <v>31</v>
      </c>
      <c r="D21" s="3" t="s">
        <v>22</v>
      </c>
      <c r="E21" s="3" t="s">
        <v>16</v>
      </c>
      <c r="F21" s="14">
        <v>500000</v>
      </c>
      <c r="G21" s="3" t="s">
        <v>14</v>
      </c>
      <c r="H21" s="3"/>
      <c r="I21" s="13"/>
      <c r="J21" s="14">
        <f>Данные!$F21*0.15</f>
        <v>75000</v>
      </c>
    </row>
    <row r="22" spans="1:13" x14ac:dyDescent="0.55000000000000004">
      <c r="A22" s="15" t="s">
        <v>34</v>
      </c>
      <c r="B22" s="16">
        <v>43997</v>
      </c>
      <c r="C22" s="4" t="s">
        <v>41</v>
      </c>
      <c r="D22" s="4" t="s">
        <v>12</v>
      </c>
      <c r="E22" s="4" t="s">
        <v>13</v>
      </c>
      <c r="F22" s="17">
        <v>1800000</v>
      </c>
      <c r="G22" s="4" t="s">
        <v>14</v>
      </c>
      <c r="H22" s="4"/>
      <c r="I22" s="16"/>
      <c r="J22" s="17">
        <f>Данные!$F22*0.15</f>
        <v>270000</v>
      </c>
    </row>
    <row r="23" spans="1:13" x14ac:dyDescent="0.55000000000000004">
      <c r="A23" s="12" t="s">
        <v>34</v>
      </c>
      <c r="B23" s="13">
        <v>44071</v>
      </c>
      <c r="C23" s="3" t="s">
        <v>42</v>
      </c>
      <c r="D23" s="3" t="s">
        <v>36</v>
      </c>
      <c r="E23" s="3" t="s">
        <v>23</v>
      </c>
      <c r="F23" s="14">
        <v>1100000</v>
      </c>
      <c r="G23" s="3" t="s">
        <v>17</v>
      </c>
      <c r="H23" s="3">
        <v>1100000</v>
      </c>
      <c r="I23" s="13">
        <v>43528</v>
      </c>
      <c r="J23" s="14">
        <f>Данные!$F23*0.15</f>
        <v>165000</v>
      </c>
    </row>
    <row r="24" spans="1:13" x14ac:dyDescent="0.55000000000000004">
      <c r="A24" s="15" t="s">
        <v>34</v>
      </c>
      <c r="B24" s="16">
        <v>43952</v>
      </c>
      <c r="C24" s="4" t="s">
        <v>43</v>
      </c>
      <c r="D24" s="4" t="s">
        <v>22</v>
      </c>
      <c r="E24" s="4" t="s">
        <v>29</v>
      </c>
      <c r="F24" s="17">
        <v>1700000</v>
      </c>
      <c r="G24" s="4" t="s">
        <v>25</v>
      </c>
      <c r="H24" s="4"/>
      <c r="I24" s="16"/>
      <c r="J24" s="17">
        <f>Данные!$F24*0.15</f>
        <v>255000</v>
      </c>
    </row>
    <row r="25" spans="1:13" x14ac:dyDescent="0.55000000000000004">
      <c r="A25" s="12" t="s">
        <v>34</v>
      </c>
      <c r="B25" s="13">
        <v>44120</v>
      </c>
      <c r="C25" s="3" t="s">
        <v>44</v>
      </c>
      <c r="D25" s="3" t="s">
        <v>36</v>
      </c>
      <c r="E25" s="3" t="s">
        <v>27</v>
      </c>
      <c r="F25" s="14">
        <v>1700000</v>
      </c>
      <c r="G25" s="3" t="s">
        <v>17</v>
      </c>
      <c r="H25" s="3">
        <v>1700000</v>
      </c>
      <c r="I25" s="13">
        <v>43416</v>
      </c>
      <c r="J25" s="14">
        <f>Данные!$F25*0.15</f>
        <v>255000</v>
      </c>
    </row>
    <row r="26" spans="1:13" x14ac:dyDescent="0.55000000000000004">
      <c r="A26" s="15" t="s">
        <v>34</v>
      </c>
      <c r="B26" s="16">
        <v>43859</v>
      </c>
      <c r="C26" s="4" t="s">
        <v>45</v>
      </c>
      <c r="D26" s="4" t="s">
        <v>12</v>
      </c>
      <c r="E26" s="4" t="s">
        <v>16</v>
      </c>
      <c r="F26" s="17">
        <v>1600000</v>
      </c>
      <c r="G26" s="4" t="s">
        <v>33</v>
      </c>
      <c r="H26" s="4"/>
      <c r="I26" s="16"/>
      <c r="J26" s="17">
        <f>Данные!$F26*0.15</f>
        <v>240000</v>
      </c>
    </row>
    <row r="27" spans="1:13" x14ac:dyDescent="0.55000000000000004">
      <c r="A27" s="12" t="s">
        <v>34</v>
      </c>
      <c r="B27" s="13">
        <v>43857</v>
      </c>
      <c r="C27" s="3" t="s">
        <v>41</v>
      </c>
      <c r="D27" s="3" t="s">
        <v>36</v>
      </c>
      <c r="E27" s="3" t="s">
        <v>27</v>
      </c>
      <c r="F27" s="14">
        <v>1500000</v>
      </c>
      <c r="G27" s="3" t="s">
        <v>33</v>
      </c>
      <c r="H27" s="3"/>
      <c r="I27" s="13"/>
      <c r="J27" s="14">
        <f>Данные!$F27*0.15</f>
        <v>225000</v>
      </c>
    </row>
    <row r="28" spans="1:13" x14ac:dyDescent="0.55000000000000004">
      <c r="A28" s="15" t="s">
        <v>34</v>
      </c>
      <c r="B28" s="16">
        <v>44105</v>
      </c>
      <c r="C28" s="4" t="s">
        <v>46</v>
      </c>
      <c r="D28" s="4" t="s">
        <v>36</v>
      </c>
      <c r="E28" s="4" t="s">
        <v>16</v>
      </c>
      <c r="F28" s="17">
        <v>500000</v>
      </c>
      <c r="G28" s="4" t="s">
        <v>33</v>
      </c>
      <c r="H28" s="4"/>
      <c r="I28" s="16"/>
      <c r="J28" s="17">
        <f>Данные!$F28*0.15</f>
        <v>75000</v>
      </c>
    </row>
    <row r="29" spans="1:13" x14ac:dyDescent="0.55000000000000004">
      <c r="A29" s="12" t="s">
        <v>34</v>
      </c>
      <c r="B29" s="13">
        <v>44147</v>
      </c>
      <c r="C29" s="3" t="s">
        <v>46</v>
      </c>
      <c r="D29" s="3" t="s">
        <v>36</v>
      </c>
      <c r="E29" s="3" t="s">
        <v>16</v>
      </c>
      <c r="F29" s="14">
        <v>5000000</v>
      </c>
      <c r="G29" s="3" t="s">
        <v>17</v>
      </c>
      <c r="H29" s="3"/>
      <c r="I29" s="13"/>
      <c r="J29" s="14">
        <f>Данные!$F29*0.15</f>
        <v>750000</v>
      </c>
    </row>
    <row r="30" spans="1:13" x14ac:dyDescent="0.55000000000000004">
      <c r="A30" s="15" t="s">
        <v>34</v>
      </c>
      <c r="B30" s="16"/>
      <c r="C30" s="4"/>
      <c r="D30" s="4"/>
      <c r="E30" s="4"/>
      <c r="F30" s="17">
        <v>1000000</v>
      </c>
      <c r="G30" s="4" t="s">
        <v>14</v>
      </c>
      <c r="H30" s="4"/>
      <c r="I30" s="16"/>
      <c r="J30" s="17">
        <f>Данные!$F30*0.15</f>
        <v>150000</v>
      </c>
    </row>
    <row r="31" spans="1:13" ht="14.7" thickBot="1" x14ac:dyDescent="0.6">
      <c r="A31" s="12" t="s">
        <v>63</v>
      </c>
      <c r="B31" s="13">
        <v>44147</v>
      </c>
      <c r="C31" s="3" t="s">
        <v>62</v>
      </c>
      <c r="D31" s="3"/>
      <c r="E31" s="3"/>
      <c r="F31" s="14"/>
      <c r="G31" s="3"/>
      <c r="H31" s="3">
        <v>1000000</v>
      </c>
      <c r="I31" s="13"/>
      <c r="J31" s="14">
        <f>Данные!$F31*0.15</f>
        <v>0</v>
      </c>
    </row>
    <row r="32" spans="1:13" ht="14.7" thickTop="1" x14ac:dyDescent="0.55000000000000004">
      <c r="A32" s="18" t="s">
        <v>60</v>
      </c>
      <c r="B32" s="2"/>
      <c r="C32" s="2"/>
      <c r="D32" s="2"/>
      <c r="E32" s="2"/>
      <c r="F32" s="19">
        <f>SUBTOTAL(101,Данные!$F$2:$F$31)</f>
        <v>1258448.2758620689</v>
      </c>
      <c r="G32" s="2"/>
      <c r="H32" s="2">
        <f>SUBTOTAL(109,Данные!$H$2:$H$31)</f>
        <v>9528736</v>
      </c>
      <c r="I32" s="2">
        <f>SUBTOTAL(103,Данные!$I$2:$I$31)</f>
        <v>8</v>
      </c>
      <c r="J32" s="2"/>
    </row>
  </sheetData>
  <dataValidations count="1">
    <dataValidation type="list" allowBlank="1" showInputMessage="1" showErrorMessage="1" sqref="G2:G31" xr:uid="{0EDCD6BB-777C-4AE4-80B0-62334346C7C5}">
      <formula1>"Отказ,КП,Закрыта,Торг/согласование,В оплате"</formula1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0C41-F717-45D5-A3B2-66937DB010EE}">
  <dimension ref="A1:B13"/>
  <sheetViews>
    <sheetView workbookViewId="0">
      <selection activeCell="A14" sqref="A14"/>
    </sheetView>
  </sheetViews>
  <sheetFormatPr defaultRowHeight="14.4" x14ac:dyDescent="0.55000000000000004"/>
  <cols>
    <col min="1" max="1" width="10.578125" customWidth="1"/>
    <col min="2" max="2" width="10.47265625" customWidth="1"/>
  </cols>
  <sheetData>
    <row r="1" spans="1:2" x14ac:dyDescent="0.55000000000000004">
      <c r="A1" t="s">
        <v>2</v>
      </c>
      <c r="B1" t="s">
        <v>57</v>
      </c>
    </row>
    <row r="2" spans="1:2" x14ac:dyDescent="0.55000000000000004">
      <c r="A2" t="s">
        <v>47</v>
      </c>
      <c r="B2">
        <v>11178</v>
      </c>
    </row>
    <row r="3" spans="1:2" x14ac:dyDescent="0.55000000000000004">
      <c r="A3" t="s">
        <v>48</v>
      </c>
      <c r="B3">
        <v>10744</v>
      </c>
    </row>
    <row r="4" spans="1:2" x14ac:dyDescent="0.55000000000000004">
      <c r="A4" t="s">
        <v>49</v>
      </c>
      <c r="B4">
        <v>11922</v>
      </c>
    </row>
    <row r="5" spans="1:2" x14ac:dyDescent="0.55000000000000004">
      <c r="A5" t="s">
        <v>50</v>
      </c>
      <c r="B5">
        <v>10813</v>
      </c>
    </row>
    <row r="6" spans="1:2" x14ac:dyDescent="0.55000000000000004">
      <c r="A6" t="s">
        <v>51</v>
      </c>
      <c r="B6">
        <v>11471</v>
      </c>
    </row>
    <row r="7" spans="1:2" x14ac:dyDescent="0.55000000000000004">
      <c r="A7" t="s">
        <v>52</v>
      </c>
      <c r="B7">
        <v>10716</v>
      </c>
    </row>
    <row r="8" spans="1:2" x14ac:dyDescent="0.55000000000000004">
      <c r="A8" t="s">
        <v>53</v>
      </c>
      <c r="B8">
        <v>10629</v>
      </c>
    </row>
    <row r="9" spans="1:2" x14ac:dyDescent="0.55000000000000004">
      <c r="A9" t="s">
        <v>54</v>
      </c>
      <c r="B9">
        <v>11950</v>
      </c>
    </row>
    <row r="10" spans="1:2" x14ac:dyDescent="0.55000000000000004">
      <c r="A10" t="s">
        <v>55</v>
      </c>
      <c r="B10">
        <v>11695</v>
      </c>
    </row>
    <row r="11" spans="1:2" x14ac:dyDescent="0.55000000000000004">
      <c r="A11" t="s">
        <v>56</v>
      </c>
      <c r="B11">
        <v>10366</v>
      </c>
    </row>
    <row r="12" spans="1:2" x14ac:dyDescent="0.55000000000000004">
      <c r="A12" t="s">
        <v>58</v>
      </c>
      <c r="B12">
        <v>12000</v>
      </c>
    </row>
    <row r="13" spans="1:2" x14ac:dyDescent="0.55000000000000004">
      <c r="A13" t="s">
        <v>59</v>
      </c>
      <c r="B13">
        <v>14000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Данные</vt:lpstr>
      <vt:lpstr>Диаграмма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2020-11-12T17:20:58Z</dcterms:modified>
</cp:coreProperties>
</file>