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7_Модуль\ПРАКТИКА\"/>
    </mc:Choice>
  </mc:AlternateContent>
  <xr:revisionPtr revIDLastSave="0" documentId="8_{609EACAB-4F04-41F5-89A4-DB0B26C4EA03}" xr6:coauthVersionLast="47" xr6:coauthVersionMax="47" xr10:uidLastSave="{00000000-0000-0000-0000-000000000000}"/>
  <bookViews>
    <workbookView xWindow="-108" yWindow="-108" windowWidth="23256" windowHeight="12576" xr2:uid="{0A95A732-5BCA-444D-8815-7F37AC8A3610}"/>
  </bookViews>
  <sheets>
    <sheet name="Задание 1" sheetId="3" r:id="rId1"/>
    <sheet name="Задание 2" sheetId="4" r:id="rId2"/>
    <sheet name="Задание 3" sheetId="1" r:id="rId3"/>
    <sheet name="СПРАВОЧНИК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22" i="1"/>
  <c r="C22" i="1"/>
  <c r="F2" i="4"/>
  <c r="G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E3" i="4"/>
  <c r="E4" i="4"/>
  <c r="E5" i="4"/>
  <c r="E6" i="4"/>
  <c r="E7" i="4"/>
  <c r="E8" i="4"/>
  <c r="E9" i="4"/>
  <c r="E10" i="4"/>
  <c r="E2" i="4"/>
</calcChain>
</file>

<file path=xl/sharedStrings.xml><?xml version="1.0" encoding="utf-8"?>
<sst xmlns="http://schemas.openxmlformats.org/spreadsheetml/2006/main" count="90" uniqueCount="61">
  <si>
    <t>Дата выхода на работу</t>
  </si>
  <si>
    <t>Должность</t>
  </si>
  <si>
    <t>Дата рождения</t>
  </si>
  <si>
    <t>Оклад</t>
  </si>
  <si>
    <t>Обухов Вацлав</t>
  </si>
  <si>
    <t>Каверин Георгий</t>
  </si>
  <si>
    <t>Грибоедов Никанор</t>
  </si>
  <si>
    <t>Бендлин Наум</t>
  </si>
  <si>
    <t>Кудряшов Родион</t>
  </si>
  <si>
    <t>Казьмина Агния</t>
  </si>
  <si>
    <t>Хромченко Эльвира</t>
  </si>
  <si>
    <t>Нюхтилина Эмма</t>
  </si>
  <si>
    <t>Месяц Наум</t>
  </si>
  <si>
    <t>Радченко Светлана</t>
  </si>
  <si>
    <t>Фламин Аким</t>
  </si>
  <si>
    <t>Колесникова Фаина</t>
  </si>
  <si>
    <t>Гоминова Полина</t>
  </si>
  <si>
    <t>Феднова Елизавета</t>
  </si>
  <si>
    <t>Богун Ярослав</t>
  </si>
  <si>
    <t>Талызина Ева</t>
  </si>
  <si>
    <t>Базарова Светлана</t>
  </si>
  <si>
    <t>Косицкий Мартын</t>
  </si>
  <si>
    <t>Камалова Регина</t>
  </si>
  <si>
    <t>Эвентова Элеонора</t>
  </si>
  <si>
    <t>Имя и фамилия</t>
  </si>
  <si>
    <t>Генеральный директор</t>
  </si>
  <si>
    <t>PR-менеджер</t>
  </si>
  <si>
    <t>SMM-менеджер</t>
  </si>
  <si>
    <t>Офис-менеджер</t>
  </si>
  <si>
    <t>Главный бухгалтер</t>
  </si>
  <si>
    <t>Дизайнер</t>
  </si>
  <si>
    <t>Редактор</t>
  </si>
  <si>
    <t>Копирайтер</t>
  </si>
  <si>
    <t>Программист</t>
  </si>
  <si>
    <t>Режим</t>
  </si>
  <si>
    <t>Офис</t>
  </si>
  <si>
    <t>Удаленка</t>
  </si>
  <si>
    <t>Тестировшик</t>
  </si>
  <si>
    <t>Суммы в рублях</t>
  </si>
  <si>
    <t>Суммы в евро</t>
  </si>
  <si>
    <t>Курс евро</t>
  </si>
  <si>
    <t>Месяц</t>
  </si>
  <si>
    <t>План</t>
  </si>
  <si>
    <t>Факт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</si>
  <si>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</si>
  <si>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</si>
  <si>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</si>
  <si>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</si>
  <si>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</si>
  <si>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</si>
  <si>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</si>
  <si>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</si>
  <si>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</si>
  <si>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</si>
  <si>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</si>
  <si>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</si>
  <si>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Налог</t>
  </si>
  <si>
    <t>Сумма налога</t>
  </si>
  <si>
    <t>Итог</t>
  </si>
  <si>
    <t>НДФЛ</t>
  </si>
  <si>
    <t>СПРАВОЧНИК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</si>
</sst>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[$₽-419]_-;\-* #,##0\ [$₽-419]_-;_-* &quot;-&quot;??\ [$₽-419]_-;_-@_-"/>
    <numFmt numFmtId="166" formatCode="_-* #,##0_-;\-* #,##0_-;_-* &quot;-&quot;??_-;_-@_-"/>
    <numFmt numFmtId="168" formatCode="_-[$€-2]\ * #,##0.00_-;\-[$€-2]\ * #,##0.00_-;_-[$€-2]\ * &quot;-&quot;??_-;_-@_-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" fillId="2" borderId="0" applyNumberFormat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2" fillId="0" borderId="1" xfId="2" applyAlignment="1">
      <alignment horizontal="center" vertical="center"/>
    </xf>
    <xf numFmtId="0" fontId="2" fillId="0" borderId="1" xfId="2" applyAlignment="1">
      <alignment horizontal="center" vertical="center" wrapText="1"/>
    </xf>
    <xf numFmtId="164" fontId="0" fillId="0" borderId="0" xfId="1" applyNumberFormat="1" applyFont="1"/>
    <xf numFmtId="0" fontId="0" fillId="3" borderId="0" xfId="0" applyFill="1"/>
    <xf numFmtId="0" fontId="0" fillId="0" borderId="0" xfId="0" applyAlignment="1">
      <alignment horizontal="center" vertical="center"/>
    </xf>
    <xf numFmtId="0" fontId="1" fillId="2" borderId="0" xfId="4" applyAlignment="1">
      <alignment horizontal="center" vertical="center"/>
    </xf>
    <xf numFmtId="9" fontId="1" fillId="2" borderId="0" xfId="4" applyNumberFormat="1" applyAlignment="1">
      <alignment horizontal="center" vertical="center"/>
    </xf>
    <xf numFmtId="44" fontId="0" fillId="3" borderId="0" xfId="0" applyNumberFormat="1" applyFill="1" applyAlignment="1">
      <alignment horizontal="center"/>
    </xf>
    <xf numFmtId="168" fontId="0" fillId="3" borderId="0" xfId="0" applyNumberFormat="1" applyFill="1" applyAlignment="1">
      <alignment horizontal="center"/>
    </xf>
    <xf numFmtId="168" fontId="0" fillId="4" borderId="0" xfId="0" applyNumberFormat="1" applyFill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4" fontId="0" fillId="0" borderId="0" xfId="0" applyNumberFormat="1" applyFont="1"/>
    <xf numFmtId="0" fontId="2" fillId="0" borderId="1" xfId="2" applyFill="1" applyBorder="1" applyAlignment="1">
      <alignment horizontal="center" vertical="center"/>
    </xf>
    <xf numFmtId="164" fontId="0" fillId="0" borderId="0" xfId="0" applyNumberFormat="1"/>
    <xf numFmtId="0" fontId="4" fillId="0" borderId="0" xfId="6"/>
    <xf numFmtId="0" fontId="3" fillId="5" borderId="3" xfId="3" applyFont="1" applyFill="1" applyBorder="1" applyAlignment="1">
      <alignment horizontal="center" vertical="center"/>
    </xf>
    <xf numFmtId="0" fontId="0" fillId="6" borderId="3" xfId="0" applyFont="1" applyFill="1" applyBorder="1"/>
    <xf numFmtId="3" fontId="0" fillId="6" borderId="3" xfId="0" applyNumberFormat="1" applyFont="1" applyFill="1" applyBorder="1" applyAlignment="1">
      <alignment horizontal="center"/>
    </xf>
    <xf numFmtId="0" fontId="0" fillId="5" borderId="3" xfId="0" applyFont="1" applyFill="1" applyBorder="1"/>
    <xf numFmtId="3" fontId="0" fillId="5" borderId="3" xfId="0" applyNumberFormat="1" applyFont="1" applyFill="1" applyBorder="1" applyAlignment="1">
      <alignment horizontal="center"/>
    </xf>
    <xf numFmtId="166" fontId="0" fillId="6" borderId="3" xfId="5" applyNumberFormat="1" applyFont="1" applyFill="1" applyBorder="1"/>
  </cellXfs>
  <cellStyles count="7">
    <cellStyle name="20% — акцент5" xfId="4" builtinId="46"/>
    <cellStyle name="Гиперссылка" xfId="6" builtinId="8"/>
    <cellStyle name="Денежный" xfId="1" builtinId="4"/>
    <cellStyle name="Заголовок 1" xfId="3" builtinId="16"/>
    <cellStyle name="Заголовок 3" xfId="2" builtinId="18"/>
    <cellStyle name="Обычный" xfId="0" builtinId="0"/>
    <cellStyle name="Финансовый" xfId="5" builtinId="3"/>
  </cellStyles>
  <dxfs count="7">
    <dxf>
      <numFmt numFmtId="164" formatCode="_-* #,##0\ [$₽-419]_-;\-* #,##0\ [$₽-419]_-;_-* &quot;-&quot;??\ [$₽-419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_-* #,##0\ [$₽-419]_-;\-* #,##0\ [$₽-419]_-;_-* &quot;-&quot;??\ [$₽-419]_-;_-@_-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164" formatCode="_-* #,##0\ [$₽-419]_-;\-* #,##0\ [$₽-419]_-;_-* &quot;-&quot;??\ [$₽-419]_-;_-@_-"/>
    </dxf>
    <dxf>
      <numFmt numFmtId="19" formatCode="dd/mm/yyyy"/>
    </dxf>
    <dxf>
      <numFmt numFmtId="19" formatCode="dd/mm/yyyy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241935</xdr:colOff>
      <xdr:row>0</xdr:row>
      <xdr:rowOff>209549</xdr:rowOff>
    </xdr:from>
    <xdr:ext cx="5610225" cy="189738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0489A7-B092-4DB2-A68B-4A1ED0CA61C4}"/>
            </a:ext>
          </a:extLst>
        </xdr:cNvPr>
        <xdr:cNvSpPr txBox="1"/>
      </xdr:nvSpPr>
      <xdr:spPr>
        <a:xfrm>
          <a:off x="7290435" y="209549"/>
          <a:ext cx="5610225" cy="1897381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1</a:t>
          </a:r>
          <a:r>
            <a:rPr lang="ru-RU" sz="1100"/>
            <a:t>.</a:t>
          </a:r>
          <a:r>
            <a:rPr lang="ru-RU" sz="1100" baseline="0"/>
            <a:t> Рассчитайте сумму налога, умножив фактические значения на ставку из ячейки </a:t>
          </a:r>
          <a:r>
            <a:rPr lang="en-US" sz="1100" baseline="0"/>
            <a:t>H1</a:t>
          </a:r>
          <a:r>
            <a:rPr lang="ru-RU" sz="1100" baseline="0"/>
            <a:t>. Отформатируйте числа в столбце "Сумма налога" (с разделителем разрядов без знаков после запятой)</a:t>
          </a:r>
        </a:p>
        <a:p>
          <a:endParaRPr lang="ru-RU" sz="1100" baseline="0"/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Обратите внимание, что эта практическая работа предполагает самопроверку.</a:t>
          </a:r>
          <a:endParaRPr lang="ru-RU">
            <a:effectLst/>
          </a:endParaRPr>
        </a:p>
        <a:p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Отправлять ее куратору не нужно.</a:t>
          </a:r>
          <a:endParaRPr lang="ru-RU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344805</xdr:colOff>
      <xdr:row>3</xdr:row>
      <xdr:rowOff>57150</xdr:rowOff>
    </xdr:from>
    <xdr:ext cx="5610225" cy="149352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6B4F86A-23B0-4261-9C0A-BAD690E17A7E}"/>
            </a:ext>
          </a:extLst>
        </xdr:cNvPr>
        <xdr:cNvSpPr txBox="1"/>
      </xdr:nvSpPr>
      <xdr:spPr>
        <a:xfrm>
          <a:off x="7736205" y="605790"/>
          <a:ext cx="5610225" cy="149352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2</a:t>
          </a:r>
          <a:r>
            <a:rPr lang="ru-RU" sz="1100"/>
            <a:t>.</a:t>
          </a:r>
          <a:r>
            <a:rPr lang="ru-RU" sz="1100" baseline="0"/>
            <a:t>  Заполните зеленые ячейки (</a:t>
          </a:r>
          <a:r>
            <a:rPr lang="en-US" sz="1100" baseline="0"/>
            <a:t>E2:G10)</a:t>
          </a:r>
          <a:r>
            <a:rPr lang="ru-RU" sz="1100" baseline="0"/>
            <a:t>, разделив суммы в рублях на курс евро в ячейке </a:t>
          </a:r>
          <a:r>
            <a:rPr lang="en-US" sz="1100" baseline="0"/>
            <a:t>I2</a:t>
          </a:r>
          <a:r>
            <a:rPr lang="ru-RU" sz="1100" baseline="0"/>
            <a:t>. </a:t>
          </a:r>
          <a:r>
            <a:rPr lang="ru-RU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Поменяйте формат ячеек с суммами в евро на Финансовый (евро), а ячеек с суммами в рублях - на Финансовый (рубли).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</xdr:colOff>
      <xdr:row>22</xdr:row>
      <xdr:rowOff>156210</xdr:rowOff>
    </xdr:from>
    <xdr:ext cx="5610225" cy="273177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850A65-8DB6-4DD7-9460-5E60AE3059A7}"/>
            </a:ext>
          </a:extLst>
        </xdr:cNvPr>
        <xdr:cNvSpPr txBox="1"/>
      </xdr:nvSpPr>
      <xdr:spPr>
        <a:xfrm>
          <a:off x="59055" y="4370070"/>
          <a:ext cx="5610225" cy="2731770"/>
        </a:xfrm>
        <a:prstGeom prst="rect">
          <a:avLst/>
        </a:prstGeom>
        <a:ln w="28575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endParaRPr lang="ru-RU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Excel</a:t>
          </a:r>
          <a:r>
            <a:rPr kumimoji="0" lang="ru-RU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Базовый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ru-RU" sz="11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Модуль 7. Вычисления и формулы. Умные таблицы</a:t>
          </a:r>
          <a:endParaRPr lang="ru-RU" sz="1100"/>
        </a:p>
        <a:p>
          <a:r>
            <a:rPr lang="ru-RU" sz="1100" b="1"/>
            <a:t>Задание 3</a:t>
          </a:r>
          <a:r>
            <a:rPr lang="ru-RU" sz="1100"/>
            <a:t>. Выполните данное задание с таблицей, которую сформировали в</a:t>
          </a:r>
          <a:r>
            <a:rPr lang="ru-RU" sz="1100" baseline="0"/>
            <a:t> рамках выполнения домашнего задания к модулю 5 ("Проверка данных") (в этом файле она приведена для примера).</a:t>
          </a:r>
        </a:p>
        <a:p>
          <a:endParaRPr lang="ru-RU" sz="1100" baseline="0"/>
        </a:p>
        <a:p>
          <a:endParaRPr lang="ru-RU" sz="1100" baseline="0"/>
        </a:p>
        <a:p>
          <a:r>
            <a:rPr lang="ru-RU" sz="1100" baseline="0"/>
            <a:t>Отформатируйте ее как таблицу. Добавьте строку итогов со средним окладом и количеством сотрудников. Добавьте столбец "НДФЛ" с формулой расчета налога (13% от оклада)</a:t>
          </a:r>
        </a:p>
        <a:p>
          <a:endParaRPr lang="ru-RU" sz="1100" baseline="0"/>
        </a:p>
        <a:p>
          <a:endParaRPr lang="ru-RU" sz="1100" baseline="0"/>
        </a:p>
        <a:p>
          <a:r>
            <a:rPr lang="ru-RU" sz="1100" baseline="0"/>
            <a:t>Добавьте в отдельной от таблицы ячейки гиперссылку на лист "Справочник".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C73CA9-670D-4EC5-862B-B0907D17E9C2}" name="Таблица3" displayName="Таблица3" ref="A1:G22" totalsRowCount="1" headerRowDxfId="2" headerRowBorderDxfId="6" headerRowCellStyle="Заголовок 3">
  <autoFilter ref="A1:G21" xr:uid="{62C73CA9-670D-4EC5-862B-B0907D17E9C2}"/>
  <tableColumns count="7">
    <tableColumn id="1" xr3:uid="{2D8D9878-F67C-4881-8D93-7D3474BBB70D}" name="Имя и фамилия" totalsRowLabel="Итог"/>
    <tableColumn id="2" xr3:uid="{9CFF7E00-E6C0-4D20-8763-FD036AAC4341}" name="Дата выхода на работу" dataDxfId="5"/>
    <tableColumn id="3" xr3:uid="{E4928025-C9C8-497D-BAD8-6FD204FE144B}" name="Дата рождения" totalsRowFunction="count" dataDxfId="4"/>
    <tableColumn id="4" xr3:uid="{165485AB-AD33-4AEC-AD54-D2ADE63CFF37}" name="Должность"/>
    <tableColumn id="5" xr3:uid="{4FA75DF7-2E70-49EE-AC11-A166340F06BD}" name="Режим"/>
    <tableColumn id="6" xr3:uid="{C7019BF8-D64E-4AE1-BCA1-033B12586ADB}" name="Оклад" totalsRowFunction="average" dataDxfId="3" totalsRowDxfId="1" dataCellStyle="Денежный"/>
    <tableColumn id="7" xr3:uid="{03F664F9-4224-4B6C-8F8A-1E7D515D7471}" name="НДФЛ" dataDxfId="0">
      <calculatedColumnFormula>Таблица3[[#This Row],[Оклад]] * 0.13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0A4-173F-4BCB-ADDA-F60432261DD4}">
  <dimension ref="A1:H13"/>
  <sheetViews>
    <sheetView tabSelected="1" workbookViewId="0">
      <selection activeCell="E16" sqref="E16"/>
    </sheetView>
  </sheetViews>
  <sheetFormatPr defaultRowHeight="14.4" x14ac:dyDescent="0.3"/>
  <cols>
    <col min="1" max="3" width="12.5546875" customWidth="1"/>
    <col min="4" max="4" width="20.6640625" customWidth="1"/>
  </cols>
  <sheetData>
    <row r="1" spans="1:8" ht="19.8" x14ac:dyDescent="0.3">
      <c r="A1" s="17" t="s">
        <v>41</v>
      </c>
      <c r="B1" s="17" t="s">
        <v>42</v>
      </c>
      <c r="C1" s="17" t="s">
        <v>43</v>
      </c>
      <c r="D1" s="17" t="s">
        <v>57</v>
      </c>
      <c r="G1" s="7" t="s">
        <v>56</v>
      </c>
      <c r="H1" s="8">
        <v>0.2</v>
      </c>
    </row>
    <row r="2" spans="1:8" x14ac:dyDescent="0.3">
      <c r="A2" s="18" t="s">
        <v>44</v>
      </c>
      <c r="B2" s="19">
        <v>20000</v>
      </c>
      <c r="C2" s="19">
        <v>22834</v>
      </c>
      <c r="D2" s="22">
        <f>C2*$H$1</f>
        <v>4566.8</v>
      </c>
    </row>
    <row r="3" spans="1:8" x14ac:dyDescent="0.3">
      <c r="A3" s="20" t="s">
        <v>45</v>
      </c>
      <c r="B3" s="21">
        <v>20000</v>
      </c>
      <c r="C3" s="21">
        <v>20897</v>
      </c>
      <c r="D3" s="22">
        <f t="shared" ref="D3:D13" si="0">C3*$H$1</f>
        <v>4179.4000000000005</v>
      </c>
    </row>
    <row r="4" spans="1:8" x14ac:dyDescent="0.3">
      <c r="A4" s="18" t="s">
        <v>46</v>
      </c>
      <c r="B4" s="19">
        <v>25000</v>
      </c>
      <c r="C4" s="19">
        <v>21177</v>
      </c>
      <c r="D4" s="22">
        <f t="shared" si="0"/>
        <v>4235.4000000000005</v>
      </c>
    </row>
    <row r="5" spans="1:8" x14ac:dyDescent="0.3">
      <c r="A5" s="20" t="s">
        <v>47</v>
      </c>
      <c r="B5" s="21">
        <v>30000</v>
      </c>
      <c r="C5" s="21">
        <v>28610</v>
      </c>
      <c r="D5" s="22">
        <f t="shared" si="0"/>
        <v>5722</v>
      </c>
    </row>
    <row r="6" spans="1:8" x14ac:dyDescent="0.3">
      <c r="A6" s="18" t="s">
        <v>48</v>
      </c>
      <c r="B6" s="19">
        <v>30000</v>
      </c>
      <c r="C6" s="19">
        <v>29355</v>
      </c>
      <c r="D6" s="22">
        <f t="shared" si="0"/>
        <v>5871</v>
      </c>
    </row>
    <row r="7" spans="1:8" x14ac:dyDescent="0.3">
      <c r="A7" s="20" t="s">
        <v>49</v>
      </c>
      <c r="B7" s="21">
        <v>25000</v>
      </c>
      <c r="C7" s="21">
        <v>22589</v>
      </c>
      <c r="D7" s="22">
        <f t="shared" si="0"/>
        <v>4517.8</v>
      </c>
    </row>
    <row r="8" spans="1:8" x14ac:dyDescent="0.3">
      <c r="A8" s="18" t="s">
        <v>50</v>
      </c>
      <c r="B8" s="19">
        <v>25000</v>
      </c>
      <c r="C8" s="19">
        <v>28084</v>
      </c>
      <c r="D8" s="22">
        <f t="shared" si="0"/>
        <v>5616.8</v>
      </c>
    </row>
    <row r="9" spans="1:8" x14ac:dyDescent="0.3">
      <c r="A9" s="20" t="s">
        <v>51</v>
      </c>
      <c r="B9" s="21">
        <v>30000</v>
      </c>
      <c r="C9" s="21">
        <v>31857</v>
      </c>
      <c r="D9" s="22">
        <f t="shared" si="0"/>
        <v>6371.4000000000005</v>
      </c>
    </row>
    <row r="10" spans="1:8" x14ac:dyDescent="0.3">
      <c r="A10" s="18" t="s">
        <v>52</v>
      </c>
      <c r="B10" s="19">
        <v>45000</v>
      </c>
      <c r="C10" s="19">
        <v>43288</v>
      </c>
      <c r="D10" s="22">
        <f t="shared" si="0"/>
        <v>8657.6</v>
      </c>
    </row>
    <row r="11" spans="1:8" x14ac:dyDescent="0.3">
      <c r="A11" s="20" t="s">
        <v>53</v>
      </c>
      <c r="B11" s="21">
        <v>45000</v>
      </c>
      <c r="C11" s="21">
        <v>48352</v>
      </c>
      <c r="D11" s="22">
        <f t="shared" si="0"/>
        <v>9670.4</v>
      </c>
    </row>
    <row r="12" spans="1:8" x14ac:dyDescent="0.3">
      <c r="A12" s="18" t="s">
        <v>54</v>
      </c>
      <c r="B12" s="19">
        <v>50000</v>
      </c>
      <c r="C12" s="19">
        <v>53224</v>
      </c>
      <c r="D12" s="22">
        <f t="shared" si="0"/>
        <v>10644.800000000001</v>
      </c>
    </row>
    <row r="13" spans="1:8" x14ac:dyDescent="0.3">
      <c r="A13" s="20" t="s">
        <v>55</v>
      </c>
      <c r="B13" s="21">
        <v>40000</v>
      </c>
      <c r="C13" s="21">
        <v>38485</v>
      </c>
      <c r="D13" s="22">
        <f t="shared" si="0"/>
        <v>7697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C1617-A4C6-4003-916B-0646987F8930}">
  <dimension ref="A1:I10"/>
  <sheetViews>
    <sheetView workbookViewId="0">
      <selection activeCell="H19" sqref="H19"/>
    </sheetView>
  </sheetViews>
  <sheetFormatPr defaultRowHeight="14.4" x14ac:dyDescent="0.3"/>
  <cols>
    <col min="1" max="3" width="10.6640625" bestFit="1" customWidth="1"/>
    <col min="9" max="9" width="10" bestFit="1" customWidth="1"/>
  </cols>
  <sheetData>
    <row r="1" spans="1:9" x14ac:dyDescent="0.3">
      <c r="A1" s="9" t="s">
        <v>38</v>
      </c>
      <c r="B1" s="9"/>
      <c r="C1" s="9"/>
      <c r="E1" s="10" t="s">
        <v>39</v>
      </c>
      <c r="F1" s="10"/>
      <c r="G1" s="10"/>
      <c r="I1" s="5" t="s">
        <v>40</v>
      </c>
    </row>
    <row r="2" spans="1:9" x14ac:dyDescent="0.3">
      <c r="A2" s="12">
        <v>1767</v>
      </c>
      <c r="B2" s="12">
        <v>1001</v>
      </c>
      <c r="C2" s="12">
        <v>1935</v>
      </c>
      <c r="D2" s="6"/>
      <c r="E2" s="11">
        <f>A2/$I$2</f>
        <v>22.087499999999999</v>
      </c>
      <c r="F2" s="11">
        <f t="shared" ref="F2:G10" si="0">B2/$I$2</f>
        <v>12.512499999999999</v>
      </c>
      <c r="G2" s="11">
        <f t="shared" si="0"/>
        <v>24.1875</v>
      </c>
      <c r="H2" s="6"/>
      <c r="I2" s="6">
        <v>80</v>
      </c>
    </row>
    <row r="3" spans="1:9" x14ac:dyDescent="0.3">
      <c r="A3" s="12">
        <v>1942</v>
      </c>
      <c r="B3" s="12">
        <v>1564</v>
      </c>
      <c r="C3" s="12">
        <v>1641</v>
      </c>
      <c r="D3" s="6"/>
      <c r="E3" s="11">
        <f t="shared" ref="E3:E10" si="1">A3/$I$2</f>
        <v>24.274999999999999</v>
      </c>
      <c r="F3" s="11">
        <f t="shared" si="0"/>
        <v>19.55</v>
      </c>
      <c r="G3" s="11">
        <f t="shared" si="0"/>
        <v>20.512499999999999</v>
      </c>
      <c r="H3" s="6"/>
      <c r="I3" s="6"/>
    </row>
    <row r="4" spans="1:9" x14ac:dyDescent="0.3">
      <c r="A4" s="12">
        <v>1587</v>
      </c>
      <c r="B4" s="12">
        <v>1890</v>
      </c>
      <c r="C4" s="12">
        <v>1278</v>
      </c>
      <c r="D4" s="6"/>
      <c r="E4" s="11">
        <f t="shared" si="1"/>
        <v>19.837499999999999</v>
      </c>
      <c r="F4" s="11">
        <f t="shared" si="0"/>
        <v>23.625</v>
      </c>
      <c r="G4" s="11">
        <f t="shared" si="0"/>
        <v>15.975</v>
      </c>
      <c r="H4" s="6"/>
      <c r="I4" s="6"/>
    </row>
    <row r="5" spans="1:9" x14ac:dyDescent="0.3">
      <c r="A5" s="12">
        <v>1444</v>
      </c>
      <c r="B5" s="12">
        <v>1233</v>
      </c>
      <c r="C5" s="12">
        <v>1467</v>
      </c>
      <c r="D5" s="6"/>
      <c r="E5" s="11">
        <f t="shared" si="1"/>
        <v>18.05</v>
      </c>
      <c r="F5" s="11">
        <f t="shared" si="0"/>
        <v>15.4125</v>
      </c>
      <c r="G5" s="11">
        <f t="shared" si="0"/>
        <v>18.337499999999999</v>
      </c>
      <c r="H5" s="6"/>
      <c r="I5" s="6"/>
    </row>
    <row r="6" spans="1:9" x14ac:dyDescent="0.3">
      <c r="A6" s="12">
        <v>1022</v>
      </c>
      <c r="B6" s="12">
        <v>1550</v>
      </c>
      <c r="C6" s="12">
        <v>1155</v>
      </c>
      <c r="D6" s="6"/>
      <c r="E6" s="11">
        <f t="shared" si="1"/>
        <v>12.775</v>
      </c>
      <c r="F6" s="11">
        <f t="shared" si="0"/>
        <v>19.375</v>
      </c>
      <c r="G6" s="11">
        <f t="shared" si="0"/>
        <v>14.4375</v>
      </c>
      <c r="H6" s="6"/>
      <c r="I6" s="6"/>
    </row>
    <row r="7" spans="1:9" x14ac:dyDescent="0.3">
      <c r="A7" s="12">
        <v>1886</v>
      </c>
      <c r="B7" s="12">
        <v>1724</v>
      </c>
      <c r="C7" s="12">
        <v>1804</v>
      </c>
      <c r="D7" s="6"/>
      <c r="E7" s="11">
        <f t="shared" si="1"/>
        <v>23.574999999999999</v>
      </c>
      <c r="F7" s="11">
        <f t="shared" si="0"/>
        <v>21.55</v>
      </c>
      <c r="G7" s="11">
        <f t="shared" si="0"/>
        <v>22.55</v>
      </c>
      <c r="H7" s="6"/>
      <c r="I7" s="6"/>
    </row>
    <row r="8" spans="1:9" x14ac:dyDescent="0.3">
      <c r="A8" s="12">
        <v>1738</v>
      </c>
      <c r="B8" s="12">
        <v>1648</v>
      </c>
      <c r="C8" s="12">
        <v>1621</v>
      </c>
      <c r="D8" s="6"/>
      <c r="E8" s="11">
        <f t="shared" si="1"/>
        <v>21.725000000000001</v>
      </c>
      <c r="F8" s="11">
        <f t="shared" si="0"/>
        <v>20.6</v>
      </c>
      <c r="G8" s="11">
        <f t="shared" si="0"/>
        <v>20.262499999999999</v>
      </c>
      <c r="H8" s="6"/>
      <c r="I8" s="6"/>
    </row>
    <row r="9" spans="1:9" x14ac:dyDescent="0.3">
      <c r="A9" s="12">
        <v>1063</v>
      </c>
      <c r="B9" s="12">
        <v>1370</v>
      </c>
      <c r="C9" s="12">
        <v>1705</v>
      </c>
      <c r="D9" s="6"/>
      <c r="E9" s="11">
        <f t="shared" si="1"/>
        <v>13.2875</v>
      </c>
      <c r="F9" s="11">
        <f t="shared" si="0"/>
        <v>17.125</v>
      </c>
      <c r="G9" s="11">
        <f t="shared" si="0"/>
        <v>21.3125</v>
      </c>
      <c r="H9" s="6"/>
      <c r="I9" s="6"/>
    </row>
    <row r="10" spans="1:9" x14ac:dyDescent="0.3">
      <c r="A10" s="12">
        <v>1279</v>
      </c>
      <c r="B10" s="12">
        <v>1580</v>
      </c>
      <c r="C10" s="12">
        <v>1606</v>
      </c>
      <c r="D10" s="6"/>
      <c r="E10" s="11">
        <f t="shared" si="1"/>
        <v>15.987500000000001</v>
      </c>
      <c r="F10" s="11">
        <f t="shared" si="0"/>
        <v>19.75</v>
      </c>
      <c r="G10" s="11">
        <f t="shared" si="0"/>
        <v>20.074999999999999</v>
      </c>
      <c r="H10" s="6"/>
      <c r="I10" s="6"/>
    </row>
  </sheetData>
  <mergeCells count="2">
    <mergeCell ref="A1:C1"/>
    <mergeCell ref="E1:G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5EECC-DEFA-472B-9610-18F23008427B}">
  <dimension ref="A1:J22"/>
  <sheetViews>
    <sheetView workbookViewId="0">
      <selection activeCell="J15" sqref="J15"/>
    </sheetView>
  </sheetViews>
  <sheetFormatPr defaultRowHeight="14.4" x14ac:dyDescent="0.3"/>
  <cols>
    <col min="1" max="1" width="21" customWidth="1"/>
    <col min="2" max="2" width="23.109375" customWidth="1"/>
    <col min="3" max="3" width="16.44140625" customWidth="1"/>
    <col min="4" max="4" width="34" customWidth="1"/>
    <col min="5" max="5" width="14.6640625" customWidth="1"/>
    <col min="6" max="6" width="12.44140625" customWidth="1"/>
    <col min="7" max="7" width="11.88671875" bestFit="1" customWidth="1"/>
    <col min="10" max="10" width="12.6640625" bestFit="1" customWidth="1"/>
  </cols>
  <sheetData>
    <row r="1" spans="1:10" ht="15" thickBot="1" x14ac:dyDescent="0.35">
      <c r="A1" s="2" t="s">
        <v>24</v>
      </c>
      <c r="B1" s="3" t="s">
        <v>0</v>
      </c>
      <c r="C1" s="2" t="s">
        <v>2</v>
      </c>
      <c r="D1" s="2" t="s">
        <v>1</v>
      </c>
      <c r="E1" s="2" t="s">
        <v>34</v>
      </c>
      <c r="F1" s="2" t="s">
        <v>3</v>
      </c>
      <c r="G1" s="14" t="s">
        <v>59</v>
      </c>
      <c r="J1" s="16" t="s">
        <v>60</v>
      </c>
    </row>
    <row r="2" spans="1:10" x14ac:dyDescent="0.3">
      <c r="A2" t="s">
        <v>4</v>
      </c>
      <c r="B2" s="1">
        <v>43767</v>
      </c>
      <c r="C2" s="1">
        <v>26089</v>
      </c>
      <c r="D2" t="s">
        <v>25</v>
      </c>
      <c r="E2" t="s">
        <v>35</v>
      </c>
      <c r="F2" s="4">
        <v>100000</v>
      </c>
      <c r="G2" s="15">
        <f>Таблица3[[#This Row],[Оклад]] * 0.13</f>
        <v>13000</v>
      </c>
    </row>
    <row r="3" spans="1:10" x14ac:dyDescent="0.3">
      <c r="A3" t="s">
        <v>5</v>
      </c>
      <c r="B3" s="1">
        <v>42665</v>
      </c>
      <c r="C3" s="1">
        <v>23230</v>
      </c>
      <c r="D3" t="s">
        <v>28</v>
      </c>
      <c r="E3" t="s">
        <v>35</v>
      </c>
      <c r="F3" s="4">
        <v>60000</v>
      </c>
      <c r="G3" s="15">
        <f>Таблица3[[#This Row],[Оклад]] * 0.13</f>
        <v>7800</v>
      </c>
    </row>
    <row r="4" spans="1:10" x14ac:dyDescent="0.3">
      <c r="A4" t="s">
        <v>6</v>
      </c>
      <c r="B4" s="1">
        <v>43661</v>
      </c>
      <c r="C4" s="1">
        <v>34326</v>
      </c>
      <c r="D4" t="s">
        <v>26</v>
      </c>
      <c r="E4" t="s">
        <v>36</v>
      </c>
      <c r="F4" s="4">
        <v>50000</v>
      </c>
      <c r="G4" s="15">
        <f>Таблица3[[#This Row],[Оклад]] * 0.13</f>
        <v>6500</v>
      </c>
    </row>
    <row r="5" spans="1:10" x14ac:dyDescent="0.3">
      <c r="A5" t="s">
        <v>7</v>
      </c>
      <c r="B5" s="1">
        <v>42980</v>
      </c>
      <c r="C5" s="1">
        <v>33929</v>
      </c>
      <c r="D5" t="s">
        <v>27</v>
      </c>
      <c r="E5" t="s">
        <v>36</v>
      </c>
      <c r="F5" s="4">
        <v>45000</v>
      </c>
      <c r="G5" s="15">
        <f>Таблица3[[#This Row],[Оклад]] * 0.13</f>
        <v>5850</v>
      </c>
    </row>
    <row r="6" spans="1:10" x14ac:dyDescent="0.3">
      <c r="A6" t="s">
        <v>8</v>
      </c>
      <c r="B6" s="1">
        <v>43868</v>
      </c>
      <c r="C6" s="1">
        <v>26119</v>
      </c>
      <c r="D6" t="s">
        <v>29</v>
      </c>
      <c r="E6" t="s">
        <v>35</v>
      </c>
      <c r="F6" s="4">
        <v>80000</v>
      </c>
      <c r="G6" s="15">
        <f>Таблица3[[#This Row],[Оклад]] * 0.13</f>
        <v>10400</v>
      </c>
    </row>
    <row r="7" spans="1:10" x14ac:dyDescent="0.3">
      <c r="A7" t="s">
        <v>9</v>
      </c>
      <c r="B7" s="1">
        <v>43882</v>
      </c>
      <c r="C7" s="1">
        <v>34516</v>
      </c>
      <c r="D7" t="s">
        <v>27</v>
      </c>
      <c r="E7" t="s">
        <v>36</v>
      </c>
      <c r="F7" s="4">
        <v>45000</v>
      </c>
      <c r="G7" s="15">
        <f>Таблица3[[#This Row],[Оклад]] * 0.13</f>
        <v>5850</v>
      </c>
    </row>
    <row r="8" spans="1:10" x14ac:dyDescent="0.3">
      <c r="A8" t="s">
        <v>10</v>
      </c>
      <c r="B8" s="1">
        <v>41569</v>
      </c>
      <c r="C8" s="1">
        <v>26461</v>
      </c>
      <c r="D8" t="s">
        <v>30</v>
      </c>
      <c r="E8" t="s">
        <v>35</v>
      </c>
      <c r="F8" s="4">
        <v>60000</v>
      </c>
      <c r="G8" s="15">
        <f>Таблица3[[#This Row],[Оклад]] * 0.13</f>
        <v>7800</v>
      </c>
    </row>
    <row r="9" spans="1:10" x14ac:dyDescent="0.3">
      <c r="A9" t="s">
        <v>11</v>
      </c>
      <c r="B9" s="1">
        <v>41953</v>
      </c>
      <c r="C9" s="1">
        <v>36192</v>
      </c>
      <c r="D9" t="s">
        <v>30</v>
      </c>
      <c r="E9" t="s">
        <v>36</v>
      </c>
      <c r="F9" s="4">
        <v>60000</v>
      </c>
      <c r="G9" s="15">
        <f>Таблица3[[#This Row],[Оклад]] * 0.13</f>
        <v>7800</v>
      </c>
    </row>
    <row r="10" spans="1:10" x14ac:dyDescent="0.3">
      <c r="A10" t="s">
        <v>12</v>
      </c>
      <c r="B10" s="1">
        <v>43511</v>
      </c>
      <c r="C10" s="1">
        <v>26547</v>
      </c>
      <c r="D10" t="s">
        <v>31</v>
      </c>
      <c r="E10" t="s">
        <v>35</v>
      </c>
      <c r="F10" s="4">
        <v>50000</v>
      </c>
      <c r="G10" s="15">
        <f>Таблица3[[#This Row],[Оклад]] * 0.13</f>
        <v>6500</v>
      </c>
    </row>
    <row r="11" spans="1:10" x14ac:dyDescent="0.3">
      <c r="A11" t="s">
        <v>13</v>
      </c>
      <c r="B11" s="1">
        <v>42571</v>
      </c>
      <c r="C11" s="1">
        <v>34026</v>
      </c>
      <c r="D11" t="s">
        <v>27</v>
      </c>
      <c r="E11" t="s">
        <v>36</v>
      </c>
      <c r="F11" s="4">
        <v>45000</v>
      </c>
      <c r="G11" s="15">
        <f>Таблица3[[#This Row],[Оклад]] * 0.13</f>
        <v>5850</v>
      </c>
    </row>
    <row r="12" spans="1:10" x14ac:dyDescent="0.3">
      <c r="A12" t="s">
        <v>14</v>
      </c>
      <c r="B12" s="1">
        <v>42869</v>
      </c>
      <c r="C12" s="1">
        <v>32422</v>
      </c>
      <c r="D12" t="s">
        <v>30</v>
      </c>
      <c r="E12" t="s">
        <v>35</v>
      </c>
      <c r="F12" s="4">
        <v>60000</v>
      </c>
      <c r="G12" s="15">
        <f>Таблица3[[#This Row],[Оклад]] * 0.13</f>
        <v>7800</v>
      </c>
    </row>
    <row r="13" spans="1:10" x14ac:dyDescent="0.3">
      <c r="A13" t="s">
        <v>15</v>
      </c>
      <c r="B13" s="1">
        <v>43315</v>
      </c>
      <c r="C13" s="1">
        <v>23489</v>
      </c>
      <c r="D13" t="s">
        <v>32</v>
      </c>
      <c r="E13" t="s">
        <v>35</v>
      </c>
      <c r="F13" s="4">
        <v>30000</v>
      </c>
      <c r="G13" s="15">
        <f>Таблица3[[#This Row],[Оклад]] * 0.13</f>
        <v>3900</v>
      </c>
    </row>
    <row r="14" spans="1:10" x14ac:dyDescent="0.3">
      <c r="A14" t="s">
        <v>16</v>
      </c>
      <c r="B14" s="1">
        <v>43881</v>
      </c>
      <c r="C14" s="1">
        <v>35644</v>
      </c>
      <c r="D14" t="s">
        <v>30</v>
      </c>
      <c r="E14" t="s">
        <v>35</v>
      </c>
      <c r="F14" s="4">
        <v>60000</v>
      </c>
      <c r="G14" s="15">
        <f>Таблица3[[#This Row],[Оклад]] * 0.13</f>
        <v>7800</v>
      </c>
    </row>
    <row r="15" spans="1:10" x14ac:dyDescent="0.3">
      <c r="A15" t="s">
        <v>17</v>
      </c>
      <c r="B15" s="1">
        <v>43628</v>
      </c>
      <c r="C15" s="1">
        <v>29419</v>
      </c>
      <c r="D15" t="s">
        <v>33</v>
      </c>
      <c r="E15" t="s">
        <v>36</v>
      </c>
      <c r="F15" s="4">
        <v>70000</v>
      </c>
      <c r="G15" s="15">
        <f>Таблица3[[#This Row],[Оклад]] * 0.13</f>
        <v>9100</v>
      </c>
    </row>
    <row r="16" spans="1:10" x14ac:dyDescent="0.3">
      <c r="A16" t="s">
        <v>18</v>
      </c>
      <c r="B16" s="1">
        <v>43956</v>
      </c>
      <c r="C16" s="1">
        <v>30024</v>
      </c>
      <c r="D16" t="s">
        <v>33</v>
      </c>
      <c r="E16" t="s">
        <v>36</v>
      </c>
      <c r="F16" s="4">
        <v>70000</v>
      </c>
      <c r="G16" s="15">
        <f>Таблица3[[#This Row],[Оклад]] * 0.13</f>
        <v>9100</v>
      </c>
    </row>
    <row r="17" spans="1:7" x14ac:dyDescent="0.3">
      <c r="A17" t="s">
        <v>19</v>
      </c>
      <c r="B17" s="1">
        <v>44138</v>
      </c>
      <c r="C17" s="1">
        <v>24182</v>
      </c>
      <c r="D17" t="s">
        <v>32</v>
      </c>
      <c r="E17" t="s">
        <v>36</v>
      </c>
      <c r="F17" s="4">
        <v>30000</v>
      </c>
      <c r="G17" s="15">
        <f>Таблица3[[#This Row],[Оклад]] * 0.13</f>
        <v>3900</v>
      </c>
    </row>
    <row r="18" spans="1:7" x14ac:dyDescent="0.3">
      <c r="A18" t="s">
        <v>20</v>
      </c>
      <c r="B18" s="1">
        <v>42376</v>
      </c>
      <c r="C18" s="1">
        <v>32115</v>
      </c>
      <c r="D18" t="s">
        <v>37</v>
      </c>
      <c r="E18" t="s">
        <v>36</v>
      </c>
      <c r="F18" s="4">
        <v>65000</v>
      </c>
      <c r="G18" s="15">
        <f>Таблица3[[#This Row],[Оклад]] * 0.13</f>
        <v>8450</v>
      </c>
    </row>
    <row r="19" spans="1:7" x14ac:dyDescent="0.3">
      <c r="A19" t="s">
        <v>21</v>
      </c>
      <c r="B19" s="1">
        <v>42695</v>
      </c>
      <c r="C19" s="1">
        <v>30433</v>
      </c>
      <c r="D19" t="s">
        <v>30</v>
      </c>
      <c r="E19" t="s">
        <v>36</v>
      </c>
      <c r="F19" s="4">
        <v>60000</v>
      </c>
      <c r="G19" s="15">
        <f>Таблица3[[#This Row],[Оклад]] * 0.13</f>
        <v>7800</v>
      </c>
    </row>
    <row r="20" spans="1:7" x14ac:dyDescent="0.3">
      <c r="A20" t="s">
        <v>22</v>
      </c>
      <c r="B20" s="1">
        <v>41287</v>
      </c>
      <c r="C20" s="1">
        <v>29236</v>
      </c>
      <c r="D20" t="s">
        <v>31</v>
      </c>
      <c r="E20" t="s">
        <v>35</v>
      </c>
      <c r="F20" s="4">
        <v>50000</v>
      </c>
      <c r="G20" s="15">
        <f>Таблица3[[#This Row],[Оклад]] * 0.13</f>
        <v>6500</v>
      </c>
    </row>
    <row r="21" spans="1:7" x14ac:dyDescent="0.3">
      <c r="A21" t="s">
        <v>23</v>
      </c>
      <c r="B21" s="1">
        <v>43184</v>
      </c>
      <c r="C21" s="1">
        <v>32298</v>
      </c>
      <c r="D21" t="s">
        <v>31</v>
      </c>
      <c r="E21" t="s">
        <v>35</v>
      </c>
      <c r="F21" s="4">
        <v>50000</v>
      </c>
      <c r="G21" s="15">
        <f>Таблица3[[#This Row],[Оклад]] * 0.13</f>
        <v>6500</v>
      </c>
    </row>
    <row r="22" spans="1:7" x14ac:dyDescent="0.3">
      <c r="A22" t="s">
        <v>58</v>
      </c>
      <c r="C22">
        <f>SUBTOTAL(103,Таблица3[Дата рождения])</f>
        <v>20</v>
      </c>
      <c r="F22" s="13">
        <f>SUBTOTAL(101,Таблица3[Оклад])</f>
        <v>57000</v>
      </c>
    </row>
  </sheetData>
  <dataValidations count="4">
    <dataValidation type="list" allowBlank="1" showInputMessage="1" showErrorMessage="1" sqref="E2:E21" xr:uid="{28187AC4-E02B-4E10-92EA-7FA84BD7CAE5}">
      <formula1>"Офис,Удаленка"</formula1>
    </dataValidation>
    <dataValidation type="decimal" operator="greaterThan" allowBlank="1" showInputMessage="1" showErrorMessage="1" sqref="F2:F21" xr:uid="{E223FBD3-D914-4BC3-AE49-A1CE0174B574}">
      <formula1>0</formula1>
    </dataValidation>
    <dataValidation type="date" operator="greaterThan" allowBlank="1" showInputMessage="1" showErrorMessage="1" sqref="B2:C21" xr:uid="{1266A153-2325-4D05-B400-B2376DB43576}">
      <formula1>10959</formula1>
    </dataValidation>
    <dataValidation type="list" allowBlank="1" showInputMessage="1" showErrorMessage="1" sqref="D2:D21" xr:uid="{4EDBB513-4BAF-49CE-A101-B28DB8B3D451}">
      <formula1>#REF!</formula1>
    </dataValidation>
  </dataValidations>
  <hyperlinks>
    <hyperlink ref="J1" location="СПРАВОЧНИК!A1" display="СПРАВОЧНИК" xr:uid="{2804D14B-8B89-450B-98B2-E7D65D85B62C}"/>
  </hyperlink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6953-9096-466D-BCC2-3819B4611079}">
  <dimension ref="A1"/>
  <sheetViews>
    <sheetView workbookViewId="0"/>
  </sheetViews>
  <sheetFormatPr defaultRowHeight="14.4" x14ac:dyDescent="0.3"/>
  <sheetData>
    <row r="1" spans="1:1" x14ac:dyDescent="0.3">
      <c r="A1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2517A0-7674-4AFA-BE08-B2BF91299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1</vt:lpstr>
      <vt:lpstr>Задание 2</vt:lpstr>
      <vt:lpstr>Задание 3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Sergey Vilkov</cp:lastModifiedBy>
  <dcterms:created xsi:type="dcterms:W3CDTF">2020-11-16T17:11:39Z</dcterms:created>
  <dcterms:modified xsi:type="dcterms:W3CDTF">2023-11-13T15:28:26Z</dcterms:modified>
</cp:coreProperties>
</file>