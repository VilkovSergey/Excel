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6B59190E-9723-4950-B6D2-B5814EBA3C9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Ошибки" sheetId="1" r:id="rId1"/>
    <sheet name="Цик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K2" i="1"/>
  <c r="I2" i="1" a="1"/>
  <c r="I2" i="1" s="1"/>
  <c r="D3" i="1"/>
  <c r="D4" i="1"/>
  <c r="D5" i="1"/>
  <c r="D6" i="1"/>
  <c r="D7" i="1"/>
  <c r="D8" i="1"/>
  <c r="D9" i="1"/>
  <c r="D10" i="1"/>
  <c r="D11" i="1"/>
  <c r="D12" i="1"/>
  <c r="D2" i="1"/>
  <c r="B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<sst xmlns="http://schemas.openxmlformats.org/spreadsheetml/2006/main" count="27" uniqueCount="16">
  <si>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</si>
  <si>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</si>
  <si>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</si>
  <si>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</si>
  <si>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</si>
  <si>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</si>
  <si>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</si>
  <si>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</si>
  <si>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</si>
  <si>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</si>
  <si>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</si>
  <si>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</si>
  <si>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15З</t>
  </si>
  <si>
    <t>Прирост</t>
  </si>
  <si>
    <t>Имя</t>
  </si>
  <si>
    <t>Ссылка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</si>
</sst>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/>
  </cellXfs>
  <cellStyles count="3">
    <cellStyle name="20% — акцент1" xfId="1" builtinId="30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="115" zoomScaleNormal="115" workbookViewId="0">
      <selection activeCell="K7" sqref="K7"/>
    </sheetView>
  </sheetViews>
  <sheetFormatPr defaultRowHeight="14.4" x14ac:dyDescent="0.3"/>
  <cols>
    <col min="1" max="1" width="9.5546875" bestFit="1" customWidth="1"/>
    <col min="10" max="10" width="9.88671875" bestFit="1" customWidth="1"/>
    <col min="11" max="11" width="13.33203125" customWidth="1"/>
  </cols>
  <sheetData>
    <row r="1" spans="1:11" x14ac:dyDescent="0.3">
      <c r="B1" s="2">
        <v>2019</v>
      </c>
      <c r="C1" s="2">
        <v>2020</v>
      </c>
      <c r="D1" s="2" t="s">
        <v>13</v>
      </c>
      <c r="I1" t="s">
        <v>14</v>
      </c>
      <c r="K1" t="s">
        <v>15</v>
      </c>
    </row>
    <row r="2" spans="1:11" x14ac:dyDescent="0.3">
      <c r="A2" t="s">
        <v>0</v>
      </c>
      <c r="B2" s="1">
        <v>965</v>
      </c>
      <c r="C2" s="1">
        <v>184</v>
      </c>
      <c r="D2" s="3">
        <f>C2/B2-1</f>
        <v>-0.80932642487046635</v>
      </c>
      <c r="I2" t="e" cm="1">
        <f t="array" aca="1" ref="I2" ca="1">сум(C2:C12)</f>
        <v>#NAME?</v>
      </c>
      <c r="K2" s="4" t="e">
        <f>#REF!/#REF!</f>
        <v>#REF!</v>
      </c>
    </row>
    <row r="3" spans="1:11" x14ac:dyDescent="0.3">
      <c r="A3" t="s">
        <v>1</v>
      </c>
      <c r="B3" s="1">
        <v>103</v>
      </c>
      <c r="C3" s="1">
        <v>519</v>
      </c>
      <c r="D3" s="3">
        <f t="shared" ref="D3:D12" si="0">C3/B3-1</f>
        <v>4.0388349514563107</v>
      </c>
      <c r="J3" t="e">
        <f>#REF!</f>
        <v>#REF!</v>
      </c>
      <c r="K3">
        <f>A1</f>
        <v>0</v>
      </c>
    </row>
    <row r="4" spans="1:11" x14ac:dyDescent="0.3">
      <c r="A4" t="s">
        <v>2</v>
      </c>
      <c r="B4" s="1">
        <v>456</v>
      </c>
      <c r="C4" s="1">
        <v>963</v>
      </c>
      <c r="D4" s="3">
        <f t="shared" si="0"/>
        <v>1.111842105263158</v>
      </c>
    </row>
    <row r="5" spans="1:11" x14ac:dyDescent="0.3">
      <c r="A5" t="s">
        <v>3</v>
      </c>
      <c r="B5" s="1">
        <v>30</v>
      </c>
      <c r="C5" s="1">
        <v>414</v>
      </c>
      <c r="D5" s="3">
        <f t="shared" si="0"/>
        <v>12.8</v>
      </c>
    </row>
    <row r="6" spans="1:11" x14ac:dyDescent="0.3">
      <c r="A6" t="s">
        <v>4</v>
      </c>
      <c r="B6" s="1">
        <v>0</v>
      </c>
      <c r="C6" s="1">
        <v>823</v>
      </c>
      <c r="D6" s="3" t="e">
        <f t="shared" si="0"/>
        <v>#DIV/0!</v>
      </c>
    </row>
    <row r="7" spans="1:11" x14ac:dyDescent="0.3">
      <c r="A7" t="s">
        <v>5</v>
      </c>
      <c r="B7" s="1">
        <v>958</v>
      </c>
      <c r="C7" s="1">
        <v>527</v>
      </c>
      <c r="D7" s="3">
        <f t="shared" si="0"/>
        <v>-0.44989561586638827</v>
      </c>
    </row>
    <row r="8" spans="1:11" x14ac:dyDescent="0.3">
      <c r="A8" t="s">
        <v>6</v>
      </c>
      <c r="B8" s="1">
        <v>551</v>
      </c>
      <c r="C8" s="1">
        <v>459</v>
      </c>
      <c r="D8" s="3">
        <f t="shared" si="0"/>
        <v>-0.16696914700544463</v>
      </c>
    </row>
    <row r="9" spans="1:11" x14ac:dyDescent="0.3">
      <c r="A9" t="s">
        <v>8</v>
      </c>
      <c r="B9" s="1">
        <v>0</v>
      </c>
      <c r="C9" s="1">
        <v>439</v>
      </c>
      <c r="D9" s="3" t="e">
        <f t="shared" si="0"/>
        <v>#DIV/0!</v>
      </c>
    </row>
    <row r="10" spans="1:11" x14ac:dyDescent="0.3">
      <c r="A10" t="s">
        <v>9</v>
      </c>
      <c r="B10" s="1">
        <v>532</v>
      </c>
      <c r="C10" s="1">
        <v>395</v>
      </c>
      <c r="D10" s="3">
        <f t="shared" si="0"/>
        <v>-0.25751879699248126</v>
      </c>
    </row>
    <row r="11" spans="1:11" x14ac:dyDescent="0.3">
      <c r="A11" t="s">
        <v>10</v>
      </c>
      <c r="B11" s="1">
        <v>592</v>
      </c>
      <c r="C11" s="1">
        <v>113</v>
      </c>
      <c r="D11" s="3">
        <f t="shared" si="0"/>
        <v>-0.8091216216216216</v>
      </c>
    </row>
    <row r="12" spans="1:11" x14ac:dyDescent="0.3">
      <c r="A12" t="s">
        <v>11</v>
      </c>
      <c r="B12" s="1" t="s">
        <v>12</v>
      </c>
      <c r="C12" s="1">
        <v>765</v>
      </c>
      <c r="D12" s="3" t="e">
        <f t="shared" si="0"/>
        <v>#VALUE!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1F29-56B0-4140-977D-1BD2F320B333}">
  <dimension ref="A1:B16"/>
  <sheetViews>
    <sheetView tabSelected="1" zoomScale="130" zoomScaleNormal="130" workbookViewId="0">
      <selection activeCell="B16" sqref="B16"/>
    </sheetView>
  </sheetViews>
  <sheetFormatPr defaultRowHeight="14.4" x14ac:dyDescent="0.3"/>
  <cols>
    <col min="1" max="1" width="9.5546875" bestFit="1" customWidth="1"/>
  </cols>
  <sheetData>
    <row r="1" spans="1:2" x14ac:dyDescent="0.3">
      <c r="B1" s="2">
        <v>2020</v>
      </c>
    </row>
    <row r="2" spans="1:2" x14ac:dyDescent="0.3">
      <c r="A2" t="s">
        <v>0</v>
      </c>
      <c r="B2" s="1">
        <v>184</v>
      </c>
    </row>
    <row r="3" spans="1:2" x14ac:dyDescent="0.3">
      <c r="A3" t="s">
        <v>1</v>
      </c>
      <c r="B3" s="1">
        <v>519</v>
      </c>
    </row>
    <row r="4" spans="1:2" x14ac:dyDescent="0.3">
      <c r="A4" t="s">
        <v>2</v>
      </c>
      <c r="B4" s="1">
        <v>963</v>
      </c>
    </row>
    <row r="5" spans="1:2" x14ac:dyDescent="0.3">
      <c r="A5" t="s">
        <v>3</v>
      </c>
      <c r="B5" s="1">
        <v>414</v>
      </c>
    </row>
    <row r="6" spans="1:2" x14ac:dyDescent="0.3">
      <c r="A6" t="s">
        <v>4</v>
      </c>
      <c r="B6" s="1">
        <v>823</v>
      </c>
    </row>
    <row r="7" spans="1:2" x14ac:dyDescent="0.3">
      <c r="A7" t="s">
        <v>5</v>
      </c>
      <c r="B7" s="1">
        <v>527</v>
      </c>
    </row>
    <row r="8" spans="1:2" x14ac:dyDescent="0.3">
      <c r="A8" t="s">
        <v>6</v>
      </c>
      <c r="B8" s="1">
        <v>459</v>
      </c>
    </row>
    <row r="9" spans="1:2" x14ac:dyDescent="0.3">
      <c r="A9" t="s">
        <v>7</v>
      </c>
      <c r="B9" s="1">
        <v>386</v>
      </c>
    </row>
    <row r="10" spans="1:2" x14ac:dyDescent="0.3">
      <c r="A10" t="s">
        <v>8</v>
      </c>
      <c r="B10" s="1">
        <v>439</v>
      </c>
    </row>
    <row r="11" spans="1:2" x14ac:dyDescent="0.3">
      <c r="A11" t="s">
        <v>9</v>
      </c>
      <c r="B11" s="1">
        <v>395</v>
      </c>
    </row>
    <row r="12" spans="1:2" x14ac:dyDescent="0.3">
      <c r="A12" t="s">
        <v>10</v>
      </c>
      <c r="B12" s="1">
        <v>113</v>
      </c>
    </row>
    <row r="13" spans="1:2" x14ac:dyDescent="0.3">
      <c r="A13" t="s">
        <v>11</v>
      </c>
      <c r="B13" s="1">
        <v>765</v>
      </c>
    </row>
    <row r="16" spans="1:2" x14ac:dyDescent="0.3">
      <c r="B16">
        <f ca="1">SUM(B:B)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Ошибки</vt:lpstr>
      <vt:lpstr>Цикл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2023-11-09T15:40:57Z</dcterms:modified>
</cp:coreProperties>
</file>