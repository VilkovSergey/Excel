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showObjects="none"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432BB82E-AEE8-4A89-92CC-1C099A3A1D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нные" sheetId="2" r:id="rId1"/>
    <sheet name="Диаграмма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</calcChain>
</file>

<file path=xl/sharedStrings.xml><?xml version="1.0" encoding="utf-8"?>
<sst xmlns="http://schemas.openxmlformats.org/spreadsheetml/2006/main" count="171" uniqueCount="59">
  <si>
    <t>Менеджер</t>
  </si>
  <si>
    <t>Дата первой встречи</t>
  </si>
  <si>
    <t>Месяц</t>
  </si>
  <si>
    <t>Компания-клиент</t>
  </si>
  <si>
    <t>Продукт</t>
  </si>
  <si>
    <t>Канал</t>
  </si>
  <si>
    <t>Коммерческое предложение</t>
  </si>
  <si>
    <t>Статус сделки</t>
  </si>
  <si>
    <t>Факт оплаты</t>
  </si>
  <si>
    <t>Дата оплаты</t>
  </si>
  <si>
    <t>Лазарев</t>
  </si>
  <si>
    <t>МЕГАПОЛИС, торговая компания</t>
  </si>
  <si>
    <t>Канцелярские товары</t>
  </si>
  <si>
    <t>Холодный звонок</t>
  </si>
  <si>
    <t>Торг/согласование</t>
  </si>
  <si>
    <t>Росатом, госкорпорация</t>
  </si>
  <si>
    <t>Работа с постоянными</t>
  </si>
  <si>
    <t>Закрыта</t>
  </si>
  <si>
    <t>Аэрофлот</t>
  </si>
  <si>
    <t>ЛУКОЙЛ</t>
  </si>
  <si>
    <t>В оплате</t>
  </si>
  <si>
    <t>Лента (сеть гипермаркетов)</t>
  </si>
  <si>
    <t>Бытовая техника</t>
  </si>
  <si>
    <t>Сайт</t>
  </si>
  <si>
    <t>Сбербанк России</t>
  </si>
  <si>
    <t>КП</t>
  </si>
  <si>
    <t>Транснефть, АК</t>
  </si>
  <si>
    <t>Выставка</t>
  </si>
  <si>
    <t>Роснефть, нефтяная компания</t>
  </si>
  <si>
    <t>Другой</t>
  </si>
  <si>
    <t>РусГидро</t>
  </si>
  <si>
    <t>НОВАТЭК</t>
  </si>
  <si>
    <t>Объединенная авиастроительная корпорация</t>
  </si>
  <si>
    <t>Отказ</t>
  </si>
  <si>
    <t>Никулин</t>
  </si>
  <si>
    <t>Дж.Т.И. Россия</t>
  </si>
  <si>
    <t>Мебель</t>
  </si>
  <si>
    <t>Интер РАО</t>
  </si>
  <si>
    <t>СИБУР Холдинг</t>
  </si>
  <si>
    <t>ВымпелКом</t>
  </si>
  <si>
    <t>Система, АФК</t>
  </si>
  <si>
    <t>ММК</t>
  </si>
  <si>
    <t>Металлоинвест, холдинговая компания</t>
  </si>
  <si>
    <t>Татнефть</t>
  </si>
  <si>
    <t>УГМК</t>
  </si>
  <si>
    <t>РЖД</t>
  </si>
  <si>
    <t>МегаФон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</si>
  <si>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</si>
  <si>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</si>
  <si>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</si>
  <si>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</si>
  <si>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</si>
  <si>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</si>
  <si>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</si>
  <si>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</si>
  <si>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</si>
  <si>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</si>
  <si>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Продажи</t>
  </si>
  <si>
    <t>Комиссия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</si>
</sst>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 applyFill="1" applyBorder="1"/>
    <xf numFmtId="0" fontId="3" fillId="0" borderId="0" xfId="0" applyFont="1"/>
    <xf numFmtId="164" fontId="0" fillId="0" borderId="0" xfId="1" applyNumberFormat="1" applyFont="1" applyFill="1"/>
    <xf numFmtId="164" fontId="0" fillId="0" borderId="0" xfId="0" applyNumberFormat="1"/>
  </cellXfs>
  <cellStyles count="2">
    <cellStyle name="Обычный" xfId="0" builtinId="0"/>
    <cellStyle name="Финансовый" xfId="1" builtinId="3"/>
  </cellStyles>
  <dxfs count="5">
    <dxf>
      <numFmt numFmtId="164" formatCode="_-* #,##0_-;\-* #,##0_-;_-* &quot;-&quot;??_-;_-@_-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59ADB-79C9-4339-B8F8-F833F5BE1CC8}" name="Таблица1" displayName="Таблица1" ref="A1:J31" totalsRowShown="0" headerRowDxfId="2">
  <autoFilter ref="A1:J31" xr:uid="{97459ADB-79C9-4339-B8F8-F833F5BE1CC8}"/>
  <tableColumns count="10">
    <tableColumn id="1" xr3:uid="{80487C40-B142-464C-BE32-7FE959953D3E}" name="Менеджер"/>
    <tableColumn id="2" xr3:uid="{06BFBDF8-4AD5-4A87-AA31-21F93906DA9A}" name="Дата первой встречи" dataDxfId="1"/>
    <tableColumn id="3" xr3:uid="{5B80D4A5-D62C-43C6-BCF4-A0753A4BA698}" name="Компания-клиент"/>
    <tableColumn id="4" xr3:uid="{F789C5CC-863F-4FE8-8FF2-C95FA316F18D}" name="Продукт"/>
    <tableColumn id="5" xr3:uid="{06C01AAF-FFFD-4C84-A894-385DD90E8206}" name="Канал"/>
    <tableColumn id="6" xr3:uid="{9769D366-49C6-461F-88B3-BB572FB20610}" name="Коммерческое предложение" dataDxfId="4" dataCellStyle="Финансовый"/>
    <tableColumn id="7" xr3:uid="{4DBBD931-C6F1-4016-A62C-075EBE881251}" name="Статус сделки"/>
    <tableColumn id="8" xr3:uid="{6DC086F4-64D0-4B86-A9EE-7906E3BB6097}" name="Факт оплаты"/>
    <tableColumn id="9" xr3:uid="{913372CF-478E-4D2E-AE39-02EAA29F0DC1}" name="Дата оплаты" dataDxfId="3"/>
    <tableColumn id="10" xr3:uid="{22C5C73F-43D3-49E0-8F85-36680C66FAF0}" name="Комиссия" dataDxfId="0">
      <calculatedColumnFormula>Таблица1[[#This Row],[Коммерческое предложение]]*0.15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9409-A56E-41C7-ABF3-7BE3CEA2EF32}">
  <dimension ref="A1:J32"/>
  <sheetViews>
    <sheetView tabSelected="1" topLeftCell="A16" zoomScaleNormal="100" workbookViewId="0">
      <selection activeCell="I35" sqref="I35"/>
    </sheetView>
  </sheetViews>
  <sheetFormatPr defaultRowHeight="14.4" x14ac:dyDescent="0.3"/>
  <cols>
    <col min="1" max="1" width="12.44140625" customWidth="1"/>
    <col min="2" max="2" width="21.21875" customWidth="1"/>
    <col min="3" max="3" width="37.44140625" bestFit="1" customWidth="1"/>
    <col min="4" max="4" width="19.88671875" bestFit="1" customWidth="1"/>
    <col min="5" max="5" width="20.6640625" bestFit="1" customWidth="1"/>
    <col min="6" max="6" width="28.6640625" customWidth="1"/>
    <col min="7" max="7" width="17.21875" bestFit="1" customWidth="1"/>
    <col min="8" max="8" width="14" customWidth="1"/>
    <col min="9" max="9" width="17.21875" customWidth="1"/>
  </cols>
  <sheetData>
    <row r="1" spans="1:10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58</v>
      </c>
    </row>
    <row r="2" spans="1:10" x14ac:dyDescent="0.3">
      <c r="A2" t="s">
        <v>10</v>
      </c>
      <c r="B2" s="1">
        <v>43923</v>
      </c>
      <c r="C2" t="s">
        <v>11</v>
      </c>
      <c r="D2" t="s">
        <v>12</v>
      </c>
      <c r="E2" t="s">
        <v>13</v>
      </c>
      <c r="F2" s="2">
        <v>100000</v>
      </c>
      <c r="G2" t="s">
        <v>17</v>
      </c>
      <c r="H2">
        <v>100000</v>
      </c>
      <c r="I2" s="1">
        <v>44130</v>
      </c>
      <c r="J2" s="5">
        <f>Таблица1[[#This Row],[Коммерческое предложение]]*0.15</f>
        <v>15000</v>
      </c>
    </row>
    <row r="3" spans="1:10" x14ac:dyDescent="0.3">
      <c r="A3" t="s">
        <v>10</v>
      </c>
      <c r="B3" s="1">
        <v>43857</v>
      </c>
      <c r="C3" t="s">
        <v>15</v>
      </c>
      <c r="D3" t="s">
        <v>12</v>
      </c>
      <c r="E3" t="s">
        <v>16</v>
      </c>
      <c r="F3" s="2">
        <v>1700000</v>
      </c>
      <c r="G3" t="s">
        <v>17</v>
      </c>
      <c r="I3" s="1">
        <v>43542</v>
      </c>
      <c r="J3" s="5">
        <f>Таблица1[[#This Row],[Коммерческое предложение]]*0.15</f>
        <v>255000</v>
      </c>
    </row>
    <row r="4" spans="1:10" x14ac:dyDescent="0.3">
      <c r="A4" t="s">
        <v>10</v>
      </c>
      <c r="B4" s="1">
        <v>43895</v>
      </c>
      <c r="C4" t="s">
        <v>18</v>
      </c>
      <c r="D4" t="s">
        <v>12</v>
      </c>
      <c r="E4" t="s">
        <v>16</v>
      </c>
      <c r="F4" s="2">
        <v>600000</v>
      </c>
      <c r="G4" t="s">
        <v>17</v>
      </c>
      <c r="H4">
        <v>600000</v>
      </c>
      <c r="I4" s="1">
        <v>43563</v>
      </c>
      <c r="J4" s="5">
        <f>Таблица1[[#This Row],[Коммерческое предложение]]*0.15</f>
        <v>90000</v>
      </c>
    </row>
    <row r="5" spans="1:10" x14ac:dyDescent="0.3">
      <c r="A5" t="s">
        <v>10</v>
      </c>
      <c r="B5" s="1">
        <v>44044</v>
      </c>
      <c r="C5" t="s">
        <v>19</v>
      </c>
      <c r="D5" t="s">
        <v>12</v>
      </c>
      <c r="E5" t="s">
        <v>16</v>
      </c>
      <c r="F5" s="2">
        <v>1700000</v>
      </c>
      <c r="G5" t="s">
        <v>20</v>
      </c>
      <c r="I5" s="1"/>
      <c r="J5" s="5">
        <f>Таблица1[[#This Row],[Коммерческое предложение]]*0.15</f>
        <v>255000</v>
      </c>
    </row>
    <row r="6" spans="1:10" x14ac:dyDescent="0.3">
      <c r="A6" t="s">
        <v>10</v>
      </c>
      <c r="B6" s="1">
        <v>43866</v>
      </c>
      <c r="C6" t="s">
        <v>21</v>
      </c>
      <c r="D6" t="s">
        <v>22</v>
      </c>
      <c r="E6" t="s">
        <v>23</v>
      </c>
      <c r="F6" s="2">
        <v>1000000</v>
      </c>
      <c r="G6" t="s">
        <v>14</v>
      </c>
      <c r="I6" s="1"/>
      <c r="J6" s="5">
        <f>Таблица1[[#This Row],[Коммерческое предложение]]*0.15</f>
        <v>150000</v>
      </c>
    </row>
    <row r="7" spans="1:10" x14ac:dyDescent="0.3">
      <c r="A7" t="s">
        <v>10</v>
      </c>
      <c r="B7" s="1">
        <v>44078</v>
      </c>
      <c r="C7" t="s">
        <v>24</v>
      </c>
      <c r="D7" t="s">
        <v>22</v>
      </c>
      <c r="E7" t="s">
        <v>16</v>
      </c>
      <c r="F7" s="2">
        <v>300000</v>
      </c>
      <c r="G7" t="s">
        <v>25</v>
      </c>
      <c r="I7" s="1"/>
      <c r="J7" s="5">
        <f>Таблица1[[#This Row],[Коммерческое предложение]]*0.15</f>
        <v>45000</v>
      </c>
    </row>
    <row r="8" spans="1:10" x14ac:dyDescent="0.3">
      <c r="A8" t="s">
        <v>10</v>
      </c>
      <c r="B8" s="1">
        <v>43922</v>
      </c>
      <c r="C8" t="s">
        <v>26</v>
      </c>
      <c r="D8" t="s">
        <v>12</v>
      </c>
      <c r="E8" t="s">
        <v>27</v>
      </c>
      <c r="F8" s="2">
        <v>1400000</v>
      </c>
      <c r="G8" t="s">
        <v>17</v>
      </c>
      <c r="H8">
        <v>1470565</v>
      </c>
      <c r="I8" s="1">
        <v>43324</v>
      </c>
      <c r="J8" s="5">
        <f>Таблица1[[#This Row],[Коммерческое предложение]]*0.15</f>
        <v>210000</v>
      </c>
    </row>
    <row r="9" spans="1:10" x14ac:dyDescent="0.3">
      <c r="A9" t="s">
        <v>10</v>
      </c>
      <c r="B9" s="1">
        <v>44196</v>
      </c>
      <c r="C9" t="s">
        <v>28</v>
      </c>
      <c r="D9" t="s">
        <v>22</v>
      </c>
      <c r="E9" t="s">
        <v>29</v>
      </c>
      <c r="F9" s="2">
        <v>1400000</v>
      </c>
      <c r="G9" t="s">
        <v>20</v>
      </c>
      <c r="I9" s="1"/>
      <c r="J9" s="5">
        <f>Таблица1[[#This Row],[Коммерческое предложение]]*0.15</f>
        <v>210000</v>
      </c>
    </row>
    <row r="10" spans="1:10" x14ac:dyDescent="0.3">
      <c r="A10" t="s">
        <v>10</v>
      </c>
      <c r="B10" s="1">
        <v>43846</v>
      </c>
      <c r="C10" t="s">
        <v>30</v>
      </c>
      <c r="D10" t="s">
        <v>22</v>
      </c>
      <c r="E10" t="s">
        <v>13</v>
      </c>
      <c r="F10" s="2">
        <v>1000000</v>
      </c>
      <c r="G10" t="s">
        <v>14</v>
      </c>
      <c r="I10" s="1"/>
      <c r="J10" s="5">
        <f>Таблица1[[#This Row],[Коммерческое предложение]]*0.15</f>
        <v>150000</v>
      </c>
    </row>
    <row r="11" spans="1:10" x14ac:dyDescent="0.3">
      <c r="A11" t="s">
        <v>10</v>
      </c>
      <c r="B11" s="1">
        <v>43965</v>
      </c>
      <c r="C11" t="s">
        <v>31</v>
      </c>
      <c r="D11" t="s">
        <v>22</v>
      </c>
      <c r="E11" t="s">
        <v>23</v>
      </c>
      <c r="F11" s="2">
        <v>2000000</v>
      </c>
      <c r="G11" t="s">
        <v>17</v>
      </c>
      <c r="H11">
        <v>2000000</v>
      </c>
      <c r="I11" s="1">
        <v>43719</v>
      </c>
      <c r="J11" s="5">
        <f>Таблица1[[#This Row],[Коммерческое предложение]]*0.15</f>
        <v>300000</v>
      </c>
    </row>
    <row r="12" spans="1:10" x14ac:dyDescent="0.3">
      <c r="A12" t="s">
        <v>10</v>
      </c>
      <c r="B12" s="1">
        <v>44164</v>
      </c>
      <c r="C12" t="s">
        <v>32</v>
      </c>
      <c r="D12" t="s">
        <v>22</v>
      </c>
      <c r="E12" t="s">
        <v>13</v>
      </c>
      <c r="F12" s="2">
        <v>95000</v>
      </c>
      <c r="G12" t="s">
        <v>25</v>
      </c>
      <c r="I12" s="1"/>
      <c r="J12" s="5">
        <f>Таблица1[[#This Row],[Коммерческое предложение]]*0.15</f>
        <v>14250</v>
      </c>
    </row>
    <row r="13" spans="1:10" x14ac:dyDescent="0.3">
      <c r="A13" t="s">
        <v>10</v>
      </c>
      <c r="B13" s="1">
        <v>43987</v>
      </c>
      <c r="C13" t="s">
        <v>32</v>
      </c>
      <c r="D13" t="s">
        <v>12</v>
      </c>
      <c r="E13" t="s">
        <v>29</v>
      </c>
      <c r="F13" s="2">
        <v>2000000</v>
      </c>
      <c r="G13" t="s">
        <v>33</v>
      </c>
      <c r="I13" s="1"/>
      <c r="J13" s="5">
        <f>Таблица1[[#This Row],[Коммерческое предложение]]*0.15</f>
        <v>300000</v>
      </c>
    </row>
    <row r="14" spans="1:10" x14ac:dyDescent="0.3">
      <c r="A14" t="s">
        <v>34</v>
      </c>
      <c r="B14" s="1">
        <v>43979</v>
      </c>
      <c r="C14" t="s">
        <v>35</v>
      </c>
      <c r="D14" t="s">
        <v>36</v>
      </c>
      <c r="E14" t="s">
        <v>29</v>
      </c>
      <c r="F14" s="2">
        <v>1000000</v>
      </c>
      <c r="G14" t="s">
        <v>14</v>
      </c>
      <c r="I14" s="1"/>
      <c r="J14" s="5">
        <f>Таблица1[[#This Row],[Коммерческое предложение]]*0.15</f>
        <v>150000</v>
      </c>
    </row>
    <row r="15" spans="1:10" x14ac:dyDescent="0.3">
      <c r="A15" t="s">
        <v>34</v>
      </c>
      <c r="B15" s="1">
        <v>44028</v>
      </c>
      <c r="C15" t="s">
        <v>31</v>
      </c>
      <c r="D15" t="s">
        <v>36</v>
      </c>
      <c r="E15" t="s">
        <v>27</v>
      </c>
      <c r="F15" s="2">
        <v>600000</v>
      </c>
      <c r="G15" t="s">
        <v>25</v>
      </c>
      <c r="I15" s="1"/>
      <c r="J15" s="5">
        <f>Таблица1[[#This Row],[Коммерческое предложение]]*0.15</f>
        <v>90000</v>
      </c>
    </row>
    <row r="16" spans="1:10" x14ac:dyDescent="0.3">
      <c r="A16" t="s">
        <v>34</v>
      </c>
      <c r="B16" s="1">
        <v>43834</v>
      </c>
      <c r="C16" t="s">
        <v>37</v>
      </c>
      <c r="D16" t="s">
        <v>36</v>
      </c>
      <c r="E16" t="s">
        <v>23</v>
      </c>
      <c r="F16" s="2">
        <v>400000</v>
      </c>
      <c r="G16" t="s">
        <v>25</v>
      </c>
      <c r="I16" s="1"/>
      <c r="J16" s="5">
        <f>Таблица1[[#This Row],[Коммерческое предложение]]*0.15</f>
        <v>60000</v>
      </c>
    </row>
    <row r="17" spans="1:10" x14ac:dyDescent="0.3">
      <c r="A17" t="s">
        <v>34</v>
      </c>
      <c r="B17" s="1">
        <v>43997</v>
      </c>
      <c r="C17" t="s">
        <v>38</v>
      </c>
      <c r="D17" t="s">
        <v>22</v>
      </c>
      <c r="E17" t="s">
        <v>27</v>
      </c>
      <c r="F17" s="2">
        <v>1500000</v>
      </c>
      <c r="G17" t="s">
        <v>17</v>
      </c>
      <c r="H17">
        <v>1558171</v>
      </c>
      <c r="I17" s="1">
        <v>43350</v>
      </c>
      <c r="J17" s="5">
        <f>Таблица1[[#This Row],[Коммерческое предложение]]*0.15</f>
        <v>225000</v>
      </c>
    </row>
    <row r="18" spans="1:10" x14ac:dyDescent="0.3">
      <c r="A18" t="s">
        <v>34</v>
      </c>
      <c r="B18" s="1">
        <v>44169</v>
      </c>
      <c r="C18" t="s">
        <v>37</v>
      </c>
      <c r="D18" t="s">
        <v>36</v>
      </c>
      <c r="E18" t="s">
        <v>23</v>
      </c>
      <c r="F18" s="2">
        <v>700000</v>
      </c>
      <c r="G18" t="s">
        <v>33</v>
      </c>
      <c r="I18" s="1"/>
      <c r="J18" s="5">
        <f>Таблица1[[#This Row],[Коммерческое предложение]]*0.15</f>
        <v>105000</v>
      </c>
    </row>
    <row r="19" spans="1:10" x14ac:dyDescent="0.3">
      <c r="A19" t="s">
        <v>34</v>
      </c>
      <c r="B19" s="1">
        <v>43927</v>
      </c>
      <c r="C19" t="s">
        <v>39</v>
      </c>
      <c r="D19" t="s">
        <v>12</v>
      </c>
      <c r="E19" t="s">
        <v>29</v>
      </c>
      <c r="F19" s="2">
        <v>900000</v>
      </c>
      <c r="G19" t="s">
        <v>14</v>
      </c>
      <c r="I19" s="1"/>
      <c r="J19" s="5">
        <f>Таблица1[[#This Row],[Коммерческое предложение]]*0.15</f>
        <v>135000</v>
      </c>
    </row>
    <row r="20" spans="1:10" x14ac:dyDescent="0.3">
      <c r="A20" t="s">
        <v>34</v>
      </c>
      <c r="B20" s="1">
        <v>43844</v>
      </c>
      <c r="C20" t="s">
        <v>40</v>
      </c>
      <c r="D20" t="s">
        <v>12</v>
      </c>
      <c r="E20" t="s">
        <v>13</v>
      </c>
      <c r="F20" s="2">
        <v>1700000</v>
      </c>
      <c r="G20" t="s">
        <v>25</v>
      </c>
      <c r="I20" s="1"/>
      <c r="J20" s="5">
        <f>Таблица1[[#This Row],[Коммерческое предложение]]*0.15</f>
        <v>255000</v>
      </c>
    </row>
    <row r="21" spans="1:10" x14ac:dyDescent="0.3">
      <c r="A21" t="s">
        <v>34</v>
      </c>
      <c r="B21" s="1">
        <v>44036</v>
      </c>
      <c r="C21" t="s">
        <v>31</v>
      </c>
      <c r="D21" t="s">
        <v>22</v>
      </c>
      <c r="E21" t="s">
        <v>16</v>
      </c>
      <c r="F21" s="2">
        <v>500000</v>
      </c>
      <c r="G21" t="s">
        <v>14</v>
      </c>
      <c r="I21" s="1"/>
      <c r="J21" s="5">
        <f>Таблица1[[#This Row],[Коммерческое предложение]]*0.15</f>
        <v>75000</v>
      </c>
    </row>
    <row r="22" spans="1:10" x14ac:dyDescent="0.3">
      <c r="A22" t="s">
        <v>34</v>
      </c>
      <c r="B22" s="1">
        <v>43997</v>
      </c>
      <c r="C22" t="s">
        <v>41</v>
      </c>
      <c r="D22" t="s">
        <v>12</v>
      </c>
      <c r="E22" t="s">
        <v>13</v>
      </c>
      <c r="F22" s="2">
        <v>1800000</v>
      </c>
      <c r="G22" t="s">
        <v>14</v>
      </c>
      <c r="I22" s="1"/>
      <c r="J22" s="5">
        <f>Таблица1[[#This Row],[Коммерческое предложение]]*0.15</f>
        <v>270000</v>
      </c>
    </row>
    <row r="23" spans="1:10" x14ac:dyDescent="0.3">
      <c r="A23" t="s">
        <v>34</v>
      </c>
      <c r="B23" s="1">
        <v>44071</v>
      </c>
      <c r="C23" t="s">
        <v>42</v>
      </c>
      <c r="D23" t="s">
        <v>36</v>
      </c>
      <c r="E23" t="s">
        <v>23</v>
      </c>
      <c r="F23" s="2">
        <v>1100000</v>
      </c>
      <c r="G23" t="s">
        <v>17</v>
      </c>
      <c r="H23">
        <v>1100000</v>
      </c>
      <c r="I23" s="1">
        <v>43528</v>
      </c>
      <c r="J23" s="5">
        <f>Таблица1[[#This Row],[Коммерческое предложение]]*0.15</f>
        <v>165000</v>
      </c>
    </row>
    <row r="24" spans="1:10" x14ac:dyDescent="0.3">
      <c r="A24" t="s">
        <v>34</v>
      </c>
      <c r="B24" s="1">
        <v>43952</v>
      </c>
      <c r="C24" t="s">
        <v>43</v>
      </c>
      <c r="D24" t="s">
        <v>22</v>
      </c>
      <c r="E24" t="s">
        <v>29</v>
      </c>
      <c r="F24" s="2">
        <v>1700000</v>
      </c>
      <c r="G24" t="s">
        <v>25</v>
      </c>
      <c r="I24" s="1"/>
      <c r="J24" s="5">
        <f>Таблица1[[#This Row],[Коммерческое предложение]]*0.15</f>
        <v>255000</v>
      </c>
    </row>
    <row r="25" spans="1:10" x14ac:dyDescent="0.3">
      <c r="A25" t="s">
        <v>34</v>
      </c>
      <c r="B25" s="1">
        <v>44120</v>
      </c>
      <c r="C25" t="s">
        <v>44</v>
      </c>
      <c r="D25" t="s">
        <v>36</v>
      </c>
      <c r="E25" t="s">
        <v>27</v>
      </c>
      <c r="F25" s="2">
        <v>1700000</v>
      </c>
      <c r="G25" t="s">
        <v>17</v>
      </c>
      <c r="H25">
        <v>1700000</v>
      </c>
      <c r="I25" s="1">
        <v>43416</v>
      </c>
      <c r="J25" s="5">
        <f>Таблица1[[#This Row],[Коммерческое предложение]]*0.15</f>
        <v>255000</v>
      </c>
    </row>
    <row r="26" spans="1:10" x14ac:dyDescent="0.3">
      <c r="A26" t="s">
        <v>34</v>
      </c>
      <c r="B26" s="1">
        <v>43859</v>
      </c>
      <c r="C26" t="s">
        <v>45</v>
      </c>
      <c r="D26" t="s">
        <v>12</v>
      </c>
      <c r="E26" t="s">
        <v>16</v>
      </c>
      <c r="F26" s="2">
        <v>1600000</v>
      </c>
      <c r="G26" t="s">
        <v>33</v>
      </c>
      <c r="I26" s="1"/>
      <c r="J26" s="5">
        <f>Таблица1[[#This Row],[Коммерческое предложение]]*0.15</f>
        <v>240000</v>
      </c>
    </row>
    <row r="27" spans="1:10" x14ac:dyDescent="0.3">
      <c r="A27" t="s">
        <v>34</v>
      </c>
      <c r="B27" s="1">
        <v>43857</v>
      </c>
      <c r="C27" t="s">
        <v>41</v>
      </c>
      <c r="D27" t="s">
        <v>36</v>
      </c>
      <c r="E27" t="s">
        <v>27</v>
      </c>
      <c r="F27" s="2">
        <v>1500000</v>
      </c>
      <c r="G27" t="s">
        <v>33</v>
      </c>
      <c r="I27" s="1"/>
      <c r="J27" s="5">
        <f>Таблица1[[#This Row],[Коммерческое предложение]]*0.15</f>
        <v>225000</v>
      </c>
    </row>
    <row r="28" spans="1:10" x14ac:dyDescent="0.3">
      <c r="A28" t="s">
        <v>34</v>
      </c>
      <c r="B28" s="1">
        <v>44105</v>
      </c>
      <c r="C28" t="s">
        <v>46</v>
      </c>
      <c r="D28" t="s">
        <v>36</v>
      </c>
      <c r="E28" t="s">
        <v>16</v>
      </c>
      <c r="F28" s="2">
        <v>500000</v>
      </c>
      <c r="G28" t="s">
        <v>33</v>
      </c>
      <c r="I28" s="1"/>
      <c r="J28" s="5">
        <f>Таблица1[[#This Row],[Коммерческое предложение]]*0.15</f>
        <v>75000</v>
      </c>
    </row>
    <row r="29" spans="1:10" x14ac:dyDescent="0.3">
      <c r="A29" t="s">
        <v>34</v>
      </c>
      <c r="B29" s="1">
        <v>44147</v>
      </c>
      <c r="C29" t="s">
        <v>46</v>
      </c>
      <c r="D29" t="s">
        <v>36</v>
      </c>
      <c r="E29" t="s">
        <v>16</v>
      </c>
      <c r="F29" s="2">
        <v>5000000</v>
      </c>
      <c r="G29" t="s">
        <v>17</v>
      </c>
      <c r="I29" s="1"/>
      <c r="J29" s="5">
        <f>Таблица1[[#This Row],[Коммерческое предложение]]*0.15</f>
        <v>750000</v>
      </c>
    </row>
    <row r="30" spans="1:10" x14ac:dyDescent="0.3">
      <c r="A30" t="s">
        <v>34</v>
      </c>
      <c r="B30" s="1">
        <v>44148</v>
      </c>
      <c r="C30" t="s">
        <v>46</v>
      </c>
      <c r="D30" t="s">
        <v>36</v>
      </c>
      <c r="E30" t="s">
        <v>16</v>
      </c>
      <c r="F30" s="2">
        <v>5000001</v>
      </c>
      <c r="G30" t="s">
        <v>17</v>
      </c>
      <c r="I30" s="1"/>
      <c r="J30" s="5">
        <f>Таблица1[[#This Row],[Коммерческое предложение]]*0.15</f>
        <v>750000.15</v>
      </c>
    </row>
    <row r="31" spans="1:10" x14ac:dyDescent="0.3">
      <c r="A31" t="s">
        <v>34</v>
      </c>
      <c r="B31" s="1">
        <v>44149</v>
      </c>
      <c r="C31" t="s">
        <v>46</v>
      </c>
      <c r="D31" t="s">
        <v>36</v>
      </c>
      <c r="E31" t="s">
        <v>16</v>
      </c>
      <c r="F31" s="2">
        <v>5000002</v>
      </c>
      <c r="I31" s="1"/>
      <c r="J31" s="5">
        <f>Таблица1[[#This Row],[Коммерческое предложение]]*0.15</f>
        <v>750000.29999999993</v>
      </c>
    </row>
    <row r="32" spans="1:10" x14ac:dyDescent="0.3">
      <c r="B32" s="1"/>
      <c r="F32" s="4"/>
      <c r="I32" s="1"/>
      <c r="J32" s="5"/>
    </row>
  </sheetData>
  <dataValidations count="1">
    <dataValidation type="list" allowBlank="1" showInputMessage="1" showErrorMessage="1" sqref="G1:G1048576" xr:uid="{0EDCD6BB-777C-4AE4-80B0-62334346C7C5}">
      <formula1>"Отказ,КП,Закрыта,Торг/согласование,В оплате"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0C41-F717-45D5-A3B2-66937DB010EE}">
  <dimension ref="A1:B11"/>
  <sheetViews>
    <sheetView workbookViewId="0">
      <selection activeCell="B1" sqref="A1:B1"/>
    </sheetView>
  </sheetViews>
  <sheetFormatPr defaultRowHeight="14.4" x14ac:dyDescent="0.3"/>
  <cols>
    <col min="1" max="1" width="10.5546875" customWidth="1"/>
    <col min="2" max="2" width="10.44140625" customWidth="1"/>
  </cols>
  <sheetData>
    <row r="1" spans="1:2" x14ac:dyDescent="0.3">
      <c r="A1" s="3" t="s">
        <v>2</v>
      </c>
      <c r="B1" s="3" t="s">
        <v>57</v>
      </c>
    </row>
    <row r="2" spans="1:2" x14ac:dyDescent="0.3">
      <c r="A2" t="s">
        <v>47</v>
      </c>
      <c r="B2">
        <v>11178</v>
      </c>
    </row>
    <row r="3" spans="1:2" x14ac:dyDescent="0.3">
      <c r="A3" t="s">
        <v>48</v>
      </c>
      <c r="B3">
        <v>10744</v>
      </c>
    </row>
    <row r="4" spans="1:2" x14ac:dyDescent="0.3">
      <c r="A4" t="s">
        <v>49</v>
      </c>
      <c r="B4">
        <v>11922</v>
      </c>
    </row>
    <row r="5" spans="1:2" x14ac:dyDescent="0.3">
      <c r="A5" t="s">
        <v>50</v>
      </c>
      <c r="B5">
        <v>10813</v>
      </c>
    </row>
    <row r="6" spans="1:2" x14ac:dyDescent="0.3">
      <c r="A6" t="s">
        <v>51</v>
      </c>
      <c r="B6">
        <v>11471</v>
      </c>
    </row>
    <row r="7" spans="1:2" x14ac:dyDescent="0.3">
      <c r="A7" t="s">
        <v>52</v>
      </c>
      <c r="B7">
        <v>10716</v>
      </c>
    </row>
    <row r="8" spans="1:2" x14ac:dyDescent="0.3">
      <c r="A8" t="s">
        <v>53</v>
      </c>
      <c r="B8">
        <v>10629</v>
      </c>
    </row>
    <row r="9" spans="1:2" x14ac:dyDescent="0.3">
      <c r="A9" t="s">
        <v>54</v>
      </c>
      <c r="B9">
        <v>11950</v>
      </c>
    </row>
    <row r="10" spans="1:2" x14ac:dyDescent="0.3">
      <c r="A10" t="s">
        <v>55</v>
      </c>
      <c r="B10">
        <v>11695</v>
      </c>
    </row>
    <row r="11" spans="1:2" x14ac:dyDescent="0.3">
      <c r="A11" t="s">
        <v>56</v>
      </c>
      <c r="B11">
        <v>10366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2023-11-10T13:37:26Z</dcterms:modified>
</cp:coreProperties>
</file>