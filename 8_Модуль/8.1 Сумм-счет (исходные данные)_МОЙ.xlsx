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УЧЁБА\EXCEL\Excel\8_Модуль\"/>
    </mc:Choice>
  </mc:AlternateContent>
  <xr:revisionPtr revIDLastSave="0" documentId="8_{D28875A4-FB34-4636-8E00-7CFA08DD2D1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ПФ" sheetId="1" r:id="rId1"/>
    <sheet name="Студенты" sheetId="2" r:id="rId2"/>
    <sheet name="Студенты-УмныеТаблицы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3" l="1"/>
  <c r="E3" i="3"/>
  <c r="E3" i="2"/>
  <c r="E2" i="2"/>
  <c r="C14" i="1"/>
  <c r="H13" i="1"/>
  <c r="B14" i="1"/>
  <c r="G13" i="1"/>
</calcChain>
</file>

<file path=xl/sharedStrings.xml><?xml version="1.0" encoding="utf-8"?>
<sst xmlns="http://schemas.openxmlformats.org/spreadsheetml/2006/main" count="81" uniqueCount="41">
  <si>
    <t>Май</t>
  </si>
  <si>
    <t>Январь</t>
  </si>
  <si>
    <t>Февраль</t>
  </si>
  <si>
    <t>Март</t>
  </si>
  <si>
    <t>Апрель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</si>
  <si>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</si>
  <si>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</si>
  <si>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</si>
  <si>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</si>
  <si>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</si>
  <si>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</si>
  <si>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</si>
  <si>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План</t>
  </si>
  <si>
    <t>Факт</t>
  </si>
  <si>
    <t>Месяц</t>
  </si>
  <si>
    <t>ФИО</t>
  </si>
  <si>
    <t>Оценка</t>
  </si>
  <si>
    <t>Аллилуева Татьяна Алексеевна</t>
  </si>
  <si>
    <t>Распутин Артём Брониславович</t>
  </si>
  <si>
    <t>Гавриков Эдуард Елисеевич</t>
  </si>
  <si>
    <t>Гадолина Эмма Казимировна</t>
  </si>
  <si>
    <t>Манторов Яков Евлампиевич</t>
  </si>
  <si>
    <t>Усова Таисия Игнатиевна</t>
  </si>
  <si>
    <t>Уржумцева Галина Мефодиевна</t>
  </si>
  <si>
    <t>Цызырева Яна Родионовна</t>
  </si>
  <si>
    <t>Марьина Всеслава Фомевна</t>
  </si>
  <si>
    <t>Негеса Алла Станиславовна</t>
  </si>
  <si>
    <t>Клюшников Ким Захарович</t>
  </si>
  <si>
    <t>Шуленкова Ева Тимофеевна</t>
  </si>
  <si>
    <t>Канадов Антип Измаилович</t>
  </si>
  <si>
    <t>Ольховский Назар Феликсович</t>
  </si>
  <si>
    <t>Яимова Кристина Елисеевна</t>
  </si>
  <si>
    <t>Кузьминых Давид Александрович</t>
  </si>
  <si>
    <t>Якунова Евгения Антониновна</t>
  </si>
  <si>
    <t>Зиновьева Ольга Яновна</t>
  </si>
  <si>
    <t>Яцевич Афанасий Феликсович</t>
  </si>
  <si>
    <t>Кошечкина Ефросинья Емельяновна</t>
  </si>
  <si>
    <t>Нагибина Татьяна Станиславовна</t>
  </si>
  <si>
    <t>пересдача</t>
  </si>
  <si>
    <t>Сдали экзамен с любой оценкой</t>
  </si>
  <si>
    <t>Всего явились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</si>
</sst>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10">
    <xf numFmtId="0" fontId="0" fillId="0" borderId="0" xfId="0"/>
    <xf numFmtId="3" fontId="0" fillId="0" borderId="0" xfId="0" applyNumberFormat="1" applyAlignment="1">
      <alignment horizontal="center"/>
    </xf>
    <xf numFmtId="0" fontId="2" fillId="0" borderId="1" xfId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0" fontId="3" fillId="0" borderId="0" xfId="2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3" fontId="5" fillId="2" borderId="0" xfId="0" applyNumberFormat="1" applyFont="1" applyFill="1" applyAlignment="1">
      <alignment horizontal="center"/>
    </xf>
  </cellXfs>
  <cellStyles count="3">
    <cellStyle name="Заголовок 1" xfId="1" builtinId="16"/>
    <cellStyle name="Заголовок 2" xfId="2" builtinId="17"/>
    <cellStyle name="Обычный" xfId="0" builtinId="0"/>
  </cellStyles>
  <dxfs count="3"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91FE49-C23F-4A0F-90D4-582A266CE59C}" name="Таблица2" displayName="Таблица2" ref="A1:B22" totalsRowShown="0" headerRowDxfId="0" headerRowCellStyle="Заголовок 2">
  <autoFilter ref="A1:B22" xr:uid="{B491FE49-C23F-4A0F-90D4-582A266CE59C}"/>
  <tableColumns count="2">
    <tableColumn id="1" xr3:uid="{C470A88F-E146-4D50-B3A7-E4D6E47C3A97}" name="ФИО" dataDxfId="2"/>
    <tableColumn id="2" xr3:uid="{EBFE37B5-2CAF-488D-B2E5-1981DC8F6B01}" name="Оценка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zoomScale="115" zoomScaleNormal="115" workbookViewId="0">
      <selection activeCell="E17" sqref="E17"/>
    </sheetView>
  </sheetViews>
  <sheetFormatPr defaultRowHeight="14.4" x14ac:dyDescent="0.3"/>
  <cols>
    <col min="1" max="1" width="15" customWidth="1"/>
    <col min="2" max="3" width="11.6640625" customWidth="1"/>
  </cols>
  <sheetData>
    <row r="1" spans="1:8" ht="20.399999999999999" thickBot="1" x14ac:dyDescent="0.35">
      <c r="A1" s="2" t="s">
        <v>14</v>
      </c>
      <c r="B1" s="2" t="s">
        <v>12</v>
      </c>
      <c r="C1" s="2" t="s">
        <v>13</v>
      </c>
      <c r="F1" t="s">
        <v>1</v>
      </c>
      <c r="G1">
        <v>20000</v>
      </c>
      <c r="H1">
        <v>22834</v>
      </c>
    </row>
    <row r="2" spans="1:8" ht="15" thickTop="1" x14ac:dyDescent="0.3">
      <c r="A2" t="s">
        <v>1</v>
      </c>
      <c r="B2" s="1">
        <v>20000</v>
      </c>
      <c r="C2" s="1">
        <v>22834</v>
      </c>
      <c r="D2" s="3"/>
      <c r="F2" t="s">
        <v>2</v>
      </c>
      <c r="G2">
        <v>20000</v>
      </c>
      <c r="H2">
        <v>20897</v>
      </c>
    </row>
    <row r="3" spans="1:8" x14ac:dyDescent="0.3">
      <c r="A3" t="s">
        <v>2</v>
      </c>
      <c r="B3" s="1">
        <v>20000</v>
      </c>
      <c r="C3" s="1">
        <v>20897</v>
      </c>
      <c r="D3" s="3"/>
      <c r="F3" t="s">
        <v>3</v>
      </c>
      <c r="G3">
        <v>25000</v>
      </c>
      <c r="H3">
        <v>21177</v>
      </c>
    </row>
    <row r="4" spans="1:8" x14ac:dyDescent="0.3">
      <c r="A4" t="s">
        <v>3</v>
      </c>
      <c r="B4" s="1">
        <v>25000</v>
      </c>
      <c r="C4" s="1">
        <v>21177</v>
      </c>
      <c r="D4" s="3"/>
      <c r="F4" t="s">
        <v>4</v>
      </c>
      <c r="G4">
        <v>30000</v>
      </c>
      <c r="H4">
        <v>28610</v>
      </c>
    </row>
    <row r="5" spans="1:8" x14ac:dyDescent="0.3">
      <c r="A5" t="s">
        <v>4</v>
      </c>
      <c r="B5" s="1">
        <v>30000</v>
      </c>
      <c r="C5" s="1">
        <v>28610</v>
      </c>
      <c r="D5" s="3"/>
      <c r="F5" t="s">
        <v>0</v>
      </c>
      <c r="G5">
        <v>30000</v>
      </c>
      <c r="H5">
        <v>29355</v>
      </c>
    </row>
    <row r="6" spans="1:8" x14ac:dyDescent="0.3">
      <c r="A6" t="s">
        <v>0</v>
      </c>
      <c r="B6" s="1">
        <v>30000</v>
      </c>
      <c r="C6" s="1">
        <v>29355</v>
      </c>
      <c r="D6" s="3"/>
      <c r="F6" t="s">
        <v>5</v>
      </c>
      <c r="G6">
        <v>25000</v>
      </c>
      <c r="H6">
        <v>22589</v>
      </c>
    </row>
    <row r="7" spans="1:8" x14ac:dyDescent="0.3">
      <c r="A7" t="s">
        <v>5</v>
      </c>
      <c r="B7" s="1">
        <v>25000</v>
      </c>
      <c r="C7" s="1">
        <v>22589</v>
      </c>
      <c r="D7" s="3"/>
      <c r="F7" t="s">
        <v>6</v>
      </c>
      <c r="G7">
        <v>25000</v>
      </c>
      <c r="H7">
        <v>28084</v>
      </c>
    </row>
    <row r="8" spans="1:8" x14ac:dyDescent="0.3">
      <c r="A8" t="s">
        <v>6</v>
      </c>
      <c r="B8" s="1">
        <v>25000</v>
      </c>
      <c r="C8" s="1">
        <v>28084</v>
      </c>
      <c r="D8" s="3"/>
      <c r="F8" t="s">
        <v>7</v>
      </c>
      <c r="G8">
        <v>30000</v>
      </c>
      <c r="H8">
        <v>31857</v>
      </c>
    </row>
    <row r="9" spans="1:8" x14ac:dyDescent="0.3">
      <c r="A9" t="s">
        <v>7</v>
      </c>
      <c r="B9" s="1">
        <v>30000</v>
      </c>
      <c r="C9" s="1">
        <v>31857</v>
      </c>
      <c r="D9" s="3"/>
      <c r="F9" t="s">
        <v>8</v>
      </c>
      <c r="G9">
        <v>45000</v>
      </c>
      <c r="H9">
        <v>43288</v>
      </c>
    </row>
    <row r="10" spans="1:8" x14ac:dyDescent="0.3">
      <c r="A10" t="s">
        <v>8</v>
      </c>
      <c r="B10" s="1">
        <v>45000</v>
      </c>
      <c r="C10" s="1">
        <v>43288</v>
      </c>
      <c r="D10" s="3"/>
      <c r="F10" t="s">
        <v>9</v>
      </c>
      <c r="G10">
        <v>45000</v>
      </c>
      <c r="H10">
        <v>48352</v>
      </c>
    </row>
    <row r="11" spans="1:8" x14ac:dyDescent="0.3">
      <c r="A11" t="s">
        <v>9</v>
      </c>
      <c r="B11" s="1">
        <v>45000</v>
      </c>
      <c r="C11" s="1">
        <v>48352</v>
      </c>
      <c r="D11" s="3"/>
      <c r="F11" t="s">
        <v>10</v>
      </c>
      <c r="G11">
        <v>50000</v>
      </c>
      <c r="H11">
        <v>53224</v>
      </c>
    </row>
    <row r="12" spans="1:8" x14ac:dyDescent="0.3">
      <c r="A12" t="s">
        <v>10</v>
      </c>
      <c r="B12" s="1">
        <v>50000</v>
      </c>
      <c r="C12" s="1">
        <v>53224</v>
      </c>
      <c r="D12" s="3"/>
      <c r="F12" t="s">
        <v>11</v>
      </c>
      <c r="G12">
        <v>40000</v>
      </c>
      <c r="H12">
        <v>38485</v>
      </c>
    </row>
    <row r="13" spans="1:8" x14ac:dyDescent="0.3">
      <c r="A13" t="s">
        <v>11</v>
      </c>
      <c r="B13" s="1">
        <v>40000</v>
      </c>
      <c r="C13" s="1">
        <v>38485</v>
      </c>
      <c r="D13" s="3"/>
      <c r="G13">
        <f ca="1">SUM(G1:G13)</f>
        <v>385000</v>
      </c>
      <c r="H13">
        <f>AVERAGE(H1:H12)</f>
        <v>32396</v>
      </c>
    </row>
    <row r="14" spans="1:8" x14ac:dyDescent="0.3">
      <c r="A14" s="8"/>
      <c r="B14" s="9">
        <f>SUM(B2:B13)</f>
        <v>385000</v>
      </c>
      <c r="C14" s="9">
        <f>COUNT(C2:C13)</f>
        <v>12</v>
      </c>
      <c r="D14" s="3"/>
    </row>
    <row r="15" spans="1:8" x14ac:dyDescent="0.3">
      <c r="C15" s="4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0C98-0B34-447B-8392-FE9BCB50D59E}">
  <dimension ref="A1:E22"/>
  <sheetViews>
    <sheetView workbookViewId="0">
      <selection activeCell="E3" sqref="E3"/>
    </sheetView>
  </sheetViews>
  <sheetFormatPr defaultRowHeight="14.4" x14ac:dyDescent="0.3"/>
  <cols>
    <col min="1" max="1" width="34.88671875" bestFit="1" customWidth="1"/>
    <col min="2" max="2" width="13.109375" customWidth="1"/>
    <col min="4" max="4" width="29.88671875" bestFit="1" customWidth="1"/>
  </cols>
  <sheetData>
    <row r="1" spans="1:5" ht="17.399999999999999" x14ac:dyDescent="0.35">
      <c r="A1" s="5" t="s">
        <v>15</v>
      </c>
      <c r="B1" s="5" t="s">
        <v>16</v>
      </c>
    </row>
    <row r="2" spans="1:5" x14ac:dyDescent="0.3">
      <c r="A2" s="6" t="s">
        <v>17</v>
      </c>
      <c r="B2" s="7">
        <v>2</v>
      </c>
      <c r="D2" t="s">
        <v>39</v>
      </c>
      <c r="E2">
        <f>COUNT(B:B)</f>
        <v>16</v>
      </c>
    </row>
    <row r="3" spans="1:5" x14ac:dyDescent="0.3">
      <c r="A3" s="6" t="s">
        <v>18</v>
      </c>
      <c r="B3" s="7" t="s">
        <v>38</v>
      </c>
      <c r="D3" t="s">
        <v>40</v>
      </c>
      <c r="E3">
        <f>COUNTA(B2:B22)</f>
        <v>18</v>
      </c>
    </row>
    <row r="4" spans="1:5" x14ac:dyDescent="0.3">
      <c r="A4" s="6" t="s">
        <v>19</v>
      </c>
      <c r="B4" s="7">
        <v>4</v>
      </c>
    </row>
    <row r="5" spans="1:5" x14ac:dyDescent="0.3">
      <c r="A5" s="6" t="s">
        <v>20</v>
      </c>
      <c r="B5" s="7">
        <v>3</v>
      </c>
    </row>
    <row r="6" spans="1:5" x14ac:dyDescent="0.3">
      <c r="A6" s="6" t="s">
        <v>21</v>
      </c>
      <c r="B6" s="7">
        <v>3</v>
      </c>
    </row>
    <row r="7" spans="1:5" x14ac:dyDescent="0.3">
      <c r="A7" s="6" t="s">
        <v>22</v>
      </c>
      <c r="B7" s="7">
        <v>5</v>
      </c>
    </row>
    <row r="8" spans="1:5" x14ac:dyDescent="0.3">
      <c r="A8" s="6" t="s">
        <v>23</v>
      </c>
      <c r="B8" s="7"/>
    </row>
    <row r="9" spans="1:5" x14ac:dyDescent="0.3">
      <c r="A9" s="6" t="s">
        <v>24</v>
      </c>
      <c r="B9" s="7">
        <v>3</v>
      </c>
    </row>
    <row r="10" spans="1:5" x14ac:dyDescent="0.3">
      <c r="A10" s="6" t="s">
        <v>25</v>
      </c>
      <c r="B10" s="7">
        <v>4</v>
      </c>
    </row>
    <row r="11" spans="1:5" x14ac:dyDescent="0.3">
      <c r="A11" s="6" t="s">
        <v>26</v>
      </c>
      <c r="B11" s="7">
        <v>3</v>
      </c>
    </row>
    <row r="12" spans="1:5" x14ac:dyDescent="0.3">
      <c r="A12" s="6" t="s">
        <v>27</v>
      </c>
      <c r="B12" s="7">
        <v>2</v>
      </c>
    </row>
    <row r="13" spans="1:5" x14ac:dyDescent="0.3">
      <c r="A13" s="6" t="s">
        <v>28</v>
      </c>
      <c r="B13" s="7"/>
    </row>
    <row r="14" spans="1:5" x14ac:dyDescent="0.3">
      <c r="A14" s="6" t="s">
        <v>29</v>
      </c>
      <c r="B14" s="7">
        <v>2</v>
      </c>
    </row>
    <row r="15" spans="1:5" x14ac:dyDescent="0.3">
      <c r="A15" s="6" t="s">
        <v>30</v>
      </c>
      <c r="B15" s="7">
        <v>5</v>
      </c>
    </row>
    <row r="16" spans="1:5" x14ac:dyDescent="0.3">
      <c r="A16" s="6" t="s">
        <v>31</v>
      </c>
      <c r="B16" s="7">
        <v>3</v>
      </c>
    </row>
    <row r="17" spans="1:2" x14ac:dyDescent="0.3">
      <c r="A17" s="6" t="s">
        <v>32</v>
      </c>
      <c r="B17" s="7">
        <v>5</v>
      </c>
    </row>
    <row r="18" spans="1:2" x14ac:dyDescent="0.3">
      <c r="A18" s="6" t="s">
        <v>33</v>
      </c>
      <c r="B18" s="7"/>
    </row>
    <row r="19" spans="1:2" x14ac:dyDescent="0.3">
      <c r="A19" s="6" t="s">
        <v>34</v>
      </c>
      <c r="B19" s="7">
        <v>2</v>
      </c>
    </row>
    <row r="20" spans="1:2" x14ac:dyDescent="0.3">
      <c r="A20" s="6" t="s">
        <v>35</v>
      </c>
      <c r="B20" s="7">
        <v>5</v>
      </c>
    </row>
    <row r="21" spans="1:2" x14ac:dyDescent="0.3">
      <c r="A21" s="6" t="s">
        <v>36</v>
      </c>
      <c r="B21" s="7" t="s">
        <v>38</v>
      </c>
    </row>
    <row r="22" spans="1:2" x14ac:dyDescent="0.3">
      <c r="A22" s="6" t="s">
        <v>37</v>
      </c>
      <c r="B22" s="7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783E-89E6-45F0-B2E3-7BF58A6F310B}">
  <dimension ref="A1:E22"/>
  <sheetViews>
    <sheetView tabSelected="1" workbookViewId="0">
      <selection activeCell="E3" sqref="E3"/>
    </sheetView>
  </sheetViews>
  <sheetFormatPr defaultRowHeight="14.4" x14ac:dyDescent="0.3"/>
  <cols>
    <col min="1" max="1" width="34.88671875" bestFit="1" customWidth="1"/>
    <col min="2" max="2" width="13.109375" customWidth="1"/>
    <col min="4" max="4" width="29.88671875" bestFit="1" customWidth="1"/>
  </cols>
  <sheetData>
    <row r="1" spans="1:5" ht="17.399999999999999" x14ac:dyDescent="0.35">
      <c r="A1" s="5" t="s">
        <v>15</v>
      </c>
      <c r="B1" s="5" t="s">
        <v>16</v>
      </c>
    </row>
    <row r="2" spans="1:5" x14ac:dyDescent="0.3">
      <c r="A2" s="6" t="s">
        <v>17</v>
      </c>
      <c r="B2" s="7">
        <v>2</v>
      </c>
      <c r="D2" t="s">
        <v>39</v>
      </c>
      <c r="E2">
        <f>COUNT(Таблица2[Оценка])</f>
        <v>16</v>
      </c>
    </row>
    <row r="3" spans="1:5" x14ac:dyDescent="0.3">
      <c r="A3" s="6" t="s">
        <v>18</v>
      </c>
      <c r="B3" s="7" t="s">
        <v>38</v>
      </c>
      <c r="D3" t="s">
        <v>40</v>
      </c>
      <c r="E3">
        <f>COUNTA(Таблица2[Оценка])</f>
        <v>18</v>
      </c>
    </row>
    <row r="4" spans="1:5" x14ac:dyDescent="0.3">
      <c r="A4" s="6" t="s">
        <v>19</v>
      </c>
      <c r="B4" s="7">
        <v>4</v>
      </c>
    </row>
    <row r="5" spans="1:5" x14ac:dyDescent="0.3">
      <c r="A5" s="6" t="s">
        <v>20</v>
      </c>
      <c r="B5" s="7">
        <v>3</v>
      </c>
    </row>
    <row r="6" spans="1:5" x14ac:dyDescent="0.3">
      <c r="A6" s="6" t="s">
        <v>21</v>
      </c>
      <c r="B6" s="7">
        <v>3</v>
      </c>
    </row>
    <row r="7" spans="1:5" x14ac:dyDescent="0.3">
      <c r="A7" s="6" t="s">
        <v>22</v>
      </c>
      <c r="B7" s="7">
        <v>5</v>
      </c>
    </row>
    <row r="8" spans="1:5" x14ac:dyDescent="0.3">
      <c r="A8" s="6" t="s">
        <v>23</v>
      </c>
      <c r="B8" s="7"/>
    </row>
    <row r="9" spans="1:5" x14ac:dyDescent="0.3">
      <c r="A9" s="6" t="s">
        <v>24</v>
      </c>
      <c r="B9" s="7">
        <v>3</v>
      </c>
    </row>
    <row r="10" spans="1:5" x14ac:dyDescent="0.3">
      <c r="A10" s="6" t="s">
        <v>25</v>
      </c>
      <c r="B10" s="7">
        <v>4</v>
      </c>
    </row>
    <row r="11" spans="1:5" x14ac:dyDescent="0.3">
      <c r="A11" s="6" t="s">
        <v>26</v>
      </c>
      <c r="B11" s="7">
        <v>3</v>
      </c>
    </row>
    <row r="12" spans="1:5" x14ac:dyDescent="0.3">
      <c r="A12" s="6" t="s">
        <v>27</v>
      </c>
      <c r="B12" s="7">
        <v>2</v>
      </c>
    </row>
    <row r="13" spans="1:5" x14ac:dyDescent="0.3">
      <c r="A13" s="6" t="s">
        <v>28</v>
      </c>
      <c r="B13" s="7"/>
    </row>
    <row r="14" spans="1:5" x14ac:dyDescent="0.3">
      <c r="A14" s="6" t="s">
        <v>29</v>
      </c>
      <c r="B14" s="7">
        <v>2</v>
      </c>
    </row>
    <row r="15" spans="1:5" x14ac:dyDescent="0.3">
      <c r="A15" s="6" t="s">
        <v>30</v>
      </c>
      <c r="B15" s="7">
        <v>5</v>
      </c>
    </row>
    <row r="16" spans="1:5" x14ac:dyDescent="0.3">
      <c r="A16" s="6" t="s">
        <v>31</v>
      </c>
      <c r="B16" s="7">
        <v>3</v>
      </c>
    </row>
    <row r="17" spans="1:2" x14ac:dyDescent="0.3">
      <c r="A17" s="6" t="s">
        <v>32</v>
      </c>
      <c r="B17" s="7">
        <v>5</v>
      </c>
    </row>
    <row r="18" spans="1:2" x14ac:dyDescent="0.3">
      <c r="A18" s="6" t="s">
        <v>33</v>
      </c>
      <c r="B18" s="7"/>
    </row>
    <row r="19" spans="1:2" x14ac:dyDescent="0.3">
      <c r="A19" s="6" t="s">
        <v>34</v>
      </c>
      <c r="B19" s="7">
        <v>2</v>
      </c>
    </row>
    <row r="20" spans="1:2" x14ac:dyDescent="0.3">
      <c r="A20" s="6" t="s">
        <v>35</v>
      </c>
      <c r="B20" s="7">
        <v>5</v>
      </c>
    </row>
    <row r="21" spans="1:2" x14ac:dyDescent="0.3">
      <c r="A21" s="6" t="s">
        <v>36</v>
      </c>
      <c r="B21" s="7" t="s">
        <v>38</v>
      </c>
    </row>
    <row r="22" spans="1:2" x14ac:dyDescent="0.3">
      <c r="A22" s="6" t="s">
        <v>37</v>
      </c>
      <c r="B22" s="7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ПФ</vt:lpstr>
      <vt:lpstr>Студенты</vt:lpstr>
      <vt:lpstr>Студенты-УмныеТаблицы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2023-11-23T14:09:21Z</dcterms:modified>
</cp:coreProperties>
</file>