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/>
  <mc:AlternateContent xmlns:mc="http://schemas.openxmlformats.org/markup-compatibility/2006">
    <mc:Choice Requires="x15">
      <x15ac:absPath xmlns:x15ac="http://schemas.microsoft.com/office/spreadsheetml/2010/11/ac" url="C:\Users\shaga\Desktop\Курсы и выступления\Курс Excel SKillbox\Файлы-примеры\M8\"/>
    </mc:Choice>
  </mc:AlternateContent>
  <xr:revisionPtr revIDLastSave="0" documentId="13_ncr:1_{0D6DC5A8-0D2B-4B2C-A4CD-2A281429CBF1}" xr6:coauthVersionLast="45" xr6:coauthVersionMax="45" xr10:uidLastSave="{00000000-0000-0000-0000-000000000000}"/>
  <bookViews>
    <workbookView xWindow="-96" yWindow="-96" windowWidth="23232" windowHeight="13152" xr2:uid="{00000000-000D-0000-FFFF-FFFF00000000}"/>
  </bookViews>
  <sheets>
    <sheet name="ПФ" sheetId="1" r:id="rId1"/>
    <sheet name="Студент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2" i="2" l="1"/>
  <c r="B14" i="1"/>
  <c r="C14" i="1"/>
  <c r="E3" i="2"/>
</calcChain>
</file>

<file path=xl/sharedStrings.xml><?xml version="1.0" encoding="utf-8"?>
<sst xmlns="http://schemas.openxmlformats.org/spreadsheetml/2006/main" count="43" uniqueCount="42">
  <si>
    <t>Май</t>
  </si>
  <si>
    <t>Январь</t>
  </si>
  <si>
    <t>Февраль</t>
  </si>
  <si>
    <t>Март</t>
  </si>
  <si>
    <t>Апрель</t>
  </si>
  <si>
    <t>Июнь</t>
  </si>
  <si>
    <t>Июль</t>
  </si>
  <si>
    <t>Август</t>
  </si>
  <si>
    <t>Сентябрь</t>
  </si>
  <si>
    <t>Октябрь</t>
  </si>
  <si>
    <t>Ноябрь</t>
  </si>
  <si>
    <t>Декабрь</t>
  </si>
  <si>
    <t>План</t>
  </si>
  <si>
    <t>Факт</t>
  </si>
  <si>
    <t>Месяц</t>
  </si>
  <si>
    <t>ФИО</t>
  </si>
  <si>
    <t>Оценка</t>
  </si>
  <si>
    <t>Аллилуева Татьяна Алексеевна</t>
  </si>
  <si>
    <t>Распутин Артём Брониславович</t>
  </si>
  <si>
    <t>Гавриков Эдуард Елисеевич</t>
  </si>
  <si>
    <t>Гадолина Эмма Казимировна</t>
  </si>
  <si>
    <t>Манторов Яков Евлампиевич</t>
  </si>
  <si>
    <t>Усова Таисия Игнатиевна</t>
  </si>
  <si>
    <t>Уржумцева Галина Мефодиевна</t>
  </si>
  <si>
    <t>Цызырева Яна Родионовна</t>
  </si>
  <si>
    <t>Марьина Всеслава Фомевна</t>
  </si>
  <si>
    <t>Негеса Алла Станиславовна</t>
  </si>
  <si>
    <t>Клюшников Ким Захарович</t>
  </si>
  <si>
    <t>Шуленкова Ева Тимофеевна</t>
  </si>
  <si>
    <t>Канадов Антип Измаилович</t>
  </si>
  <si>
    <t>Ольховский Назар Феликсович</t>
  </si>
  <si>
    <t>Яимова Кристина Елисеевна</t>
  </si>
  <si>
    <t>Кузьминых Давид Александрович</t>
  </si>
  <si>
    <t>Якунова Евгения Антониновна</t>
  </si>
  <si>
    <t>Зиновьева Ольга Яновна</t>
  </si>
  <si>
    <t>Яцевич Афанасий Феликсович</t>
  </si>
  <si>
    <t>Кошечкина Ефросинья Емельяновна</t>
  </si>
  <si>
    <t>Нагибина Татьяна Станиславовна</t>
  </si>
  <si>
    <t>пересдача</t>
  </si>
  <si>
    <t>Сдали экзамен с любой оценкой</t>
  </si>
  <si>
    <t>Всего явились</t>
  </si>
  <si>
    <t>Новый студент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</si>
</sst>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</borders>
  <cellStyleXfs count="3">
    <xf numFmtId="0" fontId="0" fillId="0" borderId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3" fontId="0" fillId="0" borderId="0" xfId="0" applyNumberFormat="1" applyAlignment="1">
      <alignment horizontal="center"/>
    </xf>
    <xf numFmtId="0" fontId="2" fillId="0" borderId="1" xfId="1" applyAlignment="1">
      <alignment horizontal="center" vertical="center"/>
    </xf>
    <xf numFmtId="0" fontId="3" fillId="0" borderId="2" xfId="2"/>
    <xf numFmtId="0" fontId="0" fillId="0" borderId="0" xfId="0" applyAlignment="1">
      <alignment horizontal="center"/>
    </xf>
    <xf numFmtId="3" fontId="0" fillId="0" borderId="0" xfId="0" applyNumberFormat="1"/>
  </cellXfs>
  <cellStyles count="3">
    <cellStyle name="Заголовок 1" xfId="1" builtinId="16"/>
    <cellStyle name="Заголовок 2" xfId="2" builtinId="17"/>
    <cellStyle name="Обычный" xfId="0" builtinId="0"/>
  </cellStyles>
  <dxfs count="2">
    <dxf>
      <alignment horizontal="center" vertical="bottom" textRotation="0" wrapText="0" indent="0" justifyLastLine="0" shrinkToFit="0" readingOrder="0"/>
    </dxf>
    <dxf>
      <border outline="0">
        <bottom style="thick">
          <color theme="4" tint="0.499984740745262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87FC0E9-894C-4A92-8F00-249093526CD8}" name="Таблица1" displayName="Таблица1" ref="A1:B24" totalsRowShown="0" headerRowBorderDxfId="1" headerRowCellStyle="Заголовок 2">
  <autoFilter ref="A1:B24" xr:uid="{D22FE559-98F9-4CB1-A96C-BF182B6FA4CB}"/>
  <tableColumns count="2">
    <tableColumn id="1" xr3:uid="{038AB98D-84A2-4D56-8CBF-BC8CB14DDE04}" name="ФИО"/>
    <tableColumn id="2" xr3:uid="{D0A9C141-43C4-472E-94F6-EDEE68C83CD0}" name="Оценка" dataDxfId="0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tabSelected="1" zoomScale="115" zoomScaleNormal="115" workbookViewId="0">
      <selection activeCell="B16" sqref="B16"/>
    </sheetView>
  </sheetViews>
  <sheetFormatPr defaultRowHeight="14.4" x14ac:dyDescent="0.55000000000000004"/>
  <cols>
    <col min="1" max="1" width="15" customWidth="1"/>
    <col min="2" max="3" width="11.68359375" customWidth="1"/>
  </cols>
  <sheetData>
    <row r="1" spans="1:4" ht="19.5" thickBot="1" x14ac:dyDescent="0.6">
      <c r="A1" s="2" t="s">
        <v>14</v>
      </c>
      <c r="B1" s="2" t="s">
        <v>12</v>
      </c>
      <c r="C1" s="2" t="s">
        <v>13</v>
      </c>
    </row>
    <row r="2" spans="1:4" ht="14.7" thickTop="1" x14ac:dyDescent="0.55000000000000004">
      <c r="A2" t="s">
        <v>1</v>
      </c>
      <c r="B2" s="1">
        <v>20000</v>
      </c>
      <c r="C2" s="1">
        <v>22834</v>
      </c>
      <c r="D2" s="4"/>
    </row>
    <row r="3" spans="1:4" x14ac:dyDescent="0.55000000000000004">
      <c r="A3" t="s">
        <v>2</v>
      </c>
      <c r="B3" s="1">
        <v>20000</v>
      </c>
      <c r="C3" s="1">
        <v>20897</v>
      </c>
      <c r="D3" s="4"/>
    </row>
    <row r="4" spans="1:4" x14ac:dyDescent="0.55000000000000004">
      <c r="A4" t="s">
        <v>3</v>
      </c>
      <c r="B4" s="1">
        <v>25000</v>
      </c>
      <c r="C4" s="1">
        <v>21177</v>
      </c>
      <c r="D4" s="4"/>
    </row>
    <row r="5" spans="1:4" x14ac:dyDescent="0.55000000000000004">
      <c r="A5" t="s">
        <v>4</v>
      </c>
      <c r="B5" s="1">
        <v>30000</v>
      </c>
      <c r="C5" s="1">
        <v>28610</v>
      </c>
      <c r="D5" s="4"/>
    </row>
    <row r="6" spans="1:4" x14ac:dyDescent="0.55000000000000004">
      <c r="A6" t="s">
        <v>0</v>
      </c>
      <c r="B6" s="1">
        <v>30000</v>
      </c>
      <c r="C6" s="1">
        <v>29355</v>
      </c>
      <c r="D6" s="4"/>
    </row>
    <row r="7" spans="1:4" x14ac:dyDescent="0.55000000000000004">
      <c r="A7" t="s">
        <v>5</v>
      </c>
      <c r="B7" s="1">
        <v>25000</v>
      </c>
      <c r="C7" s="1">
        <v>22589</v>
      </c>
      <c r="D7" s="4"/>
    </row>
    <row r="8" spans="1:4" x14ac:dyDescent="0.55000000000000004">
      <c r="A8" t="s">
        <v>6</v>
      </c>
      <c r="B8" s="1">
        <v>25000</v>
      </c>
      <c r="C8" s="1">
        <v>28084</v>
      </c>
      <c r="D8" s="4"/>
    </row>
    <row r="9" spans="1:4" x14ac:dyDescent="0.55000000000000004">
      <c r="A9" t="s">
        <v>7</v>
      </c>
      <c r="B9" s="1">
        <v>30000</v>
      </c>
      <c r="C9" s="1">
        <v>31857</v>
      </c>
      <c r="D9" s="4"/>
    </row>
    <row r="10" spans="1:4" x14ac:dyDescent="0.55000000000000004">
      <c r="A10" t="s">
        <v>8</v>
      </c>
      <c r="B10" s="1">
        <v>45000</v>
      </c>
      <c r="C10" s="1">
        <v>43288</v>
      </c>
      <c r="D10" s="4"/>
    </row>
    <row r="11" spans="1:4" x14ac:dyDescent="0.55000000000000004">
      <c r="A11" t="s">
        <v>9</v>
      </c>
      <c r="B11" s="1">
        <v>45000</v>
      </c>
      <c r="C11" s="1">
        <v>48352</v>
      </c>
      <c r="D11" s="4"/>
    </row>
    <row r="12" spans="1:4" x14ac:dyDescent="0.55000000000000004">
      <c r="A12" t="s">
        <v>10</v>
      </c>
      <c r="B12" s="1">
        <v>50000</v>
      </c>
      <c r="C12" s="1">
        <v>53224</v>
      </c>
      <c r="D12" s="4"/>
    </row>
    <row r="13" spans="1:4" x14ac:dyDescent="0.55000000000000004">
      <c r="A13" t="s">
        <v>11</v>
      </c>
      <c r="B13" s="1">
        <v>40000</v>
      </c>
      <c r="C13" s="1">
        <v>38485</v>
      </c>
      <c r="D13" s="4"/>
    </row>
    <row r="14" spans="1:4" x14ac:dyDescent="0.55000000000000004">
      <c r="A14" s="4"/>
      <c r="B14" s="1">
        <f>COUNT(B2:B13)</f>
        <v>12</v>
      </c>
      <c r="C14" s="1">
        <f>COUNT(C2:C13)</f>
        <v>12</v>
      </c>
      <c r="D14" s="4"/>
    </row>
    <row r="15" spans="1:4" x14ac:dyDescent="0.55000000000000004">
      <c r="C15" s="5"/>
    </row>
  </sheetData>
  <phoneticPr fontId="1" type="noConversion"/>
  <pageMargins left="0.7" right="0.7" top="0.75" bottom="0.75" header="0.3" footer="0.3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80C98-0B34-447B-8392-FE9BCB50D59E}">
  <dimension ref="A1:E24"/>
  <sheetViews>
    <sheetView workbookViewId="0">
      <selection activeCell="E2" sqref="E2"/>
    </sheetView>
  </sheetViews>
  <sheetFormatPr defaultRowHeight="14.4" x14ac:dyDescent="0.55000000000000004"/>
  <cols>
    <col min="1" max="1" width="34.83984375" bestFit="1" customWidth="1"/>
    <col min="2" max="2" width="13.15625" customWidth="1"/>
    <col min="4" max="4" width="28.1015625" bestFit="1" customWidth="1"/>
  </cols>
  <sheetData>
    <row r="1" spans="1:5" ht="17.100000000000001" thickBot="1" x14ac:dyDescent="0.7">
      <c r="A1" s="3" t="s">
        <v>15</v>
      </c>
      <c r="B1" s="3" t="s">
        <v>16</v>
      </c>
    </row>
    <row r="2" spans="1:5" ht="14.7" thickTop="1" x14ac:dyDescent="0.55000000000000004">
      <c r="A2" t="s">
        <v>17</v>
      </c>
      <c r="B2" s="4">
        <v>2</v>
      </c>
      <c r="D2" t="s">
        <v>39</v>
      </c>
      <c r="E2">
        <f>COUNT(Таблица1[Оценка])</f>
        <v>17</v>
      </c>
    </row>
    <row r="3" spans="1:5" x14ac:dyDescent="0.55000000000000004">
      <c r="A3" t="s">
        <v>18</v>
      </c>
      <c r="B3" s="4" t="s">
        <v>38</v>
      </c>
      <c r="D3" t="s">
        <v>40</v>
      </c>
      <c r="E3">
        <f>COUNTA(Таблица1[Оценка])</f>
        <v>19</v>
      </c>
    </row>
    <row r="4" spans="1:5" x14ac:dyDescent="0.55000000000000004">
      <c r="A4" t="s">
        <v>19</v>
      </c>
      <c r="B4" s="4">
        <v>4</v>
      </c>
    </row>
    <row r="5" spans="1:5" x14ac:dyDescent="0.55000000000000004">
      <c r="A5" t="s">
        <v>20</v>
      </c>
      <c r="B5" s="4">
        <v>3</v>
      </c>
    </row>
    <row r="6" spans="1:5" x14ac:dyDescent="0.55000000000000004">
      <c r="A6" t="s">
        <v>21</v>
      </c>
      <c r="B6" s="4">
        <v>3</v>
      </c>
    </row>
    <row r="7" spans="1:5" x14ac:dyDescent="0.55000000000000004">
      <c r="A7" t="s">
        <v>22</v>
      </c>
      <c r="B7" s="4">
        <v>5</v>
      </c>
    </row>
    <row r="8" spans="1:5" x14ac:dyDescent="0.55000000000000004">
      <c r="A8" t="s">
        <v>23</v>
      </c>
      <c r="B8" s="4"/>
    </row>
    <row r="9" spans="1:5" x14ac:dyDescent="0.55000000000000004">
      <c r="A9" t="s">
        <v>24</v>
      </c>
      <c r="B9" s="4">
        <v>3</v>
      </c>
    </row>
    <row r="10" spans="1:5" x14ac:dyDescent="0.55000000000000004">
      <c r="A10" t="s">
        <v>25</v>
      </c>
      <c r="B10" s="4">
        <v>4</v>
      </c>
    </row>
    <row r="11" spans="1:5" x14ac:dyDescent="0.55000000000000004">
      <c r="A11" t="s">
        <v>26</v>
      </c>
      <c r="B11" s="4">
        <v>3</v>
      </c>
    </row>
    <row r="12" spans="1:5" x14ac:dyDescent="0.55000000000000004">
      <c r="A12" t="s">
        <v>27</v>
      </c>
      <c r="B12" s="4">
        <v>2</v>
      </c>
    </row>
    <row r="13" spans="1:5" x14ac:dyDescent="0.55000000000000004">
      <c r="A13" t="s">
        <v>28</v>
      </c>
      <c r="B13" s="4"/>
    </row>
    <row r="14" spans="1:5" x14ac:dyDescent="0.55000000000000004">
      <c r="A14" t="s">
        <v>29</v>
      </c>
      <c r="B14" s="4">
        <v>2</v>
      </c>
    </row>
    <row r="15" spans="1:5" x14ac:dyDescent="0.55000000000000004">
      <c r="A15" t="s">
        <v>30</v>
      </c>
      <c r="B15" s="4">
        <v>5</v>
      </c>
    </row>
    <row r="16" spans="1:5" x14ac:dyDescent="0.55000000000000004">
      <c r="A16" t="s">
        <v>31</v>
      </c>
      <c r="B16" s="4">
        <v>3</v>
      </c>
    </row>
    <row r="17" spans="1:2" x14ac:dyDescent="0.55000000000000004">
      <c r="A17" t="s">
        <v>32</v>
      </c>
      <c r="B17" s="4">
        <v>5</v>
      </c>
    </row>
    <row r="18" spans="1:2" x14ac:dyDescent="0.55000000000000004">
      <c r="A18" t="s">
        <v>33</v>
      </c>
      <c r="B18" s="4"/>
    </row>
    <row r="19" spans="1:2" x14ac:dyDescent="0.55000000000000004">
      <c r="A19" t="s">
        <v>34</v>
      </c>
      <c r="B19" s="4">
        <v>2</v>
      </c>
    </row>
    <row r="20" spans="1:2" x14ac:dyDescent="0.55000000000000004">
      <c r="A20" t="s">
        <v>35</v>
      </c>
      <c r="B20" s="4">
        <v>5</v>
      </c>
    </row>
    <row r="21" spans="1:2" x14ac:dyDescent="0.55000000000000004">
      <c r="A21" t="s">
        <v>36</v>
      </c>
      <c r="B21" s="4" t="s">
        <v>38</v>
      </c>
    </row>
    <row r="22" spans="1:2" x14ac:dyDescent="0.55000000000000004">
      <c r="A22" t="s">
        <v>37</v>
      </c>
      <c r="B22" s="4">
        <v>3</v>
      </c>
    </row>
    <row r="23" spans="1:2" x14ac:dyDescent="0.55000000000000004">
      <c r="A23" t="s">
        <v>41</v>
      </c>
      <c r="B23" s="4">
        <v>4</v>
      </c>
    </row>
    <row r="24" spans="1:2" x14ac:dyDescent="0.55000000000000004">
      <c r="B24" s="4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ПФ</vt:lpstr>
      <vt:lpstr>Студенты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Ренат Шагабутдинов</dc:creator>
  <cp:lastModifiedBy>Ренат Шагабутдинов</cp:lastModifiedBy>
  <dcterms:created xsi:type="dcterms:W3CDTF">2015-06-05T18:17:20Z</dcterms:created>
  <dcterms:modified xsi:type="dcterms:W3CDTF">2020-11-13T15:07:37Z</dcterms:modified>
</cp:coreProperties>
</file>