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8_Модуль\"/>
    </mc:Choice>
  </mc:AlternateContent>
  <xr:revisionPtr revIDLastSave="0" documentId="8_{96DE7148-258C-4F0D-A208-288CB721A7B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Функции" sheetId="1" r:id="rId1"/>
    <sheet name="Остатки" sheetId="3" r:id="rId2"/>
    <sheet name="Выгрузка из 1С" sheetId="4" r:id="rId3"/>
  </sheets>
  <definedNames>
    <definedName name="_xlnm._FilterDatabase" localSheetId="1" hidden="1">Остатки!$A$1:$E$2979</definedName>
    <definedName name="_xlnm._FilterDatabase" localSheetId="0" hidden="1">Функции!$A$1:$D$93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4" l="1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2" i="4"/>
  <c r="I7" i="3"/>
  <c r="I6" i="3"/>
  <c r="I5" i="3"/>
  <c r="G9" i="1"/>
  <c r="G8" i="1"/>
  <c r="G7" i="1"/>
  <c r="G6" i="1"/>
  <c r="G5" i="1"/>
  <c r="G4" i="1"/>
  <c r="G11" i="1"/>
  <c r="G3" i="1"/>
  <c r="G2" i="1"/>
</calcChain>
</file>

<file path=xl/sharedStrings.xml><?xml version="1.0" encoding="utf-8"?>
<sst xmlns="http://schemas.openxmlformats.org/spreadsheetml/2006/main" count="12166" uniqueCount="2421">
  <si>
    <t>Тип</t>
  </si>
  <si>
    <t>Филиал</t>
  </si>
  <si>
    <t>Объем продаж</t>
  </si>
  <si>
    <t>Вопрос</t>
  </si>
  <si>
    <t>Ответ</t>
  </si>
  <si>
    <t>Екатеринбург</t>
  </si>
  <si>
    <t>Общий объем продаж</t>
  </si>
  <si>
    <t>Челябинск</t>
  </si>
  <si>
    <t>Продано в Томске</t>
  </si>
  <si>
    <t>Томск</t>
  </si>
  <si>
    <t>Сколько всего операций?</t>
  </si>
  <si>
    <t>Сколько операций в январе не в Челябинске?</t>
  </si>
  <si>
    <t>Сколько операций в Томске с объемом выше среднего?</t>
  </si>
  <si>
    <t>Товар</t>
  </si>
  <si>
    <t>Склад</t>
  </si>
  <si>
    <t>Город</t>
  </si>
  <si>
    <t>Остаток, шт.</t>
  </si>
  <si>
    <t>Из них в резерве</t>
  </si>
  <si>
    <t>Acer Aspire 3 A315-21-60DQ (NX.GNVER.074)</t>
  </si>
  <si>
    <t>Ноутбуки</t>
  </si>
  <si>
    <t>Основной склад</t>
  </si>
  <si>
    <t>Саратов</t>
  </si>
  <si>
    <t>Рязань</t>
  </si>
  <si>
    <t>Acer Aspire 3 A315-21-63FA (NX.GNVER.076)</t>
  </si>
  <si>
    <t>Магазин</t>
  </si>
  <si>
    <t>Иваново</t>
  </si>
  <si>
    <t>Брак</t>
  </si>
  <si>
    <t>Санкт-Петербург</t>
  </si>
  <si>
    <t>Калининград</t>
  </si>
  <si>
    <t>Acer Aspire 3 A315-21-66MX (NX.GNVER.068)</t>
  </si>
  <si>
    <t>Нижний Новгород</t>
  </si>
  <si>
    <t>Acer Aspire 3 A315-21-949L (NX.GNVER.075)</t>
  </si>
  <si>
    <t>Владимир</t>
  </si>
  <si>
    <t>Новосибирск</t>
  </si>
  <si>
    <t>Самара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</si>
  <si>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</si>
  <si>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</si>
  <si>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</si>
  <si>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</si>
  <si>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Казань</t>
  </si>
  <si>
    <t>Тула</t>
  </si>
  <si>
    <t>Acer Aspire 3 A315-21G-61D6 (NX.GQ4ER.083)</t>
  </si>
  <si>
    <t>Acer Aspire 3 A315-21G-61FP (NX.GQ4ER.082)</t>
  </si>
  <si>
    <t>Саранск</t>
  </si>
  <si>
    <t>Москва</t>
  </si>
  <si>
    <t>Acer Aspire 3 A315-21G-997L (NX.GQ4ER.076)</t>
  </si>
  <si>
    <t>Acer Aspire 3 A315-41G-R07E (NX.GYBER.025)</t>
  </si>
  <si>
    <t>Acer Aspire 3 A315-41G-R0AN (NX.GYBER.032)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</si>
  <si>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</si>
  <si>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</si>
  <si>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</si>
  <si>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</si>
  <si>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A315-41-R3N7 (NX.GY9ER.030)</t>
  </si>
  <si>
    <t>Смоленск</t>
  </si>
  <si>
    <t>Acer Aspire 3 A315-41-R9SC (NX.GY9ER.029)</t>
  </si>
  <si>
    <t>Acer Aspire 3 A315-51-32FV (NX.H9EER.005)</t>
  </si>
  <si>
    <t>Acer Aspire 3 A315-51-34B6 (NX.H9EER.003)</t>
  </si>
  <si>
    <t>Acer Aspire 3 A315-51-35BG (NX.GNPER.046)</t>
  </si>
  <si>
    <t>Acer Aspire 3 A315-51-382R (NX.H9EER.008)</t>
  </si>
  <si>
    <t>Acer Aspire 3 A315-51-52FB (NX.GNPER.040)</t>
  </si>
  <si>
    <t>Acer Aspire 3 A315-51-53MS (NX.GNPER.038)</t>
  </si>
  <si>
    <t>Acer Aspire 3 A315-51-541Z (NX.GNPER.039)</t>
  </si>
  <si>
    <t>Псков</t>
  </si>
  <si>
    <t>Acer Aspire 3 A315-51-54PD (NX.GS6ER.004)</t>
  </si>
  <si>
    <t>Acer Aspire 3 A315-51-57JH (NX.GNPER.041)</t>
  </si>
  <si>
    <t>Acer Aspire 3 A315-51-58YD (NX.GNPER.016)</t>
  </si>
  <si>
    <t>Липецк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</si>
  <si>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</si>
  <si>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</si>
  <si>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</si>
  <si>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</si>
  <si>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</si>
  <si>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</si>
  <si>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</si>
  <si>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</si>
  <si>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</si>
  <si>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</si>
  <si>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A315-53G-37GP (NX.H49ER.004)</t>
  </si>
  <si>
    <t>Acer Aspire 3 A315-53G-50RF (NX.H1AER.008)</t>
  </si>
  <si>
    <t>Acer Aspire 5 A517-51G-5284 (NX.GSXER.014)</t>
  </si>
  <si>
    <t>Acer Aspire 5 A517-51G-56LL (NX.GSXER.005)</t>
  </si>
  <si>
    <t>Acer Aspire 5 A517-51G-57HA (NX.GSXER.004)</t>
  </si>
  <si>
    <t>Acer Aspire 5 A517-51G-810T (NX.GSXER.006)</t>
  </si>
  <si>
    <t>Acer Aspire 5 A517-51G-89AW (NX.GSXER.016)</t>
  </si>
  <si>
    <t>Acer Aspire 7 A715-72G-77A0 (NH.GXCER.004)</t>
  </si>
  <si>
    <t>Acer Aspire 7 A715-72G-78UY (NH.GXCER.006)</t>
  </si>
  <si>
    <t>Acer Aspire 7 A717-71G-7167 (NH.GPFER.007)</t>
  </si>
  <si>
    <t>Acer Aspire 7 A717-71G-718D (NH.GPFER.005)</t>
  </si>
  <si>
    <t>Acer Aspire 7 A717-72G-54W4 (NH.GXDER.001)</t>
  </si>
  <si>
    <t>Acer Aspire 7 A717-72G-76J1 (NH.GXEER.013)</t>
  </si>
  <si>
    <t>Acer Aspire E5-576-54RA (NX.GRYER.006)</t>
  </si>
  <si>
    <t>Acer Aspire E5-576-562B (NX.GRYER.005)</t>
  </si>
  <si>
    <t>Acer Aspire E5-576G-32TN (NX.GSBER.013)</t>
  </si>
  <si>
    <t>Acer Aspire E5-576G-358M (NX.GV9ER.001)</t>
  </si>
  <si>
    <t>Acer Aspire E5-576G-53N7 (NX.GS9ER.004)</t>
  </si>
  <si>
    <t>Acer Aspire E5-576G-5479 (NX.GSBER.015)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</si>
  <si>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</si>
  <si>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</si>
  <si>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</si>
  <si>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</si>
  <si>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</si>
  <si>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EX2519-C54U (NX.EFAER.113)</t>
  </si>
  <si>
    <t>Acer Extensa EX2519-C5G3 (NX.EFAER.071)</t>
  </si>
  <si>
    <t>Acer Extensa EX2519-P47W (NX.EFAER.105)</t>
  </si>
  <si>
    <t>Acer Extensa EX2519-P5PG (NX.EFAER.026)</t>
  </si>
  <si>
    <t>Acer Extensa EX2519-P79W (NX.EFAER.025)</t>
  </si>
  <si>
    <t>Acer Extensa EX2519-P9DQ (NX.EFAER.104)</t>
  </si>
  <si>
    <t>Acer Extensa EX2540-311S (NX.EFHER.059)</t>
  </si>
  <si>
    <t>Acer Extensa EX2540-32NQ (NX.EFHER.027)</t>
  </si>
  <si>
    <t>Acer Extensa EX2540-32SV (NX.EFHER.051)</t>
  </si>
  <si>
    <t>Acer Extensa EX2540-33E9 (NX.EFHER.005)</t>
  </si>
  <si>
    <t>Тверь</t>
  </si>
  <si>
    <t>Acer Extensa EX2540-34D1 (NX.EFHER.064)</t>
  </si>
  <si>
    <t>Acer Extensa EX2540-36X9 (NX.EFHER.040)</t>
  </si>
  <si>
    <t>Acer Extensa EX2540-384Q (NX.EFHER.062)</t>
  </si>
  <si>
    <t>Acer Extensa EX2540-38MS (NX.EFHER.072)</t>
  </si>
  <si>
    <t>Acer Extensa EX2540-50DE (NX.EFHER.006)</t>
  </si>
  <si>
    <t>Acer Extensa EX2540-55HQ (NX.EFHER.016)</t>
  </si>
  <si>
    <t>Acer Extensa EX2540-578E (NX.EFHER.082)</t>
  </si>
  <si>
    <t>Acer Nitro 5 AN515-42-R0HW (NH.Q3RER.006)</t>
  </si>
  <si>
    <t>Acer Nitro 5 AN515-52-70LK (NH.Q3XER.008)</t>
  </si>
  <si>
    <t>Acer Nitro 5 AN515-52-70SL (NH.Q3XER.010)</t>
  </si>
  <si>
    <t>Acer Nitro 5 AN515-52-74NJ (NH.Q3LER.006)</t>
  </si>
  <si>
    <t>Acer Predator Helios 300 PH315-51-50FH (NH.Q3HER.006)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</si>
  <si>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</si>
  <si>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</si>
  <si>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</si>
  <si>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</si>
  <si>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</si>
  <si>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</si>
  <si>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</si>
  <si>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PH315-51-7441 (NH.Q3FER.001)</t>
  </si>
  <si>
    <t>Acer Predator Helios 300 PH315-51-761K (NH.Q3FER.002)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</si>
  <si>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</si>
  <si>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</si>
  <si>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</si>
  <si>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</si>
  <si>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</si>
  <si>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</si>
  <si>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</si>
  <si>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PH317-52-70N2 (NH.Q3DER.002)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</si>
  <si>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</si>
  <si>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</si>
  <si>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</si>
  <si>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</si>
  <si>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</si>
  <si>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PH317-52-795G (NH.Q3DER.003)</t>
  </si>
  <si>
    <t>Acer Predator Helios 500 PH517-51-706N (NH.Q3NER.005)</t>
  </si>
  <si>
    <t>Acer Predator Helios 500 PH517-51-73P1 (NH.Q3NER.013)</t>
  </si>
  <si>
    <t>Acer Predator Helios 500 PH517-61-R28C (NH.Q3GER.006)</t>
  </si>
  <si>
    <t>Acer Predator Helios 500 PH517-61-R5C9 (NH.Q3GER.003)</t>
  </si>
  <si>
    <t>Acer Predator Helios 500 PH517-61-R633 (NH.Q3GER.007)</t>
  </si>
  <si>
    <t>Acer Spin SP314-51-359S (NX.GZRER.003)</t>
  </si>
  <si>
    <t>Acer Spin SP314-51-51BY (NX.GZRER.001)</t>
  </si>
  <si>
    <t>Acer Spin SP513-53N-57K4 (NX.H62ER.003)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</si>
  <si>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</si>
  <si>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</si>
  <si>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</si>
  <si>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</si>
  <si>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</si>
  <si>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SF314-54-39E1 (NX.GYGER.009)</t>
  </si>
  <si>
    <t>Acer Swift SF314-54-55A6 (NX.GYGER.002)</t>
  </si>
  <si>
    <t>Acer Swift SF314-54-56CU (NX.GYQER.006)</t>
  </si>
  <si>
    <t>Acer Swift SF314-54-8456 (NX.GXZER.010)</t>
  </si>
  <si>
    <t>Acer Swift SF314-54-88QB (NX.GYGER.003)</t>
  </si>
  <si>
    <t>Acer Swift SF314-54G-5201 (NX.GY0ER.005)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</si>
  <si>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</si>
  <si>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</si>
  <si>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</si>
  <si>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</si>
  <si>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</si>
  <si>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</si>
  <si>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</si>
  <si>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</si>
  <si>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SF314-55-72FH (NX.H3WER.010)</t>
  </si>
  <si>
    <t>Acer Swift SF314-55-78SP (NX.H5WER.006)</t>
  </si>
  <si>
    <t>Acer Swift SF314-55G-53B0 (NX.H3UER.001)</t>
  </si>
  <si>
    <t>Acer Swift SF314-55G-70WT (NX.H3UER.002)</t>
  </si>
  <si>
    <t>Acer Swift SF314-55G-778M (NX.H5UER.002)</t>
  </si>
  <si>
    <t>Acer Swift SF314-56-5403 (NX.H4CER.004)</t>
  </si>
  <si>
    <t>Acer Swift SF314-56-57VK (NX.H4JER.005)</t>
  </si>
  <si>
    <t>Acer Swift SF314-56-59HP (NX.H4CER.008)</t>
  </si>
  <si>
    <t>Acer Swift SF314-56-72NG (NX.H4JER.003)</t>
  </si>
  <si>
    <t>Acer Swift SF314-56G-50GE (NX.H4XER.006)</t>
  </si>
  <si>
    <t>Acer Swift SF314-56G-514P (NX.H51ER.001)</t>
  </si>
  <si>
    <t>Acer Swift SF314-56G-53KG (NX.H4LER.001)</t>
  </si>
  <si>
    <t>Acer Swift SF314-56G-57HK (NX.H4LER.004)</t>
  </si>
  <si>
    <t>Acer Swift SF314-56G-704Q (NX.H4XER.005)</t>
  </si>
  <si>
    <t>Acer Swift SF314-56G-71S6 (NX.H51ER.003)</t>
  </si>
  <si>
    <t>Acer Swift SF314-56G-76FM (NX.H4LER.003)</t>
  </si>
  <si>
    <t>Acer Swift SF314-56G-78TV (NX.H4LER.005)</t>
  </si>
  <si>
    <t>Acer Swift SF314-56G-79M (NX.H4LER.006)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</si>
  <si>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</si>
  <si>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</si>
  <si>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</si>
  <si>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</si>
  <si>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</si>
  <si>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</si>
  <si>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</si>
  <si>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</si>
  <si>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</si>
  <si>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</si>
  <si>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</si>
  <si>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</si>
  <si>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</si>
  <si>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</si>
  <si>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</si>
  <si>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SF514-53T-793D (NX.H7HER.002)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</si>
  <si>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</si>
  <si>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</si>
  <si>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</si>
  <si>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</si>
  <si>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</si>
  <si>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</si>
  <si>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</si>
  <si>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</si>
  <si>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</si>
  <si>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</si>
  <si>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</si>
  <si>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</si>
  <si>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</si>
  <si>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</si>
  <si>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</si>
  <si>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P259-G2-M-33BL (NX.VEPER.041)</t>
  </si>
  <si>
    <t>Acer TravelMate P259-G2-M-35F7 (NX.VEPER.040)</t>
  </si>
  <si>
    <t>Acer TravelMate P259-G2-M-35GK (NX.VEPER.036)</t>
  </si>
  <si>
    <t>Acer TravelMate P259-G2-M-504Q (NX.VEPER.037)</t>
  </si>
  <si>
    <t>Acer TravelMate P259-G2-M-5402 (NX.VEPER.038)</t>
  </si>
  <si>
    <t>Acer TravelMate P259-MG-32CC (NX.VE2ER.049)</t>
  </si>
  <si>
    <t>Acer TravelMate P259-MG-339Z (NX.VE2ER.008)</t>
  </si>
  <si>
    <t>Acer TravelMate P259-MG-382R (NX.VE2ER.018)</t>
  </si>
  <si>
    <t>Acer TravelMate P259-MG-38LQ (NX.VE2ER.032)</t>
  </si>
  <si>
    <t>Acer TravelMate P259-MG-38SX (NX.VE2ER.042)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</si>
  <si>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</si>
  <si>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</si>
  <si>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</si>
  <si>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</si>
  <si>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</si>
  <si>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P259-MG-56TU (NX.VE2ER.014)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</si>
  <si>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</si>
  <si>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</si>
  <si>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</si>
  <si>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</si>
  <si>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</si>
  <si>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</si>
  <si>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</si>
  <si>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</si>
  <si>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</si>
  <si>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MRE92RU/A (MRE92RU/A)</t>
  </si>
  <si>
    <t>Apple MacBook Air 2018 MREA2RU/A (MREA2RU/A)</t>
  </si>
  <si>
    <t>Apple MacBook Air 2018 MREC2RU/A (MREC2RU/A)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</si>
  <si>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</si>
  <si>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</si>
  <si>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</si>
  <si>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</si>
  <si>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</si>
  <si>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</si>
  <si>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</si>
  <si>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</si>
  <si>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</si>
  <si>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</si>
  <si>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</si>
  <si>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</si>
  <si>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ASUS FX753VD-GC128 (90NB0DM3-M09520)</t>
  </si>
  <si>
    <t>ASUS FX753VD-GC128T (90NB0DM3-M09510)</t>
  </si>
  <si>
    <t>ASUS ROG CHIMERA G703GX-EV153T (90NR01B1-M02540)</t>
  </si>
  <si>
    <t>ASUS ROG HERO II Edition GL504GM-ES386 (90NR00K2-M08570)</t>
  </si>
  <si>
    <t>ASUS ROG SCAR Edition GL503GE-EN274 (90NR0081-M05480)</t>
  </si>
  <si>
    <t>ASUS ROG SCAR Edition GL703GE-GC075 (90NR00D2-M04490)</t>
  </si>
  <si>
    <t>ASUS ROG SCAR Edition GL703GM-EE225 (90NR00G1-M04520)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</si>
  <si>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</si>
  <si>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</si>
  <si>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</si>
  <si>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</si>
  <si>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</si>
  <si>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</si>
  <si>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</si>
  <si>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</si>
  <si>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GL704GM-EV060 (90NR00N1-M01220)</t>
  </si>
  <si>
    <t>ASUS ROG SCAR II Edition GL704GM-EV068T (90NR00N1-M01350)</t>
  </si>
  <si>
    <t>ASUS ROG SCAR II Edition GL704GV-EV039T (90NR01Y1-M00720)</t>
  </si>
  <si>
    <t>ASUS ROG SCAR II Edition GL704GW-EV001 (90NR00M1-M01560)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</si>
  <si>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</si>
  <si>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</si>
  <si>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</si>
  <si>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</si>
  <si>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</si>
  <si>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GX701GV-EV006T (90NR0201-M00180)</t>
  </si>
  <si>
    <t>ASUS ROG ZEPHYRUS S GX701GV-EV016T (90NR0201-M00390)</t>
  </si>
  <si>
    <t>ASUS ROG ZEPHYRUS S GX701GW-EV056T (90NR01U1-M01250)</t>
  </si>
  <si>
    <t>ASUS TUF Gaming FX504GM-E4455 (90NR00Q3-M09910)</t>
  </si>
  <si>
    <t>ASUS TUF Gaming FX505DY-BQ024T (90NR01A2-M02100)</t>
  </si>
  <si>
    <t>ASUS TUF Gaming FX505GE-BQ165 (90NR00S1-M09310)</t>
  </si>
  <si>
    <t>ASUS TUF Gaming FX505GM-BN274 (90NR0131-M05190)</t>
  </si>
  <si>
    <t>ASUS TUF Gaming FX505GM-BN275 (90NR0131-M05220)</t>
  </si>
  <si>
    <t>ASUS TUF Gaming FX705DY-AU017T (90NR0192-M01410)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</si>
  <si>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</si>
  <si>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</si>
  <si>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</si>
  <si>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</si>
  <si>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</si>
  <si>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FX705GE-EW228 (90NR00Z2-M05680)</t>
  </si>
  <si>
    <t>ASUS TUF Gaming FX705GE-EW238 (90NR00Z1-M05300)</t>
  </si>
  <si>
    <t>ASUS TUF Gaming FX705GM-EW152T (90NR0121-M03280)</t>
  </si>
  <si>
    <t>ASUS TUF Gaming FX705GM-EW181 (90NR0121-M04110)</t>
  </si>
  <si>
    <t>ASUS VivoBook 15 X505BA-EJ151T (90NB0G12-M02530)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</si>
  <si>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</si>
  <si>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</si>
  <si>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</si>
  <si>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</si>
  <si>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X540UB-DM264 (90NB0IM1-M03610)</t>
  </si>
  <si>
    <t>ASUS VivoBook 15 X542UN-DM163T (90NB0G82-M02680)</t>
  </si>
  <si>
    <t>ASUS VivoBook 17 X705MB-BX010T (90NB0IH2-M00300)</t>
  </si>
  <si>
    <t>ASUS VivoBook 17 X705UF-BX014T (90NB0IE2-M02140)</t>
  </si>
  <si>
    <t>ASUS VivoBook E403NA-GA041 (90NB0DT1-M03490)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</si>
  <si>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</si>
  <si>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</si>
  <si>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</si>
  <si>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</si>
  <si>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X541UV-DM1607T (90NB0CG1-M24120)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</si>
  <si>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</si>
  <si>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</si>
  <si>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</si>
  <si>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</si>
  <si>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</si>
  <si>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</si>
  <si>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</si>
  <si>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</si>
  <si>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</si>
  <si>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</si>
  <si>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</si>
  <si>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</si>
  <si>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</si>
  <si>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</si>
  <si>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</si>
  <si>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</si>
  <si>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</si>
  <si>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</si>
  <si>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</si>
  <si>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</si>
  <si>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</si>
  <si>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</si>
  <si>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X540MA-GQ064 (90NB0IR1-M00820)</t>
  </si>
  <si>
    <t>ASUS X540MB-GQ079 (90NB0IQ1-M01110)</t>
  </si>
  <si>
    <t>ASUS X540NV-GQ072 (90NB0HM1-M01310)</t>
  </si>
  <si>
    <t>ASUS X540YA-XO534D (90NB0CN1-M09290)</t>
  </si>
  <si>
    <t>ASUS X540YA-XO751D (90NB0CN1-M11250)</t>
  </si>
  <si>
    <t>ASUS X540YA-XO833D (90NB0CN1-M12360)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</si>
  <si>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</si>
  <si>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</si>
  <si>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</si>
  <si>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</si>
  <si>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</si>
  <si>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</si>
  <si>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</si>
  <si>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</si>
  <si>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</si>
  <si>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</si>
  <si>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</si>
  <si>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</si>
  <si>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</si>
  <si>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</si>
  <si>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</si>
  <si>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</si>
  <si>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</si>
  <si>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</si>
  <si>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</si>
  <si>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</si>
  <si>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</si>
  <si>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15 UX533FD-A8079T (90NB0JX1-M01150)</t>
  </si>
  <si>
    <t>ASUS Zenbook 15 UX533FD-A8096 (90NB0JX2-M01670)</t>
  </si>
  <si>
    <t>ASUS Zenbook 3 Deluxe UX490UA-BE054R (90NB0EI3-M07030)</t>
  </si>
  <si>
    <t>ASUS Zenbook 3 Deluxe UX490UA-BE082R (90NB0EI1-M05080)</t>
  </si>
  <si>
    <t>ASUS Zenbook Flip RX562FD-EZ066R (90NB0JS1-M01080)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</si>
  <si>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</si>
  <si>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</si>
  <si>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</si>
  <si>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</si>
  <si>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</si>
  <si>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UX561UN-BO029T (90NB0G31-M00930)</t>
  </si>
  <si>
    <t>ASUS Zenbook Pro UX550GE-BN029R (90NB0HW3-M00430)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</si>
  <si>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</si>
  <si>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</si>
  <si>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</si>
  <si>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</si>
  <si>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</si>
  <si>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</si>
  <si>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</si>
  <si>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</si>
  <si>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</si>
  <si>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</si>
  <si>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</si>
  <si>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</si>
  <si>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</si>
  <si>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UX310UA-FC1079T (90NB0CJ1-M18100)</t>
  </si>
  <si>
    <t>ASUS Zenbook UX310UA-FC1115 (90NB0CJ1-M18840)</t>
  </si>
  <si>
    <t>ASUS Zenbook UX330UA-FB316T (90NB0CW1-M08600)</t>
  </si>
  <si>
    <t>ASUS Zenbook UX410UA-GV503T (90NB0DL3-M10950)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</si>
  <si>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</si>
  <si>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</si>
  <si>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</si>
  <si>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</si>
  <si>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Dell Alienware 15 M15 (M15-5515)</t>
  </si>
  <si>
    <t>Dell Alienware 15 M15 (M15-5522)</t>
  </si>
  <si>
    <t>Dell Alienware 15 M15 (M15-5539)</t>
  </si>
  <si>
    <t>Dell Alienware 15 M15 (M15-5553)</t>
  </si>
  <si>
    <t>Dell Alienware 15 M15 (M15-5560)</t>
  </si>
  <si>
    <t>Dell Alienware 15 M15 (M15-5577)</t>
  </si>
  <si>
    <t>Dell Alienware 15 M15 (M15-5591)</t>
  </si>
  <si>
    <t>Dell Alienware 15 M15 (M15-5607)</t>
  </si>
  <si>
    <t>Dell Alienware 15 M15 (M15-5614)</t>
  </si>
  <si>
    <t>Dell Alienware 15 M15 (M15-5942)</t>
  </si>
  <si>
    <t>Dell Alienware 15 R4 (A15-7718)</t>
  </si>
  <si>
    <t>Dell Alienware 17 R5 (A17-7073)</t>
  </si>
  <si>
    <t>Dell Alienware 17 R5 (A17-7080)</t>
  </si>
  <si>
    <t>Dell Alienware 17 R5 (A17-7831)</t>
  </si>
  <si>
    <t>Dell Alienware 17 R5 (A17-7862)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</si>
  <si>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</si>
  <si>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</si>
  <si>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</si>
  <si>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</si>
  <si>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</si>
  <si>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(G315-7251)</t>
  </si>
  <si>
    <t>Dell G3 3579 (G315-7282)</t>
  </si>
  <si>
    <t>Dell G3 3779 (G317-5362)</t>
  </si>
  <si>
    <t>Dell G3 3779 (G317-7534)</t>
  </si>
  <si>
    <t>Dell G3 3779 (G317-7541)</t>
  </si>
  <si>
    <t>Dell G3 3779 (G317-7558)</t>
  </si>
  <si>
    <t>Dell G3 3779 (G317-7626)</t>
  </si>
  <si>
    <t>Dell G3 3779 (G317-7664)</t>
  </si>
  <si>
    <t>Dell G5 5587 (G515-7329)</t>
  </si>
  <si>
    <t>Dell G5 5587 (G515-7336)</t>
  </si>
  <si>
    <t>Dell G5 5587 (G515-7343)</t>
  </si>
  <si>
    <t>Dell G5 5587 (G515-7367)</t>
  </si>
  <si>
    <t>Dell G5 5587 (G515-7398)</t>
  </si>
  <si>
    <t>Dell G5 5587 (G515-7459)</t>
  </si>
  <si>
    <t>Dell G5 5587 (G515-7473)</t>
  </si>
  <si>
    <t>Dell G5 5587 (G515-7480)</t>
  </si>
  <si>
    <t>Dell G5 5587 (G515-7527)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</si>
  <si>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</si>
  <si>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</si>
  <si>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</si>
  <si>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</si>
  <si>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</si>
  <si>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</si>
  <si>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</si>
  <si>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3573 (3573-5451)</t>
  </si>
  <si>
    <t>Dell Inspiron 3573 (3573-5468)</t>
  </si>
  <si>
    <t>Dell Inspiron 3573 (3573-5475)</t>
  </si>
  <si>
    <t>Dell Inspiron 3573 (3573-6038)</t>
  </si>
  <si>
    <t>Dell Inspiron 3573 (3573-6045)</t>
  </si>
  <si>
    <t>Dell Inspiron 3573 (3573-6069)</t>
  </si>
  <si>
    <t>Dell Inspiron 3573 (3573-6106)</t>
  </si>
  <si>
    <t>Dell Inspiron 3576 (3576-5225)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</si>
  <si>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</si>
  <si>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</si>
  <si>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</si>
  <si>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</si>
  <si>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</si>
  <si>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</si>
  <si>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</si>
  <si>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</si>
  <si>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</si>
  <si>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</si>
  <si>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</si>
  <si>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</si>
  <si>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</si>
  <si>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(5482-2509)</t>
  </si>
  <si>
    <t>Dell Inspiron 5482 (5482-5430)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</si>
  <si>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</si>
  <si>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</si>
  <si>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</si>
  <si>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</si>
  <si>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</si>
  <si>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(5570-3124)</t>
  </si>
  <si>
    <t>Dell Inspiron 5570 (5570-3762)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</si>
  <si>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</si>
  <si>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</si>
  <si>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</si>
  <si>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</si>
  <si>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</si>
  <si>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</si>
  <si>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</si>
  <si>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</si>
  <si>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</si>
  <si>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</si>
  <si>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</si>
  <si>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</si>
  <si>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(5570-5294)</t>
  </si>
  <si>
    <t>Dell Inspiron 5570 (5570-5298)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</si>
  <si>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</si>
  <si>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</si>
  <si>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</si>
  <si>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</si>
  <si>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</si>
  <si>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</si>
  <si>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</si>
  <si>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</si>
  <si>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</si>
  <si>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</si>
  <si>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</si>
  <si>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</si>
  <si>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</si>
  <si>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(5570-5840)</t>
  </si>
  <si>
    <t>Dell Inspiron 5570 (5570-5857)</t>
  </si>
  <si>
    <t>Dell Inspiron 5570 (5570-6298)</t>
  </si>
  <si>
    <t>Dell Inspiron 5570 (5570-6359)</t>
  </si>
  <si>
    <t>Dell Inspiron 5570 (5570-6373)</t>
  </si>
  <si>
    <t>Dell Inspiron 5570 (5570-7772)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</si>
  <si>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</si>
  <si>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</si>
  <si>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</si>
  <si>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</si>
  <si>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(5570-7871)</t>
  </si>
  <si>
    <t>Dell Inspiron 5570 (5570-8749)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</si>
  <si>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</si>
  <si>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</si>
  <si>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</si>
  <si>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</si>
  <si>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</si>
  <si>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</si>
  <si>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</si>
  <si>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</si>
  <si>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(3490-4063)</t>
  </si>
  <si>
    <t>Dell Latitude 3490 (3490-4087)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</si>
  <si>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</si>
  <si>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</si>
  <si>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</si>
  <si>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</si>
  <si>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</si>
  <si>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5290 (5290-1443)</t>
  </si>
  <si>
    <t>Dell Latitude 5290 (5290-1467)</t>
  </si>
  <si>
    <t>Dell Latitude 5290 (5290-1474)</t>
  </si>
  <si>
    <t>Dell Latitude 5290 (5290-2332)</t>
  </si>
  <si>
    <t>Dell Latitude 5290 (5290-6771)</t>
  </si>
  <si>
    <t>Dell Latitude 5490 (5490-1504)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</si>
  <si>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</si>
  <si>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</si>
  <si>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</si>
  <si>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</si>
  <si>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</si>
  <si>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</si>
  <si>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</si>
  <si>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</si>
  <si>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</si>
  <si>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</si>
  <si>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(5590-1566)</t>
  </si>
  <si>
    <t>Dell Latitude 5590 (5590-1573)</t>
  </si>
  <si>
    <t>Dell Latitude 5590 (5590-1580)</t>
  </si>
  <si>
    <t>Dell Latitude 5590 (5590-6801)</t>
  </si>
  <si>
    <t>Dell Latitude 5590 (5590-6818)</t>
  </si>
  <si>
    <t>Dell Latitude 5591 (5591-6825)</t>
  </si>
  <si>
    <t>Dell Latitude 5591 (5591-7441)</t>
  </si>
  <si>
    <t>Dell Latitude 7290 (7290-1610)</t>
  </si>
  <si>
    <t>Dell Latitude 7390 (7390-1634)</t>
  </si>
  <si>
    <t>Dell Latitude 7390 (7390-8157)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</si>
  <si>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</si>
  <si>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</si>
  <si>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</si>
  <si>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</si>
  <si>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</si>
  <si>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(7490-4430)</t>
  </si>
  <si>
    <t>Dell Latitude 7490 (7490-5505)</t>
  </si>
  <si>
    <t>Dell Vostro 3480 (3480-4035)</t>
  </si>
  <si>
    <t>Dell Vostro 3568 (3568-0221)</t>
  </si>
  <si>
    <t>Dell Vostro 3568 (3568-0245)</t>
  </si>
  <si>
    <t>Dell Vostro 3568 (3568-5706)</t>
  </si>
  <si>
    <t>Dell Vostro 3568 (3568-5713)</t>
  </si>
  <si>
    <t>Dell Vostro 3568 (3568-5963)</t>
  </si>
  <si>
    <t>Dell Vostro 3568 (3568-5970)</t>
  </si>
  <si>
    <t>Dell Vostro 3578 (3578-2639)</t>
  </si>
  <si>
    <t>Dell Vostro 3578 (3578-4025)</t>
  </si>
  <si>
    <t>Dell Vostro 3578 (3578-5987)</t>
  </si>
  <si>
    <t>Dell Vostro 3578 (3578-5994)</t>
  </si>
  <si>
    <t>Dell Vostro 3580 (3580-4462)</t>
  </si>
  <si>
    <t>Dell Vostro 3583 (3583-4387)</t>
  </si>
  <si>
    <t>Dell Vostro 3584 (3584-4417)</t>
  </si>
  <si>
    <t>Dell Vostro 5370 (5370-4570)</t>
  </si>
  <si>
    <t>Dell Vostro 5370 (5370-4594)</t>
  </si>
  <si>
    <t>Dell Vostro 5370 (5370-4600)</t>
  </si>
  <si>
    <t>Dell Vostro 5370 (5370-7369)</t>
  </si>
  <si>
    <t>Dell Vostro 5370 (5370-7536)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</si>
  <si>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</si>
  <si>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</si>
  <si>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</si>
  <si>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</si>
  <si>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</si>
  <si>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(5471-4631)</t>
  </si>
  <si>
    <t>Dell Vostro 5471 (5471-4648)</t>
  </si>
  <si>
    <t>Dell Vostro 5471 (5471-4655)</t>
  </si>
  <si>
    <t>Dell Vostro 5471 (5471-4662)</t>
  </si>
  <si>
    <t>Dell Vostro 5471 (5471-7437)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</si>
  <si>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</si>
  <si>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</si>
  <si>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</si>
  <si>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</si>
  <si>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</si>
  <si>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</si>
  <si>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(5481-7372)</t>
  </si>
  <si>
    <t>Dell Vostro 5481 (5481-7396)</t>
  </si>
  <si>
    <t>Dell Vostro 5568 (5568-7202)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</si>
  <si>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</si>
  <si>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</si>
  <si>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</si>
  <si>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</si>
  <si>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</si>
  <si>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</si>
  <si>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(5568-9975)</t>
  </si>
  <si>
    <t>Dell Vostro 5581 (5581-7433)</t>
  </si>
  <si>
    <t>Dell Vostro 5581 (5581-7471)</t>
  </si>
  <si>
    <t>Dell Vostro 5581 (5581-7495)</t>
  </si>
  <si>
    <t>Dell Vostro 5581 (5581-7501)</t>
  </si>
  <si>
    <t>Dell Vostro 5581 (5581-7525)</t>
  </si>
  <si>
    <t>Dell XPS 13 9365 (9365-2516)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</si>
  <si>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</si>
  <si>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</si>
  <si>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</si>
  <si>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</si>
  <si>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</si>
  <si>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</si>
  <si>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</si>
  <si>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(9360-5556)</t>
  </si>
  <si>
    <t>Dell XPS 13 Ultrabook (9360-9737)</t>
  </si>
  <si>
    <t>Dell XPS 13 Ultrabook (9365-4429)</t>
  </si>
  <si>
    <t>Dell XPS 13 Ultrabook (9365-4436)</t>
  </si>
  <si>
    <t>Dell XPS 15 9570 (9570-1073)</t>
  </si>
  <si>
    <t>Dell XPS 15 9570 (9570-1080)</t>
  </si>
  <si>
    <t>Dell XPS 15 9570 (9570-5413)</t>
  </si>
  <si>
    <t>Dell XPS 15 9570 (9570-5772)</t>
  </si>
  <si>
    <t>Dell XPS 15 9570 (9570-6658)</t>
  </si>
  <si>
    <t>Dell XPS 15 9575 (9575-2530)</t>
  </si>
  <si>
    <t>Dell XPS 15 9575 (9575-3094)</t>
  </si>
  <si>
    <t>Dell XPS 15 9575 (9575-7042)</t>
  </si>
  <si>
    <t>Haier LightBook ES34 (TD0026533RU)</t>
  </si>
  <si>
    <t>Haier LightBook S428 (TD0026532RU)</t>
  </si>
  <si>
    <t>HP 14-bp014ur (1ZJ50EA)</t>
  </si>
  <si>
    <t>HP 14-cf0004ur (4KB45EA)</t>
  </si>
  <si>
    <t>HP 14-cf0006ur (4JU70EA)</t>
  </si>
  <si>
    <t>HP 14-cf0007ur (4KF55EA)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</si>
  <si>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</si>
  <si>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</si>
  <si>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</si>
  <si>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</si>
  <si>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</si>
  <si>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14-cf0016ur (4KF21EA)</t>
  </si>
  <si>
    <t>HP 14-cf0020ur (4MF90EA)</t>
  </si>
  <si>
    <t>HP 14-cf1000ur (5TA12EA)</t>
  </si>
  <si>
    <t>HP 14-cf1001ur (5TA04EA)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</si>
  <si>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</si>
  <si>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</si>
  <si>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</si>
  <si>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</si>
  <si>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</si>
  <si>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</si>
  <si>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</si>
  <si>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</si>
  <si>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</si>
  <si>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</si>
  <si>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</si>
  <si>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</si>
  <si>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</si>
  <si>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</si>
  <si>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</si>
  <si>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</si>
  <si>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14-cm0009ur (4KJ15EA)</t>
  </si>
  <si>
    <t>HP 14-cm0010ur (4KH35EA)</t>
  </si>
  <si>
    <t>HP 14-cm0012ur (4KF74EA)</t>
  </si>
  <si>
    <t>HP 14-cm0014ur (4JU85EA)</t>
  </si>
  <si>
    <t>HP 14-cm0016ur (4KJ45EA)</t>
  </si>
  <si>
    <t>HP 14-cm0017ur (4KH06EA)</t>
  </si>
  <si>
    <t>HP 15-bs156ur (3XY57EA)</t>
  </si>
  <si>
    <t>HP 15-bs158ur (3XY59EA)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</si>
  <si>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</si>
  <si>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</si>
  <si>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</si>
  <si>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</si>
  <si>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</si>
  <si>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</si>
  <si>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</si>
  <si>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</si>
  <si>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</si>
  <si>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</si>
  <si>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</si>
  <si>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</si>
  <si>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</si>
  <si>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</si>
  <si>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</si>
  <si>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</si>
  <si>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</si>
  <si>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</si>
  <si>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</si>
  <si>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</si>
  <si>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</si>
  <si>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</si>
  <si>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</si>
  <si>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</si>
  <si>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</si>
  <si>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15-bw675ur (4US83EA)</t>
  </si>
  <si>
    <t>HP 15-bw692ur (4UT02EA)</t>
  </si>
  <si>
    <t>HP 15-da0022ur (4GM27EA)</t>
  </si>
  <si>
    <t>HP 15-da0029ur (4GL82EA)</t>
  </si>
  <si>
    <t>HP 15-da0034ur (4GL89EA)</t>
  </si>
  <si>
    <t>HP 15-da0035ur (4GM72EA)</t>
  </si>
  <si>
    <t>HP 15-da0044ur (4GK37EA)</t>
  </si>
  <si>
    <t>HP 15-da0057ur (4JR09EA)</t>
  </si>
  <si>
    <t>HP 15-da0059ur (4JR07EA)</t>
  </si>
  <si>
    <t>HP 15-da0060ur (4JR05EA)</t>
  </si>
  <si>
    <t>HP 15-da0069ur (4JR80EA)</t>
  </si>
  <si>
    <t>HP 15-da0070ur (4JR90EA)</t>
  </si>
  <si>
    <t>HP 15-da0072ur (4JR87EA)</t>
  </si>
  <si>
    <t>HP 15-da0073ur (4KH12EA)</t>
  </si>
  <si>
    <t>HP 15-da0076ur (4JY28EA)</t>
  </si>
  <si>
    <t>HP 15-da0077ur (4JY26EA)</t>
  </si>
  <si>
    <t>HP 15-da0081ur (4KH65EA )</t>
  </si>
  <si>
    <t>HP 15-da0082ur (4KC85EA)</t>
  </si>
  <si>
    <t>HP 15-da0084ur (4JY54EA)</t>
  </si>
  <si>
    <t>HP 15-da0085ur (4JW63EA)</t>
  </si>
  <si>
    <t>HP 15-da0088ur (4KC93EA)</t>
  </si>
  <si>
    <t>HP 15-da0107ur (4JX44EA)</t>
  </si>
  <si>
    <t>HP 15-da0109ur (4KF92EA)</t>
  </si>
  <si>
    <t>HP 15-da0110ur (4KD14EA )</t>
  </si>
  <si>
    <t>HP 15-da0112ur (4KA20EA)</t>
  </si>
  <si>
    <t>HP 15-da0120ur (4KH38EA)</t>
  </si>
  <si>
    <t>HP 15-da0130ur (4JZ60EA)</t>
  </si>
  <si>
    <t>HP 15-da0138ur (4KF50EA)</t>
  </si>
  <si>
    <t>HP 15-da0143ur (4KG63EA)</t>
  </si>
  <si>
    <t>HP 15-da0144ur (4KG57EA)</t>
  </si>
  <si>
    <t>HP 15-da0151ur (4KG48EA)</t>
  </si>
  <si>
    <t>HP 15-da0152ur (4KF64EA)</t>
  </si>
  <si>
    <t>HP 15-da0158ur (4MJ09EA)</t>
  </si>
  <si>
    <t>HP 15-da0170ur (4MZ42EA)</t>
  </si>
  <si>
    <t>HP 15-da0171ur (4MZ19EA)</t>
  </si>
  <si>
    <t>HP 15-da0173ur (4MY55EA)</t>
  </si>
  <si>
    <t>HP 15-da0174ur (4MU61EA)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</si>
  <si>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</si>
  <si>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</si>
  <si>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</si>
  <si>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</si>
  <si>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</si>
  <si>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</si>
  <si>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</si>
  <si>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</si>
  <si>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</si>
  <si>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</si>
  <si>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</si>
  <si>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</si>
  <si>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</si>
  <si>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</si>
  <si>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</si>
  <si>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</si>
  <si>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</si>
  <si>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15-da1018ur (5SV83EA)</t>
  </si>
  <si>
    <t>HP 15-da1019ur (5SV77EA)</t>
  </si>
  <si>
    <t>HP 15-da1020ur (5SV72EA)</t>
  </si>
  <si>
    <t>HP 15-da1021ur (5SV63EA)</t>
  </si>
  <si>
    <t>HP 15-da1023ur (5SV62EA)</t>
  </si>
  <si>
    <t>HP 15-da1024ur (5SV46EA)</t>
  </si>
  <si>
    <t>HP 15-da1025ur (5SV07EA)</t>
  </si>
  <si>
    <t>HP 15-db0039ur (4HD41EA)</t>
  </si>
  <si>
    <t>HP 15-db0046ur (4GK21EA)</t>
  </si>
  <si>
    <t>HP 15-db0064ur (4JX87EA)</t>
  </si>
  <si>
    <t>HP 15-db0070ur (4JZ55EA)</t>
  </si>
  <si>
    <t>HP 15-db0075ur (4KH82EA)</t>
  </si>
  <si>
    <t>HP 15-db0096ur (4KC91EA)</t>
  </si>
  <si>
    <t>HP 15-db0097ur (4KJ50EA)</t>
  </si>
  <si>
    <t>HP 15-db0098ur (4KG98EA )</t>
  </si>
  <si>
    <t>HP 15-db0105ur (4JU22EA)</t>
  </si>
  <si>
    <t>HP 15-db0112ur (4JY11EA)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</si>
  <si>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</si>
  <si>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</si>
  <si>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</si>
  <si>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</si>
  <si>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</si>
  <si>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</si>
  <si>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15-db0143ur (4MS80EA)</t>
  </si>
  <si>
    <t>HP 15-db0144ur (4MQ40EA)</t>
  </si>
  <si>
    <t>HP 15-db0147ur (4MV22EA)</t>
  </si>
  <si>
    <t>HP 15-db0148ur (4MP46EA)</t>
  </si>
  <si>
    <t>HP 15-db0151ur (4MG69EA)</t>
  </si>
  <si>
    <t>HP 15-db0153ur (4MU70EA)</t>
  </si>
  <si>
    <t>HP 15-db0155ur (4MH72EA)</t>
  </si>
  <si>
    <t>HP 15-db0159ur (4MG41EA)</t>
  </si>
  <si>
    <t>HP 15-db0164ur (4MG50EA)</t>
  </si>
  <si>
    <t>HP 15-db0166ur (4MG47EA)</t>
  </si>
  <si>
    <t>HP 15-db0175ur (4MW65EA)</t>
  </si>
  <si>
    <t>HP 15-db0176ur (4MK72EA)</t>
  </si>
  <si>
    <t>HP 15-db0178ur (4MP01EA)</t>
  </si>
  <si>
    <t>HP 15-db0180ur (4ML07EA)</t>
  </si>
  <si>
    <t>HP 15-db0183ur (4MY71EA)</t>
  </si>
  <si>
    <t>HP 15-db0197ur (4MY28EA)</t>
  </si>
  <si>
    <t>HP 15-db0209ur (4MS45EA)</t>
  </si>
  <si>
    <t>HP 15-db0211ur (4MH73EA)</t>
  </si>
  <si>
    <t>HP 15-db0212ur (4MH71EA)</t>
  </si>
  <si>
    <t>HP 15-db0215ur (4MH67EA)</t>
  </si>
  <si>
    <t>HP 15-ra025ur (3FZ10EA)</t>
  </si>
  <si>
    <t>HP 15-ra055ur (3QT88EA)</t>
  </si>
  <si>
    <t>HP 15-ra059ur (3QU42EA)</t>
  </si>
  <si>
    <t>HP 15-ra062ur (3QU48EA)</t>
  </si>
  <si>
    <t>HP 15-ra063ur (3QU49EA)</t>
  </si>
  <si>
    <t>HP 15-rb015ur (3QU50EA)</t>
  </si>
  <si>
    <t>HP 15-rb017ur (3QU52EA)</t>
  </si>
  <si>
    <t>HP 15-rb028ur (4US49EA)</t>
  </si>
  <si>
    <t>HP 17-ak021ur (2CP35EA)</t>
  </si>
  <si>
    <t>HP 17-ak026ur (2CP40EA)</t>
  </si>
  <si>
    <t>HP 17-ak028ur (2CP42EA)</t>
  </si>
  <si>
    <t>HP 17-by0001ur (4JU38EA)</t>
  </si>
  <si>
    <t>HP 17-by0002ur (4JS65EA)</t>
  </si>
  <si>
    <t>HP 17-by0003ur (4KJ39EA)</t>
  </si>
  <si>
    <t>HP 17-by0004ur (4KH24EA)</t>
  </si>
  <si>
    <t>HP 17-by0008ur (4KF71EA)</t>
  </si>
  <si>
    <t>HP 17-by0010ur (4KF37EA)</t>
  </si>
  <si>
    <t>HP 17-by0011ur (4KF31EA)</t>
  </si>
  <si>
    <t>HP 17-by0016ur (4JY39EA)</t>
  </si>
  <si>
    <t>HP 17-by0019ur (4KH59EA)</t>
  </si>
  <si>
    <t>HP 17-by0033ur (4KA46EA)</t>
  </si>
  <si>
    <t>HP 17-by0038ur (4KH02EA)</t>
  </si>
  <si>
    <t>HP 17-by0158ur (5CT19EA)</t>
  </si>
  <si>
    <t>HP 17-by0163ur (5CS79EA)</t>
  </si>
  <si>
    <t>HP 17-by0164ur (5CT25EA)</t>
  </si>
  <si>
    <t>HP 17-by1004ur (5SX89EA)</t>
  </si>
  <si>
    <t>HP 17-by1006ur (5SX72EA)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</si>
  <si>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</si>
  <si>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</si>
  <si>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</si>
  <si>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</si>
  <si>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</si>
  <si>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17-by1017ur (5SW67EA)</t>
  </si>
  <si>
    <t>HP 17-ca0003ur (4KG58EA)</t>
  </si>
  <si>
    <t>HP 17-ca0007ur (4JS68EA)</t>
  </si>
  <si>
    <t>HP 17-ca0013ur (4JY03EA)</t>
  </si>
  <si>
    <t>HP 17-ca0014ur (4JZ36EA)</t>
  </si>
  <si>
    <t>HP 17-ca0016ur (4JW30EA)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</si>
  <si>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</si>
  <si>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</si>
  <si>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</si>
  <si>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</si>
  <si>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</si>
  <si>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</si>
  <si>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</si>
  <si>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</si>
  <si>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</si>
  <si>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</si>
  <si>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</si>
  <si>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17-ca0040ur (4KF57EA)</t>
  </si>
  <si>
    <t>HP 17-ca0043ur (4KB94EA)</t>
  </si>
  <si>
    <t>HP 17-ca0044ur (4JY64EA)</t>
  </si>
  <si>
    <t>HP 17-ca0046ur (4MG19EA)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</si>
  <si>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</si>
  <si>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</si>
  <si>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</si>
  <si>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</si>
  <si>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</si>
  <si>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</si>
  <si>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</si>
  <si>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240 G6 (4BD04EA)</t>
  </si>
  <si>
    <t>HP 240 G6 (4BD05EA)</t>
  </si>
  <si>
    <t>HP 240 G6 (4BD29EA)</t>
  </si>
  <si>
    <t>HP 240 G6 (4QX58EA)</t>
  </si>
  <si>
    <t>HP 250 G6 (1WY61EA)</t>
  </si>
  <si>
    <t>HP 250 G6 (1XN47EA)</t>
  </si>
  <si>
    <t>HP 250 G6 (1XN54ES)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</si>
  <si>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</si>
  <si>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</si>
  <si>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</si>
  <si>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</si>
  <si>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</si>
  <si>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</si>
  <si>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(2RR67EA)</t>
  </si>
  <si>
    <t>HP 250 G6 (3VK28EA)</t>
  </si>
  <si>
    <t>HP 250 G6 (4BC85EA)</t>
  </si>
  <si>
    <t>HP 250 G6 (4BD82EA)</t>
  </si>
  <si>
    <t>HP 250 G6 (4LT08EA)</t>
  </si>
  <si>
    <t>HP 250 G6 (4WV06EA)</t>
  </si>
  <si>
    <t>HP 250 G6 (4WV08EA)</t>
  </si>
  <si>
    <t>HP EliteBook 1040 G4 (1EP75EA)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</si>
  <si>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</si>
  <si>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</si>
  <si>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</si>
  <si>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</si>
  <si>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</si>
  <si>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</si>
  <si>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13-ad115ur (3QR75EA)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</si>
  <si>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</si>
  <si>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</si>
  <si>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</si>
  <si>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</si>
  <si>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</si>
  <si>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</si>
  <si>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13-ah0010ur (4HB71EA)</t>
  </si>
  <si>
    <t>HP Envy 13-ah1000ur (5CS39EA)</t>
  </si>
  <si>
    <t>HP Envy 13-ah1006ur (5CT23EA)</t>
  </si>
  <si>
    <t>HP Envy 13-ah1008ur (5CS27EA)</t>
  </si>
  <si>
    <t>HP Envy 13-ah1010ur (5CU88EA)</t>
  </si>
  <si>
    <t>HP Envy 13-ah1011ur (5CR83EA)</t>
  </si>
  <si>
    <t>HP Envy x360 13-ag0000ur (4GQ85EA)</t>
  </si>
  <si>
    <t>HP Envy x360 13-ag0004ur (4GQ74EA)</t>
  </si>
  <si>
    <t>HP Envy x360 13-ag0005ur (4GQ72EA)</t>
  </si>
  <si>
    <t>HP Envy x360 13-ag0007ur (4ML05EA)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</si>
  <si>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</si>
  <si>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</si>
  <si>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</si>
  <si>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</si>
  <si>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</si>
  <si>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</si>
  <si>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</si>
  <si>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15-cn1008ur (5TA83EA)</t>
  </si>
  <si>
    <t>HP Envy x360 15-cn1011ur (5TA69EA)</t>
  </si>
  <si>
    <t>HP Envy x360 15-cp0008ur (4TU00EA)</t>
  </si>
  <si>
    <t>HP Envy x360 15-cp0010ur (4TT99EA)</t>
  </si>
  <si>
    <t>HP Envy x360 15-cp0011ur (4TT98EA)</t>
  </si>
  <si>
    <t>HP Envy x360 15-cp0012ur (4TT96EA)</t>
  </si>
  <si>
    <t>HP Omen 15-ce015ur (2CQ41EA)</t>
  </si>
  <si>
    <t>HP Omen 15-ce022ur (2FP26EA)</t>
  </si>
  <si>
    <t>HP Omen 15-ce072ur (4US30EA)</t>
  </si>
  <si>
    <t>HP Omen 15-dc0003ur (4GX92EA)</t>
  </si>
  <si>
    <t>HP Omen 15-dc0006ur (4GV58EA)</t>
  </si>
  <si>
    <t>HP Omen 15-dc0007ur (4GT42EA)</t>
  </si>
  <si>
    <t>HP Omen 15-dc0015ur (4GW13EA)</t>
  </si>
  <si>
    <t>HP Omen 17-an105ur (4GZ83EA)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</si>
  <si>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</si>
  <si>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</si>
  <si>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</si>
  <si>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</si>
  <si>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</si>
  <si>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</si>
  <si>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13-an0041ur (5CR58EA)</t>
  </si>
  <si>
    <t>HP Pavilion 14-ce0005ur (4GY05EA)</t>
  </si>
  <si>
    <t>HP Pavilion 14-ce0007ur (4GU08EA)</t>
  </si>
  <si>
    <t>HP Pavilion 14-ce0010ur (4HB67EA)</t>
  </si>
  <si>
    <t>HP Pavilion 14-ce0011ur (4HC10EA )</t>
  </si>
  <si>
    <t>HP Pavilion 14-ce0012ur (4HE50EA)</t>
  </si>
  <si>
    <t>HP Pavilion 14-ce0016ur (4HD06EA)</t>
  </si>
  <si>
    <t>HP Pavilion 14-ce0017ur (4HA61EA)</t>
  </si>
  <si>
    <t>HP Pavilion 14-ce0022ur (4GY60EA)</t>
  </si>
  <si>
    <t>HP Pavilion 14-ce0029ur (4GU99EA)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</si>
  <si>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</si>
  <si>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</si>
  <si>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</si>
  <si>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</si>
  <si>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15-bc411ur (4HC33EA)</t>
  </si>
  <si>
    <t>HP Pavilion 15-bc412ur (4HA51EA)</t>
  </si>
  <si>
    <t>HP Pavilion 15-bc417ur (4GW67EA)</t>
  </si>
  <si>
    <t>HP Pavilion 15-bc419ur (4GS86EA)</t>
  </si>
  <si>
    <t>HP Pavilion 15-ck013ur (2PT03EA)</t>
  </si>
  <si>
    <t>HP Pavilion 15-cs0007ur (4GN97EA)</t>
  </si>
  <si>
    <t>HP Pavilion 15-cs0009ur (4GN92EA)</t>
  </si>
  <si>
    <t>HP Pavilion 15-cs0039ur (4JV22EA)</t>
  </si>
  <si>
    <t>HP Pavilion 15-cs0040ur (4MT65EA)</t>
  </si>
  <si>
    <t>HP Pavilion 15-cs0041ur (4MK24EA)</t>
  </si>
  <si>
    <t>HP Pavilion 15-cs0043ur (4MM57EA)</t>
  </si>
  <si>
    <t>HP Pavilion 15-cs0045ur (4ML59EA)</t>
  </si>
  <si>
    <t>HP Pavilion 15-cs0046ur (4MK85EA)</t>
  </si>
  <si>
    <t>HP Pavilion 15-cs1003ur (5CS92EA)</t>
  </si>
  <si>
    <t>HP Pavilion 15-cs1024ur (5VZ46EA)</t>
  </si>
  <si>
    <t>HP Pavilion 15-cw0005ur (4GZ10EA)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</si>
  <si>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</si>
  <si>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</si>
  <si>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</si>
  <si>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</si>
  <si>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</si>
  <si>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15-cw0025ur (4MU20EA)</t>
  </si>
  <si>
    <t>HP Pavilion 15-cw0026ur (4MP38EA)</t>
  </si>
  <si>
    <t>HP Pavilion 15-cw0027ur (4MW78EA)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</si>
  <si>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</si>
  <si>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</si>
  <si>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</si>
  <si>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</si>
  <si>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</si>
  <si>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14-cd0003ur (4GZ82EA)</t>
  </si>
  <si>
    <t>HP Pavilion x360 14-cd0005ur (4HA99EA)</t>
  </si>
  <si>
    <t>HP Pavilion x360 14-cd0006ur (4HE22EA)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</si>
  <si>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</si>
  <si>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</si>
  <si>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</si>
  <si>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</si>
  <si>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</si>
  <si>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</si>
  <si>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</si>
  <si>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</si>
  <si>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</si>
  <si>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14-cd1010ur (5SU80EA)</t>
  </si>
  <si>
    <t>HP Pavilion x360 14-cd1011ur (5SU77EA)</t>
  </si>
  <si>
    <t>HP Pavilion x360 14-cd1014ur (5SU65EA)</t>
  </si>
  <si>
    <t>HP Pavilion x360 14-cd1015ur (5SU62EA)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</si>
  <si>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</si>
  <si>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</si>
  <si>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</si>
  <si>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</si>
  <si>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</si>
  <si>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450 G5 (2UB70EA)</t>
  </si>
  <si>
    <t>HP Probook 450 G5 (3BZ52ES)</t>
  </si>
  <si>
    <t>HP Probook 450 G5 (4WV21EA)</t>
  </si>
  <si>
    <t>HP Probook 455 G5 (3KY25EA)</t>
  </si>
  <si>
    <t>HP Spectre 13-af003ur (2PQ01EA)</t>
  </si>
  <si>
    <t>HP Spectre 13-af004ur (2PQ02EA)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</si>
  <si>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</si>
  <si>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</si>
  <si>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</si>
  <si>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</si>
  <si>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</si>
  <si>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</si>
  <si>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</si>
  <si>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</si>
  <si>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</si>
  <si>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</si>
  <si>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</si>
  <si>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</si>
  <si>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Планшеты</t>
  </si>
  <si>
    <t>Lenovo IdeaPad 320-15 (80XH01NKRK)</t>
  </si>
  <si>
    <t>Lenovo IdeaPad 320-15 (81BT0010RK)</t>
  </si>
  <si>
    <t>Lenovo IdeaPad 320s-13 (81AK009WRU)</t>
  </si>
  <si>
    <t>Lenovo IdeaPad 330-14 (81D5000LRU)</t>
  </si>
  <si>
    <t>Lenovo IdeaPad 330-14 (81D5004ARU)</t>
  </si>
  <si>
    <t>Lenovo IdeaPad 330-14 (81D5006XRU)</t>
  </si>
  <si>
    <t>Lenovo IdeaPad 330-15 (81D1002LRU)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</si>
  <si>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</si>
  <si>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</si>
  <si>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</si>
  <si>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</si>
  <si>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</si>
  <si>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</si>
  <si>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</si>
  <si>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</si>
  <si>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</si>
  <si>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</si>
  <si>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</si>
  <si>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</si>
  <si>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</si>
  <si>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</si>
  <si>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(81D200J5RU)</t>
  </si>
  <si>
    <t>Lenovo IdeaPad 330-15 (81D200J6RU)</t>
  </si>
  <si>
    <t>Lenovo IdeaPad 330-15 (81D200KJRU)</t>
  </si>
  <si>
    <t>Lenovo IdeaPad 330-15 (81D200KLRU)</t>
  </si>
  <si>
    <t>Lenovo IdeaPad 330-15 (81D200KVRU)</t>
  </si>
  <si>
    <t>Lenovo IdeaPad 330-15 (81D200L7RU)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</si>
  <si>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</si>
  <si>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</si>
  <si>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</si>
  <si>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</si>
  <si>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</si>
  <si>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</si>
  <si>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</si>
  <si>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</si>
  <si>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</si>
  <si>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</si>
  <si>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</si>
  <si>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(81D600KFRU)</t>
  </si>
  <si>
    <t>Lenovo IdeaPad 330-15 (81D600LGRU)</t>
  </si>
  <si>
    <t>Lenovo IdeaPad 330-15 (81D600LHRU)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</si>
  <si>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</si>
  <si>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</si>
  <si>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</si>
  <si>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</si>
  <si>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</si>
  <si>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(81DC00L3RU)</t>
  </si>
  <si>
    <t>Lenovo IdeaPad 330-15 (81DC00NXRU)</t>
  </si>
  <si>
    <t>Lenovo IdeaPad 330-15 (81DC00SURU)</t>
  </si>
  <si>
    <t>Lenovo IdeaPad 330-15 (81DE005URU)</t>
  </si>
  <si>
    <t>Lenovo IdeaPad 330-15 (81DE01Y6RU)</t>
  </si>
  <si>
    <t>Lenovo IdeaPad 330-15 (81DE01YMRU)</t>
  </si>
  <si>
    <t>Lenovo IdeaPad 330-15 (81DE01YPRU)</t>
  </si>
  <si>
    <t>Lenovo IdeaPad 330-15 (81DE01YSRU)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</si>
  <si>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</si>
  <si>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</si>
  <si>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</si>
  <si>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</si>
  <si>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(81FK0010RU)</t>
  </si>
  <si>
    <t>Lenovo IdeaPad 330-15 (81FK004XRU)</t>
  </si>
  <si>
    <t>Lenovo IdeaPad 330-15 (81FK007SRU)</t>
  </si>
  <si>
    <t>Lenovo IdeaPad 330-17 (81D7001JRU)</t>
  </si>
  <si>
    <t>Lenovo IdeaPad 330-17 (81D7001KRU)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</si>
  <si>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</si>
  <si>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</si>
  <si>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</si>
  <si>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</si>
  <si>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</si>
  <si>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</si>
  <si>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(81D7004MRU)</t>
  </si>
  <si>
    <t>Lenovo IdeaPad 330-17 (81DK000DRU)</t>
  </si>
  <si>
    <t>Lenovo IdeaPad 330-17 (81DK003TRU)</t>
  </si>
  <si>
    <t>Lenovo IdeaPad 330-17 (81DK0044RU)</t>
  </si>
  <si>
    <t>Lenovo IdeaPad 330-17 (81DM005ERU)</t>
  </si>
  <si>
    <t>Lenovo IdeaPad 330-17 (81DM00C5RU)</t>
  </si>
  <si>
    <t>Lenovo IdeaPad 330-17 (81DM00D7RU)</t>
  </si>
  <si>
    <t>Lenovo IdeaPad 330-17 (81FL000SRU)</t>
  </si>
  <si>
    <t>Lenovo IdeaPad 330-17 (81FL0047RU)</t>
  </si>
  <si>
    <t>Lenovo IdeaPad 330-17 (81FL004BRU)</t>
  </si>
  <si>
    <t>Lenovo IdeaPad 330-17 (81FL007JRU)</t>
  </si>
  <si>
    <t>Lenovo IdeaPad 330-17 (81FL007PRU)</t>
  </si>
  <si>
    <t>Lenovo IdeaPad 330-17 (81FL0081RU)</t>
  </si>
  <si>
    <t>Lenovo IdeaPad 330s-14 (81F4004XRU)</t>
  </si>
  <si>
    <t>Lenovo IdeaPad 330s-14 (81F4004YRU)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</si>
  <si>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</si>
  <si>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</si>
  <si>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</si>
  <si>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</si>
  <si>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(81F40140RU)</t>
  </si>
  <si>
    <t>Lenovo IdeaPad 330s-14 (81F40142RU)</t>
  </si>
  <si>
    <t>Lenovo IdeaPad 330s-14 (81F80033RU)</t>
  </si>
  <si>
    <t>Lenovo IdeaPad 330s-14 (81F80035RU)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</si>
  <si>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</si>
  <si>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</si>
  <si>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</si>
  <si>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</si>
  <si>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</si>
  <si>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</si>
  <si>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</si>
  <si>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</si>
  <si>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</si>
  <si>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</si>
  <si>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</si>
  <si>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</si>
  <si>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</si>
  <si>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</si>
  <si>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(81F50179RU)</t>
  </si>
  <si>
    <t>Lenovo IdeaPad 330s-15 (81F5017TRU)</t>
  </si>
  <si>
    <t>Lenovo IdeaPad 330s-15 (81F5017URU)</t>
  </si>
  <si>
    <t>Lenovo IdeaPad 330s-15 (81F50181RU)</t>
  </si>
  <si>
    <t>Lenovo IdeaPad 330s-15 (81F50186RU)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</si>
  <si>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</si>
  <si>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</si>
  <si>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</si>
  <si>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</si>
  <si>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</si>
  <si>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</si>
  <si>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</si>
  <si>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</si>
  <si>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</si>
  <si>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(81FB00E5RU)</t>
  </si>
  <si>
    <t>Lenovo IdeaPad 530s-14 (81EU00B6RU)</t>
  </si>
  <si>
    <t>Lenovo IdeaPad 530s-14 (81EU00B8RU)</t>
  </si>
  <si>
    <t>Lenovo IdeaPad 530s-14 (81EU00BARU)</t>
  </si>
  <si>
    <t>Lenovo IdeaPad 530s-14 (81EU00BJRU)</t>
  </si>
  <si>
    <t>Lenovo IdeaPad 530s-14 (81EU00BKRU)</t>
  </si>
  <si>
    <t>Lenovo IdeaPad 530s-14 (81EU00MLRU)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</si>
  <si>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</si>
  <si>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</si>
  <si>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</si>
  <si>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</si>
  <si>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</si>
  <si>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(81H10024RU)</t>
  </si>
  <si>
    <t>Lenovo IdeaPad 530s-14 (81H10025RU)</t>
  </si>
  <si>
    <t>Lenovo IdeaPad 530s-14 (81H10026RU)</t>
  </si>
  <si>
    <t>Lenovo IdeaPad 530s-15 (81EV003WRU)</t>
  </si>
  <si>
    <t>Lenovo IdeaPad 530s-15 (81EV003YRU)</t>
  </si>
  <si>
    <t>Lenovo IdeaPad 530s-15 (81EV0063RU)</t>
  </si>
  <si>
    <t>Lenovo IdeaPad 530s-15 (81EV00CLRU)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</si>
  <si>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</si>
  <si>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</si>
  <si>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</si>
  <si>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</si>
  <si>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</si>
  <si>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</si>
  <si>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</si>
  <si>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</si>
  <si>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</si>
  <si>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720S-14 (81BD000CRK)</t>
  </si>
  <si>
    <t>Lenovo IdeaPad 720S-14 (81BD000DRK)</t>
  </si>
  <si>
    <t>Lenovo IdeaPad 720S-14 (81BD000ERK)</t>
  </si>
  <si>
    <t>Lenovo IdeaPad S530-13 (81J70009RU)</t>
  </si>
  <si>
    <t>Lenovo IdeaPad S530-13 (81J7000QRU)</t>
  </si>
  <si>
    <t>Lenovo IdeaPad S530-13 (81J7001ARU)</t>
  </si>
  <si>
    <t>Lenovo IdeaPad S530-13 (81J70071RU)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</si>
  <si>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</si>
  <si>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</si>
  <si>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</si>
  <si>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</si>
  <si>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</si>
  <si>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(81FV0027RU)</t>
  </si>
  <si>
    <t>Lenovo Legion Y530-15 (81FV0029RU)</t>
  </si>
  <si>
    <t>Lenovo Legion Y530-15 (81FV002DRU)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</si>
  <si>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</si>
  <si>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</si>
  <si>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</si>
  <si>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</si>
  <si>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(81FV00UHRU)</t>
  </si>
  <si>
    <t>Lenovo Legion Y530-15 (81FV00YLRU)</t>
  </si>
  <si>
    <t>Lenovo Legion Y530-15 (81FV013URU)</t>
  </si>
  <si>
    <t>Lenovo Legion Y530-15 (81FV013XRU)</t>
  </si>
  <si>
    <t>Lenovo Legion Y530-15 (81FV015RRU)</t>
  </si>
  <si>
    <t>Lenovo Legion Y530-15 (81LB0010RU)</t>
  </si>
  <si>
    <t>Lenovo Legion Y530-15 (81LB0040RU)</t>
  </si>
  <si>
    <t>Lenovo Legion Y530-15 (81LB004ERU)</t>
  </si>
  <si>
    <t>Lenovo Legion Y530-15 (81LB0062RU)</t>
  </si>
  <si>
    <t>Lenovo Legion Y730-15 (81HD002VRU)</t>
  </si>
  <si>
    <t>Lenovo Legion Y730-15 (81HD0046RU)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</si>
  <si>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</si>
  <si>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</si>
  <si>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</si>
  <si>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</si>
  <si>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Y740-15 (81HE001MRK)</t>
  </si>
  <si>
    <t>Lenovo ThinkPad 11e (20G9S05K00)</t>
  </si>
  <si>
    <t>Lenovo ThinkPad E490 (20N8000URT)</t>
  </si>
  <si>
    <t>Lenovo ThinkPad E490 (20N8000XRT)</t>
  </si>
  <si>
    <t>Lenovo ThinkPad E490 (20N80019RT)</t>
  </si>
  <si>
    <t>Lenovo ThinkPad E490 (20N80028RT)</t>
  </si>
  <si>
    <t>Lenovo ThinkPad E490 (20N8002ART)</t>
  </si>
  <si>
    <t>Lenovo ThinkPad E490 (20N8005ERT)</t>
  </si>
  <si>
    <t>Lenovo ThinkPad E490 (20N8005HRT)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</si>
  <si>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</si>
  <si>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</si>
  <si>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</si>
  <si>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</si>
  <si>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</si>
  <si>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</si>
  <si>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(20KS0068RT)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</si>
  <si>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</si>
  <si>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</si>
  <si>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</si>
  <si>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</si>
  <si>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</si>
  <si>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</si>
  <si>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</si>
  <si>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(20NB0012RT)</t>
  </si>
  <si>
    <t>Lenovo ThinkPad Edge E590 (20NB0016RT)</t>
  </si>
  <si>
    <t>Lenovo ThinkPad Edge E590 (20NB0029RT)</t>
  </si>
  <si>
    <t>Lenovo ThinkPad Edge E590 (20NB002ART)</t>
  </si>
  <si>
    <t>Lenovo ThinkPad Edge E590 (20NB002BRT)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</si>
  <si>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</si>
  <si>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</si>
  <si>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</si>
  <si>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</si>
  <si>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</si>
  <si>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</si>
  <si>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</si>
  <si>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</si>
  <si>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</si>
  <si>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</si>
  <si>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</si>
  <si>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</si>
  <si>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</si>
  <si>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(20LS0024RT)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</si>
  <si>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</si>
  <si>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</si>
  <si>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</si>
  <si>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</si>
  <si>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L580 (20LW000URT)</t>
  </si>
  <si>
    <t>Lenovo ThinkPad L580 (20LW000VRT)</t>
  </si>
  <si>
    <t>Lenovo ThinkPad L580 (20LW0010RT)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</si>
  <si>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</si>
  <si>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</si>
  <si>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</si>
  <si>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</si>
  <si>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</si>
  <si>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</si>
  <si>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</si>
  <si>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</si>
  <si>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</si>
  <si>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</si>
  <si>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</si>
  <si>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P52s (20LB0008RT)</t>
  </si>
  <si>
    <t>Lenovo ThinkPad P52s (20LB0009RT)</t>
  </si>
  <si>
    <t>Lenovo ThinkPad P52s (20LB000BRT)</t>
  </si>
  <si>
    <t>Lenovo ThinkPad P52s (20LB000QRT)</t>
  </si>
  <si>
    <t>Lenovo ThinkPad T480 (20L50000RT)</t>
  </si>
  <si>
    <t>Lenovo ThinkPad T480 (20L50007RT)</t>
  </si>
  <si>
    <t>Lenovo ThinkPad T480 (20L50008RT)</t>
  </si>
  <si>
    <t>Lenovo ThinkPad T480 (20L5000BRT)</t>
  </si>
  <si>
    <t>Lenovo ThinkPad T480s (20L7001SRT)</t>
  </si>
  <si>
    <t>Lenovo ThinkPad T480s (20L7004NRT)</t>
  </si>
  <si>
    <t>Lenovo ThinkPad T490 (20N20009RT)</t>
  </si>
  <si>
    <t>Lenovo ThinkPad T490 (20N2000KRT)</t>
  </si>
  <si>
    <t>Lenovo ThinkPad T490 (20N2000NRT)</t>
  </si>
  <si>
    <t>Lenovo ThinkPad T490s (20NX0009RT)</t>
  </si>
  <si>
    <t>Lenovo ThinkPad T490s (20NX000ART)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</si>
  <si>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</si>
  <si>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</si>
  <si>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</si>
  <si>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</si>
  <si>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</si>
  <si>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</si>
  <si>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(20L9004GRT)</t>
  </si>
  <si>
    <t>Lenovo ThinkPad T590 (20N4000FRT)</t>
  </si>
  <si>
    <t>Lenovo ThinkPad T590 (20N4000HRT)</t>
  </si>
  <si>
    <t>Lenovo ThinkPad T590 (20N4000JRT)</t>
  </si>
  <si>
    <t>Lenovo ThinkPad X1 Carbon 6 (20KH0035RT)</t>
  </si>
  <si>
    <t>Lenovo ThinkPad X1 Carbon 6 (20KH003BRT)</t>
  </si>
  <si>
    <t>Lenovo ThinkPad X1 Carbon 6 (20KH006JRT)</t>
  </si>
  <si>
    <t>Lenovo ThinkPad X1 Extreme (20MF000RRT)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</si>
  <si>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</si>
  <si>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</si>
  <si>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</si>
  <si>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</si>
  <si>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</si>
  <si>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</si>
  <si>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(20KF001NRT)</t>
  </si>
  <si>
    <t>Lenovo ThinkPad X280 (20KF001RRT)</t>
  </si>
  <si>
    <t>Lenovo ThinkPad X280 (20KF005VRT)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</si>
  <si>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</si>
  <si>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</si>
  <si>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</si>
  <si>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</si>
  <si>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Yoga 370 (20JH003DRT)</t>
  </si>
  <si>
    <t>Lenovo ThinkPad Yoga L380 (20M7001JRT)</t>
  </si>
  <si>
    <t>Lenovo ThinkPad Yoga L380 (20M7002GRT)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</si>
  <si>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</si>
  <si>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</si>
  <si>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</si>
  <si>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</si>
  <si>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</si>
  <si>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</si>
  <si>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</si>
  <si>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</si>
  <si>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</si>
  <si>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</si>
  <si>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(80TD009YRU)</t>
  </si>
  <si>
    <t>Lenovo V110-15 (80TG00BDRK)</t>
  </si>
  <si>
    <t>Lenovo V110-15 (80TL00DBRK)</t>
  </si>
  <si>
    <t>Lenovo V110-15 (80TL014CRK)</t>
  </si>
  <si>
    <t>Lenovo V130-14 (81HM009BRU)</t>
  </si>
  <si>
    <t>Lenovo V130-14 (81HQ00E9RU)</t>
  </si>
  <si>
    <t>Lenovo V130-14 (81HQ00FWRU)</t>
  </si>
  <si>
    <t>Lenovo V130-15 (81HL001LRU)</t>
  </si>
  <si>
    <t>Lenovo V130-15 (81HL001WRU)</t>
  </si>
  <si>
    <t>Lenovo V130-15 (81HL003CRU)</t>
  </si>
  <si>
    <t>Lenovo V130-15 (81HN00E0RU)</t>
  </si>
  <si>
    <t>Lenovo V130-15 (81HN00ENRU)</t>
  </si>
  <si>
    <t>Lenovo V130-15 (81HN00EXRU)</t>
  </si>
  <si>
    <t>Lenovo V130-15 (81HN00FMRU)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</si>
  <si>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</si>
  <si>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</si>
  <si>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</si>
  <si>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</si>
  <si>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</si>
  <si>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</si>
  <si>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</si>
  <si>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</si>
  <si>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(81AH0068RU)</t>
  </si>
  <si>
    <t>Lenovo V320-17 (81CN000BRU)</t>
  </si>
  <si>
    <t>Lenovo V320-17 (81CN0010RU)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</si>
  <si>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</si>
  <si>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</si>
  <si>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</si>
  <si>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</si>
  <si>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</si>
  <si>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</si>
  <si>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(81B000VERU)</t>
  </si>
  <si>
    <t>Lenovo V330-14 (81B1000ERU)</t>
  </si>
  <si>
    <t>Lenovo V330-14 (81B1000PRU)</t>
  </si>
  <si>
    <t>Lenovo V330-15 (81AX001DRU)</t>
  </si>
  <si>
    <t>Lenovo V330-15 (81AX001GRU)</t>
  </si>
  <si>
    <t>Lenovo V330-15 (81AX00ARRU)</t>
  </si>
  <si>
    <t>Lenovo V330-15 (81AX00DHRU)</t>
  </si>
  <si>
    <t>Lenovo V330-15 (81AX00J2RU)</t>
  </si>
  <si>
    <t>Lenovo V330-15 (81AX00JGRU)</t>
  </si>
  <si>
    <t>Lenovo V330-15 (81AX00WJRU)</t>
  </si>
  <si>
    <t>Lenovo V330-15 (81AX00YWRU)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</si>
  <si>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</si>
  <si>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</si>
  <si>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</si>
  <si>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</si>
  <si>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</si>
  <si>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(81EK008XRU)</t>
  </si>
  <si>
    <t>Lenovo Yoga 530-14 (81EK0091RU)</t>
  </si>
  <si>
    <t>Lenovo Yoga 530-14 (81EK009ARU)</t>
  </si>
  <si>
    <t>Lenovo Yoga 530-14 (81H90006RU)</t>
  </si>
  <si>
    <t>Lenovo Yoga 530-14 (81H9000ERU)</t>
  </si>
  <si>
    <t>Lenovo Yoga 530-14 (81H9000GRU)</t>
  </si>
  <si>
    <t>Lenovo Yoga 720-12 (81B5004LRK)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</si>
  <si>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</si>
  <si>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</si>
  <si>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</si>
  <si>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</si>
  <si>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</si>
  <si>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</si>
  <si>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</si>
  <si>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(81J0002JRU)</t>
  </si>
  <si>
    <t>MSI GE63 8RE-210RU Raider RGB Edition (9S7-16P512-210)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</si>
  <si>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</si>
  <si>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</si>
  <si>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</si>
  <si>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</si>
  <si>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8SG-230RU Raider RGB Edition (9S7-16P722-230)</t>
  </si>
  <si>
    <t>MSI GE73 8RF-667XRU Raider RGB Edition (9S7-17C512-667)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</si>
  <si>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</si>
  <si>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</si>
  <si>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</si>
  <si>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</si>
  <si>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</si>
  <si>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</si>
  <si>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8RC-207XRU Thin (9S7-17F112-207)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</si>
  <si>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</si>
  <si>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</si>
  <si>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</si>
  <si>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</si>
  <si>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</si>
  <si>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8RC-841RU (9S7-16P612-841)</t>
  </si>
  <si>
    <t>MSI GL63 8RD-465RU (9S7-16P612-465)</t>
  </si>
  <si>
    <t>MSI GL63 8RD-470XRU (9S7-16P612-470)</t>
  </si>
  <si>
    <t>MSI GL63 8RD-839RU (9S7-16P612-839)</t>
  </si>
  <si>
    <t>MSI GL63 8SE-257RU (9S7-16P732-257)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</si>
  <si>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</si>
  <si>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</si>
  <si>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</si>
  <si>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</si>
  <si>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</si>
  <si>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</si>
  <si>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</si>
  <si>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8RD-246RU (9S7-17C612-246)</t>
  </si>
  <si>
    <t>MSI GL73 8RD-247XRU (9S7-17C612-247)</t>
  </si>
  <si>
    <t>MSI GL73 8RD-248XRU (9S7-17C612-248)</t>
  </si>
  <si>
    <t>MSI GL73 8RD-445RU (9S7-17C612-445)</t>
  </si>
  <si>
    <t>MSI GL73 8SE-032RU (9S7-17C722-032)</t>
  </si>
  <si>
    <t>MSI GL73 8SE-075XRU (9S7-17C722-075)</t>
  </si>
  <si>
    <t>MSI GP63 8RE-468RU Leopard (9S7-16P522-468)</t>
  </si>
  <si>
    <t>MSI GP63 8RE-469XRU Leopard (9S7-16P522-469)</t>
  </si>
  <si>
    <t>MSI GP73 8RD-427XRU Leopard (9S7-17C622-427)</t>
  </si>
  <si>
    <t>MSI GP73 8RE-471XRU Leopard (9S7-17C522-689)</t>
  </si>
  <si>
    <t>MSI GS63 8RE-021RU Stealth (9S7-16K512-021)</t>
  </si>
  <si>
    <t>MSI GS63 8RE-022RU Stealth (9S7-16K512-022)</t>
  </si>
  <si>
    <t>MSI GS65 8RE-080RU Stealth Thin (9S7-16Q211-080)</t>
  </si>
  <si>
    <t>MSI GS65 8SF-089RU Stealth (9S7-16Q411-089)</t>
  </si>
  <si>
    <t>MSI GS65 8SG-088RU Stealth (9S7-16Q411-088)</t>
  </si>
  <si>
    <t>MSI GS73 8RF-028RU Stealth (9S7-17B712-028)</t>
  </si>
  <si>
    <t>MSI GS73 8RF-029RU Stealth (9S7-17B712-029)</t>
  </si>
  <si>
    <t>MSI GS75 8SE-039RU Stealth (9S7-17G111-039)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</si>
  <si>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</si>
  <si>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</si>
  <si>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</si>
  <si>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</si>
  <si>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GT75 8RG-052RU Titan (9S7-17A311-052)</t>
  </si>
  <si>
    <t>MSI GT75 8RG-281RU Titan (9S7-17A311-281)</t>
  </si>
  <si>
    <t>MSI GT83VR 7RE-249RU Titan SLI (9S7-181542-249)</t>
  </si>
  <si>
    <t>MSI P65 8RE-077RU Creator (9S7-16Q312-077)</t>
  </si>
  <si>
    <t>MSI P65 8RE-078RU Creator (9S7-16Q312-078)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</si>
  <si>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</si>
  <si>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</si>
  <si>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</si>
  <si>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</si>
  <si>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</si>
  <si>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</si>
  <si>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</si>
  <si>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</si>
  <si>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</si>
  <si>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</si>
  <si>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</si>
  <si>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WE63 8SJ-222RU (9S7-16P632-222)</t>
  </si>
  <si>
    <t>MSI WE63 8SJ-282RU (9S7-16P632-282)</t>
  </si>
  <si>
    <t>MSI WE63 8SJ-687RU (9S7-16P632-687)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</si>
  <si>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</si>
  <si>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</si>
  <si>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</si>
  <si>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</si>
  <si>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</si>
  <si>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Panasonic TB CF-54mk3 (CF-54H2029T9)</t>
  </si>
  <si>
    <t>Panasonic TB CF-54mk3 (CF-54H2036T9)</t>
  </si>
  <si>
    <t>Panasonic TB CF-54mk3 (CF-54H2231T9)</t>
  </si>
  <si>
    <t>Panasonic TB CF-54mk3 (CF-54J0479T9)</t>
  </si>
  <si>
    <t>Panasonic TB CF-54mk3 (CF-54J2507T9)</t>
  </si>
  <si>
    <t>Prestigio SmartBook 141 C2 (PSB141C02CFH_BK_CIS)</t>
  </si>
  <si>
    <t>Prestigio SmartBook 141 C2 (PSB141C02ZFH_BK_CIS)</t>
  </si>
  <si>
    <t>Prestigio SmartBook 141 C2 (PSB141C02ZFH_DB_CIS)</t>
  </si>
  <si>
    <t>Prestigio SmartBook 141S (PSB141S01ZFH_DB_CIS)</t>
  </si>
  <si>
    <t>Монитор 14" HP EliteDisplay S140u, WXGA++, TN, 1xUSB 3.0, Черный G8R65AA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</si>
  <si>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</si>
  <si>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</si>
  <si>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</si>
  <si>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</si>
  <si>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K192HQLb, WXGA, TN, VGA, Черный UM.XW3EE.002</t>
  </si>
  <si>
    <t>Монитор 18,5" Acer V196HQLAb, WXGA ,TN, VGA, Черный UM.XV6EE.A04</t>
  </si>
  <si>
    <t>Монитор 19" Acer V196LBb, SXGA, IPS, VGA, Черный UM.CV6EE.B02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</si>
  <si>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</si>
  <si>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</si>
  <si>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</si>
  <si>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</si>
  <si>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</si>
  <si>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</si>
  <si>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</si>
  <si>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</si>
  <si>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</si>
  <si>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</si>
  <si>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</si>
  <si>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</si>
  <si>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</si>
  <si>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</si>
  <si>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</si>
  <si>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</si>
  <si>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</si>
  <si>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</si>
  <si>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T22v-10 (VIOP) FHD, IPS, VGA, HDMI, DP, 
3xUSB 3.0 Черный 61BBMAT6EU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</si>
  <si>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</si>
  <si>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</si>
  <si>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</si>
  <si>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22" Dell P2217, WSXGA+ , TN, HDMI, VGA, DP, 4xUSB Черный 2217-4541</t>
  </si>
  <si>
    <t>Монитор 23" Dell P2319H, FHD , IPS, HDMI, VGA, DP, 4xUSB Черный 2319-2385</t>
  </si>
  <si>
    <t>Монитор 23" Dell S2319H, FHD, IPS, HDMI, VGA, Черный 2319-2286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</si>
  <si>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</si>
  <si>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</si>
  <si>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</si>
  <si>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</si>
  <si>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</si>
  <si>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</si>
  <si>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</si>
  <si>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ProDisplay P240va, FHD, VA, HDMI, VGA, DP, Черный N3H14AA</t>
  </si>
  <si>
    <t>Монитор 23,8" Lenovo ThinkVision S24e-10, FHD, VA, VGA, HDMI, Черный 
61CAKAT1EU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</si>
  <si>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</si>
  <si>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</si>
  <si>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TIO 24, FHD, IPS, TouchScreen(MLT), 1xDP, 2xUSB 3.0, 
2xUSB 2.0 Черный 10QXPAT1EU</t>
  </si>
  <si>
    <t>Монитор 23.8" Dell E2417H, FHD, IPS, DP, VGA, Черный 2417-4848</t>
  </si>
  <si>
    <t>Монитор 23.8" Dell P2418D, WQXGA , IPS, HDMI, DP, 4xUSB Черный 2418-7100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</si>
  <si>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</si>
  <si>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</si>
  <si>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</si>
  <si>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</si>
  <si>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</si>
  <si>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</si>
  <si>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</si>
  <si>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</si>
  <si>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</si>
  <si>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</si>
  <si>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Dell U2412M Black, WUXGA, IPS, DP, DVI, VGA. 4xUSB 2.0 Черный 
2412-0896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</si>
  <si>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</si>
  <si>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</si>
  <si>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</si>
  <si>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</si>
  <si>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</si>
  <si>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</si>
  <si>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</si>
  <si>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</si>
  <si>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25" Dell U2518D, WQXGA, IPS, DP, 2xminiDP, HDMI, 4xUSB 3.0 Черный 
2518-6806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</si>
  <si>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</si>
  <si>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</si>
  <si>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</si>
  <si>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</si>
  <si>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</si>
  <si>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</si>
  <si>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</si>
  <si>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</si>
  <si>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</si>
  <si>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</si>
  <si>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SA270Abi, FHD, IPS, HDMI, VGA, Черный UM.HS0EE.A01</t>
  </si>
  <si>
    <t>Монитор 27" Acer V276HLCbid, FHD, VA, HDMI, VGA, DVI, Черный UM.HV6EE.C05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</si>
  <si>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</si>
  <si>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</si>
  <si>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ASUS ROG PG27VQ, WQXGA, TN, Curved, DP, HDMI, 2xUSB 3.0 Черный 
90LM03N3-B01370</t>
  </si>
  <si>
    <t>Монитор 27" ASUS VZ279HE-W, FHD, IPS, VGA, 2xHDMI, Белый 90LM02XD-B01470</t>
  </si>
  <si>
    <t>Монитор 27" Dell P2719H, FHD, IPS, HDMI, DP, VGA, 5xUSB, Черный 2719-2422</t>
  </si>
  <si>
    <t>Монитор 27" Dell U2717D Black, WQXGA, IPS, DP, miniDP, HDMI. 4xUSB 3.0 
Черный/Серый 717D-4220</t>
  </si>
  <si>
    <t>Монитор 27" Dell UP2718Q, UHD, IPS, DP, 2xHDMI, 1xMiniDP, 4xUSB 3.0 
Серебристый/Черный 2718-6646</t>
  </si>
  <si>
    <t>Монитор 27" HP EliteDisplay S270n, UHD, IPS, 2xHDMI, DP, 1xUSB Type-C 
Черный/Серебристый 2PD37AA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</si>
  <si>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</si>
  <si>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</si>
  <si>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</si>
  <si>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</si>
  <si>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MSI Optix MPG27CQ, QHD VA, Curved, HDMI, DP, USB, Черный 
9S6-3FA31T-001</t>
  </si>
  <si>
    <t>Монитор 27.9" Dell S2817Q, UHD, TN, 2xHDMI, 1xDP, 1xMiniDP, 3xUSB, Черный 
2817-4916</t>
  </si>
  <si>
    <t>Монитор 30" Dell UP3017, WQXGA, IPS, DP, 2xHDMI, 1xMiniDP, 4xUSB 3.0 
Черный/Серебристый 3017-4879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</si>
  <si>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</si>
  <si>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</si>
  <si>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Predator Z321Qbmiphzx, FHD, VA, Curved, HDMI, DP, 4xUSB 
3.0 Черный UM.JZ1EE.001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</si>
  <si>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</si>
  <si>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</si>
  <si>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</si>
  <si>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</si>
  <si>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</si>
  <si>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</si>
  <si>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</si>
  <si>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</si>
  <si>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</si>
  <si>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</si>
  <si>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</si>
  <si>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</si>
  <si>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</si>
  <si>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</si>
  <si>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</si>
  <si>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</si>
  <si>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 Apple iPad 9.7 (2018) 128Gb Wi-Fi + Cellular Space Gray Серый 
космос MR722RU/A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</si>
  <si>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</si>
  <si>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</si>
  <si>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</si>
  <si>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Space Gray Серый космос 
MR6N2RU/A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</si>
  <si>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</si>
  <si>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</si>
  <si>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</si>
  <si>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</si>
  <si>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Space Gray Серый космос 
MUUQ2RU/A</t>
  </si>
  <si>
    <t>Планшет Apple iPad Air 10.5 2019 64Gb Wi-Fi + Cellular Space Gray Серый 
космос MV0D2RU/A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</si>
  <si>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</si>
  <si>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</si>
  <si>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</si>
  <si>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</si>
  <si>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</si>
  <si>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</si>
  <si>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</si>
  <si>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Gold Золотистый MUQY2RU/A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</si>
  <si>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</si>
  <si>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</si>
  <si>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</si>
  <si>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</si>
  <si>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</si>
  <si>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</si>
  <si>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</si>
  <si>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Gold Золотистый MPF12RU/A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</si>
  <si>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</si>
  <si>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</si>
  <si>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</si>
  <si>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</si>
  <si>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</si>
  <si>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</si>
  <si>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</si>
  <si>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</si>
  <si>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</si>
  <si>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</si>
  <si>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</si>
  <si>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</si>
  <si>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</si>
  <si>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</si>
  <si>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</si>
  <si>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</si>
  <si>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</si>
  <si>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</si>
  <si>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</si>
  <si>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</si>
  <si>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</si>
  <si>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</si>
  <si>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</si>
  <si>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</si>
  <si>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</si>
  <si>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512Gb Wi-Fi + Cellular Gold Золотистый 
MPLL2RU/A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</si>
  <si>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</si>
  <si>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</si>
  <si>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</si>
  <si>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</si>
  <si>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</si>
  <si>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</si>
  <si>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</si>
  <si>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</si>
  <si>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</si>
  <si>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</si>
  <si>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</si>
  <si>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</si>
  <si>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</si>
  <si>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</si>
  <si>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</si>
  <si>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</si>
  <si>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</si>
  <si>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</si>
  <si>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</si>
  <si>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</si>
  <si>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</si>
  <si>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</si>
  <si>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</si>
  <si>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</si>
  <si>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</si>
  <si>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</si>
  <si>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</si>
  <si>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</si>
  <si>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</si>
  <si>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</si>
  <si>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</si>
  <si>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(4/64)Гб Win10 5080мАч Серый 81H3003KRU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</si>
  <si>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</si>
  <si>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</si>
  <si>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</si>
  <si>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</si>
  <si>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</si>
  <si>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</si>
  <si>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</si>
  <si>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</si>
  <si>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</si>
  <si>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</si>
  <si>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</si>
  <si>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</si>
  <si>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</si>
  <si>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</si>
  <si>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</si>
  <si>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</si>
  <si>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</si>
  <si>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</si>
  <si>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</si>
  <si>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</si>
  <si>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E10 TB-X104F 10,1(1280x800)IPS Cam (5/2) SDM210 
1300МГц(4) (1/16)Гб microSD до 128Гб A8.1 4850мАч Черный ZA470007RU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</si>
  <si>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</si>
  <si>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</si>
  <si>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</si>
  <si>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</si>
  <si>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</si>
  <si>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</si>
  <si>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</si>
  <si>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</si>
  <si>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</si>
  <si>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</si>
  <si>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</si>
  <si>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</si>
  <si>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</si>
  <si>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</si>
  <si>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</si>
  <si>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</si>
  <si>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</si>
  <si>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</si>
  <si>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</si>
  <si>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</si>
  <si>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</si>
  <si>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</si>
  <si>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</si>
  <si>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</si>
  <si>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</si>
  <si>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</si>
  <si>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</si>
  <si>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</si>
  <si>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</si>
  <si>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Space Gray Серый космос MKQT2RU/A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</si>
  <si>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</si>
  <si>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</si>
  <si>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</si>
  <si>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</si>
  <si>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</si>
  <si>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</si>
  <si>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</si>
  <si>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</si>
  <si>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</si>
  <si>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Rose Gold Розовое золото MN4U2RU/A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</si>
  <si>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</si>
  <si>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</si>
  <si>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</si>
  <si>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</si>
  <si>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</si>
  <si>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</si>
  <si>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</si>
  <si>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</si>
  <si>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</si>
  <si>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</si>
  <si>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</si>
  <si>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</si>
  <si>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</si>
  <si>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</si>
  <si>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</si>
  <si>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</si>
  <si>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</si>
  <si>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</si>
  <si>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</si>
  <si>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</si>
  <si>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</si>
  <si>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</si>
  <si>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</si>
  <si>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</si>
  <si>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</si>
  <si>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Yellow Желтый MRY72RU/A</t>
  </si>
  <si>
    <t>Смартфон Apple iPhone XS 256Gb Gold Золотистый MT9K2RU/A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</si>
  <si>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</si>
  <si>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</si>
  <si>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</si>
  <si>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</si>
  <si>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Silver Серебристый MT9F2RU/A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</si>
  <si>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</si>
  <si>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</si>
  <si>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</si>
  <si>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</si>
  <si>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</si>
  <si>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Silver Серебристый MT512RU/A</t>
  </si>
  <si>
    <t>Смартфон Apple iPhone XS Max 64Gb Space Gray Темно-серый MT502RU/A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</si>
  <si>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</si>
  <si>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</si>
  <si>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</si>
  <si>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</si>
  <si>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</si>
  <si>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</si>
  <si>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(4/64)Гб A8.1 4000мАч Синий 90AX01A1-M00090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</si>
  <si>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</si>
  <si>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</si>
  <si>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</si>
  <si>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</si>
  <si>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</si>
  <si>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</si>
  <si>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</si>
  <si>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</si>
  <si>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HTC U Ultra DS 5,7(2560x1440) LTE Cam(12/16) MSM8996 2.15ГГц(4) 
(4/64)Гб microSD до 2Тб A7.0 3000мАч Белый 99HALU071-00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</si>
  <si>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</si>
  <si>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</si>
  <si>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</si>
  <si>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</si>
  <si>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</si>
  <si>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Черный 51092KQF</t>
  </si>
  <si>
    <t>Смартфон LeEco Le Max2 X820 DS 5,7(2560x1440)IPS LTE Cam(21/8) MSM8996 
2.15ГГц(4) (6/128)Гб A6.0 3100мАч Золотистый Le Max2 X820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</si>
  <si>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</si>
  <si>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</si>
  <si>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</si>
  <si>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</si>
  <si>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</si>
  <si>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</si>
  <si>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</si>
  <si>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</si>
  <si>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</si>
  <si>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</si>
  <si>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</si>
  <si>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</si>
  <si>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</si>
  <si>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</si>
  <si>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</si>
  <si>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</si>
  <si>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</si>
  <si>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</si>
  <si>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</si>
  <si>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</si>
  <si>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</si>
  <si>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</si>
  <si>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</si>
  <si>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</si>
  <si>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</si>
  <si>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</si>
  <si>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</si>
  <si>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</si>
  <si>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</si>
  <si>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</si>
  <si>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</si>
  <si>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OnePlus 5T DS 6,01(2160х1080) LTE Cam (20d/16) MSM8998 
2,45ГГц(4)+1,9ГГц(4) (6/64)Гб A7.1 3300мАч Midnight Black Черный 5011100081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</si>
  <si>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</si>
  <si>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</si>
  <si>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</si>
  <si>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</si>
  <si>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</si>
  <si>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</si>
  <si>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</si>
  <si>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</si>
  <si>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</si>
  <si>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</si>
  <si>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</si>
  <si>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</si>
  <si>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</si>
  <si>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</si>
  <si>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</si>
  <si>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</si>
  <si>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</si>
  <si>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</si>
  <si>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</si>
  <si>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</si>
  <si>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</si>
  <si>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J2 Core SM-J260F DS 5(960x540) PLS LTE Cam(8/5) 
Exynos 7570 1.4ГГц(4) (1/8)Гб A8.1 2600мАч Золотистый SM-J260FZDRSER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</si>
  <si>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</si>
  <si>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</si>
  <si>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</si>
  <si>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</si>
  <si>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</si>
  <si>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</si>
  <si>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</si>
  <si>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(8/512)Гб A8.1 4000мАч Синий SM-N960FZBHSER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</si>
  <si>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</si>
  <si>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</si>
  <si>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</si>
  <si>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</si>
  <si>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</si>
  <si>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Серый SM-G950FZVDSER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</si>
  <si>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</si>
  <si>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</si>
  <si>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</si>
  <si>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</si>
  <si>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</si>
  <si>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</si>
  <si>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</si>
  <si>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</si>
  <si>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</si>
  <si>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</si>
  <si>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</si>
  <si>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</si>
  <si>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</si>
  <si>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</si>
  <si>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</si>
  <si>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</si>
  <si>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</si>
  <si>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</si>
  <si>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Черный H4311 1312-7591</t>
  </si>
  <si>
    <t>Смартфон Sony Xperia XA1 Dual 5(1280x720)IPS LTE Cam(23/8) MT6757 2.3ГГц(8) 
(3/32)Гб microSD до 256Гб A7.0 2300мАч Белый G3112White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</si>
  <si>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</si>
  <si>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</si>
  <si>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</si>
  <si>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</si>
  <si>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</si>
  <si>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</si>
  <si>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</si>
  <si>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</si>
  <si>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</si>
  <si>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</si>
  <si>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</si>
  <si>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</si>
  <si>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</si>
  <si>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</si>
  <si>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</si>
  <si>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</si>
  <si>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</si>
  <si>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</si>
  <si>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</si>
  <si>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</si>
  <si>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(6/64)Гб A8.1 3400мАч Белый MI8WH64GB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</si>
  <si>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</si>
  <si>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</si>
  <si>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Midnight Black Черный 
X20864</t>
  </si>
  <si>
    <t>Смартфон Xiaomi Mi A2 DS 5,99(2160x1080)IPS LTE Cam (12+20/20) SDM660 
2.2ГГц(8) (4/64)Гб A8.1 3000мАч Золотистый X19247</t>
  </si>
  <si>
    <t>Смартфон Xiaomi Mi A2 Lite DS 5,84(2280x1080)IPS LTE Cam (12+5/5) MSM8953 
2.0ГГц(8) (3/32)Гб microSD до 128Гб A8.1 4000мАч Золотистый X19051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</si>
  <si>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</si>
  <si>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(6/64)Гб A8.0 3400мАч Черный MI MIX 2S 64GB black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</si>
  <si>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</si>
  <si>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</si>
  <si>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</si>
  <si>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</si>
  <si>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</si>
  <si>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</si>
  <si>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</si>
  <si>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</si>
  <si>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</si>
  <si>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</si>
  <si>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</si>
  <si>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(4/64)Гб microSD до 256Гб A8.1 4000мАч Синий X20338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</si>
  <si>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</si>
  <si>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</si>
  <si>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</si>
  <si>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</si>
  <si>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</si>
  <si>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Телевизор LG 20 20MT48VF-PZ, LED, HD, Черный</t>
  </si>
  <si>
    <t>Телевизор LG 22 22MT49VF-PZ, IPS, Full HD, Черный</t>
  </si>
  <si>
    <t>Телевизор LG 22 22MT58VF-PZ, IPS, Full HD, Черный</t>
  </si>
  <si>
    <t>Телевизор LG 27.5 LED, HD, Звук (10 Вт (2x5 Вт)), 1xHDMI, 1xUSB, Черный, 
28TK410V-PZ</t>
  </si>
  <si>
    <t>Телевизор LG 32 32LJ600U, LED, HD, Smart TV (webOS), PMI 900, Серебристый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</si>
  <si>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</si>
  <si>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</si>
  <si>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</si>
  <si>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</si>
  <si>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43 LED, FHD, Smart TV (webOS 3.5), Звук (20 Вт (2x10 Вт)) , 
3xHDMI, 2xUSB, 1xRJ-45, Черный/Серебристый 43LK6100PLA</t>
  </si>
  <si>
    <t>Телевизор LG 43 LED, FHD, Smart TV (webOS 4.0), Звук (10 Вт (2x5 Вт)) , 
2xHDMI, 1xUSB, 1xRJ-45, PMI 100 Черный, 43LK5910PLC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</si>
  <si>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</si>
  <si>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PMI 100 Черный, 43LK5990PLE</t>
  </si>
  <si>
    <t>Телевизор LG 43 LED, FHD, Smart TV (webOS), Звук (10 Вт (2x5 Вт)) , 2xHDMI, 
1xUSB, 1xRJ-45, Черный 43LK6000PLF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</si>
  <si>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</si>
  <si>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</si>
  <si>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</si>
  <si>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</si>
  <si>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</si>
  <si>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4xHDMI, 2xUSB, 1xRJ-45, PMI 100, Черный 43UK6450PLC</t>
  </si>
  <si>
    <t>Телевизор LG 49 LED, FHD, Smart TV (webOS) Звук (10 Вт (2x5 Вт)), 2xHDMI, 
1xUSB, 1xRJ45, PMI 100, Черный, 49LK5400PLA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</si>
  <si>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</si>
  <si>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</si>
  <si>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</si>
  <si>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</si>
  <si>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</si>
  <si>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Звук (10 Вт (2x5 Вт)), 2xHDMI, 1xUSB, Черный, 
49LK5100PLB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</si>
  <si>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</si>
  <si>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</si>
  <si>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4xHDMI, 2xUSB, 1xRJ-45, Серый, 49SK8000PLB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</si>
  <si>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</si>
  <si>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</si>
  <si>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LED, UHD, IPS, Smart TV (webOS 3.5) Звук (20 Вт (2x10 Вт)), 
3xHDMI, 2xUSB, Черный, 55UK6300PLB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</si>
  <si>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</si>
  <si>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PMI 100, Черный 55UK6450PLC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</si>
  <si>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</si>
  <si>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</si>
  <si>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</si>
  <si>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</si>
  <si>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UE24H4080AU LED, HD, CMR 100, Белый</t>
  </si>
  <si>
    <t>Телевизор Samsung 31.5 LT32E310EX LED, Full HD, Черный</t>
  </si>
  <si>
    <t>Телевизор Samsung 32 FHD, Smart TV , Звук (10 Вт (2x5 Вт)), 2xHDMI, 1xUSB, 
PQI 500, Черный UE32N5300AUXRU</t>
  </si>
  <si>
    <t>Телевизор Samsung 32 FHD, Звук (10 Вт (2x5 Вт)), 2xHDMI, 1xUSB, PQI 300, 
Черный UE32N5000AUXRU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</si>
  <si>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</si>
  <si>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</si>
  <si>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</si>
  <si>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</si>
  <si>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</si>
  <si>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</si>
  <si>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</si>
  <si>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FHD, Звук (10 Вт (2x5 Вт)), 2xHDMI, 1xUSB, PQI 300, 
Черный UE43N5000AUXRU</t>
  </si>
  <si>
    <t>Телевизор Samsung 43 LED, UHD, Smart TV, Звук (20 Вт (2x10 Вт)) , 3xHDMI, 
2xUSB, 1xRJ-45, CMR 1300 Черный UE43NU7100UXRU</t>
  </si>
  <si>
    <t>Телевизор Samsung 43 UHD, Smart TV , Звук (20 Вт (2x10 Вт)), 2xHDMI, 1xUSB, 
1xRJ-45, PQI 1300, Черный UE43NU7090UXRU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</si>
  <si>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</si>
  <si>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</si>
  <si>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(40 Вт (2.1)), 4xHDMI, 2xUSB, PQI 
2600, Титан (Серый) QE49Q6FNAUXRU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</si>
  <si>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</si>
  <si>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1800, Черный UE55NU7500UXRU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</si>
  <si>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</si>
  <si>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</si>
  <si>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UE65MU6500U LED, UHD, Smart TV, CMR 1600, Изогнутый 
экран, Серебристый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</si>
  <si>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</si>
  <si>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</si>
  <si>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</si>
  <si>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</si>
  <si>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</si>
  <si>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</si>
  <si>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</si>
  <si>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</si>
  <si>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</si>
  <si>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49 LED, UHD, Smart TV (Android), Звук (20 Вт (2x10 Вт)) , 
4xHDMI, 3xUSB, 1xRJ-45, CMR 1000 Черный KD-49XF8596</t>
  </si>
  <si>
    <t>Телевизор SONY 50 LED, FHD, Smart TV (Linux), Звук (10 Вт (2x5 Вт)) , 
2xHDMI, 2xUSB, 1xRJ-45, CMR 400 Черный KDL-50WF665</t>
  </si>
  <si>
    <t>Телевизор SONY 65 LED, UHD, Smart TV (Android), Звук (20 Вт (2x10 Вт)) , 
4xHDMI, 3xUSB, 1xRJ-45, Черный KD-65XF9005</t>
  </si>
  <si>
    <t>МФУ</t>
  </si>
  <si>
    <t>Средний объем продаж ноутбуков в Екатеринбурге в феврале</t>
  </si>
  <si>
    <t>Продано планшетов в Челябинске</t>
  </si>
  <si>
    <t>Продано во втором квартале</t>
  </si>
  <si>
    <t>Остатки мониторов на осн складах</t>
  </si>
  <si>
    <t>HP 17-da0043ur (4KB94EA)</t>
  </si>
  <si>
    <t>Количество HP ##-da</t>
  </si>
  <si>
    <t>Остатки Asus в Москве</t>
  </si>
  <si>
    <t>Код номенклатуры</t>
  </si>
  <si>
    <t>Номенклатура</t>
  </si>
  <si>
    <t>Дата первой отгрузки</t>
  </si>
  <si>
    <t>Редакция</t>
  </si>
  <si>
    <t>Формат</t>
  </si>
  <si>
    <t>Канал продаж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</si>
  <si>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</si>
  <si>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</si>
  <si>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</si>
  <si>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</si>
  <si>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</si>
  <si>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</si>
  <si>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</si>
  <si>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</si>
  <si>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</si>
  <si>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</si>
  <si>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</si>
  <si>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</si>
  <si>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</si>
  <si>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</si>
  <si>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</si>
  <si>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</si>
  <si>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</si>
  <si>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</si>
  <si>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00008786</t>
  </si>
  <si>
    <t>«Властелин колец» — Джон Р. Р. Толкин</t>
  </si>
  <si>
    <t>Редакция №1</t>
  </si>
  <si>
    <t>Мягкая обложка</t>
  </si>
  <si>
    <t>Дистрибуция</t>
  </si>
  <si>
    <t>00001716</t>
  </si>
  <si>
    <t>«Гордость и предубеждение» — Джейн Остин</t>
  </si>
  <si>
    <t>Покетбук</t>
  </si>
  <si>
    <t>00003925</t>
  </si>
  <si>
    <t>«Тёмные начала» — Филип Пулман</t>
  </si>
  <si>
    <t>00009579</t>
  </si>
  <si>
    <t>«Автостопом по галактике» — Дуглас Адамс</t>
  </si>
  <si>
    <t>00002593</t>
  </si>
  <si>
    <t>«Гарри Поттер и Кубок огня» — Джоан Роулинг</t>
  </si>
  <si>
    <t>Редакция №2</t>
  </si>
  <si>
    <t>Твердый переплет</t>
  </si>
  <si>
    <t>00007798</t>
  </si>
  <si>
    <t>«Убить пересмешника» — Харпер Ли</t>
  </si>
  <si>
    <t>00000511</t>
  </si>
  <si>
    <t>«Винни Пух» — Алан Александр Милн</t>
  </si>
  <si>
    <t>00004385</t>
  </si>
  <si>
    <t>«1984» — Джордж Оруэлл</t>
  </si>
  <si>
    <t>00003407</t>
  </si>
  <si>
    <t>«Лев, колдунья и платяной шкаф» — Клайв Стэйплз Льюис</t>
  </si>
  <si>
    <t>00000480</t>
  </si>
  <si>
    <t>«Джейн Эйр» — Шарлотта Бронте</t>
  </si>
  <si>
    <t>00002686</t>
  </si>
  <si>
    <t>«Уловка-22» — Джозеф Хеллер</t>
  </si>
  <si>
    <t>00005263</t>
  </si>
  <si>
    <t>«Грозовой перевал» — Эмили Бронте</t>
  </si>
  <si>
    <t>00007241</t>
  </si>
  <si>
    <t>«Пение птиц» — Себастьян Фолкс</t>
  </si>
  <si>
    <t>00001637</t>
  </si>
  <si>
    <t>«Ребекка» — Дафна Дюморье</t>
  </si>
  <si>
    <t>00002876</t>
  </si>
  <si>
    <t>«Над пропастью во ржи» — Джером Сэлинджер</t>
  </si>
  <si>
    <t>00000150</t>
  </si>
  <si>
    <t>«Ветер в ивах» — Кеннет Грэм</t>
  </si>
  <si>
    <t>00009194</t>
  </si>
  <si>
    <t>«Большие надежды» — Чарльз Диккенс</t>
  </si>
  <si>
    <t>00003988</t>
  </si>
  <si>
    <t>«Маленькие женщины» — Луиза Мэй Олкотт</t>
  </si>
  <si>
    <t>00002981</t>
  </si>
  <si>
    <t>«Мандолина капитана Корелли» — Луи де Берньер</t>
  </si>
  <si>
    <t>00003592</t>
  </si>
  <si>
    <t>«Война и мир» — Лев Толстой</t>
  </si>
  <si>
    <t>00001304</t>
  </si>
  <si>
    <t>«Унесённые ветром» — Маргарет Митчелл</t>
  </si>
  <si>
    <t>00004790</t>
  </si>
  <si>
    <t>«Гарри Поттер и философский камень» — Джоан Роулинг</t>
  </si>
  <si>
    <t>00001398</t>
  </si>
  <si>
    <t>«Гарри Поттер и Тайная комната» — Джоан Роулинг</t>
  </si>
  <si>
    <t>00004551</t>
  </si>
  <si>
    <t>«Гарри Поттер и узник Азкабана» — Джоан Роулинг</t>
  </si>
  <si>
    <t>00009416</t>
  </si>
  <si>
    <t>«Хоббит, или Туда и обратно» — Джон Р. Р. Толкин</t>
  </si>
  <si>
    <t>00004996</t>
  </si>
  <si>
    <t>«Тэсс из рода д’Эрбервиллей» — Томас Харди</t>
  </si>
  <si>
    <t>00000780</t>
  </si>
  <si>
    <t>«Миддлмарч» — Джордж Элиот</t>
  </si>
  <si>
    <t>00005906</t>
  </si>
  <si>
    <t>«Молитва об Оуэне Мини» — Джон Ирвинг</t>
  </si>
  <si>
    <t>00008526</t>
  </si>
  <si>
    <t>«Гроздья гнева» — Джон Стейнбек</t>
  </si>
  <si>
    <t>00004771</t>
  </si>
  <si>
    <t>«Алиса в Стране чудес» — Льюис Кэрролл</t>
  </si>
  <si>
    <t>00004080</t>
  </si>
  <si>
    <t>«Дневник Трейси Бикер» — Жаклин Уилсон</t>
  </si>
  <si>
    <t>00006090</t>
  </si>
  <si>
    <t>«Сто лет одиночества» — Габриэль Гарсиа Маркес</t>
  </si>
  <si>
    <t>00005041</t>
  </si>
  <si>
    <t>«Столпы Земли» — Кен Фоллетт</t>
  </si>
  <si>
    <t>00003612</t>
  </si>
  <si>
    <t>«Дэвид Копперфильд» — Чарльз Диккенс</t>
  </si>
  <si>
    <t>00007947</t>
  </si>
  <si>
    <t>«Чарли и шоколадная фабрика» — Роальд Даль</t>
  </si>
  <si>
    <t>00004897</t>
  </si>
  <si>
    <t>«Остров сокровищ» — Роберт Стивенсон</t>
  </si>
  <si>
    <t>00004186</t>
  </si>
  <si>
    <t>«Город как Элис» — Невил Шют</t>
  </si>
  <si>
    <t>00003014</t>
  </si>
  <si>
    <t>«Доводы рассудка» — Джейн Остин</t>
  </si>
  <si>
    <t>00004126</t>
  </si>
  <si>
    <t>«Дюна» — Фрэнк Герберт</t>
  </si>
  <si>
    <t>00005037</t>
  </si>
  <si>
    <t>«Эмма» — Джейн Остин</t>
  </si>
  <si>
    <t>00002675</t>
  </si>
  <si>
    <t>«Аня из Зелёных Мезонинов» — Люси Мод Монтгомери</t>
  </si>
  <si>
    <t>00009604</t>
  </si>
  <si>
    <t>«Обитатели холмов» — Ричард Адамс</t>
  </si>
  <si>
    <t>00009140</t>
  </si>
  <si>
    <t>«Великий Гэтсби» — Фрэнсис Скотт Фицджеральд</t>
  </si>
  <si>
    <t>00009947</t>
  </si>
  <si>
    <t>«Граф Монте-Кристо» — Александр Дюма</t>
  </si>
  <si>
    <t>00002640</t>
  </si>
  <si>
    <t>«Возвращение в Брайдсхед» — Ивлин Во</t>
  </si>
  <si>
    <t>00006070</t>
  </si>
  <si>
    <t>«Скотный двор» — Джордж Оруэлл</t>
  </si>
  <si>
    <t>00008083</t>
  </si>
  <si>
    <t>«Рождественская песнь» — Чарльз Диккенс</t>
  </si>
  <si>
    <t>00009671</t>
  </si>
  <si>
    <t>«Вдали от обезумевшей толпы» — Томас Харди</t>
  </si>
  <si>
    <t>00009253</t>
  </si>
  <si>
    <t>«Спокойной ночи, мистер Том» — Мишель Магориан</t>
  </si>
  <si>
    <t>00001952</t>
  </si>
  <si>
    <t>«Семейная реликвия» — Розамунд Пилчер</t>
  </si>
  <si>
    <t>00002639</t>
  </si>
  <si>
    <t>«Таинственный сад» — Фрэнсис Бернетт</t>
  </si>
  <si>
    <t>00005075</t>
  </si>
  <si>
    <t>«О мышах и людях» — Джон Стейнбек</t>
  </si>
  <si>
    <t>00002301</t>
  </si>
  <si>
    <t>«Противостояние» — Стивен Кинг</t>
  </si>
  <si>
    <t>00001687</t>
  </si>
  <si>
    <t>«Анна Каренина» — Лев Толстой</t>
  </si>
  <si>
    <t>00008548</t>
  </si>
  <si>
    <t>«Подходящий жених» — Викрам Сет</t>
  </si>
  <si>
    <t>00002787</t>
  </si>
  <si>
    <t>«БДВ, или Большой и добрый великан» — Роальд Даль</t>
  </si>
  <si>
    <t>00003202</t>
  </si>
  <si>
    <t>«Ласточки и амазонки» — Артур Рэнсом</t>
  </si>
  <si>
    <t>00003837</t>
  </si>
  <si>
    <t>«Чёрный красавчик» — Анна Сьюэлл</t>
  </si>
  <si>
    <t>00008803</t>
  </si>
  <si>
    <t>«Артемис Фаул» — Йон Колфер</t>
  </si>
  <si>
    <t>00007790</t>
  </si>
  <si>
    <t>«Преступление и наказание» — Фёдор Достоевский</t>
  </si>
  <si>
    <t>00007017</t>
  </si>
  <si>
    <t>«Крестики-нолики» — Мэлори Блэкмен</t>
  </si>
  <si>
    <t>00004239</t>
  </si>
  <si>
    <t>«Мемуары гейши» — Артур Голден</t>
  </si>
  <si>
    <t>00006780</t>
  </si>
  <si>
    <t>«Повесть о двух городах» — Чарльз Диккенс</t>
  </si>
  <si>
    <t>00007678</t>
  </si>
  <si>
    <t>«Поющие в терновнике» — Колин Маккалоу</t>
  </si>
  <si>
    <t>00001638</t>
  </si>
  <si>
    <t>«Мор, ученик Смерти» — Терри Пратчетт</t>
  </si>
  <si>
    <t>00001864</t>
  </si>
  <si>
    <t>«Далёкое волшебное дерево» — Энид Блайтон</t>
  </si>
  <si>
    <t>00006664</t>
  </si>
  <si>
    <t>«Волхв» — Джон Фаулз</t>
  </si>
  <si>
    <t>00002966</t>
  </si>
  <si>
    <t>«Благие знамения» — Терри Пратчетт и Нил Гейман</t>
  </si>
  <si>
    <t>00006573</t>
  </si>
  <si>
    <t>«Стража! Стража!» — Терри Пратчетт</t>
  </si>
  <si>
    <t>00007477</t>
  </si>
  <si>
    <t>«Повелитель мух» — Уильям Голдинг</t>
  </si>
  <si>
    <t>00005029</t>
  </si>
  <si>
    <t>«Парфюмер» — Патрик Зюскинд</t>
  </si>
  <si>
    <t>00001380</t>
  </si>
  <si>
    <t>«Филантропы в рваных штанах» — Роберт Тресселл</t>
  </si>
  <si>
    <t>00005444</t>
  </si>
  <si>
    <t>«Ночная стража» — Терри Пратчетт</t>
  </si>
  <si>
    <t>00003578</t>
  </si>
  <si>
    <t>«Матильда» — Роальд Даль</t>
  </si>
  <si>
    <t>00007719</t>
  </si>
  <si>
    <t>«Дневник Бриджит Джонс» — Хелен Филдинг</t>
  </si>
  <si>
    <t>00002132</t>
  </si>
  <si>
    <t>«Тайная история» — Донна Тартт</t>
  </si>
  <si>
    <t>00001699</t>
  </si>
  <si>
    <t>«Женщина в белом» — Уильям Уилки Коллинз</t>
  </si>
  <si>
    <t>00008499</t>
  </si>
  <si>
    <t>«Улисс» — Джеймс Джойс</t>
  </si>
  <si>
    <t>00007593</t>
  </si>
  <si>
    <t>«Холодный дом» — Чарльз Диккенс</t>
  </si>
  <si>
    <t>00002064</t>
  </si>
  <si>
    <t>«Двойняшки» — Жаклин Уилсон</t>
  </si>
  <si>
    <t>00000187</t>
  </si>
  <si>
    <t>«Семейство Твит» — Роальд Даль</t>
  </si>
  <si>
    <t>00002969</t>
  </si>
  <si>
    <t>«Я захватываю замок» — Доди Смит</t>
  </si>
  <si>
    <t>00001262</t>
  </si>
  <si>
    <t>«Ямы» — Луис Сейкер</t>
  </si>
  <si>
    <t>00007343</t>
  </si>
  <si>
    <t>«Горменгаст» — Мервин Пик</t>
  </si>
  <si>
    <t>00007305</t>
  </si>
  <si>
    <t>«Бог мелочей» — Арундати Рой</t>
  </si>
  <si>
    <t>00007402</t>
  </si>
  <si>
    <t>«Вики-Ангел» — Жаклин Уилсон</t>
  </si>
  <si>
    <t>00004416</t>
  </si>
  <si>
    <t>«О дивный новый мир» — Олдос Хаксли</t>
  </si>
  <si>
    <t>00002977</t>
  </si>
  <si>
    <t>«Неуютная ферма» — Стелла Гиббонс</t>
  </si>
  <si>
    <t>00001254</t>
  </si>
  <si>
    <t>«Чародей» — Раймонд Фэйст</t>
  </si>
  <si>
    <t>00006617</t>
  </si>
  <si>
    <t>«В дороге» — Джек Керуак</t>
  </si>
  <si>
    <t>00005309</t>
  </si>
  <si>
    <t>«Крестный отец» — Марио Пьюзо</t>
  </si>
  <si>
    <t>00000481</t>
  </si>
  <si>
    <t>«Клан пещерного медведя» — Джин Ауэл</t>
  </si>
  <si>
    <t>00005266</t>
  </si>
  <si>
    <t>«Цвет волшебства» — Терри Пратчетт</t>
  </si>
  <si>
    <t>00006349</t>
  </si>
  <si>
    <t>«Алхимик» — Пауло Коэльо</t>
  </si>
  <si>
    <t>00000799</t>
  </si>
  <si>
    <t>«Кэтрин» — Аня Сетон</t>
  </si>
  <si>
    <t>00001057</t>
  </si>
  <si>
    <t>«Каин и Авель» — Джеффри Арчер</t>
  </si>
  <si>
    <t>00002882</t>
  </si>
  <si>
    <t>«Любовь во время холеры» — Габриэль Гарсиа Маркес</t>
  </si>
  <si>
    <t>00006813</t>
  </si>
  <si>
    <t>«Девчонки в поисках любви» — Жаклин Уилсон</t>
  </si>
  <si>
    <t>00002358</t>
  </si>
  <si>
    <t>«Дневники принцессы» — Мэг Кэбот</t>
  </si>
  <si>
    <t>00005337</t>
  </si>
  <si>
    <t>«Дети полуночи» — Салман Рушди</t>
  </si>
  <si>
    <t>00005628</t>
  </si>
  <si>
    <t>«Трое в лодке, не считая собаки» — Джером К</t>
  </si>
  <si>
    <t>00003373</t>
  </si>
  <si>
    <t>«Мелкие боги» — Терри Пратчетт</t>
  </si>
  <si>
    <t>00006005</t>
  </si>
  <si>
    <t>«Пляж» — Алекс Гарленд</t>
  </si>
  <si>
    <t>00004777</t>
  </si>
  <si>
    <t>«Дракула» — Брэм Стокер</t>
  </si>
  <si>
    <t>00001770</t>
  </si>
  <si>
    <t>«Белый пик» — Энтони Горовиц</t>
  </si>
  <si>
    <t>00004874</t>
  </si>
  <si>
    <t>«Посмертные записки Пиквикского клуба» — Чарльз Диккенс</t>
  </si>
  <si>
    <t>00007345</t>
  </si>
  <si>
    <t>«Громобой» — Энтони Горовиц</t>
  </si>
  <si>
    <t>00008023</t>
  </si>
  <si>
    <t>«Осиная фабрика» — Иэн Бэнкс</t>
  </si>
  <si>
    <t>00003219</t>
  </si>
  <si>
    <t>«День Шакала» — Фредерик Форсайт</t>
  </si>
  <si>
    <t>00008957</t>
  </si>
  <si>
    <t>«Разрисованная мама» — Жаклин Уилсон</t>
  </si>
  <si>
    <t>00007102</t>
  </si>
  <si>
    <t>«Джуд Незаметный» — Томас Харди</t>
  </si>
  <si>
    <t>00007729</t>
  </si>
  <si>
    <t>«Тайный дневник Адриана Моула, 13 3/4 лет» — Сью Таунсенд</t>
  </si>
  <si>
    <t>00006488</t>
  </si>
  <si>
    <t>«Жестокое море» — Николас Монсаррат</t>
  </si>
  <si>
    <t>00007058</t>
  </si>
  <si>
    <t>«Отверженные» — Виктор Гюго</t>
  </si>
  <si>
    <t>00006370</t>
  </si>
  <si>
    <t>«Мэр Кэстербриджа» — Томас Харди</t>
  </si>
  <si>
    <t>00008071</t>
  </si>
  <si>
    <t>«Рискованные игры» — Жаклин Уилсон</t>
  </si>
  <si>
    <t>00004679</t>
  </si>
  <si>
    <t>«Плохие девчонки» — Жаклин Уилсон</t>
  </si>
  <si>
    <t>00000014</t>
  </si>
  <si>
    <t>«Портрет Дориана Грея» — Оскар Уайльд</t>
  </si>
  <si>
    <t>00002657</t>
  </si>
  <si>
    <t>«Сёгун» — Джеймс Клавелл</t>
  </si>
  <si>
    <t>00008221</t>
  </si>
  <si>
    <t>«День триффидов» — Джон Уиндем</t>
  </si>
  <si>
    <t>00009136</t>
  </si>
  <si>
    <t>«Лола Роза» — Жаклин Уилсон</t>
  </si>
  <si>
    <t>00004752</t>
  </si>
  <si>
    <t>«Ярмарка тщеславия» — Уильям Теккерей</t>
  </si>
  <si>
    <t>00005859</t>
  </si>
  <si>
    <t>«Дом из листьев» — Марк Данилевски</t>
  </si>
  <si>
    <t>00006804</t>
  </si>
  <si>
    <t>«Сага о Форсайтах» — Джон Голсуорси</t>
  </si>
  <si>
    <t>00007231</t>
  </si>
  <si>
    <t>«Библия ядовитого леса» — Барбара Кингсолвер</t>
  </si>
  <si>
    <t>«Мрачный Жнец» — Терри Пратчетт</t>
  </si>
  <si>
    <t>00006307</t>
  </si>
  <si>
    <t>«Ангус, ремни и конкретные обжимашки» — Луиз Рэннисон</t>
  </si>
  <si>
    <t>00008468</t>
  </si>
  <si>
    <t>«Собака Баскервилей» — Артур Конан Дойль</t>
  </si>
  <si>
    <t>00005531</t>
  </si>
  <si>
    <t>«Обладать» — Антония Сьюзен Байетт</t>
  </si>
  <si>
    <t>00002237</t>
  </si>
  <si>
    <t>«Мастер и Маргарита» — Михаил Булгаков</t>
  </si>
  <si>
    <t>00007410</t>
  </si>
  <si>
    <t>«Рассказ служанки» — Маргарет Этвуд</t>
  </si>
  <si>
    <t>00009833</t>
  </si>
  <si>
    <t>«Денни — чемпион мира» — Роальд Даль</t>
  </si>
  <si>
    <t>00003376</t>
  </si>
  <si>
    <t>«К востоку от рая» — Джон Стейнбек</t>
  </si>
  <si>
    <t>00004415</t>
  </si>
  <si>
    <t>«Лечение Джорджа Марвелуса» — Роальд Даль</t>
  </si>
  <si>
    <t>00009159</t>
  </si>
  <si>
    <t>«Вещие сестрички» — Терри Пратчетт</t>
  </si>
  <si>
    <t>00003274</t>
  </si>
  <si>
    <t>«Пурпурный цвет» — Элис Уокер</t>
  </si>
  <si>
    <t>00006142</t>
  </si>
  <si>
    <t>«Санта-Хрякус» — Терри Пратчетт</t>
  </si>
  <si>
    <t>00001426</t>
  </si>
  <si>
    <t>«39 ступеней" — Джон Бьюкен</t>
  </si>
  <si>
    <t>00009279</t>
  </si>
  <si>
    <t>«Девчонки в слезах» — Жаклин Уилсон</t>
  </si>
  <si>
    <t>00006072</t>
  </si>
  <si>
    <t>«Вечеринка с ночёвкой» — Жаклин Уилсон</t>
  </si>
  <si>
    <t>00001943</t>
  </si>
  <si>
    <t>«На западном фронте без перемен» — Эрих Мария Ремарк</t>
  </si>
  <si>
    <t>00009049</t>
  </si>
  <si>
    <t>«В хранилищах музея» — Кейт Аткинсон</t>
  </si>
  <si>
    <t>00009209</t>
  </si>
  <si>
    <t>«Hi-Fi» — Ник Хорнби</t>
  </si>
  <si>
    <t>00005725</t>
  </si>
  <si>
    <t>«Оно» — Стивен Кинг</t>
  </si>
  <si>
    <t>00005911</t>
  </si>
  <si>
    <t>«Джеймс и гигантский персик» — Роальд Даль</t>
  </si>
  <si>
    <t>00009467</t>
  </si>
  <si>
    <t>«Зелёная миля» — Стивен Кинг</t>
  </si>
  <si>
    <t>00007607</t>
  </si>
  <si>
    <t>«Мотылёк» — Анри Шарьер</t>
  </si>
  <si>
    <t>00004691</t>
  </si>
  <si>
    <t>«К оружию! К оружию!» — Терри Пратчетт</t>
  </si>
  <si>
    <t>00004478</t>
  </si>
  <si>
    <t>«Хозяин морей: Командир и штурман» — Патрик О’Брайан</t>
  </si>
  <si>
    <t>00001666</t>
  </si>
  <si>
    <t>«Ключ от всех дверей» — Энтони Горовиц</t>
  </si>
  <si>
    <t>00007957</t>
  </si>
  <si>
    <t>«Роковая музыка» — Терри Пратчетт</t>
  </si>
  <si>
    <t>00002023</t>
  </si>
  <si>
    <t>«Вор времени» — Терри Пратчетт</t>
  </si>
  <si>
    <t>00002883</t>
  </si>
  <si>
    <t>«Пятый элефант» — Терри Пратчетт</t>
  </si>
  <si>
    <t>00006782</t>
  </si>
  <si>
    <t>«Искупление» — Иэн Макьюэн</t>
  </si>
  <si>
    <t>00005951</t>
  </si>
  <si>
    <t>«Секреты» — Жаклин Уилсон</t>
  </si>
  <si>
    <t>00003278</t>
  </si>
  <si>
    <t>«Серебряный меч» — Ян Серрэйлер</t>
  </si>
  <si>
    <t>00000229</t>
  </si>
  <si>
    <t>«Пролетая над гнездом кукушки» — Кен Кизи</t>
  </si>
  <si>
    <t>00007977</t>
  </si>
  <si>
    <t>«Сердце тьмы» — Джозеф Конрад</t>
  </si>
  <si>
    <t>00007172</t>
  </si>
  <si>
    <t>«Ким» — Редьярд Киплинг</t>
  </si>
  <si>
    <t>00004449</t>
  </si>
  <si>
    <t>«Чужестранка» — Диана Гэблдон</t>
  </si>
  <si>
    <t>00009382</t>
  </si>
  <si>
    <t>«Моби Дик» — Герман Мелвилл</t>
  </si>
  <si>
    <t>00000010</t>
  </si>
  <si>
    <t>«Песнь на закате» — Льюис Грессик Гиббон</t>
  </si>
  <si>
    <t>00000662</t>
  </si>
  <si>
    <t>«Корабельные новости» — Энни Пру</t>
  </si>
  <si>
    <t>00002204</t>
  </si>
  <si>
    <t>«Божество реки» — Уилбур Смит</t>
  </si>
  <si>
    <t>00005283</t>
  </si>
  <si>
    <t>«Мир глазами Гарпа» — Джон Ирвинг</t>
  </si>
  <si>
    <t>00009504</t>
  </si>
  <si>
    <t>«Лорна Дун» — Ричард Блэкмор</t>
  </si>
  <si>
    <t>00009782</t>
  </si>
  <si>
    <t>«Девчонки гуляют допоздна» — Жаклин Уилсон</t>
  </si>
  <si>
    <t>00008653</t>
  </si>
  <si>
    <t>«Далёкие шатры» — Мэри Маргарет Кей</t>
  </si>
  <si>
    <t>00003321</t>
  </si>
  <si>
    <t>«Ведьмы» — Роальд Даль</t>
  </si>
  <si>
    <t>00009550</t>
  </si>
  <si>
    <t>«Паутина Шарлотты» — Элвин Брукс Уайт</t>
  </si>
  <si>
    <t>00009421</t>
  </si>
  <si>
    <t>«Франкенштейн, или Современный Прометей» — Мэри Шелли</t>
  </si>
  <si>
    <t>00003970</t>
  </si>
  <si>
    <t>«Они играли на траве» — Терри Венейблс и Гордон М</t>
  </si>
  <si>
    <t>00000040</t>
  </si>
  <si>
    <t>«Старик и море» — Эрнест Хемингуэй</t>
  </si>
  <si>
    <t>00004283</t>
  </si>
  <si>
    <t>«Лолита» — Владимир Набоков</t>
  </si>
  <si>
    <t>00004954</t>
  </si>
  <si>
    <t>«Имя розы» — Умберто Эко</t>
  </si>
  <si>
    <t>00002750</t>
  </si>
  <si>
    <t>«Мир Софии» — Йостейн Гордер</t>
  </si>
  <si>
    <t>«Девочка-находка» — Жаклин Уилсон</t>
  </si>
  <si>
    <t>00009843</t>
  </si>
  <si>
    <t>«Изумительный мистер Лис» — Роальд Даль</t>
  </si>
  <si>
    <t>00002488</t>
  </si>
  <si>
    <t>«Чайка по имени Джонатан Ливингстон» — Ричард Бах</t>
  </si>
  <si>
    <t>00008768</t>
  </si>
  <si>
    <t>«Маленький принц» — Антуан де Сент-Экзюпери</t>
  </si>
  <si>
    <t>00007812</t>
  </si>
  <si>
    <t>«Дитя из чемодана» — Жаклин Уилсон</t>
  </si>
  <si>
    <t>00009723</t>
  </si>
  <si>
    <t>«Приключения Оливера Твиста» — Чарльз Диккенс</t>
  </si>
  <si>
    <t>00005565</t>
  </si>
  <si>
    <t>«Сила единства» — Брайс Куртене</t>
  </si>
  <si>
    <t>00003598</t>
  </si>
  <si>
    <t>«Сайлес Марнер» — Джордж Элиот</t>
  </si>
  <si>
    <t>00005631</t>
  </si>
  <si>
    <t>«Американский психопат» — Брет Истон Эллис</t>
  </si>
  <si>
    <t>00009541</t>
  </si>
  <si>
    <t>«Дневник незначительного лица» — Джордж и Уидон Гроссмит</t>
  </si>
  <si>
    <t>00003406</t>
  </si>
  <si>
    <t>«На игле» — Ирвин Уэлш</t>
  </si>
  <si>
    <t>00006696</t>
  </si>
  <si>
    <t>«Хайди» — Иоганна Шпири</t>
  </si>
  <si>
    <t>00000897</t>
  </si>
  <si>
    <t>«Сыновья и любовники» — Дэвид Герберт Лоуренс</t>
  </si>
  <si>
    <t>00006316</t>
  </si>
  <si>
    <t>«Невыносимая лёгкость бытия» — Милан Кундера</t>
  </si>
  <si>
    <t>00002917</t>
  </si>
  <si>
    <t>«Мужчина и мальчик» — Тони Парсонс</t>
  </si>
  <si>
    <t>00004351</t>
  </si>
  <si>
    <t>«Правда» — Терри Пратчетт</t>
  </si>
  <si>
    <t>00009805</t>
  </si>
  <si>
    <t>«Война миров» — Герберт Уэллс</t>
  </si>
  <si>
    <t>00004958</t>
  </si>
  <si>
    <t>«Ужастики» — Роберт Лоуренс Стайн</t>
  </si>
  <si>
    <t>00004688</t>
  </si>
  <si>
    <t>«Заклинатель лошадей» — Николас Эванс</t>
  </si>
  <si>
    <t>00000221</t>
  </si>
  <si>
    <t>«Хрупкое равновесие» — Рохинтон Мистри</t>
  </si>
  <si>
    <t>00009762</t>
  </si>
  <si>
    <t>«Ведьмы за границей» — Терри Пратчетт</t>
  </si>
  <si>
    <t>00004441</t>
  </si>
  <si>
    <t>«Король былого и грядущего» — Теренс Уайт</t>
  </si>
  <si>
    <t>00003694</t>
  </si>
  <si>
    <t>«Очень голодная гусеница» — Эрик Карл</t>
  </si>
  <si>
    <t>00008766</t>
  </si>
  <si>
    <t>«Цветы на чердаке» — Вирджиния Эндрюс</t>
  </si>
  <si>
    <t>Интернет-магазин</t>
  </si>
  <si>
    <t>B2B</t>
  </si>
  <si>
    <t>Дата</t>
  </si>
  <si>
    <t>Продано за весь период кроме 1 квартала</t>
  </si>
  <si>
    <t>Количество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</si>
</sst>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0"/>
      <color rgb="FF00000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3" fontId="0" fillId="0" borderId="0" xfId="0" applyNumberFormat="1"/>
    <xf numFmtId="3" fontId="2" fillId="2" borderId="0" xfId="0" applyNumberFormat="1" applyFont="1" applyFill="1"/>
    <xf numFmtId="3" fontId="2" fillId="0" borderId="0" xfId="0" applyNumberFormat="1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49" fontId="4" fillId="0" borderId="0" xfId="0" applyNumberFormat="1" applyFont="1" applyAlignment="1">
      <alignment wrapText="1"/>
    </xf>
    <xf numFmtId="14" fontId="0" fillId="0" borderId="0" xfId="0" applyNumberFormat="1"/>
    <xf numFmtId="0" fontId="2" fillId="0" borderId="1" xfId="0" applyFont="1" applyBorder="1" applyAlignment="1">
      <alignment wrapText="1"/>
    </xf>
    <xf numFmtId="165" fontId="0" fillId="0" borderId="0" xfId="1" applyNumberFormat="1" applyFont="1"/>
    <xf numFmtId="0" fontId="2" fillId="3" borderId="0" xfId="0" applyFont="1" applyFill="1" applyAlignment="1">
      <alignment wrapText="1"/>
    </xf>
    <xf numFmtId="0" fontId="0" fillId="3" borderId="0" xfId="0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3"/>
  <sheetViews>
    <sheetView zoomScale="115" zoomScaleNormal="115" workbookViewId="0">
      <pane ySplit="1" topLeftCell="A2" activePane="bottomLeft" state="frozen"/>
      <selection pane="bottomLeft" activeCell="G9" sqref="G9"/>
    </sheetView>
  </sheetViews>
  <sheetFormatPr defaultColWidth="14.44140625" defaultRowHeight="15.75" customHeight="1" x14ac:dyDescent="0.25"/>
  <cols>
    <col min="6" max="6" width="55" customWidth="1"/>
  </cols>
  <sheetData>
    <row r="1" spans="1:7" ht="15.75" customHeight="1" x14ac:dyDescent="0.25">
      <c r="A1" s="1" t="s">
        <v>2418</v>
      </c>
      <c r="B1" s="1" t="s">
        <v>0</v>
      </c>
      <c r="C1" s="1" t="s">
        <v>1</v>
      </c>
      <c r="D1" s="1" t="s">
        <v>2</v>
      </c>
      <c r="F1" s="2" t="s">
        <v>3</v>
      </c>
      <c r="G1" s="2" t="s">
        <v>4</v>
      </c>
    </row>
    <row r="2" spans="1:7" ht="15.75" customHeight="1" x14ac:dyDescent="0.25">
      <c r="A2" s="16">
        <v>44047</v>
      </c>
      <c r="B2" s="15" t="s">
        <v>1699</v>
      </c>
      <c r="C2" s="4" t="s">
        <v>5</v>
      </c>
      <c r="D2" s="5">
        <v>222318</v>
      </c>
      <c r="E2" s="7"/>
      <c r="F2" s="6" t="s">
        <v>6</v>
      </c>
      <c r="G2" s="8">
        <f>SUM(D:D)</f>
        <v>15176402</v>
      </c>
    </row>
    <row r="3" spans="1:7" ht="15.75" customHeight="1" x14ac:dyDescent="0.25">
      <c r="A3" s="16">
        <v>44035</v>
      </c>
      <c r="B3" s="3" t="s">
        <v>1007</v>
      </c>
      <c r="C3" s="4" t="s">
        <v>7</v>
      </c>
      <c r="D3" s="5">
        <v>136824</v>
      </c>
      <c r="E3" s="7"/>
      <c r="F3" s="6" t="s">
        <v>8</v>
      </c>
      <c r="G3" s="8">
        <f>SUMIF(C:C,"Томск",D:D)</f>
        <v>3990356</v>
      </c>
    </row>
    <row r="4" spans="1:7" ht="15.75" customHeight="1" x14ac:dyDescent="0.25">
      <c r="A4" s="16">
        <v>44120</v>
      </c>
      <c r="B4" s="3" t="s">
        <v>1007</v>
      </c>
      <c r="C4" s="4" t="s">
        <v>5</v>
      </c>
      <c r="D4" s="5">
        <v>131302</v>
      </c>
      <c r="E4" s="7"/>
      <c r="F4" s="18" t="s">
        <v>1983</v>
      </c>
      <c r="G4" s="8">
        <f>SUMIFS(D:D,A:A,"&gt;=01.04.2020",A:A,"&lt;=30.06.2020")</f>
        <v>4859327</v>
      </c>
    </row>
    <row r="5" spans="1:7" ht="15.75" customHeight="1" x14ac:dyDescent="0.25">
      <c r="A5" s="16">
        <v>44045</v>
      </c>
      <c r="B5" s="3" t="s">
        <v>19</v>
      </c>
      <c r="C5" s="4" t="s">
        <v>9</v>
      </c>
      <c r="D5" s="5">
        <v>206291</v>
      </c>
      <c r="E5" s="7"/>
      <c r="F5" s="17" t="s">
        <v>1982</v>
      </c>
      <c r="G5" s="8">
        <f>SUMIFS(D:D,B:B,B4,C:C,C3)</f>
        <v>1676443</v>
      </c>
    </row>
    <row r="6" spans="1:7" ht="15.75" customHeight="1" x14ac:dyDescent="0.25">
      <c r="A6" s="16">
        <v>44103</v>
      </c>
      <c r="B6" s="3" t="s">
        <v>1699</v>
      </c>
      <c r="C6" s="4" t="s">
        <v>5</v>
      </c>
      <c r="D6" s="5">
        <v>112391</v>
      </c>
      <c r="E6" s="7"/>
      <c r="F6" s="17" t="s">
        <v>1981</v>
      </c>
      <c r="G6" s="8">
        <f>AVERAGEIFS(D:D,B:B,B5,C:C,C4,A:A,"&gt;=01.02.2020",A:A,"&lt;=29.02.2020")</f>
        <v>137171.5</v>
      </c>
    </row>
    <row r="7" spans="1:7" ht="15.75" customHeight="1" x14ac:dyDescent="0.25">
      <c r="A7" s="16">
        <v>44046</v>
      </c>
      <c r="B7" s="3" t="s">
        <v>19</v>
      </c>
      <c r="C7" s="4" t="s">
        <v>5</v>
      </c>
      <c r="D7" s="5">
        <v>231375</v>
      </c>
      <c r="E7" s="7"/>
      <c r="F7" s="19" t="s">
        <v>10</v>
      </c>
      <c r="G7" s="8">
        <f>COUNT(D:D)</f>
        <v>92</v>
      </c>
    </row>
    <row r="8" spans="1:7" ht="15.75" customHeight="1" x14ac:dyDescent="0.25">
      <c r="A8" s="16">
        <v>44082</v>
      </c>
      <c r="B8" s="3" t="s">
        <v>1007</v>
      </c>
      <c r="C8" s="4" t="s">
        <v>7</v>
      </c>
      <c r="D8" s="5">
        <v>147617</v>
      </c>
      <c r="E8" s="7"/>
      <c r="F8" s="19" t="s">
        <v>11</v>
      </c>
      <c r="G8" s="8">
        <f>COUNTIFS(A:A,"&lt;01.02.2020",C:C,"&lt;&gt;Челябинск")</f>
        <v>6</v>
      </c>
    </row>
    <row r="9" spans="1:7" ht="15.75" customHeight="1" x14ac:dyDescent="0.25">
      <c r="A9" s="16">
        <v>44133</v>
      </c>
      <c r="B9" s="3" t="s">
        <v>19</v>
      </c>
      <c r="C9" s="4" t="s">
        <v>5</v>
      </c>
      <c r="D9" s="5">
        <v>186553</v>
      </c>
      <c r="E9" s="7"/>
      <c r="F9" s="19" t="s">
        <v>12</v>
      </c>
      <c r="G9" s="8">
        <f>COUNTIFS(C:C,C5,D:D,"&gt;"&amp;AVERAGE(D:D))</f>
        <v>12</v>
      </c>
    </row>
    <row r="10" spans="1:7" ht="15.75" customHeight="1" x14ac:dyDescent="0.25">
      <c r="A10" s="16">
        <v>43935</v>
      </c>
      <c r="B10" s="3" t="s">
        <v>1980</v>
      </c>
      <c r="C10" s="4" t="s">
        <v>7</v>
      </c>
      <c r="D10" s="5">
        <v>167549</v>
      </c>
      <c r="E10" s="7"/>
      <c r="F10" s="6"/>
      <c r="G10" s="9"/>
    </row>
    <row r="11" spans="1:7" ht="15.75" customHeight="1" x14ac:dyDescent="0.25">
      <c r="A11" s="16">
        <v>43874</v>
      </c>
      <c r="B11" s="3" t="s">
        <v>19</v>
      </c>
      <c r="C11" s="4" t="s">
        <v>5</v>
      </c>
      <c r="D11" s="5">
        <v>150079</v>
      </c>
      <c r="E11" s="7"/>
      <c r="F11" t="s">
        <v>2419</v>
      </c>
      <c r="G11" s="24">
        <f>SUMIF(A:A,"&gt;=01.04.2020",D:D)</f>
        <v>12353544</v>
      </c>
    </row>
    <row r="12" spans="1:7" ht="15.75" customHeight="1" x14ac:dyDescent="0.25">
      <c r="A12" s="16">
        <v>43891</v>
      </c>
      <c r="B12" s="3" t="s">
        <v>1007</v>
      </c>
      <c r="C12" s="4" t="s">
        <v>5</v>
      </c>
      <c r="D12" s="5">
        <v>126414</v>
      </c>
      <c r="E12" s="7"/>
      <c r="F12" s="4"/>
      <c r="G12" s="24"/>
    </row>
    <row r="13" spans="1:7" ht="15.75" customHeight="1" x14ac:dyDescent="0.25">
      <c r="A13" s="16">
        <v>44020</v>
      </c>
      <c r="B13" s="3" t="s">
        <v>1699</v>
      </c>
      <c r="C13" s="4" t="s">
        <v>7</v>
      </c>
      <c r="D13" s="5">
        <v>150608</v>
      </c>
      <c r="E13" s="7"/>
    </row>
    <row r="14" spans="1:7" ht="15.75" customHeight="1" x14ac:dyDescent="0.25">
      <c r="A14" s="16">
        <v>43976</v>
      </c>
      <c r="B14" s="3" t="s">
        <v>1699</v>
      </c>
      <c r="C14" s="4" t="s">
        <v>5</v>
      </c>
      <c r="D14" s="5">
        <v>164577</v>
      </c>
      <c r="E14" s="7"/>
    </row>
    <row r="15" spans="1:7" ht="15.75" customHeight="1" x14ac:dyDescent="0.25">
      <c r="A15" s="16">
        <v>43951</v>
      </c>
      <c r="B15" s="3" t="s">
        <v>1007</v>
      </c>
      <c r="C15" s="4" t="s">
        <v>7</v>
      </c>
      <c r="D15" s="5">
        <v>228356</v>
      </c>
      <c r="E15" s="7"/>
    </row>
    <row r="16" spans="1:7" ht="15.75" customHeight="1" x14ac:dyDescent="0.25">
      <c r="A16" s="16">
        <v>44064</v>
      </c>
      <c r="B16" s="3" t="s">
        <v>1007</v>
      </c>
      <c r="C16" s="4" t="s">
        <v>5</v>
      </c>
      <c r="D16" s="5">
        <v>169734</v>
      </c>
      <c r="E16" s="7"/>
    </row>
    <row r="17" spans="1:5" ht="15.75" customHeight="1" x14ac:dyDescent="0.25">
      <c r="A17" s="16">
        <v>44080</v>
      </c>
      <c r="B17" s="3" t="s">
        <v>1007</v>
      </c>
      <c r="C17" s="4" t="s">
        <v>5</v>
      </c>
      <c r="D17" s="5">
        <v>187700</v>
      </c>
      <c r="E17" s="7"/>
    </row>
    <row r="18" spans="1:5" ht="15.75" customHeight="1" x14ac:dyDescent="0.25">
      <c r="A18" s="16">
        <v>44164</v>
      </c>
      <c r="B18" s="3" t="s">
        <v>1980</v>
      </c>
      <c r="C18" s="4" t="s">
        <v>9</v>
      </c>
      <c r="D18" s="5">
        <v>166105</v>
      </c>
      <c r="E18" s="7"/>
    </row>
    <row r="19" spans="1:5" ht="15.75" customHeight="1" x14ac:dyDescent="0.25">
      <c r="A19" s="16">
        <v>44172</v>
      </c>
      <c r="B19" s="3" t="s">
        <v>19</v>
      </c>
      <c r="C19" s="4" t="s">
        <v>5</v>
      </c>
      <c r="D19" s="5">
        <v>214293</v>
      </c>
      <c r="E19" s="7"/>
    </row>
    <row r="20" spans="1:5" ht="15.75" customHeight="1" x14ac:dyDescent="0.25">
      <c r="A20" s="16">
        <v>43946</v>
      </c>
      <c r="B20" s="3" t="s">
        <v>1699</v>
      </c>
      <c r="C20" s="4" t="s">
        <v>9</v>
      </c>
      <c r="D20" s="5">
        <v>190616</v>
      </c>
      <c r="E20" s="7"/>
    </row>
    <row r="21" spans="1:5" ht="15.75" customHeight="1" x14ac:dyDescent="0.25">
      <c r="A21" s="16">
        <v>43939</v>
      </c>
      <c r="B21" s="3" t="s">
        <v>1980</v>
      </c>
      <c r="C21" s="4" t="s">
        <v>7</v>
      </c>
      <c r="D21" s="5">
        <v>195789</v>
      </c>
      <c r="E21" s="7"/>
    </row>
    <row r="22" spans="1:5" ht="15.75" customHeight="1" x14ac:dyDescent="0.25">
      <c r="A22" s="16">
        <v>44084</v>
      </c>
      <c r="B22" s="3" t="s">
        <v>19</v>
      </c>
      <c r="C22" s="4" t="s">
        <v>5</v>
      </c>
      <c r="D22" s="5">
        <v>173213</v>
      </c>
      <c r="E22" s="7"/>
    </row>
    <row r="23" spans="1:5" ht="15.75" customHeight="1" x14ac:dyDescent="0.25">
      <c r="A23" s="16">
        <v>43835</v>
      </c>
      <c r="B23" s="3" t="s">
        <v>1699</v>
      </c>
      <c r="C23" s="4" t="s">
        <v>5</v>
      </c>
      <c r="D23" s="5">
        <v>146778</v>
      </c>
      <c r="E23" s="7"/>
    </row>
    <row r="24" spans="1:5" ht="15.75" customHeight="1" x14ac:dyDescent="0.25">
      <c r="A24" s="16">
        <v>43847</v>
      </c>
      <c r="B24" s="3" t="s">
        <v>19</v>
      </c>
      <c r="C24" s="4" t="s">
        <v>9</v>
      </c>
      <c r="D24" s="5">
        <v>148066</v>
      </c>
      <c r="E24" s="7"/>
    </row>
    <row r="25" spans="1:5" ht="15.75" customHeight="1" x14ac:dyDescent="0.25">
      <c r="A25" s="16">
        <v>44050</v>
      </c>
      <c r="B25" s="3" t="s">
        <v>19</v>
      </c>
      <c r="C25" s="4" t="s">
        <v>5</v>
      </c>
      <c r="D25" s="5">
        <v>157415</v>
      </c>
      <c r="E25" s="7"/>
    </row>
    <row r="26" spans="1:5" ht="15.75" customHeight="1" x14ac:dyDescent="0.25">
      <c r="A26" s="16">
        <v>43859</v>
      </c>
      <c r="B26" s="3" t="s">
        <v>19</v>
      </c>
      <c r="C26" s="4" t="s">
        <v>5</v>
      </c>
      <c r="D26" s="5">
        <v>110249</v>
      </c>
      <c r="E26" s="7"/>
    </row>
    <row r="27" spans="1:5" ht="15.75" customHeight="1" x14ac:dyDescent="0.25">
      <c r="A27" s="16">
        <v>44174</v>
      </c>
      <c r="B27" s="3" t="s">
        <v>1007</v>
      </c>
      <c r="C27" s="4" t="s">
        <v>9</v>
      </c>
      <c r="D27" s="5">
        <v>176716</v>
      </c>
      <c r="E27" s="7"/>
    </row>
    <row r="28" spans="1:5" ht="15.75" customHeight="1" x14ac:dyDescent="0.25">
      <c r="A28" s="16">
        <v>43850</v>
      </c>
      <c r="B28" s="3" t="s">
        <v>1699</v>
      </c>
      <c r="C28" s="4" t="s">
        <v>9</v>
      </c>
      <c r="D28" s="5">
        <v>138055</v>
      </c>
      <c r="E28" s="7"/>
    </row>
    <row r="29" spans="1:5" ht="15.75" customHeight="1" x14ac:dyDescent="0.25">
      <c r="A29" s="16">
        <v>44078</v>
      </c>
      <c r="B29" s="3" t="s">
        <v>1699</v>
      </c>
      <c r="C29" s="4" t="s">
        <v>9</v>
      </c>
      <c r="D29" s="5">
        <v>148709</v>
      </c>
      <c r="E29" s="7"/>
    </row>
    <row r="30" spans="1:5" ht="15.75" customHeight="1" x14ac:dyDescent="0.25">
      <c r="A30" s="16">
        <v>43911</v>
      </c>
      <c r="B30" s="3" t="s">
        <v>1007</v>
      </c>
      <c r="C30" s="4" t="s">
        <v>5</v>
      </c>
      <c r="D30" s="5">
        <v>191829</v>
      </c>
      <c r="E30" s="7"/>
    </row>
    <row r="31" spans="1:5" ht="15.75" customHeight="1" x14ac:dyDescent="0.25">
      <c r="A31" s="16">
        <v>43890</v>
      </c>
      <c r="B31" s="3" t="s">
        <v>19</v>
      </c>
      <c r="C31" s="4" t="s">
        <v>5</v>
      </c>
      <c r="D31" s="5">
        <v>124264</v>
      </c>
      <c r="E31" s="7"/>
    </row>
    <row r="32" spans="1:5" ht="15.75" customHeight="1" x14ac:dyDescent="0.25">
      <c r="A32" s="16">
        <v>43928</v>
      </c>
      <c r="B32" s="3" t="s">
        <v>1007</v>
      </c>
      <c r="C32" s="4" t="s">
        <v>7</v>
      </c>
      <c r="D32" s="5">
        <v>132394</v>
      </c>
      <c r="E32" s="7"/>
    </row>
    <row r="33" spans="1:5" ht="15.75" customHeight="1" x14ac:dyDescent="0.25">
      <c r="A33" s="16">
        <v>43923</v>
      </c>
      <c r="B33" s="3" t="s">
        <v>1699</v>
      </c>
      <c r="C33" s="4" t="s">
        <v>5</v>
      </c>
      <c r="D33" s="5">
        <v>195942</v>
      </c>
      <c r="E33" s="7"/>
    </row>
    <row r="34" spans="1:5" ht="15.75" customHeight="1" x14ac:dyDescent="0.25">
      <c r="A34" s="16">
        <v>43988</v>
      </c>
      <c r="B34" s="3" t="s">
        <v>1699</v>
      </c>
      <c r="C34" s="4" t="s">
        <v>9</v>
      </c>
      <c r="D34" s="5">
        <v>109460</v>
      </c>
      <c r="E34" s="7"/>
    </row>
    <row r="35" spans="1:5" ht="15.75" customHeight="1" x14ac:dyDescent="0.25">
      <c r="A35" s="16">
        <v>43978</v>
      </c>
      <c r="B35" s="3" t="s">
        <v>1007</v>
      </c>
      <c r="C35" s="4" t="s">
        <v>5</v>
      </c>
      <c r="D35" s="5">
        <v>177936</v>
      </c>
      <c r="E35" s="7"/>
    </row>
    <row r="36" spans="1:5" ht="15.75" customHeight="1" x14ac:dyDescent="0.25">
      <c r="A36" s="16">
        <v>44011</v>
      </c>
      <c r="B36" s="3" t="s">
        <v>1007</v>
      </c>
      <c r="C36" s="4" t="s">
        <v>5</v>
      </c>
      <c r="D36" s="5">
        <v>214331</v>
      </c>
      <c r="E36" s="7"/>
    </row>
    <row r="37" spans="1:5" ht="15.75" customHeight="1" x14ac:dyDescent="0.25">
      <c r="A37" s="16">
        <v>43886</v>
      </c>
      <c r="B37" s="3" t="s">
        <v>1699</v>
      </c>
      <c r="C37" s="4" t="s">
        <v>7</v>
      </c>
      <c r="D37" s="5">
        <v>207789</v>
      </c>
      <c r="E37" s="7"/>
    </row>
    <row r="38" spans="1:5" ht="15.75" customHeight="1" x14ac:dyDescent="0.25">
      <c r="A38" s="16">
        <v>44169</v>
      </c>
      <c r="B38" s="3" t="s">
        <v>1007</v>
      </c>
      <c r="C38" s="4" t="s">
        <v>7</v>
      </c>
      <c r="D38" s="5">
        <v>183400</v>
      </c>
      <c r="E38" s="7"/>
    </row>
    <row r="39" spans="1:5" ht="13.2" x14ac:dyDescent="0.25">
      <c r="A39" s="16">
        <v>44019</v>
      </c>
      <c r="B39" s="3" t="s">
        <v>1007</v>
      </c>
      <c r="C39" s="4" t="s">
        <v>9</v>
      </c>
      <c r="D39" s="5">
        <v>127174</v>
      </c>
      <c r="E39" s="7"/>
    </row>
    <row r="40" spans="1:5" ht="13.2" x14ac:dyDescent="0.25">
      <c r="A40" s="16">
        <v>44082</v>
      </c>
      <c r="B40" s="3" t="s">
        <v>19</v>
      </c>
      <c r="C40" s="4" t="s">
        <v>9</v>
      </c>
      <c r="D40" s="5">
        <v>133612</v>
      </c>
      <c r="E40" s="7"/>
    </row>
    <row r="41" spans="1:5" ht="13.2" x14ac:dyDescent="0.25">
      <c r="A41" s="16">
        <v>43872</v>
      </c>
      <c r="B41" s="3" t="s">
        <v>19</v>
      </c>
      <c r="C41" s="4" t="s">
        <v>7</v>
      </c>
      <c r="D41" s="5">
        <v>97103</v>
      </c>
      <c r="E41" s="7"/>
    </row>
    <row r="42" spans="1:5" ht="13.2" x14ac:dyDescent="0.25">
      <c r="A42" s="16">
        <v>43897</v>
      </c>
      <c r="B42" s="3" t="s">
        <v>1007</v>
      </c>
      <c r="C42" s="4" t="s">
        <v>7</v>
      </c>
      <c r="D42" s="5">
        <v>127253</v>
      </c>
      <c r="E42" s="7"/>
    </row>
    <row r="43" spans="1:5" ht="13.2" x14ac:dyDescent="0.25">
      <c r="A43" s="16">
        <v>44188</v>
      </c>
      <c r="B43" s="3" t="s">
        <v>1699</v>
      </c>
      <c r="C43" s="4" t="s">
        <v>5</v>
      </c>
      <c r="D43" s="5">
        <v>216253</v>
      </c>
      <c r="E43" s="7"/>
    </row>
    <row r="44" spans="1:5" ht="13.2" x14ac:dyDescent="0.25">
      <c r="A44" s="16">
        <v>43954</v>
      </c>
      <c r="B44" s="3" t="s">
        <v>1699</v>
      </c>
      <c r="C44" s="4" t="s">
        <v>5</v>
      </c>
      <c r="D44" s="5">
        <v>197349</v>
      </c>
      <c r="E44" s="7"/>
    </row>
    <row r="45" spans="1:5" ht="13.2" x14ac:dyDescent="0.25">
      <c r="A45" s="16">
        <v>44016</v>
      </c>
      <c r="B45" s="3" t="s">
        <v>1007</v>
      </c>
      <c r="C45" s="4" t="s">
        <v>5</v>
      </c>
      <c r="D45" s="5">
        <v>136765</v>
      </c>
      <c r="E45" s="7"/>
    </row>
    <row r="46" spans="1:5" ht="13.2" x14ac:dyDescent="0.25">
      <c r="A46" s="16">
        <v>43889</v>
      </c>
      <c r="B46" s="3" t="s">
        <v>19</v>
      </c>
      <c r="C46" s="4" t="s">
        <v>7</v>
      </c>
      <c r="D46" s="5">
        <v>107904</v>
      </c>
      <c r="E46" s="7"/>
    </row>
    <row r="47" spans="1:5" ht="13.2" x14ac:dyDescent="0.25">
      <c r="A47" s="16">
        <v>43861</v>
      </c>
      <c r="B47" s="3" t="s">
        <v>1007</v>
      </c>
      <c r="C47" s="4" t="s">
        <v>9</v>
      </c>
      <c r="D47" s="5">
        <v>128012</v>
      </c>
      <c r="E47" s="7"/>
    </row>
    <row r="48" spans="1:5" ht="13.2" x14ac:dyDescent="0.25">
      <c r="A48" s="16">
        <v>43924</v>
      </c>
      <c r="B48" s="3" t="s">
        <v>1699</v>
      </c>
      <c r="C48" s="4" t="s">
        <v>5</v>
      </c>
      <c r="D48" s="5">
        <v>155629</v>
      </c>
      <c r="E48" s="7"/>
    </row>
    <row r="49" spans="1:5" ht="13.2" x14ac:dyDescent="0.25">
      <c r="A49" s="16">
        <v>44168</v>
      </c>
      <c r="B49" s="3" t="s">
        <v>19</v>
      </c>
      <c r="C49" s="4" t="s">
        <v>7</v>
      </c>
      <c r="D49" s="5">
        <v>123389</v>
      </c>
      <c r="E49" s="7"/>
    </row>
    <row r="50" spans="1:5" ht="13.2" x14ac:dyDescent="0.25">
      <c r="A50" s="16">
        <v>44113</v>
      </c>
      <c r="B50" s="3" t="s">
        <v>1007</v>
      </c>
      <c r="C50" s="4" t="s">
        <v>9</v>
      </c>
      <c r="D50" s="5">
        <v>230828</v>
      </c>
      <c r="E50" s="7"/>
    </row>
    <row r="51" spans="1:5" ht="13.2" x14ac:dyDescent="0.25">
      <c r="A51" s="16">
        <v>44114</v>
      </c>
      <c r="B51" s="3" t="s">
        <v>19</v>
      </c>
      <c r="C51" s="4" t="s">
        <v>5</v>
      </c>
      <c r="D51" s="5">
        <v>241022</v>
      </c>
      <c r="E51" s="7"/>
    </row>
    <row r="52" spans="1:5" ht="13.2" x14ac:dyDescent="0.25">
      <c r="A52" s="16">
        <v>44114</v>
      </c>
      <c r="B52" s="3" t="s">
        <v>1980</v>
      </c>
      <c r="C52" s="4" t="s">
        <v>7</v>
      </c>
      <c r="D52" s="5">
        <v>122807</v>
      </c>
      <c r="E52" s="7"/>
    </row>
    <row r="53" spans="1:5" ht="13.2" x14ac:dyDescent="0.25">
      <c r="A53" s="16">
        <v>44023</v>
      </c>
      <c r="B53" s="3" t="s">
        <v>19</v>
      </c>
      <c r="C53" s="4" t="s">
        <v>5</v>
      </c>
      <c r="D53" s="5">
        <v>170028</v>
      </c>
      <c r="E53" s="7"/>
    </row>
    <row r="54" spans="1:5" ht="13.2" x14ac:dyDescent="0.25">
      <c r="A54" s="16">
        <v>43949</v>
      </c>
      <c r="B54" s="3" t="s">
        <v>1699</v>
      </c>
      <c r="C54" s="4" t="s">
        <v>9</v>
      </c>
      <c r="D54" s="5">
        <v>182993</v>
      </c>
      <c r="E54" s="7"/>
    </row>
    <row r="55" spans="1:5" ht="13.2" x14ac:dyDescent="0.25">
      <c r="A55" s="16">
        <v>43948</v>
      </c>
      <c r="B55" s="3" t="s">
        <v>1980</v>
      </c>
      <c r="C55" s="4" t="s">
        <v>5</v>
      </c>
      <c r="D55" s="5">
        <v>141561</v>
      </c>
      <c r="E55" s="7"/>
    </row>
    <row r="56" spans="1:5" ht="13.2" x14ac:dyDescent="0.25">
      <c r="A56" s="16">
        <v>43973</v>
      </c>
      <c r="B56" s="3" t="s">
        <v>19</v>
      </c>
      <c r="C56" s="4" t="s">
        <v>9</v>
      </c>
      <c r="D56" s="5">
        <v>189428</v>
      </c>
      <c r="E56" s="7"/>
    </row>
    <row r="57" spans="1:5" ht="13.2" x14ac:dyDescent="0.25">
      <c r="A57" s="16">
        <v>43936</v>
      </c>
      <c r="B57" s="3" t="s">
        <v>1699</v>
      </c>
      <c r="C57" s="4" t="s">
        <v>7</v>
      </c>
      <c r="D57" s="5">
        <v>140092</v>
      </c>
      <c r="E57" s="7"/>
    </row>
    <row r="58" spans="1:5" ht="13.2" x14ac:dyDescent="0.25">
      <c r="A58" s="16">
        <v>43902</v>
      </c>
      <c r="B58" s="3" t="s">
        <v>19</v>
      </c>
      <c r="C58" s="4" t="s">
        <v>7</v>
      </c>
      <c r="D58" s="5">
        <v>175601</v>
      </c>
      <c r="E58" s="7"/>
    </row>
    <row r="59" spans="1:5" ht="13.2" x14ac:dyDescent="0.25">
      <c r="A59" s="16">
        <v>44034</v>
      </c>
      <c r="B59" s="3" t="s">
        <v>19</v>
      </c>
      <c r="C59" s="4" t="s">
        <v>5</v>
      </c>
      <c r="D59" s="5">
        <v>224457</v>
      </c>
      <c r="E59" s="7"/>
    </row>
    <row r="60" spans="1:5" ht="13.2" x14ac:dyDescent="0.25">
      <c r="A60" s="16">
        <v>44106</v>
      </c>
      <c r="B60" s="3" t="s">
        <v>19</v>
      </c>
      <c r="C60" s="4" t="s">
        <v>9</v>
      </c>
      <c r="D60" s="5">
        <v>168989</v>
      </c>
      <c r="E60" s="7"/>
    </row>
    <row r="61" spans="1:5" ht="13.2" x14ac:dyDescent="0.25">
      <c r="A61" s="16">
        <v>43930</v>
      </c>
      <c r="B61" s="3" t="s">
        <v>1007</v>
      </c>
      <c r="C61" s="4" t="s">
        <v>5</v>
      </c>
      <c r="D61" s="5">
        <v>150586</v>
      </c>
      <c r="E61" s="7"/>
    </row>
    <row r="62" spans="1:5" ht="13.2" x14ac:dyDescent="0.25">
      <c r="A62" s="16">
        <v>43843</v>
      </c>
      <c r="B62" s="3" t="s">
        <v>1699</v>
      </c>
      <c r="C62" s="4" t="s">
        <v>5</v>
      </c>
      <c r="D62" s="5">
        <v>177882</v>
      </c>
      <c r="E62" s="7"/>
    </row>
    <row r="63" spans="1:5" ht="13.2" x14ac:dyDescent="0.25">
      <c r="A63" s="16">
        <v>43958</v>
      </c>
      <c r="B63" s="3" t="s">
        <v>1699</v>
      </c>
      <c r="C63" s="4" t="s">
        <v>7</v>
      </c>
      <c r="D63" s="5">
        <v>117361</v>
      </c>
      <c r="E63" s="7"/>
    </row>
    <row r="64" spans="1:5" ht="13.2" x14ac:dyDescent="0.25">
      <c r="A64" s="16">
        <v>44085</v>
      </c>
      <c r="B64" s="3" t="s">
        <v>1007</v>
      </c>
      <c r="C64" s="4" t="s">
        <v>9</v>
      </c>
      <c r="D64" s="5">
        <v>155026</v>
      </c>
      <c r="E64" s="7"/>
    </row>
    <row r="65" spans="1:5" ht="13.2" x14ac:dyDescent="0.25">
      <c r="A65" s="16">
        <v>43931</v>
      </c>
      <c r="B65" s="3" t="s">
        <v>1007</v>
      </c>
      <c r="C65" s="4" t="s">
        <v>9</v>
      </c>
      <c r="D65" s="5">
        <v>222962</v>
      </c>
      <c r="E65" s="7"/>
    </row>
    <row r="66" spans="1:5" ht="13.2" x14ac:dyDescent="0.25">
      <c r="A66" s="16">
        <v>43887</v>
      </c>
      <c r="B66" s="3" t="s">
        <v>1007</v>
      </c>
      <c r="C66" s="4" t="s">
        <v>7</v>
      </c>
      <c r="D66" s="5">
        <v>222606</v>
      </c>
      <c r="E66" s="7"/>
    </row>
    <row r="67" spans="1:5" ht="13.2" x14ac:dyDescent="0.25">
      <c r="A67" s="16">
        <v>44062</v>
      </c>
      <c r="B67" s="3" t="s">
        <v>1007</v>
      </c>
      <c r="C67" s="4" t="s">
        <v>7</v>
      </c>
      <c r="D67" s="5">
        <v>232566</v>
      </c>
      <c r="E67" s="7"/>
    </row>
    <row r="68" spans="1:5" ht="13.2" x14ac:dyDescent="0.25">
      <c r="A68" s="16">
        <v>44142</v>
      </c>
      <c r="B68" s="3" t="s">
        <v>1699</v>
      </c>
      <c r="C68" s="4" t="s">
        <v>9</v>
      </c>
      <c r="D68" s="5">
        <v>237567</v>
      </c>
      <c r="E68" s="7"/>
    </row>
    <row r="69" spans="1:5" ht="13.2" x14ac:dyDescent="0.25">
      <c r="A69" s="16">
        <v>43945</v>
      </c>
      <c r="B69" s="3" t="s">
        <v>1007</v>
      </c>
      <c r="C69" s="4" t="s">
        <v>5</v>
      </c>
      <c r="D69" s="5">
        <v>224761</v>
      </c>
      <c r="E69" s="7"/>
    </row>
    <row r="70" spans="1:5" ht="13.2" x14ac:dyDescent="0.25">
      <c r="A70" s="16">
        <v>43930</v>
      </c>
      <c r="B70" s="3" t="s">
        <v>1007</v>
      </c>
      <c r="C70" s="4" t="s">
        <v>5</v>
      </c>
      <c r="D70" s="5">
        <v>117135</v>
      </c>
      <c r="E70" s="7"/>
    </row>
    <row r="71" spans="1:5" ht="13.2" x14ac:dyDescent="0.25">
      <c r="A71" s="16">
        <v>44171</v>
      </c>
      <c r="B71" s="3" t="s">
        <v>19</v>
      </c>
      <c r="C71" s="4" t="s">
        <v>5</v>
      </c>
      <c r="D71" s="5">
        <v>127618</v>
      </c>
      <c r="E71" s="7"/>
    </row>
    <row r="72" spans="1:5" ht="13.2" x14ac:dyDescent="0.25">
      <c r="A72" s="16">
        <v>44054</v>
      </c>
      <c r="B72" s="3" t="s">
        <v>19</v>
      </c>
      <c r="C72" s="4" t="s">
        <v>9</v>
      </c>
      <c r="D72" s="5">
        <v>115479</v>
      </c>
      <c r="E72" s="7"/>
    </row>
    <row r="73" spans="1:5" ht="13.2" x14ac:dyDescent="0.25">
      <c r="A73" s="16">
        <v>44188</v>
      </c>
      <c r="B73" s="3" t="s">
        <v>1007</v>
      </c>
      <c r="C73" s="4" t="s">
        <v>9</v>
      </c>
      <c r="D73" s="5">
        <v>121956</v>
      </c>
      <c r="E73" s="7"/>
    </row>
    <row r="74" spans="1:5" ht="13.2" x14ac:dyDescent="0.25">
      <c r="A74" s="16">
        <v>44169</v>
      </c>
      <c r="B74" s="3" t="s">
        <v>1699</v>
      </c>
      <c r="C74" s="4" t="s">
        <v>7</v>
      </c>
      <c r="D74" s="5">
        <v>181315</v>
      </c>
      <c r="E74" s="7"/>
    </row>
    <row r="75" spans="1:5" ht="13.2" x14ac:dyDescent="0.25">
      <c r="A75" s="16">
        <v>44123</v>
      </c>
      <c r="B75" s="3" t="s">
        <v>1699</v>
      </c>
      <c r="C75" s="4" t="s">
        <v>5</v>
      </c>
      <c r="D75" s="5">
        <v>120531</v>
      </c>
      <c r="E75" s="7"/>
    </row>
    <row r="76" spans="1:5" ht="13.2" x14ac:dyDescent="0.25">
      <c r="A76" s="16">
        <v>43881</v>
      </c>
      <c r="B76" s="3" t="s">
        <v>1007</v>
      </c>
      <c r="C76" s="4" t="s">
        <v>9</v>
      </c>
      <c r="D76" s="5">
        <v>100201</v>
      </c>
      <c r="E76" s="7"/>
    </row>
    <row r="77" spans="1:5" ht="13.2" x14ac:dyDescent="0.25">
      <c r="A77" s="16">
        <v>43976</v>
      </c>
      <c r="B77" s="3" t="s">
        <v>19</v>
      </c>
      <c r="C77" s="4" t="s">
        <v>7</v>
      </c>
      <c r="D77" s="5">
        <v>227830</v>
      </c>
      <c r="E77" s="7"/>
    </row>
    <row r="78" spans="1:5" ht="13.2" x14ac:dyDescent="0.25">
      <c r="A78" s="16">
        <v>44076</v>
      </c>
      <c r="B78" s="3" t="s">
        <v>1007</v>
      </c>
      <c r="C78" s="4" t="s">
        <v>5</v>
      </c>
      <c r="D78" s="5">
        <v>207341</v>
      </c>
      <c r="E78" s="7"/>
    </row>
    <row r="79" spans="1:5" ht="13.2" x14ac:dyDescent="0.25">
      <c r="A79" s="16">
        <v>43894</v>
      </c>
      <c r="B79" s="3" t="s">
        <v>1007</v>
      </c>
      <c r="C79" s="4" t="s">
        <v>9</v>
      </c>
      <c r="D79" s="5">
        <v>193777</v>
      </c>
      <c r="E79" s="7"/>
    </row>
    <row r="80" spans="1:5" ht="13.2" x14ac:dyDescent="0.25">
      <c r="A80" s="16">
        <v>43964</v>
      </c>
      <c r="B80" s="3" t="s">
        <v>1007</v>
      </c>
      <c r="C80" s="4" t="s">
        <v>5</v>
      </c>
      <c r="D80" s="5">
        <v>223379</v>
      </c>
      <c r="E80" s="7"/>
    </row>
    <row r="81" spans="1:5" ht="13.2" x14ac:dyDescent="0.25">
      <c r="A81" s="16">
        <v>44052</v>
      </c>
      <c r="B81" s="3" t="s">
        <v>1699</v>
      </c>
      <c r="C81" s="4" t="s">
        <v>9</v>
      </c>
      <c r="D81" s="5">
        <v>95342</v>
      </c>
      <c r="E81" s="7"/>
    </row>
    <row r="82" spans="1:5" ht="13.2" x14ac:dyDescent="0.25">
      <c r="A82" s="16">
        <v>44060</v>
      </c>
      <c r="B82" s="3" t="s">
        <v>1007</v>
      </c>
      <c r="C82" s="4" t="s">
        <v>7</v>
      </c>
      <c r="D82" s="5">
        <v>154817</v>
      </c>
      <c r="E82" s="7"/>
    </row>
    <row r="83" spans="1:5" ht="13.2" x14ac:dyDescent="0.25">
      <c r="A83" s="16">
        <v>43867</v>
      </c>
      <c r="B83" s="3" t="s">
        <v>1007</v>
      </c>
      <c r="C83" s="4" t="s">
        <v>5</v>
      </c>
      <c r="D83" s="5">
        <v>148996</v>
      </c>
      <c r="E83" s="7"/>
    </row>
    <row r="84" spans="1:5" ht="13.2" x14ac:dyDescent="0.25">
      <c r="A84" s="16">
        <v>44115</v>
      </c>
      <c r="B84" s="3" t="s">
        <v>19</v>
      </c>
      <c r="C84" s="4" t="s">
        <v>9</v>
      </c>
      <c r="D84" s="5">
        <v>195075</v>
      </c>
      <c r="E84" s="7"/>
    </row>
    <row r="85" spans="1:5" ht="13.2" x14ac:dyDescent="0.25">
      <c r="A85" s="16">
        <v>43928</v>
      </c>
      <c r="B85" s="3" t="s">
        <v>19</v>
      </c>
      <c r="C85" s="4" t="s">
        <v>5</v>
      </c>
      <c r="D85" s="5">
        <v>105137</v>
      </c>
      <c r="E85" s="7"/>
    </row>
    <row r="86" spans="1:5" ht="13.2" x14ac:dyDescent="0.25">
      <c r="A86" s="16">
        <v>44031</v>
      </c>
      <c r="B86" s="3" t="s">
        <v>1007</v>
      </c>
      <c r="C86" s="4" t="s">
        <v>9</v>
      </c>
      <c r="D86" s="5">
        <v>107917</v>
      </c>
      <c r="E86" s="7"/>
    </row>
    <row r="87" spans="1:5" ht="13.2" x14ac:dyDescent="0.25">
      <c r="A87" s="16">
        <v>43978</v>
      </c>
      <c r="B87" s="3" t="s">
        <v>1699</v>
      </c>
      <c r="C87" s="4" t="s">
        <v>5</v>
      </c>
      <c r="D87" s="5">
        <v>162402</v>
      </c>
      <c r="E87" s="7"/>
    </row>
    <row r="88" spans="1:5" ht="13.2" x14ac:dyDescent="0.25">
      <c r="A88" s="16">
        <v>44004</v>
      </c>
      <c r="B88" s="3" t="s">
        <v>1699</v>
      </c>
      <c r="C88" s="4" t="s">
        <v>5</v>
      </c>
      <c r="D88" s="5">
        <v>185572</v>
      </c>
      <c r="E88" s="7"/>
    </row>
    <row r="89" spans="1:5" ht="13.2" x14ac:dyDescent="0.25">
      <c r="A89" s="16">
        <v>44067</v>
      </c>
      <c r="B89" s="3" t="s">
        <v>1007</v>
      </c>
      <c r="C89" s="4" t="s">
        <v>7</v>
      </c>
      <c r="D89" s="5">
        <v>110610</v>
      </c>
      <c r="E89" s="7"/>
    </row>
    <row r="90" spans="1:5" ht="13.2" x14ac:dyDescent="0.25">
      <c r="A90" s="16">
        <v>44170</v>
      </c>
      <c r="B90" s="3" t="s">
        <v>1007</v>
      </c>
      <c r="C90" s="4" t="s">
        <v>5</v>
      </c>
      <c r="D90" s="5">
        <v>152103</v>
      </c>
      <c r="E90" s="7"/>
    </row>
    <row r="91" spans="1:5" ht="13.2" x14ac:dyDescent="0.25">
      <c r="A91" s="16">
        <v>43979</v>
      </c>
      <c r="B91" s="3" t="s">
        <v>1007</v>
      </c>
      <c r="C91" s="4" t="s">
        <v>5</v>
      </c>
      <c r="D91" s="5">
        <v>229104</v>
      </c>
      <c r="E91" s="7"/>
    </row>
    <row r="92" spans="1:5" ht="13.2" x14ac:dyDescent="0.25">
      <c r="A92" s="16">
        <v>43969</v>
      </c>
      <c r="B92" s="3" t="s">
        <v>19</v>
      </c>
      <c r="C92" s="4" t="s">
        <v>7</v>
      </c>
      <c r="D92" s="5">
        <v>109096</v>
      </c>
      <c r="E92" s="7"/>
    </row>
    <row r="93" spans="1:5" ht="13.2" x14ac:dyDescent="0.25">
      <c r="A93" s="16">
        <v>44140</v>
      </c>
      <c r="B93" s="3" t="s">
        <v>1980</v>
      </c>
      <c r="C93" s="4" t="s">
        <v>5</v>
      </c>
      <c r="D93" s="5">
        <v>181066</v>
      </c>
      <c r="E9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7B1A-24B7-4244-89BD-706D9D8225D3}">
  <dimension ref="A1:I2979"/>
  <sheetViews>
    <sheetView zoomScale="115" zoomScaleNormal="115" workbookViewId="0">
      <pane ySplit="1" topLeftCell="A2" activePane="bottomLeft" state="frozen"/>
      <selection pane="bottomLeft" activeCell="I7" sqref="I7"/>
    </sheetView>
  </sheetViews>
  <sheetFormatPr defaultRowHeight="13.2" x14ac:dyDescent="0.25"/>
  <cols>
    <col min="1" max="1" width="44" customWidth="1"/>
    <col min="2" max="2" width="15.109375" bestFit="1" customWidth="1"/>
    <col min="3" max="3" width="16.44140625" bestFit="1" customWidth="1"/>
    <col min="4" max="4" width="12.44140625" bestFit="1" customWidth="1"/>
    <col min="5" max="5" width="17.6640625" bestFit="1" customWidth="1"/>
    <col min="8" max="8" width="31.6640625" bestFit="1" customWidth="1"/>
  </cols>
  <sheetData>
    <row r="1" spans="1:9" x14ac:dyDescent="0.25">
      <c r="A1" s="10" t="s">
        <v>13</v>
      </c>
      <c r="B1" s="10" t="s">
        <v>14</v>
      </c>
      <c r="C1" s="10" t="s">
        <v>15</v>
      </c>
      <c r="D1" s="10" t="s">
        <v>16</v>
      </c>
      <c r="E1" s="10" t="s">
        <v>17</v>
      </c>
    </row>
    <row r="2" spans="1:9" x14ac:dyDescent="0.25">
      <c r="A2" s="11" t="s">
        <v>687</v>
      </c>
      <c r="B2" s="11" t="s">
        <v>26</v>
      </c>
      <c r="C2" s="11" t="s">
        <v>44</v>
      </c>
      <c r="D2" s="12">
        <v>1</v>
      </c>
      <c r="E2" s="13">
        <v>0</v>
      </c>
    </row>
    <row r="3" spans="1:9" x14ac:dyDescent="0.25">
      <c r="A3" s="11" t="s">
        <v>838</v>
      </c>
      <c r="B3" s="11" t="s">
        <v>24</v>
      </c>
      <c r="C3" s="11" t="s">
        <v>39</v>
      </c>
      <c r="D3" s="12">
        <v>2</v>
      </c>
      <c r="E3" s="13">
        <v>0</v>
      </c>
    </row>
    <row r="4" spans="1:9" x14ac:dyDescent="0.25">
      <c r="A4" s="11" t="s">
        <v>1945</v>
      </c>
      <c r="B4" s="11" t="s">
        <v>26</v>
      </c>
      <c r="C4" s="11" t="s">
        <v>39</v>
      </c>
      <c r="D4" s="12">
        <v>2</v>
      </c>
      <c r="E4" s="13">
        <v>4</v>
      </c>
    </row>
    <row r="5" spans="1:9" x14ac:dyDescent="0.25">
      <c r="A5" s="11" t="s">
        <v>400</v>
      </c>
      <c r="B5" s="11" t="s">
        <v>24</v>
      </c>
      <c r="C5" s="11" t="s">
        <v>5</v>
      </c>
      <c r="D5" s="12">
        <v>3</v>
      </c>
      <c r="E5" s="13">
        <v>0</v>
      </c>
      <c r="H5" s="18" t="s">
        <v>1984</v>
      </c>
      <c r="I5" s="8">
        <f>SUMIFS(D:D,B:B,B9,A:A,"*Монитор*")</f>
        <v>33913</v>
      </c>
    </row>
    <row r="6" spans="1:9" x14ac:dyDescent="0.25">
      <c r="A6" s="11" t="s">
        <v>1111</v>
      </c>
      <c r="B6" s="11" t="s">
        <v>26</v>
      </c>
      <c r="C6" s="11" t="s">
        <v>39</v>
      </c>
      <c r="D6" s="12">
        <v>3</v>
      </c>
      <c r="E6" s="13">
        <v>5</v>
      </c>
      <c r="H6" s="18" t="s">
        <v>1987</v>
      </c>
      <c r="I6" s="8">
        <f>SUMIFS(D:D,C:C,C2,A:A,"*Asus*")</f>
        <v>22902</v>
      </c>
    </row>
    <row r="7" spans="1:9" x14ac:dyDescent="0.25">
      <c r="A7" s="11" t="s">
        <v>1245</v>
      </c>
      <c r="B7" s="11" t="s">
        <v>26</v>
      </c>
      <c r="C7" s="11" t="s">
        <v>27</v>
      </c>
      <c r="D7" s="12">
        <v>3</v>
      </c>
      <c r="E7" s="13">
        <v>13</v>
      </c>
      <c r="H7" s="18" t="s">
        <v>1986</v>
      </c>
      <c r="I7" s="8">
        <f>COUNTIF(A:A,"HP ??-da*")</f>
        <v>87</v>
      </c>
    </row>
    <row r="8" spans="1:9" x14ac:dyDescent="0.25">
      <c r="A8" s="11" t="s">
        <v>1607</v>
      </c>
      <c r="B8" s="11" t="s">
        <v>24</v>
      </c>
      <c r="C8" s="11" t="s">
        <v>27</v>
      </c>
      <c r="D8" s="12">
        <v>3</v>
      </c>
      <c r="E8" s="13">
        <v>2</v>
      </c>
    </row>
    <row r="9" spans="1:9" x14ac:dyDescent="0.25">
      <c r="A9" s="11" t="s">
        <v>1290</v>
      </c>
      <c r="B9" s="11" t="s">
        <v>20</v>
      </c>
      <c r="C9" s="11" t="s">
        <v>25</v>
      </c>
      <c r="D9" s="12">
        <v>4</v>
      </c>
      <c r="E9" s="13">
        <v>13</v>
      </c>
    </row>
    <row r="10" spans="1:9" x14ac:dyDescent="0.25">
      <c r="A10" s="11" t="s">
        <v>1692</v>
      </c>
      <c r="B10" s="11" t="s">
        <v>24</v>
      </c>
      <c r="C10" s="11" t="s">
        <v>44</v>
      </c>
      <c r="D10" s="12">
        <v>4</v>
      </c>
      <c r="E10" s="13">
        <v>2</v>
      </c>
    </row>
    <row r="11" spans="1:9" x14ac:dyDescent="0.25">
      <c r="A11" s="11" t="s">
        <v>980</v>
      </c>
      <c r="B11" s="11" t="s">
        <v>24</v>
      </c>
      <c r="C11" s="11" t="s">
        <v>27</v>
      </c>
      <c r="D11" s="12">
        <v>5</v>
      </c>
      <c r="E11" s="13">
        <v>1</v>
      </c>
    </row>
    <row r="12" spans="1:9" x14ac:dyDescent="0.25">
      <c r="A12" s="11" t="s">
        <v>330</v>
      </c>
      <c r="B12" s="11" t="s">
        <v>26</v>
      </c>
      <c r="C12" s="11" t="s">
        <v>44</v>
      </c>
      <c r="D12" s="12">
        <v>6</v>
      </c>
      <c r="E12" s="13">
        <v>0</v>
      </c>
    </row>
    <row r="13" spans="1:9" x14ac:dyDescent="0.25">
      <c r="A13" s="11" t="s">
        <v>429</v>
      </c>
      <c r="B13" s="11" t="s">
        <v>26</v>
      </c>
      <c r="C13" s="11" t="s">
        <v>62</v>
      </c>
      <c r="D13" s="12">
        <v>6</v>
      </c>
      <c r="E13" s="13">
        <v>11</v>
      </c>
    </row>
    <row r="14" spans="1:9" x14ac:dyDescent="0.25">
      <c r="A14" s="11" t="s">
        <v>677</v>
      </c>
      <c r="B14" s="11" t="s">
        <v>26</v>
      </c>
      <c r="C14" s="11" t="s">
        <v>40</v>
      </c>
      <c r="D14" s="12">
        <v>6</v>
      </c>
      <c r="E14" s="13">
        <v>7</v>
      </c>
    </row>
    <row r="15" spans="1:9" x14ac:dyDescent="0.25">
      <c r="A15" s="11" t="s">
        <v>1611</v>
      </c>
      <c r="B15" s="11" t="s">
        <v>26</v>
      </c>
      <c r="C15" s="11" t="s">
        <v>32</v>
      </c>
      <c r="D15" s="12">
        <v>6</v>
      </c>
      <c r="E15" s="13">
        <v>0</v>
      </c>
    </row>
    <row r="16" spans="1:9" x14ac:dyDescent="0.25">
      <c r="A16" s="11" t="s">
        <v>825</v>
      </c>
      <c r="B16" s="11" t="s">
        <v>26</v>
      </c>
      <c r="C16" s="11" t="s">
        <v>33</v>
      </c>
      <c r="D16" s="12">
        <v>7</v>
      </c>
      <c r="E16" s="13">
        <v>3</v>
      </c>
    </row>
    <row r="17" spans="1:5" x14ac:dyDescent="0.25">
      <c r="A17" s="11" t="s">
        <v>1018</v>
      </c>
      <c r="B17" s="11" t="s">
        <v>20</v>
      </c>
      <c r="C17" s="11" t="s">
        <v>30</v>
      </c>
      <c r="D17" s="12">
        <v>7</v>
      </c>
      <c r="E17" s="13">
        <v>2</v>
      </c>
    </row>
    <row r="18" spans="1:5" x14ac:dyDescent="0.25">
      <c r="A18" s="11" t="s">
        <v>1149</v>
      </c>
      <c r="B18" s="11" t="s">
        <v>24</v>
      </c>
      <c r="C18" s="11" t="s">
        <v>39</v>
      </c>
      <c r="D18" s="12">
        <v>7</v>
      </c>
      <c r="E18" s="13">
        <v>14</v>
      </c>
    </row>
    <row r="19" spans="1:5" x14ac:dyDescent="0.25">
      <c r="A19" s="11" t="s">
        <v>1417</v>
      </c>
      <c r="B19" s="11" t="s">
        <v>24</v>
      </c>
      <c r="C19" s="11" t="s">
        <v>62</v>
      </c>
      <c r="D19" s="12">
        <v>7</v>
      </c>
      <c r="E19" s="13">
        <v>3</v>
      </c>
    </row>
    <row r="20" spans="1:5" x14ac:dyDescent="0.25">
      <c r="A20" s="11" t="s">
        <v>86</v>
      </c>
      <c r="B20" s="11" t="s">
        <v>26</v>
      </c>
      <c r="C20" s="11" t="s">
        <v>32</v>
      </c>
      <c r="D20" s="12">
        <v>8</v>
      </c>
      <c r="E20" s="13">
        <v>3</v>
      </c>
    </row>
    <row r="21" spans="1:5" x14ac:dyDescent="0.25">
      <c r="A21" s="11" t="s">
        <v>139</v>
      </c>
      <c r="B21" s="11" t="s">
        <v>20</v>
      </c>
      <c r="C21" s="11" t="s">
        <v>34</v>
      </c>
      <c r="D21" s="12">
        <v>8</v>
      </c>
      <c r="E21" s="13">
        <v>0</v>
      </c>
    </row>
    <row r="22" spans="1:5" x14ac:dyDescent="0.25">
      <c r="A22" s="11" t="s">
        <v>423</v>
      </c>
      <c r="B22" s="11" t="s">
        <v>20</v>
      </c>
      <c r="C22" s="11" t="s">
        <v>27</v>
      </c>
      <c r="D22" s="12">
        <v>8</v>
      </c>
      <c r="E22" s="13">
        <v>7</v>
      </c>
    </row>
    <row r="23" spans="1:5" x14ac:dyDescent="0.25">
      <c r="A23" s="11" t="s">
        <v>1388</v>
      </c>
      <c r="B23" s="11" t="s">
        <v>26</v>
      </c>
      <c r="C23" s="11" t="s">
        <v>32</v>
      </c>
      <c r="D23" s="12">
        <v>8</v>
      </c>
      <c r="E23" s="13">
        <v>0</v>
      </c>
    </row>
    <row r="24" spans="1:5" x14ac:dyDescent="0.25">
      <c r="A24" s="11" t="s">
        <v>971</v>
      </c>
      <c r="B24" s="11" t="s">
        <v>24</v>
      </c>
      <c r="C24" s="11" t="s">
        <v>40</v>
      </c>
      <c r="D24" s="12">
        <v>9</v>
      </c>
      <c r="E24" s="13">
        <v>2</v>
      </c>
    </row>
    <row r="25" spans="1:5" x14ac:dyDescent="0.25">
      <c r="A25" s="11" t="s">
        <v>1027</v>
      </c>
      <c r="B25" s="11" t="s">
        <v>24</v>
      </c>
      <c r="C25" s="11" t="s">
        <v>30</v>
      </c>
      <c r="D25" s="12">
        <v>9</v>
      </c>
      <c r="E25" s="13">
        <v>0</v>
      </c>
    </row>
    <row r="26" spans="1:5" x14ac:dyDescent="0.25">
      <c r="A26" s="11" t="s">
        <v>1463</v>
      </c>
      <c r="B26" s="11" t="s">
        <v>20</v>
      </c>
      <c r="C26" s="11" t="s">
        <v>25</v>
      </c>
      <c r="D26" s="12">
        <v>9</v>
      </c>
      <c r="E26" s="13">
        <v>7</v>
      </c>
    </row>
    <row r="27" spans="1:5" x14ac:dyDescent="0.25">
      <c r="A27" s="11" t="s">
        <v>254</v>
      </c>
      <c r="B27" s="11" t="s">
        <v>20</v>
      </c>
      <c r="C27" s="11" t="s">
        <v>27</v>
      </c>
      <c r="D27" s="12">
        <v>10</v>
      </c>
      <c r="E27" s="13">
        <v>0</v>
      </c>
    </row>
    <row r="28" spans="1:5" x14ac:dyDescent="0.25">
      <c r="A28" s="11" t="s">
        <v>824</v>
      </c>
      <c r="B28" s="11" t="s">
        <v>20</v>
      </c>
      <c r="C28" s="11" t="s">
        <v>40</v>
      </c>
      <c r="D28" s="12">
        <v>10</v>
      </c>
      <c r="E28" s="13">
        <v>3</v>
      </c>
    </row>
    <row r="29" spans="1:5" x14ac:dyDescent="0.25">
      <c r="A29" s="11" t="s">
        <v>874</v>
      </c>
      <c r="B29" s="11" t="s">
        <v>26</v>
      </c>
      <c r="C29" s="11" t="s">
        <v>39</v>
      </c>
      <c r="D29" s="12">
        <v>10</v>
      </c>
      <c r="E29" s="13">
        <v>2</v>
      </c>
    </row>
    <row r="30" spans="1:5" x14ac:dyDescent="0.25">
      <c r="A30" s="11" t="s">
        <v>1417</v>
      </c>
      <c r="B30" s="11" t="s">
        <v>26</v>
      </c>
      <c r="C30" s="11" t="s">
        <v>28</v>
      </c>
      <c r="D30" s="12">
        <v>10</v>
      </c>
      <c r="E30" s="13">
        <v>0</v>
      </c>
    </row>
    <row r="31" spans="1:5" x14ac:dyDescent="0.25">
      <c r="A31" s="11" t="s">
        <v>1742</v>
      </c>
      <c r="B31" s="11" t="s">
        <v>20</v>
      </c>
      <c r="C31" s="11" t="s">
        <v>44</v>
      </c>
      <c r="D31" s="12">
        <v>10</v>
      </c>
      <c r="E31" s="13">
        <v>0</v>
      </c>
    </row>
    <row r="32" spans="1:5" x14ac:dyDescent="0.25">
      <c r="A32" s="11" t="s">
        <v>102</v>
      </c>
      <c r="B32" s="11" t="s">
        <v>20</v>
      </c>
      <c r="C32" s="11" t="s">
        <v>33</v>
      </c>
      <c r="D32" s="12">
        <v>11</v>
      </c>
      <c r="E32" s="13">
        <v>3</v>
      </c>
    </row>
    <row r="33" spans="1:5" x14ac:dyDescent="0.25">
      <c r="A33" s="11" t="s">
        <v>556</v>
      </c>
      <c r="B33" s="11" t="s">
        <v>24</v>
      </c>
      <c r="C33" s="11" t="s">
        <v>27</v>
      </c>
      <c r="D33" s="12">
        <v>11</v>
      </c>
      <c r="E33" s="13">
        <v>0</v>
      </c>
    </row>
    <row r="34" spans="1:5" x14ac:dyDescent="0.25">
      <c r="A34" s="11" t="s">
        <v>954</v>
      </c>
      <c r="B34" s="11" t="s">
        <v>24</v>
      </c>
      <c r="C34" s="11" t="s">
        <v>44</v>
      </c>
      <c r="D34" s="12">
        <v>11</v>
      </c>
      <c r="E34" s="13">
        <v>6</v>
      </c>
    </row>
    <row r="35" spans="1:5" x14ac:dyDescent="0.25">
      <c r="A35" s="11" t="s">
        <v>960</v>
      </c>
      <c r="B35" s="11" t="s">
        <v>26</v>
      </c>
      <c r="C35" s="11" t="s">
        <v>28</v>
      </c>
      <c r="D35" s="12">
        <v>11</v>
      </c>
      <c r="E35" s="13">
        <v>1</v>
      </c>
    </row>
    <row r="36" spans="1:5" x14ac:dyDescent="0.25">
      <c r="A36" s="11" t="s">
        <v>1510</v>
      </c>
      <c r="B36" s="11" t="s">
        <v>20</v>
      </c>
      <c r="C36" s="11" t="s">
        <v>39</v>
      </c>
      <c r="D36" s="12">
        <v>11</v>
      </c>
      <c r="E36" s="13">
        <v>2</v>
      </c>
    </row>
    <row r="37" spans="1:5" x14ac:dyDescent="0.25">
      <c r="A37" s="11" t="s">
        <v>1536</v>
      </c>
      <c r="B37" s="11" t="s">
        <v>24</v>
      </c>
      <c r="C37" s="11" t="s">
        <v>39</v>
      </c>
      <c r="D37" s="12">
        <v>11</v>
      </c>
      <c r="E37" s="13">
        <v>10</v>
      </c>
    </row>
    <row r="38" spans="1:5" x14ac:dyDescent="0.25">
      <c r="A38" s="11" t="s">
        <v>1605</v>
      </c>
      <c r="B38" s="11" t="s">
        <v>24</v>
      </c>
      <c r="C38" s="11" t="s">
        <v>44</v>
      </c>
      <c r="D38" s="12">
        <v>11</v>
      </c>
      <c r="E38" s="13">
        <v>2</v>
      </c>
    </row>
    <row r="39" spans="1:5" x14ac:dyDescent="0.25">
      <c r="A39" s="11" t="s">
        <v>168</v>
      </c>
      <c r="B39" s="11" t="s">
        <v>20</v>
      </c>
      <c r="C39" s="11" t="s">
        <v>39</v>
      </c>
      <c r="D39" s="12">
        <v>13</v>
      </c>
      <c r="E39" s="13">
        <v>4</v>
      </c>
    </row>
    <row r="40" spans="1:5" x14ac:dyDescent="0.25">
      <c r="A40" s="11" t="s">
        <v>705</v>
      </c>
      <c r="B40" s="11" t="s">
        <v>26</v>
      </c>
      <c r="C40" s="11" t="s">
        <v>22</v>
      </c>
      <c r="D40" s="12">
        <v>13</v>
      </c>
      <c r="E40" s="13">
        <v>6</v>
      </c>
    </row>
    <row r="41" spans="1:5" x14ac:dyDescent="0.25">
      <c r="A41" s="11" t="s">
        <v>1227</v>
      </c>
      <c r="B41" s="11" t="s">
        <v>26</v>
      </c>
      <c r="C41" s="11" t="s">
        <v>43</v>
      </c>
      <c r="D41" s="12">
        <v>13</v>
      </c>
      <c r="E41" s="13">
        <v>2</v>
      </c>
    </row>
    <row r="42" spans="1:5" x14ac:dyDescent="0.25">
      <c r="A42" s="11" t="s">
        <v>205</v>
      </c>
      <c r="B42" s="11" t="s">
        <v>26</v>
      </c>
      <c r="C42" s="11" t="s">
        <v>5</v>
      </c>
      <c r="D42" s="12">
        <v>14</v>
      </c>
      <c r="E42" s="13">
        <v>1</v>
      </c>
    </row>
    <row r="43" spans="1:5" x14ac:dyDescent="0.25">
      <c r="A43" s="20" t="s">
        <v>752</v>
      </c>
      <c r="B43" s="11" t="s">
        <v>26</v>
      </c>
      <c r="C43" s="11" t="s">
        <v>39</v>
      </c>
      <c r="D43" s="12">
        <v>14</v>
      </c>
      <c r="E43" s="13">
        <v>0</v>
      </c>
    </row>
    <row r="44" spans="1:5" x14ac:dyDescent="0.25">
      <c r="A44" s="20" t="s">
        <v>1985</v>
      </c>
      <c r="B44" s="11" t="s">
        <v>24</v>
      </c>
      <c r="C44" s="11" t="s">
        <v>40</v>
      </c>
      <c r="D44" s="12">
        <v>14</v>
      </c>
      <c r="E44" s="13">
        <v>4</v>
      </c>
    </row>
    <row r="45" spans="1:5" x14ac:dyDescent="0.25">
      <c r="A45" s="11" t="s">
        <v>1499</v>
      </c>
      <c r="B45" s="11" t="s">
        <v>20</v>
      </c>
      <c r="C45" s="11" t="s">
        <v>28</v>
      </c>
      <c r="D45" s="12">
        <v>14</v>
      </c>
      <c r="E45" s="13">
        <v>1</v>
      </c>
    </row>
    <row r="46" spans="1:5" x14ac:dyDescent="0.25">
      <c r="A46" s="11" t="s">
        <v>1925</v>
      </c>
      <c r="B46" s="11" t="s">
        <v>26</v>
      </c>
      <c r="C46" s="11" t="s">
        <v>22</v>
      </c>
      <c r="D46" s="12">
        <v>14</v>
      </c>
      <c r="E46" s="13">
        <v>2</v>
      </c>
    </row>
    <row r="47" spans="1:5" x14ac:dyDescent="0.25">
      <c r="A47" s="11" t="s">
        <v>620</v>
      </c>
      <c r="B47" s="11" t="s">
        <v>20</v>
      </c>
      <c r="C47" s="11" t="s">
        <v>44</v>
      </c>
      <c r="D47" s="12">
        <v>15</v>
      </c>
      <c r="E47" s="13">
        <v>0</v>
      </c>
    </row>
    <row r="48" spans="1:5" x14ac:dyDescent="0.25">
      <c r="A48" s="11" t="s">
        <v>783</v>
      </c>
      <c r="B48" s="11" t="s">
        <v>24</v>
      </c>
      <c r="C48" s="11" t="s">
        <v>66</v>
      </c>
      <c r="D48" s="12">
        <v>15</v>
      </c>
      <c r="E48" s="13">
        <v>1</v>
      </c>
    </row>
    <row r="49" spans="1:5" x14ac:dyDescent="0.25">
      <c r="A49" s="11" t="s">
        <v>931</v>
      </c>
      <c r="B49" s="11" t="s">
        <v>26</v>
      </c>
      <c r="C49" s="11" t="s">
        <v>5</v>
      </c>
      <c r="D49" s="12">
        <v>15</v>
      </c>
      <c r="E49" s="13">
        <v>2</v>
      </c>
    </row>
    <row r="50" spans="1:5" x14ac:dyDescent="0.25">
      <c r="A50" s="11" t="s">
        <v>1242</v>
      </c>
      <c r="B50" s="11" t="s">
        <v>24</v>
      </c>
      <c r="C50" s="11" t="s">
        <v>27</v>
      </c>
      <c r="D50" s="12">
        <v>16</v>
      </c>
      <c r="E50" s="13">
        <v>4</v>
      </c>
    </row>
    <row r="51" spans="1:5" x14ac:dyDescent="0.25">
      <c r="A51" s="11" t="s">
        <v>1292</v>
      </c>
      <c r="B51" s="11" t="s">
        <v>24</v>
      </c>
      <c r="C51" s="11" t="s">
        <v>33</v>
      </c>
      <c r="D51" s="12">
        <v>16</v>
      </c>
      <c r="E51" s="13">
        <v>1</v>
      </c>
    </row>
    <row r="52" spans="1:5" x14ac:dyDescent="0.25">
      <c r="A52" s="11" t="s">
        <v>1434</v>
      </c>
      <c r="B52" s="11" t="s">
        <v>24</v>
      </c>
      <c r="C52" s="11" t="s">
        <v>53</v>
      </c>
      <c r="D52" s="12">
        <v>16</v>
      </c>
      <c r="E52" s="13">
        <v>0</v>
      </c>
    </row>
    <row r="53" spans="1:5" x14ac:dyDescent="0.25">
      <c r="A53" s="11" t="s">
        <v>49</v>
      </c>
      <c r="B53" s="11" t="s">
        <v>20</v>
      </c>
      <c r="C53" s="11" t="s">
        <v>34</v>
      </c>
      <c r="D53" s="12">
        <v>17</v>
      </c>
      <c r="E53" s="13">
        <v>0</v>
      </c>
    </row>
    <row r="54" spans="1:5" x14ac:dyDescent="0.25">
      <c r="A54" s="11" t="s">
        <v>995</v>
      </c>
      <c r="B54" s="11" t="s">
        <v>20</v>
      </c>
      <c r="C54" s="11" t="s">
        <v>44</v>
      </c>
      <c r="D54" s="12">
        <v>17</v>
      </c>
      <c r="E54" s="13">
        <v>2</v>
      </c>
    </row>
    <row r="55" spans="1:5" x14ac:dyDescent="0.25">
      <c r="A55" s="11" t="s">
        <v>164</v>
      </c>
      <c r="B55" s="11" t="s">
        <v>26</v>
      </c>
      <c r="C55" s="11" t="s">
        <v>111</v>
      </c>
      <c r="D55" s="12">
        <v>19</v>
      </c>
      <c r="E55" s="13">
        <v>0</v>
      </c>
    </row>
    <row r="56" spans="1:5" x14ac:dyDescent="0.25">
      <c r="A56" s="11" t="s">
        <v>603</v>
      </c>
      <c r="B56" s="11" t="s">
        <v>20</v>
      </c>
      <c r="C56" s="11" t="s">
        <v>30</v>
      </c>
      <c r="D56" s="12">
        <v>19</v>
      </c>
      <c r="E56" s="13">
        <v>6</v>
      </c>
    </row>
    <row r="57" spans="1:5" x14ac:dyDescent="0.25">
      <c r="A57" s="11" t="s">
        <v>962</v>
      </c>
      <c r="B57" s="11" t="s">
        <v>20</v>
      </c>
      <c r="C57" s="11" t="s">
        <v>5</v>
      </c>
      <c r="D57" s="12">
        <v>19</v>
      </c>
      <c r="E57" s="13">
        <v>5</v>
      </c>
    </row>
    <row r="58" spans="1:5" x14ac:dyDescent="0.25">
      <c r="A58" s="11" t="s">
        <v>1323</v>
      </c>
      <c r="B58" s="11" t="s">
        <v>26</v>
      </c>
      <c r="C58" s="11" t="s">
        <v>25</v>
      </c>
      <c r="D58" s="12">
        <v>19</v>
      </c>
      <c r="E58" s="13">
        <v>0</v>
      </c>
    </row>
    <row r="59" spans="1:5" x14ac:dyDescent="0.25">
      <c r="A59" s="11" t="s">
        <v>1670</v>
      </c>
      <c r="B59" s="11" t="s">
        <v>24</v>
      </c>
      <c r="C59" s="11" t="s">
        <v>39</v>
      </c>
      <c r="D59" s="12">
        <v>19</v>
      </c>
      <c r="E59" s="13">
        <v>1</v>
      </c>
    </row>
    <row r="60" spans="1:5" x14ac:dyDescent="0.25">
      <c r="A60" s="11" t="s">
        <v>18</v>
      </c>
      <c r="B60" s="11" t="s">
        <v>20</v>
      </c>
      <c r="C60" s="11" t="s">
        <v>22</v>
      </c>
      <c r="D60" s="12">
        <v>20</v>
      </c>
      <c r="E60" s="13">
        <v>0</v>
      </c>
    </row>
    <row r="61" spans="1:5" x14ac:dyDescent="0.25">
      <c r="A61" s="11" t="s">
        <v>1421</v>
      </c>
      <c r="B61" s="11" t="s">
        <v>24</v>
      </c>
      <c r="C61" s="11" t="s">
        <v>30</v>
      </c>
      <c r="D61" s="12">
        <v>20</v>
      </c>
      <c r="E61" s="13">
        <v>3</v>
      </c>
    </row>
    <row r="62" spans="1:5" x14ac:dyDescent="0.25">
      <c r="A62" s="11" t="s">
        <v>591</v>
      </c>
      <c r="B62" s="11" t="s">
        <v>24</v>
      </c>
      <c r="C62" s="11" t="s">
        <v>40</v>
      </c>
      <c r="D62" s="12">
        <v>21</v>
      </c>
      <c r="E62" s="13">
        <v>1</v>
      </c>
    </row>
    <row r="63" spans="1:5" x14ac:dyDescent="0.25">
      <c r="A63" s="11" t="s">
        <v>1540</v>
      </c>
      <c r="B63" s="11" t="s">
        <v>24</v>
      </c>
      <c r="C63" s="11" t="s">
        <v>62</v>
      </c>
      <c r="D63" s="12">
        <v>21</v>
      </c>
      <c r="E63" s="13">
        <v>5</v>
      </c>
    </row>
    <row r="64" spans="1:5" x14ac:dyDescent="0.25">
      <c r="A64" s="11" t="s">
        <v>122</v>
      </c>
      <c r="B64" s="11" t="s">
        <v>24</v>
      </c>
      <c r="C64" s="11" t="s">
        <v>111</v>
      </c>
      <c r="D64" s="12">
        <v>22</v>
      </c>
      <c r="E64" s="13">
        <v>4</v>
      </c>
    </row>
    <row r="65" spans="1:5" x14ac:dyDescent="0.25">
      <c r="A65" s="11" t="s">
        <v>193</v>
      </c>
      <c r="B65" s="11" t="s">
        <v>20</v>
      </c>
      <c r="C65" s="11" t="s">
        <v>27</v>
      </c>
      <c r="D65" s="12">
        <v>22</v>
      </c>
      <c r="E65" s="13">
        <v>1</v>
      </c>
    </row>
    <row r="66" spans="1:5" x14ac:dyDescent="0.25">
      <c r="A66" s="11" t="s">
        <v>1315</v>
      </c>
      <c r="B66" s="11" t="s">
        <v>26</v>
      </c>
      <c r="C66" s="11" t="s">
        <v>40</v>
      </c>
      <c r="D66" s="12">
        <v>22</v>
      </c>
      <c r="E66" s="13">
        <v>0</v>
      </c>
    </row>
    <row r="67" spans="1:5" x14ac:dyDescent="0.25">
      <c r="A67" s="11" t="s">
        <v>664</v>
      </c>
      <c r="B67" s="11" t="s">
        <v>26</v>
      </c>
      <c r="C67" s="11" t="s">
        <v>25</v>
      </c>
      <c r="D67" s="12">
        <v>24</v>
      </c>
      <c r="E67" s="13">
        <v>1</v>
      </c>
    </row>
    <row r="68" spans="1:5" x14ac:dyDescent="0.25">
      <c r="A68" s="11" t="s">
        <v>1693</v>
      </c>
      <c r="B68" s="11" t="s">
        <v>26</v>
      </c>
      <c r="C68" s="11" t="s">
        <v>30</v>
      </c>
      <c r="D68" s="12">
        <v>24</v>
      </c>
      <c r="E68" s="13">
        <v>2</v>
      </c>
    </row>
    <row r="69" spans="1:5" x14ac:dyDescent="0.25">
      <c r="A69" s="11" t="s">
        <v>277</v>
      </c>
      <c r="B69" s="11" t="s">
        <v>20</v>
      </c>
      <c r="C69" s="11" t="s">
        <v>44</v>
      </c>
      <c r="D69" s="12">
        <v>25</v>
      </c>
      <c r="E69" s="13">
        <v>14</v>
      </c>
    </row>
    <row r="70" spans="1:5" x14ac:dyDescent="0.25">
      <c r="A70" s="11" t="s">
        <v>1000</v>
      </c>
      <c r="B70" s="11" t="s">
        <v>20</v>
      </c>
      <c r="C70" s="11" t="s">
        <v>44</v>
      </c>
      <c r="D70" s="12">
        <v>25</v>
      </c>
      <c r="E70" s="13">
        <v>7</v>
      </c>
    </row>
    <row r="71" spans="1:5" x14ac:dyDescent="0.25">
      <c r="A71" s="11" t="s">
        <v>699</v>
      </c>
      <c r="B71" s="11" t="s">
        <v>24</v>
      </c>
      <c r="C71" s="11" t="s">
        <v>34</v>
      </c>
      <c r="D71" s="12">
        <v>26</v>
      </c>
      <c r="E71" s="13">
        <v>1</v>
      </c>
    </row>
    <row r="72" spans="1:5" x14ac:dyDescent="0.25">
      <c r="A72" s="11" t="s">
        <v>1030</v>
      </c>
      <c r="B72" s="11" t="s">
        <v>20</v>
      </c>
      <c r="C72" s="11" t="s">
        <v>39</v>
      </c>
      <c r="D72" s="12">
        <v>27</v>
      </c>
      <c r="E72" s="13">
        <v>4</v>
      </c>
    </row>
    <row r="73" spans="1:5" x14ac:dyDescent="0.25">
      <c r="A73" s="11" t="s">
        <v>1155</v>
      </c>
      <c r="B73" s="11" t="s">
        <v>20</v>
      </c>
      <c r="C73" s="11" t="s">
        <v>33</v>
      </c>
      <c r="D73" s="12">
        <v>27</v>
      </c>
      <c r="E73" s="13">
        <v>6</v>
      </c>
    </row>
    <row r="74" spans="1:5" x14ac:dyDescent="0.25">
      <c r="A74" s="11" t="s">
        <v>843</v>
      </c>
      <c r="B74" s="11" t="s">
        <v>20</v>
      </c>
      <c r="C74" s="11" t="s">
        <v>66</v>
      </c>
      <c r="D74" s="12">
        <v>28</v>
      </c>
      <c r="E74" s="13">
        <v>5</v>
      </c>
    </row>
    <row r="75" spans="1:5" x14ac:dyDescent="0.25">
      <c r="A75" s="11" t="s">
        <v>1329</v>
      </c>
      <c r="B75" s="11" t="s">
        <v>26</v>
      </c>
      <c r="C75" s="11" t="s">
        <v>39</v>
      </c>
      <c r="D75" s="12">
        <v>28</v>
      </c>
      <c r="E75" s="13">
        <v>5</v>
      </c>
    </row>
    <row r="76" spans="1:5" x14ac:dyDescent="0.25">
      <c r="A76" s="11" t="s">
        <v>1770</v>
      </c>
      <c r="B76" s="11" t="s">
        <v>24</v>
      </c>
      <c r="C76" s="11" t="s">
        <v>39</v>
      </c>
      <c r="D76" s="12">
        <v>28</v>
      </c>
      <c r="E76" s="13">
        <v>0</v>
      </c>
    </row>
    <row r="77" spans="1:5" x14ac:dyDescent="0.25">
      <c r="A77" s="11" t="s">
        <v>1777</v>
      </c>
      <c r="B77" s="11" t="s">
        <v>20</v>
      </c>
      <c r="C77" s="11" t="s">
        <v>27</v>
      </c>
      <c r="D77" s="12">
        <v>28</v>
      </c>
      <c r="E77" s="13">
        <v>4</v>
      </c>
    </row>
    <row r="78" spans="1:5" x14ac:dyDescent="0.25">
      <c r="A78" s="11" t="s">
        <v>369</v>
      </c>
      <c r="B78" s="11" t="s">
        <v>26</v>
      </c>
      <c r="C78" s="11" t="s">
        <v>27</v>
      </c>
      <c r="D78" s="12">
        <v>29</v>
      </c>
      <c r="E78" s="13">
        <v>0</v>
      </c>
    </row>
    <row r="79" spans="1:5" x14ac:dyDescent="0.25">
      <c r="A79" s="11" t="s">
        <v>1159</v>
      </c>
      <c r="B79" s="11" t="s">
        <v>26</v>
      </c>
      <c r="C79" s="11" t="s">
        <v>5</v>
      </c>
      <c r="D79" s="12">
        <v>29</v>
      </c>
      <c r="E79" s="13">
        <v>3</v>
      </c>
    </row>
    <row r="80" spans="1:5" x14ac:dyDescent="0.25">
      <c r="A80" s="11" t="s">
        <v>610</v>
      </c>
      <c r="B80" s="11" t="s">
        <v>24</v>
      </c>
      <c r="C80" s="11" t="s">
        <v>44</v>
      </c>
      <c r="D80" s="12">
        <v>30</v>
      </c>
      <c r="E80" s="13">
        <v>0</v>
      </c>
    </row>
    <row r="81" spans="1:5" x14ac:dyDescent="0.25">
      <c r="A81" s="11" t="s">
        <v>1852</v>
      </c>
      <c r="B81" s="11" t="s">
        <v>24</v>
      </c>
      <c r="C81" s="11" t="s">
        <v>44</v>
      </c>
      <c r="D81" s="12">
        <v>30</v>
      </c>
      <c r="E81" s="13">
        <v>3</v>
      </c>
    </row>
    <row r="82" spans="1:5" x14ac:dyDescent="0.25">
      <c r="A82" s="11" t="s">
        <v>1415</v>
      </c>
      <c r="B82" s="11" t="s">
        <v>26</v>
      </c>
      <c r="C82" s="11" t="s">
        <v>44</v>
      </c>
      <c r="D82" s="12">
        <v>31</v>
      </c>
      <c r="E82" s="13">
        <v>0</v>
      </c>
    </row>
    <row r="83" spans="1:5" x14ac:dyDescent="0.25">
      <c r="A83" s="11" t="s">
        <v>1886</v>
      </c>
      <c r="B83" s="11" t="s">
        <v>20</v>
      </c>
      <c r="C83" s="11" t="s">
        <v>66</v>
      </c>
      <c r="D83" s="12">
        <v>31</v>
      </c>
      <c r="E83" s="13">
        <v>8</v>
      </c>
    </row>
    <row r="84" spans="1:5" x14ac:dyDescent="0.25">
      <c r="A84" s="11" t="s">
        <v>386</v>
      </c>
      <c r="B84" s="11" t="s">
        <v>20</v>
      </c>
      <c r="C84" s="11" t="s">
        <v>27</v>
      </c>
      <c r="D84" s="12">
        <v>32</v>
      </c>
      <c r="E84" s="13">
        <v>2</v>
      </c>
    </row>
    <row r="85" spans="1:5" x14ac:dyDescent="0.25">
      <c r="A85" s="11" t="s">
        <v>795</v>
      </c>
      <c r="B85" s="11" t="s">
        <v>20</v>
      </c>
      <c r="C85" s="11" t="s">
        <v>39</v>
      </c>
      <c r="D85" s="12">
        <v>32</v>
      </c>
      <c r="E85" s="13">
        <v>1</v>
      </c>
    </row>
    <row r="86" spans="1:5" x14ac:dyDescent="0.25">
      <c r="A86" s="11" t="s">
        <v>1778</v>
      </c>
      <c r="B86" s="11" t="s">
        <v>24</v>
      </c>
      <c r="C86" s="11" t="s">
        <v>25</v>
      </c>
      <c r="D86" s="12">
        <v>32</v>
      </c>
      <c r="E86" s="13">
        <v>8</v>
      </c>
    </row>
    <row r="87" spans="1:5" x14ac:dyDescent="0.25">
      <c r="A87" s="11" t="s">
        <v>1933</v>
      </c>
      <c r="B87" s="11" t="s">
        <v>20</v>
      </c>
      <c r="C87" s="11" t="s">
        <v>44</v>
      </c>
      <c r="D87" s="12">
        <v>32</v>
      </c>
      <c r="E87" s="13">
        <v>1</v>
      </c>
    </row>
    <row r="88" spans="1:5" x14ac:dyDescent="0.25">
      <c r="A88" s="11" t="s">
        <v>1085</v>
      </c>
      <c r="B88" s="11" t="s">
        <v>24</v>
      </c>
      <c r="C88" s="11" t="s">
        <v>21</v>
      </c>
      <c r="D88" s="12">
        <v>33</v>
      </c>
      <c r="E88" s="13">
        <v>0</v>
      </c>
    </row>
    <row r="89" spans="1:5" x14ac:dyDescent="0.25">
      <c r="A89" s="11" t="s">
        <v>789</v>
      </c>
      <c r="B89" s="11" t="s">
        <v>20</v>
      </c>
      <c r="C89" s="11" t="s">
        <v>32</v>
      </c>
      <c r="D89" s="12">
        <v>34</v>
      </c>
      <c r="E89" s="13">
        <v>2</v>
      </c>
    </row>
    <row r="90" spans="1:5" x14ac:dyDescent="0.25">
      <c r="A90" s="11" t="s">
        <v>1447</v>
      </c>
      <c r="B90" s="11" t="s">
        <v>20</v>
      </c>
      <c r="C90" s="11" t="s">
        <v>66</v>
      </c>
      <c r="D90" s="12">
        <v>34</v>
      </c>
      <c r="E90" s="13">
        <v>1</v>
      </c>
    </row>
    <row r="91" spans="1:5" x14ac:dyDescent="0.25">
      <c r="A91" s="11" t="s">
        <v>671</v>
      </c>
      <c r="B91" s="11" t="s">
        <v>20</v>
      </c>
      <c r="C91" s="11" t="s">
        <v>44</v>
      </c>
      <c r="D91" s="12">
        <v>35</v>
      </c>
      <c r="E91" s="13">
        <v>12</v>
      </c>
    </row>
    <row r="92" spans="1:5" x14ac:dyDescent="0.25">
      <c r="A92" s="11" t="s">
        <v>832</v>
      </c>
      <c r="B92" s="11" t="s">
        <v>26</v>
      </c>
      <c r="C92" s="11" t="s">
        <v>32</v>
      </c>
      <c r="D92" s="12">
        <v>35</v>
      </c>
      <c r="E92" s="13">
        <v>2</v>
      </c>
    </row>
    <row r="93" spans="1:5" x14ac:dyDescent="0.25">
      <c r="A93" s="11" t="s">
        <v>1812</v>
      </c>
      <c r="B93" s="11" t="s">
        <v>26</v>
      </c>
      <c r="C93" s="11" t="s">
        <v>21</v>
      </c>
      <c r="D93" s="12">
        <v>35</v>
      </c>
      <c r="E93" s="13">
        <v>2</v>
      </c>
    </row>
    <row r="94" spans="1:5" x14ac:dyDescent="0.25">
      <c r="A94" s="11" t="s">
        <v>1434</v>
      </c>
      <c r="B94" s="11" t="s">
        <v>24</v>
      </c>
      <c r="C94" s="11" t="s">
        <v>44</v>
      </c>
      <c r="D94" s="12">
        <v>36</v>
      </c>
      <c r="E94" s="13">
        <v>0</v>
      </c>
    </row>
    <row r="95" spans="1:5" x14ac:dyDescent="0.25">
      <c r="A95" s="11" t="s">
        <v>1706</v>
      </c>
      <c r="B95" s="11" t="s">
        <v>20</v>
      </c>
      <c r="C95" s="11" t="s">
        <v>44</v>
      </c>
      <c r="D95" s="12">
        <v>37</v>
      </c>
      <c r="E95" s="13">
        <v>5</v>
      </c>
    </row>
    <row r="96" spans="1:5" x14ac:dyDescent="0.25">
      <c r="A96" s="11" t="s">
        <v>390</v>
      </c>
      <c r="B96" s="11" t="s">
        <v>20</v>
      </c>
      <c r="C96" s="11" t="s">
        <v>111</v>
      </c>
      <c r="D96" s="12">
        <v>38</v>
      </c>
      <c r="E96" s="13">
        <v>4</v>
      </c>
    </row>
    <row r="97" spans="1:5" x14ac:dyDescent="0.25">
      <c r="A97" s="11" t="s">
        <v>1122</v>
      </c>
      <c r="B97" s="11" t="s">
        <v>24</v>
      </c>
      <c r="C97" s="11" t="s">
        <v>25</v>
      </c>
      <c r="D97" s="12">
        <v>38</v>
      </c>
      <c r="E97" s="13">
        <v>6</v>
      </c>
    </row>
    <row r="98" spans="1:5" x14ac:dyDescent="0.25">
      <c r="A98" s="11" t="s">
        <v>1171</v>
      </c>
      <c r="B98" s="11" t="s">
        <v>24</v>
      </c>
      <c r="C98" s="11" t="s">
        <v>21</v>
      </c>
      <c r="D98" s="12">
        <v>39</v>
      </c>
      <c r="E98" s="13">
        <v>0</v>
      </c>
    </row>
    <row r="99" spans="1:5" x14ac:dyDescent="0.25">
      <c r="A99" s="11" t="s">
        <v>1248</v>
      </c>
      <c r="B99" s="11" t="s">
        <v>24</v>
      </c>
      <c r="C99" s="11" t="s">
        <v>34</v>
      </c>
      <c r="D99" s="12">
        <v>39</v>
      </c>
      <c r="E99" s="13">
        <v>1</v>
      </c>
    </row>
    <row r="100" spans="1:5" x14ac:dyDescent="0.25">
      <c r="A100" s="11" t="s">
        <v>1331</v>
      </c>
      <c r="B100" s="11" t="s">
        <v>26</v>
      </c>
      <c r="C100" s="11" t="s">
        <v>27</v>
      </c>
      <c r="D100" s="12">
        <v>39</v>
      </c>
      <c r="E100" s="13">
        <v>1</v>
      </c>
    </row>
    <row r="101" spans="1:5" x14ac:dyDescent="0.25">
      <c r="A101" s="11" t="s">
        <v>1774</v>
      </c>
      <c r="B101" s="11" t="s">
        <v>20</v>
      </c>
      <c r="C101" s="11" t="s">
        <v>22</v>
      </c>
      <c r="D101" s="12">
        <v>39</v>
      </c>
      <c r="E101" s="13">
        <v>8</v>
      </c>
    </row>
    <row r="102" spans="1:5" x14ac:dyDescent="0.25">
      <c r="A102" s="11" t="s">
        <v>515</v>
      </c>
      <c r="B102" s="11" t="s">
        <v>26</v>
      </c>
      <c r="C102" s="11" t="s">
        <v>44</v>
      </c>
      <c r="D102" s="12">
        <v>40</v>
      </c>
      <c r="E102" s="13">
        <v>2</v>
      </c>
    </row>
    <row r="103" spans="1:5" x14ac:dyDescent="0.25">
      <c r="A103" s="11" t="s">
        <v>698</v>
      </c>
      <c r="B103" s="11" t="s">
        <v>20</v>
      </c>
      <c r="C103" s="11" t="s">
        <v>39</v>
      </c>
      <c r="D103" s="12">
        <v>40</v>
      </c>
      <c r="E103" s="13">
        <v>2</v>
      </c>
    </row>
    <row r="104" spans="1:5" x14ac:dyDescent="0.25">
      <c r="A104" s="11" t="s">
        <v>1379</v>
      </c>
      <c r="B104" s="11" t="s">
        <v>26</v>
      </c>
      <c r="C104" s="11" t="s">
        <v>33</v>
      </c>
      <c r="D104" s="12">
        <v>40</v>
      </c>
      <c r="E104" s="13">
        <v>1</v>
      </c>
    </row>
    <row r="105" spans="1:5" x14ac:dyDescent="0.25">
      <c r="A105" s="11" t="s">
        <v>1336</v>
      </c>
      <c r="B105" s="11" t="s">
        <v>26</v>
      </c>
      <c r="C105" s="11" t="s">
        <v>44</v>
      </c>
      <c r="D105" s="12">
        <v>41</v>
      </c>
      <c r="E105" s="13">
        <v>0</v>
      </c>
    </row>
    <row r="106" spans="1:5" x14ac:dyDescent="0.25">
      <c r="A106" s="11" t="s">
        <v>1972</v>
      </c>
      <c r="B106" s="11" t="s">
        <v>26</v>
      </c>
      <c r="C106" s="11" t="s">
        <v>28</v>
      </c>
      <c r="D106" s="12">
        <v>41</v>
      </c>
      <c r="E106" s="13">
        <v>0</v>
      </c>
    </row>
    <row r="107" spans="1:5" x14ac:dyDescent="0.25">
      <c r="A107" s="11" t="s">
        <v>241</v>
      </c>
      <c r="B107" s="11" t="s">
        <v>26</v>
      </c>
      <c r="C107" s="11" t="s">
        <v>28</v>
      </c>
      <c r="D107" s="12">
        <v>42</v>
      </c>
      <c r="E107" s="13">
        <v>0</v>
      </c>
    </row>
    <row r="108" spans="1:5" x14ac:dyDescent="0.25">
      <c r="A108" s="11" t="s">
        <v>1302</v>
      </c>
      <c r="B108" s="11" t="s">
        <v>24</v>
      </c>
      <c r="C108" s="11" t="s">
        <v>43</v>
      </c>
      <c r="D108" s="12">
        <v>42</v>
      </c>
      <c r="E108" s="13">
        <v>0</v>
      </c>
    </row>
    <row r="109" spans="1:5" x14ac:dyDescent="0.25">
      <c r="A109" s="11" t="s">
        <v>1809</v>
      </c>
      <c r="B109" s="11" t="s">
        <v>24</v>
      </c>
      <c r="C109" s="11" t="s">
        <v>62</v>
      </c>
      <c r="D109" s="12">
        <v>42</v>
      </c>
      <c r="E109" s="13">
        <v>1</v>
      </c>
    </row>
    <row r="110" spans="1:5" x14ac:dyDescent="0.25">
      <c r="A110" s="11" t="s">
        <v>1733</v>
      </c>
      <c r="B110" s="11" t="s">
        <v>26</v>
      </c>
      <c r="C110" s="11" t="s">
        <v>39</v>
      </c>
      <c r="D110" s="12">
        <v>43</v>
      </c>
      <c r="E110" s="13">
        <v>4</v>
      </c>
    </row>
    <row r="111" spans="1:5" x14ac:dyDescent="0.25">
      <c r="A111" s="11" t="s">
        <v>617</v>
      </c>
      <c r="B111" s="11" t="s">
        <v>20</v>
      </c>
      <c r="C111" s="11" t="s">
        <v>44</v>
      </c>
      <c r="D111" s="12">
        <v>44</v>
      </c>
      <c r="E111" s="13">
        <v>0</v>
      </c>
    </row>
    <row r="112" spans="1:5" x14ac:dyDescent="0.25">
      <c r="A112" s="11" t="s">
        <v>1325</v>
      </c>
      <c r="B112" s="11" t="s">
        <v>26</v>
      </c>
      <c r="C112" s="11" t="s">
        <v>21</v>
      </c>
      <c r="D112" s="12">
        <v>44</v>
      </c>
      <c r="E112" s="13">
        <v>1</v>
      </c>
    </row>
    <row r="113" spans="1:5" x14ac:dyDescent="0.25">
      <c r="A113" s="11" t="s">
        <v>1732</v>
      </c>
      <c r="B113" s="11" t="s">
        <v>26</v>
      </c>
      <c r="C113" s="11" t="s">
        <v>40</v>
      </c>
      <c r="D113" s="12">
        <v>44</v>
      </c>
      <c r="E113" s="13">
        <v>0</v>
      </c>
    </row>
    <row r="114" spans="1:5" x14ac:dyDescent="0.25">
      <c r="A114" s="11" t="s">
        <v>509</v>
      </c>
      <c r="B114" s="11" t="s">
        <v>20</v>
      </c>
      <c r="C114" s="11" t="s">
        <v>40</v>
      </c>
      <c r="D114" s="12">
        <v>45</v>
      </c>
      <c r="E114" s="13">
        <v>0</v>
      </c>
    </row>
    <row r="115" spans="1:5" x14ac:dyDescent="0.25">
      <c r="A115" s="11" t="s">
        <v>1030</v>
      </c>
      <c r="B115" s="11" t="s">
        <v>26</v>
      </c>
      <c r="C115" s="11" t="s">
        <v>111</v>
      </c>
      <c r="D115" s="12">
        <v>45</v>
      </c>
      <c r="E115" s="13">
        <v>2</v>
      </c>
    </row>
    <row r="116" spans="1:5" x14ac:dyDescent="0.25">
      <c r="A116" s="11" t="s">
        <v>1122</v>
      </c>
      <c r="B116" s="11" t="s">
        <v>24</v>
      </c>
      <c r="C116" s="11" t="s">
        <v>111</v>
      </c>
      <c r="D116" s="12">
        <v>45</v>
      </c>
      <c r="E116" s="13">
        <v>3</v>
      </c>
    </row>
    <row r="117" spans="1:5" x14ac:dyDescent="0.25">
      <c r="A117" s="11" t="s">
        <v>1444</v>
      </c>
      <c r="B117" s="11" t="s">
        <v>24</v>
      </c>
      <c r="C117" s="11" t="s">
        <v>30</v>
      </c>
      <c r="D117" s="12">
        <v>45</v>
      </c>
      <c r="E117" s="13">
        <v>13</v>
      </c>
    </row>
    <row r="118" spans="1:5" x14ac:dyDescent="0.25">
      <c r="A118" s="11" t="s">
        <v>1762</v>
      </c>
      <c r="B118" s="11" t="s">
        <v>26</v>
      </c>
      <c r="C118" s="11" t="s">
        <v>39</v>
      </c>
      <c r="D118" s="12">
        <v>45</v>
      </c>
      <c r="E118" s="13">
        <v>2</v>
      </c>
    </row>
    <row r="119" spans="1:5" x14ac:dyDescent="0.25">
      <c r="A119" s="11" t="s">
        <v>52</v>
      </c>
      <c r="B119" s="11" t="s">
        <v>24</v>
      </c>
      <c r="C119" s="11" t="s">
        <v>53</v>
      </c>
      <c r="D119" s="12">
        <v>46</v>
      </c>
      <c r="E119" s="13">
        <v>5</v>
      </c>
    </row>
    <row r="120" spans="1:5" x14ac:dyDescent="0.25">
      <c r="A120" s="11" t="s">
        <v>785</v>
      </c>
      <c r="B120" s="11" t="s">
        <v>26</v>
      </c>
      <c r="C120" s="11" t="s">
        <v>39</v>
      </c>
      <c r="D120" s="12">
        <v>46</v>
      </c>
      <c r="E120" s="13">
        <v>1</v>
      </c>
    </row>
    <row r="121" spans="1:5" x14ac:dyDescent="0.25">
      <c r="A121" s="11" t="s">
        <v>894</v>
      </c>
      <c r="B121" s="11" t="s">
        <v>20</v>
      </c>
      <c r="C121" s="11" t="s">
        <v>43</v>
      </c>
      <c r="D121" s="12">
        <v>46</v>
      </c>
      <c r="E121" s="13">
        <v>1</v>
      </c>
    </row>
    <row r="122" spans="1:5" x14ac:dyDescent="0.25">
      <c r="A122" s="11" t="s">
        <v>48</v>
      </c>
      <c r="B122" s="11" t="s">
        <v>20</v>
      </c>
      <c r="C122" s="11" t="s">
        <v>22</v>
      </c>
      <c r="D122" s="12">
        <v>47</v>
      </c>
      <c r="E122" s="13">
        <v>0</v>
      </c>
    </row>
    <row r="123" spans="1:5" x14ac:dyDescent="0.25">
      <c r="A123" s="11" t="s">
        <v>354</v>
      </c>
      <c r="B123" s="11" t="s">
        <v>26</v>
      </c>
      <c r="C123" s="11" t="s">
        <v>111</v>
      </c>
      <c r="D123" s="12">
        <v>47</v>
      </c>
      <c r="E123" s="13">
        <v>0</v>
      </c>
    </row>
    <row r="124" spans="1:5" x14ac:dyDescent="0.25">
      <c r="A124" s="11" t="s">
        <v>430</v>
      </c>
      <c r="B124" s="11" t="s">
        <v>20</v>
      </c>
      <c r="C124" s="11" t="s">
        <v>44</v>
      </c>
      <c r="D124" s="12">
        <v>47</v>
      </c>
      <c r="E124" s="13">
        <v>0</v>
      </c>
    </row>
    <row r="125" spans="1:5" x14ac:dyDescent="0.25">
      <c r="A125" s="11" t="s">
        <v>1621</v>
      </c>
      <c r="B125" s="11" t="s">
        <v>26</v>
      </c>
      <c r="C125" s="11" t="s">
        <v>66</v>
      </c>
      <c r="D125" s="12">
        <v>47</v>
      </c>
      <c r="E125" s="13">
        <v>0</v>
      </c>
    </row>
    <row r="126" spans="1:5" x14ac:dyDescent="0.25">
      <c r="A126" s="11" t="s">
        <v>1665</v>
      </c>
      <c r="B126" s="11" t="s">
        <v>26</v>
      </c>
      <c r="C126" s="11" t="s">
        <v>21</v>
      </c>
      <c r="D126" s="12">
        <v>47</v>
      </c>
      <c r="E126" s="13">
        <v>1</v>
      </c>
    </row>
    <row r="127" spans="1:5" x14ac:dyDescent="0.25">
      <c r="A127" s="11" t="s">
        <v>1897</v>
      </c>
      <c r="B127" s="11" t="s">
        <v>26</v>
      </c>
      <c r="C127" s="11" t="s">
        <v>22</v>
      </c>
      <c r="D127" s="12">
        <v>47</v>
      </c>
      <c r="E127" s="13">
        <v>2</v>
      </c>
    </row>
    <row r="128" spans="1:5" x14ac:dyDescent="0.25">
      <c r="A128" s="11" t="s">
        <v>1977</v>
      </c>
      <c r="B128" s="11" t="s">
        <v>20</v>
      </c>
      <c r="C128" s="11" t="s">
        <v>5</v>
      </c>
      <c r="D128" s="12">
        <v>47</v>
      </c>
      <c r="E128" s="13">
        <v>2</v>
      </c>
    </row>
    <row r="129" spans="1:5" x14ac:dyDescent="0.25">
      <c r="A129" s="11" t="s">
        <v>1001</v>
      </c>
      <c r="B129" s="11" t="s">
        <v>20</v>
      </c>
      <c r="C129" s="11" t="s">
        <v>5</v>
      </c>
      <c r="D129" s="12">
        <v>48</v>
      </c>
      <c r="E129" s="13">
        <v>4</v>
      </c>
    </row>
    <row r="130" spans="1:5" x14ac:dyDescent="0.25">
      <c r="A130" s="11" t="s">
        <v>1146</v>
      </c>
      <c r="B130" s="11" t="s">
        <v>24</v>
      </c>
      <c r="C130" s="11" t="s">
        <v>44</v>
      </c>
      <c r="D130" s="12">
        <v>48</v>
      </c>
      <c r="E130" s="13">
        <v>8</v>
      </c>
    </row>
    <row r="131" spans="1:5" x14ac:dyDescent="0.25">
      <c r="A131" s="11" t="s">
        <v>1081</v>
      </c>
      <c r="B131" s="11" t="s">
        <v>20</v>
      </c>
      <c r="C131" s="11" t="s">
        <v>44</v>
      </c>
      <c r="D131" s="12">
        <v>49</v>
      </c>
      <c r="E131" s="13">
        <v>0</v>
      </c>
    </row>
    <row r="132" spans="1:5" x14ac:dyDescent="0.25">
      <c r="A132" s="11" t="s">
        <v>1364</v>
      </c>
      <c r="B132" s="11" t="s">
        <v>26</v>
      </c>
      <c r="C132" s="11" t="s">
        <v>30</v>
      </c>
      <c r="D132" s="12">
        <v>49</v>
      </c>
      <c r="E132" s="13">
        <v>1</v>
      </c>
    </row>
    <row r="133" spans="1:5" x14ac:dyDescent="0.25">
      <c r="A133" s="11" t="s">
        <v>99</v>
      </c>
      <c r="B133" s="11" t="s">
        <v>26</v>
      </c>
      <c r="C133" s="11" t="s">
        <v>27</v>
      </c>
      <c r="D133" s="12">
        <v>50</v>
      </c>
      <c r="E133" s="13">
        <v>1</v>
      </c>
    </row>
    <row r="134" spans="1:5" x14ac:dyDescent="0.25">
      <c r="A134" s="11" t="s">
        <v>189</v>
      </c>
      <c r="B134" s="11" t="s">
        <v>20</v>
      </c>
      <c r="C134" s="11" t="s">
        <v>33</v>
      </c>
      <c r="D134" s="12">
        <v>50</v>
      </c>
      <c r="E134" s="13">
        <v>2</v>
      </c>
    </row>
    <row r="135" spans="1:5" x14ac:dyDescent="0.25">
      <c r="A135" s="11" t="s">
        <v>990</v>
      </c>
      <c r="B135" s="11" t="s">
        <v>24</v>
      </c>
      <c r="C135" s="11" t="s">
        <v>53</v>
      </c>
      <c r="D135" s="12">
        <v>50</v>
      </c>
      <c r="E135" s="13">
        <v>4</v>
      </c>
    </row>
    <row r="136" spans="1:5" x14ac:dyDescent="0.25">
      <c r="A136" s="11" t="s">
        <v>1237</v>
      </c>
      <c r="B136" s="11" t="s">
        <v>24</v>
      </c>
      <c r="C136" s="11" t="s">
        <v>44</v>
      </c>
      <c r="D136" s="12">
        <v>50</v>
      </c>
      <c r="E136" s="13">
        <v>0</v>
      </c>
    </row>
    <row r="137" spans="1:5" x14ac:dyDescent="0.25">
      <c r="A137" s="11" t="s">
        <v>184</v>
      </c>
      <c r="B137" s="11" t="s">
        <v>24</v>
      </c>
      <c r="C137" s="11" t="s">
        <v>43</v>
      </c>
      <c r="D137" s="12">
        <v>51</v>
      </c>
      <c r="E137" s="13">
        <v>8</v>
      </c>
    </row>
    <row r="138" spans="1:5" x14ac:dyDescent="0.25">
      <c r="A138" s="11" t="s">
        <v>1021</v>
      </c>
      <c r="B138" s="11" t="s">
        <v>24</v>
      </c>
      <c r="C138" s="11" t="s">
        <v>5</v>
      </c>
      <c r="D138" s="12">
        <v>51</v>
      </c>
      <c r="E138" s="13">
        <v>0</v>
      </c>
    </row>
    <row r="139" spans="1:5" x14ac:dyDescent="0.25">
      <c r="A139" s="11" t="s">
        <v>1153</v>
      </c>
      <c r="B139" s="11" t="s">
        <v>20</v>
      </c>
      <c r="C139" s="11" t="s">
        <v>66</v>
      </c>
      <c r="D139" s="12">
        <v>51</v>
      </c>
      <c r="E139" s="13">
        <v>3</v>
      </c>
    </row>
    <row r="140" spans="1:5" x14ac:dyDescent="0.25">
      <c r="A140" s="11" t="s">
        <v>1542</v>
      </c>
      <c r="B140" s="11" t="s">
        <v>20</v>
      </c>
      <c r="C140" s="11" t="s">
        <v>28</v>
      </c>
      <c r="D140" s="12">
        <v>51</v>
      </c>
      <c r="E140" s="13">
        <v>0</v>
      </c>
    </row>
    <row r="141" spans="1:5" x14ac:dyDescent="0.25">
      <c r="A141" s="11" t="s">
        <v>279</v>
      </c>
      <c r="B141" s="11" t="s">
        <v>26</v>
      </c>
      <c r="C141" s="11" t="s">
        <v>27</v>
      </c>
      <c r="D141" s="12">
        <v>52</v>
      </c>
      <c r="E141" s="13">
        <v>3</v>
      </c>
    </row>
    <row r="142" spans="1:5" x14ac:dyDescent="0.25">
      <c r="A142" s="11" t="s">
        <v>1259</v>
      </c>
      <c r="B142" s="11" t="s">
        <v>24</v>
      </c>
      <c r="C142" s="11" t="s">
        <v>44</v>
      </c>
      <c r="D142" s="12">
        <v>52</v>
      </c>
      <c r="E142" s="13">
        <v>3</v>
      </c>
    </row>
    <row r="143" spans="1:5" x14ac:dyDescent="0.25">
      <c r="A143" s="11" t="s">
        <v>1529</v>
      </c>
      <c r="B143" s="11" t="s">
        <v>26</v>
      </c>
      <c r="C143" s="11" t="s">
        <v>27</v>
      </c>
      <c r="D143" s="12">
        <v>52</v>
      </c>
      <c r="E143" s="13">
        <v>1</v>
      </c>
    </row>
    <row r="144" spans="1:5" x14ac:dyDescent="0.25">
      <c r="A144" s="11" t="s">
        <v>770</v>
      </c>
      <c r="B144" s="11" t="s">
        <v>24</v>
      </c>
      <c r="C144" s="11" t="s">
        <v>44</v>
      </c>
      <c r="D144" s="12">
        <v>53</v>
      </c>
      <c r="E144" s="13">
        <v>6</v>
      </c>
    </row>
    <row r="145" spans="1:5" x14ac:dyDescent="0.25">
      <c r="A145" s="11" t="s">
        <v>1454</v>
      </c>
      <c r="B145" s="11" t="s">
        <v>24</v>
      </c>
      <c r="C145" s="11" t="s">
        <v>44</v>
      </c>
      <c r="D145" s="12">
        <v>53</v>
      </c>
      <c r="E145" s="13">
        <v>0</v>
      </c>
    </row>
    <row r="146" spans="1:5" x14ac:dyDescent="0.25">
      <c r="A146" s="11" t="s">
        <v>1575</v>
      </c>
      <c r="B146" s="11" t="s">
        <v>20</v>
      </c>
      <c r="C146" s="11" t="s">
        <v>5</v>
      </c>
      <c r="D146" s="12">
        <v>53</v>
      </c>
      <c r="E146" s="13">
        <v>0</v>
      </c>
    </row>
    <row r="147" spans="1:5" x14ac:dyDescent="0.25">
      <c r="A147" s="11" t="s">
        <v>1662</v>
      </c>
      <c r="B147" s="11" t="s">
        <v>26</v>
      </c>
      <c r="C147" s="11" t="s">
        <v>27</v>
      </c>
      <c r="D147" s="12">
        <v>53</v>
      </c>
      <c r="E147" s="13">
        <v>1</v>
      </c>
    </row>
    <row r="148" spans="1:5" x14ac:dyDescent="0.25">
      <c r="A148" s="11" t="s">
        <v>95</v>
      </c>
      <c r="B148" s="11" t="s">
        <v>26</v>
      </c>
      <c r="C148" s="11" t="s">
        <v>34</v>
      </c>
      <c r="D148" s="12">
        <v>54</v>
      </c>
      <c r="E148" s="13">
        <v>0</v>
      </c>
    </row>
    <row r="149" spans="1:5" x14ac:dyDescent="0.25">
      <c r="A149" s="11" t="s">
        <v>610</v>
      </c>
      <c r="B149" s="11" t="s">
        <v>26</v>
      </c>
      <c r="C149" s="11" t="s">
        <v>53</v>
      </c>
      <c r="D149" s="12">
        <v>54</v>
      </c>
      <c r="E149" s="13">
        <v>0</v>
      </c>
    </row>
    <row r="150" spans="1:5" x14ac:dyDescent="0.25">
      <c r="A150" s="11" t="s">
        <v>1377</v>
      </c>
      <c r="B150" s="11" t="s">
        <v>20</v>
      </c>
      <c r="C150" s="11" t="s">
        <v>62</v>
      </c>
      <c r="D150" s="12">
        <v>54</v>
      </c>
      <c r="E150" s="13">
        <v>2</v>
      </c>
    </row>
    <row r="151" spans="1:5" x14ac:dyDescent="0.25">
      <c r="A151" s="11" t="s">
        <v>110</v>
      </c>
      <c r="B151" s="11" t="s">
        <v>20</v>
      </c>
      <c r="C151" s="11" t="s">
        <v>111</v>
      </c>
      <c r="D151" s="12">
        <v>55</v>
      </c>
      <c r="E151" s="13">
        <v>1</v>
      </c>
    </row>
    <row r="152" spans="1:5" x14ac:dyDescent="0.25">
      <c r="A152" s="11" t="s">
        <v>687</v>
      </c>
      <c r="B152" s="11" t="s">
        <v>20</v>
      </c>
      <c r="C152" s="11" t="s">
        <v>43</v>
      </c>
      <c r="D152" s="12">
        <v>55</v>
      </c>
      <c r="E152" s="13">
        <v>1</v>
      </c>
    </row>
    <row r="153" spans="1:5" x14ac:dyDescent="0.25">
      <c r="A153" s="11" t="s">
        <v>1109</v>
      </c>
      <c r="B153" s="11" t="s">
        <v>24</v>
      </c>
      <c r="C153" s="11" t="s">
        <v>44</v>
      </c>
      <c r="D153" s="12">
        <v>55</v>
      </c>
      <c r="E153" s="13">
        <v>5</v>
      </c>
    </row>
    <row r="154" spans="1:5" x14ac:dyDescent="0.25">
      <c r="A154" s="11" t="s">
        <v>1935</v>
      </c>
      <c r="B154" s="11" t="s">
        <v>24</v>
      </c>
      <c r="C154" s="11" t="s">
        <v>28</v>
      </c>
      <c r="D154" s="12">
        <v>55</v>
      </c>
      <c r="E154" s="13">
        <v>0</v>
      </c>
    </row>
    <row r="155" spans="1:5" x14ac:dyDescent="0.25">
      <c r="A155" s="11" t="s">
        <v>285</v>
      </c>
      <c r="B155" s="11" t="s">
        <v>20</v>
      </c>
      <c r="C155" s="11" t="s">
        <v>5</v>
      </c>
      <c r="D155" s="12">
        <v>56</v>
      </c>
      <c r="E155" s="13">
        <v>0</v>
      </c>
    </row>
    <row r="156" spans="1:5" x14ac:dyDescent="0.25">
      <c r="A156" s="11" t="s">
        <v>863</v>
      </c>
      <c r="B156" s="11" t="s">
        <v>26</v>
      </c>
      <c r="C156" s="11" t="s">
        <v>25</v>
      </c>
      <c r="D156" s="12">
        <v>56</v>
      </c>
      <c r="E156" s="13">
        <v>1</v>
      </c>
    </row>
    <row r="157" spans="1:5" x14ac:dyDescent="0.25">
      <c r="A157" s="11" t="s">
        <v>967</v>
      </c>
      <c r="B157" s="11" t="s">
        <v>26</v>
      </c>
      <c r="C157" s="11" t="s">
        <v>34</v>
      </c>
      <c r="D157" s="12">
        <v>56</v>
      </c>
      <c r="E157" s="13">
        <v>2</v>
      </c>
    </row>
    <row r="158" spans="1:5" x14ac:dyDescent="0.25">
      <c r="A158" s="11" t="s">
        <v>1861</v>
      </c>
      <c r="B158" s="11" t="s">
        <v>20</v>
      </c>
      <c r="C158" s="11" t="s">
        <v>27</v>
      </c>
      <c r="D158" s="12">
        <v>56</v>
      </c>
      <c r="E158" s="13">
        <v>0</v>
      </c>
    </row>
    <row r="159" spans="1:5" x14ac:dyDescent="0.25">
      <c r="A159" s="11" t="s">
        <v>1967</v>
      </c>
      <c r="B159" s="11" t="s">
        <v>20</v>
      </c>
      <c r="C159" s="11" t="s">
        <v>53</v>
      </c>
      <c r="D159" s="12">
        <v>56</v>
      </c>
      <c r="E159" s="13">
        <v>7</v>
      </c>
    </row>
    <row r="160" spans="1:5" x14ac:dyDescent="0.25">
      <c r="A160" s="11" t="s">
        <v>869</v>
      </c>
      <c r="B160" s="11" t="s">
        <v>26</v>
      </c>
      <c r="C160" s="11" t="s">
        <v>27</v>
      </c>
      <c r="D160" s="12">
        <v>57</v>
      </c>
      <c r="E160" s="13">
        <v>3</v>
      </c>
    </row>
    <row r="161" spans="1:5" x14ac:dyDescent="0.25">
      <c r="A161" s="11" t="s">
        <v>1341</v>
      </c>
      <c r="B161" s="11" t="s">
        <v>24</v>
      </c>
      <c r="C161" s="11" t="s">
        <v>27</v>
      </c>
      <c r="D161" s="12">
        <v>57</v>
      </c>
      <c r="E161" s="13">
        <v>4</v>
      </c>
    </row>
    <row r="162" spans="1:5" x14ac:dyDescent="0.25">
      <c r="A162" s="11" t="s">
        <v>423</v>
      </c>
      <c r="B162" s="11" t="s">
        <v>26</v>
      </c>
      <c r="C162" s="11" t="s">
        <v>25</v>
      </c>
      <c r="D162" s="12">
        <v>58</v>
      </c>
      <c r="E162" s="13">
        <v>1</v>
      </c>
    </row>
    <row r="163" spans="1:5" x14ac:dyDescent="0.25">
      <c r="A163" s="11" t="s">
        <v>1172</v>
      </c>
      <c r="B163" s="11" t="s">
        <v>26</v>
      </c>
      <c r="C163" s="11" t="s">
        <v>39</v>
      </c>
      <c r="D163" s="12">
        <v>58</v>
      </c>
      <c r="E163" s="13">
        <v>1</v>
      </c>
    </row>
    <row r="164" spans="1:5" x14ac:dyDescent="0.25">
      <c r="A164" s="11" t="s">
        <v>1685</v>
      </c>
      <c r="B164" s="11" t="s">
        <v>24</v>
      </c>
      <c r="C164" s="11" t="s">
        <v>53</v>
      </c>
      <c r="D164" s="12">
        <v>58</v>
      </c>
      <c r="E164" s="13">
        <v>0</v>
      </c>
    </row>
    <row r="165" spans="1:5" x14ac:dyDescent="0.25">
      <c r="A165" s="11" t="s">
        <v>252</v>
      </c>
      <c r="B165" s="11" t="s">
        <v>26</v>
      </c>
      <c r="C165" s="11" t="s">
        <v>39</v>
      </c>
      <c r="D165" s="12">
        <v>59</v>
      </c>
      <c r="E165" s="13">
        <v>1</v>
      </c>
    </row>
    <row r="166" spans="1:5" x14ac:dyDescent="0.25">
      <c r="A166" s="11" t="s">
        <v>1513</v>
      </c>
      <c r="B166" s="11" t="s">
        <v>20</v>
      </c>
      <c r="C166" s="11" t="s">
        <v>30</v>
      </c>
      <c r="D166" s="12">
        <v>59</v>
      </c>
      <c r="E166" s="13">
        <v>1</v>
      </c>
    </row>
    <row r="167" spans="1:5" x14ac:dyDescent="0.25">
      <c r="A167" s="11" t="s">
        <v>1794</v>
      </c>
      <c r="B167" s="11" t="s">
        <v>26</v>
      </c>
      <c r="C167" s="11" t="s">
        <v>62</v>
      </c>
      <c r="D167" s="12">
        <v>59</v>
      </c>
      <c r="E167" s="13">
        <v>2</v>
      </c>
    </row>
    <row r="168" spans="1:5" x14ac:dyDescent="0.25">
      <c r="A168" s="11" t="s">
        <v>1827</v>
      </c>
      <c r="B168" s="11" t="s">
        <v>20</v>
      </c>
      <c r="C168" s="11" t="s">
        <v>44</v>
      </c>
      <c r="D168" s="12">
        <v>59</v>
      </c>
      <c r="E168" s="13">
        <v>0</v>
      </c>
    </row>
    <row r="169" spans="1:5" x14ac:dyDescent="0.25">
      <c r="A169" s="11" t="s">
        <v>115</v>
      </c>
      <c r="B169" s="11" t="s">
        <v>20</v>
      </c>
      <c r="C169" s="11" t="s">
        <v>44</v>
      </c>
      <c r="D169" s="12">
        <v>60</v>
      </c>
      <c r="E169" s="13">
        <v>7</v>
      </c>
    </row>
    <row r="170" spans="1:5" x14ac:dyDescent="0.25">
      <c r="A170" s="11" t="s">
        <v>375</v>
      </c>
      <c r="B170" s="11" t="s">
        <v>24</v>
      </c>
      <c r="C170" s="11" t="s">
        <v>22</v>
      </c>
      <c r="D170" s="12">
        <v>60</v>
      </c>
      <c r="E170" s="13">
        <v>11</v>
      </c>
    </row>
    <row r="171" spans="1:5" x14ac:dyDescent="0.25">
      <c r="A171" s="11" t="s">
        <v>1276</v>
      </c>
      <c r="B171" s="11" t="s">
        <v>24</v>
      </c>
      <c r="C171" s="11" t="s">
        <v>32</v>
      </c>
      <c r="D171" s="12">
        <v>60</v>
      </c>
      <c r="E171" s="13">
        <v>0</v>
      </c>
    </row>
    <row r="172" spans="1:5" x14ac:dyDescent="0.25">
      <c r="A172" s="11" t="s">
        <v>60</v>
      </c>
      <c r="B172" s="11" t="s">
        <v>20</v>
      </c>
      <c r="C172" s="11" t="s">
        <v>33</v>
      </c>
      <c r="D172" s="12">
        <v>61</v>
      </c>
      <c r="E172" s="13">
        <v>5</v>
      </c>
    </row>
    <row r="173" spans="1:5" x14ac:dyDescent="0.25">
      <c r="A173" s="11" t="s">
        <v>83</v>
      </c>
      <c r="B173" s="11" t="s">
        <v>26</v>
      </c>
      <c r="C173" s="11" t="s">
        <v>44</v>
      </c>
      <c r="D173" s="12">
        <v>61</v>
      </c>
      <c r="E173" s="13">
        <v>1</v>
      </c>
    </row>
    <row r="174" spans="1:5" x14ac:dyDescent="0.25">
      <c r="A174" s="11" t="s">
        <v>84</v>
      </c>
      <c r="B174" s="11" t="s">
        <v>24</v>
      </c>
      <c r="C174" s="11" t="s">
        <v>39</v>
      </c>
      <c r="D174" s="12">
        <v>62</v>
      </c>
      <c r="E174" s="13">
        <v>3</v>
      </c>
    </row>
    <row r="175" spans="1:5" x14ac:dyDescent="0.25">
      <c r="A175" s="11" t="s">
        <v>499</v>
      </c>
      <c r="B175" s="11" t="s">
        <v>20</v>
      </c>
      <c r="C175" s="11" t="s">
        <v>44</v>
      </c>
      <c r="D175" s="12">
        <v>62</v>
      </c>
      <c r="E175" s="13">
        <v>0</v>
      </c>
    </row>
    <row r="176" spans="1:5" x14ac:dyDescent="0.25">
      <c r="A176" s="11" t="s">
        <v>502</v>
      </c>
      <c r="B176" s="11" t="s">
        <v>24</v>
      </c>
      <c r="C176" s="11" t="s">
        <v>32</v>
      </c>
      <c r="D176" s="12">
        <v>62</v>
      </c>
      <c r="E176" s="13">
        <v>7</v>
      </c>
    </row>
    <row r="177" spans="1:5" x14ac:dyDescent="0.25">
      <c r="A177" s="11" t="s">
        <v>1783</v>
      </c>
      <c r="B177" s="11" t="s">
        <v>20</v>
      </c>
      <c r="C177" s="11" t="s">
        <v>5</v>
      </c>
      <c r="D177" s="12">
        <v>62</v>
      </c>
      <c r="E177" s="13">
        <v>0</v>
      </c>
    </row>
    <row r="178" spans="1:5" x14ac:dyDescent="0.25">
      <c r="A178" s="11" t="s">
        <v>478</v>
      </c>
      <c r="B178" s="11" t="s">
        <v>24</v>
      </c>
      <c r="C178" s="11" t="s">
        <v>111</v>
      </c>
      <c r="D178" s="12">
        <v>63</v>
      </c>
      <c r="E178" s="13">
        <v>4</v>
      </c>
    </row>
    <row r="179" spans="1:5" x14ac:dyDescent="0.25">
      <c r="A179" s="11" t="s">
        <v>971</v>
      </c>
      <c r="B179" s="11" t="s">
        <v>26</v>
      </c>
      <c r="C179" s="11" t="s">
        <v>34</v>
      </c>
      <c r="D179" s="12">
        <v>63</v>
      </c>
      <c r="E179" s="13">
        <v>4</v>
      </c>
    </row>
    <row r="180" spans="1:5" x14ac:dyDescent="0.25">
      <c r="A180" s="11" t="s">
        <v>1641</v>
      </c>
      <c r="B180" s="11" t="s">
        <v>26</v>
      </c>
      <c r="C180" s="11" t="s">
        <v>27</v>
      </c>
      <c r="D180" s="12">
        <v>63</v>
      </c>
      <c r="E180" s="13">
        <v>2</v>
      </c>
    </row>
    <row r="181" spans="1:5" x14ac:dyDescent="0.25">
      <c r="A181" s="11" t="s">
        <v>189</v>
      </c>
      <c r="B181" s="11" t="s">
        <v>26</v>
      </c>
      <c r="C181" s="11" t="s">
        <v>32</v>
      </c>
      <c r="D181" s="12">
        <v>64</v>
      </c>
      <c r="E181" s="13">
        <v>1</v>
      </c>
    </row>
    <row r="182" spans="1:5" x14ac:dyDescent="0.25">
      <c r="A182" s="11" t="s">
        <v>202</v>
      </c>
      <c r="B182" s="11" t="s">
        <v>24</v>
      </c>
      <c r="C182" s="11" t="s">
        <v>32</v>
      </c>
      <c r="D182" s="12">
        <v>64</v>
      </c>
      <c r="E182" s="13">
        <v>1</v>
      </c>
    </row>
    <row r="183" spans="1:5" x14ac:dyDescent="0.25">
      <c r="A183" s="11" t="s">
        <v>231</v>
      </c>
      <c r="B183" s="11" t="s">
        <v>20</v>
      </c>
      <c r="C183" s="11" t="s">
        <v>62</v>
      </c>
      <c r="D183" s="12">
        <v>64</v>
      </c>
      <c r="E183" s="13">
        <v>0</v>
      </c>
    </row>
    <row r="184" spans="1:5" x14ac:dyDescent="0.25">
      <c r="A184" s="11" t="s">
        <v>731</v>
      </c>
      <c r="B184" s="11" t="s">
        <v>24</v>
      </c>
      <c r="C184" s="11" t="s">
        <v>39</v>
      </c>
      <c r="D184" s="12">
        <v>64</v>
      </c>
      <c r="E184" s="13">
        <v>2</v>
      </c>
    </row>
    <row r="185" spans="1:5" x14ac:dyDescent="0.25">
      <c r="A185" s="11" t="s">
        <v>1649</v>
      </c>
      <c r="B185" s="11" t="s">
        <v>26</v>
      </c>
      <c r="C185" s="11" t="s">
        <v>27</v>
      </c>
      <c r="D185" s="12">
        <v>64</v>
      </c>
      <c r="E185" s="13">
        <v>0</v>
      </c>
    </row>
    <row r="186" spans="1:5" x14ac:dyDescent="0.25">
      <c r="A186" s="11" t="s">
        <v>1943</v>
      </c>
      <c r="B186" s="11" t="s">
        <v>20</v>
      </c>
      <c r="C186" s="11" t="s">
        <v>44</v>
      </c>
      <c r="D186" s="12">
        <v>64</v>
      </c>
      <c r="E186" s="13">
        <v>0</v>
      </c>
    </row>
    <row r="187" spans="1:5" x14ac:dyDescent="0.25">
      <c r="A187" s="11" t="s">
        <v>497</v>
      </c>
      <c r="B187" s="11" t="s">
        <v>26</v>
      </c>
      <c r="C187" s="11" t="s">
        <v>44</v>
      </c>
      <c r="D187" s="12">
        <v>65</v>
      </c>
      <c r="E187" s="13">
        <v>1</v>
      </c>
    </row>
    <row r="188" spans="1:5" x14ac:dyDescent="0.25">
      <c r="A188" s="11" t="s">
        <v>830</v>
      </c>
      <c r="B188" s="11" t="s">
        <v>26</v>
      </c>
      <c r="C188" s="11" t="s">
        <v>25</v>
      </c>
      <c r="D188" s="12">
        <v>66</v>
      </c>
      <c r="E188" s="13">
        <v>2</v>
      </c>
    </row>
    <row r="189" spans="1:5" x14ac:dyDescent="0.25">
      <c r="A189" s="11" t="s">
        <v>1151</v>
      </c>
      <c r="B189" s="11" t="s">
        <v>24</v>
      </c>
      <c r="C189" s="11" t="s">
        <v>44</v>
      </c>
      <c r="D189" s="12">
        <v>66</v>
      </c>
      <c r="E189" s="13">
        <v>2</v>
      </c>
    </row>
    <row r="190" spans="1:5" x14ac:dyDescent="0.25">
      <c r="A190" s="11" t="s">
        <v>1166</v>
      </c>
      <c r="B190" s="11" t="s">
        <v>20</v>
      </c>
      <c r="C190" s="11" t="s">
        <v>27</v>
      </c>
      <c r="D190" s="12">
        <v>66</v>
      </c>
      <c r="E190" s="13">
        <v>0</v>
      </c>
    </row>
    <row r="191" spans="1:5" x14ac:dyDescent="0.25">
      <c r="A191" s="11" t="s">
        <v>457</v>
      </c>
      <c r="B191" s="11" t="s">
        <v>24</v>
      </c>
      <c r="C191" s="11" t="s">
        <v>5</v>
      </c>
      <c r="D191" s="12">
        <v>67</v>
      </c>
      <c r="E191" s="13">
        <v>3</v>
      </c>
    </row>
    <row r="192" spans="1:5" x14ac:dyDescent="0.25">
      <c r="A192" s="11" t="s">
        <v>608</v>
      </c>
      <c r="B192" s="11" t="s">
        <v>24</v>
      </c>
      <c r="C192" s="11" t="s">
        <v>39</v>
      </c>
      <c r="D192" s="12">
        <v>67</v>
      </c>
      <c r="E192" s="13">
        <v>0</v>
      </c>
    </row>
    <row r="193" spans="1:5" x14ac:dyDescent="0.25">
      <c r="A193" s="11" t="s">
        <v>1123</v>
      </c>
      <c r="B193" s="11" t="s">
        <v>24</v>
      </c>
      <c r="C193" s="11" t="s">
        <v>44</v>
      </c>
      <c r="D193" s="12">
        <v>67</v>
      </c>
      <c r="E193" s="13">
        <v>0</v>
      </c>
    </row>
    <row r="194" spans="1:5" x14ac:dyDescent="0.25">
      <c r="A194" s="11" t="s">
        <v>1191</v>
      </c>
      <c r="B194" s="11" t="s">
        <v>20</v>
      </c>
      <c r="C194" s="11" t="s">
        <v>44</v>
      </c>
      <c r="D194" s="12">
        <v>67</v>
      </c>
      <c r="E194" s="13">
        <v>12</v>
      </c>
    </row>
    <row r="195" spans="1:5" x14ac:dyDescent="0.25">
      <c r="A195" s="11" t="s">
        <v>1696</v>
      </c>
      <c r="B195" s="11" t="s">
        <v>26</v>
      </c>
      <c r="C195" s="11" t="s">
        <v>27</v>
      </c>
      <c r="D195" s="12">
        <v>67</v>
      </c>
      <c r="E195" s="13">
        <v>3</v>
      </c>
    </row>
    <row r="196" spans="1:5" x14ac:dyDescent="0.25">
      <c r="A196" s="11" t="s">
        <v>902</v>
      </c>
      <c r="B196" s="11" t="s">
        <v>26</v>
      </c>
      <c r="C196" s="11" t="s">
        <v>40</v>
      </c>
      <c r="D196" s="12">
        <v>68</v>
      </c>
      <c r="E196" s="13">
        <v>0</v>
      </c>
    </row>
    <row r="197" spans="1:5" x14ac:dyDescent="0.25">
      <c r="A197" s="11" t="s">
        <v>916</v>
      </c>
      <c r="B197" s="11" t="s">
        <v>20</v>
      </c>
      <c r="C197" s="11" t="s">
        <v>32</v>
      </c>
      <c r="D197" s="12">
        <v>68</v>
      </c>
      <c r="E197" s="13">
        <v>0</v>
      </c>
    </row>
    <row r="198" spans="1:5" x14ac:dyDescent="0.25">
      <c r="A198" s="11" t="s">
        <v>1304</v>
      </c>
      <c r="B198" s="11" t="s">
        <v>24</v>
      </c>
      <c r="C198" s="11" t="s">
        <v>27</v>
      </c>
      <c r="D198" s="12">
        <v>68</v>
      </c>
      <c r="E198" s="13">
        <v>4</v>
      </c>
    </row>
    <row r="199" spans="1:5" x14ac:dyDescent="0.25">
      <c r="A199" s="11" t="s">
        <v>505</v>
      </c>
      <c r="B199" s="11" t="s">
        <v>20</v>
      </c>
      <c r="C199" s="11" t="s">
        <v>30</v>
      </c>
      <c r="D199" s="12">
        <v>69</v>
      </c>
      <c r="E199" s="13">
        <v>0</v>
      </c>
    </row>
    <row r="200" spans="1:5" x14ac:dyDescent="0.25">
      <c r="A200" s="11" t="s">
        <v>567</v>
      </c>
      <c r="B200" s="11" t="s">
        <v>26</v>
      </c>
      <c r="C200" s="11" t="s">
        <v>27</v>
      </c>
      <c r="D200" s="12">
        <v>69</v>
      </c>
      <c r="E200" s="13">
        <v>0</v>
      </c>
    </row>
    <row r="201" spans="1:5" x14ac:dyDescent="0.25">
      <c r="A201" s="11" t="s">
        <v>142</v>
      </c>
      <c r="B201" s="11" t="s">
        <v>20</v>
      </c>
      <c r="C201" s="11" t="s">
        <v>44</v>
      </c>
      <c r="D201" s="12">
        <v>70</v>
      </c>
      <c r="E201" s="13">
        <v>5</v>
      </c>
    </row>
    <row r="202" spans="1:5" x14ac:dyDescent="0.25">
      <c r="A202" s="11" t="s">
        <v>308</v>
      </c>
      <c r="B202" s="11" t="s">
        <v>24</v>
      </c>
      <c r="C202" s="11" t="s">
        <v>39</v>
      </c>
      <c r="D202" s="12">
        <v>70</v>
      </c>
      <c r="E202" s="13">
        <v>6</v>
      </c>
    </row>
    <row r="203" spans="1:5" x14ac:dyDescent="0.25">
      <c r="A203" s="11" t="s">
        <v>614</v>
      </c>
      <c r="B203" s="11" t="s">
        <v>24</v>
      </c>
      <c r="C203" s="11" t="s">
        <v>33</v>
      </c>
      <c r="D203" s="12">
        <v>70</v>
      </c>
      <c r="E203" s="13">
        <v>4</v>
      </c>
    </row>
    <row r="204" spans="1:5" x14ac:dyDescent="0.25">
      <c r="A204" s="11" t="s">
        <v>676</v>
      </c>
      <c r="B204" s="11" t="s">
        <v>24</v>
      </c>
      <c r="C204" s="11" t="s">
        <v>27</v>
      </c>
      <c r="D204" s="12">
        <v>70</v>
      </c>
      <c r="E204" s="13">
        <v>2</v>
      </c>
    </row>
    <row r="205" spans="1:5" x14ac:dyDescent="0.25">
      <c r="A205" s="11" t="s">
        <v>1065</v>
      </c>
      <c r="B205" s="11" t="s">
        <v>20</v>
      </c>
      <c r="C205" s="11" t="s">
        <v>40</v>
      </c>
      <c r="D205" s="12">
        <v>70</v>
      </c>
      <c r="E205" s="13">
        <v>16</v>
      </c>
    </row>
    <row r="206" spans="1:5" x14ac:dyDescent="0.25">
      <c r="A206" s="11" t="s">
        <v>1301</v>
      </c>
      <c r="B206" s="11" t="s">
        <v>26</v>
      </c>
      <c r="C206" s="11" t="s">
        <v>39</v>
      </c>
      <c r="D206" s="12">
        <v>70</v>
      </c>
      <c r="E206" s="13">
        <v>0</v>
      </c>
    </row>
    <row r="207" spans="1:5" x14ac:dyDescent="0.25">
      <c r="A207" s="11" t="s">
        <v>1384</v>
      </c>
      <c r="B207" s="11" t="s">
        <v>26</v>
      </c>
      <c r="C207" s="11" t="s">
        <v>111</v>
      </c>
      <c r="D207" s="12">
        <v>70</v>
      </c>
      <c r="E207" s="13">
        <v>1</v>
      </c>
    </row>
    <row r="208" spans="1:5" x14ac:dyDescent="0.25">
      <c r="A208" s="11" t="s">
        <v>1600</v>
      </c>
      <c r="B208" s="11" t="s">
        <v>20</v>
      </c>
      <c r="C208" s="11" t="s">
        <v>30</v>
      </c>
      <c r="D208" s="12">
        <v>70</v>
      </c>
      <c r="E208" s="13">
        <v>0</v>
      </c>
    </row>
    <row r="209" spans="1:5" x14ac:dyDescent="0.25">
      <c r="A209" s="11" t="s">
        <v>689</v>
      </c>
      <c r="B209" s="11" t="s">
        <v>24</v>
      </c>
      <c r="C209" s="11" t="s">
        <v>27</v>
      </c>
      <c r="D209" s="12">
        <v>71</v>
      </c>
      <c r="E209" s="13">
        <v>1</v>
      </c>
    </row>
    <row r="210" spans="1:5" x14ac:dyDescent="0.25">
      <c r="A210" s="11" t="s">
        <v>1294</v>
      </c>
      <c r="B210" s="11" t="s">
        <v>26</v>
      </c>
      <c r="C210" s="11" t="s">
        <v>111</v>
      </c>
      <c r="D210" s="12">
        <v>71</v>
      </c>
      <c r="E210" s="13">
        <v>1</v>
      </c>
    </row>
    <row r="211" spans="1:5" x14ac:dyDescent="0.25">
      <c r="A211" s="11" t="s">
        <v>1960</v>
      </c>
      <c r="B211" s="11" t="s">
        <v>20</v>
      </c>
      <c r="C211" s="11" t="s">
        <v>27</v>
      </c>
      <c r="D211" s="12">
        <v>71</v>
      </c>
      <c r="E211" s="13">
        <v>14</v>
      </c>
    </row>
    <row r="212" spans="1:5" x14ac:dyDescent="0.25">
      <c r="A212" s="11" t="s">
        <v>345</v>
      </c>
      <c r="B212" s="11" t="s">
        <v>24</v>
      </c>
      <c r="C212" s="11" t="s">
        <v>32</v>
      </c>
      <c r="D212" s="12">
        <v>72</v>
      </c>
      <c r="E212" s="13">
        <v>0</v>
      </c>
    </row>
    <row r="213" spans="1:5" x14ac:dyDescent="0.25">
      <c r="A213" s="11" t="s">
        <v>835</v>
      </c>
      <c r="B213" s="11" t="s">
        <v>20</v>
      </c>
      <c r="C213" s="11" t="s">
        <v>39</v>
      </c>
      <c r="D213" s="12">
        <v>72</v>
      </c>
      <c r="E213" s="13">
        <v>0</v>
      </c>
    </row>
    <row r="214" spans="1:5" x14ac:dyDescent="0.25">
      <c r="A214" s="11" t="s">
        <v>1250</v>
      </c>
      <c r="B214" s="11" t="s">
        <v>24</v>
      </c>
      <c r="C214" s="11" t="s">
        <v>39</v>
      </c>
      <c r="D214" s="12">
        <v>72</v>
      </c>
      <c r="E214" s="13">
        <v>1</v>
      </c>
    </row>
    <row r="215" spans="1:5" x14ac:dyDescent="0.25">
      <c r="A215" s="11" t="s">
        <v>1425</v>
      </c>
      <c r="B215" s="11" t="s">
        <v>26</v>
      </c>
      <c r="C215" s="11" t="s">
        <v>27</v>
      </c>
      <c r="D215" s="12">
        <v>73</v>
      </c>
      <c r="E215" s="13">
        <v>0</v>
      </c>
    </row>
    <row r="216" spans="1:5" x14ac:dyDescent="0.25">
      <c r="A216" s="11" t="s">
        <v>155</v>
      </c>
      <c r="B216" s="11" t="s">
        <v>24</v>
      </c>
      <c r="C216" s="11" t="s">
        <v>39</v>
      </c>
      <c r="D216" s="12">
        <v>74</v>
      </c>
      <c r="E216" s="13">
        <v>0</v>
      </c>
    </row>
    <row r="217" spans="1:5" x14ac:dyDescent="0.25">
      <c r="A217" s="11" t="s">
        <v>774</v>
      </c>
      <c r="B217" s="11" t="s">
        <v>26</v>
      </c>
      <c r="C217" s="11" t="s">
        <v>30</v>
      </c>
      <c r="D217" s="12">
        <v>74</v>
      </c>
      <c r="E217" s="13">
        <v>7</v>
      </c>
    </row>
    <row r="218" spans="1:5" x14ac:dyDescent="0.25">
      <c r="A218" s="11" t="s">
        <v>809</v>
      </c>
      <c r="B218" s="11" t="s">
        <v>20</v>
      </c>
      <c r="C218" s="11" t="s">
        <v>30</v>
      </c>
      <c r="D218" s="12">
        <v>74</v>
      </c>
      <c r="E218" s="13">
        <v>0</v>
      </c>
    </row>
    <row r="219" spans="1:5" x14ac:dyDescent="0.25">
      <c r="A219" s="11" t="s">
        <v>1643</v>
      </c>
      <c r="B219" s="11" t="s">
        <v>24</v>
      </c>
      <c r="C219" s="11" t="s">
        <v>30</v>
      </c>
      <c r="D219" s="12">
        <v>74</v>
      </c>
      <c r="E219" s="13">
        <v>0</v>
      </c>
    </row>
    <row r="220" spans="1:5" x14ac:dyDescent="0.25">
      <c r="A220" s="11" t="s">
        <v>1695</v>
      </c>
      <c r="B220" s="11" t="s">
        <v>20</v>
      </c>
      <c r="C220" s="11" t="s">
        <v>44</v>
      </c>
      <c r="D220" s="12">
        <v>74</v>
      </c>
      <c r="E220" s="13">
        <v>2</v>
      </c>
    </row>
    <row r="221" spans="1:5" x14ac:dyDescent="0.25">
      <c r="A221" s="11" t="s">
        <v>201</v>
      </c>
      <c r="B221" s="11" t="s">
        <v>26</v>
      </c>
      <c r="C221" s="11" t="s">
        <v>44</v>
      </c>
      <c r="D221" s="12">
        <v>75</v>
      </c>
      <c r="E221" s="13">
        <v>13</v>
      </c>
    </row>
    <row r="222" spans="1:5" x14ac:dyDescent="0.25">
      <c r="A222" s="11" t="s">
        <v>239</v>
      </c>
      <c r="B222" s="11" t="s">
        <v>20</v>
      </c>
      <c r="C222" s="11" t="s">
        <v>44</v>
      </c>
      <c r="D222" s="12">
        <v>75</v>
      </c>
      <c r="E222" s="13">
        <v>0</v>
      </c>
    </row>
    <row r="223" spans="1:5" x14ac:dyDescent="0.25">
      <c r="A223" s="11" t="s">
        <v>1064</v>
      </c>
      <c r="B223" s="11" t="s">
        <v>20</v>
      </c>
      <c r="C223" s="11" t="s">
        <v>27</v>
      </c>
      <c r="D223" s="12">
        <v>75</v>
      </c>
      <c r="E223" s="13">
        <v>7</v>
      </c>
    </row>
    <row r="224" spans="1:5" x14ac:dyDescent="0.25">
      <c r="A224" s="11" t="s">
        <v>1179</v>
      </c>
      <c r="B224" s="11" t="s">
        <v>20</v>
      </c>
      <c r="C224" s="11" t="s">
        <v>28</v>
      </c>
      <c r="D224" s="12">
        <v>75</v>
      </c>
      <c r="E224" s="13">
        <v>1</v>
      </c>
    </row>
    <row r="225" spans="1:5" x14ac:dyDescent="0.25">
      <c r="A225" s="11" t="s">
        <v>735</v>
      </c>
      <c r="B225" s="11" t="s">
        <v>24</v>
      </c>
      <c r="C225" s="11" t="s">
        <v>44</v>
      </c>
      <c r="D225" s="12">
        <v>76</v>
      </c>
      <c r="E225" s="13">
        <v>6</v>
      </c>
    </row>
    <row r="226" spans="1:5" x14ac:dyDescent="0.25">
      <c r="A226" s="11" t="s">
        <v>1020</v>
      </c>
      <c r="B226" s="11" t="s">
        <v>20</v>
      </c>
      <c r="C226" s="11" t="s">
        <v>21</v>
      </c>
      <c r="D226" s="12">
        <v>76</v>
      </c>
      <c r="E226" s="13">
        <v>1</v>
      </c>
    </row>
    <row r="227" spans="1:5" x14ac:dyDescent="0.25">
      <c r="A227" s="11" t="s">
        <v>1225</v>
      </c>
      <c r="B227" s="11" t="s">
        <v>24</v>
      </c>
      <c r="C227" s="11" t="s">
        <v>34</v>
      </c>
      <c r="D227" s="12">
        <v>76</v>
      </c>
      <c r="E227" s="13">
        <v>0</v>
      </c>
    </row>
    <row r="228" spans="1:5" x14ac:dyDescent="0.25">
      <c r="A228" s="11" t="s">
        <v>1335</v>
      </c>
      <c r="B228" s="11" t="s">
        <v>26</v>
      </c>
      <c r="C228" s="11" t="s">
        <v>25</v>
      </c>
      <c r="D228" s="12">
        <v>76</v>
      </c>
      <c r="E228" s="13">
        <v>1</v>
      </c>
    </row>
    <row r="229" spans="1:5" x14ac:dyDescent="0.25">
      <c r="A229" s="11" t="s">
        <v>1507</v>
      </c>
      <c r="B229" s="11" t="s">
        <v>26</v>
      </c>
      <c r="C229" s="11" t="s">
        <v>53</v>
      </c>
      <c r="D229" s="12">
        <v>77</v>
      </c>
      <c r="E229" s="13">
        <v>1</v>
      </c>
    </row>
    <row r="230" spans="1:5" x14ac:dyDescent="0.25">
      <c r="A230" s="11" t="s">
        <v>1083</v>
      </c>
      <c r="B230" s="11" t="s">
        <v>24</v>
      </c>
      <c r="C230" s="11" t="s">
        <v>27</v>
      </c>
      <c r="D230" s="12">
        <v>78</v>
      </c>
      <c r="E230" s="13">
        <v>0</v>
      </c>
    </row>
    <row r="231" spans="1:5" x14ac:dyDescent="0.25">
      <c r="A231" s="11" t="s">
        <v>98</v>
      </c>
      <c r="B231" s="11" t="s">
        <v>26</v>
      </c>
      <c r="C231" s="11" t="s">
        <v>44</v>
      </c>
      <c r="D231" s="12">
        <v>80</v>
      </c>
      <c r="E231" s="13">
        <v>4</v>
      </c>
    </row>
    <row r="232" spans="1:5" x14ac:dyDescent="0.25">
      <c r="A232" s="11" t="s">
        <v>767</v>
      </c>
      <c r="B232" s="11" t="s">
        <v>26</v>
      </c>
      <c r="C232" s="11" t="s">
        <v>62</v>
      </c>
      <c r="D232" s="12">
        <v>80</v>
      </c>
      <c r="E232" s="13">
        <v>2</v>
      </c>
    </row>
    <row r="233" spans="1:5" x14ac:dyDescent="0.25">
      <c r="A233" s="11" t="s">
        <v>1411</v>
      </c>
      <c r="B233" s="11" t="s">
        <v>24</v>
      </c>
      <c r="C233" s="11" t="s">
        <v>39</v>
      </c>
      <c r="D233" s="12">
        <v>80</v>
      </c>
      <c r="E233" s="13">
        <v>6</v>
      </c>
    </row>
    <row r="234" spans="1:5" x14ac:dyDescent="0.25">
      <c r="A234" s="11" t="s">
        <v>1801</v>
      </c>
      <c r="B234" s="11" t="s">
        <v>24</v>
      </c>
      <c r="C234" s="11" t="s">
        <v>22</v>
      </c>
      <c r="D234" s="12">
        <v>80</v>
      </c>
      <c r="E234" s="13">
        <v>3</v>
      </c>
    </row>
    <row r="235" spans="1:5" x14ac:dyDescent="0.25">
      <c r="A235" s="11" t="s">
        <v>1861</v>
      </c>
      <c r="B235" s="11" t="s">
        <v>24</v>
      </c>
      <c r="C235" s="11" t="s">
        <v>43</v>
      </c>
      <c r="D235" s="12">
        <v>80</v>
      </c>
      <c r="E235" s="13">
        <v>3</v>
      </c>
    </row>
    <row r="236" spans="1:5" x14ac:dyDescent="0.25">
      <c r="A236" s="11" t="s">
        <v>237</v>
      </c>
      <c r="B236" s="11" t="s">
        <v>24</v>
      </c>
      <c r="C236" s="11" t="s">
        <v>5</v>
      </c>
      <c r="D236" s="12">
        <v>81</v>
      </c>
      <c r="E236" s="13">
        <v>0</v>
      </c>
    </row>
    <row r="237" spans="1:5" x14ac:dyDescent="0.25">
      <c r="A237" s="11" t="s">
        <v>363</v>
      </c>
      <c r="B237" s="11" t="s">
        <v>20</v>
      </c>
      <c r="C237" s="11" t="s">
        <v>111</v>
      </c>
      <c r="D237" s="12">
        <v>81</v>
      </c>
      <c r="E237" s="13">
        <v>4</v>
      </c>
    </row>
    <row r="238" spans="1:5" x14ac:dyDescent="0.25">
      <c r="A238" s="11" t="s">
        <v>1146</v>
      </c>
      <c r="B238" s="11" t="s">
        <v>26</v>
      </c>
      <c r="C238" s="11" t="s">
        <v>28</v>
      </c>
      <c r="D238" s="12">
        <v>81</v>
      </c>
      <c r="E238" s="13">
        <v>0</v>
      </c>
    </row>
    <row r="239" spans="1:5" x14ac:dyDescent="0.25">
      <c r="A239" s="11" t="s">
        <v>1348</v>
      </c>
      <c r="B239" s="11" t="s">
        <v>24</v>
      </c>
      <c r="C239" s="11" t="s">
        <v>44</v>
      </c>
      <c r="D239" s="12">
        <v>81</v>
      </c>
      <c r="E239" s="13">
        <v>0</v>
      </c>
    </row>
    <row r="240" spans="1:5" x14ac:dyDescent="0.25">
      <c r="A240" s="11" t="s">
        <v>283</v>
      </c>
      <c r="B240" s="11" t="s">
        <v>24</v>
      </c>
      <c r="C240" s="11" t="s">
        <v>5</v>
      </c>
      <c r="D240" s="12">
        <v>82</v>
      </c>
      <c r="E240" s="13">
        <v>3</v>
      </c>
    </row>
    <row r="241" spans="1:5" x14ac:dyDescent="0.25">
      <c r="A241" s="11" t="s">
        <v>693</v>
      </c>
      <c r="B241" s="11" t="s">
        <v>20</v>
      </c>
      <c r="C241" s="11" t="s">
        <v>5</v>
      </c>
      <c r="D241" s="12">
        <v>82</v>
      </c>
      <c r="E241" s="13">
        <v>0</v>
      </c>
    </row>
    <row r="242" spans="1:5" x14ac:dyDescent="0.25">
      <c r="A242" s="11" t="s">
        <v>1656</v>
      </c>
      <c r="B242" s="11" t="s">
        <v>20</v>
      </c>
      <c r="C242" s="11" t="s">
        <v>43</v>
      </c>
      <c r="D242" s="12">
        <v>82</v>
      </c>
      <c r="E242" s="13">
        <v>1</v>
      </c>
    </row>
    <row r="243" spans="1:5" x14ac:dyDescent="0.25">
      <c r="A243" s="11" t="s">
        <v>1963</v>
      </c>
      <c r="B243" s="11" t="s">
        <v>24</v>
      </c>
      <c r="C243" s="11" t="s">
        <v>25</v>
      </c>
      <c r="D243" s="12">
        <v>82</v>
      </c>
      <c r="E243" s="13">
        <v>0</v>
      </c>
    </row>
    <row r="244" spans="1:5" x14ac:dyDescent="0.25">
      <c r="A244" s="11" t="s">
        <v>448</v>
      </c>
      <c r="B244" s="11" t="s">
        <v>26</v>
      </c>
      <c r="C244" s="11" t="s">
        <v>28</v>
      </c>
      <c r="D244" s="12">
        <v>83</v>
      </c>
      <c r="E244" s="13">
        <v>0</v>
      </c>
    </row>
    <row r="245" spans="1:5" x14ac:dyDescent="0.25">
      <c r="A245" s="11" t="s">
        <v>1446</v>
      </c>
      <c r="B245" s="11" t="s">
        <v>24</v>
      </c>
      <c r="C245" s="11" t="s">
        <v>30</v>
      </c>
      <c r="D245" s="12">
        <v>83</v>
      </c>
      <c r="E245" s="13">
        <v>0</v>
      </c>
    </row>
    <row r="246" spans="1:5" x14ac:dyDescent="0.25">
      <c r="A246" s="11" t="s">
        <v>1212</v>
      </c>
      <c r="B246" s="11" t="s">
        <v>26</v>
      </c>
      <c r="C246" s="11" t="s">
        <v>62</v>
      </c>
      <c r="D246" s="12">
        <v>84</v>
      </c>
      <c r="E246" s="13">
        <v>0</v>
      </c>
    </row>
    <row r="247" spans="1:5" x14ac:dyDescent="0.25">
      <c r="A247" s="11" t="s">
        <v>136</v>
      </c>
      <c r="B247" s="11" t="s">
        <v>26</v>
      </c>
      <c r="C247" s="11" t="s">
        <v>27</v>
      </c>
      <c r="D247" s="12">
        <v>85</v>
      </c>
      <c r="E247" s="13">
        <v>0</v>
      </c>
    </row>
    <row r="248" spans="1:5" x14ac:dyDescent="0.25">
      <c r="A248" s="11" t="s">
        <v>185</v>
      </c>
      <c r="B248" s="11" t="s">
        <v>24</v>
      </c>
      <c r="C248" s="11" t="s">
        <v>22</v>
      </c>
      <c r="D248" s="12">
        <v>85</v>
      </c>
      <c r="E248" s="13">
        <v>0</v>
      </c>
    </row>
    <row r="249" spans="1:5" x14ac:dyDescent="0.25">
      <c r="A249" s="11" t="s">
        <v>747</v>
      </c>
      <c r="B249" s="11" t="s">
        <v>20</v>
      </c>
      <c r="C249" s="11" t="s">
        <v>21</v>
      </c>
      <c r="D249" s="12">
        <v>85</v>
      </c>
      <c r="E249" s="13">
        <v>0</v>
      </c>
    </row>
    <row r="250" spans="1:5" x14ac:dyDescent="0.25">
      <c r="A250" s="11" t="s">
        <v>1938</v>
      </c>
      <c r="B250" s="11" t="s">
        <v>20</v>
      </c>
      <c r="C250" s="11" t="s">
        <v>27</v>
      </c>
      <c r="D250" s="12">
        <v>85</v>
      </c>
      <c r="E250" s="13">
        <v>6</v>
      </c>
    </row>
    <row r="251" spans="1:5" x14ac:dyDescent="0.25">
      <c r="A251" s="11" t="s">
        <v>1974</v>
      </c>
      <c r="B251" s="11" t="s">
        <v>24</v>
      </c>
      <c r="C251" s="11" t="s">
        <v>30</v>
      </c>
      <c r="D251" s="12">
        <v>85</v>
      </c>
      <c r="E251" s="13">
        <v>10</v>
      </c>
    </row>
    <row r="252" spans="1:5" x14ac:dyDescent="0.25">
      <c r="A252" s="11" t="s">
        <v>380</v>
      </c>
      <c r="B252" s="11" t="s">
        <v>20</v>
      </c>
      <c r="C252" s="11" t="s">
        <v>34</v>
      </c>
      <c r="D252" s="12">
        <v>86</v>
      </c>
      <c r="E252" s="13">
        <v>4</v>
      </c>
    </row>
    <row r="253" spans="1:5" x14ac:dyDescent="0.25">
      <c r="A253" s="11" t="s">
        <v>532</v>
      </c>
      <c r="B253" s="11" t="s">
        <v>24</v>
      </c>
      <c r="C253" s="11" t="s">
        <v>40</v>
      </c>
      <c r="D253" s="12">
        <v>86</v>
      </c>
      <c r="E253" s="13">
        <v>4</v>
      </c>
    </row>
    <row r="254" spans="1:5" x14ac:dyDescent="0.25">
      <c r="A254" s="11" t="s">
        <v>1953</v>
      </c>
      <c r="B254" s="11" t="s">
        <v>24</v>
      </c>
      <c r="C254" s="11" t="s">
        <v>40</v>
      </c>
      <c r="D254" s="12">
        <v>86</v>
      </c>
      <c r="E254" s="13">
        <v>0</v>
      </c>
    </row>
    <row r="255" spans="1:5" x14ac:dyDescent="0.25">
      <c r="A255" s="11" t="s">
        <v>112</v>
      </c>
      <c r="B255" s="11" t="s">
        <v>20</v>
      </c>
      <c r="C255" s="11" t="s">
        <v>40</v>
      </c>
      <c r="D255" s="12">
        <v>87</v>
      </c>
      <c r="E255" s="13">
        <v>1</v>
      </c>
    </row>
    <row r="256" spans="1:5" x14ac:dyDescent="0.25">
      <c r="A256" s="11" t="s">
        <v>665</v>
      </c>
      <c r="B256" s="11" t="s">
        <v>24</v>
      </c>
      <c r="C256" s="11" t="s">
        <v>44</v>
      </c>
      <c r="D256" s="12">
        <v>87</v>
      </c>
      <c r="E256" s="13">
        <v>1</v>
      </c>
    </row>
    <row r="257" spans="1:5" x14ac:dyDescent="0.25">
      <c r="A257" s="11" t="s">
        <v>872</v>
      </c>
      <c r="B257" s="11" t="s">
        <v>26</v>
      </c>
      <c r="C257" s="11" t="s">
        <v>30</v>
      </c>
      <c r="D257" s="12">
        <v>87</v>
      </c>
      <c r="E257" s="13">
        <v>0</v>
      </c>
    </row>
    <row r="258" spans="1:5" x14ac:dyDescent="0.25">
      <c r="A258" s="11" t="s">
        <v>1367</v>
      </c>
      <c r="B258" s="11" t="s">
        <v>24</v>
      </c>
      <c r="C258" s="11" t="s">
        <v>22</v>
      </c>
      <c r="D258" s="12">
        <v>87</v>
      </c>
      <c r="E258" s="13">
        <v>0</v>
      </c>
    </row>
    <row r="259" spans="1:5" x14ac:dyDescent="0.25">
      <c r="A259" s="11" t="s">
        <v>1427</v>
      </c>
      <c r="B259" s="11" t="s">
        <v>20</v>
      </c>
      <c r="C259" s="11" t="s">
        <v>111</v>
      </c>
      <c r="D259" s="12">
        <v>87</v>
      </c>
      <c r="E259" s="13">
        <v>2</v>
      </c>
    </row>
    <row r="260" spans="1:5" x14ac:dyDescent="0.25">
      <c r="A260" s="11" t="s">
        <v>1526</v>
      </c>
      <c r="B260" s="11" t="s">
        <v>20</v>
      </c>
      <c r="C260" s="11" t="s">
        <v>44</v>
      </c>
      <c r="D260" s="12">
        <v>88</v>
      </c>
      <c r="E260" s="13">
        <v>11</v>
      </c>
    </row>
    <row r="261" spans="1:5" x14ac:dyDescent="0.25">
      <c r="A261" s="11" t="s">
        <v>272</v>
      </c>
      <c r="B261" s="11" t="s">
        <v>24</v>
      </c>
      <c r="C261" s="11" t="s">
        <v>5</v>
      </c>
      <c r="D261" s="12">
        <v>89</v>
      </c>
      <c r="E261" s="13">
        <v>1</v>
      </c>
    </row>
    <row r="262" spans="1:5" x14ac:dyDescent="0.25">
      <c r="A262" s="11" t="s">
        <v>660</v>
      </c>
      <c r="B262" s="11" t="s">
        <v>26</v>
      </c>
      <c r="C262" s="11" t="s">
        <v>30</v>
      </c>
      <c r="D262" s="12">
        <v>90</v>
      </c>
      <c r="E262" s="13">
        <v>2</v>
      </c>
    </row>
    <row r="263" spans="1:5" x14ac:dyDescent="0.25">
      <c r="A263" s="11" t="s">
        <v>1704</v>
      </c>
      <c r="B263" s="11" t="s">
        <v>24</v>
      </c>
      <c r="C263" s="11" t="s">
        <v>44</v>
      </c>
      <c r="D263" s="12">
        <v>90</v>
      </c>
      <c r="E263" s="13">
        <v>3</v>
      </c>
    </row>
    <row r="264" spans="1:5" x14ac:dyDescent="0.25">
      <c r="A264" s="11" t="s">
        <v>1771</v>
      </c>
      <c r="B264" s="11" t="s">
        <v>24</v>
      </c>
      <c r="C264" s="11" t="s">
        <v>66</v>
      </c>
      <c r="D264" s="12">
        <v>90</v>
      </c>
      <c r="E264" s="13">
        <v>0</v>
      </c>
    </row>
    <row r="265" spans="1:5" x14ac:dyDescent="0.25">
      <c r="A265" s="11" t="s">
        <v>229</v>
      </c>
      <c r="B265" s="11" t="s">
        <v>26</v>
      </c>
      <c r="C265" s="11" t="s">
        <v>43</v>
      </c>
      <c r="D265" s="12">
        <v>91</v>
      </c>
      <c r="E265" s="13">
        <v>4</v>
      </c>
    </row>
    <row r="266" spans="1:5" x14ac:dyDescent="0.25">
      <c r="A266" s="11" t="s">
        <v>521</v>
      </c>
      <c r="B266" s="11" t="s">
        <v>20</v>
      </c>
      <c r="C266" s="11" t="s">
        <v>44</v>
      </c>
      <c r="D266" s="12">
        <v>91</v>
      </c>
      <c r="E266" s="13">
        <v>0</v>
      </c>
    </row>
    <row r="267" spans="1:5" x14ac:dyDescent="0.25">
      <c r="A267" s="11" t="s">
        <v>318</v>
      </c>
      <c r="B267" s="11" t="s">
        <v>26</v>
      </c>
      <c r="C267" s="11" t="s">
        <v>44</v>
      </c>
      <c r="D267" s="12">
        <v>93</v>
      </c>
      <c r="E267" s="13">
        <v>2</v>
      </c>
    </row>
    <row r="268" spans="1:5" x14ac:dyDescent="0.25">
      <c r="A268" s="11" t="s">
        <v>784</v>
      </c>
      <c r="B268" s="11" t="s">
        <v>24</v>
      </c>
      <c r="C268" s="11" t="s">
        <v>44</v>
      </c>
      <c r="D268" s="12">
        <v>93</v>
      </c>
      <c r="E268" s="13">
        <v>4</v>
      </c>
    </row>
    <row r="269" spans="1:5" x14ac:dyDescent="0.25">
      <c r="A269" s="11" t="s">
        <v>1080</v>
      </c>
      <c r="B269" s="11" t="s">
        <v>24</v>
      </c>
      <c r="C269" s="11" t="s">
        <v>39</v>
      </c>
      <c r="D269" s="12">
        <v>93</v>
      </c>
      <c r="E269" s="13">
        <v>14</v>
      </c>
    </row>
    <row r="270" spans="1:5" x14ac:dyDescent="0.25">
      <c r="A270" s="11" t="s">
        <v>146</v>
      </c>
      <c r="B270" s="11" t="s">
        <v>20</v>
      </c>
      <c r="C270" s="11" t="s">
        <v>44</v>
      </c>
      <c r="D270" s="12">
        <v>94</v>
      </c>
      <c r="E270" s="13">
        <v>9</v>
      </c>
    </row>
    <row r="271" spans="1:5" x14ac:dyDescent="0.25">
      <c r="A271" s="11" t="s">
        <v>957</v>
      </c>
      <c r="B271" s="11" t="s">
        <v>24</v>
      </c>
      <c r="C271" s="11" t="s">
        <v>111</v>
      </c>
      <c r="D271" s="12">
        <v>94</v>
      </c>
      <c r="E271" s="13">
        <v>4</v>
      </c>
    </row>
    <row r="272" spans="1:5" x14ac:dyDescent="0.25">
      <c r="A272" s="11" t="s">
        <v>1337</v>
      </c>
      <c r="B272" s="11" t="s">
        <v>24</v>
      </c>
      <c r="C272" s="11" t="s">
        <v>44</v>
      </c>
      <c r="D272" s="12">
        <v>94</v>
      </c>
      <c r="E272" s="13">
        <v>5</v>
      </c>
    </row>
    <row r="273" spans="1:5" x14ac:dyDescent="0.25">
      <c r="A273" s="11" t="s">
        <v>1391</v>
      </c>
      <c r="B273" s="11" t="s">
        <v>26</v>
      </c>
      <c r="C273" s="11" t="s">
        <v>28</v>
      </c>
      <c r="D273" s="12">
        <v>94</v>
      </c>
      <c r="E273" s="13">
        <v>12</v>
      </c>
    </row>
    <row r="274" spans="1:5" x14ac:dyDescent="0.25">
      <c r="A274" s="11" t="s">
        <v>1802</v>
      </c>
      <c r="B274" s="11" t="s">
        <v>26</v>
      </c>
      <c r="C274" s="11" t="s">
        <v>66</v>
      </c>
      <c r="D274" s="12">
        <v>94</v>
      </c>
      <c r="E274" s="13">
        <v>2</v>
      </c>
    </row>
    <row r="275" spans="1:5" x14ac:dyDescent="0.25">
      <c r="A275" s="11" t="s">
        <v>277</v>
      </c>
      <c r="B275" s="11" t="s">
        <v>20</v>
      </c>
      <c r="C275" s="11" t="s">
        <v>34</v>
      </c>
      <c r="D275" s="12">
        <v>95</v>
      </c>
      <c r="E275" s="13">
        <v>0</v>
      </c>
    </row>
    <row r="276" spans="1:5" x14ac:dyDescent="0.25">
      <c r="A276" s="11" t="s">
        <v>816</v>
      </c>
      <c r="B276" s="11" t="s">
        <v>24</v>
      </c>
      <c r="C276" s="11" t="s">
        <v>33</v>
      </c>
      <c r="D276" s="12">
        <v>95</v>
      </c>
      <c r="E276" s="13">
        <v>4</v>
      </c>
    </row>
    <row r="277" spans="1:5" x14ac:dyDescent="0.25">
      <c r="A277" s="11" t="s">
        <v>1073</v>
      </c>
      <c r="B277" s="11" t="s">
        <v>26</v>
      </c>
      <c r="C277" s="11" t="s">
        <v>66</v>
      </c>
      <c r="D277" s="12">
        <v>95</v>
      </c>
      <c r="E277" s="13">
        <v>2</v>
      </c>
    </row>
    <row r="278" spans="1:5" x14ac:dyDescent="0.25">
      <c r="A278" s="11" t="s">
        <v>1755</v>
      </c>
      <c r="B278" s="11" t="s">
        <v>24</v>
      </c>
      <c r="C278" s="11" t="s">
        <v>28</v>
      </c>
      <c r="D278" s="12">
        <v>95</v>
      </c>
      <c r="E278" s="13">
        <v>2</v>
      </c>
    </row>
    <row r="279" spans="1:5" x14ac:dyDescent="0.25">
      <c r="A279" s="11" t="s">
        <v>831</v>
      </c>
      <c r="B279" s="11" t="s">
        <v>26</v>
      </c>
      <c r="C279" s="11" t="s">
        <v>39</v>
      </c>
      <c r="D279" s="12">
        <v>96</v>
      </c>
      <c r="E279" s="13">
        <v>5</v>
      </c>
    </row>
    <row r="280" spans="1:5" x14ac:dyDescent="0.25">
      <c r="A280" s="11" t="s">
        <v>1404</v>
      </c>
      <c r="B280" s="11" t="s">
        <v>20</v>
      </c>
      <c r="C280" s="11" t="s">
        <v>111</v>
      </c>
      <c r="D280" s="12">
        <v>96</v>
      </c>
      <c r="E280" s="13">
        <v>1</v>
      </c>
    </row>
    <row r="281" spans="1:5" x14ac:dyDescent="0.25">
      <c r="A281" s="11" t="s">
        <v>593</v>
      </c>
      <c r="B281" s="11" t="s">
        <v>20</v>
      </c>
      <c r="C281" s="11" t="s">
        <v>44</v>
      </c>
      <c r="D281" s="12">
        <v>97</v>
      </c>
      <c r="E281" s="13">
        <v>2</v>
      </c>
    </row>
    <row r="282" spans="1:5" x14ac:dyDescent="0.25">
      <c r="A282" s="11" t="s">
        <v>1009</v>
      </c>
      <c r="B282" s="11" t="s">
        <v>24</v>
      </c>
      <c r="C282" s="11" t="s">
        <v>33</v>
      </c>
      <c r="D282" s="12">
        <v>97</v>
      </c>
      <c r="E282" s="13">
        <v>1</v>
      </c>
    </row>
    <row r="283" spans="1:5" x14ac:dyDescent="0.25">
      <c r="A283" s="11" t="s">
        <v>1279</v>
      </c>
      <c r="B283" s="11" t="s">
        <v>20</v>
      </c>
      <c r="C283" s="11" t="s">
        <v>25</v>
      </c>
      <c r="D283" s="12">
        <v>97</v>
      </c>
      <c r="E283" s="13">
        <v>3</v>
      </c>
    </row>
    <row r="284" spans="1:5" x14ac:dyDescent="0.25">
      <c r="A284" s="11" t="s">
        <v>1554</v>
      </c>
      <c r="B284" s="11" t="s">
        <v>26</v>
      </c>
      <c r="C284" s="11" t="s">
        <v>44</v>
      </c>
      <c r="D284" s="12">
        <v>97</v>
      </c>
      <c r="E284" s="13">
        <v>1</v>
      </c>
    </row>
    <row r="285" spans="1:5" x14ac:dyDescent="0.25">
      <c r="A285" s="11" t="s">
        <v>1679</v>
      </c>
      <c r="B285" s="11" t="s">
        <v>20</v>
      </c>
      <c r="C285" s="11" t="s">
        <v>39</v>
      </c>
      <c r="D285" s="12">
        <v>97</v>
      </c>
      <c r="E285" s="13">
        <v>8</v>
      </c>
    </row>
    <row r="286" spans="1:5" x14ac:dyDescent="0.25">
      <c r="A286" s="11" t="s">
        <v>1700</v>
      </c>
      <c r="B286" s="11" t="s">
        <v>24</v>
      </c>
      <c r="C286" s="11" t="s">
        <v>30</v>
      </c>
      <c r="D286" s="12">
        <v>97</v>
      </c>
      <c r="E286" s="13">
        <v>6</v>
      </c>
    </row>
    <row r="287" spans="1:5" x14ac:dyDescent="0.25">
      <c r="A287" s="11" t="s">
        <v>54</v>
      </c>
      <c r="B287" s="11" t="s">
        <v>20</v>
      </c>
      <c r="C287" s="11" t="s">
        <v>44</v>
      </c>
      <c r="D287" s="12">
        <v>98</v>
      </c>
      <c r="E287" s="13">
        <v>0</v>
      </c>
    </row>
    <row r="288" spans="1:5" x14ac:dyDescent="0.25">
      <c r="A288" s="11" t="s">
        <v>399</v>
      </c>
      <c r="B288" s="11" t="s">
        <v>26</v>
      </c>
      <c r="C288" s="11" t="s">
        <v>62</v>
      </c>
      <c r="D288" s="12">
        <v>98</v>
      </c>
      <c r="E288" s="13">
        <v>1</v>
      </c>
    </row>
    <row r="289" spans="1:5" x14ac:dyDescent="0.25">
      <c r="A289" s="11" t="s">
        <v>678</v>
      </c>
      <c r="B289" s="11" t="s">
        <v>26</v>
      </c>
      <c r="C289" s="11" t="s">
        <v>43</v>
      </c>
      <c r="D289" s="12">
        <v>98</v>
      </c>
      <c r="E289" s="13">
        <v>1</v>
      </c>
    </row>
    <row r="290" spans="1:5" x14ac:dyDescent="0.25">
      <c r="A290" s="11" t="s">
        <v>1246</v>
      </c>
      <c r="B290" s="11" t="s">
        <v>20</v>
      </c>
      <c r="C290" s="11" t="s">
        <v>5</v>
      </c>
      <c r="D290" s="12">
        <v>98</v>
      </c>
      <c r="E290" s="13">
        <v>13</v>
      </c>
    </row>
    <row r="291" spans="1:5" x14ac:dyDescent="0.25">
      <c r="A291" s="11" t="s">
        <v>615</v>
      </c>
      <c r="B291" s="11" t="s">
        <v>24</v>
      </c>
      <c r="C291" s="11" t="s">
        <v>33</v>
      </c>
      <c r="D291" s="12">
        <v>99</v>
      </c>
      <c r="E291" s="13">
        <v>3</v>
      </c>
    </row>
    <row r="292" spans="1:5" x14ac:dyDescent="0.25">
      <c r="A292" s="11" t="s">
        <v>842</v>
      </c>
      <c r="B292" s="11" t="s">
        <v>20</v>
      </c>
      <c r="C292" s="11" t="s">
        <v>32</v>
      </c>
      <c r="D292" s="12">
        <v>99</v>
      </c>
      <c r="E292" s="13">
        <v>4</v>
      </c>
    </row>
    <row r="293" spans="1:5" x14ac:dyDescent="0.25">
      <c r="A293" s="11" t="s">
        <v>444</v>
      </c>
      <c r="B293" s="11" t="s">
        <v>26</v>
      </c>
      <c r="C293" s="11" t="s">
        <v>66</v>
      </c>
      <c r="D293" s="12">
        <v>100</v>
      </c>
      <c r="E293" s="13">
        <v>0</v>
      </c>
    </row>
    <row r="294" spans="1:5" x14ac:dyDescent="0.25">
      <c r="A294" s="11" t="s">
        <v>526</v>
      </c>
      <c r="B294" s="11" t="s">
        <v>20</v>
      </c>
      <c r="C294" s="11" t="s">
        <v>44</v>
      </c>
      <c r="D294" s="12">
        <v>100</v>
      </c>
      <c r="E294" s="13">
        <v>4</v>
      </c>
    </row>
    <row r="295" spans="1:5" x14ac:dyDescent="0.25">
      <c r="A295" s="11" t="s">
        <v>550</v>
      </c>
      <c r="B295" s="11" t="s">
        <v>24</v>
      </c>
      <c r="C295" s="11" t="s">
        <v>44</v>
      </c>
      <c r="D295" s="12">
        <v>100</v>
      </c>
      <c r="E295" s="13">
        <v>1</v>
      </c>
    </row>
    <row r="296" spans="1:5" x14ac:dyDescent="0.25">
      <c r="A296" s="11" t="s">
        <v>1500</v>
      </c>
      <c r="B296" s="11" t="s">
        <v>26</v>
      </c>
      <c r="C296" s="11" t="s">
        <v>5</v>
      </c>
      <c r="D296" s="12">
        <v>100</v>
      </c>
      <c r="E296" s="13">
        <v>3</v>
      </c>
    </row>
    <row r="297" spans="1:5" x14ac:dyDescent="0.25">
      <c r="A297" s="11" t="s">
        <v>1654</v>
      </c>
      <c r="B297" s="11" t="s">
        <v>26</v>
      </c>
      <c r="C297" s="11" t="s">
        <v>21</v>
      </c>
      <c r="D297" s="12">
        <v>100</v>
      </c>
      <c r="E297" s="13">
        <v>3</v>
      </c>
    </row>
    <row r="298" spans="1:5" x14ac:dyDescent="0.25">
      <c r="A298" s="11" t="s">
        <v>1715</v>
      </c>
      <c r="B298" s="11" t="s">
        <v>24</v>
      </c>
      <c r="C298" s="11" t="s">
        <v>30</v>
      </c>
      <c r="D298" s="12">
        <v>100</v>
      </c>
      <c r="E298" s="13">
        <v>9</v>
      </c>
    </row>
    <row r="299" spans="1:5" x14ac:dyDescent="0.25">
      <c r="A299" s="11" t="s">
        <v>1062</v>
      </c>
      <c r="B299" s="11" t="s">
        <v>20</v>
      </c>
      <c r="C299" s="11" t="s">
        <v>25</v>
      </c>
      <c r="D299" s="12">
        <v>101</v>
      </c>
      <c r="E299" s="13">
        <v>9</v>
      </c>
    </row>
    <row r="300" spans="1:5" x14ac:dyDescent="0.25">
      <c r="A300" s="11" t="s">
        <v>1296</v>
      </c>
      <c r="B300" s="11" t="s">
        <v>26</v>
      </c>
      <c r="C300" s="11" t="s">
        <v>44</v>
      </c>
      <c r="D300" s="12">
        <v>101</v>
      </c>
      <c r="E300" s="13">
        <v>3</v>
      </c>
    </row>
    <row r="301" spans="1:5" x14ac:dyDescent="0.25">
      <c r="A301" s="11" t="s">
        <v>1858</v>
      </c>
      <c r="B301" s="11" t="s">
        <v>20</v>
      </c>
      <c r="C301" s="11" t="s">
        <v>5</v>
      </c>
      <c r="D301" s="12">
        <v>101</v>
      </c>
      <c r="E301" s="13">
        <v>0</v>
      </c>
    </row>
    <row r="302" spans="1:5" x14ac:dyDescent="0.25">
      <c r="A302" s="11" t="s">
        <v>983</v>
      </c>
      <c r="B302" s="11" t="s">
        <v>26</v>
      </c>
      <c r="C302" s="11" t="s">
        <v>30</v>
      </c>
      <c r="D302" s="12">
        <v>102</v>
      </c>
      <c r="E302" s="13">
        <v>4</v>
      </c>
    </row>
    <row r="303" spans="1:5" x14ac:dyDescent="0.25">
      <c r="A303" s="11" t="s">
        <v>1174</v>
      </c>
      <c r="B303" s="11" t="s">
        <v>24</v>
      </c>
      <c r="C303" s="11" t="s">
        <v>39</v>
      </c>
      <c r="D303" s="12">
        <v>102</v>
      </c>
      <c r="E303" s="13">
        <v>1</v>
      </c>
    </row>
    <row r="304" spans="1:5" x14ac:dyDescent="0.25">
      <c r="A304" s="11" t="s">
        <v>1777</v>
      </c>
      <c r="B304" s="11" t="s">
        <v>26</v>
      </c>
      <c r="C304" s="11" t="s">
        <v>111</v>
      </c>
      <c r="D304" s="12">
        <v>102</v>
      </c>
      <c r="E304" s="13">
        <v>2</v>
      </c>
    </row>
    <row r="305" spans="1:5" x14ac:dyDescent="0.25">
      <c r="A305" s="11" t="s">
        <v>779</v>
      </c>
      <c r="B305" s="11" t="s">
        <v>26</v>
      </c>
      <c r="C305" s="11" t="s">
        <v>39</v>
      </c>
      <c r="D305" s="12">
        <v>103</v>
      </c>
      <c r="E305" s="13">
        <v>0</v>
      </c>
    </row>
    <row r="306" spans="1:5" x14ac:dyDescent="0.25">
      <c r="A306" s="11" t="s">
        <v>1145</v>
      </c>
      <c r="B306" s="11" t="s">
        <v>20</v>
      </c>
      <c r="C306" s="11" t="s">
        <v>39</v>
      </c>
      <c r="D306" s="12">
        <v>103</v>
      </c>
      <c r="E306" s="13">
        <v>0</v>
      </c>
    </row>
    <row r="307" spans="1:5" x14ac:dyDescent="0.25">
      <c r="A307" s="11" t="s">
        <v>1340</v>
      </c>
      <c r="B307" s="11" t="s">
        <v>24</v>
      </c>
      <c r="C307" s="11" t="s">
        <v>33</v>
      </c>
      <c r="D307" s="12">
        <v>103</v>
      </c>
      <c r="E307" s="13">
        <v>0</v>
      </c>
    </row>
    <row r="308" spans="1:5" x14ac:dyDescent="0.25">
      <c r="A308" s="11" t="s">
        <v>1452</v>
      </c>
      <c r="B308" s="11" t="s">
        <v>26</v>
      </c>
      <c r="C308" s="11" t="s">
        <v>39</v>
      </c>
      <c r="D308" s="12">
        <v>103</v>
      </c>
      <c r="E308" s="13">
        <v>1</v>
      </c>
    </row>
    <row r="309" spans="1:5" x14ac:dyDescent="0.25">
      <c r="A309" s="11" t="s">
        <v>1613</v>
      </c>
      <c r="B309" s="11" t="s">
        <v>26</v>
      </c>
      <c r="C309" s="11" t="s">
        <v>30</v>
      </c>
      <c r="D309" s="12">
        <v>103</v>
      </c>
      <c r="E309" s="13">
        <v>7</v>
      </c>
    </row>
    <row r="310" spans="1:5" x14ac:dyDescent="0.25">
      <c r="A310" s="11" t="s">
        <v>514</v>
      </c>
      <c r="B310" s="11" t="s">
        <v>26</v>
      </c>
      <c r="C310" s="11" t="s">
        <v>44</v>
      </c>
      <c r="D310" s="12">
        <v>104</v>
      </c>
      <c r="E310" s="13">
        <v>0</v>
      </c>
    </row>
    <row r="311" spans="1:5" x14ac:dyDescent="0.25">
      <c r="A311" s="11" t="s">
        <v>679</v>
      </c>
      <c r="B311" s="11" t="s">
        <v>20</v>
      </c>
      <c r="C311" s="11" t="s">
        <v>66</v>
      </c>
      <c r="D311" s="12">
        <v>104</v>
      </c>
      <c r="E311" s="13">
        <v>3</v>
      </c>
    </row>
    <row r="312" spans="1:5" x14ac:dyDescent="0.25">
      <c r="A312" s="11" t="s">
        <v>1098</v>
      </c>
      <c r="B312" s="11" t="s">
        <v>26</v>
      </c>
      <c r="C312" s="11" t="s">
        <v>22</v>
      </c>
      <c r="D312" s="12">
        <v>104</v>
      </c>
      <c r="E312" s="13">
        <v>0</v>
      </c>
    </row>
    <row r="313" spans="1:5" x14ac:dyDescent="0.25">
      <c r="A313" s="11" t="s">
        <v>388</v>
      </c>
      <c r="B313" s="11" t="s">
        <v>26</v>
      </c>
      <c r="C313" s="11" t="s">
        <v>5</v>
      </c>
      <c r="D313" s="12">
        <v>105</v>
      </c>
      <c r="E313" s="13">
        <v>3</v>
      </c>
    </row>
    <row r="314" spans="1:5" x14ac:dyDescent="0.25">
      <c r="A314" s="11" t="s">
        <v>774</v>
      </c>
      <c r="B314" s="11" t="s">
        <v>24</v>
      </c>
      <c r="C314" s="11" t="s">
        <v>22</v>
      </c>
      <c r="D314" s="12">
        <v>105</v>
      </c>
      <c r="E314" s="13">
        <v>0</v>
      </c>
    </row>
    <row r="315" spans="1:5" x14ac:dyDescent="0.25">
      <c r="A315" s="11" t="s">
        <v>1275</v>
      </c>
      <c r="B315" s="11" t="s">
        <v>26</v>
      </c>
      <c r="C315" s="11" t="s">
        <v>62</v>
      </c>
      <c r="D315" s="12">
        <v>105</v>
      </c>
      <c r="E315" s="13">
        <v>1</v>
      </c>
    </row>
    <row r="316" spans="1:5" x14ac:dyDescent="0.25">
      <c r="A316" s="11" t="s">
        <v>1138</v>
      </c>
      <c r="B316" s="11" t="s">
        <v>20</v>
      </c>
      <c r="C316" s="11" t="s">
        <v>44</v>
      </c>
      <c r="D316" s="12">
        <v>106</v>
      </c>
      <c r="E316" s="13">
        <v>0</v>
      </c>
    </row>
    <row r="317" spans="1:5" x14ac:dyDescent="0.25">
      <c r="A317" s="11" t="s">
        <v>197</v>
      </c>
      <c r="B317" s="11" t="s">
        <v>26</v>
      </c>
      <c r="C317" s="11" t="s">
        <v>62</v>
      </c>
      <c r="D317" s="12">
        <v>107</v>
      </c>
      <c r="E317" s="13">
        <v>1</v>
      </c>
    </row>
    <row r="318" spans="1:5" x14ac:dyDescent="0.25">
      <c r="A318" s="11" t="s">
        <v>1596</v>
      </c>
      <c r="B318" s="11" t="s">
        <v>24</v>
      </c>
      <c r="C318" s="11" t="s">
        <v>66</v>
      </c>
      <c r="D318" s="12">
        <v>107</v>
      </c>
      <c r="E318" s="13">
        <v>0</v>
      </c>
    </row>
    <row r="319" spans="1:5" x14ac:dyDescent="0.25">
      <c r="A319" s="11" t="s">
        <v>63</v>
      </c>
      <c r="B319" s="11" t="s">
        <v>24</v>
      </c>
      <c r="C319" s="11" t="s">
        <v>27</v>
      </c>
      <c r="D319" s="12">
        <v>108</v>
      </c>
      <c r="E319" s="13">
        <v>0</v>
      </c>
    </row>
    <row r="320" spans="1:5" x14ac:dyDescent="0.25">
      <c r="A320" s="11" t="s">
        <v>90</v>
      </c>
      <c r="B320" s="11" t="s">
        <v>24</v>
      </c>
      <c r="C320" s="11" t="s">
        <v>21</v>
      </c>
      <c r="D320" s="12">
        <v>108</v>
      </c>
      <c r="E320" s="13">
        <v>0</v>
      </c>
    </row>
    <row r="321" spans="1:5" x14ac:dyDescent="0.25">
      <c r="A321" s="11" t="s">
        <v>144</v>
      </c>
      <c r="B321" s="11" t="s">
        <v>24</v>
      </c>
      <c r="C321" s="11" t="s">
        <v>39</v>
      </c>
      <c r="D321" s="12">
        <v>108</v>
      </c>
      <c r="E321" s="13">
        <v>4</v>
      </c>
    </row>
    <row r="322" spans="1:5" x14ac:dyDescent="0.25">
      <c r="A322" s="11" t="s">
        <v>489</v>
      </c>
      <c r="B322" s="11" t="s">
        <v>24</v>
      </c>
      <c r="C322" s="11" t="s">
        <v>25</v>
      </c>
      <c r="D322" s="12">
        <v>108</v>
      </c>
      <c r="E322" s="13">
        <v>10</v>
      </c>
    </row>
    <row r="323" spans="1:5" x14ac:dyDescent="0.25">
      <c r="A323" s="11" t="s">
        <v>742</v>
      </c>
      <c r="B323" s="11" t="s">
        <v>20</v>
      </c>
      <c r="C323" s="11" t="s">
        <v>53</v>
      </c>
      <c r="D323" s="12">
        <v>108</v>
      </c>
      <c r="E323" s="13">
        <v>4</v>
      </c>
    </row>
    <row r="324" spans="1:5" x14ac:dyDescent="0.25">
      <c r="A324" s="11" t="s">
        <v>961</v>
      </c>
      <c r="B324" s="11" t="s">
        <v>26</v>
      </c>
      <c r="C324" s="11" t="s">
        <v>32</v>
      </c>
      <c r="D324" s="12">
        <v>108</v>
      </c>
      <c r="E324" s="13">
        <v>1</v>
      </c>
    </row>
    <row r="325" spans="1:5" x14ac:dyDescent="0.25">
      <c r="A325" s="11" t="s">
        <v>1002</v>
      </c>
      <c r="B325" s="11" t="s">
        <v>24</v>
      </c>
      <c r="C325" s="11" t="s">
        <v>30</v>
      </c>
      <c r="D325" s="12">
        <v>108</v>
      </c>
      <c r="E325" s="13">
        <v>1</v>
      </c>
    </row>
    <row r="326" spans="1:5" x14ac:dyDescent="0.25">
      <c r="A326" s="11" t="s">
        <v>1630</v>
      </c>
      <c r="B326" s="11" t="s">
        <v>20</v>
      </c>
      <c r="C326" s="11" t="s">
        <v>27</v>
      </c>
      <c r="D326" s="12">
        <v>108</v>
      </c>
      <c r="E326" s="13">
        <v>6</v>
      </c>
    </row>
    <row r="327" spans="1:5" x14ac:dyDescent="0.25">
      <c r="A327" s="11" t="s">
        <v>902</v>
      </c>
      <c r="B327" s="11" t="s">
        <v>20</v>
      </c>
      <c r="C327" s="11" t="s">
        <v>27</v>
      </c>
      <c r="D327" s="12">
        <v>109</v>
      </c>
      <c r="E327" s="13">
        <v>5</v>
      </c>
    </row>
    <row r="328" spans="1:5" x14ac:dyDescent="0.25">
      <c r="A328" s="11" t="s">
        <v>1052</v>
      </c>
      <c r="B328" s="11" t="s">
        <v>24</v>
      </c>
      <c r="C328" s="11" t="s">
        <v>5</v>
      </c>
      <c r="D328" s="12">
        <v>109</v>
      </c>
      <c r="E328" s="13">
        <v>1</v>
      </c>
    </row>
    <row r="329" spans="1:5" x14ac:dyDescent="0.25">
      <c r="A329" s="11" t="s">
        <v>1252</v>
      </c>
      <c r="B329" s="11" t="s">
        <v>24</v>
      </c>
      <c r="C329" s="11" t="s">
        <v>21</v>
      </c>
      <c r="D329" s="12">
        <v>109</v>
      </c>
      <c r="E329" s="13">
        <v>0</v>
      </c>
    </row>
    <row r="330" spans="1:5" x14ac:dyDescent="0.25">
      <c r="A330" s="11" t="s">
        <v>119</v>
      </c>
      <c r="B330" s="11" t="s">
        <v>26</v>
      </c>
      <c r="C330" s="11" t="s">
        <v>39</v>
      </c>
      <c r="D330" s="12">
        <v>110</v>
      </c>
      <c r="E330" s="13">
        <v>1</v>
      </c>
    </row>
    <row r="331" spans="1:5" x14ac:dyDescent="0.25">
      <c r="A331" s="11" t="s">
        <v>736</v>
      </c>
      <c r="B331" s="11" t="s">
        <v>26</v>
      </c>
      <c r="C331" s="11" t="s">
        <v>28</v>
      </c>
      <c r="D331" s="12">
        <v>110</v>
      </c>
      <c r="E331" s="13">
        <v>13</v>
      </c>
    </row>
    <row r="332" spans="1:5" x14ac:dyDescent="0.25">
      <c r="A332" s="11" t="s">
        <v>904</v>
      </c>
      <c r="B332" s="11" t="s">
        <v>24</v>
      </c>
      <c r="C332" s="11" t="s">
        <v>27</v>
      </c>
      <c r="D332" s="12">
        <v>110</v>
      </c>
      <c r="E332" s="13">
        <v>0</v>
      </c>
    </row>
    <row r="333" spans="1:5" x14ac:dyDescent="0.25">
      <c r="A333" s="11" t="s">
        <v>1553</v>
      </c>
      <c r="B333" s="11" t="s">
        <v>20</v>
      </c>
      <c r="C333" s="11" t="s">
        <v>111</v>
      </c>
      <c r="D333" s="12">
        <v>110</v>
      </c>
      <c r="E333" s="13">
        <v>0</v>
      </c>
    </row>
    <row r="334" spans="1:5" x14ac:dyDescent="0.25">
      <c r="A334" s="11" t="s">
        <v>1479</v>
      </c>
      <c r="B334" s="11" t="s">
        <v>20</v>
      </c>
      <c r="C334" s="11" t="s">
        <v>22</v>
      </c>
      <c r="D334" s="12">
        <v>111</v>
      </c>
      <c r="E334" s="13">
        <v>0</v>
      </c>
    </row>
    <row r="335" spans="1:5" x14ac:dyDescent="0.25">
      <c r="A335" s="11" t="s">
        <v>837</v>
      </c>
      <c r="B335" s="11" t="s">
        <v>20</v>
      </c>
      <c r="C335" s="11" t="s">
        <v>25</v>
      </c>
      <c r="D335" s="12">
        <v>112</v>
      </c>
      <c r="E335" s="13">
        <v>10</v>
      </c>
    </row>
    <row r="336" spans="1:5" x14ac:dyDescent="0.25">
      <c r="A336" s="11" t="s">
        <v>1386</v>
      </c>
      <c r="B336" s="11" t="s">
        <v>24</v>
      </c>
      <c r="C336" s="11" t="s">
        <v>44</v>
      </c>
      <c r="D336" s="12">
        <v>112</v>
      </c>
      <c r="E336" s="13">
        <v>1</v>
      </c>
    </row>
    <row r="337" spans="1:5" x14ac:dyDescent="0.25">
      <c r="A337" s="11" t="s">
        <v>227</v>
      </c>
      <c r="B337" s="11" t="s">
        <v>26</v>
      </c>
      <c r="C337" s="11" t="s">
        <v>44</v>
      </c>
      <c r="D337" s="12">
        <v>113</v>
      </c>
      <c r="E337" s="13">
        <v>1</v>
      </c>
    </row>
    <row r="338" spans="1:5" x14ac:dyDescent="0.25">
      <c r="A338" s="11" t="s">
        <v>447</v>
      </c>
      <c r="B338" s="11" t="s">
        <v>24</v>
      </c>
      <c r="C338" s="11" t="s">
        <v>5</v>
      </c>
      <c r="D338" s="12">
        <v>113</v>
      </c>
      <c r="E338" s="13">
        <v>4</v>
      </c>
    </row>
    <row r="339" spans="1:5" x14ac:dyDescent="0.25">
      <c r="A339" s="11" t="s">
        <v>700</v>
      </c>
      <c r="B339" s="11" t="s">
        <v>24</v>
      </c>
      <c r="C339" s="11" t="s">
        <v>5</v>
      </c>
      <c r="D339" s="12">
        <v>113</v>
      </c>
      <c r="E339" s="13">
        <v>2</v>
      </c>
    </row>
    <row r="340" spans="1:5" x14ac:dyDescent="0.25">
      <c r="A340" s="11" t="s">
        <v>97</v>
      </c>
      <c r="B340" s="11" t="s">
        <v>24</v>
      </c>
      <c r="C340" s="11" t="s">
        <v>21</v>
      </c>
      <c r="D340" s="12">
        <v>114</v>
      </c>
      <c r="E340" s="13">
        <v>1</v>
      </c>
    </row>
    <row r="341" spans="1:5" x14ac:dyDescent="0.25">
      <c r="A341" s="11" t="s">
        <v>244</v>
      </c>
      <c r="B341" s="11" t="s">
        <v>26</v>
      </c>
      <c r="C341" s="11" t="s">
        <v>44</v>
      </c>
      <c r="D341" s="12">
        <v>114</v>
      </c>
      <c r="E341" s="13">
        <v>12</v>
      </c>
    </row>
    <row r="342" spans="1:5" x14ac:dyDescent="0.25">
      <c r="A342" s="11" t="s">
        <v>682</v>
      </c>
      <c r="B342" s="11" t="s">
        <v>26</v>
      </c>
      <c r="C342" s="11" t="s">
        <v>32</v>
      </c>
      <c r="D342" s="12">
        <v>114</v>
      </c>
      <c r="E342" s="13">
        <v>1</v>
      </c>
    </row>
    <row r="343" spans="1:5" x14ac:dyDescent="0.25">
      <c r="A343" s="11" t="s">
        <v>1280</v>
      </c>
      <c r="B343" s="11" t="s">
        <v>26</v>
      </c>
      <c r="C343" s="11" t="s">
        <v>53</v>
      </c>
      <c r="D343" s="12">
        <v>114</v>
      </c>
      <c r="E343" s="13">
        <v>4</v>
      </c>
    </row>
    <row r="344" spans="1:5" x14ac:dyDescent="0.25">
      <c r="A344" s="11" t="s">
        <v>1344</v>
      </c>
      <c r="B344" s="11" t="s">
        <v>24</v>
      </c>
      <c r="C344" s="11" t="s">
        <v>44</v>
      </c>
      <c r="D344" s="12">
        <v>114</v>
      </c>
      <c r="E344" s="13">
        <v>1</v>
      </c>
    </row>
    <row r="345" spans="1:5" x14ac:dyDescent="0.25">
      <c r="A345" s="11" t="s">
        <v>813</v>
      </c>
      <c r="B345" s="11" t="s">
        <v>24</v>
      </c>
      <c r="C345" s="11" t="s">
        <v>43</v>
      </c>
      <c r="D345" s="12">
        <v>115</v>
      </c>
      <c r="E345" s="13">
        <v>0</v>
      </c>
    </row>
    <row r="346" spans="1:5" x14ac:dyDescent="0.25">
      <c r="A346" s="11" t="s">
        <v>1032</v>
      </c>
      <c r="B346" s="11" t="s">
        <v>26</v>
      </c>
      <c r="C346" s="11" t="s">
        <v>34</v>
      </c>
      <c r="D346" s="12">
        <v>116</v>
      </c>
      <c r="E346" s="13">
        <v>1</v>
      </c>
    </row>
    <row r="347" spans="1:5" x14ac:dyDescent="0.25">
      <c r="A347" s="11" t="s">
        <v>1189</v>
      </c>
      <c r="B347" s="11" t="s">
        <v>26</v>
      </c>
      <c r="C347" s="11" t="s">
        <v>111</v>
      </c>
      <c r="D347" s="12">
        <v>116</v>
      </c>
      <c r="E347" s="13">
        <v>2</v>
      </c>
    </row>
    <row r="348" spans="1:5" x14ac:dyDescent="0.25">
      <c r="A348" s="11" t="s">
        <v>1378</v>
      </c>
      <c r="B348" s="11" t="s">
        <v>26</v>
      </c>
      <c r="C348" s="11" t="s">
        <v>39</v>
      </c>
      <c r="D348" s="12">
        <v>116</v>
      </c>
      <c r="E348" s="13">
        <v>10</v>
      </c>
    </row>
    <row r="349" spans="1:5" x14ac:dyDescent="0.25">
      <c r="A349" s="11" t="s">
        <v>1775</v>
      </c>
      <c r="B349" s="11" t="s">
        <v>20</v>
      </c>
      <c r="C349" s="11" t="s">
        <v>39</v>
      </c>
      <c r="D349" s="12">
        <v>116</v>
      </c>
      <c r="E349" s="13">
        <v>0</v>
      </c>
    </row>
    <row r="350" spans="1:5" x14ac:dyDescent="0.25">
      <c r="A350" s="11" t="s">
        <v>304</v>
      </c>
      <c r="B350" s="11" t="s">
        <v>24</v>
      </c>
      <c r="C350" s="11" t="s">
        <v>44</v>
      </c>
      <c r="D350" s="12">
        <v>117</v>
      </c>
      <c r="E350" s="13">
        <v>1</v>
      </c>
    </row>
    <row r="351" spans="1:5" x14ac:dyDescent="0.25">
      <c r="A351" s="11" t="s">
        <v>443</v>
      </c>
      <c r="B351" s="11" t="s">
        <v>24</v>
      </c>
      <c r="C351" s="11" t="s">
        <v>62</v>
      </c>
      <c r="D351" s="12">
        <v>117</v>
      </c>
      <c r="E351" s="13">
        <v>0</v>
      </c>
    </row>
    <row r="352" spans="1:5" x14ac:dyDescent="0.25">
      <c r="A352" s="11" t="s">
        <v>941</v>
      </c>
      <c r="B352" s="11" t="s">
        <v>24</v>
      </c>
      <c r="C352" s="11" t="s">
        <v>25</v>
      </c>
      <c r="D352" s="12">
        <v>117</v>
      </c>
      <c r="E352" s="13">
        <v>13</v>
      </c>
    </row>
    <row r="353" spans="1:5" x14ac:dyDescent="0.25">
      <c r="A353" s="11" t="s">
        <v>944</v>
      </c>
      <c r="B353" s="11" t="s">
        <v>26</v>
      </c>
      <c r="C353" s="11" t="s">
        <v>5</v>
      </c>
      <c r="D353" s="12">
        <v>117</v>
      </c>
      <c r="E353" s="13">
        <v>1</v>
      </c>
    </row>
    <row r="354" spans="1:5" x14ac:dyDescent="0.25">
      <c r="A354" s="11" t="s">
        <v>1299</v>
      </c>
      <c r="B354" s="11" t="s">
        <v>24</v>
      </c>
      <c r="C354" s="11" t="s">
        <v>32</v>
      </c>
      <c r="D354" s="12">
        <v>117</v>
      </c>
      <c r="E354" s="13">
        <v>11</v>
      </c>
    </row>
    <row r="355" spans="1:5" x14ac:dyDescent="0.25">
      <c r="A355" s="11" t="s">
        <v>1462</v>
      </c>
      <c r="B355" s="11" t="s">
        <v>24</v>
      </c>
      <c r="C355" s="11" t="s">
        <v>27</v>
      </c>
      <c r="D355" s="12">
        <v>117</v>
      </c>
      <c r="E355" s="13">
        <v>6</v>
      </c>
    </row>
    <row r="356" spans="1:5" x14ac:dyDescent="0.25">
      <c r="A356" s="11" t="s">
        <v>650</v>
      </c>
      <c r="B356" s="11" t="s">
        <v>20</v>
      </c>
      <c r="C356" s="11" t="s">
        <v>22</v>
      </c>
      <c r="D356" s="12">
        <v>118</v>
      </c>
      <c r="E356" s="13">
        <v>2</v>
      </c>
    </row>
    <row r="357" spans="1:5" x14ac:dyDescent="0.25">
      <c r="A357" s="11" t="s">
        <v>888</v>
      </c>
      <c r="B357" s="11" t="s">
        <v>20</v>
      </c>
      <c r="C357" s="11" t="s">
        <v>40</v>
      </c>
      <c r="D357" s="12">
        <v>118</v>
      </c>
      <c r="E357" s="13">
        <v>9</v>
      </c>
    </row>
    <row r="358" spans="1:5" x14ac:dyDescent="0.25">
      <c r="A358" s="11" t="s">
        <v>997</v>
      </c>
      <c r="B358" s="11" t="s">
        <v>24</v>
      </c>
      <c r="C358" s="11" t="s">
        <v>39</v>
      </c>
      <c r="D358" s="12">
        <v>118</v>
      </c>
      <c r="E358" s="13">
        <v>11</v>
      </c>
    </row>
    <row r="359" spans="1:5" x14ac:dyDescent="0.25">
      <c r="A359" s="11" t="s">
        <v>710</v>
      </c>
      <c r="B359" s="11" t="s">
        <v>24</v>
      </c>
      <c r="C359" s="11" t="s">
        <v>27</v>
      </c>
      <c r="D359" s="12">
        <v>119</v>
      </c>
      <c r="E359" s="13">
        <v>6</v>
      </c>
    </row>
    <row r="360" spans="1:5" x14ac:dyDescent="0.25">
      <c r="A360" s="11" t="s">
        <v>760</v>
      </c>
      <c r="B360" s="11" t="s">
        <v>24</v>
      </c>
      <c r="C360" s="11" t="s">
        <v>30</v>
      </c>
      <c r="D360" s="12">
        <v>119</v>
      </c>
      <c r="E360" s="13">
        <v>6</v>
      </c>
    </row>
    <row r="361" spans="1:5" x14ac:dyDescent="0.25">
      <c r="A361" s="11" t="s">
        <v>1430</v>
      </c>
      <c r="B361" s="11" t="s">
        <v>20</v>
      </c>
      <c r="C361" s="11" t="s">
        <v>43</v>
      </c>
      <c r="D361" s="12">
        <v>119</v>
      </c>
      <c r="E361" s="13">
        <v>4</v>
      </c>
    </row>
    <row r="362" spans="1:5" x14ac:dyDescent="0.25">
      <c r="A362" s="11" t="s">
        <v>830</v>
      </c>
      <c r="B362" s="11" t="s">
        <v>20</v>
      </c>
      <c r="C362" s="11" t="s">
        <v>44</v>
      </c>
      <c r="D362" s="12">
        <v>121</v>
      </c>
      <c r="E362" s="13">
        <v>0</v>
      </c>
    </row>
    <row r="363" spans="1:5" x14ac:dyDescent="0.25">
      <c r="A363" s="11" t="s">
        <v>928</v>
      </c>
      <c r="B363" s="11" t="s">
        <v>20</v>
      </c>
      <c r="C363" s="11" t="s">
        <v>44</v>
      </c>
      <c r="D363" s="12">
        <v>121</v>
      </c>
      <c r="E363" s="13">
        <v>1</v>
      </c>
    </row>
    <row r="364" spans="1:5" x14ac:dyDescent="0.25">
      <c r="A364" s="11" t="s">
        <v>970</v>
      </c>
      <c r="B364" s="11" t="s">
        <v>20</v>
      </c>
      <c r="C364" s="11" t="s">
        <v>30</v>
      </c>
      <c r="D364" s="12">
        <v>121</v>
      </c>
      <c r="E364" s="13">
        <v>5</v>
      </c>
    </row>
    <row r="365" spans="1:5" x14ac:dyDescent="0.25">
      <c r="A365" s="11" t="s">
        <v>1178</v>
      </c>
      <c r="B365" s="11" t="s">
        <v>24</v>
      </c>
      <c r="C365" s="11" t="s">
        <v>27</v>
      </c>
      <c r="D365" s="12">
        <v>121</v>
      </c>
      <c r="E365" s="13">
        <v>13</v>
      </c>
    </row>
    <row r="366" spans="1:5" x14ac:dyDescent="0.25">
      <c r="A366" s="11" t="s">
        <v>1673</v>
      </c>
      <c r="B366" s="11" t="s">
        <v>20</v>
      </c>
      <c r="C366" s="11" t="s">
        <v>66</v>
      </c>
      <c r="D366" s="12">
        <v>121</v>
      </c>
      <c r="E366" s="13">
        <v>2</v>
      </c>
    </row>
    <row r="367" spans="1:5" x14ac:dyDescent="0.25">
      <c r="A367" s="11" t="s">
        <v>1777</v>
      </c>
      <c r="B367" s="11" t="s">
        <v>24</v>
      </c>
      <c r="C367" s="11" t="s">
        <v>39</v>
      </c>
      <c r="D367" s="12">
        <v>121</v>
      </c>
      <c r="E367" s="13">
        <v>0</v>
      </c>
    </row>
    <row r="368" spans="1:5" x14ac:dyDescent="0.25">
      <c r="A368" s="11" t="s">
        <v>245</v>
      </c>
      <c r="B368" s="11" t="s">
        <v>20</v>
      </c>
      <c r="C368" s="11" t="s">
        <v>53</v>
      </c>
      <c r="D368" s="12">
        <v>122</v>
      </c>
      <c r="E368" s="13">
        <v>0</v>
      </c>
    </row>
    <row r="369" spans="1:5" x14ac:dyDescent="0.25">
      <c r="A369" s="11" t="s">
        <v>480</v>
      </c>
      <c r="B369" s="11" t="s">
        <v>20</v>
      </c>
      <c r="C369" s="11" t="s">
        <v>32</v>
      </c>
      <c r="D369" s="12">
        <v>122</v>
      </c>
      <c r="E369" s="13">
        <v>1</v>
      </c>
    </row>
    <row r="370" spans="1:5" x14ac:dyDescent="0.25">
      <c r="A370" s="11" t="s">
        <v>1753</v>
      </c>
      <c r="B370" s="11" t="s">
        <v>26</v>
      </c>
      <c r="C370" s="11" t="s">
        <v>27</v>
      </c>
      <c r="D370" s="12">
        <v>122</v>
      </c>
      <c r="E370" s="13">
        <v>0</v>
      </c>
    </row>
    <row r="371" spans="1:5" x14ac:dyDescent="0.25">
      <c r="A371" s="11" t="s">
        <v>1934</v>
      </c>
      <c r="B371" s="11" t="s">
        <v>24</v>
      </c>
      <c r="C371" s="11" t="s">
        <v>5</v>
      </c>
      <c r="D371" s="12">
        <v>122</v>
      </c>
      <c r="E371" s="13">
        <v>5</v>
      </c>
    </row>
    <row r="372" spans="1:5" x14ac:dyDescent="0.25">
      <c r="A372" s="11" t="s">
        <v>339</v>
      </c>
      <c r="B372" s="11" t="s">
        <v>20</v>
      </c>
      <c r="C372" s="11" t="s">
        <v>53</v>
      </c>
      <c r="D372" s="12">
        <v>123</v>
      </c>
      <c r="E372" s="13">
        <v>2</v>
      </c>
    </row>
    <row r="373" spans="1:5" x14ac:dyDescent="0.25">
      <c r="A373" s="11" t="s">
        <v>1817</v>
      </c>
      <c r="B373" s="11" t="s">
        <v>20</v>
      </c>
      <c r="C373" s="11" t="s">
        <v>66</v>
      </c>
      <c r="D373" s="12">
        <v>123</v>
      </c>
      <c r="E373" s="13">
        <v>3</v>
      </c>
    </row>
    <row r="374" spans="1:5" x14ac:dyDescent="0.25">
      <c r="A374" s="11" t="s">
        <v>952</v>
      </c>
      <c r="B374" s="11" t="s">
        <v>20</v>
      </c>
      <c r="C374" s="11" t="s">
        <v>39</v>
      </c>
      <c r="D374" s="12">
        <v>124</v>
      </c>
      <c r="E374" s="13">
        <v>11</v>
      </c>
    </row>
    <row r="375" spans="1:5" x14ac:dyDescent="0.25">
      <c r="A375" s="11" t="s">
        <v>1374</v>
      </c>
      <c r="B375" s="11" t="s">
        <v>20</v>
      </c>
      <c r="C375" s="11" t="s">
        <v>25</v>
      </c>
      <c r="D375" s="12">
        <v>124</v>
      </c>
      <c r="E375" s="13">
        <v>0</v>
      </c>
    </row>
    <row r="376" spans="1:5" x14ac:dyDescent="0.25">
      <c r="A376" s="11" t="s">
        <v>930</v>
      </c>
      <c r="B376" s="11" t="s">
        <v>24</v>
      </c>
      <c r="C376" s="11" t="s">
        <v>66</v>
      </c>
      <c r="D376" s="12">
        <v>125</v>
      </c>
      <c r="E376" s="13">
        <v>6</v>
      </c>
    </row>
    <row r="377" spans="1:5" x14ac:dyDescent="0.25">
      <c r="A377" s="11" t="s">
        <v>320</v>
      </c>
      <c r="B377" s="11" t="s">
        <v>20</v>
      </c>
      <c r="C377" s="11" t="s">
        <v>40</v>
      </c>
      <c r="D377" s="12">
        <v>126</v>
      </c>
      <c r="E377" s="13">
        <v>6</v>
      </c>
    </row>
    <row r="378" spans="1:5" x14ac:dyDescent="0.25">
      <c r="A378" s="11" t="s">
        <v>1199</v>
      </c>
      <c r="B378" s="11" t="s">
        <v>20</v>
      </c>
      <c r="C378" s="11" t="s">
        <v>53</v>
      </c>
      <c r="D378" s="12">
        <v>127</v>
      </c>
      <c r="E378" s="13">
        <v>0</v>
      </c>
    </row>
    <row r="379" spans="1:5" x14ac:dyDescent="0.25">
      <c r="A379" s="11" t="s">
        <v>1637</v>
      </c>
      <c r="B379" s="11" t="s">
        <v>26</v>
      </c>
      <c r="C379" s="11" t="s">
        <v>43</v>
      </c>
      <c r="D379" s="12">
        <v>127</v>
      </c>
      <c r="E379" s="13">
        <v>3</v>
      </c>
    </row>
    <row r="380" spans="1:5" x14ac:dyDescent="0.25">
      <c r="A380" s="11" t="s">
        <v>1814</v>
      </c>
      <c r="B380" s="11" t="s">
        <v>24</v>
      </c>
      <c r="C380" s="11" t="s">
        <v>44</v>
      </c>
      <c r="D380" s="12">
        <v>127</v>
      </c>
      <c r="E380" s="13">
        <v>3</v>
      </c>
    </row>
    <row r="381" spans="1:5" x14ac:dyDescent="0.25">
      <c r="A381" s="11" t="s">
        <v>1919</v>
      </c>
      <c r="B381" s="11" t="s">
        <v>24</v>
      </c>
      <c r="C381" s="11" t="s">
        <v>34</v>
      </c>
      <c r="D381" s="12">
        <v>127</v>
      </c>
      <c r="E381" s="13">
        <v>2</v>
      </c>
    </row>
    <row r="382" spans="1:5" x14ac:dyDescent="0.25">
      <c r="A382" s="11" t="s">
        <v>177</v>
      </c>
      <c r="B382" s="11" t="s">
        <v>24</v>
      </c>
      <c r="C382" s="11" t="s">
        <v>39</v>
      </c>
      <c r="D382" s="12">
        <v>128</v>
      </c>
      <c r="E382" s="13">
        <v>0</v>
      </c>
    </row>
    <row r="383" spans="1:5" x14ac:dyDescent="0.25">
      <c r="A383" s="11" t="s">
        <v>297</v>
      </c>
      <c r="B383" s="11" t="s">
        <v>20</v>
      </c>
      <c r="C383" s="11" t="s">
        <v>25</v>
      </c>
      <c r="D383" s="12">
        <v>128</v>
      </c>
      <c r="E383" s="13">
        <v>0</v>
      </c>
    </row>
    <row r="384" spans="1:5" x14ac:dyDescent="0.25">
      <c r="A384" s="11" t="s">
        <v>878</v>
      </c>
      <c r="B384" s="11" t="s">
        <v>24</v>
      </c>
      <c r="C384" s="11" t="s">
        <v>39</v>
      </c>
      <c r="D384" s="12">
        <v>128</v>
      </c>
      <c r="E384" s="13">
        <v>0</v>
      </c>
    </row>
    <row r="385" spans="1:5" x14ac:dyDescent="0.25">
      <c r="A385" s="11" t="s">
        <v>1194</v>
      </c>
      <c r="B385" s="11" t="s">
        <v>24</v>
      </c>
      <c r="C385" s="11" t="s">
        <v>40</v>
      </c>
      <c r="D385" s="12">
        <v>128</v>
      </c>
      <c r="E385" s="13">
        <v>4</v>
      </c>
    </row>
    <row r="386" spans="1:5" x14ac:dyDescent="0.25">
      <c r="A386" s="11" t="s">
        <v>1554</v>
      </c>
      <c r="B386" s="11" t="s">
        <v>20</v>
      </c>
      <c r="C386" s="11" t="s">
        <v>39</v>
      </c>
      <c r="D386" s="12">
        <v>128</v>
      </c>
      <c r="E386" s="13">
        <v>0</v>
      </c>
    </row>
    <row r="387" spans="1:5" x14ac:dyDescent="0.25">
      <c r="A387" s="11" t="s">
        <v>75</v>
      </c>
      <c r="B387" s="11" t="s">
        <v>24</v>
      </c>
      <c r="C387" s="11" t="s">
        <v>21</v>
      </c>
      <c r="D387" s="12">
        <v>129</v>
      </c>
      <c r="E387" s="13">
        <v>0</v>
      </c>
    </row>
    <row r="388" spans="1:5" x14ac:dyDescent="0.25">
      <c r="A388" s="11" t="s">
        <v>798</v>
      </c>
      <c r="B388" s="11" t="s">
        <v>24</v>
      </c>
      <c r="C388" s="11" t="s">
        <v>53</v>
      </c>
      <c r="D388" s="12">
        <v>129</v>
      </c>
      <c r="E388" s="13">
        <v>3</v>
      </c>
    </row>
    <row r="389" spans="1:5" x14ac:dyDescent="0.25">
      <c r="A389" s="11" t="s">
        <v>1400</v>
      </c>
      <c r="B389" s="11" t="s">
        <v>20</v>
      </c>
      <c r="C389" s="11" t="s">
        <v>33</v>
      </c>
      <c r="D389" s="12">
        <v>129</v>
      </c>
      <c r="E389" s="13">
        <v>1</v>
      </c>
    </row>
    <row r="390" spans="1:5" x14ac:dyDescent="0.25">
      <c r="A390" s="11" t="s">
        <v>1515</v>
      </c>
      <c r="B390" s="11" t="s">
        <v>20</v>
      </c>
      <c r="C390" s="11" t="s">
        <v>44</v>
      </c>
      <c r="D390" s="12">
        <v>129</v>
      </c>
      <c r="E390" s="13">
        <v>0</v>
      </c>
    </row>
    <row r="391" spans="1:5" x14ac:dyDescent="0.25">
      <c r="A391" s="11" t="s">
        <v>1899</v>
      </c>
      <c r="B391" s="11" t="s">
        <v>26</v>
      </c>
      <c r="C391" s="11" t="s">
        <v>43</v>
      </c>
      <c r="D391" s="12">
        <v>129</v>
      </c>
      <c r="E391" s="13">
        <v>0</v>
      </c>
    </row>
    <row r="392" spans="1:5" x14ac:dyDescent="0.25">
      <c r="A392" s="11" t="s">
        <v>1635</v>
      </c>
      <c r="B392" s="11" t="s">
        <v>26</v>
      </c>
      <c r="C392" s="11" t="s">
        <v>34</v>
      </c>
      <c r="D392" s="12">
        <v>130</v>
      </c>
      <c r="E392" s="13">
        <v>2</v>
      </c>
    </row>
    <row r="393" spans="1:5" x14ac:dyDescent="0.25">
      <c r="A393" s="11" t="s">
        <v>67</v>
      </c>
      <c r="B393" s="11" t="s">
        <v>20</v>
      </c>
      <c r="C393" s="11" t="s">
        <v>33</v>
      </c>
      <c r="D393" s="12">
        <v>131</v>
      </c>
      <c r="E393" s="13">
        <v>7</v>
      </c>
    </row>
    <row r="394" spans="1:5" x14ac:dyDescent="0.25">
      <c r="A394" s="11" t="s">
        <v>1949</v>
      </c>
      <c r="B394" s="11" t="s">
        <v>20</v>
      </c>
      <c r="C394" s="11" t="s">
        <v>53</v>
      </c>
      <c r="D394" s="12">
        <v>131</v>
      </c>
      <c r="E394" s="13">
        <v>1</v>
      </c>
    </row>
    <row r="395" spans="1:5" x14ac:dyDescent="0.25">
      <c r="A395" s="11" t="s">
        <v>1104</v>
      </c>
      <c r="B395" s="11" t="s">
        <v>26</v>
      </c>
      <c r="C395" s="11" t="s">
        <v>5</v>
      </c>
      <c r="D395" s="12">
        <v>132</v>
      </c>
      <c r="E395" s="13">
        <v>0</v>
      </c>
    </row>
    <row r="396" spans="1:5" x14ac:dyDescent="0.25">
      <c r="A396" s="11" t="s">
        <v>1601</v>
      </c>
      <c r="B396" s="11" t="s">
        <v>20</v>
      </c>
      <c r="C396" s="11" t="s">
        <v>40</v>
      </c>
      <c r="D396" s="12">
        <v>132</v>
      </c>
      <c r="E396" s="13">
        <v>1</v>
      </c>
    </row>
    <row r="397" spans="1:5" x14ac:dyDescent="0.25">
      <c r="A397" s="11" t="s">
        <v>1240</v>
      </c>
      <c r="B397" s="11" t="s">
        <v>24</v>
      </c>
      <c r="C397" s="11" t="s">
        <v>27</v>
      </c>
      <c r="D397" s="12">
        <v>133</v>
      </c>
      <c r="E397" s="13">
        <v>1</v>
      </c>
    </row>
    <row r="398" spans="1:5" x14ac:dyDescent="0.25">
      <c r="A398" s="11" t="s">
        <v>1437</v>
      </c>
      <c r="B398" s="11" t="s">
        <v>26</v>
      </c>
      <c r="C398" s="11" t="s">
        <v>43</v>
      </c>
      <c r="D398" s="12">
        <v>133</v>
      </c>
      <c r="E398" s="13">
        <v>0</v>
      </c>
    </row>
    <row r="399" spans="1:5" x14ac:dyDescent="0.25">
      <c r="A399" s="11" t="s">
        <v>796</v>
      </c>
      <c r="B399" s="11" t="s">
        <v>20</v>
      </c>
      <c r="C399" s="11" t="s">
        <v>43</v>
      </c>
      <c r="D399" s="12">
        <v>134</v>
      </c>
      <c r="E399" s="13">
        <v>2</v>
      </c>
    </row>
    <row r="400" spans="1:5" x14ac:dyDescent="0.25">
      <c r="A400" s="11" t="s">
        <v>1469</v>
      </c>
      <c r="B400" s="11" t="s">
        <v>26</v>
      </c>
      <c r="C400" s="11" t="s">
        <v>111</v>
      </c>
      <c r="D400" s="12">
        <v>134</v>
      </c>
      <c r="E400" s="13">
        <v>0</v>
      </c>
    </row>
    <row r="401" spans="1:5" x14ac:dyDescent="0.25">
      <c r="A401" s="11" t="s">
        <v>1679</v>
      </c>
      <c r="B401" s="11" t="s">
        <v>26</v>
      </c>
      <c r="C401" s="11" t="s">
        <v>22</v>
      </c>
      <c r="D401" s="12">
        <v>134</v>
      </c>
      <c r="E401" s="13">
        <v>2</v>
      </c>
    </row>
    <row r="402" spans="1:5" x14ac:dyDescent="0.25">
      <c r="A402" s="11" t="s">
        <v>1907</v>
      </c>
      <c r="B402" s="11" t="s">
        <v>24</v>
      </c>
      <c r="C402" s="11" t="s">
        <v>44</v>
      </c>
      <c r="D402" s="12">
        <v>134</v>
      </c>
      <c r="E402" s="13">
        <v>2</v>
      </c>
    </row>
    <row r="403" spans="1:5" x14ac:dyDescent="0.25">
      <c r="A403" s="11" t="s">
        <v>371</v>
      </c>
      <c r="B403" s="11" t="s">
        <v>24</v>
      </c>
      <c r="C403" s="11" t="s">
        <v>44</v>
      </c>
      <c r="D403" s="12">
        <v>135</v>
      </c>
      <c r="E403" s="13">
        <v>0</v>
      </c>
    </row>
    <row r="404" spans="1:5" x14ac:dyDescent="0.25">
      <c r="A404" s="11" t="s">
        <v>1440</v>
      </c>
      <c r="B404" s="11" t="s">
        <v>24</v>
      </c>
      <c r="C404" s="11" t="s">
        <v>27</v>
      </c>
      <c r="D404" s="12">
        <v>135</v>
      </c>
      <c r="E404" s="13">
        <v>0</v>
      </c>
    </row>
    <row r="405" spans="1:5" x14ac:dyDescent="0.25">
      <c r="A405" s="11" t="s">
        <v>1615</v>
      </c>
      <c r="B405" s="11" t="s">
        <v>20</v>
      </c>
      <c r="C405" s="11" t="s">
        <v>44</v>
      </c>
      <c r="D405" s="12">
        <v>135</v>
      </c>
      <c r="E405" s="13">
        <v>3</v>
      </c>
    </row>
    <row r="406" spans="1:5" x14ac:dyDescent="0.25">
      <c r="A406" s="11" t="s">
        <v>1942</v>
      </c>
      <c r="B406" s="11" t="s">
        <v>24</v>
      </c>
      <c r="C406" s="11" t="s">
        <v>44</v>
      </c>
      <c r="D406" s="12">
        <v>135</v>
      </c>
      <c r="E406" s="13">
        <v>2</v>
      </c>
    </row>
    <row r="407" spans="1:5" x14ac:dyDescent="0.25">
      <c r="A407" s="11" t="s">
        <v>301</v>
      </c>
      <c r="B407" s="11" t="s">
        <v>20</v>
      </c>
      <c r="C407" s="11" t="s">
        <v>27</v>
      </c>
      <c r="D407" s="12">
        <v>136</v>
      </c>
      <c r="E407" s="13">
        <v>0</v>
      </c>
    </row>
    <row r="408" spans="1:5" x14ac:dyDescent="0.25">
      <c r="A408" s="11" t="s">
        <v>933</v>
      </c>
      <c r="B408" s="11" t="s">
        <v>24</v>
      </c>
      <c r="C408" s="11" t="s">
        <v>25</v>
      </c>
      <c r="D408" s="12">
        <v>136</v>
      </c>
      <c r="E408" s="13">
        <v>5</v>
      </c>
    </row>
    <row r="409" spans="1:5" x14ac:dyDescent="0.25">
      <c r="A409" s="11" t="s">
        <v>1888</v>
      </c>
      <c r="B409" s="11" t="s">
        <v>24</v>
      </c>
      <c r="C409" s="11" t="s">
        <v>34</v>
      </c>
      <c r="D409" s="12">
        <v>136</v>
      </c>
      <c r="E409" s="13">
        <v>10</v>
      </c>
    </row>
    <row r="410" spans="1:5" x14ac:dyDescent="0.25">
      <c r="A410" s="11" t="s">
        <v>1157</v>
      </c>
      <c r="B410" s="11" t="s">
        <v>20</v>
      </c>
      <c r="C410" s="11" t="s">
        <v>28</v>
      </c>
      <c r="D410" s="12">
        <v>138</v>
      </c>
      <c r="E410" s="13">
        <v>0</v>
      </c>
    </row>
    <row r="411" spans="1:5" x14ac:dyDescent="0.25">
      <c r="A411" s="11" t="s">
        <v>1717</v>
      </c>
      <c r="B411" s="11" t="s">
        <v>24</v>
      </c>
      <c r="C411" s="11" t="s">
        <v>28</v>
      </c>
      <c r="D411" s="12">
        <v>138</v>
      </c>
      <c r="E411" s="13">
        <v>5</v>
      </c>
    </row>
    <row r="412" spans="1:5" x14ac:dyDescent="0.25">
      <c r="A412" s="11" t="s">
        <v>431</v>
      </c>
      <c r="B412" s="11" t="s">
        <v>24</v>
      </c>
      <c r="C412" s="11" t="s">
        <v>44</v>
      </c>
      <c r="D412" s="12">
        <v>139</v>
      </c>
      <c r="E412" s="13">
        <v>0</v>
      </c>
    </row>
    <row r="413" spans="1:5" x14ac:dyDescent="0.25">
      <c r="A413" s="11" t="s">
        <v>459</v>
      </c>
      <c r="B413" s="11" t="s">
        <v>24</v>
      </c>
      <c r="C413" s="11" t="s">
        <v>44</v>
      </c>
      <c r="D413" s="12">
        <v>139</v>
      </c>
      <c r="E413" s="13">
        <v>0</v>
      </c>
    </row>
    <row r="414" spans="1:5" x14ac:dyDescent="0.25">
      <c r="A414" s="11" t="s">
        <v>555</v>
      </c>
      <c r="B414" s="11" t="s">
        <v>26</v>
      </c>
      <c r="C414" s="11" t="s">
        <v>27</v>
      </c>
      <c r="D414" s="12">
        <v>139</v>
      </c>
      <c r="E414" s="13">
        <v>1</v>
      </c>
    </row>
    <row r="415" spans="1:5" x14ac:dyDescent="0.25">
      <c r="A415" s="11" t="s">
        <v>768</v>
      </c>
      <c r="B415" s="11" t="s">
        <v>20</v>
      </c>
      <c r="C415" s="11" t="s">
        <v>111</v>
      </c>
      <c r="D415" s="12">
        <v>139</v>
      </c>
      <c r="E415" s="13">
        <v>1</v>
      </c>
    </row>
    <row r="416" spans="1:5" x14ac:dyDescent="0.25">
      <c r="A416" s="11" t="s">
        <v>772</v>
      </c>
      <c r="B416" s="11" t="s">
        <v>26</v>
      </c>
      <c r="C416" s="11" t="s">
        <v>39</v>
      </c>
      <c r="D416" s="12">
        <v>139</v>
      </c>
      <c r="E416" s="13">
        <v>4</v>
      </c>
    </row>
    <row r="417" spans="1:5" x14ac:dyDescent="0.25">
      <c r="A417" s="11" t="s">
        <v>899</v>
      </c>
      <c r="B417" s="11" t="s">
        <v>26</v>
      </c>
      <c r="C417" s="11" t="s">
        <v>28</v>
      </c>
      <c r="D417" s="12">
        <v>139</v>
      </c>
      <c r="E417" s="13">
        <v>0</v>
      </c>
    </row>
    <row r="418" spans="1:5" x14ac:dyDescent="0.25">
      <c r="A418" s="11" t="s">
        <v>1891</v>
      </c>
      <c r="B418" s="11" t="s">
        <v>24</v>
      </c>
      <c r="C418" s="11" t="s">
        <v>44</v>
      </c>
      <c r="D418" s="12">
        <v>139</v>
      </c>
      <c r="E418" s="13">
        <v>0</v>
      </c>
    </row>
    <row r="419" spans="1:5" x14ac:dyDescent="0.25">
      <c r="A419" s="11" t="s">
        <v>72</v>
      </c>
      <c r="B419" s="11" t="s">
        <v>26</v>
      </c>
      <c r="C419" s="11" t="s">
        <v>39</v>
      </c>
      <c r="D419" s="12">
        <v>140</v>
      </c>
      <c r="E419" s="13">
        <v>2</v>
      </c>
    </row>
    <row r="420" spans="1:5" x14ac:dyDescent="0.25">
      <c r="A420" s="11" t="s">
        <v>606</v>
      </c>
      <c r="B420" s="11" t="s">
        <v>20</v>
      </c>
      <c r="C420" s="11" t="s">
        <v>44</v>
      </c>
      <c r="D420" s="12">
        <v>140</v>
      </c>
      <c r="E420" s="13">
        <v>2</v>
      </c>
    </row>
    <row r="421" spans="1:5" x14ac:dyDescent="0.25">
      <c r="A421" s="11" t="s">
        <v>663</v>
      </c>
      <c r="B421" s="11" t="s">
        <v>26</v>
      </c>
      <c r="C421" s="11" t="s">
        <v>44</v>
      </c>
      <c r="D421" s="12">
        <v>140</v>
      </c>
      <c r="E421" s="13">
        <v>4</v>
      </c>
    </row>
    <row r="422" spans="1:5" x14ac:dyDescent="0.25">
      <c r="A422" s="11" t="s">
        <v>305</v>
      </c>
      <c r="B422" s="11" t="s">
        <v>24</v>
      </c>
      <c r="C422" s="11" t="s">
        <v>39</v>
      </c>
      <c r="D422" s="12">
        <v>141</v>
      </c>
      <c r="E422" s="13">
        <v>0</v>
      </c>
    </row>
    <row r="423" spans="1:5" x14ac:dyDescent="0.25">
      <c r="A423" s="11" t="s">
        <v>328</v>
      </c>
      <c r="B423" s="11" t="s">
        <v>26</v>
      </c>
      <c r="C423" s="11" t="s">
        <v>34</v>
      </c>
      <c r="D423" s="12">
        <v>141</v>
      </c>
      <c r="E423" s="13">
        <v>0</v>
      </c>
    </row>
    <row r="424" spans="1:5" x14ac:dyDescent="0.25">
      <c r="A424" s="11" t="s">
        <v>999</v>
      </c>
      <c r="B424" s="11" t="s">
        <v>20</v>
      </c>
      <c r="C424" s="11" t="s">
        <v>30</v>
      </c>
      <c r="D424" s="12">
        <v>141</v>
      </c>
      <c r="E424" s="13">
        <v>4</v>
      </c>
    </row>
    <row r="425" spans="1:5" x14ac:dyDescent="0.25">
      <c r="A425" s="11" t="s">
        <v>1424</v>
      </c>
      <c r="B425" s="11" t="s">
        <v>26</v>
      </c>
      <c r="C425" s="11" t="s">
        <v>66</v>
      </c>
      <c r="D425" s="12">
        <v>141</v>
      </c>
      <c r="E425" s="13">
        <v>0</v>
      </c>
    </row>
    <row r="426" spans="1:5" x14ac:dyDescent="0.25">
      <c r="A426" s="11" t="s">
        <v>716</v>
      </c>
      <c r="B426" s="11" t="s">
        <v>24</v>
      </c>
      <c r="C426" s="11" t="s">
        <v>40</v>
      </c>
      <c r="D426" s="12">
        <v>142</v>
      </c>
      <c r="E426" s="13">
        <v>2</v>
      </c>
    </row>
    <row r="427" spans="1:5" x14ac:dyDescent="0.25">
      <c r="A427" s="11" t="s">
        <v>1730</v>
      </c>
      <c r="B427" s="11" t="s">
        <v>20</v>
      </c>
      <c r="C427" s="11" t="s">
        <v>25</v>
      </c>
      <c r="D427" s="12">
        <v>142</v>
      </c>
      <c r="E427" s="13">
        <v>0</v>
      </c>
    </row>
    <row r="428" spans="1:5" x14ac:dyDescent="0.25">
      <c r="A428" s="11" t="s">
        <v>391</v>
      </c>
      <c r="B428" s="11" t="s">
        <v>26</v>
      </c>
      <c r="C428" s="11" t="s">
        <v>66</v>
      </c>
      <c r="D428" s="12">
        <v>143</v>
      </c>
      <c r="E428" s="13">
        <v>2</v>
      </c>
    </row>
    <row r="429" spans="1:5" x14ac:dyDescent="0.25">
      <c r="A429" s="11" t="s">
        <v>762</v>
      </c>
      <c r="B429" s="11" t="s">
        <v>26</v>
      </c>
      <c r="C429" s="11" t="s">
        <v>111</v>
      </c>
      <c r="D429" s="12">
        <v>143</v>
      </c>
      <c r="E429" s="13">
        <v>0</v>
      </c>
    </row>
    <row r="430" spans="1:5" x14ac:dyDescent="0.25">
      <c r="A430" s="11" t="s">
        <v>158</v>
      </c>
      <c r="B430" s="11" t="s">
        <v>26</v>
      </c>
      <c r="C430" s="11" t="s">
        <v>5</v>
      </c>
      <c r="D430" s="12">
        <v>144</v>
      </c>
      <c r="E430" s="13">
        <v>0</v>
      </c>
    </row>
    <row r="431" spans="1:5" x14ac:dyDescent="0.25">
      <c r="A431" s="11" t="s">
        <v>910</v>
      </c>
      <c r="B431" s="11" t="s">
        <v>26</v>
      </c>
      <c r="C431" s="11" t="s">
        <v>28</v>
      </c>
      <c r="D431" s="12">
        <v>144</v>
      </c>
      <c r="E431" s="13">
        <v>0</v>
      </c>
    </row>
    <row r="432" spans="1:5" x14ac:dyDescent="0.25">
      <c r="A432" s="11" t="s">
        <v>1936</v>
      </c>
      <c r="B432" s="11" t="s">
        <v>26</v>
      </c>
      <c r="C432" s="11" t="s">
        <v>43</v>
      </c>
      <c r="D432" s="12">
        <v>144</v>
      </c>
      <c r="E432" s="13">
        <v>0</v>
      </c>
    </row>
    <row r="433" spans="1:5" x14ac:dyDescent="0.25">
      <c r="A433" s="11" t="s">
        <v>908</v>
      </c>
      <c r="B433" s="11" t="s">
        <v>26</v>
      </c>
      <c r="C433" s="11" t="s">
        <v>44</v>
      </c>
      <c r="D433" s="12">
        <v>145</v>
      </c>
      <c r="E433" s="13">
        <v>0</v>
      </c>
    </row>
    <row r="434" spans="1:5" x14ac:dyDescent="0.25">
      <c r="A434" s="11" t="s">
        <v>1602</v>
      </c>
      <c r="B434" s="11" t="s">
        <v>26</v>
      </c>
      <c r="C434" s="11" t="s">
        <v>30</v>
      </c>
      <c r="D434" s="12">
        <v>145</v>
      </c>
      <c r="E434" s="13">
        <v>0</v>
      </c>
    </row>
    <row r="435" spans="1:5" x14ac:dyDescent="0.25">
      <c r="A435" s="11" t="s">
        <v>221</v>
      </c>
      <c r="B435" s="11" t="s">
        <v>20</v>
      </c>
      <c r="C435" s="11" t="s">
        <v>5</v>
      </c>
      <c r="D435" s="12">
        <v>147</v>
      </c>
      <c r="E435" s="13">
        <v>4</v>
      </c>
    </row>
    <row r="436" spans="1:5" x14ac:dyDescent="0.25">
      <c r="A436" s="11" t="s">
        <v>613</v>
      </c>
      <c r="B436" s="11" t="s">
        <v>20</v>
      </c>
      <c r="C436" s="11" t="s">
        <v>44</v>
      </c>
      <c r="D436" s="12">
        <v>147</v>
      </c>
      <c r="E436" s="13">
        <v>5</v>
      </c>
    </row>
    <row r="437" spans="1:5" x14ac:dyDescent="0.25">
      <c r="A437" s="11" t="s">
        <v>625</v>
      </c>
      <c r="B437" s="11" t="s">
        <v>26</v>
      </c>
      <c r="C437" s="11" t="s">
        <v>27</v>
      </c>
      <c r="D437" s="12">
        <v>147</v>
      </c>
      <c r="E437" s="13">
        <v>1</v>
      </c>
    </row>
    <row r="438" spans="1:5" x14ac:dyDescent="0.25">
      <c r="A438" s="11" t="s">
        <v>939</v>
      </c>
      <c r="B438" s="11" t="s">
        <v>24</v>
      </c>
      <c r="C438" s="11" t="s">
        <v>5</v>
      </c>
      <c r="D438" s="12">
        <v>147</v>
      </c>
      <c r="E438" s="13">
        <v>1</v>
      </c>
    </row>
    <row r="439" spans="1:5" x14ac:dyDescent="0.25">
      <c r="A439" s="11" t="s">
        <v>1483</v>
      </c>
      <c r="B439" s="11" t="s">
        <v>24</v>
      </c>
      <c r="C439" s="11" t="s">
        <v>5</v>
      </c>
      <c r="D439" s="12">
        <v>147</v>
      </c>
      <c r="E439" s="13">
        <v>1</v>
      </c>
    </row>
    <row r="440" spans="1:5" x14ac:dyDescent="0.25">
      <c r="A440" s="11" t="s">
        <v>1687</v>
      </c>
      <c r="B440" s="11" t="s">
        <v>26</v>
      </c>
      <c r="C440" s="11" t="s">
        <v>66</v>
      </c>
      <c r="D440" s="12">
        <v>147</v>
      </c>
      <c r="E440" s="13">
        <v>4</v>
      </c>
    </row>
    <row r="441" spans="1:5" x14ac:dyDescent="0.25">
      <c r="A441" s="11" t="s">
        <v>554</v>
      </c>
      <c r="B441" s="11" t="s">
        <v>20</v>
      </c>
      <c r="C441" s="11" t="s">
        <v>21</v>
      </c>
      <c r="D441" s="12">
        <v>148</v>
      </c>
      <c r="E441" s="13">
        <v>3</v>
      </c>
    </row>
    <row r="442" spans="1:5" x14ac:dyDescent="0.25">
      <c r="A442" s="11" t="s">
        <v>1853</v>
      </c>
      <c r="B442" s="11" t="s">
        <v>20</v>
      </c>
      <c r="C442" s="11" t="s">
        <v>33</v>
      </c>
      <c r="D442" s="12">
        <v>148</v>
      </c>
      <c r="E442" s="13">
        <v>0</v>
      </c>
    </row>
    <row r="443" spans="1:5" x14ac:dyDescent="0.25">
      <c r="A443" s="11" t="s">
        <v>634</v>
      </c>
      <c r="B443" s="11" t="s">
        <v>20</v>
      </c>
      <c r="C443" s="11" t="s">
        <v>44</v>
      </c>
      <c r="D443" s="12">
        <v>149</v>
      </c>
      <c r="E443" s="13">
        <v>0</v>
      </c>
    </row>
    <row r="444" spans="1:5" x14ac:dyDescent="0.25">
      <c r="A444" s="11" t="s">
        <v>1211</v>
      </c>
      <c r="B444" s="11" t="s">
        <v>24</v>
      </c>
      <c r="C444" s="11" t="s">
        <v>66</v>
      </c>
      <c r="D444" s="12">
        <v>149</v>
      </c>
      <c r="E444" s="13">
        <v>0</v>
      </c>
    </row>
    <row r="445" spans="1:5" x14ac:dyDescent="0.25">
      <c r="A445" s="11" t="s">
        <v>1269</v>
      </c>
      <c r="B445" s="11" t="s">
        <v>26</v>
      </c>
      <c r="C445" s="11" t="s">
        <v>44</v>
      </c>
      <c r="D445" s="12">
        <v>149</v>
      </c>
      <c r="E445" s="13">
        <v>0</v>
      </c>
    </row>
    <row r="446" spans="1:5" x14ac:dyDescent="0.25">
      <c r="A446" s="11" t="s">
        <v>47</v>
      </c>
      <c r="B446" s="11" t="s">
        <v>24</v>
      </c>
      <c r="C446" s="11" t="s">
        <v>21</v>
      </c>
      <c r="D446" s="12">
        <v>150</v>
      </c>
      <c r="E446" s="13">
        <v>0</v>
      </c>
    </row>
    <row r="447" spans="1:5" x14ac:dyDescent="0.25">
      <c r="A447" s="11" t="s">
        <v>644</v>
      </c>
      <c r="B447" s="11" t="s">
        <v>24</v>
      </c>
      <c r="C447" s="11" t="s">
        <v>30</v>
      </c>
      <c r="D447" s="12">
        <v>150</v>
      </c>
      <c r="E447" s="13">
        <v>0</v>
      </c>
    </row>
    <row r="448" spans="1:5" x14ac:dyDescent="0.25">
      <c r="A448" s="11" t="s">
        <v>955</v>
      </c>
      <c r="B448" s="11" t="s">
        <v>20</v>
      </c>
      <c r="C448" s="11" t="s">
        <v>21</v>
      </c>
      <c r="D448" s="12">
        <v>150</v>
      </c>
      <c r="E448" s="13">
        <v>2</v>
      </c>
    </row>
    <row r="449" spans="1:5" x14ac:dyDescent="0.25">
      <c r="A449" s="11" t="s">
        <v>1667</v>
      </c>
      <c r="B449" s="11" t="s">
        <v>26</v>
      </c>
      <c r="C449" s="11" t="s">
        <v>30</v>
      </c>
      <c r="D449" s="12">
        <v>150</v>
      </c>
      <c r="E449" s="13">
        <v>0</v>
      </c>
    </row>
    <row r="450" spans="1:5" x14ac:dyDescent="0.25">
      <c r="A450" s="11" t="s">
        <v>1979</v>
      </c>
      <c r="B450" s="11" t="s">
        <v>26</v>
      </c>
      <c r="C450" s="11" t="s">
        <v>21</v>
      </c>
      <c r="D450" s="12">
        <v>150</v>
      </c>
      <c r="E450" s="13">
        <v>6</v>
      </c>
    </row>
    <row r="451" spans="1:5" x14ac:dyDescent="0.25">
      <c r="A451" s="11" t="s">
        <v>135</v>
      </c>
      <c r="B451" s="11" t="s">
        <v>24</v>
      </c>
      <c r="C451" s="11" t="s">
        <v>39</v>
      </c>
      <c r="D451" s="12">
        <v>152</v>
      </c>
      <c r="E451" s="13">
        <v>12</v>
      </c>
    </row>
    <row r="452" spans="1:5" x14ac:dyDescent="0.25">
      <c r="A452" s="11" t="s">
        <v>1334</v>
      </c>
      <c r="B452" s="11" t="s">
        <v>24</v>
      </c>
      <c r="C452" s="11" t="s">
        <v>22</v>
      </c>
      <c r="D452" s="12">
        <v>152</v>
      </c>
      <c r="E452" s="13">
        <v>0</v>
      </c>
    </row>
    <row r="453" spans="1:5" x14ac:dyDescent="0.25">
      <c r="A453" s="11" t="s">
        <v>956</v>
      </c>
      <c r="B453" s="11" t="s">
        <v>26</v>
      </c>
      <c r="C453" s="11" t="s">
        <v>30</v>
      </c>
      <c r="D453" s="12">
        <v>153</v>
      </c>
      <c r="E453" s="13">
        <v>2</v>
      </c>
    </row>
    <row r="454" spans="1:5" x14ac:dyDescent="0.25">
      <c r="A454" s="11" t="s">
        <v>1551</v>
      </c>
      <c r="B454" s="11" t="s">
        <v>24</v>
      </c>
      <c r="C454" s="11" t="s">
        <v>33</v>
      </c>
      <c r="D454" s="12">
        <v>153</v>
      </c>
      <c r="E454" s="13">
        <v>0</v>
      </c>
    </row>
    <row r="455" spans="1:5" x14ac:dyDescent="0.25">
      <c r="A455" s="11" t="s">
        <v>968</v>
      </c>
      <c r="B455" s="11" t="s">
        <v>20</v>
      </c>
      <c r="C455" s="11" t="s">
        <v>27</v>
      </c>
      <c r="D455" s="12">
        <v>154</v>
      </c>
      <c r="E455" s="13">
        <v>0</v>
      </c>
    </row>
    <row r="456" spans="1:5" x14ac:dyDescent="0.25">
      <c r="A456" s="11" t="s">
        <v>1407</v>
      </c>
      <c r="B456" s="11" t="s">
        <v>26</v>
      </c>
      <c r="C456" s="11" t="s">
        <v>39</v>
      </c>
      <c r="D456" s="12">
        <v>154</v>
      </c>
      <c r="E456" s="13">
        <v>0</v>
      </c>
    </row>
    <row r="457" spans="1:5" x14ac:dyDescent="0.25">
      <c r="A457" s="11" t="s">
        <v>1434</v>
      </c>
      <c r="B457" s="11" t="s">
        <v>24</v>
      </c>
      <c r="C457" s="11" t="s">
        <v>30</v>
      </c>
      <c r="D457" s="12">
        <v>154</v>
      </c>
      <c r="E457" s="13">
        <v>0</v>
      </c>
    </row>
    <row r="458" spans="1:5" x14ac:dyDescent="0.25">
      <c r="A458" s="11" t="s">
        <v>1573</v>
      </c>
      <c r="B458" s="11" t="s">
        <v>26</v>
      </c>
      <c r="C458" s="11" t="s">
        <v>44</v>
      </c>
      <c r="D458" s="12">
        <v>154</v>
      </c>
      <c r="E458" s="13">
        <v>14</v>
      </c>
    </row>
    <row r="459" spans="1:5" x14ac:dyDescent="0.25">
      <c r="A459" s="11" t="s">
        <v>1610</v>
      </c>
      <c r="B459" s="11" t="s">
        <v>26</v>
      </c>
      <c r="C459" s="11" t="s">
        <v>30</v>
      </c>
      <c r="D459" s="12">
        <v>154</v>
      </c>
      <c r="E459" s="13">
        <v>0</v>
      </c>
    </row>
    <row r="460" spans="1:5" x14ac:dyDescent="0.25">
      <c r="A460" s="11" t="s">
        <v>324</v>
      </c>
      <c r="B460" s="11" t="s">
        <v>26</v>
      </c>
      <c r="C460" s="11" t="s">
        <v>40</v>
      </c>
      <c r="D460" s="12">
        <v>155</v>
      </c>
      <c r="E460" s="13">
        <v>4</v>
      </c>
    </row>
    <row r="461" spans="1:5" x14ac:dyDescent="0.25">
      <c r="A461" s="11" t="s">
        <v>545</v>
      </c>
      <c r="B461" s="11" t="s">
        <v>26</v>
      </c>
      <c r="C461" s="11" t="s">
        <v>21</v>
      </c>
      <c r="D461" s="12">
        <v>155</v>
      </c>
      <c r="E461" s="13">
        <v>1</v>
      </c>
    </row>
    <row r="462" spans="1:5" x14ac:dyDescent="0.25">
      <c r="A462" s="11" t="s">
        <v>594</v>
      </c>
      <c r="B462" s="11" t="s">
        <v>24</v>
      </c>
      <c r="C462" s="11" t="s">
        <v>22</v>
      </c>
      <c r="D462" s="12">
        <v>155</v>
      </c>
      <c r="E462" s="13">
        <v>4</v>
      </c>
    </row>
    <row r="463" spans="1:5" x14ac:dyDescent="0.25">
      <c r="A463" s="11" t="s">
        <v>850</v>
      </c>
      <c r="B463" s="11" t="s">
        <v>26</v>
      </c>
      <c r="C463" s="11" t="s">
        <v>21</v>
      </c>
      <c r="D463" s="12">
        <v>155</v>
      </c>
      <c r="E463" s="13">
        <v>2</v>
      </c>
    </row>
    <row r="464" spans="1:5" x14ac:dyDescent="0.25">
      <c r="A464" s="11" t="s">
        <v>963</v>
      </c>
      <c r="B464" s="11" t="s">
        <v>20</v>
      </c>
      <c r="C464" s="11" t="s">
        <v>53</v>
      </c>
      <c r="D464" s="12">
        <v>155</v>
      </c>
      <c r="E464" s="13">
        <v>4</v>
      </c>
    </row>
    <row r="465" spans="1:5" x14ac:dyDescent="0.25">
      <c r="A465" s="11" t="s">
        <v>988</v>
      </c>
      <c r="B465" s="11" t="s">
        <v>26</v>
      </c>
      <c r="C465" s="11" t="s">
        <v>34</v>
      </c>
      <c r="D465" s="12">
        <v>155</v>
      </c>
      <c r="E465" s="13">
        <v>11</v>
      </c>
    </row>
    <row r="466" spans="1:5" x14ac:dyDescent="0.25">
      <c r="A466" s="11" t="s">
        <v>1061</v>
      </c>
      <c r="B466" s="11" t="s">
        <v>26</v>
      </c>
      <c r="C466" s="11" t="s">
        <v>27</v>
      </c>
      <c r="D466" s="12">
        <v>155</v>
      </c>
      <c r="E466" s="13">
        <v>1</v>
      </c>
    </row>
    <row r="467" spans="1:5" x14ac:dyDescent="0.25">
      <c r="A467" s="11" t="s">
        <v>59</v>
      </c>
      <c r="B467" s="11" t="s">
        <v>26</v>
      </c>
      <c r="C467" s="11" t="s">
        <v>39</v>
      </c>
      <c r="D467" s="12">
        <v>157</v>
      </c>
      <c r="E467" s="13">
        <v>0</v>
      </c>
    </row>
    <row r="468" spans="1:5" x14ac:dyDescent="0.25">
      <c r="A468" s="11" t="s">
        <v>815</v>
      </c>
      <c r="B468" s="11" t="s">
        <v>20</v>
      </c>
      <c r="C468" s="11" t="s">
        <v>66</v>
      </c>
      <c r="D468" s="12">
        <v>157</v>
      </c>
      <c r="E468" s="13">
        <v>0</v>
      </c>
    </row>
    <row r="469" spans="1:5" x14ac:dyDescent="0.25">
      <c r="A469" s="11" t="s">
        <v>1136</v>
      </c>
      <c r="B469" s="11" t="s">
        <v>26</v>
      </c>
      <c r="C469" s="11" t="s">
        <v>44</v>
      </c>
      <c r="D469" s="12">
        <v>157</v>
      </c>
      <c r="E469" s="13">
        <v>1</v>
      </c>
    </row>
    <row r="470" spans="1:5" x14ac:dyDescent="0.25">
      <c r="A470" s="11" t="s">
        <v>1948</v>
      </c>
      <c r="B470" s="11" t="s">
        <v>20</v>
      </c>
      <c r="C470" s="11" t="s">
        <v>27</v>
      </c>
      <c r="D470" s="12">
        <v>157</v>
      </c>
      <c r="E470" s="13">
        <v>4</v>
      </c>
    </row>
    <row r="471" spans="1:5" x14ac:dyDescent="0.25">
      <c r="A471" s="11" t="s">
        <v>722</v>
      </c>
      <c r="B471" s="11" t="s">
        <v>26</v>
      </c>
      <c r="C471" s="11" t="s">
        <v>22</v>
      </c>
      <c r="D471" s="12">
        <v>158</v>
      </c>
      <c r="E471" s="13">
        <v>0</v>
      </c>
    </row>
    <row r="472" spans="1:5" x14ac:dyDescent="0.25">
      <c r="A472" s="11" t="s">
        <v>1678</v>
      </c>
      <c r="B472" s="11" t="s">
        <v>24</v>
      </c>
      <c r="C472" s="11" t="s">
        <v>5</v>
      </c>
      <c r="D472" s="12">
        <v>158</v>
      </c>
      <c r="E472" s="13">
        <v>3</v>
      </c>
    </row>
    <row r="473" spans="1:5" x14ac:dyDescent="0.25">
      <c r="A473" s="11" t="s">
        <v>1880</v>
      </c>
      <c r="B473" s="11" t="s">
        <v>24</v>
      </c>
      <c r="C473" s="11" t="s">
        <v>33</v>
      </c>
      <c r="D473" s="12">
        <v>158</v>
      </c>
      <c r="E473" s="13">
        <v>1</v>
      </c>
    </row>
    <row r="474" spans="1:5" x14ac:dyDescent="0.25">
      <c r="A474" s="11" t="s">
        <v>393</v>
      </c>
      <c r="B474" s="11" t="s">
        <v>24</v>
      </c>
      <c r="C474" s="11" t="s">
        <v>21</v>
      </c>
      <c r="D474" s="12">
        <v>159</v>
      </c>
      <c r="E474" s="13">
        <v>2</v>
      </c>
    </row>
    <row r="475" spans="1:5" x14ac:dyDescent="0.25">
      <c r="A475" s="11" t="s">
        <v>733</v>
      </c>
      <c r="B475" s="11" t="s">
        <v>20</v>
      </c>
      <c r="C475" s="11" t="s">
        <v>43</v>
      </c>
      <c r="D475" s="12">
        <v>159</v>
      </c>
      <c r="E475" s="13">
        <v>2</v>
      </c>
    </row>
    <row r="476" spans="1:5" x14ac:dyDescent="0.25">
      <c r="A476" s="11" t="s">
        <v>1247</v>
      </c>
      <c r="B476" s="11" t="s">
        <v>26</v>
      </c>
      <c r="C476" s="11" t="s">
        <v>66</v>
      </c>
      <c r="D476" s="12">
        <v>159</v>
      </c>
      <c r="E476" s="13">
        <v>0</v>
      </c>
    </row>
    <row r="477" spans="1:5" x14ac:dyDescent="0.25">
      <c r="A477" s="11" t="s">
        <v>1941</v>
      </c>
      <c r="B477" s="11" t="s">
        <v>24</v>
      </c>
      <c r="C477" s="11" t="s">
        <v>39</v>
      </c>
      <c r="D477" s="12">
        <v>160</v>
      </c>
      <c r="E477" s="13">
        <v>1</v>
      </c>
    </row>
    <row r="478" spans="1:5" x14ac:dyDescent="0.25">
      <c r="A478" s="11" t="s">
        <v>433</v>
      </c>
      <c r="B478" s="11" t="s">
        <v>26</v>
      </c>
      <c r="C478" s="11" t="s">
        <v>5</v>
      </c>
      <c r="D478" s="12">
        <v>161</v>
      </c>
      <c r="E478" s="13">
        <v>0</v>
      </c>
    </row>
    <row r="479" spans="1:5" x14ac:dyDescent="0.25">
      <c r="A479" s="11" t="s">
        <v>1826</v>
      </c>
      <c r="B479" s="11" t="s">
        <v>24</v>
      </c>
      <c r="C479" s="11" t="s">
        <v>27</v>
      </c>
      <c r="D479" s="12">
        <v>161</v>
      </c>
      <c r="E479" s="13">
        <v>0</v>
      </c>
    </row>
    <row r="480" spans="1:5" x14ac:dyDescent="0.25">
      <c r="A480" s="11" t="s">
        <v>184</v>
      </c>
      <c r="B480" s="11" t="s">
        <v>20</v>
      </c>
      <c r="C480" s="11" t="s">
        <v>5</v>
      </c>
      <c r="D480" s="12">
        <v>162</v>
      </c>
      <c r="E480" s="13">
        <v>11</v>
      </c>
    </row>
    <row r="481" spans="1:5" x14ac:dyDescent="0.25">
      <c r="A481" s="11" t="s">
        <v>224</v>
      </c>
      <c r="B481" s="11" t="s">
        <v>26</v>
      </c>
      <c r="C481" s="11" t="s">
        <v>40</v>
      </c>
      <c r="D481" s="12">
        <v>164</v>
      </c>
      <c r="E481" s="13">
        <v>2</v>
      </c>
    </row>
    <row r="482" spans="1:5" x14ac:dyDescent="0.25">
      <c r="A482" s="11" t="s">
        <v>784</v>
      </c>
      <c r="B482" s="11" t="s">
        <v>26</v>
      </c>
      <c r="C482" s="11" t="s">
        <v>22</v>
      </c>
      <c r="D482" s="12">
        <v>164</v>
      </c>
      <c r="E482" s="13">
        <v>0</v>
      </c>
    </row>
    <row r="483" spans="1:5" x14ac:dyDescent="0.25">
      <c r="A483" s="11" t="s">
        <v>954</v>
      </c>
      <c r="B483" s="11" t="s">
        <v>24</v>
      </c>
      <c r="C483" s="11" t="s">
        <v>27</v>
      </c>
      <c r="D483" s="12">
        <v>164</v>
      </c>
      <c r="E483" s="13">
        <v>0</v>
      </c>
    </row>
    <row r="484" spans="1:5" x14ac:dyDescent="0.25">
      <c r="A484" s="11" t="s">
        <v>76</v>
      </c>
      <c r="B484" s="11" t="s">
        <v>24</v>
      </c>
      <c r="C484" s="11" t="s">
        <v>44</v>
      </c>
      <c r="D484" s="12">
        <v>165</v>
      </c>
      <c r="E484" s="13">
        <v>0</v>
      </c>
    </row>
    <row r="485" spans="1:5" x14ac:dyDescent="0.25">
      <c r="A485" s="11" t="s">
        <v>1240</v>
      </c>
      <c r="B485" s="11" t="s">
        <v>26</v>
      </c>
      <c r="C485" s="11" t="s">
        <v>39</v>
      </c>
      <c r="D485" s="12">
        <v>165</v>
      </c>
      <c r="E485" s="13">
        <v>0</v>
      </c>
    </row>
    <row r="486" spans="1:5" x14ac:dyDescent="0.25">
      <c r="A486" s="11" t="s">
        <v>326</v>
      </c>
      <c r="B486" s="11" t="s">
        <v>24</v>
      </c>
      <c r="C486" s="11" t="s">
        <v>44</v>
      </c>
      <c r="D486" s="12">
        <v>166</v>
      </c>
      <c r="E486" s="13">
        <v>13</v>
      </c>
    </row>
    <row r="487" spans="1:5" x14ac:dyDescent="0.25">
      <c r="A487" s="11" t="s">
        <v>793</v>
      </c>
      <c r="B487" s="11" t="s">
        <v>26</v>
      </c>
      <c r="C487" s="11" t="s">
        <v>66</v>
      </c>
      <c r="D487" s="12">
        <v>166</v>
      </c>
      <c r="E487" s="13">
        <v>0</v>
      </c>
    </row>
    <row r="488" spans="1:5" x14ac:dyDescent="0.25">
      <c r="A488" s="11" t="s">
        <v>879</v>
      </c>
      <c r="B488" s="11" t="s">
        <v>24</v>
      </c>
      <c r="C488" s="11" t="s">
        <v>39</v>
      </c>
      <c r="D488" s="12">
        <v>166</v>
      </c>
      <c r="E488" s="13">
        <v>1</v>
      </c>
    </row>
    <row r="489" spans="1:5" x14ac:dyDescent="0.25">
      <c r="A489" s="11" t="s">
        <v>1094</v>
      </c>
      <c r="B489" s="11" t="s">
        <v>24</v>
      </c>
      <c r="C489" s="11" t="s">
        <v>5</v>
      </c>
      <c r="D489" s="12">
        <v>166</v>
      </c>
      <c r="E489" s="13">
        <v>2</v>
      </c>
    </row>
    <row r="490" spans="1:5" x14ac:dyDescent="0.25">
      <c r="A490" s="11" t="s">
        <v>1901</v>
      </c>
      <c r="B490" s="11" t="s">
        <v>26</v>
      </c>
      <c r="C490" s="11" t="s">
        <v>44</v>
      </c>
      <c r="D490" s="12">
        <v>166</v>
      </c>
      <c r="E490" s="13">
        <v>0</v>
      </c>
    </row>
    <row r="491" spans="1:5" x14ac:dyDescent="0.25">
      <c r="A491" s="11" t="s">
        <v>1944</v>
      </c>
      <c r="B491" s="11" t="s">
        <v>24</v>
      </c>
      <c r="C491" s="11" t="s">
        <v>39</v>
      </c>
      <c r="D491" s="12">
        <v>166</v>
      </c>
      <c r="E491" s="13">
        <v>7</v>
      </c>
    </row>
    <row r="492" spans="1:5" x14ac:dyDescent="0.25">
      <c r="A492" s="11" t="s">
        <v>79</v>
      </c>
      <c r="B492" s="11" t="s">
        <v>24</v>
      </c>
      <c r="C492" s="11" t="s">
        <v>28</v>
      </c>
      <c r="D492" s="12">
        <v>167</v>
      </c>
      <c r="E492" s="13">
        <v>1</v>
      </c>
    </row>
    <row r="493" spans="1:5" x14ac:dyDescent="0.25">
      <c r="A493" s="11" t="s">
        <v>482</v>
      </c>
      <c r="B493" s="11" t="s">
        <v>20</v>
      </c>
      <c r="C493" s="11" t="s">
        <v>25</v>
      </c>
      <c r="D493" s="12">
        <v>167</v>
      </c>
      <c r="E493" s="13">
        <v>7</v>
      </c>
    </row>
    <row r="494" spans="1:5" x14ac:dyDescent="0.25">
      <c r="A494" s="11" t="s">
        <v>1228</v>
      </c>
      <c r="B494" s="11" t="s">
        <v>24</v>
      </c>
      <c r="C494" s="11" t="s">
        <v>39</v>
      </c>
      <c r="D494" s="12">
        <v>167</v>
      </c>
      <c r="E494" s="13">
        <v>2</v>
      </c>
    </row>
    <row r="495" spans="1:5" x14ac:dyDescent="0.25">
      <c r="A495" s="11" t="s">
        <v>36</v>
      </c>
      <c r="B495" s="11" t="s">
        <v>24</v>
      </c>
      <c r="C495" s="11" t="s">
        <v>28</v>
      </c>
      <c r="D495" s="12">
        <v>168</v>
      </c>
      <c r="E495" s="13">
        <v>1</v>
      </c>
    </row>
    <row r="496" spans="1:5" x14ac:dyDescent="0.25">
      <c r="A496" s="11" t="s">
        <v>566</v>
      </c>
      <c r="B496" s="11" t="s">
        <v>20</v>
      </c>
      <c r="C496" s="11" t="s">
        <v>30</v>
      </c>
      <c r="D496" s="12">
        <v>168</v>
      </c>
      <c r="E496" s="13">
        <v>8</v>
      </c>
    </row>
    <row r="497" spans="1:5" x14ac:dyDescent="0.25">
      <c r="A497" s="11" t="s">
        <v>1283</v>
      </c>
      <c r="B497" s="11" t="s">
        <v>26</v>
      </c>
      <c r="C497" s="11" t="s">
        <v>30</v>
      </c>
      <c r="D497" s="12">
        <v>168</v>
      </c>
      <c r="E497" s="13">
        <v>1</v>
      </c>
    </row>
    <row r="498" spans="1:5" x14ac:dyDescent="0.25">
      <c r="A498" s="11" t="s">
        <v>1631</v>
      </c>
      <c r="B498" s="11" t="s">
        <v>26</v>
      </c>
      <c r="C498" s="11" t="s">
        <v>33</v>
      </c>
      <c r="D498" s="12">
        <v>168</v>
      </c>
      <c r="E498" s="13">
        <v>0</v>
      </c>
    </row>
    <row r="499" spans="1:5" x14ac:dyDescent="0.25">
      <c r="A499" s="11" t="s">
        <v>1689</v>
      </c>
      <c r="B499" s="11" t="s">
        <v>24</v>
      </c>
      <c r="C499" s="11" t="s">
        <v>39</v>
      </c>
      <c r="D499" s="12">
        <v>168</v>
      </c>
      <c r="E499" s="13">
        <v>0</v>
      </c>
    </row>
    <row r="500" spans="1:5" x14ac:dyDescent="0.25">
      <c r="A500" s="11" t="s">
        <v>1756</v>
      </c>
      <c r="B500" s="11" t="s">
        <v>24</v>
      </c>
      <c r="C500" s="11" t="s">
        <v>62</v>
      </c>
      <c r="D500" s="12">
        <v>168</v>
      </c>
      <c r="E500" s="13">
        <v>0</v>
      </c>
    </row>
    <row r="501" spans="1:5" x14ac:dyDescent="0.25">
      <c r="A501" s="11" t="s">
        <v>1803</v>
      </c>
      <c r="B501" s="11" t="s">
        <v>24</v>
      </c>
      <c r="C501" s="11" t="s">
        <v>44</v>
      </c>
      <c r="D501" s="12">
        <v>168</v>
      </c>
      <c r="E501" s="13">
        <v>1</v>
      </c>
    </row>
    <row r="502" spans="1:5" x14ac:dyDescent="0.25">
      <c r="A502" s="11" t="s">
        <v>263</v>
      </c>
      <c r="B502" s="11" t="s">
        <v>26</v>
      </c>
      <c r="C502" s="11" t="s">
        <v>27</v>
      </c>
      <c r="D502" s="12">
        <v>169</v>
      </c>
      <c r="E502" s="13">
        <v>1</v>
      </c>
    </row>
    <row r="503" spans="1:5" x14ac:dyDescent="0.25">
      <c r="A503" s="11" t="s">
        <v>474</v>
      </c>
      <c r="B503" s="11" t="s">
        <v>20</v>
      </c>
      <c r="C503" s="11" t="s">
        <v>44</v>
      </c>
      <c r="D503" s="12">
        <v>169</v>
      </c>
      <c r="E503" s="13">
        <v>9</v>
      </c>
    </row>
    <row r="504" spans="1:5" x14ac:dyDescent="0.25">
      <c r="A504" s="11" t="s">
        <v>766</v>
      </c>
      <c r="B504" s="11" t="s">
        <v>20</v>
      </c>
      <c r="C504" s="11" t="s">
        <v>40</v>
      </c>
      <c r="D504" s="12">
        <v>169</v>
      </c>
      <c r="E504" s="13">
        <v>2</v>
      </c>
    </row>
    <row r="505" spans="1:5" x14ac:dyDescent="0.25">
      <c r="A505" s="11" t="s">
        <v>1714</v>
      </c>
      <c r="B505" s="11" t="s">
        <v>20</v>
      </c>
      <c r="C505" s="11" t="s">
        <v>66</v>
      </c>
      <c r="D505" s="12">
        <v>169</v>
      </c>
      <c r="E505" s="13">
        <v>7</v>
      </c>
    </row>
    <row r="506" spans="1:5" x14ac:dyDescent="0.25">
      <c r="A506" s="11" t="s">
        <v>123</v>
      </c>
      <c r="B506" s="11" t="s">
        <v>24</v>
      </c>
      <c r="C506" s="11" t="s">
        <v>21</v>
      </c>
      <c r="D506" s="12">
        <v>170</v>
      </c>
      <c r="E506" s="13">
        <v>0</v>
      </c>
    </row>
    <row r="507" spans="1:5" x14ac:dyDescent="0.25">
      <c r="A507" s="11" t="s">
        <v>585</v>
      </c>
      <c r="B507" s="11" t="s">
        <v>24</v>
      </c>
      <c r="C507" s="11" t="s">
        <v>27</v>
      </c>
      <c r="D507" s="12">
        <v>170</v>
      </c>
      <c r="E507" s="13">
        <v>2</v>
      </c>
    </row>
    <row r="508" spans="1:5" x14ac:dyDescent="0.25">
      <c r="A508" s="11" t="s">
        <v>588</v>
      </c>
      <c r="B508" s="11" t="s">
        <v>20</v>
      </c>
      <c r="C508" s="11" t="s">
        <v>39</v>
      </c>
      <c r="D508" s="12">
        <v>170</v>
      </c>
      <c r="E508" s="13">
        <v>0</v>
      </c>
    </row>
    <row r="509" spans="1:5" x14ac:dyDescent="0.25">
      <c r="A509" s="11" t="s">
        <v>923</v>
      </c>
      <c r="B509" s="11" t="s">
        <v>26</v>
      </c>
      <c r="C509" s="11" t="s">
        <v>40</v>
      </c>
      <c r="D509" s="12">
        <v>170</v>
      </c>
      <c r="E509" s="13">
        <v>7</v>
      </c>
    </row>
    <row r="510" spans="1:5" x14ac:dyDescent="0.25">
      <c r="A510" s="11" t="s">
        <v>1759</v>
      </c>
      <c r="B510" s="11" t="s">
        <v>26</v>
      </c>
      <c r="C510" s="11" t="s">
        <v>111</v>
      </c>
      <c r="D510" s="12">
        <v>170</v>
      </c>
      <c r="E510" s="13">
        <v>0</v>
      </c>
    </row>
    <row r="511" spans="1:5" x14ac:dyDescent="0.25">
      <c r="A511" s="11" t="s">
        <v>1961</v>
      </c>
      <c r="B511" s="11" t="s">
        <v>26</v>
      </c>
      <c r="C511" s="11" t="s">
        <v>39</v>
      </c>
      <c r="D511" s="12">
        <v>170</v>
      </c>
      <c r="E511" s="13">
        <v>0</v>
      </c>
    </row>
    <row r="512" spans="1:5" x14ac:dyDescent="0.25">
      <c r="A512" s="11" t="s">
        <v>235</v>
      </c>
      <c r="B512" s="11" t="s">
        <v>26</v>
      </c>
      <c r="C512" s="11" t="s">
        <v>111</v>
      </c>
      <c r="D512" s="12">
        <v>171</v>
      </c>
      <c r="E512" s="13">
        <v>0</v>
      </c>
    </row>
    <row r="513" spans="1:5" x14ac:dyDescent="0.25">
      <c r="A513" s="11" t="s">
        <v>638</v>
      </c>
      <c r="B513" s="11" t="s">
        <v>24</v>
      </c>
      <c r="C513" s="11" t="s">
        <v>44</v>
      </c>
      <c r="D513" s="12">
        <v>171</v>
      </c>
      <c r="E513" s="13">
        <v>0</v>
      </c>
    </row>
    <row r="514" spans="1:5" x14ac:dyDescent="0.25">
      <c r="A514" s="11" t="s">
        <v>773</v>
      </c>
      <c r="B514" s="11" t="s">
        <v>26</v>
      </c>
      <c r="C514" s="11" t="s">
        <v>44</v>
      </c>
      <c r="D514" s="12">
        <v>171</v>
      </c>
      <c r="E514" s="13">
        <v>1</v>
      </c>
    </row>
    <row r="515" spans="1:5" x14ac:dyDescent="0.25">
      <c r="A515" s="11" t="s">
        <v>899</v>
      </c>
      <c r="B515" s="11" t="s">
        <v>26</v>
      </c>
      <c r="C515" s="11" t="s">
        <v>111</v>
      </c>
      <c r="D515" s="12">
        <v>171</v>
      </c>
      <c r="E515" s="13">
        <v>3</v>
      </c>
    </row>
    <row r="516" spans="1:5" x14ac:dyDescent="0.25">
      <c r="A516" s="11" t="s">
        <v>1135</v>
      </c>
      <c r="B516" s="11" t="s">
        <v>26</v>
      </c>
      <c r="C516" s="11" t="s">
        <v>43</v>
      </c>
      <c r="D516" s="12">
        <v>171</v>
      </c>
      <c r="E516" s="13">
        <v>0</v>
      </c>
    </row>
    <row r="517" spans="1:5" x14ac:dyDescent="0.25">
      <c r="A517" s="11" t="s">
        <v>1183</v>
      </c>
      <c r="B517" s="11" t="s">
        <v>26</v>
      </c>
      <c r="C517" s="11" t="s">
        <v>5</v>
      </c>
      <c r="D517" s="12">
        <v>171</v>
      </c>
      <c r="E517" s="13">
        <v>2</v>
      </c>
    </row>
    <row r="518" spans="1:5" x14ac:dyDescent="0.25">
      <c r="A518" s="11" t="s">
        <v>1558</v>
      </c>
      <c r="B518" s="11" t="s">
        <v>24</v>
      </c>
      <c r="C518" s="11" t="s">
        <v>28</v>
      </c>
      <c r="D518" s="12">
        <v>171</v>
      </c>
      <c r="E518" s="13">
        <v>0</v>
      </c>
    </row>
    <row r="519" spans="1:5" x14ac:dyDescent="0.25">
      <c r="A519" s="11" t="s">
        <v>1834</v>
      </c>
      <c r="B519" s="11" t="s">
        <v>24</v>
      </c>
      <c r="C519" s="11" t="s">
        <v>5</v>
      </c>
      <c r="D519" s="12">
        <v>171</v>
      </c>
      <c r="E519" s="13">
        <v>3</v>
      </c>
    </row>
    <row r="520" spans="1:5" x14ac:dyDescent="0.25">
      <c r="A520" s="11" t="s">
        <v>590</v>
      </c>
      <c r="B520" s="11" t="s">
        <v>20</v>
      </c>
      <c r="C520" s="11" t="s">
        <v>44</v>
      </c>
      <c r="D520" s="12">
        <v>172</v>
      </c>
      <c r="E520" s="13">
        <v>7</v>
      </c>
    </row>
    <row r="521" spans="1:5" x14ac:dyDescent="0.25">
      <c r="A521" s="11" t="s">
        <v>1568</v>
      </c>
      <c r="B521" s="11" t="s">
        <v>26</v>
      </c>
      <c r="C521" s="11" t="s">
        <v>28</v>
      </c>
      <c r="D521" s="12">
        <v>173</v>
      </c>
      <c r="E521" s="13">
        <v>0</v>
      </c>
    </row>
    <row r="522" spans="1:5" x14ac:dyDescent="0.25">
      <c r="A522" s="11" t="s">
        <v>1887</v>
      </c>
      <c r="B522" s="11" t="s">
        <v>20</v>
      </c>
      <c r="C522" s="11" t="s">
        <v>5</v>
      </c>
      <c r="D522" s="12">
        <v>173</v>
      </c>
      <c r="E522" s="13">
        <v>0</v>
      </c>
    </row>
    <row r="523" spans="1:5" x14ac:dyDescent="0.25">
      <c r="A523" s="11" t="s">
        <v>272</v>
      </c>
      <c r="B523" s="11" t="s">
        <v>26</v>
      </c>
      <c r="C523" s="11" t="s">
        <v>43</v>
      </c>
      <c r="D523" s="12">
        <v>174</v>
      </c>
      <c r="E523" s="13">
        <v>0</v>
      </c>
    </row>
    <row r="524" spans="1:5" x14ac:dyDescent="0.25">
      <c r="A524" s="11" t="s">
        <v>791</v>
      </c>
      <c r="B524" s="11" t="s">
        <v>26</v>
      </c>
      <c r="C524" s="11" t="s">
        <v>22</v>
      </c>
      <c r="D524" s="12">
        <v>174</v>
      </c>
      <c r="E524" s="13">
        <v>0</v>
      </c>
    </row>
    <row r="525" spans="1:5" x14ac:dyDescent="0.25">
      <c r="A525" s="11" t="s">
        <v>113</v>
      </c>
      <c r="B525" s="11" t="s">
        <v>24</v>
      </c>
      <c r="C525" s="11" t="s">
        <v>53</v>
      </c>
      <c r="D525" s="12">
        <v>175</v>
      </c>
      <c r="E525" s="13">
        <v>0</v>
      </c>
    </row>
    <row r="526" spans="1:5" x14ac:dyDescent="0.25">
      <c r="A526" s="11" t="s">
        <v>1293</v>
      </c>
      <c r="B526" s="11" t="s">
        <v>20</v>
      </c>
      <c r="C526" s="11" t="s">
        <v>30</v>
      </c>
      <c r="D526" s="12">
        <v>175</v>
      </c>
      <c r="E526" s="13">
        <v>2</v>
      </c>
    </row>
    <row r="527" spans="1:5" x14ac:dyDescent="0.25">
      <c r="A527" s="11" t="s">
        <v>225</v>
      </c>
      <c r="B527" s="11" t="s">
        <v>20</v>
      </c>
      <c r="C527" s="11" t="s">
        <v>30</v>
      </c>
      <c r="D527" s="12">
        <v>176</v>
      </c>
      <c r="E527" s="13">
        <v>1</v>
      </c>
    </row>
    <row r="528" spans="1:5" x14ac:dyDescent="0.25">
      <c r="A528" s="11" t="s">
        <v>318</v>
      </c>
      <c r="B528" s="11" t="s">
        <v>20</v>
      </c>
      <c r="C528" s="11" t="s">
        <v>25</v>
      </c>
      <c r="D528" s="12">
        <v>176</v>
      </c>
      <c r="E528" s="13">
        <v>7</v>
      </c>
    </row>
    <row r="529" spans="1:5" x14ac:dyDescent="0.25">
      <c r="A529" s="11" t="s">
        <v>405</v>
      </c>
      <c r="B529" s="11" t="s">
        <v>20</v>
      </c>
      <c r="C529" s="11" t="s">
        <v>25</v>
      </c>
      <c r="D529" s="12">
        <v>176</v>
      </c>
      <c r="E529" s="13">
        <v>9</v>
      </c>
    </row>
    <row r="530" spans="1:5" x14ac:dyDescent="0.25">
      <c r="A530" s="11" t="s">
        <v>1471</v>
      </c>
      <c r="B530" s="11" t="s">
        <v>20</v>
      </c>
      <c r="C530" s="11" t="s">
        <v>27</v>
      </c>
      <c r="D530" s="12">
        <v>176</v>
      </c>
      <c r="E530" s="13">
        <v>0</v>
      </c>
    </row>
    <row r="531" spans="1:5" x14ac:dyDescent="0.25">
      <c r="A531" s="11" t="s">
        <v>1585</v>
      </c>
      <c r="B531" s="11" t="s">
        <v>20</v>
      </c>
      <c r="C531" s="11" t="s">
        <v>22</v>
      </c>
      <c r="D531" s="12">
        <v>176</v>
      </c>
      <c r="E531" s="13">
        <v>0</v>
      </c>
    </row>
    <row r="532" spans="1:5" x14ac:dyDescent="0.25">
      <c r="A532" s="11" t="s">
        <v>170</v>
      </c>
      <c r="B532" s="11" t="s">
        <v>26</v>
      </c>
      <c r="C532" s="11" t="s">
        <v>53</v>
      </c>
      <c r="D532" s="12">
        <v>177</v>
      </c>
      <c r="E532" s="13">
        <v>0</v>
      </c>
    </row>
    <row r="533" spans="1:5" x14ac:dyDescent="0.25">
      <c r="A533" s="11" t="s">
        <v>732</v>
      </c>
      <c r="B533" s="11" t="s">
        <v>26</v>
      </c>
      <c r="C533" s="11" t="s">
        <v>44</v>
      </c>
      <c r="D533" s="12">
        <v>177</v>
      </c>
      <c r="E533" s="13">
        <v>7</v>
      </c>
    </row>
    <row r="534" spans="1:5" x14ac:dyDescent="0.25">
      <c r="A534" s="11" t="s">
        <v>1367</v>
      </c>
      <c r="B534" s="11" t="s">
        <v>24</v>
      </c>
      <c r="C534" s="11" t="s">
        <v>40</v>
      </c>
      <c r="D534" s="12">
        <v>177</v>
      </c>
      <c r="E534" s="13">
        <v>3</v>
      </c>
    </row>
    <row r="535" spans="1:5" x14ac:dyDescent="0.25">
      <c r="A535" s="11" t="s">
        <v>1876</v>
      </c>
      <c r="B535" s="11" t="s">
        <v>26</v>
      </c>
      <c r="C535" s="11" t="s">
        <v>44</v>
      </c>
      <c r="D535" s="12">
        <v>177</v>
      </c>
      <c r="E535" s="13">
        <v>1</v>
      </c>
    </row>
    <row r="536" spans="1:5" x14ac:dyDescent="0.25">
      <c r="A536" s="11" t="s">
        <v>562</v>
      </c>
      <c r="B536" s="11" t="s">
        <v>26</v>
      </c>
      <c r="C536" s="11" t="s">
        <v>5</v>
      </c>
      <c r="D536" s="12">
        <v>178</v>
      </c>
      <c r="E536" s="13">
        <v>12</v>
      </c>
    </row>
    <row r="537" spans="1:5" x14ac:dyDescent="0.25">
      <c r="A537" s="11" t="s">
        <v>1747</v>
      </c>
      <c r="B537" s="11" t="s">
        <v>20</v>
      </c>
      <c r="C537" s="11" t="s">
        <v>39</v>
      </c>
      <c r="D537" s="12">
        <v>178</v>
      </c>
      <c r="E537" s="13">
        <v>0</v>
      </c>
    </row>
    <row r="538" spans="1:5" x14ac:dyDescent="0.25">
      <c r="A538" s="11" t="s">
        <v>381</v>
      </c>
      <c r="B538" s="11" t="s">
        <v>26</v>
      </c>
      <c r="C538" s="11" t="s">
        <v>66</v>
      </c>
      <c r="D538" s="12">
        <v>179</v>
      </c>
      <c r="E538" s="13">
        <v>1</v>
      </c>
    </row>
    <row r="539" spans="1:5" x14ac:dyDescent="0.25">
      <c r="A539" s="11" t="s">
        <v>852</v>
      </c>
      <c r="B539" s="11" t="s">
        <v>26</v>
      </c>
      <c r="C539" s="11" t="s">
        <v>32</v>
      </c>
      <c r="D539" s="12">
        <v>180</v>
      </c>
      <c r="E539" s="13">
        <v>1</v>
      </c>
    </row>
    <row r="540" spans="1:5" x14ac:dyDescent="0.25">
      <c r="A540" s="11" t="s">
        <v>953</v>
      </c>
      <c r="B540" s="11" t="s">
        <v>24</v>
      </c>
      <c r="C540" s="11" t="s">
        <v>33</v>
      </c>
      <c r="D540" s="12">
        <v>180</v>
      </c>
      <c r="E540" s="13">
        <v>2</v>
      </c>
    </row>
    <row r="541" spans="1:5" x14ac:dyDescent="0.25">
      <c r="A541" s="11" t="s">
        <v>1565</v>
      </c>
      <c r="B541" s="11" t="s">
        <v>20</v>
      </c>
      <c r="C541" s="11" t="s">
        <v>5</v>
      </c>
      <c r="D541" s="12">
        <v>181</v>
      </c>
      <c r="E541" s="13">
        <v>0</v>
      </c>
    </row>
    <row r="542" spans="1:5" x14ac:dyDescent="0.25">
      <c r="A542" s="11" t="s">
        <v>1929</v>
      </c>
      <c r="B542" s="11" t="s">
        <v>20</v>
      </c>
      <c r="C542" s="11" t="s">
        <v>5</v>
      </c>
      <c r="D542" s="12">
        <v>181</v>
      </c>
      <c r="E542" s="13">
        <v>4</v>
      </c>
    </row>
    <row r="543" spans="1:5" x14ac:dyDescent="0.25">
      <c r="A543" s="11" t="s">
        <v>805</v>
      </c>
      <c r="B543" s="11" t="s">
        <v>26</v>
      </c>
      <c r="C543" s="11" t="s">
        <v>62</v>
      </c>
      <c r="D543" s="12">
        <v>182</v>
      </c>
      <c r="E543" s="13">
        <v>0</v>
      </c>
    </row>
    <row r="544" spans="1:5" x14ac:dyDescent="0.25">
      <c r="A544" s="11" t="s">
        <v>1084</v>
      </c>
      <c r="B544" s="11" t="s">
        <v>20</v>
      </c>
      <c r="C544" s="11" t="s">
        <v>111</v>
      </c>
      <c r="D544" s="12">
        <v>182</v>
      </c>
      <c r="E544" s="13">
        <v>0</v>
      </c>
    </row>
    <row r="545" spans="1:5" x14ac:dyDescent="0.25">
      <c r="A545" s="11" t="s">
        <v>174</v>
      </c>
      <c r="B545" s="11" t="s">
        <v>20</v>
      </c>
      <c r="C545" s="11" t="s">
        <v>32</v>
      </c>
      <c r="D545" s="12">
        <v>183</v>
      </c>
      <c r="E545" s="13">
        <v>2</v>
      </c>
    </row>
    <row r="546" spans="1:5" x14ac:dyDescent="0.25">
      <c r="A546" s="11" t="s">
        <v>1163</v>
      </c>
      <c r="B546" s="11" t="s">
        <v>26</v>
      </c>
      <c r="C546" s="11" t="s">
        <v>30</v>
      </c>
      <c r="D546" s="12">
        <v>183</v>
      </c>
      <c r="E546" s="13">
        <v>0</v>
      </c>
    </row>
    <row r="547" spans="1:5" x14ac:dyDescent="0.25">
      <c r="A547" s="11" t="s">
        <v>1765</v>
      </c>
      <c r="B547" s="11" t="s">
        <v>24</v>
      </c>
      <c r="C547" s="11" t="s">
        <v>44</v>
      </c>
      <c r="D547" s="12">
        <v>183</v>
      </c>
      <c r="E547" s="13">
        <v>0</v>
      </c>
    </row>
    <row r="548" spans="1:5" x14ac:dyDescent="0.25">
      <c r="A548" s="11" t="s">
        <v>121</v>
      </c>
      <c r="B548" s="11" t="s">
        <v>24</v>
      </c>
      <c r="C548" s="11" t="s">
        <v>44</v>
      </c>
      <c r="D548" s="12">
        <v>184</v>
      </c>
      <c r="E548" s="13">
        <v>0</v>
      </c>
    </row>
    <row r="549" spans="1:5" x14ac:dyDescent="0.25">
      <c r="A549" s="11" t="s">
        <v>172</v>
      </c>
      <c r="B549" s="11" t="s">
        <v>20</v>
      </c>
      <c r="C549" s="11" t="s">
        <v>39</v>
      </c>
      <c r="D549" s="12">
        <v>184</v>
      </c>
      <c r="E549" s="13">
        <v>0</v>
      </c>
    </row>
    <row r="550" spans="1:5" x14ac:dyDescent="0.25">
      <c r="A550" s="11" t="s">
        <v>1255</v>
      </c>
      <c r="B550" s="11" t="s">
        <v>20</v>
      </c>
      <c r="C550" s="11" t="s">
        <v>40</v>
      </c>
      <c r="D550" s="12">
        <v>184</v>
      </c>
      <c r="E550" s="13">
        <v>2</v>
      </c>
    </row>
    <row r="551" spans="1:5" x14ac:dyDescent="0.25">
      <c r="A551" s="11" t="s">
        <v>1713</v>
      </c>
      <c r="B551" s="11" t="s">
        <v>26</v>
      </c>
      <c r="C551" s="11" t="s">
        <v>39</v>
      </c>
      <c r="D551" s="12">
        <v>184</v>
      </c>
      <c r="E551" s="13">
        <v>5</v>
      </c>
    </row>
    <row r="552" spans="1:5" x14ac:dyDescent="0.25">
      <c r="A552" s="11" t="s">
        <v>1736</v>
      </c>
      <c r="B552" s="11" t="s">
        <v>26</v>
      </c>
      <c r="C552" s="11" t="s">
        <v>28</v>
      </c>
      <c r="D552" s="12">
        <v>184</v>
      </c>
      <c r="E552" s="13">
        <v>1</v>
      </c>
    </row>
    <row r="553" spans="1:5" x14ac:dyDescent="0.25">
      <c r="A553" s="11" t="s">
        <v>1382</v>
      </c>
      <c r="B553" s="11" t="s">
        <v>26</v>
      </c>
      <c r="C553" s="11" t="s">
        <v>33</v>
      </c>
      <c r="D553" s="12">
        <v>185</v>
      </c>
      <c r="E553" s="13">
        <v>0</v>
      </c>
    </row>
    <row r="554" spans="1:5" x14ac:dyDescent="0.25">
      <c r="A554" s="11" t="s">
        <v>228</v>
      </c>
      <c r="B554" s="11" t="s">
        <v>24</v>
      </c>
      <c r="C554" s="11" t="s">
        <v>39</v>
      </c>
      <c r="D554" s="12">
        <v>186</v>
      </c>
      <c r="E554" s="13">
        <v>3</v>
      </c>
    </row>
    <row r="555" spans="1:5" x14ac:dyDescent="0.25">
      <c r="A555" s="11" t="s">
        <v>265</v>
      </c>
      <c r="B555" s="11" t="s">
        <v>24</v>
      </c>
      <c r="C555" s="11" t="s">
        <v>21</v>
      </c>
      <c r="D555" s="12">
        <v>186</v>
      </c>
      <c r="E555" s="13">
        <v>3</v>
      </c>
    </row>
    <row r="556" spans="1:5" x14ac:dyDescent="0.25">
      <c r="A556" s="11" t="s">
        <v>846</v>
      </c>
      <c r="B556" s="11" t="s">
        <v>26</v>
      </c>
      <c r="C556" s="11" t="s">
        <v>111</v>
      </c>
      <c r="D556" s="12">
        <v>186</v>
      </c>
      <c r="E556" s="13">
        <v>0</v>
      </c>
    </row>
    <row r="557" spans="1:5" x14ac:dyDescent="0.25">
      <c r="A557" s="11" t="s">
        <v>347</v>
      </c>
      <c r="B557" s="11" t="s">
        <v>26</v>
      </c>
      <c r="C557" s="11" t="s">
        <v>111</v>
      </c>
      <c r="D557" s="12">
        <v>187</v>
      </c>
      <c r="E557" s="13">
        <v>1</v>
      </c>
    </row>
    <row r="558" spans="1:5" x14ac:dyDescent="0.25">
      <c r="A558" s="11" t="s">
        <v>845</v>
      </c>
      <c r="B558" s="11" t="s">
        <v>20</v>
      </c>
      <c r="C558" s="11" t="s">
        <v>28</v>
      </c>
      <c r="D558" s="12">
        <v>187</v>
      </c>
      <c r="E558" s="13">
        <v>3</v>
      </c>
    </row>
    <row r="559" spans="1:5" x14ac:dyDescent="0.25">
      <c r="A559" s="11" t="s">
        <v>871</v>
      </c>
      <c r="B559" s="11" t="s">
        <v>24</v>
      </c>
      <c r="C559" s="11" t="s">
        <v>21</v>
      </c>
      <c r="D559" s="12">
        <v>187</v>
      </c>
      <c r="E559" s="13">
        <v>2</v>
      </c>
    </row>
    <row r="560" spans="1:5" x14ac:dyDescent="0.25">
      <c r="A560" s="11" t="s">
        <v>188</v>
      </c>
      <c r="B560" s="11" t="s">
        <v>20</v>
      </c>
      <c r="C560" s="11" t="s">
        <v>34</v>
      </c>
      <c r="D560" s="12">
        <v>188</v>
      </c>
      <c r="E560" s="13">
        <v>7</v>
      </c>
    </row>
    <row r="561" spans="1:5" x14ac:dyDescent="0.25">
      <c r="A561" s="11" t="s">
        <v>567</v>
      </c>
      <c r="B561" s="11" t="s">
        <v>24</v>
      </c>
      <c r="C561" s="11" t="s">
        <v>44</v>
      </c>
      <c r="D561" s="12">
        <v>188</v>
      </c>
      <c r="E561" s="13">
        <v>4</v>
      </c>
    </row>
    <row r="562" spans="1:5" x14ac:dyDescent="0.25">
      <c r="A562" s="11" t="s">
        <v>1370</v>
      </c>
      <c r="B562" s="11" t="s">
        <v>20</v>
      </c>
      <c r="C562" s="11" t="s">
        <v>28</v>
      </c>
      <c r="D562" s="12">
        <v>188</v>
      </c>
      <c r="E562" s="13">
        <v>1</v>
      </c>
    </row>
    <row r="563" spans="1:5" x14ac:dyDescent="0.25">
      <c r="A563" s="11" t="s">
        <v>1456</v>
      </c>
      <c r="B563" s="11" t="s">
        <v>24</v>
      </c>
      <c r="C563" s="11" t="s">
        <v>5</v>
      </c>
      <c r="D563" s="12">
        <v>188</v>
      </c>
      <c r="E563" s="13">
        <v>1</v>
      </c>
    </row>
    <row r="564" spans="1:5" x14ac:dyDescent="0.25">
      <c r="A564" s="11" t="s">
        <v>1547</v>
      </c>
      <c r="B564" s="11" t="s">
        <v>24</v>
      </c>
      <c r="C564" s="11" t="s">
        <v>27</v>
      </c>
      <c r="D564" s="12">
        <v>188</v>
      </c>
      <c r="E564" s="13">
        <v>1</v>
      </c>
    </row>
    <row r="565" spans="1:5" x14ac:dyDescent="0.25">
      <c r="A565" s="11" t="s">
        <v>279</v>
      </c>
      <c r="B565" s="11" t="s">
        <v>26</v>
      </c>
      <c r="C565" s="11" t="s">
        <v>21</v>
      </c>
      <c r="D565" s="12">
        <v>189</v>
      </c>
      <c r="E565" s="13">
        <v>0</v>
      </c>
    </row>
    <row r="566" spans="1:5" x14ac:dyDescent="0.25">
      <c r="A566" s="11" t="s">
        <v>1090</v>
      </c>
      <c r="B566" s="11" t="s">
        <v>26</v>
      </c>
      <c r="C566" s="11" t="s">
        <v>21</v>
      </c>
      <c r="D566" s="12">
        <v>189</v>
      </c>
      <c r="E566" s="13">
        <v>1</v>
      </c>
    </row>
    <row r="567" spans="1:5" x14ac:dyDescent="0.25">
      <c r="A567" s="11" t="s">
        <v>1839</v>
      </c>
      <c r="B567" s="11" t="s">
        <v>20</v>
      </c>
      <c r="C567" s="11" t="s">
        <v>66</v>
      </c>
      <c r="D567" s="12">
        <v>189</v>
      </c>
      <c r="E567" s="13">
        <v>2</v>
      </c>
    </row>
    <row r="568" spans="1:5" x14ac:dyDescent="0.25">
      <c r="A568" s="11" t="s">
        <v>1924</v>
      </c>
      <c r="B568" s="11" t="s">
        <v>26</v>
      </c>
      <c r="C568" s="11" t="s">
        <v>40</v>
      </c>
      <c r="D568" s="12">
        <v>189</v>
      </c>
      <c r="E568" s="13">
        <v>1</v>
      </c>
    </row>
    <row r="569" spans="1:5" x14ac:dyDescent="0.25">
      <c r="A569" s="11" t="s">
        <v>441</v>
      </c>
      <c r="B569" s="11" t="s">
        <v>24</v>
      </c>
      <c r="C569" s="11" t="s">
        <v>66</v>
      </c>
      <c r="D569" s="12">
        <v>190</v>
      </c>
      <c r="E569" s="13">
        <v>0</v>
      </c>
    </row>
    <row r="570" spans="1:5" x14ac:dyDescent="0.25">
      <c r="A570" s="11" t="s">
        <v>1481</v>
      </c>
      <c r="B570" s="11" t="s">
        <v>20</v>
      </c>
      <c r="C570" s="11" t="s">
        <v>39</v>
      </c>
      <c r="D570" s="12">
        <v>190</v>
      </c>
      <c r="E570" s="13">
        <v>1</v>
      </c>
    </row>
    <row r="571" spans="1:5" x14ac:dyDescent="0.25">
      <c r="A571" s="11" t="s">
        <v>1263</v>
      </c>
      <c r="B571" s="11" t="s">
        <v>24</v>
      </c>
      <c r="C571" s="11" t="s">
        <v>28</v>
      </c>
      <c r="D571" s="12">
        <v>191</v>
      </c>
      <c r="E571" s="13">
        <v>1</v>
      </c>
    </row>
    <row r="572" spans="1:5" x14ac:dyDescent="0.25">
      <c r="A572" s="11" t="s">
        <v>454</v>
      </c>
      <c r="B572" s="11" t="s">
        <v>24</v>
      </c>
      <c r="C572" s="11" t="s">
        <v>30</v>
      </c>
      <c r="D572" s="12">
        <v>192</v>
      </c>
      <c r="E572" s="13">
        <v>0</v>
      </c>
    </row>
    <row r="573" spans="1:5" x14ac:dyDescent="0.25">
      <c r="A573" s="11" t="s">
        <v>1118</v>
      </c>
      <c r="B573" s="11" t="s">
        <v>24</v>
      </c>
      <c r="C573" s="11" t="s">
        <v>30</v>
      </c>
      <c r="D573" s="12">
        <v>192</v>
      </c>
      <c r="E573" s="13">
        <v>5</v>
      </c>
    </row>
    <row r="574" spans="1:5" x14ac:dyDescent="0.25">
      <c r="A574" s="11" t="s">
        <v>1775</v>
      </c>
      <c r="B574" s="11" t="s">
        <v>24</v>
      </c>
      <c r="C574" s="11" t="s">
        <v>111</v>
      </c>
      <c r="D574" s="12">
        <v>192</v>
      </c>
      <c r="E574" s="13">
        <v>1</v>
      </c>
    </row>
    <row r="575" spans="1:5" x14ac:dyDescent="0.25">
      <c r="A575" s="11" t="s">
        <v>212</v>
      </c>
      <c r="B575" s="11" t="s">
        <v>24</v>
      </c>
      <c r="C575" s="11" t="s">
        <v>33</v>
      </c>
      <c r="D575" s="12">
        <v>193</v>
      </c>
      <c r="E575" s="13">
        <v>0</v>
      </c>
    </row>
    <row r="576" spans="1:5" x14ac:dyDescent="0.25">
      <c r="A576" s="11" t="s">
        <v>1640</v>
      </c>
      <c r="B576" s="11" t="s">
        <v>24</v>
      </c>
      <c r="C576" s="11" t="s">
        <v>66</v>
      </c>
      <c r="D576" s="12">
        <v>193</v>
      </c>
      <c r="E576" s="13">
        <v>2</v>
      </c>
    </row>
    <row r="577" spans="1:5" x14ac:dyDescent="0.25">
      <c r="A577" s="11" t="s">
        <v>1387</v>
      </c>
      <c r="B577" s="11" t="s">
        <v>24</v>
      </c>
      <c r="C577" s="11" t="s">
        <v>40</v>
      </c>
      <c r="D577" s="12">
        <v>194</v>
      </c>
      <c r="E577" s="13">
        <v>0</v>
      </c>
    </row>
    <row r="578" spans="1:5" x14ac:dyDescent="0.25">
      <c r="A578" s="11" t="s">
        <v>1677</v>
      </c>
      <c r="B578" s="11" t="s">
        <v>26</v>
      </c>
      <c r="C578" s="11" t="s">
        <v>27</v>
      </c>
      <c r="D578" s="12">
        <v>194</v>
      </c>
      <c r="E578" s="13">
        <v>0</v>
      </c>
    </row>
    <row r="579" spans="1:5" x14ac:dyDescent="0.25">
      <c r="A579" s="11" t="s">
        <v>526</v>
      </c>
      <c r="B579" s="11" t="s">
        <v>20</v>
      </c>
      <c r="C579" s="11" t="s">
        <v>30</v>
      </c>
      <c r="D579" s="12">
        <v>195</v>
      </c>
      <c r="E579" s="13">
        <v>8</v>
      </c>
    </row>
    <row r="580" spans="1:5" x14ac:dyDescent="0.25">
      <c r="A580" s="11" t="s">
        <v>1447</v>
      </c>
      <c r="B580" s="11" t="s">
        <v>24</v>
      </c>
      <c r="C580" s="11" t="s">
        <v>30</v>
      </c>
      <c r="D580" s="12">
        <v>195</v>
      </c>
      <c r="E580" s="13">
        <v>4</v>
      </c>
    </row>
    <row r="581" spans="1:5" x14ac:dyDescent="0.25">
      <c r="A581" s="11" t="s">
        <v>1114</v>
      </c>
      <c r="B581" s="11" t="s">
        <v>24</v>
      </c>
      <c r="C581" s="11" t="s">
        <v>44</v>
      </c>
      <c r="D581" s="12">
        <v>196</v>
      </c>
      <c r="E581" s="13">
        <v>1</v>
      </c>
    </row>
    <row r="582" spans="1:5" x14ac:dyDescent="0.25">
      <c r="A582" s="11" t="s">
        <v>1708</v>
      </c>
      <c r="B582" s="11" t="s">
        <v>26</v>
      </c>
      <c r="C582" s="11" t="s">
        <v>25</v>
      </c>
      <c r="D582" s="12">
        <v>196</v>
      </c>
      <c r="E582" s="13">
        <v>0</v>
      </c>
    </row>
    <row r="583" spans="1:5" x14ac:dyDescent="0.25">
      <c r="A583" s="11" t="s">
        <v>1918</v>
      </c>
      <c r="B583" s="11" t="s">
        <v>20</v>
      </c>
      <c r="C583" s="11" t="s">
        <v>44</v>
      </c>
      <c r="D583" s="12">
        <v>196</v>
      </c>
      <c r="E583" s="13">
        <v>0</v>
      </c>
    </row>
    <row r="584" spans="1:5" x14ac:dyDescent="0.25">
      <c r="A584" s="11" t="s">
        <v>1028</v>
      </c>
      <c r="B584" s="11" t="s">
        <v>24</v>
      </c>
      <c r="C584" s="11" t="s">
        <v>30</v>
      </c>
      <c r="D584" s="12">
        <v>197</v>
      </c>
      <c r="E584" s="13">
        <v>0</v>
      </c>
    </row>
    <row r="585" spans="1:5" x14ac:dyDescent="0.25">
      <c r="A585" s="11" t="s">
        <v>1688</v>
      </c>
      <c r="B585" s="11" t="s">
        <v>24</v>
      </c>
      <c r="C585" s="11" t="s">
        <v>32</v>
      </c>
      <c r="D585" s="12">
        <v>197</v>
      </c>
      <c r="E585" s="13">
        <v>2</v>
      </c>
    </row>
    <row r="586" spans="1:5" x14ac:dyDescent="0.25">
      <c r="A586" s="11" t="s">
        <v>525</v>
      </c>
      <c r="B586" s="11" t="s">
        <v>26</v>
      </c>
      <c r="C586" s="11" t="s">
        <v>5</v>
      </c>
      <c r="D586" s="12">
        <v>199</v>
      </c>
      <c r="E586" s="13">
        <v>0</v>
      </c>
    </row>
    <row r="587" spans="1:5" x14ac:dyDescent="0.25">
      <c r="A587" s="11" t="s">
        <v>789</v>
      </c>
      <c r="B587" s="11" t="s">
        <v>20</v>
      </c>
      <c r="C587" s="11" t="s">
        <v>53</v>
      </c>
      <c r="D587" s="12">
        <v>199</v>
      </c>
      <c r="E587" s="13">
        <v>2</v>
      </c>
    </row>
    <row r="588" spans="1:5" x14ac:dyDescent="0.25">
      <c r="A588" s="11" t="s">
        <v>262</v>
      </c>
      <c r="B588" s="11" t="s">
        <v>26</v>
      </c>
      <c r="C588" s="11" t="s">
        <v>44</v>
      </c>
      <c r="D588" s="12">
        <v>200</v>
      </c>
      <c r="E588" s="13">
        <v>2</v>
      </c>
    </row>
    <row r="589" spans="1:5" x14ac:dyDescent="0.25">
      <c r="A589" s="11" t="s">
        <v>306</v>
      </c>
      <c r="B589" s="11" t="s">
        <v>24</v>
      </c>
      <c r="C589" s="11" t="s">
        <v>34</v>
      </c>
      <c r="D589" s="12">
        <v>200</v>
      </c>
      <c r="E589" s="13">
        <v>3</v>
      </c>
    </row>
    <row r="590" spans="1:5" x14ac:dyDescent="0.25">
      <c r="A590" s="11" t="s">
        <v>569</v>
      </c>
      <c r="B590" s="11" t="s">
        <v>26</v>
      </c>
      <c r="C590" s="11" t="s">
        <v>44</v>
      </c>
      <c r="D590" s="12">
        <v>200</v>
      </c>
      <c r="E590" s="13">
        <v>3</v>
      </c>
    </row>
    <row r="591" spans="1:5" x14ac:dyDescent="0.25">
      <c r="A591" s="11" t="s">
        <v>1572</v>
      </c>
      <c r="B591" s="11" t="s">
        <v>26</v>
      </c>
      <c r="C591" s="11" t="s">
        <v>5</v>
      </c>
      <c r="D591" s="12">
        <v>200</v>
      </c>
      <c r="E591" s="13">
        <v>0</v>
      </c>
    </row>
    <row r="592" spans="1:5" x14ac:dyDescent="0.25">
      <c r="A592" s="11" t="s">
        <v>1845</v>
      </c>
      <c r="B592" s="11" t="s">
        <v>20</v>
      </c>
      <c r="C592" s="11" t="s">
        <v>34</v>
      </c>
      <c r="D592" s="12">
        <v>200</v>
      </c>
      <c r="E592" s="13">
        <v>5</v>
      </c>
    </row>
    <row r="593" spans="1:5" x14ac:dyDescent="0.25">
      <c r="A593" s="11" t="s">
        <v>36</v>
      </c>
      <c r="B593" s="11" t="s">
        <v>24</v>
      </c>
      <c r="C593" s="11" t="s">
        <v>32</v>
      </c>
      <c r="D593" s="12">
        <v>201</v>
      </c>
      <c r="E593" s="13">
        <v>2</v>
      </c>
    </row>
    <row r="594" spans="1:5" x14ac:dyDescent="0.25">
      <c r="A594" s="11" t="s">
        <v>612</v>
      </c>
      <c r="B594" s="11" t="s">
        <v>20</v>
      </c>
      <c r="C594" s="11" t="s">
        <v>25</v>
      </c>
      <c r="D594" s="12">
        <v>201</v>
      </c>
      <c r="E594" s="13">
        <v>0</v>
      </c>
    </row>
    <row r="595" spans="1:5" x14ac:dyDescent="0.25">
      <c r="A595" s="11" t="s">
        <v>1300</v>
      </c>
      <c r="B595" s="11" t="s">
        <v>26</v>
      </c>
      <c r="C595" s="11" t="s">
        <v>5</v>
      </c>
      <c r="D595" s="12">
        <v>201</v>
      </c>
      <c r="E595" s="13">
        <v>0</v>
      </c>
    </row>
    <row r="596" spans="1:5" x14ac:dyDescent="0.25">
      <c r="A596" s="11" t="s">
        <v>1571</v>
      </c>
      <c r="B596" s="11" t="s">
        <v>26</v>
      </c>
      <c r="C596" s="11" t="s">
        <v>111</v>
      </c>
      <c r="D596" s="12">
        <v>201</v>
      </c>
      <c r="E596" s="13">
        <v>1</v>
      </c>
    </row>
    <row r="597" spans="1:5" x14ac:dyDescent="0.25">
      <c r="A597" s="11" t="s">
        <v>1741</v>
      </c>
      <c r="B597" s="11" t="s">
        <v>26</v>
      </c>
      <c r="C597" s="11" t="s">
        <v>34</v>
      </c>
      <c r="D597" s="12">
        <v>201</v>
      </c>
      <c r="E597" s="13">
        <v>0</v>
      </c>
    </row>
    <row r="598" spans="1:5" x14ac:dyDescent="0.25">
      <c r="A598" s="11" t="s">
        <v>1922</v>
      </c>
      <c r="B598" s="11" t="s">
        <v>26</v>
      </c>
      <c r="C598" s="11" t="s">
        <v>27</v>
      </c>
      <c r="D598" s="12">
        <v>201</v>
      </c>
      <c r="E598" s="13">
        <v>0</v>
      </c>
    </row>
    <row r="599" spans="1:5" x14ac:dyDescent="0.25">
      <c r="A599" s="11" t="s">
        <v>713</v>
      </c>
      <c r="B599" s="11" t="s">
        <v>20</v>
      </c>
      <c r="C599" s="11" t="s">
        <v>62</v>
      </c>
      <c r="D599" s="12">
        <v>202</v>
      </c>
      <c r="E599" s="13">
        <v>0</v>
      </c>
    </row>
    <row r="600" spans="1:5" x14ac:dyDescent="0.25">
      <c r="A600" s="11" t="s">
        <v>1659</v>
      </c>
      <c r="B600" s="11" t="s">
        <v>20</v>
      </c>
      <c r="C600" s="11" t="s">
        <v>44</v>
      </c>
      <c r="D600" s="12">
        <v>202</v>
      </c>
      <c r="E600" s="13">
        <v>3</v>
      </c>
    </row>
    <row r="601" spans="1:5" x14ac:dyDescent="0.25">
      <c r="A601" s="11" t="s">
        <v>116</v>
      </c>
      <c r="B601" s="11" t="s">
        <v>20</v>
      </c>
      <c r="C601" s="11" t="s">
        <v>34</v>
      </c>
      <c r="D601" s="12">
        <v>203</v>
      </c>
      <c r="E601" s="13">
        <v>2</v>
      </c>
    </row>
    <row r="602" spans="1:5" x14ac:dyDescent="0.25">
      <c r="A602" s="11" t="s">
        <v>868</v>
      </c>
      <c r="B602" s="11" t="s">
        <v>24</v>
      </c>
      <c r="C602" s="11" t="s">
        <v>44</v>
      </c>
      <c r="D602" s="12">
        <v>203</v>
      </c>
      <c r="E602" s="13">
        <v>5</v>
      </c>
    </row>
    <row r="603" spans="1:5" x14ac:dyDescent="0.25">
      <c r="A603" s="11" t="s">
        <v>1548</v>
      </c>
      <c r="B603" s="11" t="s">
        <v>26</v>
      </c>
      <c r="C603" s="11" t="s">
        <v>39</v>
      </c>
      <c r="D603" s="12">
        <v>203</v>
      </c>
      <c r="E603" s="13">
        <v>4</v>
      </c>
    </row>
    <row r="604" spans="1:5" x14ac:dyDescent="0.25">
      <c r="A604" s="11" t="s">
        <v>1888</v>
      </c>
      <c r="B604" s="11" t="s">
        <v>24</v>
      </c>
      <c r="C604" s="11" t="s">
        <v>30</v>
      </c>
      <c r="D604" s="12">
        <v>203</v>
      </c>
      <c r="E604" s="13">
        <v>1</v>
      </c>
    </row>
    <row r="605" spans="1:5" x14ac:dyDescent="0.25">
      <c r="A605" s="11" t="s">
        <v>1001</v>
      </c>
      <c r="B605" s="11" t="s">
        <v>20</v>
      </c>
      <c r="C605" s="11" t="s">
        <v>28</v>
      </c>
      <c r="D605" s="12">
        <v>204</v>
      </c>
      <c r="E605" s="13">
        <v>0</v>
      </c>
    </row>
    <row r="606" spans="1:5" x14ac:dyDescent="0.25">
      <c r="A606" s="11" t="s">
        <v>1103</v>
      </c>
      <c r="B606" s="11" t="s">
        <v>26</v>
      </c>
      <c r="C606" s="11" t="s">
        <v>28</v>
      </c>
      <c r="D606" s="12">
        <v>204</v>
      </c>
      <c r="E606" s="13">
        <v>7</v>
      </c>
    </row>
    <row r="607" spans="1:5" x14ac:dyDescent="0.25">
      <c r="A607" s="11" t="s">
        <v>1121</v>
      </c>
      <c r="B607" s="11" t="s">
        <v>24</v>
      </c>
      <c r="C607" s="11" t="s">
        <v>5</v>
      </c>
      <c r="D607" s="12">
        <v>204</v>
      </c>
      <c r="E607" s="13">
        <v>8</v>
      </c>
    </row>
    <row r="608" spans="1:5" x14ac:dyDescent="0.25">
      <c r="A608" s="11" t="s">
        <v>70</v>
      </c>
      <c r="B608" s="11" t="s">
        <v>20</v>
      </c>
      <c r="C608" s="11" t="s">
        <v>21</v>
      </c>
      <c r="D608" s="12">
        <v>205</v>
      </c>
      <c r="E608" s="13">
        <v>1</v>
      </c>
    </row>
    <row r="609" spans="1:5" x14ac:dyDescent="0.25">
      <c r="A609" s="11" t="s">
        <v>243</v>
      </c>
      <c r="B609" s="11" t="s">
        <v>24</v>
      </c>
      <c r="C609" s="11" t="s">
        <v>39</v>
      </c>
      <c r="D609" s="12">
        <v>205</v>
      </c>
      <c r="E609" s="13">
        <v>3</v>
      </c>
    </row>
    <row r="610" spans="1:5" x14ac:dyDescent="0.25">
      <c r="A610" s="11" t="s">
        <v>1346</v>
      </c>
      <c r="B610" s="11" t="s">
        <v>24</v>
      </c>
      <c r="C610" s="11" t="s">
        <v>44</v>
      </c>
      <c r="D610" s="12">
        <v>205</v>
      </c>
      <c r="E610" s="13">
        <v>0</v>
      </c>
    </row>
    <row r="611" spans="1:5" x14ac:dyDescent="0.25">
      <c r="A611" s="11" t="s">
        <v>1605</v>
      </c>
      <c r="B611" s="11" t="s">
        <v>26</v>
      </c>
      <c r="C611" s="11" t="s">
        <v>33</v>
      </c>
      <c r="D611" s="12">
        <v>205</v>
      </c>
      <c r="E611" s="13">
        <v>0</v>
      </c>
    </row>
    <row r="612" spans="1:5" x14ac:dyDescent="0.25">
      <c r="A612" s="11" t="s">
        <v>1201</v>
      </c>
      <c r="B612" s="11" t="s">
        <v>24</v>
      </c>
      <c r="C612" s="11" t="s">
        <v>25</v>
      </c>
      <c r="D612" s="12">
        <v>206</v>
      </c>
      <c r="E612" s="13">
        <v>6</v>
      </c>
    </row>
    <row r="613" spans="1:5" x14ac:dyDescent="0.25">
      <c r="A613" s="11" t="s">
        <v>1907</v>
      </c>
      <c r="B613" s="11" t="s">
        <v>24</v>
      </c>
      <c r="C613" s="11" t="s">
        <v>39</v>
      </c>
      <c r="D613" s="12">
        <v>206</v>
      </c>
      <c r="E613" s="13">
        <v>0</v>
      </c>
    </row>
    <row r="614" spans="1:5" x14ac:dyDescent="0.25">
      <c r="A614" s="11" t="s">
        <v>609</v>
      </c>
      <c r="B614" s="11" t="s">
        <v>20</v>
      </c>
      <c r="C614" s="11" t="s">
        <v>39</v>
      </c>
      <c r="D614" s="12">
        <v>207</v>
      </c>
      <c r="E614" s="13">
        <v>1</v>
      </c>
    </row>
    <row r="615" spans="1:5" x14ac:dyDescent="0.25">
      <c r="A615" s="11" t="s">
        <v>832</v>
      </c>
      <c r="B615" s="11" t="s">
        <v>20</v>
      </c>
      <c r="C615" s="11" t="s">
        <v>27</v>
      </c>
      <c r="D615" s="12">
        <v>207</v>
      </c>
      <c r="E615" s="13">
        <v>0</v>
      </c>
    </row>
    <row r="616" spans="1:5" x14ac:dyDescent="0.25">
      <c r="A616" s="11" t="s">
        <v>1512</v>
      </c>
      <c r="B616" s="11" t="s">
        <v>24</v>
      </c>
      <c r="C616" s="11" t="s">
        <v>44</v>
      </c>
      <c r="D616" s="12">
        <v>207</v>
      </c>
      <c r="E616" s="13">
        <v>1</v>
      </c>
    </row>
    <row r="617" spans="1:5" x14ac:dyDescent="0.25">
      <c r="A617" s="11" t="s">
        <v>472</v>
      </c>
      <c r="B617" s="11" t="s">
        <v>24</v>
      </c>
      <c r="C617" s="11" t="s">
        <v>32</v>
      </c>
      <c r="D617" s="12">
        <v>208</v>
      </c>
      <c r="E617" s="13">
        <v>0</v>
      </c>
    </row>
    <row r="618" spans="1:5" x14ac:dyDescent="0.25">
      <c r="A618" s="11" t="s">
        <v>1351</v>
      </c>
      <c r="B618" s="11" t="s">
        <v>24</v>
      </c>
      <c r="C618" s="11" t="s">
        <v>44</v>
      </c>
      <c r="D618" s="12">
        <v>208</v>
      </c>
      <c r="E618" s="13">
        <v>1</v>
      </c>
    </row>
    <row r="619" spans="1:5" x14ac:dyDescent="0.25">
      <c r="A619" s="11" t="s">
        <v>1781</v>
      </c>
      <c r="B619" s="11" t="s">
        <v>20</v>
      </c>
      <c r="C619" s="11" t="s">
        <v>5</v>
      </c>
      <c r="D619" s="12">
        <v>208</v>
      </c>
      <c r="E619" s="13">
        <v>0</v>
      </c>
    </row>
    <row r="620" spans="1:5" x14ac:dyDescent="0.25">
      <c r="A620" s="11" t="s">
        <v>1930</v>
      </c>
      <c r="B620" s="11" t="s">
        <v>20</v>
      </c>
      <c r="C620" s="11" t="s">
        <v>44</v>
      </c>
      <c r="D620" s="12">
        <v>208</v>
      </c>
      <c r="E620" s="13">
        <v>4</v>
      </c>
    </row>
    <row r="621" spans="1:5" x14ac:dyDescent="0.25">
      <c r="A621" s="11" t="s">
        <v>633</v>
      </c>
      <c r="B621" s="11" t="s">
        <v>24</v>
      </c>
      <c r="C621" s="11" t="s">
        <v>111</v>
      </c>
      <c r="D621" s="12">
        <v>209</v>
      </c>
      <c r="E621" s="13">
        <v>1</v>
      </c>
    </row>
    <row r="622" spans="1:5" x14ac:dyDescent="0.25">
      <c r="A622" s="11" t="s">
        <v>1063</v>
      </c>
      <c r="B622" s="11" t="s">
        <v>20</v>
      </c>
      <c r="C622" s="11" t="s">
        <v>27</v>
      </c>
      <c r="D622" s="12">
        <v>209</v>
      </c>
      <c r="E622" s="13">
        <v>3</v>
      </c>
    </row>
    <row r="623" spans="1:5" x14ac:dyDescent="0.25">
      <c r="A623" s="11" t="s">
        <v>1273</v>
      </c>
      <c r="B623" s="11" t="s">
        <v>26</v>
      </c>
      <c r="C623" s="11" t="s">
        <v>30</v>
      </c>
      <c r="D623" s="12">
        <v>209</v>
      </c>
      <c r="E623" s="13">
        <v>7</v>
      </c>
    </row>
    <row r="624" spans="1:5" x14ac:dyDescent="0.25">
      <c r="A624" s="11" t="s">
        <v>1328</v>
      </c>
      <c r="B624" s="11" t="s">
        <v>26</v>
      </c>
      <c r="C624" s="11" t="s">
        <v>40</v>
      </c>
      <c r="D624" s="12">
        <v>209</v>
      </c>
      <c r="E624" s="13">
        <v>18</v>
      </c>
    </row>
    <row r="625" spans="1:5" x14ac:dyDescent="0.25">
      <c r="A625" s="11" t="s">
        <v>1636</v>
      </c>
      <c r="B625" s="11" t="s">
        <v>26</v>
      </c>
      <c r="C625" s="11" t="s">
        <v>40</v>
      </c>
      <c r="D625" s="12">
        <v>209</v>
      </c>
      <c r="E625" s="13">
        <v>1</v>
      </c>
    </row>
    <row r="626" spans="1:5" x14ac:dyDescent="0.25">
      <c r="A626" s="11" t="s">
        <v>329</v>
      </c>
      <c r="B626" s="11" t="s">
        <v>24</v>
      </c>
      <c r="C626" s="11" t="s">
        <v>32</v>
      </c>
      <c r="D626" s="12">
        <v>210</v>
      </c>
      <c r="E626" s="13">
        <v>0</v>
      </c>
    </row>
    <row r="627" spans="1:5" x14ac:dyDescent="0.25">
      <c r="A627" s="11" t="s">
        <v>856</v>
      </c>
      <c r="B627" s="11" t="s">
        <v>24</v>
      </c>
      <c r="C627" s="11" t="s">
        <v>27</v>
      </c>
      <c r="D627" s="12">
        <v>210</v>
      </c>
      <c r="E627" s="13">
        <v>4</v>
      </c>
    </row>
    <row r="628" spans="1:5" x14ac:dyDescent="0.25">
      <c r="A628" s="11" t="s">
        <v>1369</v>
      </c>
      <c r="B628" s="11" t="s">
        <v>20</v>
      </c>
      <c r="C628" s="11" t="s">
        <v>39</v>
      </c>
      <c r="D628" s="12">
        <v>210</v>
      </c>
      <c r="E628" s="13">
        <v>1</v>
      </c>
    </row>
    <row r="629" spans="1:5" x14ac:dyDescent="0.25">
      <c r="A629" s="11" t="s">
        <v>1628</v>
      </c>
      <c r="B629" s="11" t="s">
        <v>20</v>
      </c>
      <c r="C629" s="11" t="s">
        <v>43</v>
      </c>
      <c r="D629" s="12">
        <v>210</v>
      </c>
      <c r="E629" s="13">
        <v>0</v>
      </c>
    </row>
    <row r="630" spans="1:5" x14ac:dyDescent="0.25">
      <c r="A630" s="11" t="s">
        <v>151</v>
      </c>
      <c r="B630" s="11" t="s">
        <v>20</v>
      </c>
      <c r="C630" s="11" t="s">
        <v>44</v>
      </c>
      <c r="D630" s="12">
        <v>211</v>
      </c>
      <c r="E630" s="13">
        <v>4</v>
      </c>
    </row>
    <row r="631" spans="1:5" x14ac:dyDescent="0.25">
      <c r="A631" s="11" t="s">
        <v>199</v>
      </c>
      <c r="B631" s="11" t="s">
        <v>26</v>
      </c>
      <c r="C631" s="11" t="s">
        <v>27</v>
      </c>
      <c r="D631" s="12">
        <v>211</v>
      </c>
      <c r="E631" s="13">
        <v>1</v>
      </c>
    </row>
    <row r="632" spans="1:5" x14ac:dyDescent="0.25">
      <c r="A632" s="11" t="s">
        <v>907</v>
      </c>
      <c r="B632" s="11" t="s">
        <v>20</v>
      </c>
      <c r="C632" s="11" t="s">
        <v>44</v>
      </c>
      <c r="D632" s="12">
        <v>211</v>
      </c>
      <c r="E632" s="13">
        <v>0</v>
      </c>
    </row>
    <row r="633" spans="1:5" x14ac:dyDescent="0.25">
      <c r="A633" s="11" t="s">
        <v>1036</v>
      </c>
      <c r="B633" s="11" t="s">
        <v>20</v>
      </c>
      <c r="C633" s="11" t="s">
        <v>62</v>
      </c>
      <c r="D633" s="12">
        <v>211</v>
      </c>
      <c r="E633" s="13">
        <v>3</v>
      </c>
    </row>
    <row r="634" spans="1:5" x14ac:dyDescent="0.25">
      <c r="A634" s="11" t="s">
        <v>1072</v>
      </c>
      <c r="B634" s="11" t="s">
        <v>26</v>
      </c>
      <c r="C634" s="11" t="s">
        <v>44</v>
      </c>
      <c r="D634" s="12">
        <v>211</v>
      </c>
      <c r="E634" s="13">
        <v>0</v>
      </c>
    </row>
    <row r="635" spans="1:5" x14ac:dyDescent="0.25">
      <c r="A635" s="11" t="s">
        <v>1745</v>
      </c>
      <c r="B635" s="11" t="s">
        <v>26</v>
      </c>
      <c r="C635" s="11" t="s">
        <v>27</v>
      </c>
      <c r="D635" s="12">
        <v>211</v>
      </c>
      <c r="E635" s="13">
        <v>0</v>
      </c>
    </row>
    <row r="636" spans="1:5" x14ac:dyDescent="0.25">
      <c r="A636" s="11" t="s">
        <v>82</v>
      </c>
      <c r="B636" s="11" t="s">
        <v>24</v>
      </c>
      <c r="C636" s="11" t="s">
        <v>30</v>
      </c>
      <c r="D636" s="12">
        <v>212</v>
      </c>
      <c r="E636" s="13">
        <v>0</v>
      </c>
    </row>
    <row r="637" spans="1:5" x14ac:dyDescent="0.25">
      <c r="A637" s="11" t="s">
        <v>372</v>
      </c>
      <c r="B637" s="11" t="s">
        <v>26</v>
      </c>
      <c r="C637" s="11" t="s">
        <v>22</v>
      </c>
      <c r="D637" s="12">
        <v>212</v>
      </c>
      <c r="E637" s="13">
        <v>2</v>
      </c>
    </row>
    <row r="638" spans="1:5" x14ac:dyDescent="0.25">
      <c r="A638" s="11" t="s">
        <v>974</v>
      </c>
      <c r="B638" s="11" t="s">
        <v>24</v>
      </c>
      <c r="C638" s="11" t="s">
        <v>44</v>
      </c>
      <c r="D638" s="12">
        <v>212</v>
      </c>
      <c r="E638" s="13">
        <v>0</v>
      </c>
    </row>
    <row r="639" spans="1:5" x14ac:dyDescent="0.25">
      <c r="A639" s="11" t="s">
        <v>1344</v>
      </c>
      <c r="B639" s="11" t="s">
        <v>26</v>
      </c>
      <c r="C639" s="11" t="s">
        <v>27</v>
      </c>
      <c r="D639" s="12">
        <v>212</v>
      </c>
      <c r="E639" s="13">
        <v>0</v>
      </c>
    </row>
    <row r="640" spans="1:5" x14ac:dyDescent="0.25">
      <c r="A640" s="11" t="s">
        <v>584</v>
      </c>
      <c r="B640" s="11" t="s">
        <v>26</v>
      </c>
      <c r="C640" s="11" t="s">
        <v>28</v>
      </c>
      <c r="D640" s="12">
        <v>213</v>
      </c>
      <c r="E640" s="13">
        <v>0</v>
      </c>
    </row>
    <row r="641" spans="1:5" x14ac:dyDescent="0.25">
      <c r="A641" s="11" t="s">
        <v>1716</v>
      </c>
      <c r="B641" s="11" t="s">
        <v>24</v>
      </c>
      <c r="C641" s="11" t="s">
        <v>44</v>
      </c>
      <c r="D641" s="12">
        <v>213</v>
      </c>
      <c r="E641" s="13">
        <v>9</v>
      </c>
    </row>
    <row r="642" spans="1:5" x14ac:dyDescent="0.25">
      <c r="A642" s="11" t="s">
        <v>989</v>
      </c>
      <c r="B642" s="11" t="s">
        <v>20</v>
      </c>
      <c r="C642" s="11" t="s">
        <v>111</v>
      </c>
      <c r="D642" s="12">
        <v>214</v>
      </c>
      <c r="E642" s="13">
        <v>0</v>
      </c>
    </row>
    <row r="643" spans="1:5" x14ac:dyDescent="0.25">
      <c r="A643" s="11" t="s">
        <v>1637</v>
      </c>
      <c r="B643" s="11" t="s">
        <v>26</v>
      </c>
      <c r="C643" s="11" t="s">
        <v>44</v>
      </c>
      <c r="D643" s="12">
        <v>214</v>
      </c>
      <c r="E643" s="13">
        <v>0</v>
      </c>
    </row>
    <row r="644" spans="1:5" x14ac:dyDescent="0.25">
      <c r="A644" s="11" t="s">
        <v>1847</v>
      </c>
      <c r="B644" s="11" t="s">
        <v>24</v>
      </c>
      <c r="C644" s="11" t="s">
        <v>66</v>
      </c>
      <c r="D644" s="12">
        <v>214</v>
      </c>
      <c r="E644" s="13">
        <v>1</v>
      </c>
    </row>
    <row r="645" spans="1:5" x14ac:dyDescent="0.25">
      <c r="A645" s="11" t="s">
        <v>131</v>
      </c>
      <c r="B645" s="11" t="s">
        <v>24</v>
      </c>
      <c r="C645" s="11" t="s">
        <v>5</v>
      </c>
      <c r="D645" s="12">
        <v>215</v>
      </c>
      <c r="E645" s="13">
        <v>5</v>
      </c>
    </row>
    <row r="646" spans="1:5" x14ac:dyDescent="0.25">
      <c r="A646" s="11" t="s">
        <v>335</v>
      </c>
      <c r="B646" s="11" t="s">
        <v>20</v>
      </c>
      <c r="C646" s="11" t="s">
        <v>27</v>
      </c>
      <c r="D646" s="12">
        <v>215</v>
      </c>
      <c r="E646" s="13">
        <v>6</v>
      </c>
    </row>
    <row r="647" spans="1:5" x14ac:dyDescent="0.25">
      <c r="A647" s="11" t="s">
        <v>353</v>
      </c>
      <c r="B647" s="11" t="s">
        <v>26</v>
      </c>
      <c r="C647" s="11" t="s">
        <v>21</v>
      </c>
      <c r="D647" s="12">
        <v>215</v>
      </c>
      <c r="E647" s="13">
        <v>6</v>
      </c>
    </row>
    <row r="648" spans="1:5" x14ac:dyDescent="0.25">
      <c r="A648" s="11" t="s">
        <v>1245</v>
      </c>
      <c r="B648" s="11" t="s">
        <v>24</v>
      </c>
      <c r="C648" s="11" t="s">
        <v>40</v>
      </c>
      <c r="D648" s="12">
        <v>216</v>
      </c>
      <c r="E648" s="13">
        <v>0</v>
      </c>
    </row>
    <row r="649" spans="1:5" x14ac:dyDescent="0.25">
      <c r="A649" s="11" t="s">
        <v>120</v>
      </c>
      <c r="B649" s="11" t="s">
        <v>20</v>
      </c>
      <c r="C649" s="11" t="s">
        <v>22</v>
      </c>
      <c r="D649" s="12">
        <v>217</v>
      </c>
      <c r="E649" s="13">
        <v>10</v>
      </c>
    </row>
    <row r="650" spans="1:5" x14ac:dyDescent="0.25">
      <c r="A650" s="11" t="s">
        <v>296</v>
      </c>
      <c r="B650" s="11" t="s">
        <v>20</v>
      </c>
      <c r="C650" s="11" t="s">
        <v>43</v>
      </c>
      <c r="D650" s="12">
        <v>217</v>
      </c>
      <c r="E650" s="13">
        <v>2</v>
      </c>
    </row>
    <row r="651" spans="1:5" x14ac:dyDescent="0.25">
      <c r="A651" s="11" t="s">
        <v>311</v>
      </c>
      <c r="B651" s="11" t="s">
        <v>20</v>
      </c>
      <c r="C651" s="11" t="s">
        <v>30</v>
      </c>
      <c r="D651" s="12">
        <v>217</v>
      </c>
      <c r="E651" s="13">
        <v>0</v>
      </c>
    </row>
    <row r="652" spans="1:5" x14ac:dyDescent="0.25">
      <c r="A652" s="11" t="s">
        <v>1010</v>
      </c>
      <c r="B652" s="11" t="s">
        <v>26</v>
      </c>
      <c r="C652" s="11" t="s">
        <v>28</v>
      </c>
      <c r="D652" s="12">
        <v>217</v>
      </c>
      <c r="E652" s="13">
        <v>0</v>
      </c>
    </row>
    <row r="653" spans="1:5" x14ac:dyDescent="0.25">
      <c r="A653" s="11" t="s">
        <v>1082</v>
      </c>
      <c r="B653" s="11" t="s">
        <v>20</v>
      </c>
      <c r="C653" s="11" t="s">
        <v>111</v>
      </c>
      <c r="D653" s="12">
        <v>217</v>
      </c>
      <c r="E653" s="13">
        <v>3</v>
      </c>
    </row>
    <row r="654" spans="1:5" x14ac:dyDescent="0.25">
      <c r="A654" s="11" t="s">
        <v>1181</v>
      </c>
      <c r="B654" s="11" t="s">
        <v>24</v>
      </c>
      <c r="C654" s="11" t="s">
        <v>27</v>
      </c>
      <c r="D654" s="12">
        <v>217</v>
      </c>
      <c r="E654" s="13">
        <v>6</v>
      </c>
    </row>
    <row r="655" spans="1:5" x14ac:dyDescent="0.25">
      <c r="A655" s="11" t="s">
        <v>1302</v>
      </c>
      <c r="B655" s="11" t="s">
        <v>26</v>
      </c>
      <c r="C655" s="11" t="s">
        <v>27</v>
      </c>
      <c r="D655" s="12">
        <v>217</v>
      </c>
      <c r="E655" s="13">
        <v>12</v>
      </c>
    </row>
    <row r="656" spans="1:5" x14ac:dyDescent="0.25">
      <c r="A656" s="11" t="s">
        <v>678</v>
      </c>
      <c r="B656" s="11" t="s">
        <v>24</v>
      </c>
      <c r="C656" s="11" t="s">
        <v>30</v>
      </c>
      <c r="D656" s="12">
        <v>218</v>
      </c>
      <c r="E656" s="13">
        <v>13</v>
      </c>
    </row>
    <row r="657" spans="1:5" x14ac:dyDescent="0.25">
      <c r="A657" s="11" t="s">
        <v>867</v>
      </c>
      <c r="B657" s="11" t="s">
        <v>20</v>
      </c>
      <c r="C657" s="11" t="s">
        <v>39</v>
      </c>
      <c r="D657" s="12">
        <v>218</v>
      </c>
      <c r="E657" s="13">
        <v>3</v>
      </c>
    </row>
    <row r="658" spans="1:5" x14ac:dyDescent="0.25">
      <c r="A658" s="11" t="s">
        <v>1133</v>
      </c>
      <c r="B658" s="11" t="s">
        <v>26</v>
      </c>
      <c r="C658" s="11" t="s">
        <v>5</v>
      </c>
      <c r="D658" s="12">
        <v>218</v>
      </c>
      <c r="E658" s="13">
        <v>3</v>
      </c>
    </row>
    <row r="659" spans="1:5" x14ac:dyDescent="0.25">
      <c r="A659" s="11" t="s">
        <v>1173</v>
      </c>
      <c r="B659" s="11" t="s">
        <v>26</v>
      </c>
      <c r="C659" s="11" t="s">
        <v>21</v>
      </c>
      <c r="D659" s="12">
        <v>218</v>
      </c>
      <c r="E659" s="13">
        <v>0</v>
      </c>
    </row>
    <row r="660" spans="1:5" x14ac:dyDescent="0.25">
      <c r="A660" s="11" t="s">
        <v>1638</v>
      </c>
      <c r="B660" s="11" t="s">
        <v>24</v>
      </c>
      <c r="C660" s="11" t="s">
        <v>111</v>
      </c>
      <c r="D660" s="12">
        <v>219</v>
      </c>
      <c r="E660" s="13">
        <v>1</v>
      </c>
    </row>
    <row r="661" spans="1:5" x14ac:dyDescent="0.25">
      <c r="A661" s="11" t="s">
        <v>125</v>
      </c>
      <c r="B661" s="11" t="s">
        <v>20</v>
      </c>
      <c r="C661" s="11" t="s">
        <v>39</v>
      </c>
      <c r="D661" s="12">
        <v>220</v>
      </c>
      <c r="E661" s="13">
        <v>14</v>
      </c>
    </row>
    <row r="662" spans="1:5" x14ac:dyDescent="0.25">
      <c r="A662" s="11" t="s">
        <v>270</v>
      </c>
      <c r="B662" s="11" t="s">
        <v>20</v>
      </c>
      <c r="C662" s="11" t="s">
        <v>40</v>
      </c>
      <c r="D662" s="12">
        <v>220</v>
      </c>
      <c r="E662" s="13">
        <v>9</v>
      </c>
    </row>
    <row r="663" spans="1:5" x14ac:dyDescent="0.25">
      <c r="A663" s="11" t="s">
        <v>356</v>
      </c>
      <c r="B663" s="11" t="s">
        <v>20</v>
      </c>
      <c r="C663" s="11" t="s">
        <v>30</v>
      </c>
      <c r="D663" s="12">
        <v>220</v>
      </c>
      <c r="E663" s="13">
        <v>9</v>
      </c>
    </row>
    <row r="664" spans="1:5" x14ac:dyDescent="0.25">
      <c r="A664" s="11" t="s">
        <v>835</v>
      </c>
      <c r="B664" s="11" t="s">
        <v>26</v>
      </c>
      <c r="C664" s="11" t="s">
        <v>111</v>
      </c>
      <c r="D664" s="12">
        <v>221</v>
      </c>
      <c r="E664" s="13">
        <v>0</v>
      </c>
    </row>
    <row r="665" spans="1:5" x14ac:dyDescent="0.25">
      <c r="A665" s="11" t="s">
        <v>1040</v>
      </c>
      <c r="B665" s="11" t="s">
        <v>24</v>
      </c>
      <c r="C665" s="11" t="s">
        <v>34</v>
      </c>
      <c r="D665" s="12">
        <v>221</v>
      </c>
      <c r="E665" s="13">
        <v>0</v>
      </c>
    </row>
    <row r="666" spans="1:5" x14ac:dyDescent="0.25">
      <c r="A666" s="11" t="s">
        <v>1222</v>
      </c>
      <c r="B666" s="11" t="s">
        <v>26</v>
      </c>
      <c r="C666" s="11" t="s">
        <v>27</v>
      </c>
      <c r="D666" s="12">
        <v>221</v>
      </c>
      <c r="E666" s="13">
        <v>0</v>
      </c>
    </row>
    <row r="667" spans="1:5" x14ac:dyDescent="0.25">
      <c r="A667" s="11" t="s">
        <v>149</v>
      </c>
      <c r="B667" s="11" t="s">
        <v>24</v>
      </c>
      <c r="C667" s="11" t="s">
        <v>39</v>
      </c>
      <c r="D667" s="12">
        <v>222</v>
      </c>
      <c r="E667" s="13">
        <v>1</v>
      </c>
    </row>
    <row r="668" spans="1:5" x14ac:dyDescent="0.25">
      <c r="A668" s="11" t="s">
        <v>349</v>
      </c>
      <c r="B668" s="11" t="s">
        <v>20</v>
      </c>
      <c r="C668" s="11" t="s">
        <v>44</v>
      </c>
      <c r="D668" s="12">
        <v>222</v>
      </c>
      <c r="E668" s="13">
        <v>8</v>
      </c>
    </row>
    <row r="669" spans="1:5" x14ac:dyDescent="0.25">
      <c r="A669" s="11" t="s">
        <v>435</v>
      </c>
      <c r="B669" s="11" t="s">
        <v>26</v>
      </c>
      <c r="C669" s="11" t="s">
        <v>40</v>
      </c>
      <c r="D669" s="12">
        <v>223</v>
      </c>
      <c r="E669" s="13">
        <v>3</v>
      </c>
    </row>
    <row r="670" spans="1:5" x14ac:dyDescent="0.25">
      <c r="A670" s="11" t="s">
        <v>531</v>
      </c>
      <c r="B670" s="11" t="s">
        <v>20</v>
      </c>
      <c r="C670" s="11" t="s">
        <v>43</v>
      </c>
      <c r="D670" s="12">
        <v>223</v>
      </c>
      <c r="E670" s="13">
        <v>0</v>
      </c>
    </row>
    <row r="671" spans="1:5" x14ac:dyDescent="0.25">
      <c r="A671" s="11" t="s">
        <v>961</v>
      </c>
      <c r="B671" s="11" t="s">
        <v>20</v>
      </c>
      <c r="C671" s="11" t="s">
        <v>27</v>
      </c>
      <c r="D671" s="12">
        <v>223</v>
      </c>
      <c r="E671" s="13">
        <v>0</v>
      </c>
    </row>
    <row r="672" spans="1:5" x14ac:dyDescent="0.25">
      <c r="A672" s="11" t="s">
        <v>1530</v>
      </c>
      <c r="B672" s="11" t="s">
        <v>24</v>
      </c>
      <c r="C672" s="11" t="s">
        <v>39</v>
      </c>
      <c r="D672" s="12">
        <v>223</v>
      </c>
      <c r="E672" s="13">
        <v>1</v>
      </c>
    </row>
    <row r="673" spans="1:5" x14ac:dyDescent="0.25">
      <c r="A673" s="11" t="s">
        <v>1822</v>
      </c>
      <c r="B673" s="11" t="s">
        <v>20</v>
      </c>
      <c r="C673" s="11" t="s">
        <v>27</v>
      </c>
      <c r="D673" s="12">
        <v>223</v>
      </c>
      <c r="E673" s="13">
        <v>0</v>
      </c>
    </row>
    <row r="674" spans="1:5" x14ac:dyDescent="0.25">
      <c r="A674" s="11" t="s">
        <v>31</v>
      </c>
      <c r="B674" s="11" t="s">
        <v>20</v>
      </c>
      <c r="C674" s="11" t="s">
        <v>32</v>
      </c>
      <c r="D674" s="12">
        <v>224</v>
      </c>
      <c r="E674" s="13">
        <v>2</v>
      </c>
    </row>
    <row r="675" spans="1:5" x14ac:dyDescent="0.25">
      <c r="A675" s="11" t="s">
        <v>704</v>
      </c>
      <c r="B675" s="11" t="s">
        <v>26</v>
      </c>
      <c r="C675" s="11" t="s">
        <v>39</v>
      </c>
      <c r="D675" s="12">
        <v>224</v>
      </c>
      <c r="E675" s="13">
        <v>0</v>
      </c>
    </row>
    <row r="676" spans="1:5" x14ac:dyDescent="0.25">
      <c r="A676" s="11" t="s">
        <v>725</v>
      </c>
      <c r="B676" s="11" t="s">
        <v>26</v>
      </c>
      <c r="C676" s="11" t="s">
        <v>27</v>
      </c>
      <c r="D676" s="12">
        <v>224</v>
      </c>
      <c r="E676" s="13">
        <v>0</v>
      </c>
    </row>
    <row r="677" spans="1:5" x14ac:dyDescent="0.25">
      <c r="A677" s="11" t="s">
        <v>793</v>
      </c>
      <c r="B677" s="11" t="s">
        <v>20</v>
      </c>
      <c r="C677" s="11" t="s">
        <v>27</v>
      </c>
      <c r="D677" s="12">
        <v>224</v>
      </c>
      <c r="E677" s="13">
        <v>5</v>
      </c>
    </row>
    <row r="678" spans="1:5" x14ac:dyDescent="0.25">
      <c r="A678" s="11" t="s">
        <v>1377</v>
      </c>
      <c r="B678" s="11" t="s">
        <v>24</v>
      </c>
      <c r="C678" s="11" t="s">
        <v>28</v>
      </c>
      <c r="D678" s="12">
        <v>224</v>
      </c>
      <c r="E678" s="13">
        <v>2</v>
      </c>
    </row>
    <row r="679" spans="1:5" x14ac:dyDescent="0.25">
      <c r="A679" s="11" t="s">
        <v>1663</v>
      </c>
      <c r="B679" s="11" t="s">
        <v>24</v>
      </c>
      <c r="C679" s="11" t="s">
        <v>25</v>
      </c>
      <c r="D679" s="12">
        <v>224</v>
      </c>
      <c r="E679" s="13">
        <v>8</v>
      </c>
    </row>
    <row r="680" spans="1:5" x14ac:dyDescent="0.25">
      <c r="A680" s="11" t="s">
        <v>702</v>
      </c>
      <c r="B680" s="11" t="s">
        <v>20</v>
      </c>
      <c r="C680" s="11" t="s">
        <v>30</v>
      </c>
      <c r="D680" s="12">
        <v>225</v>
      </c>
      <c r="E680" s="13">
        <v>4</v>
      </c>
    </row>
    <row r="681" spans="1:5" x14ac:dyDescent="0.25">
      <c r="A681" s="11" t="s">
        <v>553</v>
      </c>
      <c r="B681" s="11" t="s">
        <v>26</v>
      </c>
      <c r="C681" s="11" t="s">
        <v>34</v>
      </c>
      <c r="D681" s="12">
        <v>226</v>
      </c>
      <c r="E681" s="13">
        <v>0</v>
      </c>
    </row>
    <row r="682" spans="1:5" x14ac:dyDescent="0.25">
      <c r="A682" s="11" t="s">
        <v>250</v>
      </c>
      <c r="B682" s="11" t="s">
        <v>24</v>
      </c>
      <c r="C682" s="11" t="s">
        <v>5</v>
      </c>
      <c r="D682" s="12">
        <v>227</v>
      </c>
      <c r="E682" s="13">
        <v>9</v>
      </c>
    </row>
    <row r="683" spans="1:5" x14ac:dyDescent="0.25">
      <c r="A683" s="11" t="s">
        <v>749</v>
      </c>
      <c r="B683" s="11" t="s">
        <v>24</v>
      </c>
      <c r="C683" s="11" t="s">
        <v>28</v>
      </c>
      <c r="D683" s="12">
        <v>227</v>
      </c>
      <c r="E683" s="13">
        <v>5</v>
      </c>
    </row>
    <row r="684" spans="1:5" x14ac:dyDescent="0.25">
      <c r="A684" s="11" t="s">
        <v>42</v>
      </c>
      <c r="B684" s="11" t="s">
        <v>20</v>
      </c>
      <c r="C684" s="11" t="s">
        <v>43</v>
      </c>
      <c r="D684" s="12">
        <v>228</v>
      </c>
      <c r="E684" s="13">
        <v>9</v>
      </c>
    </row>
    <row r="685" spans="1:5" x14ac:dyDescent="0.25">
      <c r="A685" s="11" t="s">
        <v>1116</v>
      </c>
      <c r="B685" s="11" t="s">
        <v>24</v>
      </c>
      <c r="C685" s="11" t="s">
        <v>53</v>
      </c>
      <c r="D685" s="12">
        <v>228</v>
      </c>
      <c r="E685" s="13">
        <v>0</v>
      </c>
    </row>
    <row r="686" spans="1:5" x14ac:dyDescent="0.25">
      <c r="A686" s="11" t="s">
        <v>1234</v>
      </c>
      <c r="B686" s="11" t="s">
        <v>20</v>
      </c>
      <c r="C686" s="11" t="s">
        <v>5</v>
      </c>
      <c r="D686" s="12">
        <v>228</v>
      </c>
      <c r="E686" s="13">
        <v>1</v>
      </c>
    </row>
    <row r="687" spans="1:5" x14ac:dyDescent="0.25">
      <c r="A687" s="11" t="s">
        <v>74</v>
      </c>
      <c r="B687" s="11" t="s">
        <v>24</v>
      </c>
      <c r="C687" s="11" t="s">
        <v>40</v>
      </c>
      <c r="D687" s="12">
        <v>229</v>
      </c>
      <c r="E687" s="13">
        <v>0</v>
      </c>
    </row>
    <row r="688" spans="1:5" x14ac:dyDescent="0.25">
      <c r="A688" s="11" t="s">
        <v>1370</v>
      </c>
      <c r="B688" s="11" t="s">
        <v>24</v>
      </c>
      <c r="C688" s="11" t="s">
        <v>28</v>
      </c>
      <c r="D688" s="12">
        <v>230</v>
      </c>
      <c r="E688" s="13">
        <v>1</v>
      </c>
    </row>
    <row r="689" spans="1:5" x14ac:dyDescent="0.25">
      <c r="A689" s="11" t="s">
        <v>1576</v>
      </c>
      <c r="B689" s="11" t="s">
        <v>26</v>
      </c>
      <c r="C689" s="11" t="s">
        <v>39</v>
      </c>
      <c r="D689" s="12">
        <v>230</v>
      </c>
      <c r="E689" s="13">
        <v>2</v>
      </c>
    </row>
    <row r="690" spans="1:5" x14ac:dyDescent="0.25">
      <c r="A690" s="11" t="s">
        <v>1850</v>
      </c>
      <c r="B690" s="11" t="s">
        <v>26</v>
      </c>
      <c r="C690" s="11" t="s">
        <v>44</v>
      </c>
      <c r="D690" s="12">
        <v>230</v>
      </c>
      <c r="E690" s="13">
        <v>0</v>
      </c>
    </row>
    <row r="691" spans="1:5" x14ac:dyDescent="0.25">
      <c r="A691" s="11" t="s">
        <v>183</v>
      </c>
      <c r="B691" s="11" t="s">
        <v>26</v>
      </c>
      <c r="C691" s="11" t="s">
        <v>33</v>
      </c>
      <c r="D691" s="12">
        <v>231</v>
      </c>
      <c r="E691" s="13">
        <v>2</v>
      </c>
    </row>
    <row r="692" spans="1:5" x14ac:dyDescent="0.25">
      <c r="A692" s="11" t="s">
        <v>647</v>
      </c>
      <c r="B692" s="11" t="s">
        <v>24</v>
      </c>
      <c r="C692" s="11" t="s">
        <v>39</v>
      </c>
      <c r="D692" s="12">
        <v>231</v>
      </c>
      <c r="E692" s="13">
        <v>5</v>
      </c>
    </row>
    <row r="693" spans="1:5" x14ac:dyDescent="0.25">
      <c r="A693" s="11" t="s">
        <v>1727</v>
      </c>
      <c r="B693" s="11" t="s">
        <v>24</v>
      </c>
      <c r="C693" s="11" t="s">
        <v>21</v>
      </c>
      <c r="D693" s="12">
        <v>231</v>
      </c>
      <c r="E693" s="13">
        <v>3</v>
      </c>
    </row>
    <row r="694" spans="1:5" x14ac:dyDescent="0.25">
      <c r="A694" s="11" t="s">
        <v>390</v>
      </c>
      <c r="B694" s="11" t="s">
        <v>24</v>
      </c>
      <c r="C694" s="11" t="s">
        <v>44</v>
      </c>
      <c r="D694" s="12">
        <v>233</v>
      </c>
      <c r="E694" s="13">
        <v>1</v>
      </c>
    </row>
    <row r="695" spans="1:5" x14ac:dyDescent="0.25">
      <c r="A695" s="11" t="s">
        <v>734</v>
      </c>
      <c r="B695" s="11" t="s">
        <v>20</v>
      </c>
      <c r="C695" s="11" t="s">
        <v>44</v>
      </c>
      <c r="D695" s="12">
        <v>233</v>
      </c>
      <c r="E695" s="13">
        <v>0</v>
      </c>
    </row>
    <row r="696" spans="1:5" x14ac:dyDescent="0.25">
      <c r="A696" s="11" t="s">
        <v>1364</v>
      </c>
      <c r="B696" s="11" t="s">
        <v>24</v>
      </c>
      <c r="C696" s="11" t="s">
        <v>28</v>
      </c>
      <c r="D696" s="12">
        <v>233</v>
      </c>
      <c r="E696" s="13">
        <v>0</v>
      </c>
    </row>
    <row r="697" spans="1:5" x14ac:dyDescent="0.25">
      <c r="A697" s="11" t="s">
        <v>1485</v>
      </c>
      <c r="B697" s="11" t="s">
        <v>24</v>
      </c>
      <c r="C697" s="11" t="s">
        <v>27</v>
      </c>
      <c r="D697" s="12">
        <v>233</v>
      </c>
      <c r="E697" s="13">
        <v>0</v>
      </c>
    </row>
    <row r="698" spans="1:5" x14ac:dyDescent="0.25">
      <c r="A698" s="11" t="s">
        <v>1534</v>
      </c>
      <c r="B698" s="11" t="s">
        <v>24</v>
      </c>
      <c r="C698" s="11" t="s">
        <v>5</v>
      </c>
      <c r="D698" s="12">
        <v>233</v>
      </c>
      <c r="E698" s="13">
        <v>0</v>
      </c>
    </row>
    <row r="699" spans="1:5" x14ac:dyDescent="0.25">
      <c r="A699" s="11" t="s">
        <v>1619</v>
      </c>
      <c r="B699" s="11" t="s">
        <v>26</v>
      </c>
      <c r="C699" s="11" t="s">
        <v>66</v>
      </c>
      <c r="D699" s="12">
        <v>233</v>
      </c>
      <c r="E699" s="13">
        <v>2</v>
      </c>
    </row>
    <row r="700" spans="1:5" x14ac:dyDescent="0.25">
      <c r="A700" s="11" t="s">
        <v>105</v>
      </c>
      <c r="B700" s="11" t="s">
        <v>20</v>
      </c>
      <c r="C700" s="11" t="s">
        <v>25</v>
      </c>
      <c r="D700" s="12">
        <v>235</v>
      </c>
      <c r="E700" s="13">
        <v>8</v>
      </c>
    </row>
    <row r="701" spans="1:5" x14ac:dyDescent="0.25">
      <c r="A701" s="11" t="s">
        <v>192</v>
      </c>
      <c r="B701" s="11" t="s">
        <v>20</v>
      </c>
      <c r="C701" s="11" t="s">
        <v>27</v>
      </c>
      <c r="D701" s="12">
        <v>235</v>
      </c>
      <c r="E701" s="13">
        <v>0</v>
      </c>
    </row>
    <row r="702" spans="1:5" x14ac:dyDescent="0.25">
      <c r="A702" s="11" t="s">
        <v>1232</v>
      </c>
      <c r="B702" s="11" t="s">
        <v>26</v>
      </c>
      <c r="C702" s="11" t="s">
        <v>27</v>
      </c>
      <c r="D702" s="12">
        <v>235</v>
      </c>
      <c r="E702" s="13">
        <v>9</v>
      </c>
    </row>
    <row r="703" spans="1:5" x14ac:dyDescent="0.25">
      <c r="A703" s="11" t="s">
        <v>167</v>
      </c>
      <c r="B703" s="11" t="s">
        <v>26</v>
      </c>
      <c r="C703" s="11" t="s">
        <v>39</v>
      </c>
      <c r="D703" s="12">
        <v>236</v>
      </c>
      <c r="E703" s="13">
        <v>0</v>
      </c>
    </row>
    <row r="704" spans="1:5" x14ac:dyDescent="0.25">
      <c r="A704" s="11" t="s">
        <v>1190</v>
      </c>
      <c r="B704" s="11" t="s">
        <v>20</v>
      </c>
      <c r="C704" s="11" t="s">
        <v>22</v>
      </c>
      <c r="D704" s="12">
        <v>236</v>
      </c>
      <c r="E704" s="13">
        <v>3</v>
      </c>
    </row>
    <row r="705" spans="1:5" x14ac:dyDescent="0.25">
      <c r="A705" s="11" t="s">
        <v>1623</v>
      </c>
      <c r="B705" s="11" t="s">
        <v>20</v>
      </c>
      <c r="C705" s="11" t="s">
        <v>62</v>
      </c>
      <c r="D705" s="12">
        <v>236</v>
      </c>
      <c r="E705" s="13">
        <v>0</v>
      </c>
    </row>
    <row r="706" spans="1:5" x14ac:dyDescent="0.25">
      <c r="A706" s="11" t="s">
        <v>476</v>
      </c>
      <c r="B706" s="11" t="s">
        <v>26</v>
      </c>
      <c r="C706" s="11" t="s">
        <v>5</v>
      </c>
      <c r="D706" s="12">
        <v>237</v>
      </c>
      <c r="E706" s="13">
        <v>4</v>
      </c>
    </row>
    <row r="707" spans="1:5" x14ac:dyDescent="0.25">
      <c r="A707" s="11" t="s">
        <v>1117</v>
      </c>
      <c r="B707" s="11" t="s">
        <v>24</v>
      </c>
      <c r="C707" s="11" t="s">
        <v>39</v>
      </c>
      <c r="D707" s="12">
        <v>237</v>
      </c>
      <c r="E707" s="13">
        <v>0</v>
      </c>
    </row>
    <row r="708" spans="1:5" x14ac:dyDescent="0.25">
      <c r="A708" s="11" t="s">
        <v>138</v>
      </c>
      <c r="B708" s="11" t="s">
        <v>24</v>
      </c>
      <c r="C708" s="11" t="s">
        <v>25</v>
      </c>
      <c r="D708" s="12">
        <v>238</v>
      </c>
      <c r="E708" s="13">
        <v>2</v>
      </c>
    </row>
    <row r="709" spans="1:5" x14ac:dyDescent="0.25">
      <c r="A709" s="11" t="s">
        <v>601</v>
      </c>
      <c r="B709" s="11" t="s">
        <v>24</v>
      </c>
      <c r="C709" s="11" t="s">
        <v>39</v>
      </c>
      <c r="D709" s="12">
        <v>238</v>
      </c>
      <c r="E709" s="13">
        <v>2</v>
      </c>
    </row>
    <row r="710" spans="1:5" x14ac:dyDescent="0.25">
      <c r="A710" s="11" t="s">
        <v>1038</v>
      </c>
      <c r="B710" s="11" t="s">
        <v>26</v>
      </c>
      <c r="C710" s="11" t="s">
        <v>32</v>
      </c>
      <c r="D710" s="12">
        <v>238</v>
      </c>
      <c r="E710" s="13">
        <v>1</v>
      </c>
    </row>
    <row r="711" spans="1:5" x14ac:dyDescent="0.25">
      <c r="A711" s="11" t="s">
        <v>1408</v>
      </c>
      <c r="B711" s="11" t="s">
        <v>20</v>
      </c>
      <c r="C711" s="11" t="s">
        <v>44</v>
      </c>
      <c r="D711" s="12">
        <v>238</v>
      </c>
      <c r="E711" s="13">
        <v>0</v>
      </c>
    </row>
    <row r="712" spans="1:5" x14ac:dyDescent="0.25">
      <c r="A712" s="11" t="s">
        <v>1479</v>
      </c>
      <c r="B712" s="11" t="s">
        <v>20</v>
      </c>
      <c r="C712" s="11" t="s">
        <v>111</v>
      </c>
      <c r="D712" s="12">
        <v>238</v>
      </c>
      <c r="E712" s="13">
        <v>1</v>
      </c>
    </row>
    <row r="713" spans="1:5" x14ac:dyDescent="0.25">
      <c r="A713" s="11" t="s">
        <v>1725</v>
      </c>
      <c r="B713" s="11" t="s">
        <v>26</v>
      </c>
      <c r="C713" s="11" t="s">
        <v>44</v>
      </c>
      <c r="D713" s="12">
        <v>238</v>
      </c>
      <c r="E713" s="13">
        <v>4</v>
      </c>
    </row>
    <row r="714" spans="1:5" x14ac:dyDescent="0.25">
      <c r="A714" s="11" t="s">
        <v>1970</v>
      </c>
      <c r="B714" s="11" t="s">
        <v>20</v>
      </c>
      <c r="C714" s="11" t="s">
        <v>39</v>
      </c>
      <c r="D714" s="12">
        <v>238</v>
      </c>
      <c r="E714" s="13">
        <v>7</v>
      </c>
    </row>
    <row r="715" spans="1:5" x14ac:dyDescent="0.25">
      <c r="A715" s="11" t="s">
        <v>392</v>
      </c>
      <c r="B715" s="11" t="s">
        <v>24</v>
      </c>
      <c r="C715" s="11" t="s">
        <v>44</v>
      </c>
      <c r="D715" s="12">
        <v>239</v>
      </c>
      <c r="E715" s="13">
        <v>3</v>
      </c>
    </row>
    <row r="716" spans="1:5" x14ac:dyDescent="0.25">
      <c r="A716" s="11" t="s">
        <v>456</v>
      </c>
      <c r="B716" s="11" t="s">
        <v>24</v>
      </c>
      <c r="C716" s="11" t="s">
        <v>30</v>
      </c>
      <c r="D716" s="12">
        <v>239</v>
      </c>
      <c r="E716" s="13">
        <v>3</v>
      </c>
    </row>
    <row r="717" spans="1:5" x14ac:dyDescent="0.25">
      <c r="A717" s="11" t="s">
        <v>1121</v>
      </c>
      <c r="B717" s="11" t="s">
        <v>26</v>
      </c>
      <c r="C717" s="11" t="s">
        <v>27</v>
      </c>
      <c r="D717" s="12">
        <v>239</v>
      </c>
      <c r="E717" s="13">
        <v>14</v>
      </c>
    </row>
    <row r="718" spans="1:5" x14ac:dyDescent="0.25">
      <c r="A718" s="11" t="s">
        <v>1204</v>
      </c>
      <c r="B718" s="11" t="s">
        <v>26</v>
      </c>
      <c r="C718" s="11" t="s">
        <v>40</v>
      </c>
      <c r="D718" s="12">
        <v>239</v>
      </c>
      <c r="E718" s="13">
        <v>10</v>
      </c>
    </row>
    <row r="719" spans="1:5" x14ac:dyDescent="0.25">
      <c r="A719" s="11" t="s">
        <v>1361</v>
      </c>
      <c r="B719" s="11" t="s">
        <v>20</v>
      </c>
      <c r="C719" s="11" t="s">
        <v>39</v>
      </c>
      <c r="D719" s="12">
        <v>239</v>
      </c>
      <c r="E719" s="13">
        <v>4</v>
      </c>
    </row>
    <row r="720" spans="1:5" x14ac:dyDescent="0.25">
      <c r="A720" s="11" t="s">
        <v>91</v>
      </c>
      <c r="B720" s="11" t="s">
        <v>26</v>
      </c>
      <c r="C720" s="11" t="s">
        <v>33</v>
      </c>
      <c r="D720" s="12">
        <v>240</v>
      </c>
      <c r="E720" s="13">
        <v>10</v>
      </c>
    </row>
    <row r="721" spans="1:5" x14ac:dyDescent="0.25">
      <c r="A721" s="11" t="s">
        <v>167</v>
      </c>
      <c r="B721" s="11" t="s">
        <v>24</v>
      </c>
      <c r="C721" s="11" t="s">
        <v>44</v>
      </c>
      <c r="D721" s="12">
        <v>240</v>
      </c>
      <c r="E721" s="13">
        <v>1</v>
      </c>
    </row>
    <row r="722" spans="1:5" x14ac:dyDescent="0.25">
      <c r="A722" s="11" t="s">
        <v>196</v>
      </c>
      <c r="B722" s="11" t="s">
        <v>24</v>
      </c>
      <c r="C722" s="11" t="s">
        <v>30</v>
      </c>
      <c r="D722" s="12">
        <v>240</v>
      </c>
      <c r="E722" s="13">
        <v>3</v>
      </c>
    </row>
    <row r="723" spans="1:5" x14ac:dyDescent="0.25">
      <c r="A723" s="11" t="s">
        <v>610</v>
      </c>
      <c r="B723" s="11" t="s">
        <v>20</v>
      </c>
      <c r="C723" s="11" t="s">
        <v>27</v>
      </c>
      <c r="D723" s="12">
        <v>240</v>
      </c>
      <c r="E723" s="13">
        <v>0</v>
      </c>
    </row>
    <row r="724" spans="1:5" x14ac:dyDescent="0.25">
      <c r="A724" s="11" t="s">
        <v>963</v>
      </c>
      <c r="B724" s="11" t="s">
        <v>24</v>
      </c>
      <c r="C724" s="11" t="s">
        <v>44</v>
      </c>
      <c r="D724" s="12">
        <v>240</v>
      </c>
      <c r="E724" s="13">
        <v>10</v>
      </c>
    </row>
    <row r="725" spans="1:5" x14ac:dyDescent="0.25">
      <c r="A725" s="11" t="s">
        <v>1303</v>
      </c>
      <c r="B725" s="11" t="s">
        <v>26</v>
      </c>
      <c r="C725" s="11" t="s">
        <v>39</v>
      </c>
      <c r="D725" s="12">
        <v>240</v>
      </c>
      <c r="E725" s="13">
        <v>0</v>
      </c>
    </row>
    <row r="726" spans="1:5" x14ac:dyDescent="0.25">
      <c r="A726" s="11" t="s">
        <v>1644</v>
      </c>
      <c r="B726" s="11" t="s">
        <v>20</v>
      </c>
      <c r="C726" s="11" t="s">
        <v>39</v>
      </c>
      <c r="D726" s="12">
        <v>240</v>
      </c>
      <c r="E726" s="13">
        <v>0</v>
      </c>
    </row>
    <row r="727" spans="1:5" x14ac:dyDescent="0.25">
      <c r="A727" s="11" t="s">
        <v>331</v>
      </c>
      <c r="B727" s="11" t="s">
        <v>26</v>
      </c>
      <c r="C727" s="11" t="s">
        <v>44</v>
      </c>
      <c r="D727" s="12">
        <v>241</v>
      </c>
      <c r="E727" s="13">
        <v>1</v>
      </c>
    </row>
    <row r="728" spans="1:5" x14ac:dyDescent="0.25">
      <c r="A728" s="11" t="s">
        <v>332</v>
      </c>
      <c r="B728" s="11" t="s">
        <v>20</v>
      </c>
      <c r="C728" s="11" t="s">
        <v>27</v>
      </c>
      <c r="D728" s="12">
        <v>241</v>
      </c>
      <c r="E728" s="13">
        <v>0</v>
      </c>
    </row>
    <row r="729" spans="1:5" x14ac:dyDescent="0.25">
      <c r="A729" s="11" t="s">
        <v>104</v>
      </c>
      <c r="B729" s="11" t="s">
        <v>24</v>
      </c>
      <c r="C729" s="11" t="s">
        <v>40</v>
      </c>
      <c r="D729" s="12">
        <v>242</v>
      </c>
      <c r="E729" s="13">
        <v>3</v>
      </c>
    </row>
    <row r="730" spans="1:5" x14ac:dyDescent="0.25">
      <c r="A730" s="11" t="s">
        <v>626</v>
      </c>
      <c r="B730" s="11" t="s">
        <v>24</v>
      </c>
      <c r="C730" s="11" t="s">
        <v>27</v>
      </c>
      <c r="D730" s="12">
        <v>242</v>
      </c>
      <c r="E730" s="13">
        <v>0</v>
      </c>
    </row>
    <row r="731" spans="1:5" x14ac:dyDescent="0.25">
      <c r="A731" s="11" t="s">
        <v>834</v>
      </c>
      <c r="B731" s="11" t="s">
        <v>20</v>
      </c>
      <c r="C731" s="11" t="s">
        <v>44</v>
      </c>
      <c r="D731" s="12">
        <v>242</v>
      </c>
      <c r="E731" s="13">
        <v>1</v>
      </c>
    </row>
    <row r="732" spans="1:5" x14ac:dyDescent="0.25">
      <c r="A732" s="11" t="s">
        <v>888</v>
      </c>
      <c r="B732" s="11" t="s">
        <v>26</v>
      </c>
      <c r="C732" s="11" t="s">
        <v>40</v>
      </c>
      <c r="D732" s="12">
        <v>242</v>
      </c>
      <c r="E732" s="13">
        <v>13</v>
      </c>
    </row>
    <row r="733" spans="1:5" x14ac:dyDescent="0.25">
      <c r="A733" s="11" t="s">
        <v>127</v>
      </c>
      <c r="B733" s="11" t="s">
        <v>24</v>
      </c>
      <c r="C733" s="11" t="s">
        <v>66</v>
      </c>
      <c r="D733" s="12">
        <v>243</v>
      </c>
      <c r="E733" s="13">
        <v>6</v>
      </c>
    </row>
    <row r="734" spans="1:5" x14ac:dyDescent="0.25">
      <c r="A734" s="11" t="s">
        <v>497</v>
      </c>
      <c r="B734" s="11" t="s">
        <v>24</v>
      </c>
      <c r="C734" s="11" t="s">
        <v>40</v>
      </c>
      <c r="D734" s="12">
        <v>243</v>
      </c>
      <c r="E734" s="13">
        <v>1</v>
      </c>
    </row>
    <row r="735" spans="1:5" x14ac:dyDescent="0.25">
      <c r="A735" s="11" t="s">
        <v>951</v>
      </c>
      <c r="B735" s="11" t="s">
        <v>20</v>
      </c>
      <c r="C735" s="11" t="s">
        <v>5</v>
      </c>
      <c r="D735" s="12">
        <v>243</v>
      </c>
      <c r="E735" s="13">
        <v>7</v>
      </c>
    </row>
    <row r="736" spans="1:5" x14ac:dyDescent="0.25">
      <c r="A736" s="11" t="s">
        <v>869</v>
      </c>
      <c r="B736" s="11" t="s">
        <v>24</v>
      </c>
      <c r="C736" s="11" t="s">
        <v>44</v>
      </c>
      <c r="D736" s="12">
        <v>244</v>
      </c>
      <c r="E736" s="13">
        <v>0</v>
      </c>
    </row>
    <row r="737" spans="1:5" x14ac:dyDescent="0.25">
      <c r="A737" s="11" t="s">
        <v>1349</v>
      </c>
      <c r="B737" s="11" t="s">
        <v>20</v>
      </c>
      <c r="C737" s="11" t="s">
        <v>33</v>
      </c>
      <c r="D737" s="12">
        <v>244</v>
      </c>
      <c r="E737" s="13">
        <v>4</v>
      </c>
    </row>
    <row r="738" spans="1:5" x14ac:dyDescent="0.25">
      <c r="A738" s="11" t="s">
        <v>403</v>
      </c>
      <c r="B738" s="11" t="s">
        <v>26</v>
      </c>
      <c r="C738" s="11" t="s">
        <v>44</v>
      </c>
      <c r="D738" s="12">
        <v>245</v>
      </c>
      <c r="E738" s="13">
        <v>0</v>
      </c>
    </row>
    <row r="739" spans="1:5" x14ac:dyDescent="0.25">
      <c r="A739" s="11" t="s">
        <v>740</v>
      </c>
      <c r="B739" s="11" t="s">
        <v>26</v>
      </c>
      <c r="C739" s="11" t="s">
        <v>21</v>
      </c>
      <c r="D739" s="12">
        <v>245</v>
      </c>
      <c r="E739" s="13">
        <v>2</v>
      </c>
    </row>
    <row r="740" spans="1:5" x14ac:dyDescent="0.25">
      <c r="A740" s="11" t="s">
        <v>685</v>
      </c>
      <c r="B740" s="11" t="s">
        <v>24</v>
      </c>
      <c r="C740" s="11" t="s">
        <v>44</v>
      </c>
      <c r="D740" s="12">
        <v>247</v>
      </c>
      <c r="E740" s="13">
        <v>2</v>
      </c>
    </row>
    <row r="741" spans="1:5" x14ac:dyDescent="0.25">
      <c r="A741" s="11" t="s">
        <v>820</v>
      </c>
      <c r="B741" s="11" t="s">
        <v>20</v>
      </c>
      <c r="C741" s="11" t="s">
        <v>28</v>
      </c>
      <c r="D741" s="12">
        <v>247</v>
      </c>
      <c r="E741" s="13">
        <v>3</v>
      </c>
    </row>
    <row r="742" spans="1:5" x14ac:dyDescent="0.25">
      <c r="A742" s="11" t="s">
        <v>880</v>
      </c>
      <c r="B742" s="11" t="s">
        <v>24</v>
      </c>
      <c r="C742" s="11" t="s">
        <v>28</v>
      </c>
      <c r="D742" s="12">
        <v>247</v>
      </c>
      <c r="E742" s="13">
        <v>2</v>
      </c>
    </row>
    <row r="743" spans="1:5" x14ac:dyDescent="0.25">
      <c r="A743" s="11" t="s">
        <v>903</v>
      </c>
      <c r="B743" s="11" t="s">
        <v>24</v>
      </c>
      <c r="C743" s="11" t="s">
        <v>66</v>
      </c>
      <c r="D743" s="12">
        <v>247</v>
      </c>
      <c r="E743" s="13">
        <v>1</v>
      </c>
    </row>
    <row r="744" spans="1:5" x14ac:dyDescent="0.25">
      <c r="A744" s="11" t="s">
        <v>1504</v>
      </c>
      <c r="B744" s="11" t="s">
        <v>26</v>
      </c>
      <c r="C744" s="11" t="s">
        <v>39</v>
      </c>
      <c r="D744" s="12">
        <v>247</v>
      </c>
      <c r="E744" s="13">
        <v>2</v>
      </c>
    </row>
    <row r="745" spans="1:5" x14ac:dyDescent="0.25">
      <c r="A745" s="11" t="s">
        <v>1951</v>
      </c>
      <c r="B745" s="11" t="s">
        <v>24</v>
      </c>
      <c r="C745" s="11" t="s">
        <v>5</v>
      </c>
      <c r="D745" s="12">
        <v>247</v>
      </c>
      <c r="E745" s="13">
        <v>8</v>
      </c>
    </row>
    <row r="746" spans="1:5" x14ac:dyDescent="0.25">
      <c r="A746" s="11" t="s">
        <v>794</v>
      </c>
      <c r="B746" s="11" t="s">
        <v>26</v>
      </c>
      <c r="C746" s="11" t="s">
        <v>44</v>
      </c>
      <c r="D746" s="12">
        <v>248</v>
      </c>
      <c r="E746" s="13">
        <v>1</v>
      </c>
    </row>
    <row r="747" spans="1:5" x14ac:dyDescent="0.25">
      <c r="A747" s="11" t="s">
        <v>229</v>
      </c>
      <c r="B747" s="11" t="s">
        <v>24</v>
      </c>
      <c r="C747" s="11" t="s">
        <v>5</v>
      </c>
      <c r="D747" s="12">
        <v>249</v>
      </c>
      <c r="E747" s="13">
        <v>2</v>
      </c>
    </row>
    <row r="748" spans="1:5" x14ac:dyDescent="0.25">
      <c r="A748" s="11" t="s">
        <v>658</v>
      </c>
      <c r="B748" s="11" t="s">
        <v>26</v>
      </c>
      <c r="C748" s="11" t="s">
        <v>39</v>
      </c>
      <c r="D748" s="12">
        <v>249</v>
      </c>
      <c r="E748" s="13">
        <v>0</v>
      </c>
    </row>
    <row r="749" spans="1:5" x14ac:dyDescent="0.25">
      <c r="A749" s="11" t="s">
        <v>1746</v>
      </c>
      <c r="B749" s="11" t="s">
        <v>20</v>
      </c>
      <c r="C749" s="11" t="s">
        <v>27</v>
      </c>
      <c r="D749" s="12">
        <v>249</v>
      </c>
      <c r="E749" s="13">
        <v>1</v>
      </c>
    </row>
    <row r="750" spans="1:5" x14ac:dyDescent="0.25">
      <c r="A750" s="11" t="s">
        <v>1748</v>
      </c>
      <c r="B750" s="11" t="s">
        <v>26</v>
      </c>
      <c r="C750" s="11" t="s">
        <v>27</v>
      </c>
      <c r="D750" s="12">
        <v>249</v>
      </c>
      <c r="E750" s="13">
        <v>7</v>
      </c>
    </row>
    <row r="751" spans="1:5" x14ac:dyDescent="0.25">
      <c r="A751" s="11" t="s">
        <v>1837</v>
      </c>
      <c r="B751" s="11" t="s">
        <v>24</v>
      </c>
      <c r="C751" s="11" t="s">
        <v>21</v>
      </c>
      <c r="D751" s="12">
        <v>249</v>
      </c>
      <c r="E751" s="13">
        <v>9</v>
      </c>
    </row>
    <row r="752" spans="1:5" x14ac:dyDescent="0.25">
      <c r="A752" s="11" t="s">
        <v>206</v>
      </c>
      <c r="B752" s="11" t="s">
        <v>26</v>
      </c>
      <c r="C752" s="11" t="s">
        <v>44</v>
      </c>
      <c r="D752" s="12">
        <v>250</v>
      </c>
      <c r="E752" s="13">
        <v>1</v>
      </c>
    </row>
    <row r="753" spans="1:5" x14ac:dyDescent="0.25">
      <c r="A753" s="11" t="s">
        <v>1289</v>
      </c>
      <c r="B753" s="11" t="s">
        <v>20</v>
      </c>
      <c r="C753" s="11" t="s">
        <v>22</v>
      </c>
      <c r="D753" s="12">
        <v>250</v>
      </c>
      <c r="E753" s="13">
        <v>2</v>
      </c>
    </row>
    <row r="754" spans="1:5" x14ac:dyDescent="0.25">
      <c r="A754" s="11" t="s">
        <v>1338</v>
      </c>
      <c r="B754" s="11" t="s">
        <v>26</v>
      </c>
      <c r="C754" s="11" t="s">
        <v>39</v>
      </c>
      <c r="D754" s="12">
        <v>250</v>
      </c>
      <c r="E754" s="13">
        <v>8</v>
      </c>
    </row>
    <row r="755" spans="1:5" x14ac:dyDescent="0.25">
      <c r="A755" s="11" t="s">
        <v>463</v>
      </c>
      <c r="B755" s="11" t="s">
        <v>26</v>
      </c>
      <c r="C755" s="11" t="s">
        <v>39</v>
      </c>
      <c r="D755" s="12">
        <v>251</v>
      </c>
      <c r="E755" s="13">
        <v>0</v>
      </c>
    </row>
    <row r="756" spans="1:5" x14ac:dyDescent="0.25">
      <c r="A756" s="11" t="s">
        <v>636</v>
      </c>
      <c r="B756" s="11" t="s">
        <v>26</v>
      </c>
      <c r="C756" s="11" t="s">
        <v>44</v>
      </c>
      <c r="D756" s="12">
        <v>251</v>
      </c>
      <c r="E756" s="13">
        <v>1</v>
      </c>
    </row>
    <row r="757" spans="1:5" x14ac:dyDescent="0.25">
      <c r="A757" s="11" t="s">
        <v>1840</v>
      </c>
      <c r="B757" s="11" t="s">
        <v>26</v>
      </c>
      <c r="C757" s="11" t="s">
        <v>39</v>
      </c>
      <c r="D757" s="12">
        <v>251</v>
      </c>
      <c r="E757" s="13">
        <v>0</v>
      </c>
    </row>
    <row r="758" spans="1:5" x14ac:dyDescent="0.25">
      <c r="A758" s="11" t="s">
        <v>1863</v>
      </c>
      <c r="B758" s="11" t="s">
        <v>20</v>
      </c>
      <c r="C758" s="11" t="s">
        <v>27</v>
      </c>
      <c r="D758" s="12">
        <v>251</v>
      </c>
      <c r="E758" s="13">
        <v>1</v>
      </c>
    </row>
    <row r="759" spans="1:5" x14ac:dyDescent="0.25">
      <c r="A759" s="11" t="s">
        <v>857</v>
      </c>
      <c r="B759" s="11" t="s">
        <v>24</v>
      </c>
      <c r="C759" s="11" t="s">
        <v>66</v>
      </c>
      <c r="D759" s="12">
        <v>252</v>
      </c>
      <c r="E759" s="13">
        <v>0</v>
      </c>
    </row>
    <row r="760" spans="1:5" x14ac:dyDescent="0.25">
      <c r="A760" s="11" t="s">
        <v>217</v>
      </c>
      <c r="B760" s="11" t="s">
        <v>24</v>
      </c>
      <c r="C760" s="11" t="s">
        <v>33</v>
      </c>
      <c r="D760" s="12">
        <v>253</v>
      </c>
      <c r="E760" s="13">
        <v>5</v>
      </c>
    </row>
    <row r="761" spans="1:5" x14ac:dyDescent="0.25">
      <c r="A761" s="11" t="s">
        <v>1470</v>
      </c>
      <c r="B761" s="11" t="s">
        <v>20</v>
      </c>
      <c r="C761" s="11" t="s">
        <v>28</v>
      </c>
      <c r="D761" s="12">
        <v>253</v>
      </c>
      <c r="E761" s="13">
        <v>8</v>
      </c>
    </row>
    <row r="762" spans="1:5" x14ac:dyDescent="0.25">
      <c r="A762" s="11" t="s">
        <v>1560</v>
      </c>
      <c r="B762" s="11" t="s">
        <v>24</v>
      </c>
      <c r="C762" s="11" t="s">
        <v>44</v>
      </c>
      <c r="D762" s="12">
        <v>253</v>
      </c>
      <c r="E762" s="13">
        <v>0</v>
      </c>
    </row>
    <row r="763" spans="1:5" x14ac:dyDescent="0.25">
      <c r="A763" s="11" t="s">
        <v>1868</v>
      </c>
      <c r="B763" s="11" t="s">
        <v>24</v>
      </c>
      <c r="C763" s="11" t="s">
        <v>111</v>
      </c>
      <c r="D763" s="12">
        <v>253</v>
      </c>
      <c r="E763" s="13">
        <v>0</v>
      </c>
    </row>
    <row r="764" spans="1:5" x14ac:dyDescent="0.25">
      <c r="A764" s="11" t="s">
        <v>969</v>
      </c>
      <c r="B764" s="11" t="s">
        <v>20</v>
      </c>
      <c r="C764" s="11" t="s">
        <v>32</v>
      </c>
      <c r="D764" s="12">
        <v>254</v>
      </c>
      <c r="E764" s="13">
        <v>1</v>
      </c>
    </row>
    <row r="765" spans="1:5" x14ac:dyDescent="0.25">
      <c r="A765" s="11" t="s">
        <v>903</v>
      </c>
      <c r="B765" s="11" t="s">
        <v>20</v>
      </c>
      <c r="C765" s="11" t="s">
        <v>62</v>
      </c>
      <c r="D765" s="12">
        <v>255</v>
      </c>
      <c r="E765" s="13">
        <v>0</v>
      </c>
    </row>
    <row r="766" spans="1:5" x14ac:dyDescent="0.25">
      <c r="A766" s="11" t="s">
        <v>1466</v>
      </c>
      <c r="B766" s="11" t="s">
        <v>24</v>
      </c>
      <c r="C766" s="11" t="s">
        <v>44</v>
      </c>
      <c r="D766" s="12">
        <v>255</v>
      </c>
      <c r="E766" s="13">
        <v>1</v>
      </c>
    </row>
    <row r="767" spans="1:5" x14ac:dyDescent="0.25">
      <c r="A767" s="11" t="s">
        <v>1840</v>
      </c>
      <c r="B767" s="11" t="s">
        <v>26</v>
      </c>
      <c r="C767" s="11" t="s">
        <v>111</v>
      </c>
      <c r="D767" s="12">
        <v>256</v>
      </c>
      <c r="E767" s="13">
        <v>6</v>
      </c>
    </row>
    <row r="768" spans="1:5" x14ac:dyDescent="0.25">
      <c r="A768" s="11" t="s">
        <v>1890</v>
      </c>
      <c r="B768" s="11" t="s">
        <v>20</v>
      </c>
      <c r="C768" s="11" t="s">
        <v>53</v>
      </c>
      <c r="D768" s="12">
        <v>256</v>
      </c>
      <c r="E768" s="13">
        <v>3</v>
      </c>
    </row>
    <row r="769" spans="1:5" x14ac:dyDescent="0.25">
      <c r="A769" s="11" t="s">
        <v>365</v>
      </c>
      <c r="B769" s="11" t="s">
        <v>26</v>
      </c>
      <c r="C769" s="11" t="s">
        <v>39</v>
      </c>
      <c r="D769" s="12">
        <v>257</v>
      </c>
      <c r="E769" s="13">
        <v>0</v>
      </c>
    </row>
    <row r="770" spans="1:5" x14ac:dyDescent="0.25">
      <c r="A770" s="11" t="s">
        <v>634</v>
      </c>
      <c r="B770" s="11" t="s">
        <v>26</v>
      </c>
      <c r="C770" s="11" t="s">
        <v>39</v>
      </c>
      <c r="D770" s="12">
        <v>257</v>
      </c>
      <c r="E770" s="13">
        <v>2</v>
      </c>
    </row>
    <row r="771" spans="1:5" x14ac:dyDescent="0.25">
      <c r="A771" s="11" t="s">
        <v>93</v>
      </c>
      <c r="B771" s="11" t="s">
        <v>24</v>
      </c>
      <c r="C771" s="11" t="s">
        <v>5</v>
      </c>
      <c r="D771" s="12">
        <v>258</v>
      </c>
      <c r="E771" s="13">
        <v>3</v>
      </c>
    </row>
    <row r="772" spans="1:5" x14ac:dyDescent="0.25">
      <c r="A772" s="11" t="s">
        <v>271</v>
      </c>
      <c r="B772" s="11" t="s">
        <v>20</v>
      </c>
      <c r="C772" s="11" t="s">
        <v>33</v>
      </c>
      <c r="D772" s="12">
        <v>258</v>
      </c>
      <c r="E772" s="13">
        <v>0</v>
      </c>
    </row>
    <row r="773" spans="1:5" x14ac:dyDescent="0.25">
      <c r="A773" s="11" t="s">
        <v>508</v>
      </c>
      <c r="B773" s="11" t="s">
        <v>20</v>
      </c>
      <c r="C773" s="11" t="s">
        <v>5</v>
      </c>
      <c r="D773" s="12">
        <v>258</v>
      </c>
      <c r="E773" s="13">
        <v>1</v>
      </c>
    </row>
    <row r="774" spans="1:5" x14ac:dyDescent="0.25">
      <c r="A774" s="11" t="s">
        <v>1185</v>
      </c>
      <c r="B774" s="11" t="s">
        <v>20</v>
      </c>
      <c r="C774" s="11" t="s">
        <v>21</v>
      </c>
      <c r="D774" s="12">
        <v>258</v>
      </c>
      <c r="E774" s="13">
        <v>11</v>
      </c>
    </row>
    <row r="775" spans="1:5" x14ac:dyDescent="0.25">
      <c r="A775" s="11" t="s">
        <v>1204</v>
      </c>
      <c r="B775" s="11" t="s">
        <v>20</v>
      </c>
      <c r="C775" s="11" t="s">
        <v>27</v>
      </c>
      <c r="D775" s="12">
        <v>258</v>
      </c>
      <c r="E775" s="13">
        <v>3</v>
      </c>
    </row>
    <row r="776" spans="1:5" x14ac:dyDescent="0.25">
      <c r="A776" s="11" t="s">
        <v>1583</v>
      </c>
      <c r="B776" s="11" t="s">
        <v>24</v>
      </c>
      <c r="C776" s="11" t="s">
        <v>33</v>
      </c>
      <c r="D776" s="12">
        <v>258</v>
      </c>
      <c r="E776" s="13">
        <v>0</v>
      </c>
    </row>
    <row r="777" spans="1:5" x14ac:dyDescent="0.25">
      <c r="A777" s="11" t="s">
        <v>110</v>
      </c>
      <c r="B777" s="11" t="s">
        <v>24</v>
      </c>
      <c r="C777" s="11" t="s">
        <v>5</v>
      </c>
      <c r="D777" s="12">
        <v>259</v>
      </c>
      <c r="E777" s="13">
        <v>0</v>
      </c>
    </row>
    <row r="778" spans="1:5" x14ac:dyDescent="0.25">
      <c r="A778" s="11" t="s">
        <v>153</v>
      </c>
      <c r="B778" s="11" t="s">
        <v>26</v>
      </c>
      <c r="C778" s="11" t="s">
        <v>62</v>
      </c>
      <c r="D778" s="12">
        <v>259</v>
      </c>
      <c r="E778" s="13">
        <v>0</v>
      </c>
    </row>
    <row r="779" spans="1:5" x14ac:dyDescent="0.25">
      <c r="A779" s="11" t="s">
        <v>174</v>
      </c>
      <c r="B779" s="11" t="s">
        <v>26</v>
      </c>
      <c r="C779" s="11" t="s">
        <v>39</v>
      </c>
      <c r="D779" s="12">
        <v>259</v>
      </c>
      <c r="E779" s="13">
        <v>1</v>
      </c>
    </row>
    <row r="780" spans="1:5" x14ac:dyDescent="0.25">
      <c r="A780" s="11" t="s">
        <v>710</v>
      </c>
      <c r="B780" s="11" t="s">
        <v>24</v>
      </c>
      <c r="C780" s="11" t="s">
        <v>22</v>
      </c>
      <c r="D780" s="12">
        <v>259</v>
      </c>
      <c r="E780" s="13">
        <v>5</v>
      </c>
    </row>
    <row r="781" spans="1:5" x14ac:dyDescent="0.25">
      <c r="A781" s="11" t="s">
        <v>484</v>
      </c>
      <c r="B781" s="11" t="s">
        <v>26</v>
      </c>
      <c r="C781" s="11" t="s">
        <v>32</v>
      </c>
      <c r="D781" s="12">
        <v>261</v>
      </c>
      <c r="E781" s="13">
        <v>6</v>
      </c>
    </row>
    <row r="782" spans="1:5" x14ac:dyDescent="0.25">
      <c r="A782" s="11" t="s">
        <v>621</v>
      </c>
      <c r="B782" s="11" t="s">
        <v>20</v>
      </c>
      <c r="C782" s="11" t="s">
        <v>44</v>
      </c>
      <c r="D782" s="12">
        <v>261</v>
      </c>
      <c r="E782" s="13">
        <v>0</v>
      </c>
    </row>
    <row r="783" spans="1:5" x14ac:dyDescent="0.25">
      <c r="A783" s="11" t="s">
        <v>755</v>
      </c>
      <c r="B783" s="11" t="s">
        <v>26</v>
      </c>
      <c r="C783" s="11" t="s">
        <v>44</v>
      </c>
      <c r="D783" s="12">
        <v>261</v>
      </c>
      <c r="E783" s="13">
        <v>2</v>
      </c>
    </row>
    <row r="784" spans="1:5" x14ac:dyDescent="0.25">
      <c r="A784" s="11" t="s">
        <v>496</v>
      </c>
      <c r="B784" s="11" t="s">
        <v>26</v>
      </c>
      <c r="C784" s="11" t="s">
        <v>22</v>
      </c>
      <c r="D784" s="12">
        <v>262</v>
      </c>
      <c r="E784" s="13">
        <v>6</v>
      </c>
    </row>
    <row r="785" spans="1:5" x14ac:dyDescent="0.25">
      <c r="A785" s="11" t="s">
        <v>1419</v>
      </c>
      <c r="B785" s="11" t="s">
        <v>20</v>
      </c>
      <c r="C785" s="11" t="s">
        <v>43</v>
      </c>
      <c r="D785" s="12">
        <v>262</v>
      </c>
      <c r="E785" s="13">
        <v>4</v>
      </c>
    </row>
    <row r="786" spans="1:5" x14ac:dyDescent="0.25">
      <c r="A786" s="11" t="s">
        <v>101</v>
      </c>
      <c r="B786" s="11" t="s">
        <v>20</v>
      </c>
      <c r="C786" s="11" t="s">
        <v>30</v>
      </c>
      <c r="D786" s="12">
        <v>264</v>
      </c>
      <c r="E786" s="13">
        <v>0</v>
      </c>
    </row>
    <row r="787" spans="1:5" x14ac:dyDescent="0.25">
      <c r="A787" s="11" t="s">
        <v>635</v>
      </c>
      <c r="B787" s="11" t="s">
        <v>26</v>
      </c>
      <c r="C787" s="11" t="s">
        <v>44</v>
      </c>
      <c r="D787" s="12">
        <v>264</v>
      </c>
      <c r="E787" s="13">
        <v>0</v>
      </c>
    </row>
    <row r="788" spans="1:5" x14ac:dyDescent="0.25">
      <c r="A788" s="11" t="s">
        <v>1680</v>
      </c>
      <c r="B788" s="11" t="s">
        <v>26</v>
      </c>
      <c r="C788" s="11" t="s">
        <v>43</v>
      </c>
      <c r="D788" s="12">
        <v>264</v>
      </c>
      <c r="E788" s="13">
        <v>6</v>
      </c>
    </row>
    <row r="789" spans="1:5" x14ac:dyDescent="0.25">
      <c r="A789" s="11" t="s">
        <v>1127</v>
      </c>
      <c r="B789" s="11" t="s">
        <v>20</v>
      </c>
      <c r="C789" s="11" t="s">
        <v>5</v>
      </c>
      <c r="D789" s="12">
        <v>265</v>
      </c>
      <c r="E789" s="13">
        <v>4</v>
      </c>
    </row>
    <row r="790" spans="1:5" x14ac:dyDescent="0.25">
      <c r="A790" s="11" t="s">
        <v>1466</v>
      </c>
      <c r="B790" s="11" t="s">
        <v>26</v>
      </c>
      <c r="C790" s="11" t="s">
        <v>34</v>
      </c>
      <c r="D790" s="12">
        <v>265</v>
      </c>
      <c r="E790" s="13">
        <v>0</v>
      </c>
    </row>
    <row r="791" spans="1:5" x14ac:dyDescent="0.25">
      <c r="A791" s="11" t="s">
        <v>1829</v>
      </c>
      <c r="B791" s="11" t="s">
        <v>20</v>
      </c>
      <c r="C791" s="11" t="s">
        <v>32</v>
      </c>
      <c r="D791" s="12">
        <v>265</v>
      </c>
      <c r="E791" s="13">
        <v>5</v>
      </c>
    </row>
    <row r="792" spans="1:5" x14ac:dyDescent="0.25">
      <c r="A792" s="11" t="s">
        <v>1971</v>
      </c>
      <c r="B792" s="11" t="s">
        <v>26</v>
      </c>
      <c r="C792" s="11" t="s">
        <v>27</v>
      </c>
      <c r="D792" s="12">
        <v>265</v>
      </c>
      <c r="E792" s="13">
        <v>6</v>
      </c>
    </row>
    <row r="793" spans="1:5" x14ac:dyDescent="0.25">
      <c r="A793" s="11" t="s">
        <v>395</v>
      </c>
      <c r="B793" s="11" t="s">
        <v>26</v>
      </c>
      <c r="C793" s="11" t="s">
        <v>44</v>
      </c>
      <c r="D793" s="12">
        <v>266</v>
      </c>
      <c r="E793" s="13">
        <v>9</v>
      </c>
    </row>
    <row r="794" spans="1:5" x14ac:dyDescent="0.25">
      <c r="A794" s="11" t="s">
        <v>799</v>
      </c>
      <c r="B794" s="11" t="s">
        <v>20</v>
      </c>
      <c r="C794" s="11" t="s">
        <v>27</v>
      </c>
      <c r="D794" s="12">
        <v>266</v>
      </c>
      <c r="E794" s="13">
        <v>2</v>
      </c>
    </row>
    <row r="795" spans="1:5" x14ac:dyDescent="0.25">
      <c r="A795" s="11" t="s">
        <v>920</v>
      </c>
      <c r="B795" s="11" t="s">
        <v>20</v>
      </c>
      <c r="C795" s="11" t="s">
        <v>39</v>
      </c>
      <c r="D795" s="12">
        <v>266</v>
      </c>
      <c r="E795" s="13">
        <v>3</v>
      </c>
    </row>
    <row r="796" spans="1:5" x14ac:dyDescent="0.25">
      <c r="A796" s="11" t="s">
        <v>932</v>
      </c>
      <c r="B796" s="11" t="s">
        <v>20</v>
      </c>
      <c r="C796" s="11" t="s">
        <v>25</v>
      </c>
      <c r="D796" s="12">
        <v>266</v>
      </c>
      <c r="E796" s="13">
        <v>0</v>
      </c>
    </row>
    <row r="797" spans="1:5" x14ac:dyDescent="0.25">
      <c r="A797" s="11" t="s">
        <v>1317</v>
      </c>
      <c r="B797" s="11" t="s">
        <v>24</v>
      </c>
      <c r="C797" s="11" t="s">
        <v>30</v>
      </c>
      <c r="D797" s="12">
        <v>266</v>
      </c>
      <c r="E797" s="13">
        <v>2</v>
      </c>
    </row>
    <row r="798" spans="1:5" x14ac:dyDescent="0.25">
      <c r="A798" s="11" t="s">
        <v>740</v>
      </c>
      <c r="B798" s="11" t="s">
        <v>20</v>
      </c>
      <c r="C798" s="11" t="s">
        <v>33</v>
      </c>
      <c r="D798" s="12">
        <v>267</v>
      </c>
      <c r="E798" s="13">
        <v>0</v>
      </c>
    </row>
    <row r="799" spans="1:5" x14ac:dyDescent="0.25">
      <c r="A799" s="11" t="s">
        <v>1208</v>
      </c>
      <c r="B799" s="11" t="s">
        <v>26</v>
      </c>
      <c r="C799" s="11" t="s">
        <v>62</v>
      </c>
      <c r="D799" s="12">
        <v>267</v>
      </c>
      <c r="E799" s="13">
        <v>4</v>
      </c>
    </row>
    <row r="800" spans="1:5" x14ac:dyDescent="0.25">
      <c r="A800" s="11" t="s">
        <v>1664</v>
      </c>
      <c r="B800" s="11" t="s">
        <v>24</v>
      </c>
      <c r="C800" s="11" t="s">
        <v>53</v>
      </c>
      <c r="D800" s="12">
        <v>267</v>
      </c>
      <c r="E800" s="13">
        <v>15</v>
      </c>
    </row>
    <row r="801" spans="1:5" x14ac:dyDescent="0.25">
      <c r="A801" s="11" t="s">
        <v>1890</v>
      </c>
      <c r="B801" s="11" t="s">
        <v>24</v>
      </c>
      <c r="C801" s="11" t="s">
        <v>22</v>
      </c>
      <c r="D801" s="12">
        <v>267</v>
      </c>
      <c r="E801" s="13">
        <v>3</v>
      </c>
    </row>
    <row r="802" spans="1:5" x14ac:dyDescent="0.25">
      <c r="A802" s="11" t="s">
        <v>156</v>
      </c>
      <c r="B802" s="11" t="s">
        <v>26</v>
      </c>
      <c r="C802" s="11" t="s">
        <v>43</v>
      </c>
      <c r="D802" s="12">
        <v>268</v>
      </c>
      <c r="E802" s="13">
        <v>3</v>
      </c>
    </row>
    <row r="803" spans="1:5" x14ac:dyDescent="0.25">
      <c r="A803" s="11" t="s">
        <v>1348</v>
      </c>
      <c r="B803" s="11" t="s">
        <v>20</v>
      </c>
      <c r="C803" s="11" t="s">
        <v>44</v>
      </c>
      <c r="D803" s="12">
        <v>268</v>
      </c>
      <c r="E803" s="13">
        <v>0</v>
      </c>
    </row>
    <row r="804" spans="1:5" x14ac:dyDescent="0.25">
      <c r="A804" s="11" t="s">
        <v>1660</v>
      </c>
      <c r="B804" s="11" t="s">
        <v>24</v>
      </c>
      <c r="C804" s="11" t="s">
        <v>33</v>
      </c>
      <c r="D804" s="12">
        <v>268</v>
      </c>
      <c r="E804" s="13">
        <v>18</v>
      </c>
    </row>
    <row r="805" spans="1:5" x14ac:dyDescent="0.25">
      <c r="A805" s="11" t="s">
        <v>1804</v>
      </c>
      <c r="B805" s="11" t="s">
        <v>24</v>
      </c>
      <c r="C805" s="11" t="s">
        <v>21</v>
      </c>
      <c r="D805" s="12">
        <v>268</v>
      </c>
      <c r="E805" s="13">
        <v>0</v>
      </c>
    </row>
    <row r="806" spans="1:5" x14ac:dyDescent="0.25">
      <c r="A806" s="11" t="s">
        <v>1302</v>
      </c>
      <c r="B806" s="11" t="s">
        <v>26</v>
      </c>
      <c r="C806" s="11" t="s">
        <v>44</v>
      </c>
      <c r="D806" s="12">
        <v>269</v>
      </c>
      <c r="E806" s="13">
        <v>1</v>
      </c>
    </row>
    <row r="807" spans="1:5" x14ac:dyDescent="0.25">
      <c r="A807" s="11" t="s">
        <v>194</v>
      </c>
      <c r="B807" s="11" t="s">
        <v>20</v>
      </c>
      <c r="C807" s="11" t="s">
        <v>25</v>
      </c>
      <c r="D807" s="12">
        <v>271</v>
      </c>
      <c r="E807" s="13">
        <v>1</v>
      </c>
    </row>
    <row r="808" spans="1:5" x14ac:dyDescent="0.25">
      <c r="A808" s="11" t="s">
        <v>370</v>
      </c>
      <c r="B808" s="11" t="s">
        <v>26</v>
      </c>
      <c r="C808" s="11" t="s">
        <v>30</v>
      </c>
      <c r="D808" s="12">
        <v>271</v>
      </c>
      <c r="E808" s="13">
        <v>0</v>
      </c>
    </row>
    <row r="809" spans="1:5" x14ac:dyDescent="0.25">
      <c r="A809" s="11" t="s">
        <v>374</v>
      </c>
      <c r="B809" s="11" t="s">
        <v>20</v>
      </c>
      <c r="C809" s="11" t="s">
        <v>25</v>
      </c>
      <c r="D809" s="12">
        <v>271</v>
      </c>
      <c r="E809" s="13">
        <v>2</v>
      </c>
    </row>
    <row r="810" spans="1:5" x14ac:dyDescent="0.25">
      <c r="A810" s="11" t="s">
        <v>1618</v>
      </c>
      <c r="B810" s="11" t="s">
        <v>26</v>
      </c>
      <c r="C810" s="11" t="s">
        <v>44</v>
      </c>
      <c r="D810" s="12">
        <v>271</v>
      </c>
      <c r="E810" s="13">
        <v>0</v>
      </c>
    </row>
    <row r="811" spans="1:5" x14ac:dyDescent="0.25">
      <c r="A811" s="11" t="s">
        <v>841</v>
      </c>
      <c r="B811" s="11" t="s">
        <v>20</v>
      </c>
      <c r="C811" s="11" t="s">
        <v>44</v>
      </c>
      <c r="D811" s="12">
        <v>272</v>
      </c>
      <c r="E811" s="13">
        <v>0</v>
      </c>
    </row>
    <row r="812" spans="1:5" x14ac:dyDescent="0.25">
      <c r="A812" s="11" t="s">
        <v>1074</v>
      </c>
      <c r="B812" s="11" t="s">
        <v>26</v>
      </c>
      <c r="C812" s="11" t="s">
        <v>62</v>
      </c>
      <c r="D812" s="12">
        <v>272</v>
      </c>
      <c r="E812" s="13">
        <v>0</v>
      </c>
    </row>
    <row r="813" spans="1:5" x14ac:dyDescent="0.25">
      <c r="A813" s="11" t="s">
        <v>1263</v>
      </c>
      <c r="B813" s="11" t="s">
        <v>26</v>
      </c>
      <c r="C813" s="11" t="s">
        <v>44</v>
      </c>
      <c r="D813" s="12">
        <v>272</v>
      </c>
      <c r="E813" s="13">
        <v>9</v>
      </c>
    </row>
    <row r="814" spans="1:5" x14ac:dyDescent="0.25">
      <c r="A814" s="11" t="s">
        <v>1541</v>
      </c>
      <c r="B814" s="11" t="s">
        <v>24</v>
      </c>
      <c r="C814" s="11" t="s">
        <v>43</v>
      </c>
      <c r="D814" s="12">
        <v>272</v>
      </c>
      <c r="E814" s="13">
        <v>2</v>
      </c>
    </row>
    <row r="815" spans="1:5" x14ac:dyDescent="0.25">
      <c r="A815" s="11" t="s">
        <v>680</v>
      </c>
      <c r="B815" s="11" t="s">
        <v>26</v>
      </c>
      <c r="C815" s="11" t="s">
        <v>39</v>
      </c>
      <c r="D815" s="12">
        <v>273</v>
      </c>
      <c r="E815" s="13">
        <v>0</v>
      </c>
    </row>
    <row r="816" spans="1:5" x14ac:dyDescent="0.25">
      <c r="A816" s="11" t="s">
        <v>701</v>
      </c>
      <c r="B816" s="11" t="s">
        <v>26</v>
      </c>
      <c r="C816" s="11" t="s">
        <v>34</v>
      </c>
      <c r="D816" s="12">
        <v>273</v>
      </c>
      <c r="E816" s="13">
        <v>2</v>
      </c>
    </row>
    <row r="817" spans="1:5" x14ac:dyDescent="0.25">
      <c r="A817" s="11" t="s">
        <v>1583</v>
      </c>
      <c r="B817" s="11" t="s">
        <v>20</v>
      </c>
      <c r="C817" s="11" t="s">
        <v>25</v>
      </c>
      <c r="D817" s="12">
        <v>275</v>
      </c>
      <c r="E817" s="13">
        <v>4</v>
      </c>
    </row>
    <row r="818" spans="1:5" x14ac:dyDescent="0.25">
      <c r="A818" s="11" t="s">
        <v>281</v>
      </c>
      <c r="B818" s="11" t="s">
        <v>20</v>
      </c>
      <c r="C818" s="11" t="s">
        <v>44</v>
      </c>
      <c r="D818" s="12">
        <v>276</v>
      </c>
      <c r="E818" s="13">
        <v>5</v>
      </c>
    </row>
    <row r="819" spans="1:5" x14ac:dyDescent="0.25">
      <c r="A819" s="11" t="s">
        <v>1358</v>
      </c>
      <c r="B819" s="11" t="s">
        <v>24</v>
      </c>
      <c r="C819" s="11" t="s">
        <v>44</v>
      </c>
      <c r="D819" s="12">
        <v>276</v>
      </c>
      <c r="E819" s="13">
        <v>2</v>
      </c>
    </row>
    <row r="820" spans="1:5" x14ac:dyDescent="0.25">
      <c r="A820" s="11" t="s">
        <v>1531</v>
      </c>
      <c r="B820" s="11" t="s">
        <v>20</v>
      </c>
      <c r="C820" s="11" t="s">
        <v>39</v>
      </c>
      <c r="D820" s="12">
        <v>276</v>
      </c>
      <c r="E820" s="13">
        <v>0</v>
      </c>
    </row>
    <row r="821" spans="1:5" x14ac:dyDescent="0.25">
      <c r="A821" s="11" t="s">
        <v>352</v>
      </c>
      <c r="B821" s="11" t="s">
        <v>26</v>
      </c>
      <c r="C821" s="11" t="s">
        <v>44</v>
      </c>
      <c r="D821" s="12">
        <v>277</v>
      </c>
      <c r="E821" s="13">
        <v>0</v>
      </c>
    </row>
    <row r="822" spans="1:5" x14ac:dyDescent="0.25">
      <c r="A822" s="11" t="s">
        <v>463</v>
      </c>
      <c r="B822" s="11" t="s">
        <v>20</v>
      </c>
      <c r="C822" s="11" t="s">
        <v>39</v>
      </c>
      <c r="D822" s="12">
        <v>277</v>
      </c>
      <c r="E822" s="13">
        <v>0</v>
      </c>
    </row>
    <row r="823" spans="1:5" x14ac:dyDescent="0.25">
      <c r="A823" s="11" t="s">
        <v>510</v>
      </c>
      <c r="B823" s="11" t="s">
        <v>20</v>
      </c>
      <c r="C823" s="11" t="s">
        <v>5</v>
      </c>
      <c r="D823" s="12">
        <v>277</v>
      </c>
      <c r="E823" s="13">
        <v>0</v>
      </c>
    </row>
    <row r="824" spans="1:5" x14ac:dyDescent="0.25">
      <c r="A824" s="11" t="s">
        <v>1029</v>
      </c>
      <c r="B824" s="11" t="s">
        <v>26</v>
      </c>
      <c r="C824" s="11" t="s">
        <v>5</v>
      </c>
      <c r="D824" s="12">
        <v>277</v>
      </c>
      <c r="E824" s="13">
        <v>0</v>
      </c>
    </row>
    <row r="825" spans="1:5" x14ac:dyDescent="0.25">
      <c r="A825" s="11" t="s">
        <v>1049</v>
      </c>
      <c r="B825" s="11" t="s">
        <v>24</v>
      </c>
      <c r="C825" s="11" t="s">
        <v>30</v>
      </c>
      <c r="D825" s="12">
        <v>278</v>
      </c>
      <c r="E825" s="13">
        <v>3</v>
      </c>
    </row>
    <row r="826" spans="1:5" x14ac:dyDescent="0.25">
      <c r="A826" s="11" t="s">
        <v>1843</v>
      </c>
      <c r="B826" s="11" t="s">
        <v>26</v>
      </c>
      <c r="C826" s="11" t="s">
        <v>5</v>
      </c>
      <c r="D826" s="12">
        <v>278</v>
      </c>
      <c r="E826" s="13">
        <v>0</v>
      </c>
    </row>
    <row r="827" spans="1:5" x14ac:dyDescent="0.25">
      <c r="A827" s="11" t="s">
        <v>329</v>
      </c>
      <c r="B827" s="11" t="s">
        <v>24</v>
      </c>
      <c r="C827" s="11" t="s">
        <v>44</v>
      </c>
      <c r="D827" s="12">
        <v>279</v>
      </c>
      <c r="E827" s="13">
        <v>0</v>
      </c>
    </row>
    <row r="828" spans="1:5" x14ac:dyDescent="0.25">
      <c r="A828" s="11" t="s">
        <v>520</v>
      </c>
      <c r="B828" s="11" t="s">
        <v>24</v>
      </c>
      <c r="C828" s="11" t="s">
        <v>30</v>
      </c>
      <c r="D828" s="12">
        <v>279</v>
      </c>
      <c r="E828" s="13">
        <v>4</v>
      </c>
    </row>
    <row r="829" spans="1:5" x14ac:dyDescent="0.25">
      <c r="A829" s="11" t="s">
        <v>1134</v>
      </c>
      <c r="B829" s="11" t="s">
        <v>20</v>
      </c>
      <c r="C829" s="11" t="s">
        <v>5</v>
      </c>
      <c r="D829" s="12">
        <v>279</v>
      </c>
      <c r="E829" s="13">
        <v>2</v>
      </c>
    </row>
    <row r="830" spans="1:5" x14ac:dyDescent="0.25">
      <c r="A830" s="11" t="s">
        <v>1923</v>
      </c>
      <c r="B830" s="11" t="s">
        <v>26</v>
      </c>
      <c r="C830" s="11" t="s">
        <v>5</v>
      </c>
      <c r="D830" s="12">
        <v>279</v>
      </c>
      <c r="E830" s="13">
        <v>5</v>
      </c>
    </row>
    <row r="831" spans="1:5" x14ac:dyDescent="0.25">
      <c r="A831" s="11" t="s">
        <v>546</v>
      </c>
      <c r="B831" s="11" t="s">
        <v>20</v>
      </c>
      <c r="C831" s="11" t="s">
        <v>5</v>
      </c>
      <c r="D831" s="12">
        <v>280</v>
      </c>
      <c r="E831" s="13">
        <v>3</v>
      </c>
    </row>
    <row r="832" spans="1:5" x14ac:dyDescent="0.25">
      <c r="A832" s="11" t="s">
        <v>729</v>
      </c>
      <c r="B832" s="11" t="s">
        <v>20</v>
      </c>
      <c r="C832" s="11" t="s">
        <v>28</v>
      </c>
      <c r="D832" s="12">
        <v>280</v>
      </c>
      <c r="E832" s="13">
        <v>2</v>
      </c>
    </row>
    <row r="833" spans="1:5" x14ac:dyDescent="0.25">
      <c r="A833" s="11" t="s">
        <v>1023</v>
      </c>
      <c r="B833" s="11" t="s">
        <v>24</v>
      </c>
      <c r="C833" s="11" t="s">
        <v>44</v>
      </c>
      <c r="D833" s="12">
        <v>280</v>
      </c>
      <c r="E833" s="13">
        <v>3</v>
      </c>
    </row>
    <row r="834" spans="1:5" x14ac:dyDescent="0.25">
      <c r="A834" s="11" t="s">
        <v>1140</v>
      </c>
      <c r="B834" s="11" t="s">
        <v>26</v>
      </c>
      <c r="C834" s="11" t="s">
        <v>44</v>
      </c>
      <c r="D834" s="12">
        <v>280</v>
      </c>
      <c r="E834" s="13">
        <v>3</v>
      </c>
    </row>
    <row r="835" spans="1:5" x14ac:dyDescent="0.25">
      <c r="A835" s="11" t="s">
        <v>1707</v>
      </c>
      <c r="B835" s="11" t="s">
        <v>20</v>
      </c>
      <c r="C835" s="11" t="s">
        <v>22</v>
      </c>
      <c r="D835" s="12">
        <v>280</v>
      </c>
      <c r="E835" s="13">
        <v>4</v>
      </c>
    </row>
    <row r="836" spans="1:5" x14ac:dyDescent="0.25">
      <c r="A836" s="11" t="s">
        <v>1875</v>
      </c>
      <c r="B836" s="11" t="s">
        <v>26</v>
      </c>
      <c r="C836" s="11" t="s">
        <v>43</v>
      </c>
      <c r="D836" s="12">
        <v>280</v>
      </c>
      <c r="E836" s="13">
        <v>6</v>
      </c>
    </row>
    <row r="837" spans="1:5" x14ac:dyDescent="0.25">
      <c r="A837" s="11" t="s">
        <v>1100</v>
      </c>
      <c r="B837" s="11" t="s">
        <v>20</v>
      </c>
      <c r="C837" s="11" t="s">
        <v>40</v>
      </c>
      <c r="D837" s="12">
        <v>281</v>
      </c>
      <c r="E837" s="13">
        <v>3</v>
      </c>
    </row>
    <row r="838" spans="1:5" x14ac:dyDescent="0.25">
      <c r="A838" s="11" t="s">
        <v>1317</v>
      </c>
      <c r="B838" s="11" t="s">
        <v>20</v>
      </c>
      <c r="C838" s="11" t="s">
        <v>30</v>
      </c>
      <c r="D838" s="12">
        <v>281</v>
      </c>
      <c r="E838" s="13">
        <v>1</v>
      </c>
    </row>
    <row r="839" spans="1:5" x14ac:dyDescent="0.25">
      <c r="A839" s="11" t="s">
        <v>1502</v>
      </c>
      <c r="B839" s="11" t="s">
        <v>20</v>
      </c>
      <c r="C839" s="11" t="s">
        <v>44</v>
      </c>
      <c r="D839" s="12">
        <v>282</v>
      </c>
      <c r="E839" s="13">
        <v>3</v>
      </c>
    </row>
    <row r="840" spans="1:5" x14ac:dyDescent="0.25">
      <c r="A840" s="11" t="s">
        <v>1524</v>
      </c>
      <c r="B840" s="11" t="s">
        <v>20</v>
      </c>
      <c r="C840" s="11" t="s">
        <v>44</v>
      </c>
      <c r="D840" s="12">
        <v>283</v>
      </c>
      <c r="E840" s="13">
        <v>2</v>
      </c>
    </row>
    <row r="841" spans="1:5" x14ac:dyDescent="0.25">
      <c r="A841" s="11" t="s">
        <v>1764</v>
      </c>
      <c r="B841" s="11" t="s">
        <v>20</v>
      </c>
      <c r="C841" s="11" t="s">
        <v>44</v>
      </c>
      <c r="D841" s="12">
        <v>283</v>
      </c>
      <c r="E841" s="13">
        <v>0</v>
      </c>
    </row>
    <row r="842" spans="1:5" x14ac:dyDescent="0.25">
      <c r="A842" s="11" t="s">
        <v>88</v>
      </c>
      <c r="B842" s="11" t="s">
        <v>26</v>
      </c>
      <c r="C842" s="11" t="s">
        <v>39</v>
      </c>
      <c r="D842" s="12">
        <v>284</v>
      </c>
      <c r="E842" s="13">
        <v>6</v>
      </c>
    </row>
    <row r="843" spans="1:5" x14ac:dyDescent="0.25">
      <c r="A843" s="11" t="s">
        <v>286</v>
      </c>
      <c r="B843" s="11" t="s">
        <v>26</v>
      </c>
      <c r="C843" s="11" t="s">
        <v>27</v>
      </c>
      <c r="D843" s="12">
        <v>284</v>
      </c>
      <c r="E843" s="13">
        <v>9</v>
      </c>
    </row>
    <row r="844" spans="1:5" x14ac:dyDescent="0.25">
      <c r="A844" s="11" t="s">
        <v>957</v>
      </c>
      <c r="B844" s="11" t="s">
        <v>24</v>
      </c>
      <c r="C844" s="11" t="s">
        <v>44</v>
      </c>
      <c r="D844" s="12">
        <v>284</v>
      </c>
      <c r="E844" s="13">
        <v>0</v>
      </c>
    </row>
    <row r="845" spans="1:5" x14ac:dyDescent="0.25">
      <c r="A845" s="11" t="s">
        <v>1331</v>
      </c>
      <c r="B845" s="11" t="s">
        <v>20</v>
      </c>
      <c r="C845" s="11" t="s">
        <v>34</v>
      </c>
      <c r="D845" s="12">
        <v>284</v>
      </c>
      <c r="E845" s="13">
        <v>1</v>
      </c>
    </row>
    <row r="846" spans="1:5" x14ac:dyDescent="0.25">
      <c r="A846" s="11" t="s">
        <v>1410</v>
      </c>
      <c r="B846" s="11" t="s">
        <v>20</v>
      </c>
      <c r="C846" s="11" t="s">
        <v>44</v>
      </c>
      <c r="D846" s="12">
        <v>284</v>
      </c>
      <c r="E846" s="13">
        <v>0</v>
      </c>
    </row>
    <row r="847" spans="1:5" x14ac:dyDescent="0.25">
      <c r="A847" s="11" t="s">
        <v>1497</v>
      </c>
      <c r="B847" s="11" t="s">
        <v>20</v>
      </c>
      <c r="C847" s="11" t="s">
        <v>22</v>
      </c>
      <c r="D847" s="12">
        <v>284</v>
      </c>
      <c r="E847" s="13">
        <v>1</v>
      </c>
    </row>
    <row r="848" spans="1:5" x14ac:dyDescent="0.25">
      <c r="A848" s="11" t="s">
        <v>1054</v>
      </c>
      <c r="B848" s="11" t="s">
        <v>20</v>
      </c>
      <c r="C848" s="11" t="s">
        <v>66</v>
      </c>
      <c r="D848" s="12">
        <v>285</v>
      </c>
      <c r="E848" s="13">
        <v>0</v>
      </c>
    </row>
    <row r="849" spans="1:5" x14ac:dyDescent="0.25">
      <c r="A849" s="11" t="s">
        <v>1517</v>
      </c>
      <c r="B849" s="11" t="s">
        <v>24</v>
      </c>
      <c r="C849" s="11" t="s">
        <v>44</v>
      </c>
      <c r="D849" s="12">
        <v>285</v>
      </c>
      <c r="E849" s="13">
        <v>0</v>
      </c>
    </row>
    <row r="850" spans="1:5" x14ac:dyDescent="0.25">
      <c r="A850" s="11" t="s">
        <v>976</v>
      </c>
      <c r="B850" s="11" t="s">
        <v>26</v>
      </c>
      <c r="C850" s="11" t="s">
        <v>28</v>
      </c>
      <c r="D850" s="12">
        <v>286</v>
      </c>
      <c r="E850" s="13">
        <v>1</v>
      </c>
    </row>
    <row r="851" spans="1:5" x14ac:dyDescent="0.25">
      <c r="A851" s="11" t="s">
        <v>807</v>
      </c>
      <c r="B851" s="11" t="s">
        <v>20</v>
      </c>
      <c r="C851" s="11" t="s">
        <v>28</v>
      </c>
      <c r="D851" s="12">
        <v>287</v>
      </c>
      <c r="E851" s="13">
        <v>0</v>
      </c>
    </row>
    <row r="852" spans="1:5" x14ac:dyDescent="0.25">
      <c r="A852" s="11" t="s">
        <v>1198</v>
      </c>
      <c r="B852" s="11" t="s">
        <v>26</v>
      </c>
      <c r="C852" s="11" t="s">
        <v>30</v>
      </c>
      <c r="D852" s="12">
        <v>288</v>
      </c>
      <c r="E852" s="13">
        <v>10</v>
      </c>
    </row>
    <row r="853" spans="1:5" x14ac:dyDescent="0.25">
      <c r="A853" s="11" t="s">
        <v>1722</v>
      </c>
      <c r="B853" s="11" t="s">
        <v>26</v>
      </c>
      <c r="C853" s="11" t="s">
        <v>5</v>
      </c>
      <c r="D853" s="12">
        <v>288</v>
      </c>
      <c r="E853" s="13">
        <v>1</v>
      </c>
    </row>
    <row r="854" spans="1:5" x14ac:dyDescent="0.25">
      <c r="A854" s="11" t="s">
        <v>46</v>
      </c>
      <c r="B854" s="11" t="s">
        <v>26</v>
      </c>
      <c r="C854" s="11" t="s">
        <v>22</v>
      </c>
      <c r="D854" s="12">
        <v>289</v>
      </c>
      <c r="E854" s="13">
        <v>11</v>
      </c>
    </row>
    <row r="855" spans="1:5" x14ac:dyDescent="0.25">
      <c r="A855" s="11" t="s">
        <v>1200</v>
      </c>
      <c r="B855" s="11" t="s">
        <v>24</v>
      </c>
      <c r="C855" s="11" t="s">
        <v>34</v>
      </c>
      <c r="D855" s="12">
        <v>289</v>
      </c>
      <c r="E855" s="13">
        <v>0</v>
      </c>
    </row>
    <row r="856" spans="1:5" x14ac:dyDescent="0.25">
      <c r="A856" s="11" t="s">
        <v>208</v>
      </c>
      <c r="B856" s="11" t="s">
        <v>24</v>
      </c>
      <c r="C856" s="11" t="s">
        <v>53</v>
      </c>
      <c r="D856" s="12">
        <v>290</v>
      </c>
      <c r="E856" s="13">
        <v>4</v>
      </c>
    </row>
    <row r="857" spans="1:5" x14ac:dyDescent="0.25">
      <c r="A857" s="11" t="s">
        <v>316</v>
      </c>
      <c r="B857" s="11" t="s">
        <v>26</v>
      </c>
      <c r="C857" s="11" t="s">
        <v>5</v>
      </c>
      <c r="D857" s="12">
        <v>290</v>
      </c>
      <c r="E857" s="13">
        <v>5</v>
      </c>
    </row>
    <row r="858" spans="1:5" x14ac:dyDescent="0.25">
      <c r="A858" s="11" t="s">
        <v>1095</v>
      </c>
      <c r="B858" s="11" t="s">
        <v>26</v>
      </c>
      <c r="C858" s="11" t="s">
        <v>53</v>
      </c>
      <c r="D858" s="12">
        <v>290</v>
      </c>
      <c r="E858" s="13">
        <v>0</v>
      </c>
    </row>
    <row r="859" spans="1:5" x14ac:dyDescent="0.25">
      <c r="A859" s="11" t="s">
        <v>1411</v>
      </c>
      <c r="B859" s="11" t="s">
        <v>24</v>
      </c>
      <c r="C859" s="11" t="s">
        <v>53</v>
      </c>
      <c r="D859" s="12">
        <v>290</v>
      </c>
      <c r="E859" s="13">
        <v>3</v>
      </c>
    </row>
    <row r="860" spans="1:5" x14ac:dyDescent="0.25">
      <c r="A860" s="11" t="s">
        <v>336</v>
      </c>
      <c r="B860" s="11" t="s">
        <v>24</v>
      </c>
      <c r="C860" s="11" t="s">
        <v>27</v>
      </c>
      <c r="D860" s="12">
        <v>291</v>
      </c>
      <c r="E860" s="13">
        <v>3</v>
      </c>
    </row>
    <row r="861" spans="1:5" x14ac:dyDescent="0.25">
      <c r="A861" s="11" t="s">
        <v>1032</v>
      </c>
      <c r="B861" s="11" t="s">
        <v>24</v>
      </c>
      <c r="C861" s="11" t="s">
        <v>27</v>
      </c>
      <c r="D861" s="12">
        <v>291</v>
      </c>
      <c r="E861" s="13">
        <v>7</v>
      </c>
    </row>
    <row r="862" spans="1:5" x14ac:dyDescent="0.25">
      <c r="A862" s="11" t="s">
        <v>1613</v>
      </c>
      <c r="B862" s="11" t="s">
        <v>24</v>
      </c>
      <c r="C862" s="11" t="s">
        <v>39</v>
      </c>
      <c r="D862" s="12">
        <v>291</v>
      </c>
      <c r="E862" s="13">
        <v>1</v>
      </c>
    </row>
    <row r="863" spans="1:5" x14ac:dyDescent="0.25">
      <c r="A863" s="11" t="s">
        <v>1728</v>
      </c>
      <c r="B863" s="11" t="s">
        <v>20</v>
      </c>
      <c r="C863" s="11" t="s">
        <v>22</v>
      </c>
      <c r="D863" s="12">
        <v>291</v>
      </c>
      <c r="E863" s="13">
        <v>1</v>
      </c>
    </row>
    <row r="864" spans="1:5" x14ac:dyDescent="0.25">
      <c r="A864" s="11" t="s">
        <v>41</v>
      </c>
      <c r="B864" s="11" t="s">
        <v>24</v>
      </c>
      <c r="C864" s="11" t="s">
        <v>30</v>
      </c>
      <c r="D864" s="12">
        <v>292</v>
      </c>
      <c r="E864" s="13">
        <v>2</v>
      </c>
    </row>
    <row r="865" spans="1:5" x14ac:dyDescent="0.25">
      <c r="A865" s="11" t="s">
        <v>398</v>
      </c>
      <c r="B865" s="11" t="s">
        <v>26</v>
      </c>
      <c r="C865" s="11" t="s">
        <v>30</v>
      </c>
      <c r="D865" s="12">
        <v>292</v>
      </c>
      <c r="E865" s="13">
        <v>4</v>
      </c>
    </row>
    <row r="866" spans="1:5" x14ac:dyDescent="0.25">
      <c r="A866" s="11" t="s">
        <v>1387</v>
      </c>
      <c r="B866" s="11" t="s">
        <v>26</v>
      </c>
      <c r="C866" s="11" t="s">
        <v>32</v>
      </c>
      <c r="D866" s="12">
        <v>292</v>
      </c>
      <c r="E866" s="13">
        <v>2</v>
      </c>
    </row>
    <row r="867" spans="1:5" x14ac:dyDescent="0.25">
      <c r="A867" s="11" t="s">
        <v>1695</v>
      </c>
      <c r="B867" s="11" t="s">
        <v>26</v>
      </c>
      <c r="C867" s="11" t="s">
        <v>40</v>
      </c>
      <c r="D867" s="12">
        <v>292</v>
      </c>
      <c r="E867" s="13">
        <v>2</v>
      </c>
    </row>
    <row r="868" spans="1:5" x14ac:dyDescent="0.25">
      <c r="A868" s="11" t="s">
        <v>1798</v>
      </c>
      <c r="B868" s="11" t="s">
        <v>24</v>
      </c>
      <c r="C868" s="11" t="s">
        <v>44</v>
      </c>
      <c r="D868" s="12">
        <v>292</v>
      </c>
      <c r="E868" s="13">
        <v>10</v>
      </c>
    </row>
    <row r="869" spans="1:5" x14ac:dyDescent="0.25">
      <c r="A869" s="11" t="s">
        <v>1900</v>
      </c>
      <c r="B869" s="11" t="s">
        <v>24</v>
      </c>
      <c r="C869" s="11" t="s">
        <v>32</v>
      </c>
      <c r="D869" s="12">
        <v>292</v>
      </c>
      <c r="E869" s="13">
        <v>0</v>
      </c>
    </row>
    <row r="870" spans="1:5" x14ac:dyDescent="0.25">
      <c r="A870" s="11" t="s">
        <v>451</v>
      </c>
      <c r="B870" s="11" t="s">
        <v>24</v>
      </c>
      <c r="C870" s="11" t="s">
        <v>62</v>
      </c>
      <c r="D870" s="12">
        <v>293</v>
      </c>
      <c r="E870" s="13">
        <v>0</v>
      </c>
    </row>
    <row r="871" spans="1:5" x14ac:dyDescent="0.25">
      <c r="A871" s="11" t="s">
        <v>598</v>
      </c>
      <c r="B871" s="11" t="s">
        <v>26</v>
      </c>
      <c r="C871" s="11" t="s">
        <v>111</v>
      </c>
      <c r="D871" s="12">
        <v>293</v>
      </c>
      <c r="E871" s="13">
        <v>3</v>
      </c>
    </row>
    <row r="872" spans="1:5" x14ac:dyDescent="0.25">
      <c r="A872" s="11" t="s">
        <v>1631</v>
      </c>
      <c r="B872" s="11" t="s">
        <v>26</v>
      </c>
      <c r="C872" s="11" t="s">
        <v>27</v>
      </c>
      <c r="D872" s="12">
        <v>293</v>
      </c>
      <c r="E872" s="13">
        <v>2</v>
      </c>
    </row>
    <row r="873" spans="1:5" x14ac:dyDescent="0.25">
      <c r="A873" s="11" t="s">
        <v>1873</v>
      </c>
      <c r="B873" s="11" t="s">
        <v>20</v>
      </c>
      <c r="C873" s="11" t="s">
        <v>25</v>
      </c>
      <c r="D873" s="12">
        <v>293</v>
      </c>
      <c r="E873" s="13">
        <v>2</v>
      </c>
    </row>
    <row r="874" spans="1:5" x14ac:dyDescent="0.25">
      <c r="A874" s="11" t="s">
        <v>1930</v>
      </c>
      <c r="B874" s="11" t="s">
        <v>24</v>
      </c>
      <c r="C874" s="11" t="s">
        <v>43</v>
      </c>
      <c r="D874" s="12">
        <v>293</v>
      </c>
      <c r="E874" s="13">
        <v>0</v>
      </c>
    </row>
    <row r="875" spans="1:5" x14ac:dyDescent="0.25">
      <c r="A875" s="11" t="s">
        <v>399</v>
      </c>
      <c r="B875" s="11" t="s">
        <v>24</v>
      </c>
      <c r="C875" s="11" t="s">
        <v>66</v>
      </c>
      <c r="D875" s="12">
        <v>294</v>
      </c>
      <c r="E875" s="13">
        <v>0</v>
      </c>
    </row>
    <row r="876" spans="1:5" x14ac:dyDescent="0.25">
      <c r="A876" s="11" t="s">
        <v>411</v>
      </c>
      <c r="B876" s="11" t="s">
        <v>24</v>
      </c>
      <c r="C876" s="11" t="s">
        <v>27</v>
      </c>
      <c r="D876" s="12">
        <v>294</v>
      </c>
      <c r="E876" s="13">
        <v>2</v>
      </c>
    </row>
    <row r="877" spans="1:5" x14ac:dyDescent="0.25">
      <c r="A877" s="11" t="s">
        <v>758</v>
      </c>
      <c r="B877" s="11" t="s">
        <v>26</v>
      </c>
      <c r="C877" s="11" t="s">
        <v>30</v>
      </c>
      <c r="D877" s="12">
        <v>294</v>
      </c>
      <c r="E877" s="13">
        <v>13</v>
      </c>
    </row>
    <row r="878" spans="1:5" x14ac:dyDescent="0.25">
      <c r="A878" s="11" t="s">
        <v>1703</v>
      </c>
      <c r="B878" s="11" t="s">
        <v>26</v>
      </c>
      <c r="C878" s="11" t="s">
        <v>25</v>
      </c>
      <c r="D878" s="12">
        <v>294</v>
      </c>
      <c r="E878" s="13">
        <v>1</v>
      </c>
    </row>
    <row r="879" spans="1:5" x14ac:dyDescent="0.25">
      <c r="A879" s="11" t="s">
        <v>1818</v>
      </c>
      <c r="B879" s="11" t="s">
        <v>20</v>
      </c>
      <c r="C879" s="11" t="s">
        <v>43</v>
      </c>
      <c r="D879" s="12">
        <v>294</v>
      </c>
      <c r="E879" s="13">
        <v>5</v>
      </c>
    </row>
    <row r="880" spans="1:5" x14ac:dyDescent="0.25">
      <c r="A880" s="11" t="s">
        <v>1710</v>
      </c>
      <c r="B880" s="11" t="s">
        <v>26</v>
      </c>
      <c r="C880" s="11" t="s">
        <v>40</v>
      </c>
      <c r="D880" s="12">
        <v>295</v>
      </c>
      <c r="E880" s="13">
        <v>5</v>
      </c>
    </row>
    <row r="881" spans="1:5" x14ac:dyDescent="0.25">
      <c r="A881" s="11" t="s">
        <v>981</v>
      </c>
      <c r="B881" s="11" t="s">
        <v>26</v>
      </c>
      <c r="C881" s="11" t="s">
        <v>27</v>
      </c>
      <c r="D881" s="12">
        <v>296</v>
      </c>
      <c r="E881" s="13">
        <v>4</v>
      </c>
    </row>
    <row r="882" spans="1:5" x14ac:dyDescent="0.25">
      <c r="A882" s="11" t="s">
        <v>1697</v>
      </c>
      <c r="B882" s="11" t="s">
        <v>24</v>
      </c>
      <c r="C882" s="11" t="s">
        <v>30</v>
      </c>
      <c r="D882" s="12">
        <v>296</v>
      </c>
      <c r="E882" s="13">
        <v>0</v>
      </c>
    </row>
    <row r="883" spans="1:5" x14ac:dyDescent="0.25">
      <c r="A883" s="11" t="s">
        <v>1744</v>
      </c>
      <c r="B883" s="11" t="s">
        <v>26</v>
      </c>
      <c r="C883" s="11" t="s">
        <v>44</v>
      </c>
      <c r="D883" s="12">
        <v>296</v>
      </c>
      <c r="E883" s="13">
        <v>3</v>
      </c>
    </row>
    <row r="884" spans="1:5" x14ac:dyDescent="0.25">
      <c r="A884" s="11" t="s">
        <v>1920</v>
      </c>
      <c r="B884" s="11" t="s">
        <v>26</v>
      </c>
      <c r="C884" s="11" t="s">
        <v>39</v>
      </c>
      <c r="D884" s="12">
        <v>296</v>
      </c>
      <c r="E884" s="13">
        <v>2</v>
      </c>
    </row>
    <row r="885" spans="1:5" x14ac:dyDescent="0.25">
      <c r="A885" s="11" t="s">
        <v>689</v>
      </c>
      <c r="B885" s="11" t="s">
        <v>24</v>
      </c>
      <c r="C885" s="11" t="s">
        <v>30</v>
      </c>
      <c r="D885" s="12">
        <v>297</v>
      </c>
      <c r="E885" s="13">
        <v>0</v>
      </c>
    </row>
    <row r="886" spans="1:5" x14ac:dyDescent="0.25">
      <c r="A886" s="11" t="s">
        <v>879</v>
      </c>
      <c r="B886" s="11" t="s">
        <v>26</v>
      </c>
      <c r="C886" s="11" t="s">
        <v>28</v>
      </c>
      <c r="D886" s="12">
        <v>297</v>
      </c>
      <c r="E886" s="13">
        <v>0</v>
      </c>
    </row>
    <row r="887" spans="1:5" x14ac:dyDescent="0.25">
      <c r="A887" s="11" t="s">
        <v>1295</v>
      </c>
      <c r="B887" s="11" t="s">
        <v>24</v>
      </c>
      <c r="C887" s="11" t="s">
        <v>44</v>
      </c>
      <c r="D887" s="12">
        <v>297</v>
      </c>
      <c r="E887" s="13">
        <v>9</v>
      </c>
    </row>
    <row r="888" spans="1:5" x14ac:dyDescent="0.25">
      <c r="A888" s="11" t="s">
        <v>353</v>
      </c>
      <c r="B888" s="11" t="s">
        <v>20</v>
      </c>
      <c r="C888" s="11" t="s">
        <v>66</v>
      </c>
      <c r="D888" s="12">
        <v>298</v>
      </c>
      <c r="E888" s="13">
        <v>8</v>
      </c>
    </row>
    <row r="889" spans="1:5" x14ac:dyDescent="0.25">
      <c r="A889" s="11" t="s">
        <v>867</v>
      </c>
      <c r="B889" s="11" t="s">
        <v>26</v>
      </c>
      <c r="C889" s="11" t="s">
        <v>40</v>
      </c>
      <c r="D889" s="12">
        <v>298</v>
      </c>
      <c r="E889" s="13">
        <v>0</v>
      </c>
    </row>
    <row r="890" spans="1:5" x14ac:dyDescent="0.25">
      <c r="A890" s="11" t="s">
        <v>1017</v>
      </c>
      <c r="B890" s="11" t="s">
        <v>20</v>
      </c>
      <c r="C890" s="11" t="s">
        <v>27</v>
      </c>
      <c r="D890" s="12">
        <v>298</v>
      </c>
      <c r="E890" s="13">
        <v>0</v>
      </c>
    </row>
    <row r="891" spans="1:5" x14ac:dyDescent="0.25">
      <c r="A891" s="11" t="s">
        <v>180</v>
      </c>
      <c r="B891" s="11" t="s">
        <v>24</v>
      </c>
      <c r="C891" s="11" t="s">
        <v>5</v>
      </c>
      <c r="D891" s="12">
        <v>299</v>
      </c>
      <c r="E891" s="13">
        <v>1</v>
      </c>
    </row>
    <row r="892" spans="1:5" x14ac:dyDescent="0.25">
      <c r="A892" s="11" t="s">
        <v>750</v>
      </c>
      <c r="B892" s="11" t="s">
        <v>26</v>
      </c>
      <c r="C892" s="11" t="s">
        <v>28</v>
      </c>
      <c r="D892" s="12">
        <v>299</v>
      </c>
      <c r="E892" s="13">
        <v>1</v>
      </c>
    </row>
    <row r="893" spans="1:5" x14ac:dyDescent="0.25">
      <c r="A893" s="11" t="s">
        <v>1534</v>
      </c>
      <c r="B893" s="11" t="s">
        <v>24</v>
      </c>
      <c r="C893" s="11" t="s">
        <v>22</v>
      </c>
      <c r="D893" s="12">
        <v>300</v>
      </c>
      <c r="E893" s="13">
        <v>0</v>
      </c>
    </row>
    <row r="894" spans="1:5" x14ac:dyDescent="0.25">
      <c r="A894" s="11" t="s">
        <v>1948</v>
      </c>
      <c r="B894" s="11" t="s">
        <v>26</v>
      </c>
      <c r="C894" s="11" t="s">
        <v>44</v>
      </c>
      <c r="D894" s="12">
        <v>300</v>
      </c>
      <c r="E894" s="13">
        <v>0</v>
      </c>
    </row>
    <row r="895" spans="1:5" x14ac:dyDescent="0.25">
      <c r="A895" s="11" t="s">
        <v>291</v>
      </c>
      <c r="B895" s="11" t="s">
        <v>26</v>
      </c>
      <c r="C895" s="11" t="s">
        <v>40</v>
      </c>
      <c r="D895" s="12">
        <v>301</v>
      </c>
      <c r="E895" s="13">
        <v>8</v>
      </c>
    </row>
    <row r="896" spans="1:5" x14ac:dyDescent="0.25">
      <c r="A896" s="11" t="s">
        <v>664</v>
      </c>
      <c r="B896" s="11" t="s">
        <v>24</v>
      </c>
      <c r="C896" s="11" t="s">
        <v>27</v>
      </c>
      <c r="D896" s="12">
        <v>302</v>
      </c>
      <c r="E896" s="13">
        <v>3</v>
      </c>
    </row>
    <row r="897" spans="1:5" x14ac:dyDescent="0.25">
      <c r="A897" s="11" t="s">
        <v>1229</v>
      </c>
      <c r="B897" s="11" t="s">
        <v>20</v>
      </c>
      <c r="C897" s="11" t="s">
        <v>39</v>
      </c>
      <c r="D897" s="12">
        <v>302</v>
      </c>
      <c r="E897" s="13">
        <v>7</v>
      </c>
    </row>
    <row r="898" spans="1:5" x14ac:dyDescent="0.25">
      <c r="A898" s="11" t="s">
        <v>1881</v>
      </c>
      <c r="B898" s="11" t="s">
        <v>26</v>
      </c>
      <c r="C898" s="11" t="s">
        <v>44</v>
      </c>
      <c r="D898" s="12">
        <v>303</v>
      </c>
      <c r="E898" s="13">
        <v>4</v>
      </c>
    </row>
    <row r="899" spans="1:5" x14ac:dyDescent="0.25">
      <c r="A899" s="11" t="s">
        <v>699</v>
      </c>
      <c r="B899" s="11" t="s">
        <v>24</v>
      </c>
      <c r="C899" s="11" t="s">
        <v>22</v>
      </c>
      <c r="D899" s="12">
        <v>304</v>
      </c>
      <c r="E899" s="13">
        <v>3</v>
      </c>
    </row>
    <row r="900" spans="1:5" x14ac:dyDescent="0.25">
      <c r="A900" s="11" t="s">
        <v>935</v>
      </c>
      <c r="B900" s="11" t="s">
        <v>26</v>
      </c>
      <c r="C900" s="11" t="s">
        <v>53</v>
      </c>
      <c r="D900" s="12">
        <v>304</v>
      </c>
      <c r="E900" s="13">
        <v>1</v>
      </c>
    </row>
    <row r="901" spans="1:5" x14ac:dyDescent="0.25">
      <c r="A901" s="11" t="s">
        <v>137</v>
      </c>
      <c r="B901" s="11" t="s">
        <v>24</v>
      </c>
      <c r="C901" s="11" t="s">
        <v>30</v>
      </c>
      <c r="D901" s="12">
        <v>305</v>
      </c>
      <c r="E901" s="13">
        <v>7</v>
      </c>
    </row>
    <row r="902" spans="1:5" x14ac:dyDescent="0.25">
      <c r="A902" s="11" t="s">
        <v>1266</v>
      </c>
      <c r="B902" s="11" t="s">
        <v>26</v>
      </c>
      <c r="C902" s="11" t="s">
        <v>32</v>
      </c>
      <c r="D902" s="12">
        <v>305</v>
      </c>
      <c r="E902" s="13">
        <v>1</v>
      </c>
    </row>
    <row r="903" spans="1:5" x14ac:dyDescent="0.25">
      <c r="A903" s="11" t="s">
        <v>1281</v>
      </c>
      <c r="B903" s="11" t="s">
        <v>20</v>
      </c>
      <c r="C903" s="11" t="s">
        <v>39</v>
      </c>
      <c r="D903" s="12">
        <v>305</v>
      </c>
      <c r="E903" s="13">
        <v>1</v>
      </c>
    </row>
    <row r="904" spans="1:5" x14ac:dyDescent="0.25">
      <c r="A904" s="11" t="s">
        <v>577</v>
      </c>
      <c r="B904" s="11" t="s">
        <v>24</v>
      </c>
      <c r="C904" s="11" t="s">
        <v>44</v>
      </c>
      <c r="D904" s="12">
        <v>306</v>
      </c>
      <c r="E904" s="13">
        <v>9</v>
      </c>
    </row>
    <row r="905" spans="1:5" x14ac:dyDescent="0.25">
      <c r="A905" s="11" t="s">
        <v>700</v>
      </c>
      <c r="B905" s="11" t="s">
        <v>24</v>
      </c>
      <c r="C905" s="11" t="s">
        <v>39</v>
      </c>
      <c r="D905" s="12">
        <v>306</v>
      </c>
      <c r="E905" s="13">
        <v>1</v>
      </c>
    </row>
    <row r="906" spans="1:5" x14ac:dyDescent="0.25">
      <c r="A906" s="11" t="s">
        <v>1266</v>
      </c>
      <c r="B906" s="11" t="s">
        <v>24</v>
      </c>
      <c r="C906" s="11" t="s">
        <v>44</v>
      </c>
      <c r="D906" s="12">
        <v>306</v>
      </c>
      <c r="E906" s="13">
        <v>5</v>
      </c>
    </row>
    <row r="907" spans="1:5" x14ac:dyDescent="0.25">
      <c r="A907" s="11" t="s">
        <v>1893</v>
      </c>
      <c r="B907" s="11" t="s">
        <v>20</v>
      </c>
      <c r="C907" s="11" t="s">
        <v>33</v>
      </c>
      <c r="D907" s="12">
        <v>306</v>
      </c>
      <c r="E907" s="13">
        <v>0</v>
      </c>
    </row>
    <row r="908" spans="1:5" x14ac:dyDescent="0.25">
      <c r="A908" s="11" t="s">
        <v>1911</v>
      </c>
      <c r="B908" s="11" t="s">
        <v>26</v>
      </c>
      <c r="C908" s="11" t="s">
        <v>53</v>
      </c>
      <c r="D908" s="12">
        <v>306</v>
      </c>
      <c r="E908" s="13">
        <v>3</v>
      </c>
    </row>
    <row r="909" spans="1:5" x14ac:dyDescent="0.25">
      <c r="A909" s="11" t="s">
        <v>1937</v>
      </c>
      <c r="B909" s="11" t="s">
        <v>20</v>
      </c>
      <c r="C909" s="11" t="s">
        <v>27</v>
      </c>
      <c r="D909" s="12">
        <v>306</v>
      </c>
      <c r="E909" s="13">
        <v>0</v>
      </c>
    </row>
    <row r="910" spans="1:5" x14ac:dyDescent="0.25">
      <c r="A910" s="11" t="s">
        <v>830</v>
      </c>
      <c r="B910" s="11" t="s">
        <v>26</v>
      </c>
      <c r="C910" s="11" t="s">
        <v>22</v>
      </c>
      <c r="D910" s="12">
        <v>307</v>
      </c>
      <c r="E910" s="13">
        <v>4</v>
      </c>
    </row>
    <row r="911" spans="1:5" x14ac:dyDescent="0.25">
      <c r="A911" s="11" t="s">
        <v>1694</v>
      </c>
      <c r="B911" s="11" t="s">
        <v>24</v>
      </c>
      <c r="C911" s="11" t="s">
        <v>25</v>
      </c>
      <c r="D911" s="12">
        <v>307</v>
      </c>
      <c r="E911" s="13">
        <v>4</v>
      </c>
    </row>
    <row r="912" spans="1:5" x14ac:dyDescent="0.25">
      <c r="A912" s="11" t="s">
        <v>376</v>
      </c>
      <c r="B912" s="11" t="s">
        <v>26</v>
      </c>
      <c r="C912" s="11" t="s">
        <v>30</v>
      </c>
      <c r="D912" s="12">
        <v>308</v>
      </c>
      <c r="E912" s="13">
        <v>0</v>
      </c>
    </row>
    <row r="913" spans="1:5" x14ac:dyDescent="0.25">
      <c r="A913" s="11" t="s">
        <v>1164</v>
      </c>
      <c r="B913" s="11" t="s">
        <v>20</v>
      </c>
      <c r="C913" s="11" t="s">
        <v>30</v>
      </c>
      <c r="D913" s="12">
        <v>308</v>
      </c>
      <c r="E913" s="13">
        <v>0</v>
      </c>
    </row>
    <row r="914" spans="1:5" x14ac:dyDescent="0.25">
      <c r="A914" s="11" t="s">
        <v>1370</v>
      </c>
      <c r="B914" s="11" t="s">
        <v>24</v>
      </c>
      <c r="C914" s="11" t="s">
        <v>30</v>
      </c>
      <c r="D914" s="12">
        <v>308</v>
      </c>
      <c r="E914" s="13">
        <v>0</v>
      </c>
    </row>
    <row r="915" spans="1:5" x14ac:dyDescent="0.25">
      <c r="A915" s="11" t="s">
        <v>559</v>
      </c>
      <c r="B915" s="11" t="s">
        <v>26</v>
      </c>
      <c r="C915" s="11" t="s">
        <v>44</v>
      </c>
      <c r="D915" s="12">
        <v>309</v>
      </c>
      <c r="E915" s="13">
        <v>3</v>
      </c>
    </row>
    <row r="916" spans="1:5" x14ac:dyDescent="0.25">
      <c r="A916" s="11" t="s">
        <v>1047</v>
      </c>
      <c r="B916" s="11" t="s">
        <v>26</v>
      </c>
      <c r="C916" s="11" t="s">
        <v>27</v>
      </c>
      <c r="D916" s="12">
        <v>309</v>
      </c>
      <c r="E916" s="13">
        <v>0</v>
      </c>
    </row>
    <row r="917" spans="1:5" x14ac:dyDescent="0.25">
      <c r="A917" s="11" t="s">
        <v>1051</v>
      </c>
      <c r="B917" s="11" t="s">
        <v>26</v>
      </c>
      <c r="C917" s="11" t="s">
        <v>27</v>
      </c>
      <c r="D917" s="12">
        <v>309</v>
      </c>
      <c r="E917" s="13">
        <v>0</v>
      </c>
    </row>
    <row r="918" spans="1:5" x14ac:dyDescent="0.25">
      <c r="A918" s="11" t="s">
        <v>1544</v>
      </c>
      <c r="B918" s="11" t="s">
        <v>26</v>
      </c>
      <c r="C918" s="11" t="s">
        <v>44</v>
      </c>
      <c r="D918" s="12">
        <v>309</v>
      </c>
      <c r="E918" s="13">
        <v>7</v>
      </c>
    </row>
    <row r="919" spans="1:5" x14ac:dyDescent="0.25">
      <c r="A919" s="11" t="s">
        <v>1616</v>
      </c>
      <c r="B919" s="11" t="s">
        <v>20</v>
      </c>
      <c r="C919" s="11" t="s">
        <v>39</v>
      </c>
      <c r="D919" s="12">
        <v>309</v>
      </c>
      <c r="E919" s="13">
        <v>3</v>
      </c>
    </row>
    <row r="920" spans="1:5" x14ac:dyDescent="0.25">
      <c r="A920" s="11" t="s">
        <v>743</v>
      </c>
      <c r="B920" s="11" t="s">
        <v>20</v>
      </c>
      <c r="C920" s="11" t="s">
        <v>39</v>
      </c>
      <c r="D920" s="12">
        <v>310</v>
      </c>
      <c r="E920" s="13">
        <v>0</v>
      </c>
    </row>
    <row r="921" spans="1:5" x14ac:dyDescent="0.25">
      <c r="A921" s="11" t="s">
        <v>1502</v>
      </c>
      <c r="B921" s="11" t="s">
        <v>24</v>
      </c>
      <c r="C921" s="11" t="s">
        <v>27</v>
      </c>
      <c r="D921" s="12">
        <v>310</v>
      </c>
      <c r="E921" s="13">
        <v>0</v>
      </c>
    </row>
    <row r="922" spans="1:5" x14ac:dyDescent="0.25">
      <c r="A922" s="11" t="s">
        <v>662</v>
      </c>
      <c r="B922" s="11" t="s">
        <v>20</v>
      </c>
      <c r="C922" s="11" t="s">
        <v>66</v>
      </c>
      <c r="D922" s="12">
        <v>311</v>
      </c>
      <c r="E922" s="13">
        <v>2</v>
      </c>
    </row>
    <row r="923" spans="1:5" x14ac:dyDescent="0.25">
      <c r="A923" s="11" t="s">
        <v>930</v>
      </c>
      <c r="B923" s="11" t="s">
        <v>20</v>
      </c>
      <c r="C923" s="11" t="s">
        <v>44</v>
      </c>
      <c r="D923" s="12">
        <v>311</v>
      </c>
      <c r="E923" s="13">
        <v>0</v>
      </c>
    </row>
    <row r="924" spans="1:5" x14ac:dyDescent="0.25">
      <c r="A924" s="11" t="s">
        <v>1375</v>
      </c>
      <c r="B924" s="11" t="s">
        <v>26</v>
      </c>
      <c r="C924" s="11" t="s">
        <v>30</v>
      </c>
      <c r="D924" s="12">
        <v>311</v>
      </c>
      <c r="E924" s="13">
        <v>0</v>
      </c>
    </row>
    <row r="925" spans="1:5" x14ac:dyDescent="0.25">
      <c r="A925" s="11" t="s">
        <v>97</v>
      </c>
      <c r="B925" s="11" t="s">
        <v>20</v>
      </c>
      <c r="C925" s="11" t="s">
        <v>44</v>
      </c>
      <c r="D925" s="12">
        <v>312</v>
      </c>
      <c r="E925" s="13">
        <v>1</v>
      </c>
    </row>
    <row r="926" spans="1:5" x14ac:dyDescent="0.25">
      <c r="A926" s="11" t="s">
        <v>1196</v>
      </c>
      <c r="B926" s="11" t="s">
        <v>26</v>
      </c>
      <c r="C926" s="11" t="s">
        <v>30</v>
      </c>
      <c r="D926" s="12">
        <v>312</v>
      </c>
      <c r="E926" s="13">
        <v>3</v>
      </c>
    </row>
    <row r="927" spans="1:5" x14ac:dyDescent="0.25">
      <c r="A927" s="11" t="s">
        <v>1971</v>
      </c>
      <c r="B927" s="11" t="s">
        <v>24</v>
      </c>
      <c r="C927" s="11" t="s">
        <v>44</v>
      </c>
      <c r="D927" s="12">
        <v>312</v>
      </c>
      <c r="E927" s="13">
        <v>0</v>
      </c>
    </row>
    <row r="928" spans="1:5" x14ac:dyDescent="0.25">
      <c r="A928" s="11" t="s">
        <v>221</v>
      </c>
      <c r="B928" s="11" t="s">
        <v>26</v>
      </c>
      <c r="C928" s="11" t="s">
        <v>30</v>
      </c>
      <c r="D928" s="12">
        <v>313</v>
      </c>
      <c r="E928" s="13">
        <v>1</v>
      </c>
    </row>
    <row r="929" spans="1:5" x14ac:dyDescent="0.25">
      <c r="A929" s="11" t="s">
        <v>1089</v>
      </c>
      <c r="B929" s="11" t="s">
        <v>24</v>
      </c>
      <c r="C929" s="11" t="s">
        <v>22</v>
      </c>
      <c r="D929" s="12">
        <v>313</v>
      </c>
      <c r="E929" s="13">
        <v>4</v>
      </c>
    </row>
    <row r="930" spans="1:5" x14ac:dyDescent="0.25">
      <c r="A930" s="11" t="s">
        <v>1311</v>
      </c>
      <c r="B930" s="11" t="s">
        <v>26</v>
      </c>
      <c r="C930" s="11" t="s">
        <v>25</v>
      </c>
      <c r="D930" s="12">
        <v>314</v>
      </c>
      <c r="E930" s="13">
        <v>4</v>
      </c>
    </row>
    <row r="931" spans="1:5" x14ac:dyDescent="0.25">
      <c r="A931" s="11" t="s">
        <v>1336</v>
      </c>
      <c r="B931" s="11" t="s">
        <v>24</v>
      </c>
      <c r="C931" s="11" t="s">
        <v>34</v>
      </c>
      <c r="D931" s="12">
        <v>314</v>
      </c>
      <c r="E931" s="13">
        <v>1</v>
      </c>
    </row>
    <row r="932" spans="1:5" x14ac:dyDescent="0.25">
      <c r="A932" s="11" t="s">
        <v>991</v>
      </c>
      <c r="B932" s="11" t="s">
        <v>20</v>
      </c>
      <c r="C932" s="11" t="s">
        <v>44</v>
      </c>
      <c r="D932" s="12">
        <v>315</v>
      </c>
      <c r="E932" s="13">
        <v>0</v>
      </c>
    </row>
    <row r="933" spans="1:5" x14ac:dyDescent="0.25">
      <c r="A933" s="11" t="s">
        <v>1224</v>
      </c>
      <c r="B933" s="11" t="s">
        <v>26</v>
      </c>
      <c r="C933" s="11" t="s">
        <v>5</v>
      </c>
      <c r="D933" s="12">
        <v>315</v>
      </c>
      <c r="E933" s="13">
        <v>0</v>
      </c>
    </row>
    <row r="934" spans="1:5" x14ac:dyDescent="0.25">
      <c r="A934" s="11" t="s">
        <v>483</v>
      </c>
      <c r="B934" s="11" t="s">
        <v>24</v>
      </c>
      <c r="C934" s="11" t="s">
        <v>40</v>
      </c>
      <c r="D934" s="12">
        <v>316</v>
      </c>
      <c r="E934" s="13">
        <v>4</v>
      </c>
    </row>
    <row r="935" spans="1:5" x14ac:dyDescent="0.25">
      <c r="A935" s="11" t="s">
        <v>867</v>
      </c>
      <c r="B935" s="11" t="s">
        <v>20</v>
      </c>
      <c r="C935" s="11" t="s">
        <v>27</v>
      </c>
      <c r="D935" s="12">
        <v>316</v>
      </c>
      <c r="E935" s="13">
        <v>0</v>
      </c>
    </row>
    <row r="936" spans="1:5" x14ac:dyDescent="0.25">
      <c r="A936" s="11" t="s">
        <v>985</v>
      </c>
      <c r="B936" s="11" t="s">
        <v>26</v>
      </c>
      <c r="C936" s="11" t="s">
        <v>22</v>
      </c>
      <c r="D936" s="12">
        <v>316</v>
      </c>
      <c r="E936" s="13">
        <v>2</v>
      </c>
    </row>
    <row r="937" spans="1:5" x14ac:dyDescent="0.25">
      <c r="A937" s="11" t="s">
        <v>1492</v>
      </c>
      <c r="B937" s="11" t="s">
        <v>26</v>
      </c>
      <c r="C937" s="11" t="s">
        <v>44</v>
      </c>
      <c r="D937" s="12">
        <v>316</v>
      </c>
      <c r="E937" s="13">
        <v>0</v>
      </c>
    </row>
    <row r="938" spans="1:5" x14ac:dyDescent="0.25">
      <c r="A938" s="11" t="s">
        <v>291</v>
      </c>
      <c r="B938" s="11" t="s">
        <v>26</v>
      </c>
      <c r="C938" s="11" t="s">
        <v>53</v>
      </c>
      <c r="D938" s="12">
        <v>317</v>
      </c>
      <c r="E938" s="13">
        <v>1</v>
      </c>
    </row>
    <row r="939" spans="1:5" x14ac:dyDescent="0.25">
      <c r="A939" s="11" t="s">
        <v>378</v>
      </c>
      <c r="B939" s="11" t="s">
        <v>24</v>
      </c>
      <c r="C939" s="11" t="s">
        <v>39</v>
      </c>
      <c r="D939" s="12">
        <v>317</v>
      </c>
      <c r="E939" s="13">
        <v>0</v>
      </c>
    </row>
    <row r="940" spans="1:5" x14ac:dyDescent="0.25">
      <c r="A940" s="11" t="s">
        <v>1394</v>
      </c>
      <c r="B940" s="11" t="s">
        <v>26</v>
      </c>
      <c r="C940" s="11" t="s">
        <v>21</v>
      </c>
      <c r="D940" s="12">
        <v>317</v>
      </c>
      <c r="E940" s="13">
        <v>0</v>
      </c>
    </row>
    <row r="941" spans="1:5" x14ac:dyDescent="0.25">
      <c r="A941" s="11" t="s">
        <v>133</v>
      </c>
      <c r="B941" s="11" t="s">
        <v>24</v>
      </c>
      <c r="C941" s="11" t="s">
        <v>22</v>
      </c>
      <c r="D941" s="12">
        <v>318</v>
      </c>
      <c r="E941" s="13">
        <v>1</v>
      </c>
    </row>
    <row r="942" spans="1:5" x14ac:dyDescent="0.25">
      <c r="A942" s="11" t="s">
        <v>1304</v>
      </c>
      <c r="B942" s="11" t="s">
        <v>24</v>
      </c>
      <c r="C942" s="11" t="s">
        <v>53</v>
      </c>
      <c r="D942" s="12">
        <v>318</v>
      </c>
      <c r="E942" s="13">
        <v>0</v>
      </c>
    </row>
    <row r="943" spans="1:5" x14ac:dyDescent="0.25">
      <c r="A943" s="11" t="s">
        <v>1596</v>
      </c>
      <c r="B943" s="11" t="s">
        <v>26</v>
      </c>
      <c r="C943" s="11" t="s">
        <v>5</v>
      </c>
      <c r="D943" s="12">
        <v>318</v>
      </c>
      <c r="E943" s="13">
        <v>7</v>
      </c>
    </row>
    <row r="944" spans="1:5" x14ac:dyDescent="0.25">
      <c r="A944" s="11" t="s">
        <v>1773</v>
      </c>
      <c r="B944" s="11" t="s">
        <v>24</v>
      </c>
      <c r="C944" s="11" t="s">
        <v>30</v>
      </c>
      <c r="D944" s="12">
        <v>318</v>
      </c>
      <c r="E944" s="13">
        <v>0</v>
      </c>
    </row>
    <row r="945" spans="1:5" x14ac:dyDescent="0.25">
      <c r="A945" s="11" t="s">
        <v>675</v>
      </c>
      <c r="B945" s="11" t="s">
        <v>20</v>
      </c>
      <c r="C945" s="11" t="s">
        <v>27</v>
      </c>
      <c r="D945" s="12">
        <v>319</v>
      </c>
      <c r="E945" s="13">
        <v>12</v>
      </c>
    </row>
    <row r="946" spans="1:5" x14ac:dyDescent="0.25">
      <c r="A946" s="11" t="s">
        <v>849</v>
      </c>
      <c r="B946" s="11" t="s">
        <v>26</v>
      </c>
      <c r="C946" s="11" t="s">
        <v>33</v>
      </c>
      <c r="D946" s="12">
        <v>319</v>
      </c>
      <c r="E946" s="13">
        <v>3</v>
      </c>
    </row>
    <row r="947" spans="1:5" x14ac:dyDescent="0.25">
      <c r="A947" s="11" t="s">
        <v>1431</v>
      </c>
      <c r="B947" s="11" t="s">
        <v>24</v>
      </c>
      <c r="C947" s="11" t="s">
        <v>39</v>
      </c>
      <c r="D947" s="12">
        <v>319</v>
      </c>
      <c r="E947" s="13">
        <v>0</v>
      </c>
    </row>
    <row r="948" spans="1:5" x14ac:dyDescent="0.25">
      <c r="A948" s="11" t="s">
        <v>1604</v>
      </c>
      <c r="B948" s="11" t="s">
        <v>20</v>
      </c>
      <c r="C948" s="11" t="s">
        <v>27</v>
      </c>
      <c r="D948" s="12">
        <v>319</v>
      </c>
      <c r="E948" s="13">
        <v>6</v>
      </c>
    </row>
    <row r="949" spans="1:5" x14ac:dyDescent="0.25">
      <c r="A949" s="11" t="s">
        <v>187</v>
      </c>
      <c r="B949" s="11" t="s">
        <v>24</v>
      </c>
      <c r="C949" s="11" t="s">
        <v>44</v>
      </c>
      <c r="D949" s="12">
        <v>320</v>
      </c>
      <c r="E949" s="13">
        <v>1</v>
      </c>
    </row>
    <row r="950" spans="1:5" x14ac:dyDescent="0.25">
      <c r="A950" s="11" t="s">
        <v>533</v>
      </c>
      <c r="B950" s="11" t="s">
        <v>20</v>
      </c>
      <c r="C950" s="11" t="s">
        <v>30</v>
      </c>
      <c r="D950" s="12">
        <v>320</v>
      </c>
      <c r="E950" s="13">
        <v>0</v>
      </c>
    </row>
    <row r="951" spans="1:5" x14ac:dyDescent="0.25">
      <c r="A951" s="11" t="s">
        <v>582</v>
      </c>
      <c r="B951" s="11" t="s">
        <v>26</v>
      </c>
      <c r="C951" s="11" t="s">
        <v>44</v>
      </c>
      <c r="D951" s="12">
        <v>320</v>
      </c>
      <c r="E951" s="13">
        <v>1</v>
      </c>
    </row>
    <row r="952" spans="1:5" x14ac:dyDescent="0.25">
      <c r="A952" s="11" t="s">
        <v>979</v>
      </c>
      <c r="B952" s="11" t="s">
        <v>26</v>
      </c>
      <c r="C952" s="11" t="s">
        <v>5</v>
      </c>
      <c r="D952" s="12">
        <v>320</v>
      </c>
      <c r="E952" s="13">
        <v>1</v>
      </c>
    </row>
    <row r="953" spans="1:5" x14ac:dyDescent="0.25">
      <c r="A953" s="11" t="s">
        <v>986</v>
      </c>
      <c r="B953" s="11" t="s">
        <v>26</v>
      </c>
      <c r="C953" s="11" t="s">
        <v>39</v>
      </c>
      <c r="D953" s="12">
        <v>320</v>
      </c>
      <c r="E953" s="13">
        <v>0</v>
      </c>
    </row>
    <row r="954" spans="1:5" x14ac:dyDescent="0.25">
      <c r="A954" s="11" t="s">
        <v>1528</v>
      </c>
      <c r="B954" s="11" t="s">
        <v>24</v>
      </c>
      <c r="C954" s="11" t="s">
        <v>28</v>
      </c>
      <c r="D954" s="12">
        <v>320</v>
      </c>
      <c r="E954" s="13">
        <v>2</v>
      </c>
    </row>
    <row r="955" spans="1:5" x14ac:dyDescent="0.25">
      <c r="A955" s="11" t="s">
        <v>648</v>
      </c>
      <c r="B955" s="11" t="s">
        <v>26</v>
      </c>
      <c r="C955" s="11" t="s">
        <v>30</v>
      </c>
      <c r="D955" s="12">
        <v>321</v>
      </c>
      <c r="E955" s="13">
        <v>0</v>
      </c>
    </row>
    <row r="956" spans="1:5" x14ac:dyDescent="0.25">
      <c r="A956" s="11" t="s">
        <v>670</v>
      </c>
      <c r="B956" s="11" t="s">
        <v>26</v>
      </c>
      <c r="C956" s="11" t="s">
        <v>27</v>
      </c>
      <c r="D956" s="12">
        <v>321</v>
      </c>
      <c r="E956" s="13">
        <v>4</v>
      </c>
    </row>
    <row r="957" spans="1:5" x14ac:dyDescent="0.25">
      <c r="A957" s="11" t="s">
        <v>973</v>
      </c>
      <c r="B957" s="11" t="s">
        <v>24</v>
      </c>
      <c r="C957" s="11" t="s">
        <v>27</v>
      </c>
      <c r="D957" s="12">
        <v>321</v>
      </c>
      <c r="E957" s="13">
        <v>1</v>
      </c>
    </row>
    <row r="958" spans="1:5" x14ac:dyDescent="0.25">
      <c r="A958" s="11" t="s">
        <v>1442</v>
      </c>
      <c r="B958" s="11" t="s">
        <v>24</v>
      </c>
      <c r="C958" s="11" t="s">
        <v>27</v>
      </c>
      <c r="D958" s="12">
        <v>321</v>
      </c>
      <c r="E958" s="13">
        <v>2</v>
      </c>
    </row>
    <row r="959" spans="1:5" x14ac:dyDescent="0.25">
      <c r="A959" s="11" t="s">
        <v>78</v>
      </c>
      <c r="B959" s="11" t="s">
        <v>20</v>
      </c>
      <c r="C959" s="11" t="s">
        <v>44</v>
      </c>
      <c r="D959" s="12">
        <v>322</v>
      </c>
      <c r="E959" s="13">
        <v>0</v>
      </c>
    </row>
    <row r="960" spans="1:5" x14ac:dyDescent="0.25">
      <c r="A960" s="11" t="s">
        <v>216</v>
      </c>
      <c r="B960" s="11" t="s">
        <v>26</v>
      </c>
      <c r="C960" s="11" t="s">
        <v>62</v>
      </c>
      <c r="D960" s="12">
        <v>322</v>
      </c>
      <c r="E960" s="13">
        <v>3</v>
      </c>
    </row>
    <row r="961" spans="1:5" x14ac:dyDescent="0.25">
      <c r="A961" s="11" t="s">
        <v>905</v>
      </c>
      <c r="B961" s="11" t="s">
        <v>26</v>
      </c>
      <c r="C961" s="11" t="s">
        <v>39</v>
      </c>
      <c r="D961" s="12">
        <v>322</v>
      </c>
      <c r="E961" s="13">
        <v>10</v>
      </c>
    </row>
    <row r="962" spans="1:5" x14ac:dyDescent="0.25">
      <c r="A962" s="11" t="s">
        <v>1333</v>
      </c>
      <c r="B962" s="11" t="s">
        <v>24</v>
      </c>
      <c r="C962" s="11" t="s">
        <v>44</v>
      </c>
      <c r="D962" s="12">
        <v>322</v>
      </c>
      <c r="E962" s="13">
        <v>2</v>
      </c>
    </row>
    <row r="963" spans="1:5" x14ac:dyDescent="0.25">
      <c r="A963" s="11" t="s">
        <v>1449</v>
      </c>
      <c r="B963" s="11" t="s">
        <v>20</v>
      </c>
      <c r="C963" s="11" t="s">
        <v>39</v>
      </c>
      <c r="D963" s="12">
        <v>322</v>
      </c>
      <c r="E963" s="13">
        <v>6</v>
      </c>
    </row>
    <row r="964" spans="1:5" x14ac:dyDescent="0.25">
      <c r="A964" s="11" t="s">
        <v>300</v>
      </c>
      <c r="B964" s="14" t="s">
        <v>26</v>
      </c>
      <c r="C964" s="14" t="s">
        <v>5</v>
      </c>
      <c r="D964" s="12">
        <v>323</v>
      </c>
      <c r="E964" s="13">
        <v>0</v>
      </c>
    </row>
    <row r="965" spans="1:5" x14ac:dyDescent="0.25">
      <c r="A965" s="11" t="s">
        <v>621</v>
      </c>
      <c r="B965" s="11" t="s">
        <v>26</v>
      </c>
      <c r="C965" s="11" t="s">
        <v>34</v>
      </c>
      <c r="D965" s="12">
        <v>323</v>
      </c>
      <c r="E965" s="13">
        <v>0</v>
      </c>
    </row>
    <row r="966" spans="1:5" x14ac:dyDescent="0.25">
      <c r="A966" s="11" t="s">
        <v>889</v>
      </c>
      <c r="B966" s="11" t="s">
        <v>26</v>
      </c>
      <c r="C966" s="11" t="s">
        <v>39</v>
      </c>
      <c r="D966" s="12">
        <v>323</v>
      </c>
      <c r="E966" s="13">
        <v>0</v>
      </c>
    </row>
    <row r="967" spans="1:5" x14ac:dyDescent="0.25">
      <c r="A967" s="11" t="s">
        <v>1354</v>
      </c>
      <c r="B967" s="11" t="s">
        <v>20</v>
      </c>
      <c r="C967" s="11" t="s">
        <v>39</v>
      </c>
      <c r="D967" s="12">
        <v>323</v>
      </c>
      <c r="E967" s="13">
        <v>6</v>
      </c>
    </row>
    <row r="968" spans="1:5" x14ac:dyDescent="0.25">
      <c r="A968" s="11" t="s">
        <v>344</v>
      </c>
      <c r="B968" s="11" t="s">
        <v>24</v>
      </c>
      <c r="C968" s="11" t="s">
        <v>27</v>
      </c>
      <c r="D968" s="12">
        <v>324</v>
      </c>
      <c r="E968" s="13">
        <v>6</v>
      </c>
    </row>
    <row r="969" spans="1:5" x14ac:dyDescent="0.25">
      <c r="A969" s="11" t="s">
        <v>506</v>
      </c>
      <c r="B969" s="11" t="s">
        <v>20</v>
      </c>
      <c r="C969" s="11" t="s">
        <v>39</v>
      </c>
      <c r="D969" s="12">
        <v>324</v>
      </c>
      <c r="E969" s="13">
        <v>6</v>
      </c>
    </row>
    <row r="970" spans="1:5" x14ac:dyDescent="0.25">
      <c r="A970" s="11" t="s">
        <v>527</v>
      </c>
      <c r="B970" s="11" t="s">
        <v>20</v>
      </c>
      <c r="C970" s="11" t="s">
        <v>22</v>
      </c>
      <c r="D970" s="12">
        <v>324</v>
      </c>
      <c r="E970" s="13">
        <v>0</v>
      </c>
    </row>
    <row r="971" spans="1:5" x14ac:dyDescent="0.25">
      <c r="A971" s="11" t="s">
        <v>1552</v>
      </c>
      <c r="B971" s="11" t="s">
        <v>20</v>
      </c>
      <c r="C971" s="11" t="s">
        <v>44</v>
      </c>
      <c r="D971" s="12">
        <v>324</v>
      </c>
      <c r="E971" s="13">
        <v>0</v>
      </c>
    </row>
    <row r="972" spans="1:5" x14ac:dyDescent="0.25">
      <c r="A972" s="11" t="s">
        <v>924</v>
      </c>
      <c r="B972" s="11" t="s">
        <v>24</v>
      </c>
      <c r="C972" s="11" t="s">
        <v>53</v>
      </c>
      <c r="D972" s="12">
        <v>325</v>
      </c>
      <c r="E972" s="13">
        <v>1</v>
      </c>
    </row>
    <row r="973" spans="1:5" x14ac:dyDescent="0.25">
      <c r="A973" s="11" t="s">
        <v>279</v>
      </c>
      <c r="B973" s="11" t="s">
        <v>26</v>
      </c>
      <c r="C973" s="11" t="s">
        <v>32</v>
      </c>
      <c r="D973" s="12">
        <v>326</v>
      </c>
      <c r="E973" s="13">
        <v>0</v>
      </c>
    </row>
    <row r="974" spans="1:5" x14ac:dyDescent="0.25">
      <c r="A974" s="11" t="s">
        <v>422</v>
      </c>
      <c r="B974" s="11" t="s">
        <v>20</v>
      </c>
      <c r="C974" s="11" t="s">
        <v>40</v>
      </c>
      <c r="D974" s="12">
        <v>326</v>
      </c>
      <c r="E974" s="13">
        <v>1</v>
      </c>
    </row>
    <row r="975" spans="1:5" x14ac:dyDescent="0.25">
      <c r="A975" s="11" t="s">
        <v>599</v>
      </c>
      <c r="B975" s="11" t="s">
        <v>20</v>
      </c>
      <c r="C975" s="11" t="s">
        <v>44</v>
      </c>
      <c r="D975" s="12">
        <v>326</v>
      </c>
      <c r="E975" s="13">
        <v>0</v>
      </c>
    </row>
    <row r="976" spans="1:5" x14ac:dyDescent="0.25">
      <c r="A976" s="11" t="s">
        <v>1274</v>
      </c>
      <c r="B976" s="11" t="s">
        <v>26</v>
      </c>
      <c r="C976" s="11" t="s">
        <v>5</v>
      </c>
      <c r="D976" s="12">
        <v>326</v>
      </c>
      <c r="E976" s="13">
        <v>1</v>
      </c>
    </row>
    <row r="977" spans="1:5" x14ac:dyDescent="0.25">
      <c r="A977" s="11" t="s">
        <v>1789</v>
      </c>
      <c r="B977" s="11" t="s">
        <v>20</v>
      </c>
      <c r="C977" s="11" t="s">
        <v>44</v>
      </c>
      <c r="D977" s="12">
        <v>326</v>
      </c>
      <c r="E977" s="13">
        <v>1</v>
      </c>
    </row>
    <row r="978" spans="1:5" x14ac:dyDescent="0.25">
      <c r="A978" s="11" t="s">
        <v>1860</v>
      </c>
      <c r="B978" s="11" t="s">
        <v>26</v>
      </c>
      <c r="C978" s="11" t="s">
        <v>44</v>
      </c>
      <c r="D978" s="12">
        <v>326</v>
      </c>
      <c r="E978" s="13">
        <v>0</v>
      </c>
    </row>
    <row r="979" spans="1:5" x14ac:dyDescent="0.25">
      <c r="A979" s="11" t="s">
        <v>1957</v>
      </c>
      <c r="B979" s="11" t="s">
        <v>24</v>
      </c>
      <c r="C979" s="11" t="s">
        <v>39</v>
      </c>
      <c r="D979" s="12">
        <v>326</v>
      </c>
      <c r="E979" s="13">
        <v>1</v>
      </c>
    </row>
    <row r="980" spans="1:5" x14ac:dyDescent="0.25">
      <c r="A980" s="11" t="s">
        <v>1440</v>
      </c>
      <c r="B980" s="11" t="s">
        <v>26</v>
      </c>
      <c r="C980" s="11" t="s">
        <v>44</v>
      </c>
      <c r="D980" s="12">
        <v>327</v>
      </c>
      <c r="E980" s="13">
        <v>0</v>
      </c>
    </row>
    <row r="981" spans="1:5" x14ac:dyDescent="0.25">
      <c r="A981" s="11" t="s">
        <v>571</v>
      </c>
      <c r="B981" s="11" t="s">
        <v>26</v>
      </c>
      <c r="C981" s="11" t="s">
        <v>39</v>
      </c>
      <c r="D981" s="12">
        <v>328</v>
      </c>
      <c r="E981" s="13">
        <v>5</v>
      </c>
    </row>
    <row r="982" spans="1:5" x14ac:dyDescent="0.25">
      <c r="A982" s="11" t="s">
        <v>715</v>
      </c>
      <c r="B982" s="11" t="s">
        <v>20</v>
      </c>
      <c r="C982" s="11" t="s">
        <v>44</v>
      </c>
      <c r="D982" s="12">
        <v>328</v>
      </c>
      <c r="E982" s="13">
        <v>11</v>
      </c>
    </row>
    <row r="983" spans="1:5" x14ac:dyDescent="0.25">
      <c r="A983" s="11" t="s">
        <v>879</v>
      </c>
      <c r="B983" s="11" t="s">
        <v>24</v>
      </c>
      <c r="C983" s="11" t="s">
        <v>44</v>
      </c>
      <c r="D983" s="12">
        <v>329</v>
      </c>
      <c r="E983" s="13">
        <v>6</v>
      </c>
    </row>
    <row r="984" spans="1:5" x14ac:dyDescent="0.25">
      <c r="A984" s="11" t="s">
        <v>982</v>
      </c>
      <c r="B984" s="11" t="s">
        <v>26</v>
      </c>
      <c r="C984" s="11" t="s">
        <v>21</v>
      </c>
      <c r="D984" s="12">
        <v>329</v>
      </c>
      <c r="E984" s="13">
        <v>0</v>
      </c>
    </row>
    <row r="985" spans="1:5" x14ac:dyDescent="0.25">
      <c r="A985" s="11" t="s">
        <v>604</v>
      </c>
      <c r="B985" s="11" t="s">
        <v>26</v>
      </c>
      <c r="C985" s="11" t="s">
        <v>62</v>
      </c>
      <c r="D985" s="12">
        <v>330</v>
      </c>
      <c r="E985" s="13">
        <v>2</v>
      </c>
    </row>
    <row r="986" spans="1:5" x14ac:dyDescent="0.25">
      <c r="A986" s="11" t="s">
        <v>615</v>
      </c>
      <c r="B986" s="11" t="s">
        <v>24</v>
      </c>
      <c r="C986" s="11" t="s">
        <v>44</v>
      </c>
      <c r="D986" s="12">
        <v>330</v>
      </c>
      <c r="E986" s="13">
        <v>1</v>
      </c>
    </row>
    <row r="987" spans="1:5" x14ac:dyDescent="0.25">
      <c r="A987" s="11" t="s">
        <v>822</v>
      </c>
      <c r="B987" s="11" t="s">
        <v>20</v>
      </c>
      <c r="C987" s="11" t="s">
        <v>40</v>
      </c>
      <c r="D987" s="12">
        <v>330</v>
      </c>
      <c r="E987" s="13">
        <v>0</v>
      </c>
    </row>
    <row r="988" spans="1:5" x14ac:dyDescent="0.25">
      <c r="A988" s="11" t="s">
        <v>1161</v>
      </c>
      <c r="B988" s="11" t="s">
        <v>26</v>
      </c>
      <c r="C988" s="11" t="s">
        <v>33</v>
      </c>
      <c r="D988" s="12">
        <v>330</v>
      </c>
      <c r="E988" s="13">
        <v>4</v>
      </c>
    </row>
    <row r="989" spans="1:5" x14ac:dyDescent="0.25">
      <c r="A989" s="11" t="s">
        <v>1747</v>
      </c>
      <c r="B989" s="11" t="s">
        <v>24</v>
      </c>
      <c r="C989" s="11" t="s">
        <v>28</v>
      </c>
      <c r="D989" s="12">
        <v>330</v>
      </c>
      <c r="E989" s="13">
        <v>1</v>
      </c>
    </row>
    <row r="990" spans="1:5" x14ac:dyDescent="0.25">
      <c r="A990" s="11" t="s">
        <v>253</v>
      </c>
      <c r="B990" s="11" t="s">
        <v>20</v>
      </c>
      <c r="C990" s="11" t="s">
        <v>27</v>
      </c>
      <c r="D990" s="12">
        <v>332</v>
      </c>
      <c r="E990" s="13">
        <v>2</v>
      </c>
    </row>
    <row r="991" spans="1:5" x14ac:dyDescent="0.25">
      <c r="A991" s="11" t="s">
        <v>619</v>
      </c>
      <c r="B991" s="11" t="s">
        <v>20</v>
      </c>
      <c r="C991" s="11" t="s">
        <v>27</v>
      </c>
      <c r="D991" s="12">
        <v>332</v>
      </c>
      <c r="E991" s="13">
        <v>0</v>
      </c>
    </row>
    <row r="992" spans="1:5" x14ac:dyDescent="0.25">
      <c r="A992" s="11" t="s">
        <v>1521</v>
      </c>
      <c r="B992" s="11" t="s">
        <v>20</v>
      </c>
      <c r="C992" s="11" t="s">
        <v>27</v>
      </c>
      <c r="D992" s="12">
        <v>332</v>
      </c>
      <c r="E992" s="13">
        <v>1</v>
      </c>
    </row>
    <row r="993" spans="1:5" x14ac:dyDescent="0.25">
      <c r="A993" s="11" t="s">
        <v>1718</v>
      </c>
      <c r="B993" s="11" t="s">
        <v>26</v>
      </c>
      <c r="C993" s="11" t="s">
        <v>39</v>
      </c>
      <c r="D993" s="12">
        <v>332</v>
      </c>
      <c r="E993" s="13">
        <v>3</v>
      </c>
    </row>
    <row r="994" spans="1:5" x14ac:dyDescent="0.25">
      <c r="A994" s="11" t="s">
        <v>1848</v>
      </c>
      <c r="B994" s="11" t="s">
        <v>24</v>
      </c>
      <c r="C994" s="11" t="s">
        <v>32</v>
      </c>
      <c r="D994" s="12">
        <v>332</v>
      </c>
      <c r="E994" s="13">
        <v>12</v>
      </c>
    </row>
    <row r="995" spans="1:5" x14ac:dyDescent="0.25">
      <c r="A995" s="11" t="s">
        <v>1282</v>
      </c>
      <c r="B995" s="11" t="s">
        <v>20</v>
      </c>
      <c r="C995" s="11" t="s">
        <v>39</v>
      </c>
      <c r="D995" s="12">
        <v>333</v>
      </c>
      <c r="E995" s="13">
        <v>0</v>
      </c>
    </row>
    <row r="996" spans="1:5" x14ac:dyDescent="0.25">
      <c r="A996" s="11" t="s">
        <v>1856</v>
      </c>
      <c r="B996" s="11" t="s">
        <v>20</v>
      </c>
      <c r="C996" s="11" t="s">
        <v>5</v>
      </c>
      <c r="D996" s="12">
        <v>333</v>
      </c>
      <c r="E996" s="13">
        <v>0</v>
      </c>
    </row>
    <row r="997" spans="1:5" x14ac:dyDescent="0.25">
      <c r="A997" s="11" t="s">
        <v>338</v>
      </c>
      <c r="B997" s="11" t="s">
        <v>20</v>
      </c>
      <c r="C997" s="11" t="s">
        <v>44</v>
      </c>
      <c r="D997" s="12">
        <v>334</v>
      </c>
      <c r="E997" s="13">
        <v>8</v>
      </c>
    </row>
    <row r="998" spans="1:5" x14ac:dyDescent="0.25">
      <c r="A998" s="11" t="s">
        <v>533</v>
      </c>
      <c r="B998" s="11" t="s">
        <v>20</v>
      </c>
      <c r="C998" s="11" t="s">
        <v>39</v>
      </c>
      <c r="D998" s="12">
        <v>334</v>
      </c>
      <c r="E998" s="13">
        <v>1</v>
      </c>
    </row>
    <row r="999" spans="1:5" x14ac:dyDescent="0.25">
      <c r="A999" s="11" t="s">
        <v>928</v>
      </c>
      <c r="B999" s="11" t="s">
        <v>24</v>
      </c>
      <c r="C999" s="11" t="s">
        <v>44</v>
      </c>
      <c r="D999" s="12">
        <v>334</v>
      </c>
      <c r="E999" s="13">
        <v>1</v>
      </c>
    </row>
    <row r="1000" spans="1:5" x14ac:dyDescent="0.25">
      <c r="A1000" s="11" t="s">
        <v>1355</v>
      </c>
      <c r="B1000" s="11" t="s">
        <v>24</v>
      </c>
      <c r="C1000" s="11" t="s">
        <v>43</v>
      </c>
      <c r="D1000" s="12">
        <v>334</v>
      </c>
      <c r="E1000" s="13">
        <v>2</v>
      </c>
    </row>
    <row r="1001" spans="1:5" x14ac:dyDescent="0.25">
      <c r="A1001" s="11" t="s">
        <v>1702</v>
      </c>
      <c r="B1001" s="11" t="s">
        <v>24</v>
      </c>
      <c r="C1001" s="11" t="s">
        <v>30</v>
      </c>
      <c r="D1001" s="12">
        <v>334</v>
      </c>
      <c r="E1001" s="13">
        <v>4</v>
      </c>
    </row>
    <row r="1002" spans="1:5" x14ac:dyDescent="0.25">
      <c r="A1002" s="11" t="s">
        <v>394</v>
      </c>
      <c r="B1002" s="11" t="s">
        <v>26</v>
      </c>
      <c r="C1002" s="11" t="s">
        <v>30</v>
      </c>
      <c r="D1002" s="12">
        <v>335</v>
      </c>
      <c r="E1002" s="13">
        <v>0</v>
      </c>
    </row>
    <row r="1003" spans="1:5" x14ac:dyDescent="0.25">
      <c r="A1003" s="11" t="s">
        <v>142</v>
      </c>
      <c r="B1003" s="11" t="s">
        <v>26</v>
      </c>
      <c r="C1003" s="11" t="s">
        <v>28</v>
      </c>
      <c r="D1003" s="12">
        <v>336</v>
      </c>
      <c r="E1003" s="13">
        <v>0</v>
      </c>
    </row>
    <row r="1004" spans="1:5" x14ac:dyDescent="0.25">
      <c r="A1004" s="11" t="s">
        <v>653</v>
      </c>
      <c r="B1004" s="11" t="s">
        <v>26</v>
      </c>
      <c r="C1004" s="11" t="s">
        <v>30</v>
      </c>
      <c r="D1004" s="12">
        <v>336</v>
      </c>
      <c r="E1004" s="13">
        <v>0</v>
      </c>
    </row>
    <row r="1005" spans="1:5" x14ac:dyDescent="0.25">
      <c r="A1005" s="11" t="s">
        <v>963</v>
      </c>
      <c r="B1005" s="11" t="s">
        <v>24</v>
      </c>
      <c r="C1005" s="11" t="s">
        <v>27</v>
      </c>
      <c r="D1005" s="12">
        <v>336</v>
      </c>
      <c r="E1005" s="13">
        <v>2</v>
      </c>
    </row>
    <row r="1006" spans="1:5" x14ac:dyDescent="0.25">
      <c r="A1006" s="11" t="s">
        <v>1103</v>
      </c>
      <c r="B1006" s="11" t="s">
        <v>24</v>
      </c>
      <c r="C1006" s="11" t="s">
        <v>40</v>
      </c>
      <c r="D1006" s="12">
        <v>336</v>
      </c>
      <c r="E1006" s="13">
        <v>0</v>
      </c>
    </row>
    <row r="1007" spans="1:5" x14ac:dyDescent="0.25">
      <c r="A1007" s="11" t="s">
        <v>447</v>
      </c>
      <c r="B1007" s="11" t="s">
        <v>20</v>
      </c>
      <c r="C1007" s="11" t="s">
        <v>5</v>
      </c>
      <c r="D1007" s="12">
        <v>337</v>
      </c>
      <c r="E1007" s="13">
        <v>3</v>
      </c>
    </row>
    <row r="1008" spans="1:5" x14ac:dyDescent="0.25">
      <c r="A1008" s="11" t="s">
        <v>1162</v>
      </c>
      <c r="B1008" s="11" t="s">
        <v>20</v>
      </c>
      <c r="C1008" s="11" t="s">
        <v>39</v>
      </c>
      <c r="D1008" s="12">
        <v>337</v>
      </c>
      <c r="E1008" s="13">
        <v>7</v>
      </c>
    </row>
    <row r="1009" spans="1:5" x14ac:dyDescent="0.25">
      <c r="A1009" s="11" t="s">
        <v>1952</v>
      </c>
      <c r="B1009" s="11" t="s">
        <v>26</v>
      </c>
      <c r="C1009" s="11" t="s">
        <v>21</v>
      </c>
      <c r="D1009" s="12">
        <v>337</v>
      </c>
      <c r="E1009" s="13">
        <v>0</v>
      </c>
    </row>
    <row r="1010" spans="1:5" x14ac:dyDescent="0.25">
      <c r="A1010" s="11" t="s">
        <v>1959</v>
      </c>
      <c r="B1010" s="11" t="s">
        <v>24</v>
      </c>
      <c r="C1010" s="11" t="s">
        <v>44</v>
      </c>
      <c r="D1010" s="12">
        <v>337</v>
      </c>
      <c r="E1010" s="13">
        <v>4</v>
      </c>
    </row>
    <row r="1011" spans="1:5" x14ac:dyDescent="0.25">
      <c r="A1011" s="11" t="s">
        <v>1966</v>
      </c>
      <c r="B1011" s="11" t="s">
        <v>20</v>
      </c>
      <c r="C1011" s="11" t="s">
        <v>21</v>
      </c>
      <c r="D1011" s="12">
        <v>337</v>
      </c>
      <c r="E1011" s="13">
        <v>7</v>
      </c>
    </row>
    <row r="1012" spans="1:5" x14ac:dyDescent="0.25">
      <c r="A1012" s="11" t="s">
        <v>291</v>
      </c>
      <c r="B1012" s="11" t="s">
        <v>24</v>
      </c>
      <c r="C1012" s="11" t="s">
        <v>39</v>
      </c>
      <c r="D1012" s="12">
        <v>338</v>
      </c>
      <c r="E1012" s="13">
        <v>0</v>
      </c>
    </row>
    <row r="1013" spans="1:5" x14ac:dyDescent="0.25">
      <c r="A1013" s="11" t="s">
        <v>535</v>
      </c>
      <c r="B1013" s="11" t="s">
        <v>24</v>
      </c>
      <c r="C1013" s="11" t="s">
        <v>66</v>
      </c>
      <c r="D1013" s="12">
        <v>338</v>
      </c>
      <c r="E1013" s="13">
        <v>1</v>
      </c>
    </row>
    <row r="1014" spans="1:5" x14ac:dyDescent="0.25">
      <c r="A1014" s="11" t="s">
        <v>23</v>
      </c>
      <c r="B1014" s="11" t="s">
        <v>26</v>
      </c>
      <c r="C1014" s="11" t="s">
        <v>27</v>
      </c>
      <c r="D1014" s="12">
        <v>339</v>
      </c>
      <c r="E1014" s="13">
        <v>0</v>
      </c>
    </row>
    <row r="1015" spans="1:5" x14ac:dyDescent="0.25">
      <c r="A1015" s="11" t="s">
        <v>631</v>
      </c>
      <c r="B1015" s="11" t="s">
        <v>20</v>
      </c>
      <c r="C1015" s="11" t="s">
        <v>28</v>
      </c>
      <c r="D1015" s="12">
        <v>339</v>
      </c>
      <c r="E1015" s="13">
        <v>2</v>
      </c>
    </row>
    <row r="1016" spans="1:5" x14ac:dyDescent="0.25">
      <c r="A1016" s="11" t="s">
        <v>896</v>
      </c>
      <c r="B1016" s="11" t="s">
        <v>24</v>
      </c>
      <c r="C1016" s="11" t="s">
        <v>40</v>
      </c>
      <c r="D1016" s="12">
        <v>339</v>
      </c>
      <c r="E1016" s="13">
        <v>2</v>
      </c>
    </row>
    <row r="1017" spans="1:5" x14ac:dyDescent="0.25">
      <c r="A1017" s="11" t="s">
        <v>1330</v>
      </c>
      <c r="B1017" s="11" t="s">
        <v>24</v>
      </c>
      <c r="C1017" s="11" t="s">
        <v>27</v>
      </c>
      <c r="D1017" s="12">
        <v>339</v>
      </c>
      <c r="E1017" s="13">
        <v>6</v>
      </c>
    </row>
    <row r="1018" spans="1:5" x14ac:dyDescent="0.25">
      <c r="A1018" s="11" t="s">
        <v>1666</v>
      </c>
      <c r="B1018" s="11" t="s">
        <v>20</v>
      </c>
      <c r="C1018" s="11" t="s">
        <v>25</v>
      </c>
      <c r="D1018" s="12">
        <v>339</v>
      </c>
      <c r="E1018" s="13">
        <v>2</v>
      </c>
    </row>
    <row r="1019" spans="1:5" x14ac:dyDescent="0.25">
      <c r="A1019" s="11" t="s">
        <v>1764</v>
      </c>
      <c r="B1019" s="11" t="s">
        <v>24</v>
      </c>
      <c r="C1019" s="11" t="s">
        <v>53</v>
      </c>
      <c r="D1019" s="12">
        <v>339</v>
      </c>
      <c r="E1019" s="13">
        <v>0</v>
      </c>
    </row>
    <row r="1020" spans="1:5" x14ac:dyDescent="0.25">
      <c r="A1020" s="11" t="s">
        <v>1169</v>
      </c>
      <c r="B1020" s="11" t="s">
        <v>24</v>
      </c>
      <c r="C1020" s="11" t="s">
        <v>44</v>
      </c>
      <c r="D1020" s="12">
        <v>340</v>
      </c>
      <c r="E1020" s="13">
        <v>0</v>
      </c>
    </row>
    <row r="1021" spans="1:5" x14ac:dyDescent="0.25">
      <c r="A1021" s="11" t="s">
        <v>1279</v>
      </c>
      <c r="B1021" s="11" t="s">
        <v>24</v>
      </c>
      <c r="C1021" s="11" t="s">
        <v>27</v>
      </c>
      <c r="D1021" s="12">
        <v>340</v>
      </c>
      <c r="E1021" s="13">
        <v>1</v>
      </c>
    </row>
    <row r="1022" spans="1:5" x14ac:dyDescent="0.25">
      <c r="A1022" s="11" t="s">
        <v>447</v>
      </c>
      <c r="B1022" s="11" t="s">
        <v>24</v>
      </c>
      <c r="C1022" s="11" t="s">
        <v>111</v>
      </c>
      <c r="D1022" s="12">
        <v>341</v>
      </c>
      <c r="E1022" s="13">
        <v>0</v>
      </c>
    </row>
    <row r="1023" spans="1:5" x14ac:dyDescent="0.25">
      <c r="A1023" s="11" t="s">
        <v>1045</v>
      </c>
      <c r="B1023" s="11" t="s">
        <v>26</v>
      </c>
      <c r="C1023" s="11" t="s">
        <v>111</v>
      </c>
      <c r="D1023" s="12">
        <v>341</v>
      </c>
      <c r="E1023" s="13">
        <v>1</v>
      </c>
    </row>
    <row r="1024" spans="1:5" x14ac:dyDescent="0.25">
      <c r="A1024" s="11" t="s">
        <v>1550</v>
      </c>
      <c r="B1024" s="11" t="s">
        <v>24</v>
      </c>
      <c r="C1024" s="11" t="s">
        <v>44</v>
      </c>
      <c r="D1024" s="12">
        <v>341</v>
      </c>
      <c r="E1024" s="13">
        <v>6</v>
      </c>
    </row>
    <row r="1025" spans="1:5" x14ac:dyDescent="0.25">
      <c r="A1025" s="11" t="s">
        <v>487</v>
      </c>
      <c r="B1025" s="11" t="s">
        <v>20</v>
      </c>
      <c r="C1025" s="11" t="s">
        <v>30</v>
      </c>
      <c r="D1025" s="12">
        <v>342</v>
      </c>
      <c r="E1025" s="13">
        <v>3</v>
      </c>
    </row>
    <row r="1026" spans="1:5" x14ac:dyDescent="0.25">
      <c r="A1026" s="11" t="s">
        <v>1743</v>
      </c>
      <c r="B1026" s="11" t="s">
        <v>24</v>
      </c>
      <c r="C1026" s="11" t="s">
        <v>39</v>
      </c>
      <c r="D1026" s="12">
        <v>342</v>
      </c>
      <c r="E1026" s="13">
        <v>1</v>
      </c>
    </row>
    <row r="1027" spans="1:5" x14ac:dyDescent="0.25">
      <c r="A1027" s="11" t="s">
        <v>1868</v>
      </c>
      <c r="B1027" s="11" t="s">
        <v>20</v>
      </c>
      <c r="C1027" s="11" t="s">
        <v>43</v>
      </c>
      <c r="D1027" s="12">
        <v>342</v>
      </c>
      <c r="E1027" s="13">
        <v>12</v>
      </c>
    </row>
    <row r="1028" spans="1:5" x14ac:dyDescent="0.25">
      <c r="A1028" s="11" t="s">
        <v>1911</v>
      </c>
      <c r="B1028" s="11" t="s">
        <v>20</v>
      </c>
      <c r="C1028" s="11" t="s">
        <v>30</v>
      </c>
      <c r="D1028" s="12">
        <v>342</v>
      </c>
      <c r="E1028" s="13">
        <v>0</v>
      </c>
    </row>
    <row r="1029" spans="1:5" x14ac:dyDescent="0.25">
      <c r="A1029" s="11" t="s">
        <v>1570</v>
      </c>
      <c r="B1029" s="11" t="s">
        <v>26</v>
      </c>
      <c r="C1029" s="11" t="s">
        <v>44</v>
      </c>
      <c r="D1029" s="12">
        <v>343</v>
      </c>
      <c r="E1029" s="13">
        <v>0</v>
      </c>
    </row>
    <row r="1030" spans="1:5" x14ac:dyDescent="0.25">
      <c r="A1030" s="11" t="s">
        <v>1673</v>
      </c>
      <c r="B1030" s="11" t="s">
        <v>26</v>
      </c>
      <c r="C1030" s="11" t="s">
        <v>21</v>
      </c>
      <c r="D1030" s="12">
        <v>343</v>
      </c>
      <c r="E1030" s="13">
        <v>0</v>
      </c>
    </row>
    <row r="1031" spans="1:5" x14ac:dyDescent="0.25">
      <c r="A1031" s="11" t="s">
        <v>1682</v>
      </c>
      <c r="B1031" s="11" t="s">
        <v>26</v>
      </c>
      <c r="C1031" s="11" t="s">
        <v>44</v>
      </c>
      <c r="D1031" s="12">
        <v>343</v>
      </c>
      <c r="E1031" s="13">
        <v>17</v>
      </c>
    </row>
    <row r="1032" spans="1:5" x14ac:dyDescent="0.25">
      <c r="A1032" s="11" t="s">
        <v>1715</v>
      </c>
      <c r="B1032" s="11" t="s">
        <v>20</v>
      </c>
      <c r="C1032" s="11" t="s">
        <v>44</v>
      </c>
      <c r="D1032" s="12">
        <v>343</v>
      </c>
      <c r="E1032" s="13">
        <v>0</v>
      </c>
    </row>
    <row r="1033" spans="1:5" x14ac:dyDescent="0.25">
      <c r="A1033" s="11" t="s">
        <v>1201</v>
      </c>
      <c r="B1033" s="11" t="s">
        <v>24</v>
      </c>
      <c r="C1033" s="11" t="s">
        <v>30</v>
      </c>
      <c r="D1033" s="12">
        <v>344</v>
      </c>
      <c r="E1033" s="13">
        <v>0</v>
      </c>
    </row>
    <row r="1034" spans="1:5" x14ac:dyDescent="0.25">
      <c r="A1034" s="11" t="s">
        <v>153</v>
      </c>
      <c r="B1034" s="11" t="s">
        <v>20</v>
      </c>
      <c r="C1034" s="11" t="s">
        <v>39</v>
      </c>
      <c r="D1034" s="12">
        <v>345</v>
      </c>
      <c r="E1034" s="13">
        <v>0</v>
      </c>
    </row>
    <row r="1035" spans="1:5" x14ac:dyDescent="0.25">
      <c r="A1035" s="11" t="s">
        <v>1724</v>
      </c>
      <c r="B1035" s="11" t="s">
        <v>20</v>
      </c>
      <c r="C1035" s="11" t="s">
        <v>44</v>
      </c>
      <c r="D1035" s="12">
        <v>345</v>
      </c>
      <c r="E1035" s="13">
        <v>0</v>
      </c>
    </row>
    <row r="1036" spans="1:5" x14ac:dyDescent="0.25">
      <c r="A1036" s="11" t="s">
        <v>134</v>
      </c>
      <c r="B1036" s="11" t="s">
        <v>26</v>
      </c>
      <c r="C1036" s="11" t="s">
        <v>32</v>
      </c>
      <c r="D1036" s="12">
        <v>346</v>
      </c>
      <c r="E1036" s="13">
        <v>4</v>
      </c>
    </row>
    <row r="1037" spans="1:5" x14ac:dyDescent="0.25">
      <c r="A1037" s="11" t="s">
        <v>531</v>
      </c>
      <c r="B1037" s="11" t="s">
        <v>26</v>
      </c>
      <c r="C1037" s="11" t="s">
        <v>5</v>
      </c>
      <c r="D1037" s="12">
        <v>347</v>
      </c>
      <c r="E1037" s="13">
        <v>1</v>
      </c>
    </row>
    <row r="1038" spans="1:5" x14ac:dyDescent="0.25">
      <c r="A1038" s="11" t="s">
        <v>1260</v>
      </c>
      <c r="B1038" s="11" t="s">
        <v>26</v>
      </c>
      <c r="C1038" s="11" t="s">
        <v>44</v>
      </c>
      <c r="D1038" s="12">
        <v>347</v>
      </c>
      <c r="E1038" s="13">
        <v>0</v>
      </c>
    </row>
    <row r="1039" spans="1:5" x14ac:dyDescent="0.25">
      <c r="A1039" s="11" t="s">
        <v>1389</v>
      </c>
      <c r="B1039" s="11" t="s">
        <v>26</v>
      </c>
      <c r="C1039" s="11" t="s">
        <v>5</v>
      </c>
      <c r="D1039" s="12">
        <v>347</v>
      </c>
      <c r="E1039" s="13">
        <v>3</v>
      </c>
    </row>
    <row r="1040" spans="1:5" x14ac:dyDescent="0.25">
      <c r="A1040" s="11" t="s">
        <v>1893</v>
      </c>
      <c r="B1040" s="11" t="s">
        <v>24</v>
      </c>
      <c r="C1040" s="11" t="s">
        <v>22</v>
      </c>
      <c r="D1040" s="12">
        <v>347</v>
      </c>
      <c r="E1040" s="13">
        <v>0</v>
      </c>
    </row>
    <row r="1041" spans="1:5" x14ac:dyDescent="0.25">
      <c r="A1041" s="11" t="s">
        <v>1931</v>
      </c>
      <c r="B1041" s="11" t="s">
        <v>24</v>
      </c>
      <c r="C1041" s="11" t="s">
        <v>30</v>
      </c>
      <c r="D1041" s="12">
        <v>347</v>
      </c>
      <c r="E1041" s="13">
        <v>2</v>
      </c>
    </row>
    <row r="1042" spans="1:5" x14ac:dyDescent="0.25">
      <c r="A1042" s="11" t="s">
        <v>1475</v>
      </c>
      <c r="B1042" s="11" t="s">
        <v>20</v>
      </c>
      <c r="C1042" s="11" t="s">
        <v>44</v>
      </c>
      <c r="D1042" s="12">
        <v>348</v>
      </c>
      <c r="E1042" s="13">
        <v>2</v>
      </c>
    </row>
    <row r="1043" spans="1:5" x14ac:dyDescent="0.25">
      <c r="A1043" s="11" t="s">
        <v>1167</v>
      </c>
      <c r="B1043" s="11" t="s">
        <v>20</v>
      </c>
      <c r="C1043" s="11" t="s">
        <v>39</v>
      </c>
      <c r="D1043" s="12">
        <v>349</v>
      </c>
      <c r="E1043" s="13">
        <v>2</v>
      </c>
    </row>
    <row r="1044" spans="1:5" x14ac:dyDescent="0.25">
      <c r="A1044" s="11" t="s">
        <v>1932</v>
      </c>
      <c r="B1044" s="11" t="s">
        <v>24</v>
      </c>
      <c r="C1044" s="11" t="s">
        <v>62</v>
      </c>
      <c r="D1044" s="12">
        <v>349</v>
      </c>
      <c r="E1044" s="13">
        <v>2</v>
      </c>
    </row>
    <row r="1045" spans="1:5" x14ac:dyDescent="0.25">
      <c r="A1045" s="11" t="s">
        <v>351</v>
      </c>
      <c r="B1045" s="11" t="s">
        <v>26</v>
      </c>
      <c r="C1045" s="11" t="s">
        <v>66</v>
      </c>
      <c r="D1045" s="12">
        <v>350</v>
      </c>
      <c r="E1045" s="13">
        <v>2</v>
      </c>
    </row>
    <row r="1046" spans="1:5" x14ac:dyDescent="0.25">
      <c r="A1046" s="11" t="s">
        <v>1332</v>
      </c>
      <c r="B1046" s="11" t="s">
        <v>24</v>
      </c>
      <c r="C1046" s="11" t="s">
        <v>43</v>
      </c>
      <c r="D1046" s="12">
        <v>350</v>
      </c>
      <c r="E1046" s="13">
        <v>3</v>
      </c>
    </row>
    <row r="1047" spans="1:5" x14ac:dyDescent="0.25">
      <c r="A1047" s="11" t="s">
        <v>1767</v>
      </c>
      <c r="B1047" s="11" t="s">
        <v>24</v>
      </c>
      <c r="C1047" s="11" t="s">
        <v>5</v>
      </c>
      <c r="D1047" s="12">
        <v>350</v>
      </c>
      <c r="E1047" s="13">
        <v>1</v>
      </c>
    </row>
    <row r="1048" spans="1:5" x14ac:dyDescent="0.25">
      <c r="A1048" s="11" t="s">
        <v>1089</v>
      </c>
      <c r="B1048" s="11" t="s">
        <v>24</v>
      </c>
      <c r="C1048" s="11" t="s">
        <v>44</v>
      </c>
      <c r="D1048" s="12">
        <v>351</v>
      </c>
      <c r="E1048" s="13">
        <v>2</v>
      </c>
    </row>
    <row r="1049" spans="1:5" x14ac:dyDescent="0.25">
      <c r="A1049" s="11" t="s">
        <v>464</v>
      </c>
      <c r="B1049" s="11" t="s">
        <v>24</v>
      </c>
      <c r="C1049" s="11" t="s">
        <v>21</v>
      </c>
      <c r="D1049" s="12">
        <v>352</v>
      </c>
      <c r="E1049" s="13">
        <v>1</v>
      </c>
    </row>
    <row r="1050" spans="1:5" x14ac:dyDescent="0.25">
      <c r="A1050" s="11" t="s">
        <v>578</v>
      </c>
      <c r="B1050" s="11" t="s">
        <v>20</v>
      </c>
      <c r="C1050" s="11" t="s">
        <v>5</v>
      </c>
      <c r="D1050" s="12">
        <v>352</v>
      </c>
      <c r="E1050" s="13">
        <v>0</v>
      </c>
    </row>
    <row r="1051" spans="1:5" x14ac:dyDescent="0.25">
      <c r="A1051" s="11" t="s">
        <v>670</v>
      </c>
      <c r="B1051" s="11" t="s">
        <v>26</v>
      </c>
      <c r="C1051" s="11" t="s">
        <v>44</v>
      </c>
      <c r="D1051" s="12">
        <v>352</v>
      </c>
      <c r="E1051" s="13">
        <v>0</v>
      </c>
    </row>
    <row r="1052" spans="1:5" x14ac:dyDescent="0.25">
      <c r="A1052" s="11" t="s">
        <v>721</v>
      </c>
      <c r="B1052" s="11" t="s">
        <v>20</v>
      </c>
      <c r="C1052" s="11" t="s">
        <v>5</v>
      </c>
      <c r="D1052" s="12">
        <v>352</v>
      </c>
      <c r="E1052" s="13">
        <v>9</v>
      </c>
    </row>
    <row r="1053" spans="1:5" x14ac:dyDescent="0.25">
      <c r="A1053" s="11" t="s">
        <v>1625</v>
      </c>
      <c r="B1053" s="11" t="s">
        <v>26</v>
      </c>
      <c r="C1053" s="11" t="s">
        <v>28</v>
      </c>
      <c r="D1053" s="12">
        <v>352</v>
      </c>
      <c r="E1053" s="13">
        <v>2</v>
      </c>
    </row>
    <row r="1054" spans="1:5" x14ac:dyDescent="0.25">
      <c r="A1054" s="11" t="s">
        <v>1864</v>
      </c>
      <c r="B1054" s="11" t="s">
        <v>24</v>
      </c>
      <c r="C1054" s="11" t="s">
        <v>62</v>
      </c>
      <c r="D1054" s="12">
        <v>353</v>
      </c>
      <c r="E1054" s="13">
        <v>1</v>
      </c>
    </row>
    <row r="1055" spans="1:5" x14ac:dyDescent="0.25">
      <c r="A1055" s="11" t="s">
        <v>1903</v>
      </c>
      <c r="B1055" s="11" t="s">
        <v>20</v>
      </c>
      <c r="C1055" s="11" t="s">
        <v>62</v>
      </c>
      <c r="D1055" s="12">
        <v>354</v>
      </c>
      <c r="E1055" s="13">
        <v>1</v>
      </c>
    </row>
    <row r="1056" spans="1:5" x14ac:dyDescent="0.25">
      <c r="A1056" s="11" t="s">
        <v>460</v>
      </c>
      <c r="B1056" s="11" t="s">
        <v>20</v>
      </c>
      <c r="C1056" s="11" t="s">
        <v>44</v>
      </c>
      <c r="D1056" s="12">
        <v>356</v>
      </c>
      <c r="E1056" s="13">
        <v>4</v>
      </c>
    </row>
    <row r="1057" spans="1:5" x14ac:dyDescent="0.25">
      <c r="A1057" s="11" t="s">
        <v>618</v>
      </c>
      <c r="B1057" s="11" t="s">
        <v>20</v>
      </c>
      <c r="C1057" s="11" t="s">
        <v>43</v>
      </c>
      <c r="D1057" s="12">
        <v>356</v>
      </c>
      <c r="E1057" s="13">
        <v>0</v>
      </c>
    </row>
    <row r="1058" spans="1:5" x14ac:dyDescent="0.25">
      <c r="A1058" s="11" t="s">
        <v>900</v>
      </c>
      <c r="B1058" s="11" t="s">
        <v>24</v>
      </c>
      <c r="C1058" s="11" t="s">
        <v>32</v>
      </c>
      <c r="D1058" s="12">
        <v>356</v>
      </c>
      <c r="E1058" s="13">
        <v>0</v>
      </c>
    </row>
    <row r="1059" spans="1:5" x14ac:dyDescent="0.25">
      <c r="A1059" s="11" t="s">
        <v>1226</v>
      </c>
      <c r="B1059" s="11" t="s">
        <v>20</v>
      </c>
      <c r="C1059" s="11" t="s">
        <v>28</v>
      </c>
      <c r="D1059" s="12">
        <v>357</v>
      </c>
      <c r="E1059" s="13">
        <v>2</v>
      </c>
    </row>
    <row r="1060" spans="1:5" x14ac:dyDescent="0.25">
      <c r="A1060" s="11" t="s">
        <v>1420</v>
      </c>
      <c r="B1060" s="11" t="s">
        <v>20</v>
      </c>
      <c r="C1060" s="11" t="s">
        <v>30</v>
      </c>
      <c r="D1060" s="12">
        <v>357</v>
      </c>
      <c r="E1060" s="13">
        <v>3</v>
      </c>
    </row>
    <row r="1061" spans="1:5" x14ac:dyDescent="0.25">
      <c r="A1061" s="11" t="s">
        <v>1659</v>
      </c>
      <c r="B1061" s="11" t="s">
        <v>20</v>
      </c>
      <c r="C1061" s="11" t="s">
        <v>30</v>
      </c>
      <c r="D1061" s="12">
        <v>357</v>
      </c>
      <c r="E1061" s="13">
        <v>2</v>
      </c>
    </row>
    <row r="1062" spans="1:5" x14ac:dyDescent="0.25">
      <c r="A1062" s="11" t="s">
        <v>133</v>
      </c>
      <c r="B1062" s="11" t="s">
        <v>20</v>
      </c>
      <c r="C1062" s="11" t="s">
        <v>30</v>
      </c>
      <c r="D1062" s="12">
        <v>358</v>
      </c>
      <c r="E1062" s="13">
        <v>3</v>
      </c>
    </row>
    <row r="1063" spans="1:5" x14ac:dyDescent="0.25">
      <c r="A1063" s="11" t="s">
        <v>565</v>
      </c>
      <c r="B1063" s="11" t="s">
        <v>24</v>
      </c>
      <c r="C1063" s="11" t="s">
        <v>44</v>
      </c>
      <c r="D1063" s="12">
        <v>358</v>
      </c>
      <c r="E1063" s="13">
        <v>0</v>
      </c>
    </row>
    <row r="1064" spans="1:5" x14ac:dyDescent="0.25">
      <c r="A1064" s="11" t="s">
        <v>985</v>
      </c>
      <c r="B1064" s="11" t="s">
        <v>26</v>
      </c>
      <c r="C1064" s="11" t="s">
        <v>32</v>
      </c>
      <c r="D1064" s="12">
        <v>358</v>
      </c>
      <c r="E1064" s="13">
        <v>0</v>
      </c>
    </row>
    <row r="1065" spans="1:5" x14ac:dyDescent="0.25">
      <c r="A1065" s="11" t="s">
        <v>1319</v>
      </c>
      <c r="B1065" s="11" t="s">
        <v>20</v>
      </c>
      <c r="C1065" s="11" t="s">
        <v>40</v>
      </c>
      <c r="D1065" s="12">
        <v>358</v>
      </c>
      <c r="E1065" s="13">
        <v>3</v>
      </c>
    </row>
    <row r="1066" spans="1:5" x14ac:dyDescent="0.25">
      <c r="A1066" s="11" t="s">
        <v>1422</v>
      </c>
      <c r="B1066" s="11" t="s">
        <v>24</v>
      </c>
      <c r="C1066" s="11" t="s">
        <v>30</v>
      </c>
      <c r="D1066" s="12">
        <v>358</v>
      </c>
      <c r="E1066" s="13">
        <v>0</v>
      </c>
    </row>
    <row r="1067" spans="1:5" x14ac:dyDescent="0.25">
      <c r="A1067" s="11" t="s">
        <v>1543</v>
      </c>
      <c r="B1067" s="11" t="s">
        <v>24</v>
      </c>
      <c r="C1067" s="11" t="s">
        <v>34</v>
      </c>
      <c r="D1067" s="12">
        <v>358</v>
      </c>
      <c r="E1067" s="13">
        <v>5</v>
      </c>
    </row>
    <row r="1068" spans="1:5" x14ac:dyDescent="0.25">
      <c r="A1068" s="11" t="s">
        <v>1810</v>
      </c>
      <c r="B1068" s="11" t="s">
        <v>24</v>
      </c>
      <c r="C1068" s="11" t="s">
        <v>66</v>
      </c>
      <c r="D1068" s="12">
        <v>358</v>
      </c>
      <c r="E1068" s="13">
        <v>11</v>
      </c>
    </row>
    <row r="1069" spans="1:5" x14ac:dyDescent="0.25">
      <c r="A1069" s="11" t="s">
        <v>446</v>
      </c>
      <c r="B1069" s="11" t="s">
        <v>20</v>
      </c>
      <c r="C1069" s="11" t="s">
        <v>62</v>
      </c>
      <c r="D1069" s="12">
        <v>359</v>
      </c>
      <c r="E1069" s="13">
        <v>4</v>
      </c>
    </row>
    <row r="1070" spans="1:5" x14ac:dyDescent="0.25">
      <c r="A1070" s="11" t="s">
        <v>638</v>
      </c>
      <c r="B1070" s="11" t="s">
        <v>26</v>
      </c>
      <c r="C1070" s="11" t="s">
        <v>53</v>
      </c>
      <c r="D1070" s="12">
        <v>359</v>
      </c>
      <c r="E1070" s="13">
        <v>7</v>
      </c>
    </row>
    <row r="1071" spans="1:5" x14ac:dyDescent="0.25">
      <c r="A1071" s="11" t="s">
        <v>801</v>
      </c>
      <c r="B1071" s="11" t="s">
        <v>26</v>
      </c>
      <c r="C1071" s="11" t="s">
        <v>30</v>
      </c>
      <c r="D1071" s="12">
        <v>359</v>
      </c>
      <c r="E1071" s="13">
        <v>2</v>
      </c>
    </row>
    <row r="1072" spans="1:5" x14ac:dyDescent="0.25">
      <c r="A1072" s="11" t="s">
        <v>37</v>
      </c>
      <c r="B1072" s="11" t="s">
        <v>24</v>
      </c>
      <c r="C1072" s="11" t="s">
        <v>27</v>
      </c>
      <c r="D1072" s="12">
        <v>360</v>
      </c>
      <c r="E1072" s="13">
        <v>2</v>
      </c>
    </row>
    <row r="1073" spans="1:5" x14ac:dyDescent="0.25">
      <c r="A1073" s="11" t="s">
        <v>384</v>
      </c>
      <c r="B1073" s="11" t="s">
        <v>20</v>
      </c>
      <c r="C1073" s="11" t="s">
        <v>40</v>
      </c>
      <c r="D1073" s="12">
        <v>360</v>
      </c>
      <c r="E1073" s="13">
        <v>1</v>
      </c>
    </row>
    <row r="1074" spans="1:5" x14ac:dyDescent="0.25">
      <c r="A1074" s="11" t="s">
        <v>732</v>
      </c>
      <c r="B1074" s="11" t="s">
        <v>26</v>
      </c>
      <c r="C1074" s="11" t="s">
        <v>34</v>
      </c>
      <c r="D1074" s="12">
        <v>360</v>
      </c>
      <c r="E1074" s="13">
        <v>1</v>
      </c>
    </row>
    <row r="1075" spans="1:5" x14ac:dyDescent="0.25">
      <c r="A1075" s="11" t="s">
        <v>1750</v>
      </c>
      <c r="B1075" s="11" t="s">
        <v>26</v>
      </c>
      <c r="C1075" s="11" t="s">
        <v>44</v>
      </c>
      <c r="D1075" s="12">
        <v>360</v>
      </c>
      <c r="E1075" s="13">
        <v>0</v>
      </c>
    </row>
    <row r="1076" spans="1:5" x14ac:dyDescent="0.25">
      <c r="A1076" s="11" t="s">
        <v>1053</v>
      </c>
      <c r="B1076" s="11" t="s">
        <v>20</v>
      </c>
      <c r="C1076" s="11" t="s">
        <v>39</v>
      </c>
      <c r="D1076" s="12">
        <v>361</v>
      </c>
      <c r="E1076" s="13">
        <v>4</v>
      </c>
    </row>
    <row r="1077" spans="1:5" x14ac:dyDescent="0.25">
      <c r="A1077" s="11" t="s">
        <v>1145</v>
      </c>
      <c r="B1077" s="11" t="s">
        <v>26</v>
      </c>
      <c r="C1077" s="11" t="s">
        <v>44</v>
      </c>
      <c r="D1077" s="12">
        <v>361</v>
      </c>
      <c r="E1077" s="13">
        <v>3</v>
      </c>
    </row>
    <row r="1078" spans="1:5" x14ac:dyDescent="0.25">
      <c r="A1078" s="11" t="s">
        <v>284</v>
      </c>
      <c r="B1078" s="11" t="s">
        <v>26</v>
      </c>
      <c r="C1078" s="11" t="s">
        <v>27</v>
      </c>
      <c r="D1078" s="12">
        <v>362</v>
      </c>
      <c r="E1078" s="13">
        <v>1</v>
      </c>
    </row>
    <row r="1079" spans="1:5" x14ac:dyDescent="0.25">
      <c r="A1079" s="11" t="s">
        <v>866</v>
      </c>
      <c r="B1079" s="11" t="s">
        <v>24</v>
      </c>
      <c r="C1079" s="11" t="s">
        <v>28</v>
      </c>
      <c r="D1079" s="12">
        <v>362</v>
      </c>
      <c r="E1079" s="13">
        <v>0</v>
      </c>
    </row>
    <row r="1080" spans="1:5" x14ac:dyDescent="0.25">
      <c r="A1080" s="11" t="s">
        <v>704</v>
      </c>
      <c r="B1080" s="11" t="s">
        <v>26</v>
      </c>
      <c r="C1080" s="11" t="s">
        <v>30</v>
      </c>
      <c r="D1080" s="12">
        <v>363</v>
      </c>
      <c r="E1080" s="13">
        <v>3</v>
      </c>
    </row>
    <row r="1081" spans="1:5" x14ac:dyDescent="0.25">
      <c r="A1081" s="11" t="s">
        <v>722</v>
      </c>
      <c r="B1081" s="11" t="s">
        <v>26</v>
      </c>
      <c r="C1081" s="11" t="s">
        <v>25</v>
      </c>
      <c r="D1081" s="12">
        <v>363</v>
      </c>
      <c r="E1081" s="13">
        <v>0</v>
      </c>
    </row>
    <row r="1082" spans="1:5" x14ac:dyDescent="0.25">
      <c r="A1082" s="11" t="s">
        <v>1062</v>
      </c>
      <c r="B1082" s="11" t="s">
        <v>24</v>
      </c>
      <c r="C1082" s="11" t="s">
        <v>39</v>
      </c>
      <c r="D1082" s="12">
        <v>363</v>
      </c>
      <c r="E1082" s="13">
        <v>5</v>
      </c>
    </row>
    <row r="1083" spans="1:5" x14ac:dyDescent="0.25">
      <c r="A1083" s="11" t="s">
        <v>1508</v>
      </c>
      <c r="B1083" s="11" t="s">
        <v>24</v>
      </c>
      <c r="C1083" s="11" t="s">
        <v>39</v>
      </c>
      <c r="D1083" s="12">
        <v>363</v>
      </c>
      <c r="E1083" s="13">
        <v>0</v>
      </c>
    </row>
    <row r="1084" spans="1:5" x14ac:dyDescent="0.25">
      <c r="A1084" s="11" t="s">
        <v>87</v>
      </c>
      <c r="B1084" s="11" t="s">
        <v>24</v>
      </c>
      <c r="C1084" s="11" t="s">
        <v>44</v>
      </c>
      <c r="D1084" s="12">
        <v>364</v>
      </c>
      <c r="E1084" s="13">
        <v>1</v>
      </c>
    </row>
    <row r="1085" spans="1:5" x14ac:dyDescent="0.25">
      <c r="A1085" s="11" t="s">
        <v>240</v>
      </c>
      <c r="B1085" s="11" t="s">
        <v>24</v>
      </c>
      <c r="C1085" s="11" t="s">
        <v>39</v>
      </c>
      <c r="D1085" s="12">
        <v>364</v>
      </c>
      <c r="E1085" s="13">
        <v>0</v>
      </c>
    </row>
    <row r="1086" spans="1:5" x14ac:dyDescent="0.25">
      <c r="A1086" s="11" t="s">
        <v>1299</v>
      </c>
      <c r="B1086" s="11" t="s">
        <v>26</v>
      </c>
      <c r="C1086" s="11" t="s">
        <v>44</v>
      </c>
      <c r="D1086" s="12">
        <v>364</v>
      </c>
      <c r="E1086" s="13">
        <v>6</v>
      </c>
    </row>
    <row r="1087" spans="1:5" x14ac:dyDescent="0.25">
      <c r="A1087" s="11" t="s">
        <v>1389</v>
      </c>
      <c r="B1087" s="11" t="s">
        <v>24</v>
      </c>
      <c r="C1087" s="11" t="s">
        <v>40</v>
      </c>
      <c r="D1087" s="12">
        <v>364</v>
      </c>
      <c r="E1087" s="13">
        <v>4</v>
      </c>
    </row>
    <row r="1088" spans="1:5" x14ac:dyDescent="0.25">
      <c r="A1088" s="11" t="s">
        <v>1454</v>
      </c>
      <c r="B1088" s="11" t="s">
        <v>24</v>
      </c>
      <c r="C1088" s="11" t="s">
        <v>39</v>
      </c>
      <c r="D1088" s="12">
        <v>364</v>
      </c>
      <c r="E1088" s="13">
        <v>0</v>
      </c>
    </row>
    <row r="1089" spans="1:5" x14ac:dyDescent="0.25">
      <c r="A1089" s="11" t="s">
        <v>73</v>
      </c>
      <c r="B1089" s="11" t="s">
        <v>20</v>
      </c>
      <c r="C1089" s="11" t="s">
        <v>39</v>
      </c>
      <c r="D1089" s="12">
        <v>365</v>
      </c>
      <c r="E1089" s="13">
        <v>1</v>
      </c>
    </row>
    <row r="1090" spans="1:5" x14ac:dyDescent="0.25">
      <c r="A1090" s="11" t="s">
        <v>477</v>
      </c>
      <c r="B1090" s="11" t="s">
        <v>26</v>
      </c>
      <c r="C1090" s="11" t="s">
        <v>39</v>
      </c>
      <c r="D1090" s="12">
        <v>365</v>
      </c>
      <c r="E1090" s="13">
        <v>0</v>
      </c>
    </row>
    <row r="1091" spans="1:5" x14ac:dyDescent="0.25">
      <c r="A1091" s="11" t="s">
        <v>944</v>
      </c>
      <c r="B1091" s="11" t="s">
        <v>26</v>
      </c>
      <c r="C1091" s="11" t="s">
        <v>27</v>
      </c>
      <c r="D1091" s="12">
        <v>365</v>
      </c>
      <c r="E1091" s="13">
        <v>0</v>
      </c>
    </row>
    <row r="1092" spans="1:5" x14ac:dyDescent="0.25">
      <c r="A1092" s="11" t="s">
        <v>1908</v>
      </c>
      <c r="B1092" s="11" t="s">
        <v>20</v>
      </c>
      <c r="C1092" s="11" t="s">
        <v>27</v>
      </c>
      <c r="D1092" s="12">
        <v>365</v>
      </c>
      <c r="E1092" s="13">
        <v>1</v>
      </c>
    </row>
    <row r="1093" spans="1:5" x14ac:dyDescent="0.25">
      <c r="A1093" s="11" t="s">
        <v>364</v>
      </c>
      <c r="B1093" s="11" t="s">
        <v>26</v>
      </c>
      <c r="C1093" s="11" t="s">
        <v>21</v>
      </c>
      <c r="D1093" s="12">
        <v>366</v>
      </c>
      <c r="E1093" s="13">
        <v>6</v>
      </c>
    </row>
    <row r="1094" spans="1:5" x14ac:dyDescent="0.25">
      <c r="A1094" s="11" t="s">
        <v>911</v>
      </c>
      <c r="B1094" s="11" t="s">
        <v>26</v>
      </c>
      <c r="C1094" s="11" t="s">
        <v>27</v>
      </c>
      <c r="D1094" s="12">
        <v>366</v>
      </c>
      <c r="E1094" s="13">
        <v>8</v>
      </c>
    </row>
    <row r="1095" spans="1:5" x14ac:dyDescent="0.25">
      <c r="A1095" s="11" t="s">
        <v>1849</v>
      </c>
      <c r="B1095" s="11" t="s">
        <v>24</v>
      </c>
      <c r="C1095" s="11" t="s">
        <v>5</v>
      </c>
      <c r="D1095" s="12">
        <v>366</v>
      </c>
      <c r="E1095" s="13">
        <v>2</v>
      </c>
    </row>
    <row r="1096" spans="1:5" x14ac:dyDescent="0.25">
      <c r="A1096" s="11" t="s">
        <v>355</v>
      </c>
      <c r="B1096" s="11" t="s">
        <v>24</v>
      </c>
      <c r="C1096" s="11" t="s">
        <v>5</v>
      </c>
      <c r="D1096" s="12">
        <v>367</v>
      </c>
      <c r="E1096" s="13">
        <v>2</v>
      </c>
    </row>
    <row r="1097" spans="1:5" x14ac:dyDescent="0.25">
      <c r="A1097" s="11" t="s">
        <v>945</v>
      </c>
      <c r="B1097" s="11" t="s">
        <v>24</v>
      </c>
      <c r="C1097" s="11" t="s">
        <v>27</v>
      </c>
      <c r="D1097" s="12">
        <v>367</v>
      </c>
      <c r="E1097" s="13">
        <v>1</v>
      </c>
    </row>
    <row r="1098" spans="1:5" x14ac:dyDescent="0.25">
      <c r="A1098" s="11" t="s">
        <v>140</v>
      </c>
      <c r="B1098" s="11" t="s">
        <v>26</v>
      </c>
      <c r="C1098" s="11" t="s">
        <v>32</v>
      </c>
      <c r="D1098" s="12">
        <v>368</v>
      </c>
      <c r="E1098" s="13">
        <v>5</v>
      </c>
    </row>
    <row r="1099" spans="1:5" x14ac:dyDescent="0.25">
      <c r="A1099" s="11" t="s">
        <v>1141</v>
      </c>
      <c r="B1099" s="11" t="s">
        <v>20</v>
      </c>
      <c r="C1099" s="11" t="s">
        <v>40</v>
      </c>
      <c r="D1099" s="12">
        <v>368</v>
      </c>
      <c r="E1099" s="13">
        <v>0</v>
      </c>
    </row>
    <row r="1100" spans="1:5" x14ac:dyDescent="0.25">
      <c r="A1100" s="11" t="s">
        <v>1310</v>
      </c>
      <c r="B1100" s="11" t="s">
        <v>20</v>
      </c>
      <c r="C1100" s="11" t="s">
        <v>39</v>
      </c>
      <c r="D1100" s="12">
        <v>368</v>
      </c>
      <c r="E1100" s="13">
        <v>1</v>
      </c>
    </row>
    <row r="1101" spans="1:5" x14ac:dyDescent="0.25">
      <c r="A1101" s="11" t="s">
        <v>1454</v>
      </c>
      <c r="B1101" s="11" t="s">
        <v>20</v>
      </c>
      <c r="C1101" s="11" t="s">
        <v>21</v>
      </c>
      <c r="D1101" s="12">
        <v>368</v>
      </c>
      <c r="E1101" s="13">
        <v>0</v>
      </c>
    </row>
    <row r="1102" spans="1:5" x14ac:dyDescent="0.25">
      <c r="A1102" s="11" t="s">
        <v>210</v>
      </c>
      <c r="B1102" s="11" t="s">
        <v>24</v>
      </c>
      <c r="C1102" s="11" t="s">
        <v>25</v>
      </c>
      <c r="D1102" s="12">
        <v>369</v>
      </c>
      <c r="E1102" s="13">
        <v>0</v>
      </c>
    </row>
    <row r="1103" spans="1:5" x14ac:dyDescent="0.25">
      <c r="A1103" s="11" t="s">
        <v>522</v>
      </c>
      <c r="B1103" s="11" t="s">
        <v>20</v>
      </c>
      <c r="C1103" s="11" t="s">
        <v>5</v>
      </c>
      <c r="D1103" s="12">
        <v>369</v>
      </c>
      <c r="E1103" s="13">
        <v>9</v>
      </c>
    </row>
    <row r="1104" spans="1:5" x14ac:dyDescent="0.25">
      <c r="A1104" s="11" t="s">
        <v>1236</v>
      </c>
      <c r="B1104" s="11" t="s">
        <v>26</v>
      </c>
      <c r="C1104" s="11" t="s">
        <v>44</v>
      </c>
      <c r="D1104" s="12">
        <v>369</v>
      </c>
      <c r="E1104" s="13">
        <v>2</v>
      </c>
    </row>
    <row r="1105" spans="1:5" x14ac:dyDescent="0.25">
      <c r="A1105" s="11" t="s">
        <v>1746</v>
      </c>
      <c r="B1105" s="11" t="s">
        <v>26</v>
      </c>
      <c r="C1105" s="11" t="s">
        <v>39</v>
      </c>
      <c r="D1105" s="12">
        <v>369</v>
      </c>
      <c r="E1105" s="13">
        <v>12</v>
      </c>
    </row>
    <row r="1106" spans="1:5" x14ac:dyDescent="0.25">
      <c r="A1106" s="11" t="s">
        <v>208</v>
      </c>
      <c r="B1106" s="11" t="s">
        <v>24</v>
      </c>
      <c r="C1106" s="11" t="s">
        <v>43</v>
      </c>
      <c r="D1106" s="12">
        <v>370</v>
      </c>
      <c r="E1106" s="13">
        <v>1</v>
      </c>
    </row>
    <row r="1107" spans="1:5" x14ac:dyDescent="0.25">
      <c r="A1107" s="11" t="s">
        <v>786</v>
      </c>
      <c r="B1107" s="11" t="s">
        <v>20</v>
      </c>
      <c r="C1107" s="11" t="s">
        <v>111</v>
      </c>
      <c r="D1107" s="12">
        <v>370</v>
      </c>
      <c r="E1107" s="13">
        <v>0</v>
      </c>
    </row>
    <row r="1108" spans="1:5" x14ac:dyDescent="0.25">
      <c r="A1108" s="11" t="s">
        <v>1093</v>
      </c>
      <c r="B1108" s="11" t="s">
        <v>26</v>
      </c>
      <c r="C1108" s="11" t="s">
        <v>44</v>
      </c>
      <c r="D1108" s="12">
        <v>370</v>
      </c>
      <c r="E1108" s="13">
        <v>9</v>
      </c>
    </row>
    <row r="1109" spans="1:5" x14ac:dyDescent="0.25">
      <c r="A1109" s="11" t="s">
        <v>1591</v>
      </c>
      <c r="B1109" s="11" t="s">
        <v>24</v>
      </c>
      <c r="C1109" s="11" t="s">
        <v>33</v>
      </c>
      <c r="D1109" s="12">
        <v>370</v>
      </c>
      <c r="E1109" s="13">
        <v>2</v>
      </c>
    </row>
    <row r="1110" spans="1:5" x14ac:dyDescent="0.25">
      <c r="A1110" s="11" t="s">
        <v>158</v>
      </c>
      <c r="B1110" s="11" t="s">
        <v>24</v>
      </c>
      <c r="C1110" s="11" t="s">
        <v>27</v>
      </c>
      <c r="D1110" s="12">
        <v>371</v>
      </c>
      <c r="E1110" s="13">
        <v>1</v>
      </c>
    </row>
    <row r="1111" spans="1:5" x14ac:dyDescent="0.25">
      <c r="A1111" s="11" t="s">
        <v>186</v>
      </c>
      <c r="B1111" s="11" t="s">
        <v>24</v>
      </c>
      <c r="C1111" s="11" t="s">
        <v>53</v>
      </c>
      <c r="D1111" s="12">
        <v>371</v>
      </c>
      <c r="E1111" s="13">
        <v>5</v>
      </c>
    </row>
    <row r="1112" spans="1:5" x14ac:dyDescent="0.25">
      <c r="A1112" s="11" t="s">
        <v>248</v>
      </c>
      <c r="B1112" s="11" t="s">
        <v>24</v>
      </c>
      <c r="C1112" s="11" t="s">
        <v>44</v>
      </c>
      <c r="D1112" s="12">
        <v>371</v>
      </c>
      <c r="E1112" s="13">
        <v>1</v>
      </c>
    </row>
    <row r="1113" spans="1:5" x14ac:dyDescent="0.25">
      <c r="A1113" s="11" t="s">
        <v>912</v>
      </c>
      <c r="B1113" s="11" t="s">
        <v>26</v>
      </c>
      <c r="C1113" s="11" t="s">
        <v>27</v>
      </c>
      <c r="D1113" s="12">
        <v>371</v>
      </c>
      <c r="E1113" s="13">
        <v>0</v>
      </c>
    </row>
    <row r="1114" spans="1:5" x14ac:dyDescent="0.25">
      <c r="A1114" s="11" t="s">
        <v>972</v>
      </c>
      <c r="B1114" s="11" t="s">
        <v>20</v>
      </c>
      <c r="C1114" s="11" t="s">
        <v>44</v>
      </c>
      <c r="D1114" s="12">
        <v>371</v>
      </c>
      <c r="E1114" s="13">
        <v>1</v>
      </c>
    </row>
    <row r="1115" spans="1:5" x14ac:dyDescent="0.25">
      <c r="A1115" s="11" t="s">
        <v>1005</v>
      </c>
      <c r="B1115" s="11" t="s">
        <v>26</v>
      </c>
      <c r="C1115" s="11" t="s">
        <v>27</v>
      </c>
      <c r="D1115" s="12">
        <v>371</v>
      </c>
      <c r="E1115" s="13">
        <v>1</v>
      </c>
    </row>
    <row r="1116" spans="1:5" x14ac:dyDescent="0.25">
      <c r="A1116" s="11" t="s">
        <v>275</v>
      </c>
      <c r="B1116" s="11" t="s">
        <v>20</v>
      </c>
      <c r="C1116" s="11" t="s">
        <v>30</v>
      </c>
      <c r="D1116" s="12">
        <v>372</v>
      </c>
      <c r="E1116" s="13">
        <v>9</v>
      </c>
    </row>
    <row r="1117" spans="1:5" x14ac:dyDescent="0.25">
      <c r="A1117" s="11" t="s">
        <v>1373</v>
      </c>
      <c r="B1117" s="11" t="s">
        <v>20</v>
      </c>
      <c r="C1117" s="11" t="s">
        <v>30</v>
      </c>
      <c r="D1117" s="12">
        <v>372</v>
      </c>
      <c r="E1117" s="13">
        <v>8</v>
      </c>
    </row>
    <row r="1118" spans="1:5" x14ac:dyDescent="0.25">
      <c r="A1118" s="11" t="s">
        <v>954</v>
      </c>
      <c r="B1118" s="11" t="s">
        <v>20</v>
      </c>
      <c r="C1118" s="11" t="s">
        <v>34</v>
      </c>
      <c r="D1118" s="12">
        <v>373</v>
      </c>
      <c r="E1118" s="13">
        <v>3</v>
      </c>
    </row>
    <row r="1119" spans="1:5" x14ac:dyDescent="0.25">
      <c r="A1119" s="11" t="s">
        <v>1075</v>
      </c>
      <c r="B1119" s="11" t="s">
        <v>24</v>
      </c>
      <c r="C1119" s="11" t="s">
        <v>39</v>
      </c>
      <c r="D1119" s="12">
        <v>373</v>
      </c>
      <c r="E1119" s="13">
        <v>8</v>
      </c>
    </row>
    <row r="1120" spans="1:5" x14ac:dyDescent="0.25">
      <c r="A1120" s="11" t="s">
        <v>1559</v>
      </c>
      <c r="B1120" s="11" t="s">
        <v>26</v>
      </c>
      <c r="C1120" s="11" t="s">
        <v>39</v>
      </c>
      <c r="D1120" s="12">
        <v>373</v>
      </c>
      <c r="E1120" s="13">
        <v>1</v>
      </c>
    </row>
    <row r="1121" spans="1:5" x14ac:dyDescent="0.25">
      <c r="A1121" s="11" t="s">
        <v>1788</v>
      </c>
      <c r="B1121" s="11" t="s">
        <v>26</v>
      </c>
      <c r="C1121" s="11" t="s">
        <v>27</v>
      </c>
      <c r="D1121" s="12">
        <v>373</v>
      </c>
      <c r="E1121" s="13">
        <v>0</v>
      </c>
    </row>
    <row r="1122" spans="1:5" x14ac:dyDescent="0.25">
      <c r="A1122" s="11" t="s">
        <v>1070</v>
      </c>
      <c r="B1122" s="11" t="s">
        <v>24</v>
      </c>
      <c r="C1122" s="11" t="s">
        <v>33</v>
      </c>
      <c r="D1122" s="12">
        <v>374</v>
      </c>
      <c r="E1122" s="13">
        <v>0</v>
      </c>
    </row>
    <row r="1123" spans="1:5" x14ac:dyDescent="0.25">
      <c r="A1123" s="11" t="s">
        <v>1464</v>
      </c>
      <c r="B1123" s="11" t="s">
        <v>20</v>
      </c>
      <c r="C1123" s="11" t="s">
        <v>44</v>
      </c>
      <c r="D1123" s="12">
        <v>374</v>
      </c>
      <c r="E1123" s="13">
        <v>4</v>
      </c>
    </row>
    <row r="1124" spans="1:5" x14ac:dyDescent="0.25">
      <c r="A1124" s="11" t="s">
        <v>1549</v>
      </c>
      <c r="B1124" s="11" t="s">
        <v>24</v>
      </c>
      <c r="C1124" s="11" t="s">
        <v>39</v>
      </c>
      <c r="D1124" s="12">
        <v>374</v>
      </c>
      <c r="E1124" s="13">
        <v>0</v>
      </c>
    </row>
    <row r="1125" spans="1:5" x14ac:dyDescent="0.25">
      <c r="A1125" s="11" t="s">
        <v>1578</v>
      </c>
      <c r="B1125" s="11" t="s">
        <v>24</v>
      </c>
      <c r="C1125" s="11" t="s">
        <v>66</v>
      </c>
      <c r="D1125" s="12">
        <v>374</v>
      </c>
      <c r="E1125" s="13">
        <v>1</v>
      </c>
    </row>
    <row r="1126" spans="1:5" x14ac:dyDescent="0.25">
      <c r="A1126" s="11" t="s">
        <v>205</v>
      </c>
      <c r="B1126" s="11" t="s">
        <v>24</v>
      </c>
      <c r="C1126" s="11" t="s">
        <v>22</v>
      </c>
      <c r="D1126" s="12">
        <v>375</v>
      </c>
      <c r="E1126" s="13">
        <v>5</v>
      </c>
    </row>
    <row r="1127" spans="1:5" x14ac:dyDescent="0.25">
      <c r="A1127" s="11" t="s">
        <v>517</v>
      </c>
      <c r="B1127" s="11" t="s">
        <v>20</v>
      </c>
      <c r="C1127" s="11" t="s">
        <v>62</v>
      </c>
      <c r="D1127" s="12">
        <v>375</v>
      </c>
      <c r="E1127" s="13">
        <v>2</v>
      </c>
    </row>
    <row r="1128" spans="1:5" x14ac:dyDescent="0.25">
      <c r="A1128" s="11" t="s">
        <v>915</v>
      </c>
      <c r="B1128" s="11" t="s">
        <v>26</v>
      </c>
      <c r="C1128" s="11" t="s">
        <v>111</v>
      </c>
      <c r="D1128" s="12">
        <v>375</v>
      </c>
      <c r="E1128" s="13">
        <v>0</v>
      </c>
    </row>
    <row r="1129" spans="1:5" x14ac:dyDescent="0.25">
      <c r="A1129" s="11" t="s">
        <v>1219</v>
      </c>
      <c r="B1129" s="11" t="s">
        <v>26</v>
      </c>
      <c r="C1129" s="11" t="s">
        <v>32</v>
      </c>
      <c r="D1129" s="12">
        <v>375</v>
      </c>
      <c r="E1129" s="13">
        <v>1</v>
      </c>
    </row>
    <row r="1130" spans="1:5" x14ac:dyDescent="0.25">
      <c r="A1130" s="11" t="s">
        <v>720</v>
      </c>
      <c r="B1130" s="11" t="s">
        <v>24</v>
      </c>
      <c r="C1130" s="11" t="s">
        <v>30</v>
      </c>
      <c r="D1130" s="12">
        <v>376</v>
      </c>
      <c r="E1130" s="13">
        <v>4</v>
      </c>
    </row>
    <row r="1131" spans="1:5" x14ac:dyDescent="0.25">
      <c r="A1131" s="11" t="s">
        <v>1238</v>
      </c>
      <c r="B1131" s="11" t="s">
        <v>26</v>
      </c>
      <c r="C1131" s="11" t="s">
        <v>32</v>
      </c>
      <c r="D1131" s="12">
        <v>376</v>
      </c>
      <c r="E1131" s="13">
        <v>5</v>
      </c>
    </row>
    <row r="1132" spans="1:5" x14ac:dyDescent="0.25">
      <c r="A1132" s="11" t="s">
        <v>1535</v>
      </c>
      <c r="B1132" s="11" t="s">
        <v>26</v>
      </c>
      <c r="C1132" s="11" t="s">
        <v>43</v>
      </c>
      <c r="D1132" s="12">
        <v>376</v>
      </c>
      <c r="E1132" s="13">
        <v>0</v>
      </c>
    </row>
    <row r="1133" spans="1:5" x14ac:dyDescent="0.25">
      <c r="A1133" s="11" t="s">
        <v>1857</v>
      </c>
      <c r="B1133" s="11" t="s">
        <v>24</v>
      </c>
      <c r="C1133" s="11" t="s">
        <v>21</v>
      </c>
      <c r="D1133" s="12">
        <v>376</v>
      </c>
      <c r="E1133" s="13">
        <v>2</v>
      </c>
    </row>
    <row r="1134" spans="1:5" x14ac:dyDescent="0.25">
      <c r="A1134" s="11" t="s">
        <v>349</v>
      </c>
      <c r="B1134" s="11" t="s">
        <v>24</v>
      </c>
      <c r="C1134" s="11" t="s">
        <v>28</v>
      </c>
      <c r="D1134" s="12">
        <v>377</v>
      </c>
      <c r="E1134" s="13">
        <v>8</v>
      </c>
    </row>
    <row r="1135" spans="1:5" x14ac:dyDescent="0.25">
      <c r="A1135" s="11" t="s">
        <v>1063</v>
      </c>
      <c r="B1135" s="11" t="s">
        <v>26</v>
      </c>
      <c r="C1135" s="11" t="s">
        <v>25</v>
      </c>
      <c r="D1135" s="12">
        <v>377</v>
      </c>
      <c r="E1135" s="13">
        <v>0</v>
      </c>
    </row>
    <row r="1136" spans="1:5" x14ac:dyDescent="0.25">
      <c r="A1136" s="11" t="s">
        <v>1162</v>
      </c>
      <c r="B1136" s="11" t="s">
        <v>24</v>
      </c>
      <c r="C1136" s="11" t="s">
        <v>27</v>
      </c>
      <c r="D1136" s="12">
        <v>377</v>
      </c>
      <c r="E1136" s="13">
        <v>2</v>
      </c>
    </row>
    <row r="1137" spans="1:5" x14ac:dyDescent="0.25">
      <c r="A1137" s="11" t="s">
        <v>1904</v>
      </c>
      <c r="B1137" s="11" t="s">
        <v>24</v>
      </c>
      <c r="C1137" s="11" t="s">
        <v>44</v>
      </c>
      <c r="D1137" s="12">
        <v>377</v>
      </c>
      <c r="E1137" s="13">
        <v>5</v>
      </c>
    </row>
    <row r="1138" spans="1:5" x14ac:dyDescent="0.25">
      <c r="A1138" s="11" t="s">
        <v>1910</v>
      </c>
      <c r="B1138" s="11" t="s">
        <v>20</v>
      </c>
      <c r="C1138" s="11" t="s">
        <v>39</v>
      </c>
      <c r="D1138" s="12">
        <v>377</v>
      </c>
      <c r="E1138" s="13">
        <v>0</v>
      </c>
    </row>
    <row r="1139" spans="1:5" x14ac:dyDescent="0.25">
      <c r="A1139" s="11" t="s">
        <v>29</v>
      </c>
      <c r="B1139" s="11" t="s">
        <v>24</v>
      </c>
      <c r="C1139" s="11" t="s">
        <v>30</v>
      </c>
      <c r="D1139" s="12">
        <v>379</v>
      </c>
      <c r="E1139" s="13">
        <v>0</v>
      </c>
    </row>
    <row r="1140" spans="1:5" x14ac:dyDescent="0.25">
      <c r="A1140" s="11" t="s">
        <v>282</v>
      </c>
      <c r="B1140" s="11" t="s">
        <v>24</v>
      </c>
      <c r="C1140" s="11" t="s">
        <v>62</v>
      </c>
      <c r="D1140" s="12">
        <v>379</v>
      </c>
      <c r="E1140" s="13">
        <v>2</v>
      </c>
    </row>
    <row r="1141" spans="1:5" x14ac:dyDescent="0.25">
      <c r="A1141" s="11" t="s">
        <v>655</v>
      </c>
      <c r="B1141" s="11" t="s">
        <v>20</v>
      </c>
      <c r="C1141" s="11" t="s">
        <v>27</v>
      </c>
      <c r="D1141" s="12">
        <v>379</v>
      </c>
      <c r="E1141" s="13">
        <v>2</v>
      </c>
    </row>
    <row r="1142" spans="1:5" x14ac:dyDescent="0.25">
      <c r="A1142" s="11" t="s">
        <v>1808</v>
      </c>
      <c r="B1142" s="11" t="s">
        <v>26</v>
      </c>
      <c r="C1142" s="11" t="s">
        <v>5</v>
      </c>
      <c r="D1142" s="12">
        <v>379</v>
      </c>
      <c r="E1142" s="13">
        <v>0</v>
      </c>
    </row>
    <row r="1143" spans="1:5" x14ac:dyDescent="0.25">
      <c r="A1143" s="11" t="s">
        <v>1882</v>
      </c>
      <c r="B1143" s="11" t="s">
        <v>24</v>
      </c>
      <c r="C1143" s="11" t="s">
        <v>25</v>
      </c>
      <c r="D1143" s="12">
        <v>379</v>
      </c>
      <c r="E1143" s="13">
        <v>8</v>
      </c>
    </row>
    <row r="1144" spans="1:5" x14ac:dyDescent="0.25">
      <c r="A1144" s="11" t="s">
        <v>449</v>
      </c>
      <c r="B1144" s="11" t="s">
        <v>24</v>
      </c>
      <c r="C1144" s="11" t="s">
        <v>25</v>
      </c>
      <c r="D1144" s="12">
        <v>380</v>
      </c>
      <c r="E1144" s="13">
        <v>1</v>
      </c>
    </row>
    <row r="1145" spans="1:5" x14ac:dyDescent="0.25">
      <c r="A1145" s="11" t="s">
        <v>1880</v>
      </c>
      <c r="B1145" s="11" t="s">
        <v>24</v>
      </c>
      <c r="C1145" s="11" t="s">
        <v>27</v>
      </c>
      <c r="D1145" s="12">
        <v>380</v>
      </c>
      <c r="E1145" s="13">
        <v>3</v>
      </c>
    </row>
    <row r="1146" spans="1:5" x14ac:dyDescent="0.25">
      <c r="A1146" s="11" t="s">
        <v>237</v>
      </c>
      <c r="B1146" s="11" t="s">
        <v>24</v>
      </c>
      <c r="C1146" s="11" t="s">
        <v>44</v>
      </c>
      <c r="D1146" s="12">
        <v>381</v>
      </c>
      <c r="E1146" s="13">
        <v>0</v>
      </c>
    </row>
    <row r="1147" spans="1:5" x14ac:dyDescent="0.25">
      <c r="A1147" s="11" t="s">
        <v>129</v>
      </c>
      <c r="B1147" s="11" t="s">
        <v>20</v>
      </c>
      <c r="C1147" s="11" t="s">
        <v>44</v>
      </c>
      <c r="D1147" s="12">
        <v>382</v>
      </c>
      <c r="E1147" s="13">
        <v>3</v>
      </c>
    </row>
    <row r="1148" spans="1:5" x14ac:dyDescent="0.25">
      <c r="A1148" s="11" t="s">
        <v>1227</v>
      </c>
      <c r="B1148" s="11" t="s">
        <v>26</v>
      </c>
      <c r="C1148" s="11" t="s">
        <v>62</v>
      </c>
      <c r="D1148" s="12">
        <v>382</v>
      </c>
      <c r="E1148" s="13">
        <v>0</v>
      </c>
    </row>
    <row r="1149" spans="1:5" x14ac:dyDescent="0.25">
      <c r="A1149" s="11" t="s">
        <v>1239</v>
      </c>
      <c r="B1149" s="11" t="s">
        <v>26</v>
      </c>
      <c r="C1149" s="11" t="s">
        <v>44</v>
      </c>
      <c r="D1149" s="12">
        <v>382</v>
      </c>
      <c r="E1149" s="13">
        <v>11</v>
      </c>
    </row>
    <row r="1150" spans="1:5" x14ac:dyDescent="0.25">
      <c r="A1150" s="11" t="s">
        <v>1419</v>
      </c>
      <c r="B1150" s="11" t="s">
        <v>26</v>
      </c>
      <c r="C1150" s="11" t="s">
        <v>44</v>
      </c>
      <c r="D1150" s="12">
        <v>382</v>
      </c>
      <c r="E1150" s="13">
        <v>1</v>
      </c>
    </row>
    <row r="1151" spans="1:5" x14ac:dyDescent="0.25">
      <c r="A1151" s="11" t="s">
        <v>847</v>
      </c>
      <c r="B1151" s="11" t="s">
        <v>24</v>
      </c>
      <c r="C1151" s="11" t="s">
        <v>21</v>
      </c>
      <c r="D1151" s="12">
        <v>383</v>
      </c>
      <c r="E1151" s="13">
        <v>0</v>
      </c>
    </row>
    <row r="1152" spans="1:5" x14ac:dyDescent="0.25">
      <c r="A1152" s="11" t="s">
        <v>1201</v>
      </c>
      <c r="B1152" s="11" t="s">
        <v>24</v>
      </c>
      <c r="C1152" s="11" t="s">
        <v>21</v>
      </c>
      <c r="D1152" s="12">
        <v>384</v>
      </c>
      <c r="E1152" s="13">
        <v>7</v>
      </c>
    </row>
    <row r="1153" spans="1:5" x14ac:dyDescent="0.25">
      <c r="A1153" s="11" t="s">
        <v>1267</v>
      </c>
      <c r="B1153" s="11" t="s">
        <v>20</v>
      </c>
      <c r="C1153" s="11" t="s">
        <v>32</v>
      </c>
      <c r="D1153" s="12">
        <v>384</v>
      </c>
      <c r="E1153" s="13">
        <v>0</v>
      </c>
    </row>
    <row r="1154" spans="1:5" x14ac:dyDescent="0.25">
      <c r="A1154" s="11" t="s">
        <v>259</v>
      </c>
      <c r="B1154" s="11" t="s">
        <v>20</v>
      </c>
      <c r="C1154" s="11" t="s">
        <v>66</v>
      </c>
      <c r="D1154" s="12">
        <v>385</v>
      </c>
      <c r="E1154" s="13">
        <v>0</v>
      </c>
    </row>
    <row r="1155" spans="1:5" x14ac:dyDescent="0.25">
      <c r="A1155" s="11" t="s">
        <v>465</v>
      </c>
      <c r="B1155" s="11" t="s">
        <v>26</v>
      </c>
      <c r="C1155" s="11" t="s">
        <v>22</v>
      </c>
      <c r="D1155" s="12">
        <v>385</v>
      </c>
      <c r="E1155" s="13">
        <v>4</v>
      </c>
    </row>
    <row r="1156" spans="1:5" x14ac:dyDescent="0.25">
      <c r="A1156" s="11" t="s">
        <v>681</v>
      </c>
      <c r="B1156" s="11" t="s">
        <v>26</v>
      </c>
      <c r="C1156" s="11" t="s">
        <v>66</v>
      </c>
      <c r="D1156" s="12">
        <v>385</v>
      </c>
      <c r="E1156" s="13">
        <v>0</v>
      </c>
    </row>
    <row r="1157" spans="1:5" x14ac:dyDescent="0.25">
      <c r="A1157" s="11" t="s">
        <v>843</v>
      </c>
      <c r="B1157" s="11" t="s">
        <v>26</v>
      </c>
      <c r="C1157" s="11" t="s">
        <v>39</v>
      </c>
      <c r="D1157" s="12">
        <v>385</v>
      </c>
      <c r="E1157" s="13">
        <v>8</v>
      </c>
    </row>
    <row r="1158" spans="1:5" x14ac:dyDescent="0.25">
      <c r="A1158" s="11" t="s">
        <v>1672</v>
      </c>
      <c r="B1158" s="11" t="s">
        <v>20</v>
      </c>
      <c r="C1158" s="11" t="s">
        <v>30</v>
      </c>
      <c r="D1158" s="12">
        <v>385</v>
      </c>
      <c r="E1158" s="13">
        <v>0</v>
      </c>
    </row>
    <row r="1159" spans="1:5" x14ac:dyDescent="0.25">
      <c r="A1159" s="11" t="s">
        <v>869</v>
      </c>
      <c r="B1159" s="11" t="s">
        <v>24</v>
      </c>
      <c r="C1159" s="11" t="s">
        <v>30</v>
      </c>
      <c r="D1159" s="12">
        <v>386</v>
      </c>
      <c r="E1159" s="13">
        <v>1</v>
      </c>
    </row>
    <row r="1160" spans="1:5" x14ac:dyDescent="0.25">
      <c r="A1160" s="11" t="s">
        <v>1614</v>
      </c>
      <c r="B1160" s="11" t="s">
        <v>24</v>
      </c>
      <c r="C1160" s="11" t="s">
        <v>21</v>
      </c>
      <c r="D1160" s="12">
        <v>386</v>
      </c>
      <c r="E1160" s="13">
        <v>1</v>
      </c>
    </row>
    <row r="1161" spans="1:5" x14ac:dyDescent="0.25">
      <c r="A1161" s="11" t="s">
        <v>292</v>
      </c>
      <c r="B1161" s="11" t="s">
        <v>26</v>
      </c>
      <c r="C1161" s="11" t="s">
        <v>33</v>
      </c>
      <c r="D1161" s="12">
        <v>387</v>
      </c>
      <c r="E1161" s="13">
        <v>1</v>
      </c>
    </row>
    <row r="1162" spans="1:5" x14ac:dyDescent="0.25">
      <c r="A1162" s="11" t="s">
        <v>359</v>
      </c>
      <c r="B1162" s="11" t="s">
        <v>24</v>
      </c>
      <c r="C1162" s="11" t="s">
        <v>5</v>
      </c>
      <c r="D1162" s="12">
        <v>387</v>
      </c>
      <c r="E1162" s="13">
        <v>0</v>
      </c>
    </row>
    <row r="1163" spans="1:5" x14ac:dyDescent="0.25">
      <c r="A1163" s="11" t="s">
        <v>818</v>
      </c>
      <c r="B1163" s="11" t="s">
        <v>20</v>
      </c>
      <c r="C1163" s="11" t="s">
        <v>21</v>
      </c>
      <c r="D1163" s="12">
        <v>388</v>
      </c>
      <c r="E1163" s="13">
        <v>0</v>
      </c>
    </row>
    <row r="1164" spans="1:5" x14ac:dyDescent="0.25">
      <c r="A1164" s="11" t="s">
        <v>1576</v>
      </c>
      <c r="B1164" s="11" t="s">
        <v>20</v>
      </c>
      <c r="C1164" s="11" t="s">
        <v>44</v>
      </c>
      <c r="D1164" s="12">
        <v>388</v>
      </c>
      <c r="E1164" s="13">
        <v>6</v>
      </c>
    </row>
    <row r="1165" spans="1:5" x14ac:dyDescent="0.25">
      <c r="A1165" s="11" t="s">
        <v>1620</v>
      </c>
      <c r="B1165" s="11" t="s">
        <v>20</v>
      </c>
      <c r="C1165" s="11" t="s">
        <v>5</v>
      </c>
      <c r="D1165" s="12">
        <v>388</v>
      </c>
      <c r="E1165" s="13">
        <v>1</v>
      </c>
    </row>
    <row r="1166" spans="1:5" x14ac:dyDescent="0.25">
      <c r="A1166" s="11" t="s">
        <v>1821</v>
      </c>
      <c r="B1166" s="11" t="s">
        <v>24</v>
      </c>
      <c r="C1166" s="11" t="s">
        <v>53</v>
      </c>
      <c r="D1166" s="12">
        <v>388</v>
      </c>
      <c r="E1166" s="13">
        <v>2</v>
      </c>
    </row>
    <row r="1167" spans="1:5" x14ac:dyDescent="0.25">
      <c r="A1167" s="11" t="s">
        <v>1901</v>
      </c>
      <c r="B1167" s="11" t="s">
        <v>24</v>
      </c>
      <c r="C1167" s="11" t="s">
        <v>22</v>
      </c>
      <c r="D1167" s="12">
        <v>388</v>
      </c>
      <c r="E1167" s="13">
        <v>6</v>
      </c>
    </row>
    <row r="1168" spans="1:5" x14ac:dyDescent="0.25">
      <c r="A1168" s="11" t="s">
        <v>406</v>
      </c>
      <c r="B1168" s="11" t="s">
        <v>26</v>
      </c>
      <c r="C1168" s="11" t="s">
        <v>22</v>
      </c>
      <c r="D1168" s="12">
        <v>389</v>
      </c>
      <c r="E1168" s="13">
        <v>3</v>
      </c>
    </row>
    <row r="1169" spans="1:5" x14ac:dyDescent="0.25">
      <c r="A1169" s="11" t="s">
        <v>1720</v>
      </c>
      <c r="B1169" s="11" t="s">
        <v>20</v>
      </c>
      <c r="C1169" s="11" t="s">
        <v>53</v>
      </c>
      <c r="D1169" s="12">
        <v>389</v>
      </c>
      <c r="E1169" s="13">
        <v>9</v>
      </c>
    </row>
    <row r="1170" spans="1:5" x14ac:dyDescent="0.25">
      <c r="A1170" s="11" t="s">
        <v>1648</v>
      </c>
      <c r="B1170" s="11" t="s">
        <v>26</v>
      </c>
      <c r="C1170" s="11" t="s">
        <v>62</v>
      </c>
      <c r="D1170" s="12">
        <v>390</v>
      </c>
      <c r="E1170" s="13">
        <v>0</v>
      </c>
    </row>
    <row r="1171" spans="1:5" x14ac:dyDescent="0.25">
      <c r="A1171" s="11" t="s">
        <v>273</v>
      </c>
      <c r="B1171" s="11" t="s">
        <v>24</v>
      </c>
      <c r="C1171" s="11" t="s">
        <v>27</v>
      </c>
      <c r="D1171" s="12">
        <v>391</v>
      </c>
      <c r="E1171" s="13">
        <v>4</v>
      </c>
    </row>
    <row r="1172" spans="1:5" x14ac:dyDescent="0.25">
      <c r="A1172" s="11" t="s">
        <v>429</v>
      </c>
      <c r="B1172" s="11" t="s">
        <v>20</v>
      </c>
      <c r="C1172" s="11" t="s">
        <v>21</v>
      </c>
      <c r="D1172" s="12">
        <v>391</v>
      </c>
      <c r="E1172" s="13">
        <v>18</v>
      </c>
    </row>
    <row r="1173" spans="1:5" x14ac:dyDescent="0.25">
      <c r="A1173" s="11" t="s">
        <v>442</v>
      </c>
      <c r="B1173" s="11" t="s">
        <v>26</v>
      </c>
      <c r="C1173" s="11" t="s">
        <v>27</v>
      </c>
      <c r="D1173" s="12">
        <v>391</v>
      </c>
      <c r="E1173" s="13">
        <v>3</v>
      </c>
    </row>
    <row r="1174" spans="1:5" x14ac:dyDescent="0.25">
      <c r="A1174" s="11" t="s">
        <v>848</v>
      </c>
      <c r="B1174" s="11" t="s">
        <v>20</v>
      </c>
      <c r="C1174" s="11" t="s">
        <v>28</v>
      </c>
      <c r="D1174" s="12">
        <v>391</v>
      </c>
      <c r="E1174" s="13">
        <v>1</v>
      </c>
    </row>
    <row r="1175" spans="1:5" x14ac:dyDescent="0.25">
      <c r="A1175" s="11" t="s">
        <v>1312</v>
      </c>
      <c r="B1175" s="11" t="s">
        <v>26</v>
      </c>
      <c r="C1175" s="11" t="s">
        <v>40</v>
      </c>
      <c r="D1175" s="12">
        <v>391</v>
      </c>
      <c r="E1175" s="13">
        <v>9</v>
      </c>
    </row>
    <row r="1176" spans="1:5" x14ac:dyDescent="0.25">
      <c r="A1176" s="11" t="s">
        <v>1838</v>
      </c>
      <c r="B1176" s="11" t="s">
        <v>26</v>
      </c>
      <c r="C1176" s="11" t="s">
        <v>5</v>
      </c>
      <c r="D1176" s="12">
        <v>391</v>
      </c>
      <c r="E1176" s="13">
        <v>0</v>
      </c>
    </row>
    <row r="1177" spans="1:5" x14ac:dyDescent="0.25">
      <c r="A1177" s="11" t="s">
        <v>548</v>
      </c>
      <c r="B1177" s="11" t="s">
        <v>24</v>
      </c>
      <c r="C1177" s="11" t="s">
        <v>39</v>
      </c>
      <c r="D1177" s="12">
        <v>392</v>
      </c>
      <c r="E1177" s="13">
        <v>1</v>
      </c>
    </row>
    <row r="1178" spans="1:5" x14ac:dyDescent="0.25">
      <c r="A1178" s="11" t="s">
        <v>851</v>
      </c>
      <c r="B1178" s="11" t="s">
        <v>20</v>
      </c>
      <c r="C1178" s="11" t="s">
        <v>5</v>
      </c>
      <c r="D1178" s="12">
        <v>392</v>
      </c>
      <c r="E1178" s="13">
        <v>7</v>
      </c>
    </row>
    <row r="1179" spans="1:5" x14ac:dyDescent="0.25">
      <c r="A1179" s="11" t="s">
        <v>1401</v>
      </c>
      <c r="B1179" s="11" t="s">
        <v>26</v>
      </c>
      <c r="C1179" s="11" t="s">
        <v>53</v>
      </c>
      <c r="D1179" s="12">
        <v>392</v>
      </c>
      <c r="E1179" s="13">
        <v>0</v>
      </c>
    </row>
    <row r="1180" spans="1:5" x14ac:dyDescent="0.25">
      <c r="A1180" s="11" t="s">
        <v>1461</v>
      </c>
      <c r="B1180" s="11" t="s">
        <v>20</v>
      </c>
      <c r="C1180" s="11" t="s">
        <v>21</v>
      </c>
      <c r="D1180" s="12">
        <v>392</v>
      </c>
      <c r="E1180" s="13">
        <v>0</v>
      </c>
    </row>
    <row r="1181" spans="1:5" x14ac:dyDescent="0.25">
      <c r="A1181" s="11" t="s">
        <v>1613</v>
      </c>
      <c r="B1181" s="11" t="s">
        <v>24</v>
      </c>
      <c r="C1181" s="11" t="s">
        <v>25</v>
      </c>
      <c r="D1181" s="12">
        <v>392</v>
      </c>
      <c r="E1181" s="13">
        <v>1</v>
      </c>
    </row>
    <row r="1182" spans="1:5" x14ac:dyDescent="0.25">
      <c r="A1182" s="11" t="s">
        <v>131</v>
      </c>
      <c r="B1182" s="11" t="s">
        <v>26</v>
      </c>
      <c r="C1182" s="11" t="s">
        <v>21</v>
      </c>
      <c r="D1182" s="12">
        <v>393</v>
      </c>
      <c r="E1182" s="13">
        <v>1</v>
      </c>
    </row>
    <row r="1183" spans="1:5" x14ac:dyDescent="0.25">
      <c r="A1183" s="11" t="s">
        <v>630</v>
      </c>
      <c r="B1183" s="11" t="s">
        <v>24</v>
      </c>
      <c r="C1183" s="11" t="s">
        <v>44</v>
      </c>
      <c r="D1183" s="12">
        <v>393</v>
      </c>
      <c r="E1183" s="13">
        <v>4</v>
      </c>
    </row>
    <row r="1184" spans="1:5" x14ac:dyDescent="0.25">
      <c r="A1184" s="11" t="s">
        <v>877</v>
      </c>
      <c r="B1184" s="11" t="s">
        <v>24</v>
      </c>
      <c r="C1184" s="11" t="s">
        <v>39</v>
      </c>
      <c r="D1184" s="12">
        <v>393</v>
      </c>
      <c r="E1184" s="13">
        <v>0</v>
      </c>
    </row>
    <row r="1185" spans="1:5" x14ac:dyDescent="0.25">
      <c r="A1185" s="11" t="s">
        <v>432</v>
      </c>
      <c r="B1185" s="11" t="s">
        <v>24</v>
      </c>
      <c r="C1185" s="11" t="s">
        <v>39</v>
      </c>
      <c r="D1185" s="12">
        <v>394</v>
      </c>
      <c r="E1185" s="13">
        <v>6</v>
      </c>
    </row>
    <row r="1186" spans="1:5" x14ac:dyDescent="0.25">
      <c r="A1186" s="11" t="s">
        <v>529</v>
      </c>
      <c r="B1186" s="11" t="s">
        <v>26</v>
      </c>
      <c r="C1186" s="11" t="s">
        <v>34</v>
      </c>
      <c r="D1186" s="12">
        <v>394</v>
      </c>
      <c r="E1186" s="13">
        <v>0</v>
      </c>
    </row>
    <row r="1187" spans="1:5" x14ac:dyDescent="0.25">
      <c r="A1187" s="11" t="s">
        <v>558</v>
      </c>
      <c r="B1187" s="11" t="s">
        <v>26</v>
      </c>
      <c r="C1187" s="11" t="s">
        <v>111</v>
      </c>
      <c r="D1187" s="12">
        <v>394</v>
      </c>
      <c r="E1187" s="13">
        <v>0</v>
      </c>
    </row>
    <row r="1188" spans="1:5" x14ac:dyDescent="0.25">
      <c r="A1188" s="11" t="s">
        <v>1071</v>
      </c>
      <c r="B1188" s="11" t="s">
        <v>24</v>
      </c>
      <c r="C1188" s="11" t="s">
        <v>44</v>
      </c>
      <c r="D1188" s="12">
        <v>394</v>
      </c>
      <c r="E1188" s="13">
        <v>10</v>
      </c>
    </row>
    <row r="1189" spans="1:5" x14ac:dyDescent="0.25">
      <c r="A1189" s="11" t="s">
        <v>1314</v>
      </c>
      <c r="B1189" s="11" t="s">
        <v>26</v>
      </c>
      <c r="C1189" s="11" t="s">
        <v>44</v>
      </c>
      <c r="D1189" s="12">
        <v>394</v>
      </c>
      <c r="E1189" s="13">
        <v>0</v>
      </c>
    </row>
    <row r="1190" spans="1:5" x14ac:dyDescent="0.25">
      <c r="A1190" s="11" t="s">
        <v>314</v>
      </c>
      <c r="B1190" s="11" t="s">
        <v>24</v>
      </c>
      <c r="C1190" s="11" t="s">
        <v>39</v>
      </c>
      <c r="D1190" s="12">
        <v>395</v>
      </c>
      <c r="E1190" s="13">
        <v>10</v>
      </c>
    </row>
    <row r="1191" spans="1:5" x14ac:dyDescent="0.25">
      <c r="A1191" s="11" t="s">
        <v>368</v>
      </c>
      <c r="B1191" s="11" t="s">
        <v>26</v>
      </c>
      <c r="C1191" s="11" t="s">
        <v>66</v>
      </c>
      <c r="D1191" s="12">
        <v>395</v>
      </c>
      <c r="E1191" s="13">
        <v>4</v>
      </c>
    </row>
    <row r="1192" spans="1:5" x14ac:dyDescent="0.25">
      <c r="A1192" s="11" t="s">
        <v>727</v>
      </c>
      <c r="B1192" s="11" t="s">
        <v>24</v>
      </c>
      <c r="C1192" s="11" t="s">
        <v>62</v>
      </c>
      <c r="D1192" s="12">
        <v>395</v>
      </c>
      <c r="E1192" s="13">
        <v>0</v>
      </c>
    </row>
    <row r="1193" spans="1:5" x14ac:dyDescent="0.25">
      <c r="A1193" s="11" t="s">
        <v>1250</v>
      </c>
      <c r="B1193" s="11" t="s">
        <v>26</v>
      </c>
      <c r="C1193" s="11" t="s">
        <v>66</v>
      </c>
      <c r="D1193" s="12">
        <v>395</v>
      </c>
      <c r="E1193" s="13">
        <v>1</v>
      </c>
    </row>
    <row r="1194" spans="1:5" x14ac:dyDescent="0.25">
      <c r="A1194" s="11" t="s">
        <v>1261</v>
      </c>
      <c r="B1194" s="11" t="s">
        <v>26</v>
      </c>
      <c r="C1194" s="11" t="s">
        <v>39</v>
      </c>
      <c r="D1194" s="12">
        <v>395</v>
      </c>
      <c r="E1194" s="13">
        <v>2</v>
      </c>
    </row>
    <row r="1195" spans="1:5" x14ac:dyDescent="0.25">
      <c r="A1195" s="11" t="s">
        <v>307</v>
      </c>
      <c r="B1195" s="11" t="s">
        <v>20</v>
      </c>
      <c r="C1195" s="11" t="s">
        <v>5</v>
      </c>
      <c r="D1195" s="12">
        <v>396</v>
      </c>
      <c r="E1195" s="13">
        <v>2</v>
      </c>
    </row>
    <row r="1196" spans="1:5" x14ac:dyDescent="0.25">
      <c r="A1196" s="11" t="s">
        <v>1951</v>
      </c>
      <c r="B1196" s="11" t="s">
        <v>26</v>
      </c>
      <c r="C1196" s="11" t="s">
        <v>39</v>
      </c>
      <c r="D1196" s="12">
        <v>396</v>
      </c>
      <c r="E1196" s="13">
        <v>0</v>
      </c>
    </row>
    <row r="1197" spans="1:5" x14ac:dyDescent="0.25">
      <c r="A1197" s="11" t="s">
        <v>684</v>
      </c>
      <c r="B1197" s="11" t="s">
        <v>24</v>
      </c>
      <c r="C1197" s="11" t="s">
        <v>5</v>
      </c>
      <c r="D1197" s="12">
        <v>397</v>
      </c>
      <c r="E1197" s="13">
        <v>5</v>
      </c>
    </row>
    <row r="1198" spans="1:5" x14ac:dyDescent="0.25">
      <c r="A1198" s="11" t="s">
        <v>1878</v>
      </c>
      <c r="B1198" s="11" t="s">
        <v>20</v>
      </c>
      <c r="C1198" s="11" t="s">
        <v>39</v>
      </c>
      <c r="D1198" s="12">
        <v>399</v>
      </c>
      <c r="E1198" s="13">
        <v>2</v>
      </c>
    </row>
    <row r="1199" spans="1:5" x14ac:dyDescent="0.25">
      <c r="A1199" s="11" t="s">
        <v>687</v>
      </c>
      <c r="B1199" s="11" t="s">
        <v>24</v>
      </c>
      <c r="C1199" s="11" t="s">
        <v>43</v>
      </c>
      <c r="D1199" s="12">
        <v>400</v>
      </c>
      <c r="E1199" s="13">
        <v>1</v>
      </c>
    </row>
    <row r="1200" spans="1:5" x14ac:dyDescent="0.25">
      <c r="A1200" s="11" t="s">
        <v>1113</v>
      </c>
      <c r="B1200" s="11" t="s">
        <v>26</v>
      </c>
      <c r="C1200" s="11" t="s">
        <v>33</v>
      </c>
      <c r="D1200" s="12">
        <v>400</v>
      </c>
      <c r="E1200" s="13">
        <v>0</v>
      </c>
    </row>
    <row r="1201" spans="1:5" x14ac:dyDescent="0.25">
      <c r="A1201" s="11" t="s">
        <v>69</v>
      </c>
      <c r="B1201" s="11" t="s">
        <v>24</v>
      </c>
      <c r="C1201" s="11" t="s">
        <v>53</v>
      </c>
      <c r="D1201" s="12">
        <v>401</v>
      </c>
      <c r="E1201" s="13">
        <v>2</v>
      </c>
    </row>
    <row r="1202" spans="1:5" x14ac:dyDescent="0.25">
      <c r="A1202" s="11" t="s">
        <v>340</v>
      </c>
      <c r="B1202" s="11" t="s">
        <v>26</v>
      </c>
      <c r="C1202" s="11" t="s">
        <v>44</v>
      </c>
      <c r="D1202" s="12">
        <v>401</v>
      </c>
      <c r="E1202" s="13">
        <v>0</v>
      </c>
    </row>
    <row r="1203" spans="1:5" x14ac:dyDescent="0.25">
      <c r="A1203" s="11" t="s">
        <v>993</v>
      </c>
      <c r="B1203" s="11" t="s">
        <v>20</v>
      </c>
      <c r="C1203" s="11" t="s">
        <v>33</v>
      </c>
      <c r="D1203" s="12">
        <v>401</v>
      </c>
      <c r="E1203" s="13">
        <v>2</v>
      </c>
    </row>
    <row r="1204" spans="1:5" x14ac:dyDescent="0.25">
      <c r="A1204" s="11" t="s">
        <v>1006</v>
      </c>
      <c r="B1204" s="11" t="s">
        <v>26</v>
      </c>
      <c r="C1204" s="11" t="s">
        <v>44</v>
      </c>
      <c r="D1204" s="12">
        <v>401</v>
      </c>
      <c r="E1204" s="13">
        <v>5</v>
      </c>
    </row>
    <row r="1205" spans="1:5" x14ac:dyDescent="0.25">
      <c r="A1205" s="11" t="s">
        <v>1037</v>
      </c>
      <c r="B1205" s="11" t="s">
        <v>20</v>
      </c>
      <c r="C1205" s="11" t="s">
        <v>21</v>
      </c>
      <c r="D1205" s="12">
        <v>401</v>
      </c>
      <c r="E1205" s="13">
        <v>0</v>
      </c>
    </row>
    <row r="1206" spans="1:5" x14ac:dyDescent="0.25">
      <c r="A1206" s="11" t="s">
        <v>311</v>
      </c>
      <c r="B1206" s="11" t="s">
        <v>24</v>
      </c>
      <c r="C1206" s="11" t="s">
        <v>44</v>
      </c>
      <c r="D1206" s="12">
        <v>402</v>
      </c>
      <c r="E1206" s="13">
        <v>0</v>
      </c>
    </row>
    <row r="1207" spans="1:5" x14ac:dyDescent="0.25">
      <c r="A1207" s="11" t="s">
        <v>816</v>
      </c>
      <c r="B1207" s="11" t="s">
        <v>24</v>
      </c>
      <c r="C1207" s="11" t="s">
        <v>28</v>
      </c>
      <c r="D1207" s="12">
        <v>402</v>
      </c>
      <c r="E1207" s="13">
        <v>3</v>
      </c>
    </row>
    <row r="1208" spans="1:5" x14ac:dyDescent="0.25">
      <c r="A1208" s="11" t="s">
        <v>920</v>
      </c>
      <c r="B1208" s="11" t="s">
        <v>24</v>
      </c>
      <c r="C1208" s="11" t="s">
        <v>27</v>
      </c>
      <c r="D1208" s="12">
        <v>402</v>
      </c>
      <c r="E1208" s="13">
        <v>1</v>
      </c>
    </row>
    <row r="1209" spans="1:5" x14ac:dyDescent="0.25">
      <c r="A1209" s="11" t="s">
        <v>1503</v>
      </c>
      <c r="B1209" s="11" t="s">
        <v>26</v>
      </c>
      <c r="C1209" s="11" t="s">
        <v>44</v>
      </c>
      <c r="D1209" s="12">
        <v>402</v>
      </c>
      <c r="E1209" s="13">
        <v>7</v>
      </c>
    </row>
    <row r="1210" spans="1:5" x14ac:dyDescent="0.25">
      <c r="A1210" s="11" t="s">
        <v>780</v>
      </c>
      <c r="B1210" s="11" t="s">
        <v>20</v>
      </c>
      <c r="C1210" s="11" t="s">
        <v>30</v>
      </c>
      <c r="D1210" s="12">
        <v>404</v>
      </c>
      <c r="E1210" s="13">
        <v>0</v>
      </c>
    </row>
    <row r="1211" spans="1:5" x14ac:dyDescent="0.25">
      <c r="A1211" s="11" t="s">
        <v>1221</v>
      </c>
      <c r="B1211" s="11" t="s">
        <v>24</v>
      </c>
      <c r="C1211" s="11" t="s">
        <v>30</v>
      </c>
      <c r="D1211" s="12">
        <v>404</v>
      </c>
      <c r="E1211" s="13">
        <v>2</v>
      </c>
    </row>
    <row r="1212" spans="1:5" x14ac:dyDescent="0.25">
      <c r="A1212" s="11" t="s">
        <v>871</v>
      </c>
      <c r="B1212" s="11" t="s">
        <v>20</v>
      </c>
      <c r="C1212" s="11" t="s">
        <v>66</v>
      </c>
      <c r="D1212" s="12">
        <v>405</v>
      </c>
      <c r="E1212" s="13">
        <v>0</v>
      </c>
    </row>
    <row r="1213" spans="1:5" x14ac:dyDescent="0.25">
      <c r="A1213" s="11" t="s">
        <v>906</v>
      </c>
      <c r="B1213" s="11" t="s">
        <v>20</v>
      </c>
      <c r="C1213" s="11" t="s">
        <v>44</v>
      </c>
      <c r="D1213" s="12">
        <v>405</v>
      </c>
      <c r="E1213" s="13">
        <v>2</v>
      </c>
    </row>
    <row r="1214" spans="1:5" x14ac:dyDescent="0.25">
      <c r="A1214" s="11" t="s">
        <v>1226</v>
      </c>
      <c r="B1214" s="11" t="s">
        <v>20</v>
      </c>
      <c r="C1214" s="11" t="s">
        <v>66</v>
      </c>
      <c r="D1214" s="12">
        <v>405</v>
      </c>
      <c r="E1214" s="13">
        <v>0</v>
      </c>
    </row>
    <row r="1215" spans="1:5" x14ac:dyDescent="0.25">
      <c r="A1215" s="11" t="s">
        <v>938</v>
      </c>
      <c r="B1215" s="11" t="s">
        <v>20</v>
      </c>
      <c r="C1215" s="11" t="s">
        <v>39</v>
      </c>
      <c r="D1215" s="12">
        <v>406</v>
      </c>
      <c r="E1215" s="13">
        <v>1</v>
      </c>
    </row>
    <row r="1216" spans="1:5" x14ac:dyDescent="0.25">
      <c r="A1216" s="11" t="s">
        <v>1564</v>
      </c>
      <c r="B1216" s="11" t="s">
        <v>20</v>
      </c>
      <c r="C1216" s="11" t="s">
        <v>43</v>
      </c>
      <c r="D1216" s="12">
        <v>406</v>
      </c>
      <c r="E1216" s="13">
        <v>7</v>
      </c>
    </row>
    <row r="1217" spans="1:5" x14ac:dyDescent="0.25">
      <c r="A1217" s="11" t="s">
        <v>278</v>
      </c>
      <c r="B1217" s="11" t="s">
        <v>20</v>
      </c>
      <c r="C1217" s="11" t="s">
        <v>39</v>
      </c>
      <c r="D1217" s="12">
        <v>407</v>
      </c>
      <c r="E1217" s="13">
        <v>0</v>
      </c>
    </row>
    <row r="1218" spans="1:5" x14ac:dyDescent="0.25">
      <c r="A1218" s="11" t="s">
        <v>780</v>
      </c>
      <c r="B1218" s="11" t="s">
        <v>24</v>
      </c>
      <c r="C1218" s="11" t="s">
        <v>44</v>
      </c>
      <c r="D1218" s="12">
        <v>407</v>
      </c>
      <c r="E1218" s="13">
        <v>2</v>
      </c>
    </row>
    <row r="1219" spans="1:5" x14ac:dyDescent="0.25">
      <c r="A1219" s="11" t="s">
        <v>1249</v>
      </c>
      <c r="B1219" s="11" t="s">
        <v>26</v>
      </c>
      <c r="C1219" s="11" t="s">
        <v>39</v>
      </c>
      <c r="D1219" s="12">
        <v>407</v>
      </c>
      <c r="E1219" s="13">
        <v>0</v>
      </c>
    </row>
    <row r="1220" spans="1:5" x14ac:dyDescent="0.25">
      <c r="A1220" s="11" t="s">
        <v>1784</v>
      </c>
      <c r="B1220" s="11" t="s">
        <v>24</v>
      </c>
      <c r="C1220" s="11" t="s">
        <v>43</v>
      </c>
      <c r="D1220" s="12">
        <v>407</v>
      </c>
      <c r="E1220" s="13">
        <v>0</v>
      </c>
    </row>
    <row r="1221" spans="1:5" x14ac:dyDescent="0.25">
      <c r="A1221" s="11" t="s">
        <v>58</v>
      </c>
      <c r="B1221" s="11" t="s">
        <v>24</v>
      </c>
      <c r="C1221" s="11" t="s">
        <v>44</v>
      </c>
      <c r="D1221" s="12">
        <v>408</v>
      </c>
      <c r="E1221" s="13">
        <v>14</v>
      </c>
    </row>
    <row r="1222" spans="1:5" x14ac:dyDescent="0.25">
      <c r="A1222" s="11" t="s">
        <v>685</v>
      </c>
      <c r="B1222" s="11" t="s">
        <v>20</v>
      </c>
      <c r="C1222" s="11" t="s">
        <v>62</v>
      </c>
      <c r="D1222" s="12">
        <v>408</v>
      </c>
      <c r="E1222" s="13">
        <v>0</v>
      </c>
    </row>
    <row r="1223" spans="1:5" x14ac:dyDescent="0.25">
      <c r="A1223" s="11" t="s">
        <v>1107</v>
      </c>
      <c r="B1223" s="11" t="s">
        <v>24</v>
      </c>
      <c r="C1223" s="11" t="s">
        <v>32</v>
      </c>
      <c r="D1223" s="12">
        <v>408</v>
      </c>
      <c r="E1223" s="13">
        <v>0</v>
      </c>
    </row>
    <row r="1224" spans="1:5" x14ac:dyDescent="0.25">
      <c r="A1224" s="11" t="s">
        <v>1490</v>
      </c>
      <c r="B1224" s="11" t="s">
        <v>24</v>
      </c>
      <c r="C1224" s="11" t="s">
        <v>27</v>
      </c>
      <c r="D1224" s="12">
        <v>408</v>
      </c>
      <c r="E1224" s="13">
        <v>6</v>
      </c>
    </row>
    <row r="1225" spans="1:5" x14ac:dyDescent="0.25">
      <c r="A1225" s="11" t="s">
        <v>1909</v>
      </c>
      <c r="B1225" s="11" t="s">
        <v>26</v>
      </c>
      <c r="C1225" s="11" t="s">
        <v>111</v>
      </c>
      <c r="D1225" s="12">
        <v>408</v>
      </c>
      <c r="E1225" s="13">
        <v>1</v>
      </c>
    </row>
    <row r="1226" spans="1:5" x14ac:dyDescent="0.25">
      <c r="A1226" s="11" t="s">
        <v>617</v>
      </c>
      <c r="B1226" s="11" t="s">
        <v>20</v>
      </c>
      <c r="C1226" s="11" t="s">
        <v>62</v>
      </c>
      <c r="D1226" s="12">
        <v>409</v>
      </c>
      <c r="E1226" s="13">
        <v>3</v>
      </c>
    </row>
    <row r="1227" spans="1:5" x14ac:dyDescent="0.25">
      <c r="A1227" s="11" t="s">
        <v>335</v>
      </c>
      <c r="B1227" s="11" t="s">
        <v>24</v>
      </c>
      <c r="C1227" s="11" t="s">
        <v>44</v>
      </c>
      <c r="D1227" s="12">
        <v>411</v>
      </c>
      <c r="E1227" s="13">
        <v>0</v>
      </c>
    </row>
    <row r="1228" spans="1:5" x14ac:dyDescent="0.25">
      <c r="A1228" s="11" t="s">
        <v>1438</v>
      </c>
      <c r="B1228" s="11" t="s">
        <v>24</v>
      </c>
      <c r="C1228" s="11" t="s">
        <v>111</v>
      </c>
      <c r="D1228" s="12">
        <v>411</v>
      </c>
      <c r="E1228" s="13">
        <v>9</v>
      </c>
    </row>
    <row r="1229" spans="1:5" x14ac:dyDescent="0.25">
      <c r="A1229" s="11" t="s">
        <v>1841</v>
      </c>
      <c r="B1229" s="11" t="s">
        <v>26</v>
      </c>
      <c r="C1229" s="11" t="s">
        <v>44</v>
      </c>
      <c r="D1229" s="12">
        <v>411</v>
      </c>
      <c r="E1229" s="13">
        <v>0</v>
      </c>
    </row>
    <row r="1230" spans="1:5" x14ac:dyDescent="0.25">
      <c r="A1230" s="11" t="s">
        <v>1082</v>
      </c>
      <c r="B1230" s="11" t="s">
        <v>24</v>
      </c>
      <c r="C1230" s="11" t="s">
        <v>5</v>
      </c>
      <c r="D1230" s="12">
        <v>412</v>
      </c>
      <c r="E1230" s="13">
        <v>0</v>
      </c>
    </row>
    <row r="1231" spans="1:5" x14ac:dyDescent="0.25">
      <c r="A1231" s="11" t="s">
        <v>1242</v>
      </c>
      <c r="B1231" s="11" t="s">
        <v>26</v>
      </c>
      <c r="C1231" s="11" t="s">
        <v>111</v>
      </c>
      <c r="D1231" s="12">
        <v>412</v>
      </c>
      <c r="E1231" s="13">
        <v>0</v>
      </c>
    </row>
    <row r="1232" spans="1:5" x14ac:dyDescent="0.25">
      <c r="A1232" s="11" t="s">
        <v>1298</v>
      </c>
      <c r="B1232" s="11" t="s">
        <v>26</v>
      </c>
      <c r="C1232" s="11" t="s">
        <v>5</v>
      </c>
      <c r="D1232" s="12">
        <v>412</v>
      </c>
      <c r="E1232" s="13">
        <v>0</v>
      </c>
    </row>
    <row r="1233" spans="1:5" x14ac:dyDescent="0.25">
      <c r="A1233" s="11" t="s">
        <v>1590</v>
      </c>
      <c r="B1233" s="11" t="s">
        <v>20</v>
      </c>
      <c r="C1233" s="11" t="s">
        <v>5</v>
      </c>
      <c r="D1233" s="12">
        <v>412</v>
      </c>
      <c r="E1233" s="13">
        <v>3</v>
      </c>
    </row>
    <row r="1234" spans="1:5" x14ac:dyDescent="0.25">
      <c r="A1234" s="11" t="s">
        <v>445</v>
      </c>
      <c r="B1234" s="11" t="s">
        <v>26</v>
      </c>
      <c r="C1234" s="11" t="s">
        <v>44</v>
      </c>
      <c r="D1234" s="12">
        <v>414</v>
      </c>
      <c r="E1234" s="13">
        <v>17</v>
      </c>
    </row>
    <row r="1235" spans="1:5" x14ac:dyDescent="0.25">
      <c r="A1235" s="11" t="s">
        <v>592</v>
      </c>
      <c r="B1235" s="11" t="s">
        <v>26</v>
      </c>
      <c r="C1235" s="11" t="s">
        <v>44</v>
      </c>
      <c r="D1235" s="12">
        <v>414</v>
      </c>
      <c r="E1235" s="13">
        <v>1</v>
      </c>
    </row>
    <row r="1236" spans="1:5" x14ac:dyDescent="0.25">
      <c r="A1236" s="11" t="s">
        <v>1120</v>
      </c>
      <c r="B1236" s="11" t="s">
        <v>20</v>
      </c>
      <c r="C1236" s="11" t="s">
        <v>39</v>
      </c>
      <c r="D1236" s="12">
        <v>414</v>
      </c>
      <c r="E1236" s="13">
        <v>13</v>
      </c>
    </row>
    <row r="1237" spans="1:5" x14ac:dyDescent="0.25">
      <c r="A1237" s="11" t="s">
        <v>1475</v>
      </c>
      <c r="B1237" s="11" t="s">
        <v>26</v>
      </c>
      <c r="C1237" s="11" t="s">
        <v>39</v>
      </c>
      <c r="D1237" s="12">
        <v>414</v>
      </c>
      <c r="E1237" s="13">
        <v>0</v>
      </c>
    </row>
    <row r="1238" spans="1:5" x14ac:dyDescent="0.25">
      <c r="A1238" s="11" t="s">
        <v>1961</v>
      </c>
      <c r="B1238" s="11" t="s">
        <v>26</v>
      </c>
      <c r="C1238" s="11" t="s">
        <v>27</v>
      </c>
      <c r="D1238" s="12">
        <v>414</v>
      </c>
      <c r="E1238" s="13">
        <v>6</v>
      </c>
    </row>
    <row r="1239" spans="1:5" x14ac:dyDescent="0.25">
      <c r="A1239" s="11" t="s">
        <v>538</v>
      </c>
      <c r="B1239" s="11" t="s">
        <v>24</v>
      </c>
      <c r="C1239" s="11" t="s">
        <v>27</v>
      </c>
      <c r="D1239" s="12">
        <v>415</v>
      </c>
      <c r="E1239" s="13">
        <v>1</v>
      </c>
    </row>
    <row r="1240" spans="1:5" x14ac:dyDescent="0.25">
      <c r="A1240" s="11" t="s">
        <v>376</v>
      </c>
      <c r="B1240" s="11" t="s">
        <v>26</v>
      </c>
      <c r="C1240" s="11" t="s">
        <v>40</v>
      </c>
      <c r="D1240" s="12">
        <v>416</v>
      </c>
      <c r="E1240" s="13">
        <v>5</v>
      </c>
    </row>
    <row r="1241" spans="1:5" x14ac:dyDescent="0.25">
      <c r="A1241" s="11" t="s">
        <v>630</v>
      </c>
      <c r="B1241" s="11" t="s">
        <v>20</v>
      </c>
      <c r="C1241" s="11" t="s">
        <v>53</v>
      </c>
      <c r="D1241" s="12">
        <v>416</v>
      </c>
      <c r="E1241" s="13">
        <v>0</v>
      </c>
    </row>
    <row r="1242" spans="1:5" x14ac:dyDescent="0.25">
      <c r="A1242" s="11" t="s">
        <v>723</v>
      </c>
      <c r="B1242" s="11" t="s">
        <v>26</v>
      </c>
      <c r="C1242" s="11" t="s">
        <v>32</v>
      </c>
      <c r="D1242" s="12">
        <v>416</v>
      </c>
      <c r="E1242" s="13">
        <v>0</v>
      </c>
    </row>
    <row r="1243" spans="1:5" x14ac:dyDescent="0.25">
      <c r="A1243" s="11" t="s">
        <v>1684</v>
      </c>
      <c r="B1243" s="11" t="s">
        <v>20</v>
      </c>
      <c r="C1243" s="11" t="s">
        <v>43</v>
      </c>
      <c r="D1243" s="12">
        <v>416</v>
      </c>
      <c r="E1243" s="13">
        <v>1</v>
      </c>
    </row>
    <row r="1244" spans="1:5" x14ac:dyDescent="0.25">
      <c r="A1244" s="11" t="s">
        <v>1720</v>
      </c>
      <c r="B1244" s="11" t="s">
        <v>24</v>
      </c>
      <c r="C1244" s="11" t="s">
        <v>34</v>
      </c>
      <c r="D1244" s="12">
        <v>416</v>
      </c>
      <c r="E1244" s="13">
        <v>9</v>
      </c>
    </row>
    <row r="1245" spans="1:5" x14ac:dyDescent="0.25">
      <c r="A1245" s="11" t="s">
        <v>293</v>
      </c>
      <c r="B1245" s="11" t="s">
        <v>24</v>
      </c>
      <c r="C1245" s="11" t="s">
        <v>62</v>
      </c>
      <c r="D1245" s="12">
        <v>417</v>
      </c>
      <c r="E1245" s="13">
        <v>0</v>
      </c>
    </row>
    <row r="1246" spans="1:5" x14ac:dyDescent="0.25">
      <c r="A1246" s="11" t="s">
        <v>962</v>
      </c>
      <c r="B1246" s="11" t="s">
        <v>24</v>
      </c>
      <c r="C1246" s="11" t="s">
        <v>39</v>
      </c>
      <c r="D1246" s="12">
        <v>417</v>
      </c>
      <c r="E1246" s="13">
        <v>4</v>
      </c>
    </row>
    <row r="1247" spans="1:5" x14ac:dyDescent="0.25">
      <c r="A1247" s="11" t="s">
        <v>1490</v>
      </c>
      <c r="B1247" s="11" t="s">
        <v>24</v>
      </c>
      <c r="C1247" s="11" t="s">
        <v>43</v>
      </c>
      <c r="D1247" s="12">
        <v>417</v>
      </c>
      <c r="E1247" s="13">
        <v>12</v>
      </c>
    </row>
    <row r="1248" spans="1:5" x14ac:dyDescent="0.25">
      <c r="A1248" s="11" t="s">
        <v>1701</v>
      </c>
      <c r="B1248" s="11" t="s">
        <v>24</v>
      </c>
      <c r="C1248" s="11" t="s">
        <v>27</v>
      </c>
      <c r="D1248" s="12">
        <v>417</v>
      </c>
      <c r="E1248" s="13">
        <v>5</v>
      </c>
    </row>
    <row r="1249" spans="1:5" x14ac:dyDescent="0.25">
      <c r="A1249" s="11" t="s">
        <v>1014</v>
      </c>
      <c r="B1249" s="11" t="s">
        <v>20</v>
      </c>
      <c r="C1249" s="11" t="s">
        <v>5</v>
      </c>
      <c r="D1249" s="12">
        <v>418</v>
      </c>
      <c r="E1249" s="13">
        <v>0</v>
      </c>
    </row>
    <row r="1250" spans="1:5" x14ac:dyDescent="0.25">
      <c r="A1250" s="11" t="s">
        <v>1410</v>
      </c>
      <c r="B1250" s="11" t="s">
        <v>26</v>
      </c>
      <c r="C1250" s="11" t="s">
        <v>5</v>
      </c>
      <c r="D1250" s="12">
        <v>418</v>
      </c>
      <c r="E1250" s="13">
        <v>0</v>
      </c>
    </row>
    <row r="1251" spans="1:5" x14ac:dyDescent="0.25">
      <c r="A1251" s="11" t="s">
        <v>348</v>
      </c>
      <c r="B1251" s="11" t="s">
        <v>26</v>
      </c>
      <c r="C1251" s="11" t="s">
        <v>27</v>
      </c>
      <c r="D1251" s="12">
        <v>419</v>
      </c>
      <c r="E1251" s="13">
        <v>2</v>
      </c>
    </row>
    <row r="1252" spans="1:5" x14ac:dyDescent="0.25">
      <c r="A1252" s="11" t="s">
        <v>909</v>
      </c>
      <c r="B1252" s="11" t="s">
        <v>24</v>
      </c>
      <c r="C1252" s="11" t="s">
        <v>44</v>
      </c>
      <c r="D1252" s="12">
        <v>419</v>
      </c>
      <c r="E1252" s="13">
        <v>0</v>
      </c>
    </row>
    <row r="1253" spans="1:5" x14ac:dyDescent="0.25">
      <c r="A1253" s="11" t="s">
        <v>1042</v>
      </c>
      <c r="B1253" s="11" t="s">
        <v>26</v>
      </c>
      <c r="C1253" s="11" t="s">
        <v>27</v>
      </c>
      <c r="D1253" s="12">
        <v>419</v>
      </c>
      <c r="E1253" s="13">
        <v>0</v>
      </c>
    </row>
    <row r="1254" spans="1:5" x14ac:dyDescent="0.25">
      <c r="A1254" s="11" t="s">
        <v>1433</v>
      </c>
      <c r="B1254" s="11" t="s">
        <v>26</v>
      </c>
      <c r="C1254" s="11" t="s">
        <v>66</v>
      </c>
      <c r="D1254" s="12">
        <v>419</v>
      </c>
      <c r="E1254" s="13">
        <v>0</v>
      </c>
    </row>
    <row r="1255" spans="1:5" x14ac:dyDescent="0.25">
      <c r="A1255" s="11" t="s">
        <v>1723</v>
      </c>
      <c r="B1255" s="11" t="s">
        <v>20</v>
      </c>
      <c r="C1255" s="11" t="s">
        <v>22</v>
      </c>
      <c r="D1255" s="12">
        <v>419</v>
      </c>
      <c r="E1255" s="13">
        <v>16</v>
      </c>
    </row>
    <row r="1256" spans="1:5" x14ac:dyDescent="0.25">
      <c r="A1256" s="11" t="s">
        <v>42</v>
      </c>
      <c r="B1256" s="11" t="s">
        <v>24</v>
      </c>
      <c r="C1256" s="11" t="s">
        <v>44</v>
      </c>
      <c r="D1256" s="12">
        <v>420</v>
      </c>
      <c r="E1256" s="13">
        <v>0</v>
      </c>
    </row>
    <row r="1257" spans="1:5" x14ac:dyDescent="0.25">
      <c r="A1257" s="11" t="s">
        <v>154</v>
      </c>
      <c r="B1257" s="11" t="s">
        <v>20</v>
      </c>
      <c r="C1257" s="11" t="s">
        <v>21</v>
      </c>
      <c r="D1257" s="12">
        <v>420</v>
      </c>
      <c r="E1257" s="13">
        <v>0</v>
      </c>
    </row>
    <row r="1258" spans="1:5" x14ac:dyDescent="0.25">
      <c r="A1258" s="11" t="s">
        <v>622</v>
      </c>
      <c r="B1258" s="11" t="s">
        <v>20</v>
      </c>
      <c r="C1258" s="11" t="s">
        <v>27</v>
      </c>
      <c r="D1258" s="12">
        <v>420</v>
      </c>
      <c r="E1258" s="13">
        <v>0</v>
      </c>
    </row>
    <row r="1259" spans="1:5" x14ac:dyDescent="0.25">
      <c r="A1259" s="11" t="s">
        <v>661</v>
      </c>
      <c r="B1259" s="11" t="s">
        <v>20</v>
      </c>
      <c r="C1259" s="11" t="s">
        <v>30</v>
      </c>
      <c r="D1259" s="12">
        <v>420</v>
      </c>
      <c r="E1259" s="13">
        <v>1</v>
      </c>
    </row>
    <row r="1260" spans="1:5" x14ac:dyDescent="0.25">
      <c r="A1260" s="11" t="s">
        <v>808</v>
      </c>
      <c r="B1260" s="11" t="s">
        <v>24</v>
      </c>
      <c r="C1260" s="11" t="s">
        <v>33</v>
      </c>
      <c r="D1260" s="12">
        <v>420</v>
      </c>
      <c r="E1260" s="13">
        <v>0</v>
      </c>
    </row>
    <row r="1261" spans="1:5" x14ac:dyDescent="0.25">
      <c r="A1261" s="11" t="s">
        <v>247</v>
      </c>
      <c r="B1261" s="11" t="s">
        <v>20</v>
      </c>
      <c r="C1261" s="11" t="s">
        <v>28</v>
      </c>
      <c r="D1261" s="12">
        <v>421</v>
      </c>
      <c r="E1261" s="13">
        <v>0</v>
      </c>
    </row>
    <row r="1262" spans="1:5" x14ac:dyDescent="0.25">
      <c r="A1262" s="11" t="s">
        <v>1518</v>
      </c>
      <c r="B1262" s="11" t="s">
        <v>20</v>
      </c>
      <c r="C1262" s="11" t="s">
        <v>30</v>
      </c>
      <c r="D1262" s="12">
        <v>421</v>
      </c>
      <c r="E1262" s="13">
        <v>6</v>
      </c>
    </row>
    <row r="1263" spans="1:5" x14ac:dyDescent="0.25">
      <c r="A1263" s="11" t="s">
        <v>1537</v>
      </c>
      <c r="B1263" s="11" t="s">
        <v>20</v>
      </c>
      <c r="C1263" s="11" t="s">
        <v>44</v>
      </c>
      <c r="D1263" s="12">
        <v>421</v>
      </c>
      <c r="E1263" s="13">
        <v>0</v>
      </c>
    </row>
    <row r="1264" spans="1:5" x14ac:dyDescent="0.25">
      <c r="A1264" s="11" t="s">
        <v>1733</v>
      </c>
      <c r="B1264" s="11" t="s">
        <v>24</v>
      </c>
      <c r="C1264" s="11" t="s">
        <v>30</v>
      </c>
      <c r="D1264" s="12">
        <v>421</v>
      </c>
      <c r="E1264" s="13">
        <v>0</v>
      </c>
    </row>
    <row r="1265" spans="1:5" x14ac:dyDescent="0.25">
      <c r="A1265" s="11" t="s">
        <v>1964</v>
      </c>
      <c r="B1265" s="11" t="s">
        <v>20</v>
      </c>
      <c r="C1265" s="11" t="s">
        <v>30</v>
      </c>
      <c r="D1265" s="12">
        <v>421</v>
      </c>
      <c r="E1265" s="13">
        <v>17</v>
      </c>
    </row>
    <row r="1266" spans="1:5" x14ac:dyDescent="0.25">
      <c r="A1266" s="11" t="s">
        <v>374</v>
      </c>
      <c r="B1266" s="11" t="s">
        <v>26</v>
      </c>
      <c r="C1266" s="11" t="s">
        <v>27</v>
      </c>
      <c r="D1266" s="12">
        <v>422</v>
      </c>
      <c r="E1266" s="13">
        <v>8</v>
      </c>
    </row>
    <row r="1267" spans="1:5" x14ac:dyDescent="0.25">
      <c r="A1267" s="11" t="s">
        <v>775</v>
      </c>
      <c r="B1267" s="11" t="s">
        <v>24</v>
      </c>
      <c r="C1267" s="11" t="s">
        <v>28</v>
      </c>
      <c r="D1267" s="12">
        <v>422</v>
      </c>
      <c r="E1267" s="13">
        <v>4</v>
      </c>
    </row>
    <row r="1268" spans="1:5" x14ac:dyDescent="0.25">
      <c r="A1268" s="11" t="s">
        <v>1271</v>
      </c>
      <c r="B1268" s="11" t="s">
        <v>20</v>
      </c>
      <c r="C1268" s="11" t="s">
        <v>44</v>
      </c>
      <c r="D1268" s="12">
        <v>422</v>
      </c>
      <c r="E1268" s="13">
        <v>2</v>
      </c>
    </row>
    <row r="1269" spans="1:5" x14ac:dyDescent="0.25">
      <c r="A1269" s="11" t="s">
        <v>1779</v>
      </c>
      <c r="B1269" s="11" t="s">
        <v>20</v>
      </c>
      <c r="C1269" s="11" t="s">
        <v>44</v>
      </c>
      <c r="D1269" s="12">
        <v>422</v>
      </c>
      <c r="E1269" s="13">
        <v>3</v>
      </c>
    </row>
    <row r="1270" spans="1:5" x14ac:dyDescent="0.25">
      <c r="A1270" s="11" t="s">
        <v>1877</v>
      </c>
      <c r="B1270" s="11" t="s">
        <v>20</v>
      </c>
      <c r="C1270" s="11" t="s">
        <v>27</v>
      </c>
      <c r="D1270" s="12">
        <v>422</v>
      </c>
      <c r="E1270" s="13">
        <v>0</v>
      </c>
    </row>
    <row r="1271" spans="1:5" x14ac:dyDescent="0.25">
      <c r="A1271" s="11" t="s">
        <v>633</v>
      </c>
      <c r="B1271" s="11" t="s">
        <v>26</v>
      </c>
      <c r="C1271" s="11" t="s">
        <v>25</v>
      </c>
      <c r="D1271" s="12">
        <v>423</v>
      </c>
      <c r="E1271" s="13">
        <v>0</v>
      </c>
    </row>
    <row r="1272" spans="1:5" x14ac:dyDescent="0.25">
      <c r="A1272" s="11" t="s">
        <v>1122</v>
      </c>
      <c r="B1272" s="11" t="s">
        <v>24</v>
      </c>
      <c r="C1272" s="11" t="s">
        <v>66</v>
      </c>
      <c r="D1272" s="12">
        <v>423</v>
      </c>
      <c r="E1272" s="13">
        <v>14</v>
      </c>
    </row>
    <row r="1273" spans="1:5" x14ac:dyDescent="0.25">
      <c r="A1273" s="11" t="s">
        <v>1712</v>
      </c>
      <c r="B1273" s="11" t="s">
        <v>24</v>
      </c>
      <c r="C1273" s="11" t="s">
        <v>44</v>
      </c>
      <c r="D1273" s="12">
        <v>424</v>
      </c>
      <c r="E1273" s="13">
        <v>0</v>
      </c>
    </row>
    <row r="1274" spans="1:5" x14ac:dyDescent="0.25">
      <c r="A1274" s="11" t="s">
        <v>1795</v>
      </c>
      <c r="B1274" s="11" t="s">
        <v>24</v>
      </c>
      <c r="C1274" s="11" t="s">
        <v>44</v>
      </c>
      <c r="D1274" s="12">
        <v>424</v>
      </c>
      <c r="E1274" s="13">
        <v>8</v>
      </c>
    </row>
    <row r="1275" spans="1:5" x14ac:dyDescent="0.25">
      <c r="A1275" s="11" t="s">
        <v>904</v>
      </c>
      <c r="B1275" s="11" t="s">
        <v>20</v>
      </c>
      <c r="C1275" s="11" t="s">
        <v>30</v>
      </c>
      <c r="D1275" s="12">
        <v>425</v>
      </c>
      <c r="E1275" s="13">
        <v>2</v>
      </c>
    </row>
    <row r="1276" spans="1:5" x14ac:dyDescent="0.25">
      <c r="A1276" s="11" t="s">
        <v>1261</v>
      </c>
      <c r="B1276" s="11" t="s">
        <v>24</v>
      </c>
      <c r="C1276" s="11" t="s">
        <v>25</v>
      </c>
      <c r="D1276" s="12">
        <v>425</v>
      </c>
      <c r="E1276" s="13">
        <v>7</v>
      </c>
    </row>
    <row r="1277" spans="1:5" x14ac:dyDescent="0.25">
      <c r="A1277" s="11" t="s">
        <v>123</v>
      </c>
      <c r="B1277" s="11" t="s">
        <v>26</v>
      </c>
      <c r="C1277" s="11" t="s">
        <v>39</v>
      </c>
      <c r="D1277" s="12">
        <v>426</v>
      </c>
      <c r="E1277" s="13">
        <v>6</v>
      </c>
    </row>
    <row r="1278" spans="1:5" x14ac:dyDescent="0.25">
      <c r="A1278" s="11" t="s">
        <v>805</v>
      </c>
      <c r="B1278" s="11" t="s">
        <v>24</v>
      </c>
      <c r="C1278" s="11" t="s">
        <v>39</v>
      </c>
      <c r="D1278" s="12">
        <v>426</v>
      </c>
      <c r="E1278" s="13">
        <v>0</v>
      </c>
    </row>
    <row r="1279" spans="1:5" x14ac:dyDescent="0.25">
      <c r="A1279" s="11" t="s">
        <v>1467</v>
      </c>
      <c r="B1279" s="11" t="s">
        <v>24</v>
      </c>
      <c r="C1279" s="11" t="s">
        <v>111</v>
      </c>
      <c r="D1279" s="12">
        <v>426</v>
      </c>
      <c r="E1279" s="13">
        <v>1</v>
      </c>
    </row>
    <row r="1280" spans="1:5" x14ac:dyDescent="0.25">
      <c r="A1280" s="11" t="s">
        <v>922</v>
      </c>
      <c r="B1280" s="11" t="s">
        <v>26</v>
      </c>
      <c r="C1280" s="11" t="s">
        <v>39</v>
      </c>
      <c r="D1280" s="12">
        <v>427</v>
      </c>
      <c r="E1280" s="13">
        <v>1</v>
      </c>
    </row>
    <row r="1281" spans="1:5" x14ac:dyDescent="0.25">
      <c r="A1281" s="11" t="s">
        <v>1175</v>
      </c>
      <c r="B1281" s="11" t="s">
        <v>24</v>
      </c>
      <c r="C1281" s="11" t="s">
        <v>5</v>
      </c>
      <c r="D1281" s="12">
        <v>428</v>
      </c>
      <c r="E1281" s="13">
        <v>4</v>
      </c>
    </row>
    <row r="1282" spans="1:5" x14ac:dyDescent="0.25">
      <c r="A1282" s="11" t="s">
        <v>65</v>
      </c>
      <c r="B1282" s="11" t="s">
        <v>20</v>
      </c>
      <c r="C1282" s="11" t="s">
        <v>66</v>
      </c>
      <c r="D1282" s="12">
        <v>429</v>
      </c>
      <c r="E1282" s="13">
        <v>3</v>
      </c>
    </row>
    <row r="1283" spans="1:5" x14ac:dyDescent="0.25">
      <c r="A1283" s="11" t="s">
        <v>892</v>
      </c>
      <c r="B1283" s="11" t="s">
        <v>26</v>
      </c>
      <c r="C1283" s="11" t="s">
        <v>30</v>
      </c>
      <c r="D1283" s="12">
        <v>429</v>
      </c>
      <c r="E1283" s="13">
        <v>0</v>
      </c>
    </row>
    <row r="1284" spans="1:5" x14ac:dyDescent="0.25">
      <c r="A1284" s="11" t="s">
        <v>1596</v>
      </c>
      <c r="B1284" s="11" t="s">
        <v>24</v>
      </c>
      <c r="C1284" s="11" t="s">
        <v>27</v>
      </c>
      <c r="D1284" s="12">
        <v>429</v>
      </c>
      <c r="E1284" s="13">
        <v>0</v>
      </c>
    </row>
    <row r="1285" spans="1:5" x14ac:dyDescent="0.25">
      <c r="A1285" s="11" t="s">
        <v>1381</v>
      </c>
      <c r="B1285" s="11" t="s">
        <v>20</v>
      </c>
      <c r="C1285" s="11" t="s">
        <v>5</v>
      </c>
      <c r="D1285" s="12">
        <v>430</v>
      </c>
      <c r="E1285" s="13">
        <v>0</v>
      </c>
    </row>
    <row r="1286" spans="1:5" x14ac:dyDescent="0.25">
      <c r="A1286" s="11" t="s">
        <v>1566</v>
      </c>
      <c r="B1286" s="11" t="s">
        <v>26</v>
      </c>
      <c r="C1286" s="11" t="s">
        <v>34</v>
      </c>
      <c r="D1286" s="12">
        <v>430</v>
      </c>
      <c r="E1286" s="13">
        <v>0</v>
      </c>
    </row>
    <row r="1287" spans="1:5" x14ac:dyDescent="0.25">
      <c r="A1287" s="11" t="s">
        <v>1618</v>
      </c>
      <c r="B1287" s="11" t="s">
        <v>20</v>
      </c>
      <c r="C1287" s="11" t="s">
        <v>32</v>
      </c>
      <c r="D1287" s="12">
        <v>430</v>
      </c>
      <c r="E1287" s="13">
        <v>0</v>
      </c>
    </row>
    <row r="1288" spans="1:5" x14ac:dyDescent="0.25">
      <c r="A1288" s="11" t="s">
        <v>1785</v>
      </c>
      <c r="B1288" s="11" t="s">
        <v>20</v>
      </c>
      <c r="C1288" s="11" t="s">
        <v>40</v>
      </c>
      <c r="D1288" s="12">
        <v>430</v>
      </c>
      <c r="E1288" s="13">
        <v>4</v>
      </c>
    </row>
    <row r="1289" spans="1:5" x14ac:dyDescent="0.25">
      <c r="A1289" s="11" t="s">
        <v>1797</v>
      </c>
      <c r="B1289" s="11" t="s">
        <v>26</v>
      </c>
      <c r="C1289" s="11" t="s">
        <v>44</v>
      </c>
      <c r="D1289" s="12">
        <v>430</v>
      </c>
      <c r="E1289" s="13">
        <v>1</v>
      </c>
    </row>
    <row r="1290" spans="1:5" x14ac:dyDescent="0.25">
      <c r="A1290" s="11" t="s">
        <v>426</v>
      </c>
      <c r="B1290" s="11" t="s">
        <v>24</v>
      </c>
      <c r="C1290" s="11" t="s">
        <v>40</v>
      </c>
      <c r="D1290" s="12">
        <v>431</v>
      </c>
      <c r="E1290" s="13">
        <v>0</v>
      </c>
    </row>
    <row r="1291" spans="1:5" x14ac:dyDescent="0.25">
      <c r="A1291" s="11" t="s">
        <v>117</v>
      </c>
      <c r="B1291" s="11" t="s">
        <v>26</v>
      </c>
      <c r="C1291" s="11" t="s">
        <v>34</v>
      </c>
      <c r="D1291" s="12">
        <v>432</v>
      </c>
      <c r="E1291" s="13">
        <v>8</v>
      </c>
    </row>
    <row r="1292" spans="1:5" x14ac:dyDescent="0.25">
      <c r="A1292" s="11" t="s">
        <v>693</v>
      </c>
      <c r="B1292" s="11" t="s">
        <v>26</v>
      </c>
      <c r="C1292" s="11" t="s">
        <v>43</v>
      </c>
      <c r="D1292" s="12">
        <v>432</v>
      </c>
      <c r="E1292" s="13">
        <v>2</v>
      </c>
    </row>
    <row r="1293" spans="1:5" x14ac:dyDescent="0.25">
      <c r="A1293" s="11" t="s">
        <v>695</v>
      </c>
      <c r="B1293" s="11" t="s">
        <v>24</v>
      </c>
      <c r="C1293" s="11" t="s">
        <v>44</v>
      </c>
      <c r="D1293" s="12">
        <v>432</v>
      </c>
      <c r="E1293" s="13">
        <v>5</v>
      </c>
    </row>
    <row r="1294" spans="1:5" x14ac:dyDescent="0.25">
      <c r="A1294" s="11" t="s">
        <v>1347</v>
      </c>
      <c r="B1294" s="11" t="s">
        <v>20</v>
      </c>
      <c r="C1294" s="11" t="s">
        <v>28</v>
      </c>
      <c r="D1294" s="12">
        <v>432</v>
      </c>
      <c r="E1294" s="13">
        <v>0</v>
      </c>
    </row>
    <row r="1295" spans="1:5" x14ac:dyDescent="0.25">
      <c r="A1295" s="11" t="s">
        <v>1789</v>
      </c>
      <c r="B1295" s="11" t="s">
        <v>24</v>
      </c>
      <c r="C1295" s="11" t="s">
        <v>5</v>
      </c>
      <c r="D1295" s="12">
        <v>432</v>
      </c>
      <c r="E1295" s="13">
        <v>4</v>
      </c>
    </row>
    <row r="1296" spans="1:5" x14ac:dyDescent="0.25">
      <c r="A1296" s="11" t="s">
        <v>351</v>
      </c>
      <c r="B1296" s="11" t="s">
        <v>26</v>
      </c>
      <c r="C1296" s="11" t="s">
        <v>5</v>
      </c>
      <c r="D1296" s="12">
        <v>433</v>
      </c>
      <c r="E1296" s="13">
        <v>1</v>
      </c>
    </row>
    <row r="1297" spans="1:5" x14ac:dyDescent="0.25">
      <c r="A1297" s="11" t="s">
        <v>716</v>
      </c>
      <c r="B1297" s="11" t="s">
        <v>24</v>
      </c>
      <c r="C1297" s="11" t="s">
        <v>34</v>
      </c>
      <c r="D1297" s="12">
        <v>433</v>
      </c>
      <c r="E1297" s="13">
        <v>1</v>
      </c>
    </row>
    <row r="1298" spans="1:5" x14ac:dyDescent="0.25">
      <c r="A1298" s="11" t="s">
        <v>976</v>
      </c>
      <c r="B1298" s="11" t="s">
        <v>26</v>
      </c>
      <c r="C1298" s="11" t="s">
        <v>27</v>
      </c>
      <c r="D1298" s="12">
        <v>433</v>
      </c>
      <c r="E1298" s="13">
        <v>2</v>
      </c>
    </row>
    <row r="1299" spans="1:5" x14ac:dyDescent="0.25">
      <c r="A1299" s="11" t="s">
        <v>413</v>
      </c>
      <c r="B1299" s="11" t="s">
        <v>26</v>
      </c>
      <c r="C1299" s="11" t="s">
        <v>43</v>
      </c>
      <c r="D1299" s="12">
        <v>434</v>
      </c>
      <c r="E1299" s="13">
        <v>2</v>
      </c>
    </row>
    <row r="1300" spans="1:5" x14ac:dyDescent="0.25">
      <c r="A1300" s="11" t="s">
        <v>485</v>
      </c>
      <c r="B1300" s="11" t="s">
        <v>20</v>
      </c>
      <c r="C1300" s="11" t="s">
        <v>30</v>
      </c>
      <c r="D1300" s="12">
        <v>434</v>
      </c>
      <c r="E1300" s="13">
        <v>0</v>
      </c>
    </row>
    <row r="1301" spans="1:5" x14ac:dyDescent="0.25">
      <c r="A1301" s="11" t="s">
        <v>607</v>
      </c>
      <c r="B1301" s="11" t="s">
        <v>20</v>
      </c>
      <c r="C1301" s="11" t="s">
        <v>66</v>
      </c>
      <c r="D1301" s="12">
        <v>434</v>
      </c>
      <c r="E1301" s="13">
        <v>9</v>
      </c>
    </row>
    <row r="1302" spans="1:5" x14ac:dyDescent="0.25">
      <c r="A1302" s="11" t="s">
        <v>1398</v>
      </c>
      <c r="B1302" s="11" t="s">
        <v>20</v>
      </c>
      <c r="C1302" s="11" t="s">
        <v>21</v>
      </c>
      <c r="D1302" s="12">
        <v>434</v>
      </c>
      <c r="E1302" s="13">
        <v>0</v>
      </c>
    </row>
    <row r="1303" spans="1:5" x14ac:dyDescent="0.25">
      <c r="A1303" s="11" t="s">
        <v>232</v>
      </c>
      <c r="B1303" s="11" t="s">
        <v>24</v>
      </c>
      <c r="C1303" s="11" t="s">
        <v>44</v>
      </c>
      <c r="D1303" s="12">
        <v>435</v>
      </c>
      <c r="E1303" s="13">
        <v>5</v>
      </c>
    </row>
    <row r="1304" spans="1:5" x14ac:dyDescent="0.25">
      <c r="A1304" s="11" t="s">
        <v>1570</v>
      </c>
      <c r="B1304" s="11" t="s">
        <v>20</v>
      </c>
      <c r="C1304" s="11" t="s">
        <v>25</v>
      </c>
      <c r="D1304" s="12">
        <v>435</v>
      </c>
      <c r="E1304" s="13">
        <v>6</v>
      </c>
    </row>
    <row r="1305" spans="1:5" x14ac:dyDescent="0.25">
      <c r="A1305" s="11" t="s">
        <v>1720</v>
      </c>
      <c r="B1305" s="11" t="s">
        <v>20</v>
      </c>
      <c r="C1305" s="11" t="s">
        <v>27</v>
      </c>
      <c r="D1305" s="12">
        <v>435</v>
      </c>
      <c r="E1305" s="13">
        <v>0</v>
      </c>
    </row>
    <row r="1306" spans="1:5" x14ac:dyDescent="0.25">
      <c r="A1306" s="11" t="s">
        <v>37</v>
      </c>
      <c r="B1306" s="11" t="s">
        <v>20</v>
      </c>
      <c r="C1306" s="11" t="s">
        <v>25</v>
      </c>
      <c r="D1306" s="12">
        <v>436</v>
      </c>
      <c r="E1306" s="13">
        <v>0</v>
      </c>
    </row>
    <row r="1307" spans="1:5" x14ac:dyDescent="0.25">
      <c r="A1307" s="11" t="s">
        <v>466</v>
      </c>
      <c r="B1307" s="11" t="s">
        <v>20</v>
      </c>
      <c r="C1307" s="11" t="s">
        <v>111</v>
      </c>
      <c r="D1307" s="12">
        <v>436</v>
      </c>
      <c r="E1307" s="13">
        <v>0</v>
      </c>
    </row>
    <row r="1308" spans="1:5" x14ac:dyDescent="0.25">
      <c r="A1308" s="11" t="s">
        <v>584</v>
      </c>
      <c r="B1308" s="11" t="s">
        <v>26</v>
      </c>
      <c r="C1308" s="11" t="s">
        <v>62</v>
      </c>
      <c r="D1308" s="12">
        <v>436</v>
      </c>
      <c r="E1308" s="13">
        <v>3</v>
      </c>
    </row>
    <row r="1309" spans="1:5" x14ac:dyDescent="0.25">
      <c r="A1309" s="11" t="s">
        <v>771</v>
      </c>
      <c r="B1309" s="11" t="s">
        <v>26</v>
      </c>
      <c r="C1309" s="11" t="s">
        <v>44</v>
      </c>
      <c r="D1309" s="12">
        <v>436</v>
      </c>
      <c r="E1309" s="13">
        <v>0</v>
      </c>
    </row>
    <row r="1310" spans="1:5" x14ac:dyDescent="0.25">
      <c r="A1310" s="11" t="s">
        <v>1096</v>
      </c>
      <c r="B1310" s="11" t="s">
        <v>26</v>
      </c>
      <c r="C1310" s="11" t="s">
        <v>40</v>
      </c>
      <c r="D1310" s="12">
        <v>436</v>
      </c>
      <c r="E1310" s="13">
        <v>0</v>
      </c>
    </row>
    <row r="1311" spans="1:5" x14ac:dyDescent="0.25">
      <c r="A1311" s="11" t="s">
        <v>1535</v>
      </c>
      <c r="B1311" s="11" t="s">
        <v>24</v>
      </c>
      <c r="C1311" s="11" t="s">
        <v>44</v>
      </c>
      <c r="D1311" s="12">
        <v>436</v>
      </c>
      <c r="E1311" s="13">
        <v>6</v>
      </c>
    </row>
    <row r="1312" spans="1:5" x14ac:dyDescent="0.25">
      <c r="A1312" s="11" t="s">
        <v>1591</v>
      </c>
      <c r="B1312" s="11" t="s">
        <v>26</v>
      </c>
      <c r="C1312" s="11" t="s">
        <v>33</v>
      </c>
      <c r="D1312" s="12">
        <v>436</v>
      </c>
      <c r="E1312" s="13">
        <v>10</v>
      </c>
    </row>
    <row r="1313" spans="1:5" x14ac:dyDescent="0.25">
      <c r="A1313" s="11" t="s">
        <v>106</v>
      </c>
      <c r="B1313" s="11" t="s">
        <v>24</v>
      </c>
      <c r="C1313" s="11" t="s">
        <v>44</v>
      </c>
      <c r="D1313" s="12">
        <v>437</v>
      </c>
      <c r="E1313" s="13">
        <v>1</v>
      </c>
    </row>
    <row r="1314" spans="1:5" x14ac:dyDescent="0.25">
      <c r="A1314" s="11" t="s">
        <v>881</v>
      </c>
      <c r="B1314" s="11" t="s">
        <v>20</v>
      </c>
      <c r="C1314" s="11" t="s">
        <v>44</v>
      </c>
      <c r="D1314" s="12">
        <v>437</v>
      </c>
      <c r="E1314" s="13">
        <v>0</v>
      </c>
    </row>
    <row r="1315" spans="1:5" x14ac:dyDescent="0.25">
      <c r="A1315" s="11" t="s">
        <v>1796</v>
      </c>
      <c r="B1315" s="11" t="s">
        <v>20</v>
      </c>
      <c r="C1315" s="11" t="s">
        <v>39</v>
      </c>
      <c r="D1315" s="12">
        <v>437</v>
      </c>
      <c r="E1315" s="13">
        <v>4</v>
      </c>
    </row>
    <row r="1316" spans="1:5" x14ac:dyDescent="0.25">
      <c r="A1316" s="11" t="s">
        <v>483</v>
      </c>
      <c r="B1316" s="11" t="s">
        <v>24</v>
      </c>
      <c r="C1316" s="11" t="s">
        <v>66</v>
      </c>
      <c r="D1316" s="12">
        <v>438</v>
      </c>
      <c r="E1316" s="13">
        <v>0</v>
      </c>
    </row>
    <row r="1317" spans="1:5" x14ac:dyDescent="0.25">
      <c r="A1317" s="11" t="s">
        <v>642</v>
      </c>
      <c r="B1317" s="11" t="s">
        <v>26</v>
      </c>
      <c r="C1317" s="11" t="s">
        <v>27</v>
      </c>
      <c r="D1317" s="12">
        <v>438</v>
      </c>
      <c r="E1317" s="13">
        <v>1</v>
      </c>
    </row>
    <row r="1318" spans="1:5" x14ac:dyDescent="0.25">
      <c r="A1318" s="11" t="s">
        <v>984</v>
      </c>
      <c r="B1318" s="11" t="s">
        <v>26</v>
      </c>
      <c r="C1318" s="11" t="s">
        <v>44</v>
      </c>
      <c r="D1318" s="12">
        <v>438</v>
      </c>
      <c r="E1318" s="13">
        <v>0</v>
      </c>
    </row>
    <row r="1319" spans="1:5" x14ac:dyDescent="0.25">
      <c r="A1319" s="11" t="s">
        <v>368</v>
      </c>
      <c r="B1319" s="11" t="s">
        <v>24</v>
      </c>
      <c r="C1319" s="11" t="s">
        <v>30</v>
      </c>
      <c r="D1319" s="12">
        <v>439</v>
      </c>
      <c r="E1319" s="13">
        <v>4</v>
      </c>
    </row>
    <row r="1320" spans="1:5" x14ac:dyDescent="0.25">
      <c r="A1320" s="11" t="s">
        <v>682</v>
      </c>
      <c r="B1320" s="11" t="s">
        <v>20</v>
      </c>
      <c r="C1320" s="11" t="s">
        <v>22</v>
      </c>
      <c r="D1320" s="12">
        <v>439</v>
      </c>
      <c r="E1320" s="13">
        <v>0</v>
      </c>
    </row>
    <row r="1321" spans="1:5" x14ac:dyDescent="0.25">
      <c r="A1321" s="11" t="s">
        <v>1092</v>
      </c>
      <c r="B1321" s="11" t="s">
        <v>26</v>
      </c>
      <c r="C1321" s="11" t="s">
        <v>25</v>
      </c>
      <c r="D1321" s="12">
        <v>439</v>
      </c>
      <c r="E1321" s="13">
        <v>3</v>
      </c>
    </row>
    <row r="1322" spans="1:5" x14ac:dyDescent="0.25">
      <c r="A1322" s="11" t="s">
        <v>1284</v>
      </c>
      <c r="B1322" s="11" t="s">
        <v>20</v>
      </c>
      <c r="C1322" s="11" t="s">
        <v>27</v>
      </c>
      <c r="D1322" s="12">
        <v>439</v>
      </c>
      <c r="E1322" s="13">
        <v>2</v>
      </c>
    </row>
    <row r="1323" spans="1:5" x14ac:dyDescent="0.25">
      <c r="A1323" s="11" t="s">
        <v>414</v>
      </c>
      <c r="B1323" s="11" t="s">
        <v>20</v>
      </c>
      <c r="C1323" s="11" t="s">
        <v>21</v>
      </c>
      <c r="D1323" s="12">
        <v>440</v>
      </c>
      <c r="E1323" s="13">
        <v>3</v>
      </c>
    </row>
    <row r="1324" spans="1:5" x14ac:dyDescent="0.25">
      <c r="A1324" s="11" t="s">
        <v>705</v>
      </c>
      <c r="B1324" s="11" t="s">
        <v>20</v>
      </c>
      <c r="C1324" s="11" t="s">
        <v>43</v>
      </c>
      <c r="D1324" s="12">
        <v>440</v>
      </c>
      <c r="E1324" s="13">
        <v>6</v>
      </c>
    </row>
    <row r="1325" spans="1:5" x14ac:dyDescent="0.25">
      <c r="A1325" s="11" t="s">
        <v>1153</v>
      </c>
      <c r="B1325" s="11" t="s">
        <v>24</v>
      </c>
      <c r="C1325" s="11" t="s">
        <v>111</v>
      </c>
      <c r="D1325" s="12">
        <v>440</v>
      </c>
      <c r="E1325" s="13">
        <v>0</v>
      </c>
    </row>
    <row r="1326" spans="1:5" x14ac:dyDescent="0.25">
      <c r="A1326" s="11" t="s">
        <v>254</v>
      </c>
      <c r="B1326" s="11" t="s">
        <v>24</v>
      </c>
      <c r="C1326" s="11" t="s">
        <v>28</v>
      </c>
      <c r="D1326" s="12">
        <v>441</v>
      </c>
      <c r="E1326" s="13">
        <v>1</v>
      </c>
    </row>
    <row r="1327" spans="1:5" x14ac:dyDescent="0.25">
      <c r="A1327" s="11" t="s">
        <v>926</v>
      </c>
      <c r="B1327" s="11" t="s">
        <v>20</v>
      </c>
      <c r="C1327" s="11" t="s">
        <v>30</v>
      </c>
      <c r="D1327" s="12">
        <v>441</v>
      </c>
      <c r="E1327" s="13">
        <v>0</v>
      </c>
    </row>
    <row r="1328" spans="1:5" x14ac:dyDescent="0.25">
      <c r="A1328" s="11" t="s">
        <v>1074</v>
      </c>
      <c r="B1328" s="11" t="s">
        <v>26</v>
      </c>
      <c r="C1328" s="11" t="s">
        <v>111</v>
      </c>
      <c r="D1328" s="12">
        <v>442</v>
      </c>
      <c r="E1328" s="13">
        <v>1</v>
      </c>
    </row>
    <row r="1329" spans="1:5" x14ac:dyDescent="0.25">
      <c r="A1329" s="11" t="s">
        <v>1969</v>
      </c>
      <c r="B1329" s="11" t="s">
        <v>24</v>
      </c>
      <c r="C1329" s="11" t="s">
        <v>22</v>
      </c>
      <c r="D1329" s="12">
        <v>443</v>
      </c>
      <c r="E1329" s="13">
        <v>0</v>
      </c>
    </row>
    <row r="1330" spans="1:5" x14ac:dyDescent="0.25">
      <c r="A1330" s="11" t="s">
        <v>544</v>
      </c>
      <c r="B1330" s="11" t="s">
        <v>20</v>
      </c>
      <c r="C1330" s="11" t="s">
        <v>30</v>
      </c>
      <c r="D1330" s="12">
        <v>444</v>
      </c>
      <c r="E1330" s="13">
        <v>0</v>
      </c>
    </row>
    <row r="1331" spans="1:5" x14ac:dyDescent="0.25">
      <c r="A1331" s="11" t="s">
        <v>1710</v>
      </c>
      <c r="B1331" s="11" t="s">
        <v>20</v>
      </c>
      <c r="C1331" s="11" t="s">
        <v>66</v>
      </c>
      <c r="D1331" s="12">
        <v>444</v>
      </c>
      <c r="E1331" s="13">
        <v>1</v>
      </c>
    </row>
    <row r="1332" spans="1:5" x14ac:dyDescent="0.25">
      <c r="A1332" s="11" t="s">
        <v>402</v>
      </c>
      <c r="B1332" s="11" t="s">
        <v>24</v>
      </c>
      <c r="C1332" s="11" t="s">
        <v>5</v>
      </c>
      <c r="D1332" s="12">
        <v>445</v>
      </c>
      <c r="E1332" s="13">
        <v>1</v>
      </c>
    </row>
    <row r="1333" spans="1:5" x14ac:dyDescent="0.25">
      <c r="A1333" s="11" t="s">
        <v>1352</v>
      </c>
      <c r="B1333" s="11" t="s">
        <v>20</v>
      </c>
      <c r="C1333" s="11" t="s">
        <v>111</v>
      </c>
      <c r="D1333" s="12">
        <v>446</v>
      </c>
      <c r="E1333" s="13">
        <v>3</v>
      </c>
    </row>
    <row r="1334" spans="1:5" x14ac:dyDescent="0.25">
      <c r="A1334" s="11" t="s">
        <v>1609</v>
      </c>
      <c r="B1334" s="11" t="s">
        <v>26</v>
      </c>
      <c r="C1334" s="11" t="s">
        <v>5</v>
      </c>
      <c r="D1334" s="12">
        <v>446</v>
      </c>
      <c r="E1334" s="13">
        <v>10</v>
      </c>
    </row>
    <row r="1335" spans="1:5" x14ac:dyDescent="0.25">
      <c r="A1335" s="11" t="s">
        <v>1612</v>
      </c>
      <c r="B1335" s="11" t="s">
        <v>26</v>
      </c>
      <c r="C1335" s="11" t="s">
        <v>44</v>
      </c>
      <c r="D1335" s="12">
        <v>446</v>
      </c>
      <c r="E1335" s="13">
        <v>0</v>
      </c>
    </row>
    <row r="1336" spans="1:5" x14ac:dyDescent="0.25">
      <c r="A1336" s="11" t="s">
        <v>1749</v>
      </c>
      <c r="B1336" s="11" t="s">
        <v>20</v>
      </c>
      <c r="C1336" s="11" t="s">
        <v>44</v>
      </c>
      <c r="D1336" s="12">
        <v>446</v>
      </c>
      <c r="E1336" s="13">
        <v>2</v>
      </c>
    </row>
    <row r="1337" spans="1:5" x14ac:dyDescent="0.25">
      <c r="A1337" s="11" t="s">
        <v>419</v>
      </c>
      <c r="B1337" s="11" t="s">
        <v>20</v>
      </c>
      <c r="C1337" s="11" t="s">
        <v>62</v>
      </c>
      <c r="D1337" s="12">
        <v>447</v>
      </c>
      <c r="E1337" s="13">
        <v>2</v>
      </c>
    </row>
    <row r="1338" spans="1:5" x14ac:dyDescent="0.25">
      <c r="A1338" s="11" t="s">
        <v>748</v>
      </c>
      <c r="B1338" s="11" t="s">
        <v>20</v>
      </c>
      <c r="C1338" s="11" t="s">
        <v>43</v>
      </c>
      <c r="D1338" s="12">
        <v>447</v>
      </c>
      <c r="E1338" s="13">
        <v>2</v>
      </c>
    </row>
    <row r="1339" spans="1:5" x14ac:dyDescent="0.25">
      <c r="A1339" s="11" t="s">
        <v>1120</v>
      </c>
      <c r="B1339" s="11" t="s">
        <v>20</v>
      </c>
      <c r="C1339" s="11" t="s">
        <v>30</v>
      </c>
      <c r="D1339" s="12">
        <v>448</v>
      </c>
      <c r="E1339" s="13">
        <v>2</v>
      </c>
    </row>
    <row r="1340" spans="1:5" x14ac:dyDescent="0.25">
      <c r="A1340" s="11" t="s">
        <v>1488</v>
      </c>
      <c r="B1340" s="11" t="s">
        <v>20</v>
      </c>
      <c r="C1340" s="11" t="s">
        <v>44</v>
      </c>
      <c r="D1340" s="12">
        <v>448</v>
      </c>
      <c r="E1340" s="13">
        <v>4</v>
      </c>
    </row>
    <row r="1341" spans="1:5" x14ac:dyDescent="0.25">
      <c r="A1341" s="11" t="s">
        <v>1558</v>
      </c>
      <c r="B1341" s="11" t="s">
        <v>24</v>
      </c>
      <c r="C1341" s="11" t="s">
        <v>53</v>
      </c>
      <c r="D1341" s="12">
        <v>448</v>
      </c>
      <c r="E1341" s="13">
        <v>6</v>
      </c>
    </row>
    <row r="1342" spans="1:5" x14ac:dyDescent="0.25">
      <c r="A1342" s="11" t="s">
        <v>776</v>
      </c>
      <c r="B1342" s="11" t="s">
        <v>24</v>
      </c>
      <c r="C1342" s="11" t="s">
        <v>22</v>
      </c>
      <c r="D1342" s="12">
        <v>449</v>
      </c>
      <c r="E1342" s="13">
        <v>7</v>
      </c>
    </row>
    <row r="1343" spans="1:5" x14ac:dyDescent="0.25">
      <c r="A1343" s="11" t="s">
        <v>1899</v>
      </c>
      <c r="B1343" s="11" t="s">
        <v>24</v>
      </c>
      <c r="C1343" s="11" t="s">
        <v>111</v>
      </c>
      <c r="D1343" s="12">
        <v>449</v>
      </c>
      <c r="E1343" s="13">
        <v>4</v>
      </c>
    </row>
    <row r="1344" spans="1:5" x14ac:dyDescent="0.25">
      <c r="A1344" s="11" t="s">
        <v>108</v>
      </c>
      <c r="B1344" s="11" t="s">
        <v>26</v>
      </c>
      <c r="C1344" s="11" t="s">
        <v>27</v>
      </c>
      <c r="D1344" s="12">
        <v>450</v>
      </c>
      <c r="E1344" s="13">
        <v>2</v>
      </c>
    </row>
    <row r="1345" spans="1:5" x14ac:dyDescent="0.25">
      <c r="A1345" s="11" t="s">
        <v>1034</v>
      </c>
      <c r="B1345" s="11" t="s">
        <v>26</v>
      </c>
      <c r="C1345" s="11" t="s">
        <v>27</v>
      </c>
      <c r="D1345" s="12">
        <v>450</v>
      </c>
      <c r="E1345" s="13">
        <v>1</v>
      </c>
    </row>
    <row r="1346" spans="1:5" x14ac:dyDescent="0.25">
      <c r="A1346" s="11" t="s">
        <v>1455</v>
      </c>
      <c r="B1346" s="11" t="s">
        <v>26</v>
      </c>
      <c r="C1346" s="11" t="s">
        <v>66</v>
      </c>
      <c r="D1346" s="12">
        <v>450</v>
      </c>
      <c r="E1346" s="13">
        <v>1</v>
      </c>
    </row>
    <row r="1347" spans="1:5" x14ac:dyDescent="0.25">
      <c r="A1347" s="11" t="s">
        <v>1653</v>
      </c>
      <c r="B1347" s="11" t="s">
        <v>20</v>
      </c>
      <c r="C1347" s="11" t="s">
        <v>28</v>
      </c>
      <c r="D1347" s="12">
        <v>450</v>
      </c>
      <c r="E1347" s="13">
        <v>0</v>
      </c>
    </row>
    <row r="1348" spans="1:5" x14ac:dyDescent="0.25">
      <c r="A1348" s="11" t="s">
        <v>1926</v>
      </c>
      <c r="B1348" s="11" t="s">
        <v>20</v>
      </c>
      <c r="C1348" s="11" t="s">
        <v>30</v>
      </c>
      <c r="D1348" s="12">
        <v>450</v>
      </c>
      <c r="E1348" s="13">
        <v>1</v>
      </c>
    </row>
    <row r="1349" spans="1:5" x14ac:dyDescent="0.25">
      <c r="A1349" s="11" t="s">
        <v>707</v>
      </c>
      <c r="B1349" s="11" t="s">
        <v>26</v>
      </c>
      <c r="C1349" s="11" t="s">
        <v>53</v>
      </c>
      <c r="D1349" s="12">
        <v>451</v>
      </c>
      <c r="E1349" s="13">
        <v>8</v>
      </c>
    </row>
    <row r="1350" spans="1:5" x14ac:dyDescent="0.25">
      <c r="A1350" s="11" t="s">
        <v>733</v>
      </c>
      <c r="B1350" s="11" t="s">
        <v>24</v>
      </c>
      <c r="C1350" s="11" t="s">
        <v>62</v>
      </c>
      <c r="D1350" s="12">
        <v>451</v>
      </c>
      <c r="E1350" s="13">
        <v>0</v>
      </c>
    </row>
    <row r="1351" spans="1:5" x14ac:dyDescent="0.25">
      <c r="A1351" s="11" t="s">
        <v>1041</v>
      </c>
      <c r="B1351" s="11" t="s">
        <v>24</v>
      </c>
      <c r="C1351" s="11" t="s">
        <v>5</v>
      </c>
      <c r="D1351" s="12">
        <v>452</v>
      </c>
      <c r="E1351" s="13">
        <v>0</v>
      </c>
    </row>
    <row r="1352" spans="1:5" x14ac:dyDescent="0.25">
      <c r="A1352" s="11" t="s">
        <v>1342</v>
      </c>
      <c r="B1352" s="11" t="s">
        <v>26</v>
      </c>
      <c r="C1352" s="11" t="s">
        <v>27</v>
      </c>
      <c r="D1352" s="12">
        <v>452</v>
      </c>
      <c r="E1352" s="13">
        <v>15</v>
      </c>
    </row>
    <row r="1353" spans="1:5" x14ac:dyDescent="0.25">
      <c r="A1353" s="11" t="s">
        <v>1385</v>
      </c>
      <c r="B1353" s="11" t="s">
        <v>24</v>
      </c>
      <c r="C1353" s="11" t="s">
        <v>40</v>
      </c>
      <c r="D1353" s="12">
        <v>452</v>
      </c>
      <c r="E1353" s="13">
        <v>0</v>
      </c>
    </row>
    <row r="1354" spans="1:5" x14ac:dyDescent="0.25">
      <c r="A1354" s="11" t="s">
        <v>1965</v>
      </c>
      <c r="B1354" s="11" t="s">
        <v>26</v>
      </c>
      <c r="C1354" s="11" t="s">
        <v>39</v>
      </c>
      <c r="D1354" s="12">
        <v>452</v>
      </c>
      <c r="E1354" s="13">
        <v>6</v>
      </c>
    </row>
    <row r="1355" spans="1:5" x14ac:dyDescent="0.25">
      <c r="A1355" s="11" t="s">
        <v>465</v>
      </c>
      <c r="B1355" s="11" t="s">
        <v>20</v>
      </c>
      <c r="C1355" s="11" t="s">
        <v>44</v>
      </c>
      <c r="D1355" s="12">
        <v>453</v>
      </c>
      <c r="E1355" s="13">
        <v>1</v>
      </c>
    </row>
    <row r="1356" spans="1:5" x14ac:dyDescent="0.25">
      <c r="A1356" s="11" t="s">
        <v>516</v>
      </c>
      <c r="B1356" s="11" t="s">
        <v>20</v>
      </c>
      <c r="C1356" s="11" t="s">
        <v>40</v>
      </c>
      <c r="D1356" s="12">
        <v>453</v>
      </c>
      <c r="E1356" s="13">
        <v>3</v>
      </c>
    </row>
    <row r="1357" spans="1:5" x14ac:dyDescent="0.25">
      <c r="A1357" s="11" t="s">
        <v>691</v>
      </c>
      <c r="B1357" s="11" t="s">
        <v>20</v>
      </c>
      <c r="C1357" s="11" t="s">
        <v>62</v>
      </c>
      <c r="D1357" s="12">
        <v>453</v>
      </c>
      <c r="E1357" s="13">
        <v>1</v>
      </c>
    </row>
    <row r="1358" spans="1:5" x14ac:dyDescent="0.25">
      <c r="A1358" s="11" t="s">
        <v>905</v>
      </c>
      <c r="B1358" s="11" t="s">
        <v>26</v>
      </c>
      <c r="C1358" s="11" t="s">
        <v>30</v>
      </c>
      <c r="D1358" s="12">
        <v>453</v>
      </c>
      <c r="E1358" s="13">
        <v>8</v>
      </c>
    </row>
    <row r="1359" spans="1:5" x14ac:dyDescent="0.25">
      <c r="A1359" s="11" t="s">
        <v>1928</v>
      </c>
      <c r="B1359" s="11" t="s">
        <v>24</v>
      </c>
      <c r="C1359" s="11" t="s">
        <v>39</v>
      </c>
      <c r="D1359" s="12">
        <v>453</v>
      </c>
      <c r="E1359" s="13">
        <v>7</v>
      </c>
    </row>
    <row r="1360" spans="1:5" x14ac:dyDescent="0.25">
      <c r="A1360" s="11" t="s">
        <v>1511</v>
      </c>
      <c r="B1360" s="11" t="s">
        <v>20</v>
      </c>
      <c r="C1360" s="11" t="s">
        <v>111</v>
      </c>
      <c r="D1360" s="12">
        <v>454</v>
      </c>
      <c r="E1360" s="13">
        <v>1</v>
      </c>
    </row>
    <row r="1361" spans="1:5" x14ac:dyDescent="0.25">
      <c r="A1361" s="11" t="s">
        <v>38</v>
      </c>
      <c r="B1361" s="11" t="s">
        <v>26</v>
      </c>
      <c r="C1361" s="11" t="s">
        <v>30</v>
      </c>
      <c r="D1361" s="12">
        <v>455</v>
      </c>
      <c r="E1361" s="13">
        <v>0</v>
      </c>
    </row>
    <row r="1362" spans="1:5" x14ac:dyDescent="0.25">
      <c r="A1362" s="11" t="s">
        <v>1623</v>
      </c>
      <c r="B1362" s="11" t="s">
        <v>26</v>
      </c>
      <c r="C1362" s="11" t="s">
        <v>53</v>
      </c>
      <c r="D1362" s="12">
        <v>455</v>
      </c>
      <c r="E1362" s="13">
        <v>4</v>
      </c>
    </row>
    <row r="1363" spans="1:5" x14ac:dyDescent="0.25">
      <c r="A1363" s="11" t="s">
        <v>1671</v>
      </c>
      <c r="B1363" s="11" t="s">
        <v>20</v>
      </c>
      <c r="C1363" s="11" t="s">
        <v>34</v>
      </c>
      <c r="D1363" s="12">
        <v>456</v>
      </c>
      <c r="E1363" s="13">
        <v>12</v>
      </c>
    </row>
    <row r="1364" spans="1:5" x14ac:dyDescent="0.25">
      <c r="A1364" s="11" t="s">
        <v>909</v>
      </c>
      <c r="B1364" s="11" t="s">
        <v>24</v>
      </c>
      <c r="C1364" s="11" t="s">
        <v>5</v>
      </c>
      <c r="D1364" s="12">
        <v>457</v>
      </c>
      <c r="E1364" s="13">
        <v>0</v>
      </c>
    </row>
    <row r="1365" spans="1:5" x14ac:dyDescent="0.25">
      <c r="A1365" s="11" t="s">
        <v>1084</v>
      </c>
      <c r="B1365" s="11" t="s">
        <v>26</v>
      </c>
      <c r="C1365" s="11" t="s">
        <v>44</v>
      </c>
      <c r="D1365" s="12">
        <v>457</v>
      </c>
      <c r="E1365" s="13">
        <v>9</v>
      </c>
    </row>
    <row r="1366" spans="1:5" x14ac:dyDescent="0.25">
      <c r="A1366" s="11" t="s">
        <v>1193</v>
      </c>
      <c r="B1366" s="11" t="s">
        <v>24</v>
      </c>
      <c r="C1366" s="11" t="s">
        <v>44</v>
      </c>
      <c r="D1366" s="12">
        <v>457</v>
      </c>
      <c r="E1366" s="13">
        <v>6</v>
      </c>
    </row>
    <row r="1367" spans="1:5" x14ac:dyDescent="0.25">
      <c r="A1367" s="11" t="s">
        <v>106</v>
      </c>
      <c r="B1367" s="11" t="s">
        <v>20</v>
      </c>
      <c r="C1367" s="11" t="s">
        <v>28</v>
      </c>
      <c r="D1367" s="12">
        <v>458</v>
      </c>
      <c r="E1367" s="13">
        <v>8</v>
      </c>
    </row>
    <row r="1368" spans="1:5" x14ac:dyDescent="0.25">
      <c r="A1368" s="11" t="s">
        <v>249</v>
      </c>
      <c r="B1368" s="11" t="s">
        <v>26</v>
      </c>
      <c r="C1368" s="11" t="s">
        <v>25</v>
      </c>
      <c r="D1368" s="12">
        <v>458</v>
      </c>
      <c r="E1368" s="13">
        <v>6</v>
      </c>
    </row>
    <row r="1369" spans="1:5" x14ac:dyDescent="0.25">
      <c r="A1369" s="11" t="s">
        <v>836</v>
      </c>
      <c r="B1369" s="11" t="s">
        <v>20</v>
      </c>
      <c r="C1369" s="11" t="s">
        <v>39</v>
      </c>
      <c r="D1369" s="12">
        <v>458</v>
      </c>
      <c r="E1369" s="13">
        <v>3</v>
      </c>
    </row>
    <row r="1370" spans="1:5" x14ac:dyDescent="0.25">
      <c r="A1370" s="11" t="s">
        <v>846</v>
      </c>
      <c r="B1370" s="11" t="s">
        <v>20</v>
      </c>
      <c r="C1370" s="11" t="s">
        <v>39</v>
      </c>
      <c r="D1370" s="12">
        <v>458</v>
      </c>
      <c r="E1370" s="13">
        <v>0</v>
      </c>
    </row>
    <row r="1371" spans="1:5" x14ac:dyDescent="0.25">
      <c r="A1371" s="11" t="s">
        <v>992</v>
      </c>
      <c r="B1371" s="11" t="s">
        <v>24</v>
      </c>
      <c r="C1371" s="11" t="s">
        <v>5</v>
      </c>
      <c r="D1371" s="12">
        <v>458</v>
      </c>
      <c r="E1371" s="13">
        <v>0</v>
      </c>
    </row>
    <row r="1372" spans="1:5" x14ac:dyDescent="0.25">
      <c r="A1372" s="11" t="s">
        <v>1887</v>
      </c>
      <c r="B1372" s="11" t="s">
        <v>20</v>
      </c>
      <c r="C1372" s="11" t="s">
        <v>27</v>
      </c>
      <c r="D1372" s="12">
        <v>458</v>
      </c>
      <c r="E1372" s="13">
        <v>2</v>
      </c>
    </row>
    <row r="1373" spans="1:5" x14ac:dyDescent="0.25">
      <c r="A1373" s="11" t="s">
        <v>144</v>
      </c>
      <c r="B1373" s="11" t="s">
        <v>20</v>
      </c>
      <c r="C1373" s="11" t="s">
        <v>44</v>
      </c>
      <c r="D1373" s="12">
        <v>459</v>
      </c>
      <c r="E1373" s="13">
        <v>6</v>
      </c>
    </row>
    <row r="1374" spans="1:5" x14ac:dyDescent="0.25">
      <c r="A1374" s="11" t="s">
        <v>1479</v>
      </c>
      <c r="B1374" s="11" t="s">
        <v>24</v>
      </c>
      <c r="C1374" s="11" t="s">
        <v>44</v>
      </c>
      <c r="D1374" s="12">
        <v>459</v>
      </c>
      <c r="E1374" s="13">
        <v>0</v>
      </c>
    </row>
    <row r="1375" spans="1:5" x14ac:dyDescent="0.25">
      <c r="A1375" s="11" t="s">
        <v>1726</v>
      </c>
      <c r="B1375" s="11" t="s">
        <v>20</v>
      </c>
      <c r="C1375" s="11" t="s">
        <v>40</v>
      </c>
      <c r="D1375" s="12">
        <v>459</v>
      </c>
      <c r="E1375" s="13">
        <v>2</v>
      </c>
    </row>
    <row r="1376" spans="1:5" x14ac:dyDescent="0.25">
      <c r="A1376" s="11" t="s">
        <v>589</v>
      </c>
      <c r="B1376" s="11" t="s">
        <v>20</v>
      </c>
      <c r="C1376" s="11" t="s">
        <v>62</v>
      </c>
      <c r="D1376" s="12">
        <v>460</v>
      </c>
      <c r="E1376" s="13">
        <v>0</v>
      </c>
    </row>
    <row r="1377" spans="1:5" x14ac:dyDescent="0.25">
      <c r="A1377" s="11" t="s">
        <v>801</v>
      </c>
      <c r="B1377" s="11" t="s">
        <v>26</v>
      </c>
      <c r="C1377" s="11" t="s">
        <v>22</v>
      </c>
      <c r="D1377" s="12">
        <v>460</v>
      </c>
      <c r="E1377" s="13">
        <v>0</v>
      </c>
    </row>
    <row r="1378" spans="1:5" x14ac:dyDescent="0.25">
      <c r="A1378" s="11" t="s">
        <v>862</v>
      </c>
      <c r="B1378" s="11" t="s">
        <v>24</v>
      </c>
      <c r="C1378" s="11" t="s">
        <v>5</v>
      </c>
      <c r="D1378" s="12">
        <v>460</v>
      </c>
      <c r="E1378" s="13">
        <v>1</v>
      </c>
    </row>
    <row r="1379" spans="1:5" x14ac:dyDescent="0.25">
      <c r="A1379" s="11" t="s">
        <v>1137</v>
      </c>
      <c r="B1379" s="11" t="s">
        <v>24</v>
      </c>
      <c r="C1379" s="11" t="s">
        <v>30</v>
      </c>
      <c r="D1379" s="12">
        <v>460</v>
      </c>
      <c r="E1379" s="13">
        <v>2</v>
      </c>
    </row>
    <row r="1380" spans="1:5" x14ac:dyDescent="0.25">
      <c r="A1380" s="11" t="s">
        <v>1721</v>
      </c>
      <c r="B1380" s="11" t="s">
        <v>24</v>
      </c>
      <c r="C1380" s="11" t="s">
        <v>53</v>
      </c>
      <c r="D1380" s="12">
        <v>460</v>
      </c>
      <c r="E1380" s="13">
        <v>0</v>
      </c>
    </row>
    <row r="1381" spans="1:5" x14ac:dyDescent="0.25">
      <c r="A1381" s="11" t="s">
        <v>203</v>
      </c>
      <c r="B1381" s="11" t="s">
        <v>20</v>
      </c>
      <c r="C1381" s="11" t="s">
        <v>5</v>
      </c>
      <c r="D1381" s="12">
        <v>461</v>
      </c>
      <c r="E1381" s="13">
        <v>0</v>
      </c>
    </row>
    <row r="1382" spans="1:5" x14ac:dyDescent="0.25">
      <c r="A1382" s="11" t="s">
        <v>219</v>
      </c>
      <c r="B1382" s="11" t="s">
        <v>26</v>
      </c>
      <c r="C1382" s="11" t="s">
        <v>27</v>
      </c>
      <c r="D1382" s="12">
        <v>461</v>
      </c>
      <c r="E1382" s="13">
        <v>1</v>
      </c>
    </row>
    <row r="1383" spans="1:5" x14ac:dyDescent="0.25">
      <c r="A1383" s="11" t="s">
        <v>327</v>
      </c>
      <c r="B1383" s="11" t="s">
        <v>26</v>
      </c>
      <c r="C1383" s="11" t="s">
        <v>27</v>
      </c>
      <c r="D1383" s="12">
        <v>461</v>
      </c>
      <c r="E1383" s="13">
        <v>0</v>
      </c>
    </row>
    <row r="1384" spans="1:5" x14ac:dyDescent="0.25">
      <c r="A1384" s="11" t="s">
        <v>627</v>
      </c>
      <c r="B1384" s="11" t="s">
        <v>20</v>
      </c>
      <c r="C1384" s="11" t="s">
        <v>28</v>
      </c>
      <c r="D1384" s="12">
        <v>461</v>
      </c>
      <c r="E1384" s="13">
        <v>0</v>
      </c>
    </row>
    <row r="1385" spans="1:5" x14ac:dyDescent="0.25">
      <c r="A1385" s="11" t="s">
        <v>1417</v>
      </c>
      <c r="B1385" s="11" t="s">
        <v>20</v>
      </c>
      <c r="C1385" s="11" t="s">
        <v>44</v>
      </c>
      <c r="D1385" s="12">
        <v>461</v>
      </c>
      <c r="E1385" s="13">
        <v>1</v>
      </c>
    </row>
    <row r="1386" spans="1:5" x14ac:dyDescent="0.25">
      <c r="A1386" s="11" t="s">
        <v>236</v>
      </c>
      <c r="B1386" s="11" t="s">
        <v>26</v>
      </c>
      <c r="C1386" s="11" t="s">
        <v>22</v>
      </c>
      <c r="D1386" s="12">
        <v>462</v>
      </c>
      <c r="E1386" s="13">
        <v>0</v>
      </c>
    </row>
    <row r="1387" spans="1:5" x14ac:dyDescent="0.25">
      <c r="A1387" s="11" t="s">
        <v>257</v>
      </c>
      <c r="B1387" s="11" t="s">
        <v>20</v>
      </c>
      <c r="C1387" s="11" t="s">
        <v>39</v>
      </c>
      <c r="D1387" s="12">
        <v>462</v>
      </c>
      <c r="E1387" s="13">
        <v>0</v>
      </c>
    </row>
    <row r="1388" spans="1:5" x14ac:dyDescent="0.25">
      <c r="A1388" s="11" t="s">
        <v>470</v>
      </c>
      <c r="B1388" s="11" t="s">
        <v>26</v>
      </c>
      <c r="C1388" s="11" t="s">
        <v>27</v>
      </c>
      <c r="D1388" s="12">
        <v>462</v>
      </c>
      <c r="E1388" s="13">
        <v>0</v>
      </c>
    </row>
    <row r="1389" spans="1:5" x14ac:dyDescent="0.25">
      <c r="A1389" s="11" t="s">
        <v>823</v>
      </c>
      <c r="B1389" s="11" t="s">
        <v>26</v>
      </c>
      <c r="C1389" s="11" t="s">
        <v>39</v>
      </c>
      <c r="D1389" s="12">
        <v>462</v>
      </c>
      <c r="E1389" s="13">
        <v>0</v>
      </c>
    </row>
    <row r="1390" spans="1:5" x14ac:dyDescent="0.25">
      <c r="A1390" s="11" t="s">
        <v>831</v>
      </c>
      <c r="B1390" s="11" t="s">
        <v>20</v>
      </c>
      <c r="C1390" s="11" t="s">
        <v>66</v>
      </c>
      <c r="D1390" s="12">
        <v>462</v>
      </c>
      <c r="E1390" s="13">
        <v>2</v>
      </c>
    </row>
    <row r="1391" spans="1:5" x14ac:dyDescent="0.25">
      <c r="A1391" s="11" t="s">
        <v>853</v>
      </c>
      <c r="B1391" s="11" t="s">
        <v>20</v>
      </c>
      <c r="C1391" s="11" t="s">
        <v>66</v>
      </c>
      <c r="D1391" s="12">
        <v>462</v>
      </c>
      <c r="E1391" s="13">
        <v>2</v>
      </c>
    </row>
    <row r="1392" spans="1:5" x14ac:dyDescent="0.25">
      <c r="A1392" s="11" t="s">
        <v>1050</v>
      </c>
      <c r="B1392" s="11" t="s">
        <v>20</v>
      </c>
      <c r="C1392" s="11" t="s">
        <v>5</v>
      </c>
      <c r="D1392" s="12">
        <v>463</v>
      </c>
      <c r="E1392" s="13">
        <v>0</v>
      </c>
    </row>
    <row r="1393" spans="1:5" x14ac:dyDescent="0.25">
      <c r="A1393" s="11" t="s">
        <v>1245</v>
      </c>
      <c r="B1393" s="11" t="s">
        <v>26</v>
      </c>
      <c r="C1393" s="11" t="s">
        <v>33</v>
      </c>
      <c r="D1393" s="12">
        <v>463</v>
      </c>
      <c r="E1393" s="13">
        <v>1</v>
      </c>
    </row>
    <row r="1394" spans="1:5" x14ac:dyDescent="0.25">
      <c r="A1394" s="11" t="s">
        <v>1593</v>
      </c>
      <c r="B1394" s="11" t="s">
        <v>20</v>
      </c>
      <c r="C1394" s="11" t="s">
        <v>34</v>
      </c>
      <c r="D1394" s="12">
        <v>463</v>
      </c>
      <c r="E1394" s="13">
        <v>3</v>
      </c>
    </row>
    <row r="1395" spans="1:5" x14ac:dyDescent="0.25">
      <c r="A1395" s="11" t="s">
        <v>412</v>
      </c>
      <c r="B1395" s="11" t="s">
        <v>26</v>
      </c>
      <c r="C1395" s="11" t="s">
        <v>5</v>
      </c>
      <c r="D1395" s="12">
        <v>464</v>
      </c>
      <c r="E1395" s="13">
        <v>1</v>
      </c>
    </row>
    <row r="1396" spans="1:5" x14ac:dyDescent="0.25">
      <c r="A1396" s="11" t="s">
        <v>416</v>
      </c>
      <c r="B1396" s="11" t="s">
        <v>24</v>
      </c>
      <c r="C1396" s="11" t="s">
        <v>34</v>
      </c>
      <c r="D1396" s="12">
        <v>464</v>
      </c>
      <c r="E1396" s="13">
        <v>1</v>
      </c>
    </row>
    <row r="1397" spans="1:5" x14ac:dyDescent="0.25">
      <c r="A1397" s="11" t="s">
        <v>1057</v>
      </c>
      <c r="B1397" s="11" t="s">
        <v>20</v>
      </c>
      <c r="C1397" s="11" t="s">
        <v>44</v>
      </c>
      <c r="D1397" s="12">
        <v>464</v>
      </c>
      <c r="E1397" s="13">
        <v>0</v>
      </c>
    </row>
    <row r="1398" spans="1:5" x14ac:dyDescent="0.25">
      <c r="A1398" s="11" t="s">
        <v>1329</v>
      </c>
      <c r="B1398" s="11" t="s">
        <v>24</v>
      </c>
      <c r="C1398" s="11" t="s">
        <v>39</v>
      </c>
      <c r="D1398" s="12">
        <v>464</v>
      </c>
      <c r="E1398" s="13">
        <v>2</v>
      </c>
    </row>
    <row r="1399" spans="1:5" x14ac:dyDescent="0.25">
      <c r="A1399" s="11" t="s">
        <v>23</v>
      </c>
      <c r="B1399" s="11" t="s">
        <v>24</v>
      </c>
      <c r="C1399" s="11" t="s">
        <v>25</v>
      </c>
      <c r="D1399" s="12">
        <v>465</v>
      </c>
      <c r="E1399" s="13">
        <v>1</v>
      </c>
    </row>
    <row r="1400" spans="1:5" x14ac:dyDescent="0.25">
      <c r="A1400" s="11" t="s">
        <v>1891</v>
      </c>
      <c r="B1400" s="11" t="s">
        <v>20</v>
      </c>
      <c r="C1400" s="11" t="s">
        <v>30</v>
      </c>
      <c r="D1400" s="12">
        <v>465</v>
      </c>
      <c r="E1400" s="13">
        <v>0</v>
      </c>
    </row>
    <row r="1401" spans="1:5" x14ac:dyDescent="0.25">
      <c r="A1401" s="11" t="s">
        <v>299</v>
      </c>
      <c r="B1401" s="11" t="s">
        <v>24</v>
      </c>
      <c r="C1401" s="11" t="s">
        <v>22</v>
      </c>
      <c r="D1401" s="12">
        <v>466</v>
      </c>
      <c r="E1401" s="13">
        <v>0</v>
      </c>
    </row>
    <row r="1402" spans="1:5" x14ac:dyDescent="0.25">
      <c r="A1402" s="11" t="s">
        <v>1152</v>
      </c>
      <c r="B1402" s="11" t="s">
        <v>20</v>
      </c>
      <c r="C1402" s="11" t="s">
        <v>27</v>
      </c>
      <c r="D1402" s="12">
        <v>466</v>
      </c>
      <c r="E1402" s="13">
        <v>0</v>
      </c>
    </row>
    <row r="1403" spans="1:5" x14ac:dyDescent="0.25">
      <c r="A1403" s="11" t="s">
        <v>121</v>
      </c>
      <c r="B1403" s="11" t="s">
        <v>26</v>
      </c>
      <c r="C1403" s="11" t="s">
        <v>21</v>
      </c>
      <c r="D1403" s="12">
        <v>467</v>
      </c>
      <c r="E1403" s="13">
        <v>1</v>
      </c>
    </row>
    <row r="1404" spans="1:5" x14ac:dyDescent="0.25">
      <c r="A1404" s="11" t="s">
        <v>218</v>
      </c>
      <c r="B1404" s="11" t="s">
        <v>20</v>
      </c>
      <c r="C1404" s="11" t="s">
        <v>30</v>
      </c>
      <c r="D1404" s="12">
        <v>467</v>
      </c>
      <c r="E1404" s="13">
        <v>0</v>
      </c>
    </row>
    <row r="1405" spans="1:5" x14ac:dyDescent="0.25">
      <c r="A1405" s="11" t="s">
        <v>628</v>
      </c>
      <c r="B1405" s="11" t="s">
        <v>24</v>
      </c>
      <c r="C1405" s="11" t="s">
        <v>5</v>
      </c>
      <c r="D1405" s="12">
        <v>467</v>
      </c>
      <c r="E1405" s="13">
        <v>0</v>
      </c>
    </row>
    <row r="1406" spans="1:5" x14ac:dyDescent="0.25">
      <c r="A1406" s="11" t="s">
        <v>1345</v>
      </c>
      <c r="B1406" s="11" t="s">
        <v>24</v>
      </c>
      <c r="C1406" s="11" t="s">
        <v>39</v>
      </c>
      <c r="D1406" s="12">
        <v>467</v>
      </c>
      <c r="E1406" s="13">
        <v>4</v>
      </c>
    </row>
    <row r="1407" spans="1:5" x14ac:dyDescent="0.25">
      <c r="A1407" s="11" t="s">
        <v>1871</v>
      </c>
      <c r="B1407" s="11" t="s">
        <v>24</v>
      </c>
      <c r="C1407" s="11" t="s">
        <v>111</v>
      </c>
      <c r="D1407" s="12">
        <v>467</v>
      </c>
      <c r="E1407" s="13">
        <v>0</v>
      </c>
    </row>
    <row r="1408" spans="1:5" x14ac:dyDescent="0.25">
      <c r="A1408" s="11" t="s">
        <v>1901</v>
      </c>
      <c r="B1408" s="11" t="s">
        <v>20</v>
      </c>
      <c r="C1408" s="11" t="s">
        <v>28</v>
      </c>
      <c r="D1408" s="12">
        <v>467</v>
      </c>
      <c r="E1408" s="13">
        <v>0</v>
      </c>
    </row>
    <row r="1409" spans="1:5" x14ac:dyDescent="0.25">
      <c r="A1409" s="11" t="s">
        <v>877</v>
      </c>
      <c r="B1409" s="11" t="s">
        <v>26</v>
      </c>
      <c r="C1409" s="11" t="s">
        <v>44</v>
      </c>
      <c r="D1409" s="12">
        <v>468</v>
      </c>
      <c r="E1409" s="13">
        <v>3</v>
      </c>
    </row>
    <row r="1410" spans="1:5" x14ac:dyDescent="0.25">
      <c r="A1410" s="11" t="s">
        <v>942</v>
      </c>
      <c r="B1410" s="11" t="s">
        <v>20</v>
      </c>
      <c r="C1410" s="11" t="s">
        <v>30</v>
      </c>
      <c r="D1410" s="12">
        <v>468</v>
      </c>
      <c r="E1410" s="13">
        <v>11</v>
      </c>
    </row>
    <row r="1411" spans="1:5" x14ac:dyDescent="0.25">
      <c r="A1411" s="11" t="s">
        <v>1019</v>
      </c>
      <c r="B1411" s="11" t="s">
        <v>20</v>
      </c>
      <c r="C1411" s="11" t="s">
        <v>62</v>
      </c>
      <c r="D1411" s="12">
        <v>468</v>
      </c>
      <c r="E1411" s="13">
        <v>1</v>
      </c>
    </row>
    <row r="1412" spans="1:5" x14ac:dyDescent="0.25">
      <c r="A1412" s="11" t="s">
        <v>1749</v>
      </c>
      <c r="B1412" s="11" t="s">
        <v>20</v>
      </c>
      <c r="C1412" s="11" t="s">
        <v>39</v>
      </c>
      <c r="D1412" s="12">
        <v>468</v>
      </c>
      <c r="E1412" s="13">
        <v>0</v>
      </c>
    </row>
    <row r="1413" spans="1:5" x14ac:dyDescent="0.25">
      <c r="A1413" s="11" t="s">
        <v>126</v>
      </c>
      <c r="B1413" s="11" t="s">
        <v>26</v>
      </c>
      <c r="C1413" s="11" t="s">
        <v>28</v>
      </c>
      <c r="D1413" s="12">
        <v>469</v>
      </c>
      <c r="E1413" s="13">
        <v>0</v>
      </c>
    </row>
    <row r="1414" spans="1:5" x14ac:dyDescent="0.25">
      <c r="A1414" s="11" t="s">
        <v>782</v>
      </c>
      <c r="B1414" s="11" t="s">
        <v>20</v>
      </c>
      <c r="C1414" s="11" t="s">
        <v>44</v>
      </c>
      <c r="D1414" s="12">
        <v>469</v>
      </c>
      <c r="E1414" s="13">
        <v>2</v>
      </c>
    </row>
    <row r="1415" spans="1:5" x14ac:dyDescent="0.25">
      <c r="A1415" s="11" t="s">
        <v>1042</v>
      </c>
      <c r="B1415" s="11" t="s">
        <v>26</v>
      </c>
      <c r="C1415" s="11" t="s">
        <v>30</v>
      </c>
      <c r="D1415" s="12">
        <v>469</v>
      </c>
      <c r="E1415" s="13">
        <v>3</v>
      </c>
    </row>
    <row r="1416" spans="1:5" x14ac:dyDescent="0.25">
      <c r="A1416" s="11" t="s">
        <v>1758</v>
      </c>
      <c r="B1416" s="11" t="s">
        <v>20</v>
      </c>
      <c r="C1416" s="11" t="s">
        <v>28</v>
      </c>
      <c r="D1416" s="12">
        <v>469</v>
      </c>
      <c r="E1416" s="13">
        <v>0</v>
      </c>
    </row>
    <row r="1417" spans="1:5" x14ac:dyDescent="0.25">
      <c r="A1417" s="11" t="s">
        <v>267</v>
      </c>
      <c r="B1417" s="11" t="s">
        <v>24</v>
      </c>
      <c r="C1417" s="11" t="s">
        <v>27</v>
      </c>
      <c r="D1417" s="12">
        <v>470</v>
      </c>
      <c r="E1417" s="13">
        <v>3</v>
      </c>
    </row>
    <row r="1418" spans="1:5" x14ac:dyDescent="0.25">
      <c r="A1418" s="11" t="s">
        <v>575</v>
      </c>
      <c r="B1418" s="11" t="s">
        <v>20</v>
      </c>
      <c r="C1418" s="11" t="s">
        <v>27</v>
      </c>
      <c r="D1418" s="12">
        <v>470</v>
      </c>
      <c r="E1418" s="13">
        <v>13</v>
      </c>
    </row>
    <row r="1419" spans="1:5" x14ac:dyDescent="0.25">
      <c r="A1419" s="11" t="s">
        <v>1885</v>
      </c>
      <c r="B1419" s="11" t="s">
        <v>26</v>
      </c>
      <c r="C1419" s="11" t="s">
        <v>66</v>
      </c>
      <c r="D1419" s="12">
        <v>470</v>
      </c>
      <c r="E1419" s="13">
        <v>2</v>
      </c>
    </row>
    <row r="1420" spans="1:5" x14ac:dyDescent="0.25">
      <c r="A1420" s="11" t="s">
        <v>409</v>
      </c>
      <c r="B1420" s="11" t="s">
        <v>20</v>
      </c>
      <c r="C1420" s="11" t="s">
        <v>28</v>
      </c>
      <c r="D1420" s="12">
        <v>471</v>
      </c>
      <c r="E1420" s="13">
        <v>1</v>
      </c>
    </row>
    <row r="1421" spans="1:5" x14ac:dyDescent="0.25">
      <c r="A1421" s="11" t="s">
        <v>1451</v>
      </c>
      <c r="B1421" s="11" t="s">
        <v>24</v>
      </c>
      <c r="C1421" s="11" t="s">
        <v>5</v>
      </c>
      <c r="D1421" s="12">
        <v>471</v>
      </c>
      <c r="E1421" s="13">
        <v>0</v>
      </c>
    </row>
    <row r="1422" spans="1:5" x14ac:dyDescent="0.25">
      <c r="A1422" s="11" t="s">
        <v>387</v>
      </c>
      <c r="B1422" s="11" t="s">
        <v>20</v>
      </c>
      <c r="C1422" s="11" t="s">
        <v>34</v>
      </c>
      <c r="D1422" s="12">
        <v>472</v>
      </c>
      <c r="E1422" s="13">
        <v>1</v>
      </c>
    </row>
    <row r="1423" spans="1:5" x14ac:dyDescent="0.25">
      <c r="A1423" s="11" t="s">
        <v>828</v>
      </c>
      <c r="B1423" s="11" t="s">
        <v>24</v>
      </c>
      <c r="C1423" s="11" t="s">
        <v>22</v>
      </c>
      <c r="D1423" s="12">
        <v>472</v>
      </c>
      <c r="E1423" s="13">
        <v>7</v>
      </c>
    </row>
    <row r="1424" spans="1:5" x14ac:dyDescent="0.25">
      <c r="A1424" s="11" t="s">
        <v>710</v>
      </c>
      <c r="B1424" s="11" t="s">
        <v>20</v>
      </c>
      <c r="C1424" s="11" t="s">
        <v>53</v>
      </c>
      <c r="D1424" s="12">
        <v>473</v>
      </c>
      <c r="E1424" s="13">
        <v>6</v>
      </c>
    </row>
    <row r="1425" spans="1:5" x14ac:dyDescent="0.25">
      <c r="A1425" s="11" t="s">
        <v>1119</v>
      </c>
      <c r="B1425" s="11" t="s">
        <v>26</v>
      </c>
      <c r="C1425" s="11" t="s">
        <v>28</v>
      </c>
      <c r="D1425" s="12">
        <v>473</v>
      </c>
      <c r="E1425" s="13">
        <v>0</v>
      </c>
    </row>
    <row r="1426" spans="1:5" x14ac:dyDescent="0.25">
      <c r="A1426" s="11" t="s">
        <v>1830</v>
      </c>
      <c r="B1426" s="11" t="s">
        <v>20</v>
      </c>
      <c r="C1426" s="11" t="s">
        <v>34</v>
      </c>
      <c r="D1426" s="12">
        <v>473</v>
      </c>
      <c r="E1426" s="13">
        <v>0</v>
      </c>
    </row>
    <row r="1427" spans="1:5" x14ac:dyDescent="0.25">
      <c r="A1427" s="11" t="s">
        <v>293</v>
      </c>
      <c r="B1427" s="11" t="s">
        <v>26</v>
      </c>
      <c r="C1427" s="11" t="s">
        <v>44</v>
      </c>
      <c r="D1427" s="12">
        <v>474</v>
      </c>
      <c r="E1427" s="13">
        <v>0</v>
      </c>
    </row>
    <row r="1428" spans="1:5" x14ac:dyDescent="0.25">
      <c r="A1428" s="11" t="s">
        <v>1350</v>
      </c>
      <c r="B1428" s="11" t="s">
        <v>26</v>
      </c>
      <c r="C1428" s="11" t="s">
        <v>25</v>
      </c>
      <c r="D1428" s="12">
        <v>474</v>
      </c>
      <c r="E1428" s="13">
        <v>0</v>
      </c>
    </row>
    <row r="1429" spans="1:5" x14ac:dyDescent="0.25">
      <c r="A1429" s="11" t="s">
        <v>1499</v>
      </c>
      <c r="B1429" s="11" t="s">
        <v>24</v>
      </c>
      <c r="C1429" s="11" t="s">
        <v>53</v>
      </c>
      <c r="D1429" s="12">
        <v>474</v>
      </c>
      <c r="E1429" s="13">
        <v>1</v>
      </c>
    </row>
    <row r="1430" spans="1:5" x14ac:dyDescent="0.25">
      <c r="A1430" s="11" t="s">
        <v>266</v>
      </c>
      <c r="B1430" s="11" t="s">
        <v>24</v>
      </c>
      <c r="C1430" s="11" t="s">
        <v>28</v>
      </c>
      <c r="D1430" s="12">
        <v>475</v>
      </c>
      <c r="E1430" s="13">
        <v>3</v>
      </c>
    </row>
    <row r="1431" spans="1:5" x14ac:dyDescent="0.25">
      <c r="A1431" s="11" t="s">
        <v>1021</v>
      </c>
      <c r="B1431" s="11" t="s">
        <v>26</v>
      </c>
      <c r="C1431" s="11" t="s">
        <v>33</v>
      </c>
      <c r="D1431" s="12">
        <v>475</v>
      </c>
      <c r="E1431" s="13">
        <v>0</v>
      </c>
    </row>
    <row r="1432" spans="1:5" x14ac:dyDescent="0.25">
      <c r="A1432" s="11" t="s">
        <v>1612</v>
      </c>
      <c r="B1432" s="11" t="s">
        <v>26</v>
      </c>
      <c r="C1432" s="11" t="s">
        <v>66</v>
      </c>
      <c r="D1432" s="12">
        <v>475</v>
      </c>
      <c r="E1432" s="13">
        <v>0</v>
      </c>
    </row>
    <row r="1433" spans="1:5" x14ac:dyDescent="0.25">
      <c r="A1433" s="11" t="s">
        <v>1784</v>
      </c>
      <c r="B1433" s="11" t="s">
        <v>20</v>
      </c>
      <c r="C1433" s="11" t="s">
        <v>30</v>
      </c>
      <c r="D1433" s="12">
        <v>475</v>
      </c>
      <c r="E1433" s="13">
        <v>10</v>
      </c>
    </row>
    <row r="1434" spans="1:5" x14ac:dyDescent="0.25">
      <c r="A1434" s="11" t="s">
        <v>548</v>
      </c>
      <c r="B1434" s="11" t="s">
        <v>24</v>
      </c>
      <c r="C1434" s="11" t="s">
        <v>22</v>
      </c>
      <c r="D1434" s="12">
        <v>476</v>
      </c>
      <c r="E1434" s="13">
        <v>3</v>
      </c>
    </row>
    <row r="1435" spans="1:5" x14ac:dyDescent="0.25">
      <c r="A1435" s="11" t="s">
        <v>1869</v>
      </c>
      <c r="B1435" s="11" t="s">
        <v>26</v>
      </c>
      <c r="C1435" s="11" t="s">
        <v>27</v>
      </c>
      <c r="D1435" s="12">
        <v>476</v>
      </c>
      <c r="E1435" s="13">
        <v>4</v>
      </c>
    </row>
    <row r="1436" spans="1:5" x14ac:dyDescent="0.25">
      <c r="A1436" s="11" t="s">
        <v>1872</v>
      </c>
      <c r="B1436" s="11" t="s">
        <v>26</v>
      </c>
      <c r="C1436" s="11" t="s">
        <v>39</v>
      </c>
      <c r="D1436" s="12">
        <v>476</v>
      </c>
      <c r="E1436" s="13">
        <v>1</v>
      </c>
    </row>
    <row r="1437" spans="1:5" x14ac:dyDescent="0.25">
      <c r="A1437" s="11" t="s">
        <v>607</v>
      </c>
      <c r="B1437" s="11" t="s">
        <v>26</v>
      </c>
      <c r="C1437" s="11" t="s">
        <v>39</v>
      </c>
      <c r="D1437" s="12">
        <v>477</v>
      </c>
      <c r="E1437" s="13">
        <v>1</v>
      </c>
    </row>
    <row r="1438" spans="1:5" x14ac:dyDescent="0.25">
      <c r="A1438" s="11" t="s">
        <v>1300</v>
      </c>
      <c r="B1438" s="11" t="s">
        <v>26</v>
      </c>
      <c r="C1438" s="11" t="s">
        <v>27</v>
      </c>
      <c r="D1438" s="12">
        <v>477</v>
      </c>
      <c r="E1438" s="13">
        <v>1</v>
      </c>
    </row>
    <row r="1439" spans="1:5" x14ac:dyDescent="0.25">
      <c r="A1439" s="11" t="s">
        <v>152</v>
      </c>
      <c r="B1439" s="11" t="s">
        <v>20</v>
      </c>
      <c r="C1439" s="11" t="s">
        <v>44</v>
      </c>
      <c r="D1439" s="12">
        <v>478</v>
      </c>
      <c r="E1439" s="13">
        <v>0</v>
      </c>
    </row>
    <row r="1440" spans="1:5" x14ac:dyDescent="0.25">
      <c r="A1440" s="11" t="s">
        <v>157</v>
      </c>
      <c r="B1440" s="11" t="s">
        <v>26</v>
      </c>
      <c r="C1440" s="11" t="s">
        <v>33</v>
      </c>
      <c r="D1440" s="12">
        <v>478</v>
      </c>
      <c r="E1440" s="13">
        <v>0</v>
      </c>
    </row>
    <row r="1441" spans="1:5" x14ac:dyDescent="0.25">
      <c r="A1441" s="11" t="s">
        <v>234</v>
      </c>
      <c r="B1441" s="11" t="s">
        <v>26</v>
      </c>
      <c r="C1441" s="11" t="s">
        <v>62</v>
      </c>
      <c r="D1441" s="12">
        <v>478</v>
      </c>
      <c r="E1441" s="13">
        <v>4</v>
      </c>
    </row>
    <row r="1442" spans="1:5" x14ac:dyDescent="0.25">
      <c r="A1442" s="11" t="s">
        <v>262</v>
      </c>
      <c r="B1442" s="11" t="s">
        <v>24</v>
      </c>
      <c r="C1442" s="11" t="s">
        <v>111</v>
      </c>
      <c r="D1442" s="12">
        <v>478</v>
      </c>
      <c r="E1442" s="13">
        <v>3</v>
      </c>
    </row>
    <row r="1443" spans="1:5" x14ac:dyDescent="0.25">
      <c r="A1443" s="11" t="s">
        <v>1727</v>
      </c>
      <c r="B1443" s="11" t="s">
        <v>26</v>
      </c>
      <c r="C1443" s="11" t="s">
        <v>32</v>
      </c>
      <c r="D1443" s="12">
        <v>478</v>
      </c>
      <c r="E1443" s="13">
        <v>2</v>
      </c>
    </row>
    <row r="1444" spans="1:5" x14ac:dyDescent="0.25">
      <c r="A1444" s="11" t="s">
        <v>1012</v>
      </c>
      <c r="B1444" s="11" t="s">
        <v>24</v>
      </c>
      <c r="C1444" s="11" t="s">
        <v>53</v>
      </c>
      <c r="D1444" s="12">
        <v>479</v>
      </c>
      <c r="E1444" s="13">
        <v>0</v>
      </c>
    </row>
    <row r="1445" spans="1:5" x14ac:dyDescent="0.25">
      <c r="A1445" s="11" t="s">
        <v>1022</v>
      </c>
      <c r="B1445" s="11" t="s">
        <v>26</v>
      </c>
      <c r="C1445" s="11" t="s">
        <v>27</v>
      </c>
      <c r="D1445" s="12">
        <v>479</v>
      </c>
      <c r="E1445" s="13">
        <v>0</v>
      </c>
    </row>
    <row r="1446" spans="1:5" x14ac:dyDescent="0.25">
      <c r="A1446" s="11" t="s">
        <v>1951</v>
      </c>
      <c r="B1446" s="11" t="s">
        <v>20</v>
      </c>
      <c r="C1446" s="11" t="s">
        <v>22</v>
      </c>
      <c r="D1446" s="12">
        <v>479</v>
      </c>
      <c r="E1446" s="13">
        <v>4</v>
      </c>
    </row>
    <row r="1447" spans="1:5" x14ac:dyDescent="0.25">
      <c r="A1447" s="11" t="s">
        <v>1675</v>
      </c>
      <c r="B1447" s="11" t="s">
        <v>24</v>
      </c>
      <c r="C1447" s="11" t="s">
        <v>5</v>
      </c>
      <c r="D1447" s="12">
        <v>480</v>
      </c>
      <c r="E1447" s="13">
        <v>0</v>
      </c>
    </row>
    <row r="1448" spans="1:5" x14ac:dyDescent="0.25">
      <c r="A1448" s="11" t="s">
        <v>440</v>
      </c>
      <c r="B1448" s="11" t="s">
        <v>20</v>
      </c>
      <c r="C1448" s="11" t="s">
        <v>66</v>
      </c>
      <c r="D1448" s="12">
        <v>481</v>
      </c>
      <c r="E1448" s="13">
        <v>2</v>
      </c>
    </row>
    <row r="1449" spans="1:5" x14ac:dyDescent="0.25">
      <c r="A1449" s="11" t="s">
        <v>1199</v>
      </c>
      <c r="B1449" s="11" t="s">
        <v>20</v>
      </c>
      <c r="C1449" s="11" t="s">
        <v>44</v>
      </c>
      <c r="D1449" s="12">
        <v>481</v>
      </c>
      <c r="E1449" s="13">
        <v>4</v>
      </c>
    </row>
    <row r="1450" spans="1:5" x14ac:dyDescent="0.25">
      <c r="A1450" s="11" t="s">
        <v>1870</v>
      </c>
      <c r="B1450" s="11" t="s">
        <v>26</v>
      </c>
      <c r="C1450" s="11" t="s">
        <v>27</v>
      </c>
      <c r="D1450" s="12">
        <v>481</v>
      </c>
      <c r="E1450" s="13">
        <v>0</v>
      </c>
    </row>
    <row r="1451" spans="1:5" x14ac:dyDescent="0.25">
      <c r="A1451" s="11" t="s">
        <v>1377</v>
      </c>
      <c r="B1451" s="11" t="s">
        <v>24</v>
      </c>
      <c r="C1451" s="11" t="s">
        <v>25</v>
      </c>
      <c r="D1451" s="12">
        <v>482</v>
      </c>
      <c r="E1451" s="13">
        <v>1</v>
      </c>
    </row>
    <row r="1452" spans="1:5" x14ac:dyDescent="0.25">
      <c r="A1452" s="11" t="s">
        <v>1524</v>
      </c>
      <c r="B1452" s="11" t="s">
        <v>26</v>
      </c>
      <c r="C1452" s="11" t="s">
        <v>39</v>
      </c>
      <c r="D1452" s="12">
        <v>482</v>
      </c>
      <c r="E1452" s="13">
        <v>0</v>
      </c>
    </row>
    <row r="1453" spans="1:5" x14ac:dyDescent="0.25">
      <c r="A1453" s="11" t="s">
        <v>1799</v>
      </c>
      <c r="B1453" s="11" t="s">
        <v>26</v>
      </c>
      <c r="C1453" s="11" t="s">
        <v>111</v>
      </c>
      <c r="D1453" s="12">
        <v>482</v>
      </c>
      <c r="E1453" s="13">
        <v>1</v>
      </c>
    </row>
    <row r="1454" spans="1:5" x14ac:dyDescent="0.25">
      <c r="A1454" s="11" t="s">
        <v>1782</v>
      </c>
      <c r="B1454" s="11" t="s">
        <v>20</v>
      </c>
      <c r="C1454" s="11" t="s">
        <v>44</v>
      </c>
      <c r="D1454" s="12">
        <v>483</v>
      </c>
      <c r="E1454" s="13">
        <v>5</v>
      </c>
    </row>
    <row r="1455" spans="1:5" x14ac:dyDescent="0.25">
      <c r="A1455" s="11" t="s">
        <v>347</v>
      </c>
      <c r="B1455" s="11" t="s">
        <v>20</v>
      </c>
      <c r="C1455" s="11" t="s">
        <v>30</v>
      </c>
      <c r="D1455" s="12">
        <v>484</v>
      </c>
      <c r="E1455" s="13">
        <v>2</v>
      </c>
    </row>
    <row r="1456" spans="1:5" x14ac:dyDescent="0.25">
      <c r="A1456" s="11" t="s">
        <v>420</v>
      </c>
      <c r="B1456" s="11" t="s">
        <v>26</v>
      </c>
      <c r="C1456" s="11" t="s">
        <v>44</v>
      </c>
      <c r="D1456" s="12">
        <v>484</v>
      </c>
      <c r="E1456" s="13">
        <v>2</v>
      </c>
    </row>
    <row r="1457" spans="1:5" x14ac:dyDescent="0.25">
      <c r="A1457" s="11" t="s">
        <v>488</v>
      </c>
      <c r="B1457" s="11" t="s">
        <v>26</v>
      </c>
      <c r="C1457" s="11" t="s">
        <v>27</v>
      </c>
      <c r="D1457" s="12">
        <v>486</v>
      </c>
      <c r="E1457" s="13">
        <v>0</v>
      </c>
    </row>
    <row r="1458" spans="1:5" x14ac:dyDescent="0.25">
      <c r="A1458" s="11" t="s">
        <v>1642</v>
      </c>
      <c r="B1458" s="11" t="s">
        <v>26</v>
      </c>
      <c r="C1458" s="11" t="s">
        <v>44</v>
      </c>
      <c r="D1458" s="12">
        <v>486</v>
      </c>
      <c r="E1458" s="13">
        <v>0</v>
      </c>
    </row>
    <row r="1459" spans="1:5" x14ac:dyDescent="0.25">
      <c r="A1459" s="11" t="s">
        <v>1820</v>
      </c>
      <c r="B1459" s="11" t="s">
        <v>24</v>
      </c>
      <c r="C1459" s="11" t="s">
        <v>28</v>
      </c>
      <c r="D1459" s="12">
        <v>486</v>
      </c>
      <c r="E1459" s="13">
        <v>9</v>
      </c>
    </row>
    <row r="1460" spans="1:5" x14ac:dyDescent="0.25">
      <c r="A1460" s="11" t="s">
        <v>118</v>
      </c>
      <c r="B1460" s="11" t="s">
        <v>24</v>
      </c>
      <c r="C1460" s="11" t="s">
        <v>62</v>
      </c>
      <c r="D1460" s="12">
        <v>487</v>
      </c>
      <c r="E1460" s="13">
        <v>1</v>
      </c>
    </row>
    <row r="1461" spans="1:5" x14ac:dyDescent="0.25">
      <c r="A1461" s="11" t="s">
        <v>142</v>
      </c>
      <c r="B1461" s="11" t="s">
        <v>24</v>
      </c>
      <c r="C1461" s="11" t="s">
        <v>25</v>
      </c>
      <c r="D1461" s="12">
        <v>488</v>
      </c>
      <c r="E1461" s="13">
        <v>1</v>
      </c>
    </row>
    <row r="1462" spans="1:5" x14ac:dyDescent="0.25">
      <c r="A1462" s="11" t="s">
        <v>194</v>
      </c>
      <c r="B1462" s="11" t="s">
        <v>26</v>
      </c>
      <c r="C1462" s="11" t="s">
        <v>5</v>
      </c>
      <c r="D1462" s="12">
        <v>488</v>
      </c>
      <c r="E1462" s="13">
        <v>2</v>
      </c>
    </row>
    <row r="1463" spans="1:5" x14ac:dyDescent="0.25">
      <c r="A1463" s="11" t="s">
        <v>1126</v>
      </c>
      <c r="B1463" s="11" t="s">
        <v>24</v>
      </c>
      <c r="C1463" s="11" t="s">
        <v>44</v>
      </c>
      <c r="D1463" s="12">
        <v>488</v>
      </c>
      <c r="E1463" s="13">
        <v>0</v>
      </c>
    </row>
    <row r="1464" spans="1:5" x14ac:dyDescent="0.25">
      <c r="A1464" s="11" t="s">
        <v>1195</v>
      </c>
      <c r="B1464" s="11" t="s">
        <v>20</v>
      </c>
      <c r="C1464" s="11" t="s">
        <v>30</v>
      </c>
      <c r="D1464" s="12">
        <v>488</v>
      </c>
      <c r="E1464" s="13">
        <v>4</v>
      </c>
    </row>
    <row r="1465" spans="1:5" x14ac:dyDescent="0.25">
      <c r="A1465" s="11" t="s">
        <v>1606</v>
      </c>
      <c r="B1465" s="11" t="s">
        <v>20</v>
      </c>
      <c r="C1465" s="11" t="s">
        <v>22</v>
      </c>
      <c r="D1465" s="12">
        <v>488</v>
      </c>
      <c r="E1465" s="13">
        <v>5</v>
      </c>
    </row>
    <row r="1466" spans="1:5" x14ac:dyDescent="0.25">
      <c r="A1466" s="11" t="s">
        <v>18</v>
      </c>
      <c r="B1466" s="11" t="s">
        <v>20</v>
      </c>
      <c r="C1466" s="11" t="s">
        <v>21</v>
      </c>
      <c r="D1466" s="12">
        <v>489</v>
      </c>
      <c r="E1466" s="13">
        <v>1</v>
      </c>
    </row>
    <row r="1467" spans="1:5" x14ac:dyDescent="0.25">
      <c r="A1467" s="11" t="s">
        <v>1865</v>
      </c>
      <c r="B1467" s="11" t="s">
        <v>24</v>
      </c>
      <c r="C1467" s="11" t="s">
        <v>5</v>
      </c>
      <c r="D1467" s="12">
        <v>489</v>
      </c>
      <c r="E1467" s="13">
        <v>1</v>
      </c>
    </row>
    <row r="1468" spans="1:5" x14ac:dyDescent="0.25">
      <c r="A1468" s="11" t="s">
        <v>57</v>
      </c>
      <c r="B1468" s="11" t="s">
        <v>20</v>
      </c>
      <c r="C1468" s="11" t="s">
        <v>44</v>
      </c>
      <c r="D1468" s="12">
        <v>490</v>
      </c>
      <c r="E1468" s="13">
        <v>9</v>
      </c>
    </row>
    <row r="1469" spans="1:5" x14ac:dyDescent="0.25">
      <c r="A1469" s="11" t="s">
        <v>1191</v>
      </c>
      <c r="B1469" s="11" t="s">
        <v>26</v>
      </c>
      <c r="C1469" s="11" t="s">
        <v>39</v>
      </c>
      <c r="D1469" s="12">
        <v>490</v>
      </c>
      <c r="E1469" s="13">
        <v>6</v>
      </c>
    </row>
    <row r="1470" spans="1:5" x14ac:dyDescent="0.25">
      <c r="A1470" s="11" t="s">
        <v>1306</v>
      </c>
      <c r="B1470" s="11" t="s">
        <v>26</v>
      </c>
      <c r="C1470" s="11" t="s">
        <v>27</v>
      </c>
      <c r="D1470" s="12">
        <v>490</v>
      </c>
      <c r="E1470" s="13">
        <v>0</v>
      </c>
    </row>
    <row r="1471" spans="1:5" x14ac:dyDescent="0.25">
      <c r="A1471" s="11" t="s">
        <v>1719</v>
      </c>
      <c r="B1471" s="11" t="s">
        <v>20</v>
      </c>
      <c r="C1471" s="11" t="s">
        <v>5</v>
      </c>
      <c r="D1471" s="12">
        <v>490</v>
      </c>
      <c r="E1471" s="13">
        <v>0</v>
      </c>
    </row>
    <row r="1472" spans="1:5" x14ac:dyDescent="0.25">
      <c r="A1472" s="11" t="s">
        <v>369</v>
      </c>
      <c r="B1472" s="11" t="s">
        <v>26</v>
      </c>
      <c r="C1472" s="11" t="s">
        <v>44</v>
      </c>
      <c r="D1472" s="12">
        <v>491</v>
      </c>
      <c r="E1472" s="13">
        <v>0</v>
      </c>
    </row>
    <row r="1473" spans="1:5" x14ac:dyDescent="0.25">
      <c r="A1473" s="11" t="s">
        <v>1288</v>
      </c>
      <c r="B1473" s="11" t="s">
        <v>20</v>
      </c>
      <c r="C1473" s="11" t="s">
        <v>39</v>
      </c>
      <c r="D1473" s="12">
        <v>492</v>
      </c>
      <c r="E1473" s="13">
        <v>0</v>
      </c>
    </row>
    <row r="1474" spans="1:5" x14ac:dyDescent="0.25">
      <c r="A1474" s="11" t="s">
        <v>540</v>
      </c>
      <c r="B1474" s="11" t="s">
        <v>20</v>
      </c>
      <c r="C1474" s="11" t="s">
        <v>40</v>
      </c>
      <c r="D1474" s="12">
        <v>493</v>
      </c>
      <c r="E1474" s="13">
        <v>0</v>
      </c>
    </row>
    <row r="1475" spans="1:5" x14ac:dyDescent="0.25">
      <c r="A1475" s="11" t="s">
        <v>1877</v>
      </c>
      <c r="B1475" s="11" t="s">
        <v>20</v>
      </c>
      <c r="C1475" s="11" t="s">
        <v>53</v>
      </c>
      <c r="D1475" s="12">
        <v>493</v>
      </c>
      <c r="E1475" s="13">
        <v>0</v>
      </c>
    </row>
    <row r="1476" spans="1:5" x14ac:dyDescent="0.25">
      <c r="A1476" s="11" t="s">
        <v>213</v>
      </c>
      <c r="B1476" s="11" t="s">
        <v>26</v>
      </c>
      <c r="C1476" s="11" t="s">
        <v>39</v>
      </c>
      <c r="D1476" s="12">
        <v>494</v>
      </c>
      <c r="E1476" s="13">
        <v>8</v>
      </c>
    </row>
    <row r="1477" spans="1:5" x14ac:dyDescent="0.25">
      <c r="A1477" s="11" t="s">
        <v>683</v>
      </c>
      <c r="B1477" s="11" t="s">
        <v>20</v>
      </c>
      <c r="C1477" s="11" t="s">
        <v>33</v>
      </c>
      <c r="D1477" s="12">
        <v>494</v>
      </c>
      <c r="E1477" s="13">
        <v>1</v>
      </c>
    </row>
    <row r="1478" spans="1:5" x14ac:dyDescent="0.25">
      <c r="A1478" s="11" t="s">
        <v>835</v>
      </c>
      <c r="B1478" s="11" t="s">
        <v>20</v>
      </c>
      <c r="C1478" s="11" t="s">
        <v>5</v>
      </c>
      <c r="D1478" s="12">
        <v>494</v>
      </c>
      <c r="E1478" s="13">
        <v>8</v>
      </c>
    </row>
    <row r="1479" spans="1:5" x14ac:dyDescent="0.25">
      <c r="A1479" s="11" t="s">
        <v>1034</v>
      </c>
      <c r="B1479" s="11" t="s">
        <v>26</v>
      </c>
      <c r="C1479" s="11" t="s">
        <v>34</v>
      </c>
      <c r="D1479" s="12">
        <v>494</v>
      </c>
      <c r="E1479" s="13">
        <v>1</v>
      </c>
    </row>
    <row r="1480" spans="1:5" x14ac:dyDescent="0.25">
      <c r="A1480" s="11" t="s">
        <v>1347</v>
      </c>
      <c r="B1480" s="11" t="s">
        <v>24</v>
      </c>
      <c r="C1480" s="11" t="s">
        <v>44</v>
      </c>
      <c r="D1480" s="12">
        <v>494</v>
      </c>
      <c r="E1480" s="13">
        <v>11</v>
      </c>
    </row>
    <row r="1481" spans="1:5" x14ac:dyDescent="0.25">
      <c r="A1481" s="11" t="s">
        <v>1431</v>
      </c>
      <c r="B1481" s="11" t="s">
        <v>24</v>
      </c>
      <c r="C1481" s="11" t="s">
        <v>22</v>
      </c>
      <c r="D1481" s="12">
        <v>494</v>
      </c>
      <c r="E1481" s="13">
        <v>0</v>
      </c>
    </row>
    <row r="1482" spans="1:5" x14ac:dyDescent="0.25">
      <c r="A1482" s="11" t="s">
        <v>1919</v>
      </c>
      <c r="B1482" s="11" t="s">
        <v>24</v>
      </c>
      <c r="C1482" s="11" t="s">
        <v>43</v>
      </c>
      <c r="D1482" s="12">
        <v>494</v>
      </c>
      <c r="E1482" s="13">
        <v>2</v>
      </c>
    </row>
    <row r="1483" spans="1:5" x14ac:dyDescent="0.25">
      <c r="A1483" s="11" t="s">
        <v>23</v>
      </c>
      <c r="B1483" s="11" t="s">
        <v>26</v>
      </c>
      <c r="C1483" s="11" t="s">
        <v>28</v>
      </c>
      <c r="D1483" s="12">
        <v>495</v>
      </c>
      <c r="E1483" s="13">
        <v>0</v>
      </c>
    </row>
    <row r="1484" spans="1:5" x14ac:dyDescent="0.25">
      <c r="A1484" s="11" t="s">
        <v>92</v>
      </c>
      <c r="B1484" s="11" t="s">
        <v>26</v>
      </c>
      <c r="C1484" s="11" t="s">
        <v>53</v>
      </c>
      <c r="D1484" s="12">
        <v>495</v>
      </c>
      <c r="E1484" s="13">
        <v>6</v>
      </c>
    </row>
    <row r="1485" spans="1:5" x14ac:dyDescent="0.25">
      <c r="A1485" s="11" t="s">
        <v>551</v>
      </c>
      <c r="B1485" s="11" t="s">
        <v>26</v>
      </c>
      <c r="C1485" s="11" t="s">
        <v>21</v>
      </c>
      <c r="D1485" s="12">
        <v>495</v>
      </c>
      <c r="E1485" s="13">
        <v>2</v>
      </c>
    </row>
    <row r="1486" spans="1:5" x14ac:dyDescent="0.25">
      <c r="A1486" s="11" t="s">
        <v>1141</v>
      </c>
      <c r="B1486" s="11" t="s">
        <v>26</v>
      </c>
      <c r="C1486" s="11" t="s">
        <v>27</v>
      </c>
      <c r="D1486" s="12">
        <v>495</v>
      </c>
      <c r="E1486" s="13">
        <v>2</v>
      </c>
    </row>
    <row r="1487" spans="1:5" x14ac:dyDescent="0.25">
      <c r="A1487" s="11" t="s">
        <v>1200</v>
      </c>
      <c r="B1487" s="11" t="s">
        <v>24</v>
      </c>
      <c r="C1487" s="11" t="s">
        <v>28</v>
      </c>
      <c r="D1487" s="12">
        <v>495</v>
      </c>
      <c r="E1487" s="13">
        <v>0</v>
      </c>
    </row>
    <row r="1488" spans="1:5" x14ac:dyDescent="0.25">
      <c r="A1488" s="11" t="s">
        <v>1538</v>
      </c>
      <c r="B1488" s="11" t="s">
        <v>26</v>
      </c>
      <c r="C1488" s="11" t="s">
        <v>39</v>
      </c>
      <c r="D1488" s="12">
        <v>495</v>
      </c>
      <c r="E1488" s="13">
        <v>2</v>
      </c>
    </row>
    <row r="1489" spans="1:5" x14ac:dyDescent="0.25">
      <c r="A1489" s="11" t="s">
        <v>1696</v>
      </c>
      <c r="B1489" s="11" t="s">
        <v>24</v>
      </c>
      <c r="C1489" s="11" t="s">
        <v>27</v>
      </c>
      <c r="D1489" s="12">
        <v>495</v>
      </c>
      <c r="E1489" s="13">
        <v>1</v>
      </c>
    </row>
    <row r="1490" spans="1:5" x14ac:dyDescent="0.25">
      <c r="A1490" s="11" t="s">
        <v>178</v>
      </c>
      <c r="B1490" s="11" t="s">
        <v>20</v>
      </c>
      <c r="C1490" s="11" t="s">
        <v>62</v>
      </c>
      <c r="D1490" s="12">
        <v>496</v>
      </c>
      <c r="E1490" s="13">
        <v>2</v>
      </c>
    </row>
    <row r="1491" spans="1:5" x14ac:dyDescent="0.25">
      <c r="A1491" s="11" t="s">
        <v>815</v>
      </c>
      <c r="B1491" s="11" t="s">
        <v>24</v>
      </c>
      <c r="C1491" s="11" t="s">
        <v>40</v>
      </c>
      <c r="D1491" s="12">
        <v>496</v>
      </c>
      <c r="E1491" s="13">
        <v>0</v>
      </c>
    </row>
    <row r="1492" spans="1:5" x14ac:dyDescent="0.25">
      <c r="A1492" s="11" t="s">
        <v>872</v>
      </c>
      <c r="B1492" s="11" t="s">
        <v>20</v>
      </c>
      <c r="C1492" s="11" t="s">
        <v>44</v>
      </c>
      <c r="D1492" s="12">
        <v>496</v>
      </c>
      <c r="E1492" s="13">
        <v>1</v>
      </c>
    </row>
    <row r="1493" spans="1:5" x14ac:dyDescent="0.25">
      <c r="A1493" s="11" t="s">
        <v>1684</v>
      </c>
      <c r="B1493" s="11" t="s">
        <v>24</v>
      </c>
      <c r="C1493" s="11" t="s">
        <v>111</v>
      </c>
      <c r="D1493" s="12">
        <v>496</v>
      </c>
      <c r="E1493" s="13">
        <v>0</v>
      </c>
    </row>
    <row r="1494" spans="1:5" x14ac:dyDescent="0.25">
      <c r="A1494" s="11" t="s">
        <v>737</v>
      </c>
      <c r="B1494" s="11" t="s">
        <v>26</v>
      </c>
      <c r="C1494" s="11" t="s">
        <v>27</v>
      </c>
      <c r="D1494" s="12">
        <v>497</v>
      </c>
      <c r="E1494" s="13">
        <v>0</v>
      </c>
    </row>
    <row r="1495" spans="1:5" x14ac:dyDescent="0.25">
      <c r="A1495" s="11" t="s">
        <v>1433</v>
      </c>
      <c r="B1495" s="11" t="s">
        <v>20</v>
      </c>
      <c r="C1495" s="11" t="s">
        <v>39</v>
      </c>
      <c r="D1495" s="12">
        <v>497</v>
      </c>
      <c r="E1495" s="13">
        <v>4</v>
      </c>
    </row>
    <row r="1496" spans="1:5" x14ac:dyDescent="0.25">
      <c r="A1496" s="11" t="s">
        <v>1731</v>
      </c>
      <c r="B1496" s="11" t="s">
        <v>24</v>
      </c>
      <c r="C1496" s="11" t="s">
        <v>44</v>
      </c>
      <c r="D1496" s="12">
        <v>497</v>
      </c>
      <c r="E1496" s="13">
        <v>0</v>
      </c>
    </row>
    <row r="1497" spans="1:5" x14ac:dyDescent="0.25">
      <c r="A1497" s="11" t="s">
        <v>1799</v>
      </c>
      <c r="B1497" s="11" t="s">
        <v>26</v>
      </c>
      <c r="C1497" s="11" t="s">
        <v>22</v>
      </c>
      <c r="D1497" s="12">
        <v>497</v>
      </c>
      <c r="E1497" s="13">
        <v>3</v>
      </c>
    </row>
    <row r="1498" spans="1:5" x14ac:dyDescent="0.25">
      <c r="A1498" s="11" t="s">
        <v>377</v>
      </c>
      <c r="B1498" s="11" t="s">
        <v>26</v>
      </c>
      <c r="C1498" s="11" t="s">
        <v>30</v>
      </c>
      <c r="D1498" s="12">
        <v>498</v>
      </c>
      <c r="E1498" s="13">
        <v>0</v>
      </c>
    </row>
    <row r="1499" spans="1:5" x14ac:dyDescent="0.25">
      <c r="A1499" s="11" t="s">
        <v>948</v>
      </c>
      <c r="B1499" s="11" t="s">
        <v>24</v>
      </c>
      <c r="C1499" s="11" t="s">
        <v>39</v>
      </c>
      <c r="D1499" s="12">
        <v>498</v>
      </c>
      <c r="E1499" s="13">
        <v>0</v>
      </c>
    </row>
    <row r="1500" spans="1:5" x14ac:dyDescent="0.25">
      <c r="A1500" s="11" t="s">
        <v>1313</v>
      </c>
      <c r="B1500" s="11" t="s">
        <v>20</v>
      </c>
      <c r="C1500" s="11" t="s">
        <v>40</v>
      </c>
      <c r="D1500" s="12">
        <v>498</v>
      </c>
      <c r="E1500" s="13">
        <v>0</v>
      </c>
    </row>
    <row r="1501" spans="1:5" x14ac:dyDescent="0.25">
      <c r="A1501" s="11" t="s">
        <v>143</v>
      </c>
      <c r="B1501" s="11" t="s">
        <v>26</v>
      </c>
      <c r="C1501" s="11" t="s">
        <v>43</v>
      </c>
      <c r="D1501" s="12">
        <v>499</v>
      </c>
      <c r="E1501" s="13">
        <v>1</v>
      </c>
    </row>
    <row r="1502" spans="1:5" x14ac:dyDescent="0.25">
      <c r="A1502" s="11" t="s">
        <v>1132</v>
      </c>
      <c r="B1502" s="11" t="s">
        <v>24</v>
      </c>
      <c r="C1502" s="11" t="s">
        <v>21</v>
      </c>
      <c r="D1502" s="12">
        <v>499</v>
      </c>
      <c r="E1502" s="13">
        <v>4</v>
      </c>
    </row>
    <row r="1503" spans="1:5" x14ac:dyDescent="0.25">
      <c r="A1503" s="11" t="s">
        <v>1257</v>
      </c>
      <c r="B1503" s="11" t="s">
        <v>24</v>
      </c>
      <c r="C1503" s="11" t="s">
        <v>111</v>
      </c>
      <c r="D1503" s="12">
        <v>499</v>
      </c>
      <c r="E1503" s="13">
        <v>0</v>
      </c>
    </row>
    <row r="1504" spans="1:5" x14ac:dyDescent="0.25">
      <c r="A1504" s="11" t="s">
        <v>89</v>
      </c>
      <c r="B1504" s="11" t="s">
        <v>26</v>
      </c>
      <c r="C1504" s="11" t="s">
        <v>62</v>
      </c>
      <c r="D1504" s="12">
        <v>500</v>
      </c>
      <c r="E1504" s="13">
        <v>0</v>
      </c>
    </row>
    <row r="1505" spans="1:5" x14ac:dyDescent="0.25">
      <c r="A1505" s="11" t="s">
        <v>160</v>
      </c>
      <c r="B1505" s="11" t="s">
        <v>24</v>
      </c>
      <c r="C1505" s="11" t="s">
        <v>32</v>
      </c>
      <c r="D1505" s="12">
        <v>500</v>
      </c>
      <c r="E1505" s="13">
        <v>0</v>
      </c>
    </row>
    <row r="1506" spans="1:5" x14ac:dyDescent="0.25">
      <c r="A1506" s="11" t="s">
        <v>425</v>
      </c>
      <c r="B1506" s="11" t="s">
        <v>26</v>
      </c>
      <c r="C1506" s="11" t="s">
        <v>27</v>
      </c>
      <c r="D1506" s="12">
        <v>500</v>
      </c>
      <c r="E1506" s="13">
        <v>6</v>
      </c>
    </row>
    <row r="1507" spans="1:5" x14ac:dyDescent="0.25">
      <c r="A1507" s="11" t="s">
        <v>430</v>
      </c>
      <c r="B1507" s="11" t="s">
        <v>20</v>
      </c>
      <c r="C1507" s="11" t="s">
        <v>39</v>
      </c>
      <c r="D1507" s="12">
        <v>500</v>
      </c>
      <c r="E1507" s="13">
        <v>1</v>
      </c>
    </row>
    <row r="1508" spans="1:5" x14ac:dyDescent="0.25">
      <c r="A1508" s="11" t="s">
        <v>527</v>
      </c>
      <c r="B1508" s="11" t="s">
        <v>20</v>
      </c>
      <c r="C1508" s="11" t="s">
        <v>53</v>
      </c>
      <c r="D1508" s="12">
        <v>500</v>
      </c>
      <c r="E1508" s="13">
        <v>0</v>
      </c>
    </row>
    <row r="1509" spans="1:5" x14ac:dyDescent="0.25">
      <c r="A1509" s="11" t="s">
        <v>814</v>
      </c>
      <c r="B1509" s="11" t="s">
        <v>24</v>
      </c>
      <c r="C1509" s="11" t="s">
        <v>28</v>
      </c>
      <c r="D1509" s="12">
        <v>500</v>
      </c>
      <c r="E1509" s="13">
        <v>2</v>
      </c>
    </row>
    <row r="1510" spans="1:5" x14ac:dyDescent="0.25">
      <c r="A1510" s="11" t="s">
        <v>1011</v>
      </c>
      <c r="B1510" s="11" t="s">
        <v>20</v>
      </c>
      <c r="C1510" s="11" t="s">
        <v>44</v>
      </c>
      <c r="D1510" s="12">
        <v>500</v>
      </c>
      <c r="E1510" s="13">
        <v>11</v>
      </c>
    </row>
    <row r="1511" spans="1:5" x14ac:dyDescent="0.25">
      <c r="A1511" s="11" t="s">
        <v>1870</v>
      </c>
      <c r="B1511" s="11" t="s">
        <v>20</v>
      </c>
      <c r="C1511" s="11" t="s">
        <v>66</v>
      </c>
      <c r="D1511" s="12">
        <v>500</v>
      </c>
      <c r="E1511" s="13">
        <v>0</v>
      </c>
    </row>
    <row r="1512" spans="1:5" x14ac:dyDescent="0.25">
      <c r="A1512" s="11" t="s">
        <v>207</v>
      </c>
      <c r="B1512" s="11" t="s">
        <v>24</v>
      </c>
      <c r="C1512" s="11" t="s">
        <v>30</v>
      </c>
      <c r="D1512" s="12">
        <v>501</v>
      </c>
      <c r="E1512" s="13">
        <v>4</v>
      </c>
    </row>
    <row r="1513" spans="1:5" x14ac:dyDescent="0.25">
      <c r="A1513" s="11" t="s">
        <v>318</v>
      </c>
      <c r="B1513" s="11" t="s">
        <v>20</v>
      </c>
      <c r="C1513" s="11" t="s">
        <v>44</v>
      </c>
      <c r="D1513" s="12">
        <v>501</v>
      </c>
      <c r="E1513" s="13">
        <v>6</v>
      </c>
    </row>
    <row r="1514" spans="1:5" x14ac:dyDescent="0.25">
      <c r="A1514" s="11" t="s">
        <v>1927</v>
      </c>
      <c r="B1514" s="11" t="s">
        <v>26</v>
      </c>
      <c r="C1514" s="11" t="s">
        <v>25</v>
      </c>
      <c r="D1514" s="12">
        <v>501</v>
      </c>
      <c r="E1514" s="13">
        <v>1</v>
      </c>
    </row>
    <row r="1515" spans="1:5" x14ac:dyDescent="0.25">
      <c r="A1515" s="11" t="s">
        <v>707</v>
      </c>
      <c r="B1515" s="11" t="s">
        <v>24</v>
      </c>
      <c r="C1515" s="11" t="s">
        <v>39</v>
      </c>
      <c r="D1515" s="12">
        <v>502</v>
      </c>
      <c r="E1515" s="13">
        <v>1</v>
      </c>
    </row>
    <row r="1516" spans="1:5" x14ac:dyDescent="0.25">
      <c r="A1516" s="11" t="s">
        <v>817</v>
      </c>
      <c r="B1516" s="11" t="s">
        <v>20</v>
      </c>
      <c r="C1516" s="11" t="s">
        <v>44</v>
      </c>
      <c r="D1516" s="12">
        <v>502</v>
      </c>
      <c r="E1516" s="13">
        <v>2</v>
      </c>
    </row>
    <row r="1517" spans="1:5" x14ac:dyDescent="0.25">
      <c r="A1517" s="11" t="s">
        <v>1101</v>
      </c>
      <c r="B1517" s="11" t="s">
        <v>24</v>
      </c>
      <c r="C1517" s="11" t="s">
        <v>111</v>
      </c>
      <c r="D1517" s="12">
        <v>502</v>
      </c>
      <c r="E1517" s="13">
        <v>0</v>
      </c>
    </row>
    <row r="1518" spans="1:5" x14ac:dyDescent="0.25">
      <c r="A1518" s="11" t="s">
        <v>1206</v>
      </c>
      <c r="B1518" s="11" t="s">
        <v>20</v>
      </c>
      <c r="C1518" s="11" t="s">
        <v>27</v>
      </c>
      <c r="D1518" s="12">
        <v>502</v>
      </c>
      <c r="E1518" s="13">
        <v>2</v>
      </c>
    </row>
    <row r="1519" spans="1:5" x14ac:dyDescent="0.25">
      <c r="A1519" s="11" t="s">
        <v>379</v>
      </c>
      <c r="B1519" s="11" t="s">
        <v>24</v>
      </c>
      <c r="C1519" s="11" t="s">
        <v>66</v>
      </c>
      <c r="D1519" s="12">
        <v>503</v>
      </c>
      <c r="E1519" s="13">
        <v>3</v>
      </c>
    </row>
    <row r="1520" spans="1:5" x14ac:dyDescent="0.25">
      <c r="A1520" s="11" t="s">
        <v>623</v>
      </c>
      <c r="B1520" s="11" t="s">
        <v>20</v>
      </c>
      <c r="C1520" s="11" t="s">
        <v>5</v>
      </c>
      <c r="D1520" s="12">
        <v>504</v>
      </c>
      <c r="E1520" s="13">
        <v>2</v>
      </c>
    </row>
    <row r="1521" spans="1:5" x14ac:dyDescent="0.25">
      <c r="A1521" s="11" t="s">
        <v>1188</v>
      </c>
      <c r="B1521" s="11" t="s">
        <v>26</v>
      </c>
      <c r="C1521" s="11" t="s">
        <v>25</v>
      </c>
      <c r="D1521" s="12">
        <v>504</v>
      </c>
      <c r="E1521" s="13">
        <v>0</v>
      </c>
    </row>
    <row r="1522" spans="1:5" x14ac:dyDescent="0.25">
      <c r="A1522" s="11" t="s">
        <v>256</v>
      </c>
      <c r="B1522" s="11" t="s">
        <v>24</v>
      </c>
      <c r="C1522" s="11" t="s">
        <v>27</v>
      </c>
      <c r="D1522" s="12">
        <v>505</v>
      </c>
      <c r="E1522" s="13">
        <v>1</v>
      </c>
    </row>
    <row r="1523" spans="1:5" x14ac:dyDescent="0.25">
      <c r="A1523" s="11" t="s">
        <v>268</v>
      </c>
      <c r="B1523" s="11" t="s">
        <v>20</v>
      </c>
      <c r="C1523" s="11" t="s">
        <v>44</v>
      </c>
      <c r="D1523" s="12">
        <v>505</v>
      </c>
      <c r="E1523" s="13">
        <v>2</v>
      </c>
    </row>
    <row r="1524" spans="1:5" x14ac:dyDescent="0.25">
      <c r="A1524" s="11" t="s">
        <v>1307</v>
      </c>
      <c r="B1524" s="11" t="s">
        <v>24</v>
      </c>
      <c r="C1524" s="11" t="s">
        <v>27</v>
      </c>
      <c r="D1524" s="12">
        <v>505</v>
      </c>
      <c r="E1524" s="13">
        <v>1</v>
      </c>
    </row>
    <row r="1525" spans="1:5" x14ac:dyDescent="0.25">
      <c r="A1525" s="11" t="s">
        <v>1724</v>
      </c>
      <c r="B1525" s="11" t="s">
        <v>26</v>
      </c>
      <c r="C1525" s="11" t="s">
        <v>40</v>
      </c>
      <c r="D1525" s="12">
        <v>505</v>
      </c>
      <c r="E1525" s="13">
        <v>0</v>
      </c>
    </row>
    <row r="1526" spans="1:5" x14ac:dyDescent="0.25">
      <c r="A1526" s="11" t="s">
        <v>924</v>
      </c>
      <c r="B1526" s="11" t="s">
        <v>26</v>
      </c>
      <c r="C1526" s="11" t="s">
        <v>44</v>
      </c>
      <c r="D1526" s="12">
        <v>506</v>
      </c>
      <c r="E1526" s="13">
        <v>7</v>
      </c>
    </row>
    <row r="1527" spans="1:5" x14ac:dyDescent="0.25">
      <c r="A1527" s="11" t="s">
        <v>1037</v>
      </c>
      <c r="B1527" s="11" t="s">
        <v>26</v>
      </c>
      <c r="C1527" s="11" t="s">
        <v>44</v>
      </c>
      <c r="D1527" s="12">
        <v>507</v>
      </c>
      <c r="E1527" s="13">
        <v>2</v>
      </c>
    </row>
    <row r="1528" spans="1:5" x14ac:dyDescent="0.25">
      <c r="A1528" s="11" t="s">
        <v>1079</v>
      </c>
      <c r="B1528" s="11" t="s">
        <v>20</v>
      </c>
      <c r="C1528" s="11" t="s">
        <v>5</v>
      </c>
      <c r="D1528" s="12">
        <v>507</v>
      </c>
      <c r="E1528" s="13">
        <v>6</v>
      </c>
    </row>
    <row r="1529" spans="1:5" x14ac:dyDescent="0.25">
      <c r="A1529" s="11" t="s">
        <v>1094</v>
      </c>
      <c r="B1529" s="11" t="s">
        <v>20</v>
      </c>
      <c r="C1529" s="11" t="s">
        <v>53</v>
      </c>
      <c r="D1529" s="12">
        <v>507</v>
      </c>
      <c r="E1529" s="13">
        <v>0</v>
      </c>
    </row>
    <row r="1530" spans="1:5" x14ac:dyDescent="0.25">
      <c r="A1530" s="11" t="s">
        <v>1145</v>
      </c>
      <c r="B1530" s="11" t="s">
        <v>20</v>
      </c>
      <c r="C1530" s="11" t="s">
        <v>27</v>
      </c>
      <c r="D1530" s="12">
        <v>507</v>
      </c>
      <c r="E1530" s="13">
        <v>1</v>
      </c>
    </row>
    <row r="1531" spans="1:5" x14ac:dyDescent="0.25">
      <c r="A1531" s="11" t="s">
        <v>1343</v>
      </c>
      <c r="B1531" s="11" t="s">
        <v>20</v>
      </c>
      <c r="C1531" s="11" t="s">
        <v>34</v>
      </c>
      <c r="D1531" s="12">
        <v>507</v>
      </c>
      <c r="E1531" s="13">
        <v>6</v>
      </c>
    </row>
    <row r="1532" spans="1:5" x14ac:dyDescent="0.25">
      <c r="A1532" s="11" t="s">
        <v>1504</v>
      </c>
      <c r="B1532" s="11" t="s">
        <v>20</v>
      </c>
      <c r="C1532" s="11" t="s">
        <v>66</v>
      </c>
      <c r="D1532" s="12">
        <v>507</v>
      </c>
      <c r="E1532" s="13">
        <v>2</v>
      </c>
    </row>
    <row r="1533" spans="1:5" x14ac:dyDescent="0.25">
      <c r="A1533" s="11" t="s">
        <v>775</v>
      </c>
      <c r="B1533" s="11" t="s">
        <v>20</v>
      </c>
      <c r="C1533" s="11" t="s">
        <v>25</v>
      </c>
      <c r="D1533" s="12">
        <v>508</v>
      </c>
      <c r="E1533" s="13">
        <v>1</v>
      </c>
    </row>
    <row r="1534" spans="1:5" x14ac:dyDescent="0.25">
      <c r="A1534" s="11" t="s">
        <v>1215</v>
      </c>
      <c r="B1534" s="11" t="s">
        <v>20</v>
      </c>
      <c r="C1534" s="11" t="s">
        <v>53</v>
      </c>
      <c r="D1534" s="12">
        <v>508</v>
      </c>
      <c r="E1534" s="13">
        <v>0</v>
      </c>
    </row>
    <row r="1535" spans="1:5" x14ac:dyDescent="0.25">
      <c r="A1535" s="11" t="s">
        <v>1892</v>
      </c>
      <c r="B1535" s="11" t="s">
        <v>26</v>
      </c>
      <c r="C1535" s="11" t="s">
        <v>27</v>
      </c>
      <c r="D1535" s="12">
        <v>509</v>
      </c>
      <c r="E1535" s="13">
        <v>1</v>
      </c>
    </row>
    <row r="1536" spans="1:5" x14ac:dyDescent="0.25">
      <c r="A1536" s="11" t="s">
        <v>163</v>
      </c>
      <c r="B1536" s="11" t="s">
        <v>20</v>
      </c>
      <c r="C1536" s="11" t="s">
        <v>53</v>
      </c>
      <c r="D1536" s="12">
        <v>510</v>
      </c>
      <c r="E1536" s="13">
        <v>2</v>
      </c>
    </row>
    <row r="1537" spans="1:5" x14ac:dyDescent="0.25">
      <c r="A1537" s="11" t="s">
        <v>482</v>
      </c>
      <c r="B1537" s="11" t="s">
        <v>24</v>
      </c>
      <c r="C1537" s="11" t="s">
        <v>30</v>
      </c>
      <c r="D1537" s="12">
        <v>510</v>
      </c>
      <c r="E1537" s="13">
        <v>0</v>
      </c>
    </row>
    <row r="1538" spans="1:5" x14ac:dyDescent="0.25">
      <c r="A1538" s="11" t="s">
        <v>352</v>
      </c>
      <c r="B1538" s="11" t="s">
        <v>26</v>
      </c>
      <c r="C1538" s="11" t="s">
        <v>66</v>
      </c>
      <c r="D1538" s="12">
        <v>511</v>
      </c>
      <c r="E1538" s="13">
        <v>2</v>
      </c>
    </row>
    <row r="1539" spans="1:5" x14ac:dyDescent="0.25">
      <c r="A1539" s="11" t="s">
        <v>988</v>
      </c>
      <c r="B1539" s="11" t="s">
        <v>24</v>
      </c>
      <c r="C1539" s="11" t="s">
        <v>43</v>
      </c>
      <c r="D1539" s="12">
        <v>511</v>
      </c>
      <c r="E1539" s="13">
        <v>0</v>
      </c>
    </row>
    <row r="1540" spans="1:5" x14ac:dyDescent="0.25">
      <c r="A1540" s="11" t="s">
        <v>1026</v>
      </c>
      <c r="B1540" s="11" t="s">
        <v>24</v>
      </c>
      <c r="C1540" s="11" t="s">
        <v>44</v>
      </c>
      <c r="D1540" s="12">
        <v>511</v>
      </c>
      <c r="E1540" s="13">
        <v>3</v>
      </c>
    </row>
    <row r="1541" spans="1:5" x14ac:dyDescent="0.25">
      <c r="A1541" s="11" t="s">
        <v>1973</v>
      </c>
      <c r="B1541" s="11" t="s">
        <v>24</v>
      </c>
      <c r="C1541" s="11" t="s">
        <v>28</v>
      </c>
      <c r="D1541" s="12">
        <v>511</v>
      </c>
      <c r="E1541" s="13">
        <v>0</v>
      </c>
    </row>
    <row r="1542" spans="1:5" x14ac:dyDescent="0.25">
      <c r="A1542" s="11" t="s">
        <v>773</v>
      </c>
      <c r="B1542" s="11" t="s">
        <v>20</v>
      </c>
      <c r="C1542" s="11" t="s">
        <v>5</v>
      </c>
      <c r="D1542" s="12">
        <v>512</v>
      </c>
      <c r="E1542" s="13">
        <v>4</v>
      </c>
    </row>
    <row r="1543" spans="1:5" x14ac:dyDescent="0.25">
      <c r="A1543" s="11" t="s">
        <v>998</v>
      </c>
      <c r="B1543" s="11" t="s">
        <v>24</v>
      </c>
      <c r="C1543" s="11" t="s">
        <v>66</v>
      </c>
      <c r="D1543" s="12">
        <v>512</v>
      </c>
      <c r="E1543" s="13">
        <v>1</v>
      </c>
    </row>
    <row r="1544" spans="1:5" x14ac:dyDescent="0.25">
      <c r="A1544" s="11" t="s">
        <v>1617</v>
      </c>
      <c r="B1544" s="11" t="s">
        <v>20</v>
      </c>
      <c r="C1544" s="11" t="s">
        <v>62</v>
      </c>
      <c r="D1544" s="12">
        <v>512</v>
      </c>
      <c r="E1544" s="13">
        <v>6</v>
      </c>
    </row>
    <row r="1545" spans="1:5" x14ac:dyDescent="0.25">
      <c r="A1545" s="11" t="s">
        <v>1681</v>
      </c>
      <c r="B1545" s="11" t="s">
        <v>26</v>
      </c>
      <c r="C1545" s="11" t="s">
        <v>5</v>
      </c>
      <c r="D1545" s="12">
        <v>512</v>
      </c>
      <c r="E1545" s="13">
        <v>1</v>
      </c>
    </row>
    <row r="1546" spans="1:5" x14ac:dyDescent="0.25">
      <c r="A1546" s="11" t="s">
        <v>261</v>
      </c>
      <c r="B1546" s="11" t="s">
        <v>26</v>
      </c>
      <c r="C1546" s="11" t="s">
        <v>44</v>
      </c>
      <c r="D1546" s="12">
        <v>513</v>
      </c>
      <c r="E1546" s="13">
        <v>6</v>
      </c>
    </row>
    <row r="1547" spans="1:5" x14ac:dyDescent="0.25">
      <c r="A1547" s="11" t="s">
        <v>436</v>
      </c>
      <c r="B1547" s="11" t="s">
        <v>20</v>
      </c>
      <c r="C1547" s="11" t="s">
        <v>53</v>
      </c>
      <c r="D1547" s="12">
        <v>513</v>
      </c>
      <c r="E1547" s="13">
        <v>5</v>
      </c>
    </row>
    <row r="1548" spans="1:5" x14ac:dyDescent="0.25">
      <c r="A1548" s="11" t="s">
        <v>783</v>
      </c>
      <c r="B1548" s="11" t="s">
        <v>20</v>
      </c>
      <c r="C1548" s="11" t="s">
        <v>40</v>
      </c>
      <c r="D1548" s="12">
        <v>513</v>
      </c>
      <c r="E1548" s="13">
        <v>0</v>
      </c>
    </row>
    <row r="1549" spans="1:5" x14ac:dyDescent="0.25">
      <c r="A1549" s="11" t="s">
        <v>1047</v>
      </c>
      <c r="B1549" s="11" t="s">
        <v>20</v>
      </c>
      <c r="C1549" s="11" t="s">
        <v>111</v>
      </c>
      <c r="D1549" s="12">
        <v>513</v>
      </c>
      <c r="E1549" s="13">
        <v>0</v>
      </c>
    </row>
    <row r="1550" spans="1:5" x14ac:dyDescent="0.25">
      <c r="A1550" s="11" t="s">
        <v>995</v>
      </c>
      <c r="B1550" s="11" t="s">
        <v>24</v>
      </c>
      <c r="C1550" s="11" t="s">
        <v>39</v>
      </c>
      <c r="D1550" s="12">
        <v>514</v>
      </c>
      <c r="E1550" s="13">
        <v>2</v>
      </c>
    </row>
    <row r="1551" spans="1:5" x14ac:dyDescent="0.25">
      <c r="A1551" s="11" t="s">
        <v>1913</v>
      </c>
      <c r="B1551" s="11" t="s">
        <v>20</v>
      </c>
      <c r="C1551" s="11" t="s">
        <v>66</v>
      </c>
      <c r="D1551" s="12">
        <v>514</v>
      </c>
      <c r="E1551" s="13">
        <v>1</v>
      </c>
    </row>
    <row r="1552" spans="1:5" x14ac:dyDescent="0.25">
      <c r="A1552" s="11" t="s">
        <v>38</v>
      </c>
      <c r="B1552" s="11" t="s">
        <v>26</v>
      </c>
      <c r="C1552" s="11" t="s">
        <v>40</v>
      </c>
      <c r="D1552" s="12">
        <v>515</v>
      </c>
      <c r="E1552" s="13">
        <v>0</v>
      </c>
    </row>
    <row r="1553" spans="1:5" x14ac:dyDescent="0.25">
      <c r="A1553" s="11" t="s">
        <v>226</v>
      </c>
      <c r="B1553" s="11" t="s">
        <v>20</v>
      </c>
      <c r="C1553" s="11" t="s">
        <v>111</v>
      </c>
      <c r="D1553" s="12">
        <v>515</v>
      </c>
      <c r="E1553" s="13">
        <v>6</v>
      </c>
    </row>
    <row r="1554" spans="1:5" x14ac:dyDescent="0.25">
      <c r="A1554" s="11" t="s">
        <v>654</v>
      </c>
      <c r="B1554" s="11" t="s">
        <v>20</v>
      </c>
      <c r="C1554" s="11" t="s">
        <v>111</v>
      </c>
      <c r="D1554" s="12">
        <v>515</v>
      </c>
      <c r="E1554" s="13">
        <v>3</v>
      </c>
    </row>
    <row r="1555" spans="1:5" x14ac:dyDescent="0.25">
      <c r="A1555" s="11" t="s">
        <v>882</v>
      </c>
      <c r="B1555" s="11" t="s">
        <v>24</v>
      </c>
      <c r="C1555" s="11" t="s">
        <v>27</v>
      </c>
      <c r="D1555" s="12">
        <v>515</v>
      </c>
      <c r="E1555" s="13">
        <v>0</v>
      </c>
    </row>
    <row r="1556" spans="1:5" x14ac:dyDescent="0.25">
      <c r="A1556" s="11" t="s">
        <v>1506</v>
      </c>
      <c r="B1556" s="11" t="s">
        <v>24</v>
      </c>
      <c r="C1556" s="11" t="s">
        <v>43</v>
      </c>
      <c r="D1556" s="12">
        <v>515</v>
      </c>
      <c r="E1556" s="13">
        <v>0</v>
      </c>
    </row>
    <row r="1557" spans="1:5" x14ac:dyDescent="0.25">
      <c r="A1557" s="11" t="s">
        <v>398</v>
      </c>
      <c r="B1557" s="11" t="s">
        <v>26</v>
      </c>
      <c r="C1557" s="11" t="s">
        <v>27</v>
      </c>
      <c r="D1557" s="12">
        <v>516</v>
      </c>
      <c r="E1557" s="13">
        <v>3</v>
      </c>
    </row>
    <row r="1558" spans="1:5" x14ac:dyDescent="0.25">
      <c r="A1558" s="11" t="s">
        <v>1605</v>
      </c>
      <c r="B1558" s="11" t="s">
        <v>24</v>
      </c>
      <c r="C1558" s="11" t="s">
        <v>62</v>
      </c>
      <c r="D1558" s="12">
        <v>516</v>
      </c>
      <c r="E1558" s="13">
        <v>5</v>
      </c>
    </row>
    <row r="1559" spans="1:5" x14ac:dyDescent="0.25">
      <c r="A1559" s="11" t="s">
        <v>402</v>
      </c>
      <c r="B1559" s="11" t="s">
        <v>20</v>
      </c>
      <c r="C1559" s="11" t="s">
        <v>40</v>
      </c>
      <c r="D1559" s="12">
        <v>517</v>
      </c>
      <c r="E1559" s="13">
        <v>2</v>
      </c>
    </row>
    <row r="1560" spans="1:5" x14ac:dyDescent="0.25">
      <c r="A1560" s="11" t="s">
        <v>705</v>
      </c>
      <c r="B1560" s="11" t="s">
        <v>20</v>
      </c>
      <c r="C1560" s="11" t="s">
        <v>27</v>
      </c>
      <c r="D1560" s="12">
        <v>518</v>
      </c>
      <c r="E1560" s="13">
        <v>1</v>
      </c>
    </row>
    <row r="1561" spans="1:5" x14ac:dyDescent="0.25">
      <c r="A1561" s="11" t="s">
        <v>1771</v>
      </c>
      <c r="B1561" s="11" t="s">
        <v>26</v>
      </c>
      <c r="C1561" s="11" t="s">
        <v>44</v>
      </c>
      <c r="D1561" s="12">
        <v>518</v>
      </c>
      <c r="E1561" s="13">
        <v>0</v>
      </c>
    </row>
    <row r="1562" spans="1:5" x14ac:dyDescent="0.25">
      <c r="A1562" s="11" t="s">
        <v>247</v>
      </c>
      <c r="B1562" s="11" t="s">
        <v>24</v>
      </c>
      <c r="C1562" s="11" t="s">
        <v>44</v>
      </c>
      <c r="D1562" s="12">
        <v>519</v>
      </c>
      <c r="E1562" s="13">
        <v>2</v>
      </c>
    </row>
    <row r="1563" spans="1:5" x14ac:dyDescent="0.25">
      <c r="A1563" s="11" t="s">
        <v>311</v>
      </c>
      <c r="B1563" s="11" t="s">
        <v>24</v>
      </c>
      <c r="C1563" s="11" t="s">
        <v>32</v>
      </c>
      <c r="D1563" s="12">
        <v>519</v>
      </c>
      <c r="E1563" s="13">
        <v>0</v>
      </c>
    </row>
    <row r="1564" spans="1:5" x14ac:dyDescent="0.25">
      <c r="A1564" s="11" t="s">
        <v>697</v>
      </c>
      <c r="B1564" s="11" t="s">
        <v>20</v>
      </c>
      <c r="C1564" s="11" t="s">
        <v>44</v>
      </c>
      <c r="D1564" s="12">
        <v>519</v>
      </c>
      <c r="E1564" s="13">
        <v>0</v>
      </c>
    </row>
    <row r="1565" spans="1:5" x14ac:dyDescent="0.25">
      <c r="A1565" s="11" t="s">
        <v>700</v>
      </c>
      <c r="B1565" s="11" t="s">
        <v>24</v>
      </c>
      <c r="C1565" s="11" t="s">
        <v>62</v>
      </c>
      <c r="D1565" s="12">
        <v>519</v>
      </c>
      <c r="E1565" s="13">
        <v>1</v>
      </c>
    </row>
    <row r="1566" spans="1:5" x14ac:dyDescent="0.25">
      <c r="A1566" s="11" t="s">
        <v>797</v>
      </c>
      <c r="B1566" s="11" t="s">
        <v>24</v>
      </c>
      <c r="C1566" s="11" t="s">
        <v>43</v>
      </c>
      <c r="D1566" s="12">
        <v>519</v>
      </c>
      <c r="E1566" s="13">
        <v>7</v>
      </c>
    </row>
    <row r="1567" spans="1:5" x14ac:dyDescent="0.25">
      <c r="A1567" s="11" t="s">
        <v>1059</v>
      </c>
      <c r="B1567" s="11" t="s">
        <v>26</v>
      </c>
      <c r="C1567" s="11" t="s">
        <v>30</v>
      </c>
      <c r="D1567" s="12">
        <v>519</v>
      </c>
      <c r="E1567" s="13">
        <v>0</v>
      </c>
    </row>
    <row r="1568" spans="1:5" x14ac:dyDescent="0.25">
      <c r="A1568" s="11" t="s">
        <v>1811</v>
      </c>
      <c r="B1568" s="11" t="s">
        <v>20</v>
      </c>
      <c r="C1568" s="11" t="s">
        <v>32</v>
      </c>
      <c r="D1568" s="12">
        <v>519</v>
      </c>
      <c r="E1568" s="13">
        <v>3</v>
      </c>
    </row>
    <row r="1569" spans="1:5" x14ac:dyDescent="0.25">
      <c r="A1569" s="11" t="s">
        <v>152</v>
      </c>
      <c r="B1569" s="11" t="s">
        <v>24</v>
      </c>
      <c r="C1569" s="11" t="s">
        <v>40</v>
      </c>
      <c r="D1569" s="12">
        <v>520</v>
      </c>
      <c r="E1569" s="13">
        <v>7</v>
      </c>
    </row>
    <row r="1570" spans="1:5" x14ac:dyDescent="0.25">
      <c r="A1570" s="11" t="s">
        <v>1168</v>
      </c>
      <c r="B1570" s="11" t="s">
        <v>26</v>
      </c>
      <c r="C1570" s="11" t="s">
        <v>44</v>
      </c>
      <c r="D1570" s="12">
        <v>520</v>
      </c>
      <c r="E1570" s="13">
        <v>0</v>
      </c>
    </row>
    <row r="1571" spans="1:5" x14ac:dyDescent="0.25">
      <c r="A1571" s="11" t="s">
        <v>1359</v>
      </c>
      <c r="B1571" s="11" t="s">
        <v>20</v>
      </c>
      <c r="C1571" s="11" t="s">
        <v>34</v>
      </c>
      <c r="D1571" s="12">
        <v>520</v>
      </c>
      <c r="E1571" s="13">
        <v>9</v>
      </c>
    </row>
    <row r="1572" spans="1:5" x14ac:dyDescent="0.25">
      <c r="A1572" s="11" t="s">
        <v>1732</v>
      </c>
      <c r="B1572" s="11" t="s">
        <v>26</v>
      </c>
      <c r="C1572" s="11" t="s">
        <v>39</v>
      </c>
      <c r="D1572" s="12">
        <v>520</v>
      </c>
      <c r="E1572" s="13">
        <v>1</v>
      </c>
    </row>
    <row r="1573" spans="1:5" x14ac:dyDescent="0.25">
      <c r="A1573" s="11" t="s">
        <v>1136</v>
      </c>
      <c r="B1573" s="11" t="s">
        <v>20</v>
      </c>
      <c r="C1573" s="11" t="s">
        <v>44</v>
      </c>
      <c r="D1573" s="12">
        <v>521</v>
      </c>
      <c r="E1573" s="13">
        <v>0</v>
      </c>
    </row>
    <row r="1574" spans="1:5" x14ac:dyDescent="0.25">
      <c r="A1574" s="11" t="s">
        <v>1825</v>
      </c>
      <c r="B1574" s="11" t="s">
        <v>24</v>
      </c>
      <c r="C1574" s="11" t="s">
        <v>44</v>
      </c>
      <c r="D1574" s="12">
        <v>521</v>
      </c>
      <c r="E1574" s="13">
        <v>6</v>
      </c>
    </row>
    <row r="1575" spans="1:5" x14ac:dyDescent="0.25">
      <c r="A1575" s="11" t="s">
        <v>1940</v>
      </c>
      <c r="B1575" s="11" t="s">
        <v>26</v>
      </c>
      <c r="C1575" s="11" t="s">
        <v>44</v>
      </c>
      <c r="D1575" s="12">
        <v>521</v>
      </c>
      <c r="E1575" s="13">
        <v>0</v>
      </c>
    </row>
    <row r="1576" spans="1:5" x14ac:dyDescent="0.25">
      <c r="A1576" s="11" t="s">
        <v>188</v>
      </c>
      <c r="B1576" s="11" t="s">
        <v>24</v>
      </c>
      <c r="C1576" s="11" t="s">
        <v>27</v>
      </c>
      <c r="D1576" s="12">
        <v>522</v>
      </c>
      <c r="E1576" s="13">
        <v>3</v>
      </c>
    </row>
    <row r="1577" spans="1:5" x14ac:dyDescent="0.25">
      <c r="A1577" s="11" t="s">
        <v>1232</v>
      </c>
      <c r="B1577" s="11" t="s">
        <v>26</v>
      </c>
      <c r="C1577" s="11" t="s">
        <v>30</v>
      </c>
      <c r="D1577" s="12">
        <v>522</v>
      </c>
      <c r="E1577" s="13">
        <v>0</v>
      </c>
    </row>
    <row r="1578" spans="1:5" x14ac:dyDescent="0.25">
      <c r="A1578" s="11" t="s">
        <v>335</v>
      </c>
      <c r="B1578" s="11" t="s">
        <v>20</v>
      </c>
      <c r="C1578" s="11" t="s">
        <v>5</v>
      </c>
      <c r="D1578" s="12">
        <v>523</v>
      </c>
      <c r="E1578" s="13">
        <v>4</v>
      </c>
    </row>
    <row r="1579" spans="1:5" x14ac:dyDescent="0.25">
      <c r="A1579" s="11" t="s">
        <v>366</v>
      </c>
      <c r="B1579" s="11" t="s">
        <v>24</v>
      </c>
      <c r="C1579" s="11" t="s">
        <v>62</v>
      </c>
      <c r="D1579" s="12">
        <v>523</v>
      </c>
      <c r="E1579" s="13">
        <v>1</v>
      </c>
    </row>
    <row r="1580" spans="1:5" x14ac:dyDescent="0.25">
      <c r="A1580" s="11" t="s">
        <v>1435</v>
      </c>
      <c r="B1580" s="11" t="s">
        <v>24</v>
      </c>
      <c r="C1580" s="11" t="s">
        <v>111</v>
      </c>
      <c r="D1580" s="12">
        <v>523</v>
      </c>
      <c r="E1580" s="13">
        <v>0</v>
      </c>
    </row>
    <row r="1581" spans="1:5" x14ac:dyDescent="0.25">
      <c r="A1581" s="11" t="s">
        <v>1893</v>
      </c>
      <c r="B1581" s="11" t="s">
        <v>26</v>
      </c>
      <c r="C1581" s="11" t="s">
        <v>39</v>
      </c>
      <c r="D1581" s="12">
        <v>524</v>
      </c>
      <c r="E1581" s="13">
        <v>2</v>
      </c>
    </row>
    <row r="1582" spans="1:5" x14ac:dyDescent="0.25">
      <c r="A1582" s="11" t="s">
        <v>1209</v>
      </c>
      <c r="B1582" s="11" t="s">
        <v>24</v>
      </c>
      <c r="C1582" s="11" t="s">
        <v>39</v>
      </c>
      <c r="D1582" s="12">
        <v>525</v>
      </c>
      <c r="E1582" s="13">
        <v>0</v>
      </c>
    </row>
    <row r="1583" spans="1:5" x14ac:dyDescent="0.25">
      <c r="A1583" s="11" t="s">
        <v>397</v>
      </c>
      <c r="B1583" s="11" t="s">
        <v>24</v>
      </c>
      <c r="C1583" s="11" t="s">
        <v>5</v>
      </c>
      <c r="D1583" s="12">
        <v>526</v>
      </c>
      <c r="E1583" s="13">
        <v>7</v>
      </c>
    </row>
    <row r="1584" spans="1:5" x14ac:dyDescent="0.25">
      <c r="A1584" s="11" t="s">
        <v>498</v>
      </c>
      <c r="B1584" s="11" t="s">
        <v>26</v>
      </c>
      <c r="C1584" s="11" t="s">
        <v>22</v>
      </c>
      <c r="D1584" s="12">
        <v>526</v>
      </c>
      <c r="E1584" s="13">
        <v>4</v>
      </c>
    </row>
    <row r="1585" spans="1:5" x14ac:dyDescent="0.25">
      <c r="A1585" s="11" t="s">
        <v>1002</v>
      </c>
      <c r="B1585" s="11" t="s">
        <v>24</v>
      </c>
      <c r="C1585" s="11" t="s">
        <v>27</v>
      </c>
      <c r="D1585" s="12">
        <v>526</v>
      </c>
      <c r="E1585" s="13">
        <v>2</v>
      </c>
    </row>
    <row r="1586" spans="1:5" x14ac:dyDescent="0.25">
      <c r="A1586" s="11" t="s">
        <v>1291</v>
      </c>
      <c r="B1586" s="11" t="s">
        <v>26</v>
      </c>
      <c r="C1586" s="11" t="s">
        <v>32</v>
      </c>
      <c r="D1586" s="12">
        <v>526</v>
      </c>
      <c r="E1586" s="13">
        <v>0</v>
      </c>
    </row>
    <row r="1587" spans="1:5" x14ac:dyDescent="0.25">
      <c r="A1587" s="11" t="s">
        <v>1817</v>
      </c>
      <c r="B1587" s="11" t="s">
        <v>26</v>
      </c>
      <c r="C1587" s="11" t="s">
        <v>53</v>
      </c>
      <c r="D1587" s="12">
        <v>526</v>
      </c>
      <c r="E1587" s="13">
        <v>8</v>
      </c>
    </row>
    <row r="1588" spans="1:5" x14ac:dyDescent="0.25">
      <c r="A1588" s="11" t="s">
        <v>1868</v>
      </c>
      <c r="B1588" s="11" t="s">
        <v>20</v>
      </c>
      <c r="C1588" s="11" t="s">
        <v>39</v>
      </c>
      <c r="D1588" s="12">
        <v>526</v>
      </c>
      <c r="E1588" s="13">
        <v>2</v>
      </c>
    </row>
    <row r="1589" spans="1:5" x14ac:dyDescent="0.25">
      <c r="A1589" s="11" t="s">
        <v>795</v>
      </c>
      <c r="B1589" s="11" t="s">
        <v>26</v>
      </c>
      <c r="C1589" s="11" t="s">
        <v>111</v>
      </c>
      <c r="D1589" s="12">
        <v>527</v>
      </c>
      <c r="E1589" s="13">
        <v>4</v>
      </c>
    </row>
    <row r="1590" spans="1:5" x14ac:dyDescent="0.25">
      <c r="A1590" s="11" t="s">
        <v>1520</v>
      </c>
      <c r="B1590" s="11" t="s">
        <v>26</v>
      </c>
      <c r="C1590" s="11" t="s">
        <v>111</v>
      </c>
      <c r="D1590" s="12">
        <v>527</v>
      </c>
      <c r="E1590" s="13">
        <v>2</v>
      </c>
    </row>
    <row r="1591" spans="1:5" x14ac:dyDescent="0.25">
      <c r="A1591" s="11" t="s">
        <v>426</v>
      </c>
      <c r="B1591" s="11" t="s">
        <v>24</v>
      </c>
      <c r="C1591" s="11" t="s">
        <v>21</v>
      </c>
      <c r="D1591" s="12">
        <v>528</v>
      </c>
      <c r="E1591" s="13">
        <v>0</v>
      </c>
    </row>
    <row r="1592" spans="1:5" x14ac:dyDescent="0.25">
      <c r="A1592" s="11" t="s">
        <v>541</v>
      </c>
      <c r="B1592" s="11" t="s">
        <v>20</v>
      </c>
      <c r="C1592" s="11" t="s">
        <v>44</v>
      </c>
      <c r="D1592" s="12">
        <v>528</v>
      </c>
      <c r="E1592" s="13">
        <v>3</v>
      </c>
    </row>
    <row r="1593" spans="1:5" x14ac:dyDescent="0.25">
      <c r="A1593" s="11" t="s">
        <v>1760</v>
      </c>
      <c r="B1593" s="11" t="s">
        <v>20</v>
      </c>
      <c r="C1593" s="11" t="s">
        <v>44</v>
      </c>
      <c r="D1593" s="12">
        <v>528</v>
      </c>
      <c r="E1593" s="13">
        <v>0</v>
      </c>
    </row>
    <row r="1594" spans="1:5" x14ac:dyDescent="0.25">
      <c r="A1594" s="11" t="s">
        <v>663</v>
      </c>
      <c r="B1594" s="11" t="s">
        <v>26</v>
      </c>
      <c r="C1594" s="11" t="s">
        <v>34</v>
      </c>
      <c r="D1594" s="12">
        <v>529</v>
      </c>
      <c r="E1594" s="13">
        <v>0</v>
      </c>
    </row>
    <row r="1595" spans="1:5" x14ac:dyDescent="0.25">
      <c r="A1595" s="11" t="s">
        <v>1180</v>
      </c>
      <c r="B1595" s="11" t="s">
        <v>20</v>
      </c>
      <c r="C1595" s="11" t="s">
        <v>39</v>
      </c>
      <c r="D1595" s="12">
        <v>529</v>
      </c>
      <c r="E1595" s="13">
        <v>3</v>
      </c>
    </row>
    <row r="1596" spans="1:5" x14ac:dyDescent="0.25">
      <c r="A1596" s="11" t="s">
        <v>1472</v>
      </c>
      <c r="B1596" s="11" t="s">
        <v>24</v>
      </c>
      <c r="C1596" s="11" t="s">
        <v>39</v>
      </c>
      <c r="D1596" s="12">
        <v>529</v>
      </c>
      <c r="E1596" s="13">
        <v>0</v>
      </c>
    </row>
    <row r="1597" spans="1:5" x14ac:dyDescent="0.25">
      <c r="A1597" s="11" t="s">
        <v>1735</v>
      </c>
      <c r="B1597" s="11" t="s">
        <v>24</v>
      </c>
      <c r="C1597" s="11" t="s">
        <v>30</v>
      </c>
      <c r="D1597" s="12">
        <v>529</v>
      </c>
      <c r="E1597" s="13">
        <v>0</v>
      </c>
    </row>
    <row r="1598" spans="1:5" x14ac:dyDescent="0.25">
      <c r="A1598" s="11" t="s">
        <v>366</v>
      </c>
      <c r="B1598" s="11" t="s">
        <v>20</v>
      </c>
      <c r="C1598" s="11" t="s">
        <v>32</v>
      </c>
      <c r="D1598" s="12">
        <v>530</v>
      </c>
      <c r="E1598" s="13">
        <v>0</v>
      </c>
    </row>
    <row r="1599" spans="1:5" x14ac:dyDescent="0.25">
      <c r="A1599" s="11" t="s">
        <v>804</v>
      </c>
      <c r="B1599" s="11" t="s">
        <v>26</v>
      </c>
      <c r="C1599" s="11" t="s">
        <v>39</v>
      </c>
      <c r="D1599" s="12">
        <v>530</v>
      </c>
      <c r="E1599" s="13">
        <v>1</v>
      </c>
    </row>
    <row r="1600" spans="1:5" x14ac:dyDescent="0.25">
      <c r="A1600" s="11" t="s">
        <v>370</v>
      </c>
      <c r="B1600" s="11" t="s">
        <v>20</v>
      </c>
      <c r="C1600" s="11" t="s">
        <v>62</v>
      </c>
      <c r="D1600" s="12">
        <v>531</v>
      </c>
      <c r="E1600" s="13">
        <v>1</v>
      </c>
    </row>
    <row r="1601" spans="1:5" x14ac:dyDescent="0.25">
      <c r="A1601" s="11" t="s">
        <v>639</v>
      </c>
      <c r="B1601" s="11" t="s">
        <v>24</v>
      </c>
      <c r="C1601" s="11" t="s">
        <v>111</v>
      </c>
      <c r="D1601" s="12">
        <v>531</v>
      </c>
      <c r="E1601" s="13">
        <v>0</v>
      </c>
    </row>
    <row r="1602" spans="1:5" x14ac:dyDescent="0.25">
      <c r="A1602" s="11" t="s">
        <v>641</v>
      </c>
      <c r="B1602" s="11" t="s">
        <v>26</v>
      </c>
      <c r="C1602" s="11" t="s">
        <v>30</v>
      </c>
      <c r="D1602" s="12">
        <v>531</v>
      </c>
      <c r="E1602" s="13">
        <v>0</v>
      </c>
    </row>
    <row r="1603" spans="1:5" x14ac:dyDescent="0.25">
      <c r="A1603" s="11" t="s">
        <v>1368</v>
      </c>
      <c r="B1603" s="11" t="s">
        <v>24</v>
      </c>
      <c r="C1603" s="11" t="s">
        <v>39</v>
      </c>
      <c r="D1603" s="12">
        <v>531</v>
      </c>
      <c r="E1603" s="13">
        <v>0</v>
      </c>
    </row>
    <row r="1604" spans="1:5" x14ac:dyDescent="0.25">
      <c r="A1604" s="11" t="s">
        <v>1414</v>
      </c>
      <c r="B1604" s="11" t="s">
        <v>20</v>
      </c>
      <c r="C1604" s="11" t="s">
        <v>21</v>
      </c>
      <c r="D1604" s="12">
        <v>531</v>
      </c>
      <c r="E1604" s="13">
        <v>7</v>
      </c>
    </row>
    <row r="1605" spans="1:5" x14ac:dyDescent="0.25">
      <c r="A1605" s="11" t="s">
        <v>1860</v>
      </c>
      <c r="B1605" s="11" t="s">
        <v>26</v>
      </c>
      <c r="C1605" s="11" t="s">
        <v>28</v>
      </c>
      <c r="D1605" s="12">
        <v>531</v>
      </c>
      <c r="E1605" s="13">
        <v>1</v>
      </c>
    </row>
    <row r="1606" spans="1:5" x14ac:dyDescent="0.25">
      <c r="A1606" s="11" t="s">
        <v>1974</v>
      </c>
      <c r="B1606" s="11" t="s">
        <v>26</v>
      </c>
      <c r="C1606" s="11" t="s">
        <v>25</v>
      </c>
      <c r="D1606" s="12">
        <v>531</v>
      </c>
      <c r="E1606" s="13">
        <v>2</v>
      </c>
    </row>
    <row r="1607" spans="1:5" x14ac:dyDescent="0.25">
      <c r="A1607" s="11" t="s">
        <v>105</v>
      </c>
      <c r="B1607" s="11" t="s">
        <v>20</v>
      </c>
      <c r="C1607" s="11" t="s">
        <v>30</v>
      </c>
      <c r="D1607" s="12">
        <v>532</v>
      </c>
      <c r="E1607" s="13">
        <v>2</v>
      </c>
    </row>
    <row r="1608" spans="1:5" x14ac:dyDescent="0.25">
      <c r="A1608" s="11" t="s">
        <v>506</v>
      </c>
      <c r="B1608" s="11" t="s">
        <v>20</v>
      </c>
      <c r="C1608" s="11" t="s">
        <v>62</v>
      </c>
      <c r="D1608" s="12">
        <v>532</v>
      </c>
      <c r="E1608" s="13">
        <v>0</v>
      </c>
    </row>
    <row r="1609" spans="1:5" x14ac:dyDescent="0.25">
      <c r="A1609" s="11" t="s">
        <v>903</v>
      </c>
      <c r="B1609" s="11" t="s">
        <v>20</v>
      </c>
      <c r="C1609" s="11" t="s">
        <v>21</v>
      </c>
      <c r="D1609" s="12">
        <v>532</v>
      </c>
      <c r="E1609" s="13">
        <v>2</v>
      </c>
    </row>
    <row r="1610" spans="1:5" x14ac:dyDescent="0.25">
      <c r="A1610" s="11" t="s">
        <v>1558</v>
      </c>
      <c r="B1610" s="11" t="s">
        <v>24</v>
      </c>
      <c r="C1610" s="11" t="s">
        <v>40</v>
      </c>
      <c r="D1610" s="12">
        <v>532</v>
      </c>
      <c r="E1610" s="13">
        <v>0</v>
      </c>
    </row>
    <row r="1611" spans="1:5" x14ac:dyDescent="0.25">
      <c r="A1611" s="11" t="s">
        <v>453</v>
      </c>
      <c r="B1611" s="11" t="s">
        <v>24</v>
      </c>
      <c r="C1611" s="11" t="s">
        <v>28</v>
      </c>
      <c r="D1611" s="12">
        <v>534</v>
      </c>
      <c r="E1611" s="13">
        <v>2</v>
      </c>
    </row>
    <row r="1612" spans="1:5" x14ac:dyDescent="0.25">
      <c r="A1612" s="11" t="s">
        <v>898</v>
      </c>
      <c r="B1612" s="11" t="s">
        <v>20</v>
      </c>
      <c r="C1612" s="11" t="s">
        <v>53</v>
      </c>
      <c r="D1612" s="12">
        <v>536</v>
      </c>
      <c r="E1612" s="13">
        <v>7</v>
      </c>
    </row>
    <row r="1613" spans="1:5" x14ac:dyDescent="0.25">
      <c r="A1613" s="11" t="s">
        <v>1168</v>
      </c>
      <c r="B1613" s="11" t="s">
        <v>24</v>
      </c>
      <c r="C1613" s="11" t="s">
        <v>32</v>
      </c>
      <c r="D1613" s="12">
        <v>536</v>
      </c>
      <c r="E1613" s="13">
        <v>0</v>
      </c>
    </row>
    <row r="1614" spans="1:5" x14ac:dyDescent="0.25">
      <c r="A1614" s="11" t="s">
        <v>1648</v>
      </c>
      <c r="B1614" s="11" t="s">
        <v>20</v>
      </c>
      <c r="C1614" s="11" t="s">
        <v>62</v>
      </c>
      <c r="D1614" s="12">
        <v>536</v>
      </c>
      <c r="E1614" s="13">
        <v>11</v>
      </c>
    </row>
    <row r="1615" spans="1:5" x14ac:dyDescent="0.25">
      <c r="A1615" s="11" t="s">
        <v>262</v>
      </c>
      <c r="B1615" s="11" t="s">
        <v>20</v>
      </c>
      <c r="C1615" s="11" t="s">
        <v>44</v>
      </c>
      <c r="D1615" s="12">
        <v>537</v>
      </c>
      <c r="E1615" s="13">
        <v>2</v>
      </c>
    </row>
    <row r="1616" spans="1:5" x14ac:dyDescent="0.25">
      <c r="A1616" s="11" t="s">
        <v>864</v>
      </c>
      <c r="B1616" s="11" t="s">
        <v>20</v>
      </c>
      <c r="C1616" s="11" t="s">
        <v>39</v>
      </c>
      <c r="D1616" s="12">
        <v>537</v>
      </c>
      <c r="E1616" s="13">
        <v>4</v>
      </c>
    </row>
    <row r="1617" spans="1:5" x14ac:dyDescent="0.25">
      <c r="A1617" s="11" t="s">
        <v>993</v>
      </c>
      <c r="B1617" s="11" t="s">
        <v>20</v>
      </c>
      <c r="C1617" s="11" t="s">
        <v>30</v>
      </c>
      <c r="D1617" s="12">
        <v>537</v>
      </c>
      <c r="E1617" s="13">
        <v>4</v>
      </c>
    </row>
    <row r="1618" spans="1:5" x14ac:dyDescent="0.25">
      <c r="A1618" s="11" t="s">
        <v>432</v>
      </c>
      <c r="B1618" s="11" t="s">
        <v>24</v>
      </c>
      <c r="C1618" s="11" t="s">
        <v>28</v>
      </c>
      <c r="D1618" s="12">
        <v>538</v>
      </c>
      <c r="E1618" s="13">
        <v>1</v>
      </c>
    </row>
    <row r="1619" spans="1:5" x14ac:dyDescent="0.25">
      <c r="A1619" s="11" t="s">
        <v>1930</v>
      </c>
      <c r="B1619" s="11" t="s">
        <v>20</v>
      </c>
      <c r="C1619" s="11" t="s">
        <v>34</v>
      </c>
      <c r="D1619" s="12">
        <v>538</v>
      </c>
      <c r="E1619" s="13">
        <v>0</v>
      </c>
    </row>
    <row r="1620" spans="1:5" x14ac:dyDescent="0.25">
      <c r="A1620" s="11" t="s">
        <v>319</v>
      </c>
      <c r="B1620" s="11" t="s">
        <v>20</v>
      </c>
      <c r="C1620" s="11" t="s">
        <v>27</v>
      </c>
      <c r="D1620" s="12">
        <v>539</v>
      </c>
      <c r="E1620" s="13">
        <v>1</v>
      </c>
    </row>
    <row r="1621" spans="1:5" x14ac:dyDescent="0.25">
      <c r="A1621" s="11" t="s">
        <v>76</v>
      </c>
      <c r="B1621" s="11" t="s">
        <v>20</v>
      </c>
      <c r="C1621" s="11" t="s">
        <v>22</v>
      </c>
      <c r="D1621" s="12">
        <v>540</v>
      </c>
      <c r="E1621" s="13">
        <v>0</v>
      </c>
    </row>
    <row r="1622" spans="1:5" x14ac:dyDescent="0.25">
      <c r="A1622" s="11" t="s">
        <v>138</v>
      </c>
      <c r="B1622" s="11" t="s">
        <v>20</v>
      </c>
      <c r="C1622" s="11" t="s">
        <v>39</v>
      </c>
      <c r="D1622" s="12">
        <v>540</v>
      </c>
      <c r="E1622" s="13">
        <v>0</v>
      </c>
    </row>
    <row r="1623" spans="1:5" x14ac:dyDescent="0.25">
      <c r="A1623" s="11" t="s">
        <v>213</v>
      </c>
      <c r="B1623" s="11" t="s">
        <v>26</v>
      </c>
      <c r="C1623" s="11" t="s">
        <v>62</v>
      </c>
      <c r="D1623" s="12">
        <v>541</v>
      </c>
      <c r="E1623" s="13">
        <v>2</v>
      </c>
    </row>
    <row r="1624" spans="1:5" x14ac:dyDescent="0.25">
      <c r="A1624" s="11" t="s">
        <v>485</v>
      </c>
      <c r="B1624" s="11" t="s">
        <v>20</v>
      </c>
      <c r="C1624" s="11" t="s">
        <v>21</v>
      </c>
      <c r="D1624" s="12">
        <v>541</v>
      </c>
      <c r="E1624" s="13">
        <v>0</v>
      </c>
    </row>
    <row r="1625" spans="1:5" x14ac:dyDescent="0.25">
      <c r="A1625" s="11" t="s">
        <v>950</v>
      </c>
      <c r="B1625" s="11" t="s">
        <v>26</v>
      </c>
      <c r="C1625" s="11" t="s">
        <v>5</v>
      </c>
      <c r="D1625" s="12">
        <v>541</v>
      </c>
      <c r="E1625" s="13">
        <v>2</v>
      </c>
    </row>
    <row r="1626" spans="1:5" x14ac:dyDescent="0.25">
      <c r="A1626" s="11" t="s">
        <v>1392</v>
      </c>
      <c r="B1626" s="11" t="s">
        <v>24</v>
      </c>
      <c r="C1626" s="11" t="s">
        <v>21</v>
      </c>
      <c r="D1626" s="12">
        <v>541</v>
      </c>
      <c r="E1626" s="13">
        <v>12</v>
      </c>
    </row>
    <row r="1627" spans="1:5" x14ac:dyDescent="0.25">
      <c r="A1627" s="11" t="s">
        <v>433</v>
      </c>
      <c r="B1627" s="11" t="s">
        <v>26</v>
      </c>
      <c r="C1627" s="11" t="s">
        <v>44</v>
      </c>
      <c r="D1627" s="12">
        <v>542</v>
      </c>
      <c r="E1627" s="13">
        <v>0</v>
      </c>
    </row>
    <row r="1628" spans="1:5" x14ac:dyDescent="0.25">
      <c r="A1628" s="11" t="s">
        <v>1493</v>
      </c>
      <c r="B1628" s="11" t="s">
        <v>26</v>
      </c>
      <c r="C1628" s="11" t="s">
        <v>28</v>
      </c>
      <c r="D1628" s="12">
        <v>542</v>
      </c>
      <c r="E1628" s="13">
        <v>7</v>
      </c>
    </row>
    <row r="1629" spans="1:5" x14ac:dyDescent="0.25">
      <c r="A1629" s="11" t="s">
        <v>1674</v>
      </c>
      <c r="B1629" s="11" t="s">
        <v>20</v>
      </c>
      <c r="C1629" s="11" t="s">
        <v>39</v>
      </c>
      <c r="D1629" s="12">
        <v>542</v>
      </c>
      <c r="E1629" s="13">
        <v>7</v>
      </c>
    </row>
    <row r="1630" spans="1:5" x14ac:dyDescent="0.25">
      <c r="A1630" s="11" t="s">
        <v>1882</v>
      </c>
      <c r="B1630" s="11" t="s">
        <v>20</v>
      </c>
      <c r="C1630" s="11" t="s">
        <v>39</v>
      </c>
      <c r="D1630" s="12">
        <v>542</v>
      </c>
      <c r="E1630" s="13">
        <v>14</v>
      </c>
    </row>
    <row r="1631" spans="1:5" x14ac:dyDescent="0.25">
      <c r="A1631" s="11" t="s">
        <v>1353</v>
      </c>
      <c r="B1631" s="11" t="s">
        <v>20</v>
      </c>
      <c r="C1631" s="11" t="s">
        <v>25</v>
      </c>
      <c r="D1631" s="12">
        <v>543</v>
      </c>
      <c r="E1631" s="13">
        <v>5</v>
      </c>
    </row>
    <row r="1632" spans="1:5" x14ac:dyDescent="0.25">
      <c r="A1632" s="11" t="s">
        <v>117</v>
      </c>
      <c r="B1632" s="11" t="s">
        <v>20</v>
      </c>
      <c r="C1632" s="11" t="s">
        <v>5</v>
      </c>
      <c r="D1632" s="12">
        <v>544</v>
      </c>
      <c r="E1632" s="13">
        <v>0</v>
      </c>
    </row>
    <row r="1633" spans="1:5" x14ac:dyDescent="0.25">
      <c r="A1633" s="11" t="s">
        <v>1516</v>
      </c>
      <c r="B1633" s="11" t="s">
        <v>20</v>
      </c>
      <c r="C1633" s="11" t="s">
        <v>22</v>
      </c>
      <c r="D1633" s="12">
        <v>544</v>
      </c>
      <c r="E1633" s="13">
        <v>1</v>
      </c>
    </row>
    <row r="1634" spans="1:5" x14ac:dyDescent="0.25">
      <c r="A1634" s="11" t="s">
        <v>819</v>
      </c>
      <c r="B1634" s="11" t="s">
        <v>24</v>
      </c>
      <c r="C1634" s="11" t="s">
        <v>40</v>
      </c>
      <c r="D1634" s="12">
        <v>545</v>
      </c>
      <c r="E1634" s="13">
        <v>3</v>
      </c>
    </row>
    <row r="1635" spans="1:5" x14ac:dyDescent="0.25">
      <c r="A1635" s="11" t="s">
        <v>110</v>
      </c>
      <c r="B1635" s="11" t="s">
        <v>24</v>
      </c>
      <c r="C1635" s="11" t="s">
        <v>44</v>
      </c>
      <c r="D1635" s="12">
        <v>546</v>
      </c>
      <c r="E1635" s="13">
        <v>5</v>
      </c>
    </row>
    <row r="1636" spans="1:5" x14ac:dyDescent="0.25">
      <c r="A1636" s="11" t="s">
        <v>764</v>
      </c>
      <c r="B1636" s="11" t="s">
        <v>26</v>
      </c>
      <c r="C1636" s="11" t="s">
        <v>5</v>
      </c>
      <c r="D1636" s="12">
        <v>547</v>
      </c>
      <c r="E1636" s="13">
        <v>0</v>
      </c>
    </row>
    <row r="1637" spans="1:5" x14ac:dyDescent="0.25">
      <c r="A1637" s="11" t="s">
        <v>844</v>
      </c>
      <c r="B1637" s="11" t="s">
        <v>20</v>
      </c>
      <c r="C1637" s="11" t="s">
        <v>34</v>
      </c>
      <c r="D1637" s="12">
        <v>547</v>
      </c>
      <c r="E1637" s="13">
        <v>9</v>
      </c>
    </row>
    <row r="1638" spans="1:5" x14ac:dyDescent="0.25">
      <c r="A1638" s="11" t="s">
        <v>1733</v>
      </c>
      <c r="B1638" s="11" t="s">
        <v>26</v>
      </c>
      <c r="C1638" s="11" t="s">
        <v>43</v>
      </c>
      <c r="D1638" s="12">
        <v>547</v>
      </c>
      <c r="E1638" s="13">
        <v>0</v>
      </c>
    </row>
    <row r="1639" spans="1:5" x14ac:dyDescent="0.25">
      <c r="A1639" s="11" t="s">
        <v>1804</v>
      </c>
      <c r="B1639" s="11" t="s">
        <v>26</v>
      </c>
      <c r="C1639" s="11" t="s">
        <v>22</v>
      </c>
      <c r="D1639" s="12">
        <v>547</v>
      </c>
      <c r="E1639" s="13">
        <v>0</v>
      </c>
    </row>
    <row r="1640" spans="1:5" x14ac:dyDescent="0.25">
      <c r="A1640" s="11" t="s">
        <v>290</v>
      </c>
      <c r="B1640" s="11" t="s">
        <v>24</v>
      </c>
      <c r="C1640" s="11" t="s">
        <v>5</v>
      </c>
      <c r="D1640" s="12">
        <v>548</v>
      </c>
      <c r="E1640" s="13">
        <v>2</v>
      </c>
    </row>
    <row r="1641" spans="1:5" x14ac:dyDescent="0.25">
      <c r="A1641" s="11" t="s">
        <v>313</v>
      </c>
      <c r="B1641" s="11" t="s">
        <v>26</v>
      </c>
      <c r="C1641" s="11" t="s">
        <v>32</v>
      </c>
      <c r="D1641" s="12">
        <v>548</v>
      </c>
      <c r="E1641" s="13">
        <v>2</v>
      </c>
    </row>
    <row r="1642" spans="1:5" x14ac:dyDescent="0.25">
      <c r="A1642" s="11" t="s">
        <v>321</v>
      </c>
      <c r="B1642" s="11" t="s">
        <v>24</v>
      </c>
      <c r="C1642" s="11" t="s">
        <v>30</v>
      </c>
      <c r="D1642" s="12">
        <v>548</v>
      </c>
      <c r="E1642" s="13">
        <v>13</v>
      </c>
    </row>
    <row r="1643" spans="1:5" x14ac:dyDescent="0.25">
      <c r="A1643" s="11" t="s">
        <v>527</v>
      </c>
      <c r="B1643" s="11" t="s">
        <v>24</v>
      </c>
      <c r="C1643" s="11" t="s">
        <v>44</v>
      </c>
      <c r="D1643" s="12">
        <v>548</v>
      </c>
      <c r="E1643" s="13">
        <v>0</v>
      </c>
    </row>
    <row r="1644" spans="1:5" x14ac:dyDescent="0.25">
      <c r="A1644" s="11" t="s">
        <v>618</v>
      </c>
      <c r="B1644" s="11" t="s">
        <v>20</v>
      </c>
      <c r="C1644" s="11" t="s">
        <v>44</v>
      </c>
      <c r="D1644" s="12">
        <v>548</v>
      </c>
      <c r="E1644" s="13">
        <v>0</v>
      </c>
    </row>
    <row r="1645" spans="1:5" x14ac:dyDescent="0.25">
      <c r="A1645" s="11" t="s">
        <v>822</v>
      </c>
      <c r="B1645" s="11" t="s">
        <v>20</v>
      </c>
      <c r="C1645" s="11" t="s">
        <v>39</v>
      </c>
      <c r="D1645" s="12">
        <v>548</v>
      </c>
      <c r="E1645" s="13">
        <v>2</v>
      </c>
    </row>
    <row r="1646" spans="1:5" x14ac:dyDescent="0.25">
      <c r="A1646" s="11" t="s">
        <v>1106</v>
      </c>
      <c r="B1646" s="11" t="s">
        <v>26</v>
      </c>
      <c r="C1646" s="11" t="s">
        <v>66</v>
      </c>
      <c r="D1646" s="12">
        <v>548</v>
      </c>
      <c r="E1646" s="13">
        <v>3</v>
      </c>
    </row>
    <row r="1647" spans="1:5" x14ac:dyDescent="0.25">
      <c r="A1647" s="11" t="s">
        <v>1450</v>
      </c>
      <c r="B1647" s="11" t="s">
        <v>24</v>
      </c>
      <c r="C1647" s="11" t="s">
        <v>39</v>
      </c>
      <c r="D1647" s="12">
        <v>548</v>
      </c>
      <c r="E1647" s="13">
        <v>9</v>
      </c>
    </row>
    <row r="1648" spans="1:5" x14ac:dyDescent="0.25">
      <c r="A1648" s="11" t="s">
        <v>332</v>
      </c>
      <c r="B1648" s="11" t="s">
        <v>26</v>
      </c>
      <c r="C1648" s="11" t="s">
        <v>53</v>
      </c>
      <c r="D1648" s="12">
        <v>549</v>
      </c>
      <c r="E1648" s="13">
        <v>0</v>
      </c>
    </row>
    <row r="1649" spans="1:5" x14ac:dyDescent="0.25">
      <c r="A1649" s="11" t="s">
        <v>336</v>
      </c>
      <c r="B1649" s="11" t="s">
        <v>20</v>
      </c>
      <c r="C1649" s="11" t="s">
        <v>32</v>
      </c>
      <c r="D1649" s="12">
        <v>549</v>
      </c>
      <c r="E1649" s="13">
        <v>2</v>
      </c>
    </row>
    <row r="1650" spans="1:5" x14ac:dyDescent="0.25">
      <c r="A1650" s="11" t="s">
        <v>1190</v>
      </c>
      <c r="B1650" s="11" t="s">
        <v>24</v>
      </c>
      <c r="C1650" s="11" t="s">
        <v>44</v>
      </c>
      <c r="D1650" s="12">
        <v>549</v>
      </c>
      <c r="E1650" s="13">
        <v>8</v>
      </c>
    </row>
    <row r="1651" spans="1:5" x14ac:dyDescent="0.25">
      <c r="A1651" s="11" t="s">
        <v>1574</v>
      </c>
      <c r="B1651" s="11" t="s">
        <v>20</v>
      </c>
      <c r="C1651" s="11" t="s">
        <v>27</v>
      </c>
      <c r="D1651" s="12">
        <v>551</v>
      </c>
      <c r="E1651" s="13">
        <v>0</v>
      </c>
    </row>
    <row r="1652" spans="1:5" x14ac:dyDescent="0.25">
      <c r="A1652" s="11" t="s">
        <v>1253</v>
      </c>
      <c r="B1652" s="11" t="s">
        <v>20</v>
      </c>
      <c r="C1652" s="11" t="s">
        <v>53</v>
      </c>
      <c r="D1652" s="12">
        <v>552</v>
      </c>
      <c r="E1652" s="13">
        <v>0</v>
      </c>
    </row>
    <row r="1653" spans="1:5" x14ac:dyDescent="0.25">
      <c r="A1653" s="11" t="s">
        <v>1380</v>
      </c>
      <c r="B1653" s="11" t="s">
        <v>24</v>
      </c>
      <c r="C1653" s="11" t="s">
        <v>28</v>
      </c>
      <c r="D1653" s="12">
        <v>552</v>
      </c>
      <c r="E1653" s="13">
        <v>1</v>
      </c>
    </row>
    <row r="1654" spans="1:5" x14ac:dyDescent="0.25">
      <c r="A1654" s="11" t="s">
        <v>1363</v>
      </c>
      <c r="B1654" s="11" t="s">
        <v>26</v>
      </c>
      <c r="C1654" s="11" t="s">
        <v>33</v>
      </c>
      <c r="D1654" s="12">
        <v>553</v>
      </c>
      <c r="E1654" s="13">
        <v>0</v>
      </c>
    </row>
    <row r="1655" spans="1:5" x14ac:dyDescent="0.25">
      <c r="A1655" s="11" t="s">
        <v>1491</v>
      </c>
      <c r="B1655" s="11" t="s">
        <v>24</v>
      </c>
      <c r="C1655" s="11" t="s">
        <v>44</v>
      </c>
      <c r="D1655" s="12">
        <v>553</v>
      </c>
      <c r="E1655" s="13">
        <v>0</v>
      </c>
    </row>
    <row r="1656" spans="1:5" x14ac:dyDescent="0.25">
      <c r="A1656" s="11" t="s">
        <v>165</v>
      </c>
      <c r="B1656" s="11" t="s">
        <v>20</v>
      </c>
      <c r="C1656" s="11" t="s">
        <v>62</v>
      </c>
      <c r="D1656" s="12">
        <v>554</v>
      </c>
      <c r="E1656" s="13">
        <v>0</v>
      </c>
    </row>
    <row r="1657" spans="1:5" x14ac:dyDescent="0.25">
      <c r="A1657" s="11" t="s">
        <v>188</v>
      </c>
      <c r="B1657" s="11" t="s">
        <v>26</v>
      </c>
      <c r="C1657" s="11" t="s">
        <v>28</v>
      </c>
      <c r="D1657" s="12">
        <v>554</v>
      </c>
      <c r="E1657" s="13">
        <v>0</v>
      </c>
    </row>
    <row r="1658" spans="1:5" x14ac:dyDescent="0.25">
      <c r="A1658" s="11" t="s">
        <v>416</v>
      </c>
      <c r="B1658" s="11" t="s">
        <v>26</v>
      </c>
      <c r="C1658" s="11" t="s">
        <v>66</v>
      </c>
      <c r="D1658" s="12">
        <v>554</v>
      </c>
      <c r="E1658" s="13">
        <v>0</v>
      </c>
    </row>
    <row r="1659" spans="1:5" x14ac:dyDescent="0.25">
      <c r="A1659" s="11" t="s">
        <v>1097</v>
      </c>
      <c r="B1659" s="11" t="s">
        <v>26</v>
      </c>
      <c r="C1659" s="11" t="s">
        <v>62</v>
      </c>
      <c r="D1659" s="12">
        <v>555</v>
      </c>
      <c r="E1659" s="13">
        <v>0</v>
      </c>
    </row>
    <row r="1660" spans="1:5" x14ac:dyDescent="0.25">
      <c r="A1660" s="11" t="s">
        <v>998</v>
      </c>
      <c r="B1660" s="11" t="s">
        <v>24</v>
      </c>
      <c r="C1660" s="11" t="s">
        <v>27</v>
      </c>
      <c r="D1660" s="12">
        <v>556</v>
      </c>
      <c r="E1660" s="13">
        <v>3</v>
      </c>
    </row>
    <row r="1661" spans="1:5" x14ac:dyDescent="0.25">
      <c r="A1661" s="11" t="s">
        <v>77</v>
      </c>
      <c r="B1661" s="11" t="s">
        <v>24</v>
      </c>
      <c r="C1661" s="11" t="s">
        <v>44</v>
      </c>
      <c r="D1661" s="12">
        <v>557</v>
      </c>
      <c r="E1661" s="13">
        <v>13</v>
      </c>
    </row>
    <row r="1662" spans="1:5" x14ac:dyDescent="0.25">
      <c r="A1662" s="11" t="s">
        <v>1066</v>
      </c>
      <c r="B1662" s="11" t="s">
        <v>24</v>
      </c>
      <c r="C1662" s="11" t="s">
        <v>5</v>
      </c>
      <c r="D1662" s="12">
        <v>557</v>
      </c>
      <c r="E1662" s="13">
        <v>12</v>
      </c>
    </row>
    <row r="1663" spans="1:5" x14ac:dyDescent="0.25">
      <c r="A1663" s="11" t="s">
        <v>744</v>
      </c>
      <c r="B1663" s="11" t="s">
        <v>26</v>
      </c>
      <c r="C1663" s="11" t="s">
        <v>111</v>
      </c>
      <c r="D1663" s="12">
        <v>558</v>
      </c>
      <c r="E1663" s="13">
        <v>0</v>
      </c>
    </row>
    <row r="1664" spans="1:5" x14ac:dyDescent="0.25">
      <c r="A1664" s="11" t="s">
        <v>1393</v>
      </c>
      <c r="B1664" s="11" t="s">
        <v>24</v>
      </c>
      <c r="C1664" s="11" t="s">
        <v>27</v>
      </c>
      <c r="D1664" s="12">
        <v>558</v>
      </c>
      <c r="E1664" s="13">
        <v>1</v>
      </c>
    </row>
    <row r="1665" spans="1:5" x14ac:dyDescent="0.25">
      <c r="A1665" s="11" t="s">
        <v>576</v>
      </c>
      <c r="B1665" s="11" t="s">
        <v>20</v>
      </c>
      <c r="C1665" s="11" t="s">
        <v>5</v>
      </c>
      <c r="D1665" s="12">
        <v>559</v>
      </c>
      <c r="E1665" s="13">
        <v>1</v>
      </c>
    </row>
    <row r="1666" spans="1:5" x14ac:dyDescent="0.25">
      <c r="A1666" s="11" t="s">
        <v>879</v>
      </c>
      <c r="B1666" s="11" t="s">
        <v>20</v>
      </c>
      <c r="C1666" s="11" t="s">
        <v>27</v>
      </c>
      <c r="D1666" s="12">
        <v>559</v>
      </c>
      <c r="E1666" s="13">
        <v>0</v>
      </c>
    </row>
    <row r="1667" spans="1:5" x14ac:dyDescent="0.25">
      <c r="A1667" s="11" t="s">
        <v>299</v>
      </c>
      <c r="B1667" s="11" t="s">
        <v>20</v>
      </c>
      <c r="C1667" s="11" t="s">
        <v>53</v>
      </c>
      <c r="D1667" s="12">
        <v>560</v>
      </c>
      <c r="E1667" s="13">
        <v>2</v>
      </c>
    </row>
    <row r="1668" spans="1:5" x14ac:dyDescent="0.25">
      <c r="A1668" s="11" t="s">
        <v>1646</v>
      </c>
      <c r="B1668" s="11" t="s">
        <v>20</v>
      </c>
      <c r="C1668" s="11" t="s">
        <v>44</v>
      </c>
      <c r="D1668" s="12">
        <v>560</v>
      </c>
      <c r="E1668" s="13">
        <v>0</v>
      </c>
    </row>
    <row r="1669" spans="1:5" x14ac:dyDescent="0.25">
      <c r="A1669" s="11" t="s">
        <v>1110</v>
      </c>
      <c r="B1669" s="11" t="s">
        <v>26</v>
      </c>
      <c r="C1669" s="11" t="s">
        <v>33</v>
      </c>
      <c r="D1669" s="12">
        <v>561</v>
      </c>
      <c r="E1669" s="13">
        <v>5</v>
      </c>
    </row>
    <row r="1670" spans="1:5" x14ac:dyDescent="0.25">
      <c r="A1670" s="11" t="s">
        <v>1154</v>
      </c>
      <c r="B1670" s="11" t="s">
        <v>26</v>
      </c>
      <c r="C1670" s="11" t="s">
        <v>34</v>
      </c>
      <c r="D1670" s="12">
        <v>561</v>
      </c>
      <c r="E1670" s="13">
        <v>3</v>
      </c>
    </row>
    <row r="1671" spans="1:5" x14ac:dyDescent="0.25">
      <c r="A1671" s="11" t="s">
        <v>1923</v>
      </c>
      <c r="B1671" s="11" t="s">
        <v>20</v>
      </c>
      <c r="C1671" s="11" t="s">
        <v>22</v>
      </c>
      <c r="D1671" s="12">
        <v>561</v>
      </c>
      <c r="E1671" s="13">
        <v>0</v>
      </c>
    </row>
    <row r="1672" spans="1:5" x14ac:dyDescent="0.25">
      <c r="A1672" s="11" t="s">
        <v>541</v>
      </c>
      <c r="B1672" s="11" t="s">
        <v>26</v>
      </c>
      <c r="C1672" s="11" t="s">
        <v>22</v>
      </c>
      <c r="D1672" s="12">
        <v>562</v>
      </c>
      <c r="E1672" s="13">
        <v>5</v>
      </c>
    </row>
    <row r="1673" spans="1:5" x14ac:dyDescent="0.25">
      <c r="A1673" s="11" t="s">
        <v>605</v>
      </c>
      <c r="B1673" s="11" t="s">
        <v>24</v>
      </c>
      <c r="C1673" s="11" t="s">
        <v>39</v>
      </c>
      <c r="D1673" s="12">
        <v>562</v>
      </c>
      <c r="E1673" s="13">
        <v>0</v>
      </c>
    </row>
    <row r="1674" spans="1:5" x14ac:dyDescent="0.25">
      <c r="A1674" s="11" t="s">
        <v>1342</v>
      </c>
      <c r="B1674" s="11" t="s">
        <v>26</v>
      </c>
      <c r="C1674" s="11" t="s">
        <v>25</v>
      </c>
      <c r="D1674" s="12">
        <v>562</v>
      </c>
      <c r="E1674" s="13">
        <v>0</v>
      </c>
    </row>
    <row r="1675" spans="1:5" x14ac:dyDescent="0.25">
      <c r="A1675" s="11" t="s">
        <v>800</v>
      </c>
      <c r="B1675" s="11" t="s">
        <v>24</v>
      </c>
      <c r="C1675" s="11" t="s">
        <v>53</v>
      </c>
      <c r="D1675" s="12">
        <v>563</v>
      </c>
      <c r="E1675" s="13">
        <v>0</v>
      </c>
    </row>
    <row r="1676" spans="1:5" x14ac:dyDescent="0.25">
      <c r="A1676" s="11" t="s">
        <v>1339</v>
      </c>
      <c r="B1676" s="11" t="s">
        <v>26</v>
      </c>
      <c r="C1676" s="11" t="s">
        <v>27</v>
      </c>
      <c r="D1676" s="12">
        <v>563</v>
      </c>
      <c r="E1676" s="13">
        <v>3</v>
      </c>
    </row>
    <row r="1677" spans="1:5" x14ac:dyDescent="0.25">
      <c r="A1677" s="11" t="s">
        <v>1776</v>
      </c>
      <c r="B1677" s="11" t="s">
        <v>20</v>
      </c>
      <c r="C1677" s="11" t="s">
        <v>21</v>
      </c>
      <c r="D1677" s="12">
        <v>563</v>
      </c>
      <c r="E1677" s="13">
        <v>2</v>
      </c>
    </row>
    <row r="1678" spans="1:5" x14ac:dyDescent="0.25">
      <c r="A1678" s="11" t="s">
        <v>893</v>
      </c>
      <c r="B1678" s="11" t="s">
        <v>20</v>
      </c>
      <c r="C1678" s="11" t="s">
        <v>111</v>
      </c>
      <c r="D1678" s="12">
        <v>564</v>
      </c>
      <c r="E1678" s="13">
        <v>1</v>
      </c>
    </row>
    <row r="1679" spans="1:5" x14ac:dyDescent="0.25">
      <c r="A1679" s="11" t="s">
        <v>1766</v>
      </c>
      <c r="B1679" s="11" t="s">
        <v>24</v>
      </c>
      <c r="C1679" s="11" t="s">
        <v>66</v>
      </c>
      <c r="D1679" s="12">
        <v>564</v>
      </c>
      <c r="E1679" s="13">
        <v>0</v>
      </c>
    </row>
    <row r="1680" spans="1:5" x14ac:dyDescent="0.25">
      <c r="A1680" s="11" t="s">
        <v>221</v>
      </c>
      <c r="B1680" s="11" t="s">
        <v>24</v>
      </c>
      <c r="C1680" s="11" t="s">
        <v>43</v>
      </c>
      <c r="D1680" s="12">
        <v>565</v>
      </c>
      <c r="E1680" s="13">
        <v>0</v>
      </c>
    </row>
    <row r="1681" spans="1:5" x14ac:dyDescent="0.25">
      <c r="A1681" s="11" t="s">
        <v>426</v>
      </c>
      <c r="B1681" s="11" t="s">
        <v>24</v>
      </c>
      <c r="C1681" s="11" t="s">
        <v>44</v>
      </c>
      <c r="D1681" s="12">
        <v>565</v>
      </c>
      <c r="E1681" s="13">
        <v>2</v>
      </c>
    </row>
    <row r="1682" spans="1:5" x14ac:dyDescent="0.25">
      <c r="A1682" s="11" t="s">
        <v>800</v>
      </c>
      <c r="B1682" s="11" t="s">
        <v>20</v>
      </c>
      <c r="C1682" s="11" t="s">
        <v>44</v>
      </c>
      <c r="D1682" s="12">
        <v>565</v>
      </c>
      <c r="E1682" s="13">
        <v>1</v>
      </c>
    </row>
    <row r="1683" spans="1:5" x14ac:dyDescent="0.25">
      <c r="A1683" s="11" t="s">
        <v>931</v>
      </c>
      <c r="B1683" s="11" t="s">
        <v>20</v>
      </c>
      <c r="C1683" s="11" t="s">
        <v>28</v>
      </c>
      <c r="D1683" s="12">
        <v>565</v>
      </c>
      <c r="E1683" s="13">
        <v>7</v>
      </c>
    </row>
    <row r="1684" spans="1:5" x14ac:dyDescent="0.25">
      <c r="A1684" s="11" t="s">
        <v>1139</v>
      </c>
      <c r="B1684" s="11" t="s">
        <v>26</v>
      </c>
      <c r="C1684" s="11" t="s">
        <v>27</v>
      </c>
      <c r="D1684" s="12">
        <v>565</v>
      </c>
      <c r="E1684" s="13">
        <v>10</v>
      </c>
    </row>
    <row r="1685" spans="1:5" x14ac:dyDescent="0.25">
      <c r="A1685" s="11" t="s">
        <v>1522</v>
      </c>
      <c r="B1685" s="11" t="s">
        <v>26</v>
      </c>
      <c r="C1685" s="11" t="s">
        <v>39</v>
      </c>
      <c r="D1685" s="12">
        <v>565</v>
      </c>
      <c r="E1685" s="13">
        <v>0</v>
      </c>
    </row>
    <row r="1686" spans="1:5" x14ac:dyDescent="0.25">
      <c r="A1686" s="11" t="s">
        <v>1945</v>
      </c>
      <c r="B1686" s="11" t="s">
        <v>24</v>
      </c>
      <c r="C1686" s="11" t="s">
        <v>27</v>
      </c>
      <c r="D1686" s="12">
        <v>565</v>
      </c>
      <c r="E1686" s="13">
        <v>2</v>
      </c>
    </row>
    <row r="1687" spans="1:5" x14ac:dyDescent="0.25">
      <c r="A1687" s="11" t="s">
        <v>175</v>
      </c>
      <c r="B1687" s="11" t="s">
        <v>20</v>
      </c>
      <c r="C1687" s="11" t="s">
        <v>30</v>
      </c>
      <c r="D1687" s="12">
        <v>568</v>
      </c>
      <c r="E1687" s="13">
        <v>0</v>
      </c>
    </row>
    <row r="1688" spans="1:5" x14ac:dyDescent="0.25">
      <c r="A1688" s="11" t="s">
        <v>1333</v>
      </c>
      <c r="B1688" s="11" t="s">
        <v>24</v>
      </c>
      <c r="C1688" s="11" t="s">
        <v>34</v>
      </c>
      <c r="D1688" s="12">
        <v>568</v>
      </c>
      <c r="E1688" s="13">
        <v>8</v>
      </c>
    </row>
    <row r="1689" spans="1:5" x14ac:dyDescent="0.25">
      <c r="A1689" s="11" t="s">
        <v>1780</v>
      </c>
      <c r="B1689" s="11" t="s">
        <v>24</v>
      </c>
      <c r="C1689" s="11" t="s">
        <v>44</v>
      </c>
      <c r="D1689" s="12">
        <v>568</v>
      </c>
      <c r="E1689" s="13">
        <v>11</v>
      </c>
    </row>
    <row r="1690" spans="1:5" x14ac:dyDescent="0.25">
      <c r="A1690" s="11" t="s">
        <v>192</v>
      </c>
      <c r="B1690" s="11" t="s">
        <v>24</v>
      </c>
      <c r="C1690" s="11" t="s">
        <v>66</v>
      </c>
      <c r="D1690" s="12">
        <v>569</v>
      </c>
      <c r="E1690" s="13">
        <v>1</v>
      </c>
    </row>
    <row r="1691" spans="1:5" x14ac:dyDescent="0.25">
      <c r="A1691" s="11" t="s">
        <v>479</v>
      </c>
      <c r="B1691" s="11" t="s">
        <v>24</v>
      </c>
      <c r="C1691" s="11" t="s">
        <v>30</v>
      </c>
      <c r="D1691" s="12">
        <v>569</v>
      </c>
      <c r="E1691" s="13">
        <v>0</v>
      </c>
    </row>
    <row r="1692" spans="1:5" x14ac:dyDescent="0.25">
      <c r="A1692" s="11" t="s">
        <v>1033</v>
      </c>
      <c r="B1692" s="11" t="s">
        <v>20</v>
      </c>
      <c r="C1692" s="11" t="s">
        <v>39</v>
      </c>
      <c r="D1692" s="12">
        <v>569</v>
      </c>
      <c r="E1692" s="13">
        <v>3</v>
      </c>
    </row>
    <row r="1693" spans="1:5" x14ac:dyDescent="0.25">
      <c r="A1693" s="11" t="s">
        <v>1691</v>
      </c>
      <c r="B1693" s="11" t="s">
        <v>26</v>
      </c>
      <c r="C1693" s="11" t="s">
        <v>25</v>
      </c>
      <c r="D1693" s="12">
        <v>569</v>
      </c>
      <c r="E1693" s="13">
        <v>0</v>
      </c>
    </row>
    <row r="1694" spans="1:5" x14ac:dyDescent="0.25">
      <c r="A1694" s="11" t="s">
        <v>548</v>
      </c>
      <c r="B1694" s="11" t="s">
        <v>24</v>
      </c>
      <c r="C1694" s="11" t="s">
        <v>30</v>
      </c>
      <c r="D1694" s="12">
        <v>570</v>
      </c>
      <c r="E1694" s="13">
        <v>1</v>
      </c>
    </row>
    <row r="1695" spans="1:5" x14ac:dyDescent="0.25">
      <c r="A1695" s="11" t="s">
        <v>1488</v>
      </c>
      <c r="B1695" s="11" t="s">
        <v>26</v>
      </c>
      <c r="C1695" s="11" t="s">
        <v>44</v>
      </c>
      <c r="D1695" s="12">
        <v>570</v>
      </c>
      <c r="E1695" s="13">
        <v>2</v>
      </c>
    </row>
    <row r="1696" spans="1:5" x14ac:dyDescent="0.25">
      <c r="A1696" s="11" t="s">
        <v>155</v>
      </c>
      <c r="B1696" s="11" t="s">
        <v>20</v>
      </c>
      <c r="C1696" s="11" t="s">
        <v>44</v>
      </c>
      <c r="D1696" s="12">
        <v>571</v>
      </c>
      <c r="E1696" s="13">
        <v>5</v>
      </c>
    </row>
    <row r="1697" spans="1:5" x14ac:dyDescent="0.25">
      <c r="A1697" s="11" t="s">
        <v>349</v>
      </c>
      <c r="B1697" s="11" t="s">
        <v>24</v>
      </c>
      <c r="C1697" s="11" t="s">
        <v>44</v>
      </c>
      <c r="D1697" s="12">
        <v>571</v>
      </c>
      <c r="E1697" s="13">
        <v>1</v>
      </c>
    </row>
    <row r="1698" spans="1:5" x14ac:dyDescent="0.25">
      <c r="A1698" s="11" t="s">
        <v>597</v>
      </c>
      <c r="B1698" s="11" t="s">
        <v>26</v>
      </c>
      <c r="C1698" s="11" t="s">
        <v>27</v>
      </c>
      <c r="D1698" s="12">
        <v>571</v>
      </c>
      <c r="E1698" s="13">
        <v>2</v>
      </c>
    </row>
    <row r="1699" spans="1:5" x14ac:dyDescent="0.25">
      <c r="A1699" s="11" t="s">
        <v>1673</v>
      </c>
      <c r="B1699" s="11" t="s">
        <v>20</v>
      </c>
      <c r="C1699" s="11" t="s">
        <v>21</v>
      </c>
      <c r="D1699" s="12">
        <v>571</v>
      </c>
      <c r="E1699" s="13">
        <v>1</v>
      </c>
    </row>
    <row r="1700" spans="1:5" x14ac:dyDescent="0.25">
      <c r="A1700" s="11" t="s">
        <v>438</v>
      </c>
      <c r="B1700" s="11" t="s">
        <v>20</v>
      </c>
      <c r="C1700" s="11" t="s">
        <v>44</v>
      </c>
      <c r="D1700" s="12">
        <v>573</v>
      </c>
      <c r="E1700" s="13">
        <v>0</v>
      </c>
    </row>
    <row r="1701" spans="1:5" x14ac:dyDescent="0.25">
      <c r="A1701" s="11" t="s">
        <v>975</v>
      </c>
      <c r="B1701" s="11" t="s">
        <v>20</v>
      </c>
      <c r="C1701" s="11" t="s">
        <v>44</v>
      </c>
      <c r="D1701" s="12">
        <v>573</v>
      </c>
      <c r="E1701" s="13">
        <v>2</v>
      </c>
    </row>
    <row r="1702" spans="1:5" x14ac:dyDescent="0.25">
      <c r="A1702" s="11" t="s">
        <v>1056</v>
      </c>
      <c r="B1702" s="11" t="s">
        <v>26</v>
      </c>
      <c r="C1702" s="11" t="s">
        <v>44</v>
      </c>
      <c r="D1702" s="12">
        <v>573</v>
      </c>
      <c r="E1702" s="13">
        <v>1</v>
      </c>
    </row>
    <row r="1703" spans="1:5" x14ac:dyDescent="0.25">
      <c r="A1703" s="11" t="s">
        <v>1351</v>
      </c>
      <c r="B1703" s="11" t="s">
        <v>20</v>
      </c>
      <c r="C1703" s="11" t="s">
        <v>44</v>
      </c>
      <c r="D1703" s="12">
        <v>573</v>
      </c>
      <c r="E1703" s="13">
        <v>0</v>
      </c>
    </row>
    <row r="1704" spans="1:5" x14ac:dyDescent="0.25">
      <c r="A1704" s="11" t="s">
        <v>1576</v>
      </c>
      <c r="B1704" s="11" t="s">
        <v>20</v>
      </c>
      <c r="C1704" s="11" t="s">
        <v>62</v>
      </c>
      <c r="D1704" s="12">
        <v>573</v>
      </c>
      <c r="E1704" s="13">
        <v>0</v>
      </c>
    </row>
    <row r="1705" spans="1:5" x14ac:dyDescent="0.25">
      <c r="A1705" s="11" t="s">
        <v>694</v>
      </c>
      <c r="B1705" s="11" t="s">
        <v>24</v>
      </c>
      <c r="C1705" s="11" t="s">
        <v>34</v>
      </c>
      <c r="D1705" s="12">
        <v>574</v>
      </c>
      <c r="E1705" s="13">
        <v>3</v>
      </c>
    </row>
    <row r="1706" spans="1:5" x14ac:dyDescent="0.25">
      <c r="A1706" s="11" t="s">
        <v>728</v>
      </c>
      <c r="B1706" s="11" t="s">
        <v>24</v>
      </c>
      <c r="C1706" s="11" t="s">
        <v>44</v>
      </c>
      <c r="D1706" s="12">
        <v>574</v>
      </c>
      <c r="E1706" s="13">
        <v>2</v>
      </c>
    </row>
    <row r="1707" spans="1:5" x14ac:dyDescent="0.25">
      <c r="A1707" s="11" t="s">
        <v>919</v>
      </c>
      <c r="B1707" s="11" t="s">
        <v>26</v>
      </c>
      <c r="C1707" s="11" t="s">
        <v>27</v>
      </c>
      <c r="D1707" s="12">
        <v>574</v>
      </c>
      <c r="E1707" s="13">
        <v>1</v>
      </c>
    </row>
    <row r="1708" spans="1:5" x14ac:dyDescent="0.25">
      <c r="A1708" s="11" t="s">
        <v>1831</v>
      </c>
      <c r="B1708" s="11" t="s">
        <v>20</v>
      </c>
      <c r="C1708" s="11" t="s">
        <v>32</v>
      </c>
      <c r="D1708" s="12">
        <v>574</v>
      </c>
      <c r="E1708" s="13">
        <v>3</v>
      </c>
    </row>
    <row r="1709" spans="1:5" x14ac:dyDescent="0.25">
      <c r="A1709" s="11" t="s">
        <v>1935</v>
      </c>
      <c r="B1709" s="11" t="s">
        <v>26</v>
      </c>
      <c r="C1709" s="11" t="s">
        <v>25</v>
      </c>
      <c r="D1709" s="12">
        <v>574</v>
      </c>
      <c r="E1709" s="13">
        <v>5</v>
      </c>
    </row>
    <row r="1710" spans="1:5" x14ac:dyDescent="0.25">
      <c r="A1710" s="11" t="s">
        <v>177</v>
      </c>
      <c r="B1710" s="11" t="s">
        <v>24</v>
      </c>
      <c r="C1710" s="11" t="s">
        <v>44</v>
      </c>
      <c r="D1710" s="12">
        <v>575</v>
      </c>
      <c r="E1710" s="13">
        <v>6</v>
      </c>
    </row>
    <row r="1711" spans="1:5" x14ac:dyDescent="0.25">
      <c r="A1711" s="11" t="s">
        <v>702</v>
      </c>
      <c r="B1711" s="11" t="s">
        <v>20</v>
      </c>
      <c r="C1711" s="11" t="s">
        <v>66</v>
      </c>
      <c r="D1711" s="12">
        <v>575</v>
      </c>
      <c r="E1711" s="13">
        <v>3</v>
      </c>
    </row>
    <row r="1712" spans="1:5" x14ac:dyDescent="0.25">
      <c r="A1712" s="11" t="s">
        <v>1102</v>
      </c>
      <c r="B1712" s="11" t="s">
        <v>20</v>
      </c>
      <c r="C1712" s="11" t="s">
        <v>27</v>
      </c>
      <c r="D1712" s="12">
        <v>575</v>
      </c>
      <c r="E1712" s="13">
        <v>0</v>
      </c>
    </row>
    <row r="1713" spans="1:5" x14ac:dyDescent="0.25">
      <c r="A1713" s="11" t="s">
        <v>1256</v>
      </c>
      <c r="B1713" s="11" t="s">
        <v>20</v>
      </c>
      <c r="C1713" s="11" t="s">
        <v>44</v>
      </c>
      <c r="D1713" s="12">
        <v>575</v>
      </c>
      <c r="E1713" s="13">
        <v>1</v>
      </c>
    </row>
    <row r="1714" spans="1:5" x14ac:dyDescent="0.25">
      <c r="A1714" s="11" t="s">
        <v>574</v>
      </c>
      <c r="B1714" s="11" t="s">
        <v>20</v>
      </c>
      <c r="C1714" s="11" t="s">
        <v>22</v>
      </c>
      <c r="D1714" s="12">
        <v>576</v>
      </c>
      <c r="E1714" s="13">
        <v>0</v>
      </c>
    </row>
    <row r="1715" spans="1:5" x14ac:dyDescent="0.25">
      <c r="A1715" s="11" t="s">
        <v>726</v>
      </c>
      <c r="B1715" s="11" t="s">
        <v>24</v>
      </c>
      <c r="C1715" s="11" t="s">
        <v>43</v>
      </c>
      <c r="D1715" s="12">
        <v>576</v>
      </c>
      <c r="E1715" s="13">
        <v>0</v>
      </c>
    </row>
    <row r="1716" spans="1:5" x14ac:dyDescent="0.25">
      <c r="A1716" s="11" t="s">
        <v>994</v>
      </c>
      <c r="B1716" s="11" t="s">
        <v>24</v>
      </c>
      <c r="C1716" s="11" t="s">
        <v>28</v>
      </c>
      <c r="D1716" s="12">
        <v>576</v>
      </c>
      <c r="E1716" s="13">
        <v>5</v>
      </c>
    </row>
    <row r="1717" spans="1:5" x14ac:dyDescent="0.25">
      <c r="A1717" s="11" t="s">
        <v>1044</v>
      </c>
      <c r="B1717" s="11" t="s">
        <v>20</v>
      </c>
      <c r="C1717" s="11" t="s">
        <v>32</v>
      </c>
      <c r="D1717" s="12">
        <v>576</v>
      </c>
      <c r="E1717" s="13">
        <v>0</v>
      </c>
    </row>
    <row r="1718" spans="1:5" x14ac:dyDescent="0.25">
      <c r="A1718" s="11" t="s">
        <v>1326</v>
      </c>
      <c r="B1718" s="11" t="s">
        <v>24</v>
      </c>
      <c r="C1718" s="11" t="s">
        <v>34</v>
      </c>
      <c r="D1718" s="12">
        <v>576</v>
      </c>
      <c r="E1718" s="13">
        <v>1</v>
      </c>
    </row>
    <row r="1719" spans="1:5" x14ac:dyDescent="0.25">
      <c r="A1719" s="11" t="s">
        <v>1688</v>
      </c>
      <c r="B1719" s="11" t="s">
        <v>24</v>
      </c>
      <c r="C1719" s="11" t="s">
        <v>5</v>
      </c>
      <c r="D1719" s="12">
        <v>576</v>
      </c>
      <c r="E1719" s="13">
        <v>3</v>
      </c>
    </row>
    <row r="1720" spans="1:5" x14ac:dyDescent="0.25">
      <c r="A1720" s="11" t="s">
        <v>384</v>
      </c>
      <c r="B1720" s="11" t="s">
        <v>26</v>
      </c>
      <c r="C1720" s="11" t="s">
        <v>43</v>
      </c>
      <c r="D1720" s="12">
        <v>577</v>
      </c>
      <c r="E1720" s="13">
        <v>6</v>
      </c>
    </row>
    <row r="1721" spans="1:5" x14ac:dyDescent="0.25">
      <c r="A1721" s="11" t="s">
        <v>436</v>
      </c>
      <c r="B1721" s="11" t="s">
        <v>20</v>
      </c>
      <c r="C1721" s="11" t="s">
        <v>21</v>
      </c>
      <c r="D1721" s="12">
        <v>577</v>
      </c>
      <c r="E1721" s="13">
        <v>0</v>
      </c>
    </row>
    <row r="1722" spans="1:5" x14ac:dyDescent="0.25">
      <c r="A1722" s="11" t="s">
        <v>518</v>
      </c>
      <c r="B1722" s="11" t="s">
        <v>24</v>
      </c>
      <c r="C1722" s="11" t="s">
        <v>62</v>
      </c>
      <c r="D1722" s="12">
        <v>577</v>
      </c>
      <c r="E1722" s="13">
        <v>0</v>
      </c>
    </row>
    <row r="1723" spans="1:5" x14ac:dyDescent="0.25">
      <c r="A1723" s="11" t="s">
        <v>861</v>
      </c>
      <c r="B1723" s="11" t="s">
        <v>24</v>
      </c>
      <c r="C1723" s="11" t="s">
        <v>66</v>
      </c>
      <c r="D1723" s="12">
        <v>577</v>
      </c>
      <c r="E1723" s="13">
        <v>1</v>
      </c>
    </row>
    <row r="1724" spans="1:5" x14ac:dyDescent="0.25">
      <c r="A1724" s="11" t="s">
        <v>1115</v>
      </c>
      <c r="B1724" s="11" t="s">
        <v>26</v>
      </c>
      <c r="C1724" s="11" t="s">
        <v>43</v>
      </c>
      <c r="D1724" s="12">
        <v>577</v>
      </c>
      <c r="E1724" s="13">
        <v>3</v>
      </c>
    </row>
    <row r="1725" spans="1:5" x14ac:dyDescent="0.25">
      <c r="A1725" s="11" t="s">
        <v>38</v>
      </c>
      <c r="B1725" s="11" t="s">
        <v>20</v>
      </c>
      <c r="C1725" s="11" t="s">
        <v>39</v>
      </c>
      <c r="D1725" s="12">
        <v>578</v>
      </c>
      <c r="E1725" s="13">
        <v>1</v>
      </c>
    </row>
    <row r="1726" spans="1:5" x14ac:dyDescent="0.25">
      <c r="A1726" s="11" t="s">
        <v>1031</v>
      </c>
      <c r="B1726" s="11" t="s">
        <v>24</v>
      </c>
      <c r="C1726" s="11" t="s">
        <v>27</v>
      </c>
      <c r="D1726" s="12">
        <v>578</v>
      </c>
      <c r="E1726" s="13">
        <v>1</v>
      </c>
    </row>
    <row r="1727" spans="1:5" x14ac:dyDescent="0.25">
      <c r="A1727" s="11" t="s">
        <v>1825</v>
      </c>
      <c r="B1727" s="11" t="s">
        <v>26</v>
      </c>
      <c r="C1727" s="11" t="s">
        <v>39</v>
      </c>
      <c r="D1727" s="12">
        <v>578</v>
      </c>
      <c r="E1727" s="13">
        <v>0</v>
      </c>
    </row>
    <row r="1728" spans="1:5" x14ac:dyDescent="0.25">
      <c r="A1728" s="11" t="s">
        <v>443</v>
      </c>
      <c r="B1728" s="11" t="s">
        <v>20</v>
      </c>
      <c r="C1728" s="11" t="s">
        <v>44</v>
      </c>
      <c r="D1728" s="12">
        <v>579</v>
      </c>
      <c r="E1728" s="13">
        <v>4</v>
      </c>
    </row>
    <row r="1729" spans="1:5" x14ac:dyDescent="0.25">
      <c r="A1729" s="11" t="s">
        <v>778</v>
      </c>
      <c r="B1729" s="11" t="s">
        <v>24</v>
      </c>
      <c r="C1729" s="11" t="s">
        <v>32</v>
      </c>
      <c r="D1729" s="12">
        <v>579</v>
      </c>
      <c r="E1729" s="13">
        <v>2</v>
      </c>
    </row>
    <row r="1730" spans="1:5" x14ac:dyDescent="0.25">
      <c r="A1730" s="11" t="s">
        <v>1439</v>
      </c>
      <c r="B1730" s="11" t="s">
        <v>26</v>
      </c>
      <c r="C1730" s="11" t="s">
        <v>39</v>
      </c>
      <c r="D1730" s="12">
        <v>579</v>
      </c>
      <c r="E1730" s="13">
        <v>4</v>
      </c>
    </row>
    <row r="1731" spans="1:5" x14ac:dyDescent="0.25">
      <c r="A1731" s="11" t="s">
        <v>166</v>
      </c>
      <c r="B1731" s="11" t="s">
        <v>26</v>
      </c>
      <c r="C1731" s="11" t="s">
        <v>27</v>
      </c>
      <c r="D1731" s="12">
        <v>580</v>
      </c>
      <c r="E1731" s="13">
        <v>15</v>
      </c>
    </row>
    <row r="1732" spans="1:5" x14ac:dyDescent="0.25">
      <c r="A1732" s="11" t="s">
        <v>880</v>
      </c>
      <c r="B1732" s="11" t="s">
        <v>26</v>
      </c>
      <c r="C1732" s="11" t="s">
        <v>39</v>
      </c>
      <c r="D1732" s="12">
        <v>580</v>
      </c>
      <c r="E1732" s="13">
        <v>0</v>
      </c>
    </row>
    <row r="1733" spans="1:5" x14ac:dyDescent="0.25">
      <c r="A1733" s="11" t="s">
        <v>1021</v>
      </c>
      <c r="B1733" s="11" t="s">
        <v>24</v>
      </c>
      <c r="C1733" s="11" t="s">
        <v>66</v>
      </c>
      <c r="D1733" s="12">
        <v>580</v>
      </c>
      <c r="E1733" s="13">
        <v>2</v>
      </c>
    </row>
    <row r="1734" spans="1:5" x14ac:dyDescent="0.25">
      <c r="A1734" s="11" t="s">
        <v>1032</v>
      </c>
      <c r="B1734" s="11" t="s">
        <v>26</v>
      </c>
      <c r="C1734" s="11" t="s">
        <v>27</v>
      </c>
      <c r="D1734" s="12">
        <v>580</v>
      </c>
      <c r="E1734" s="13">
        <v>0</v>
      </c>
    </row>
    <row r="1735" spans="1:5" x14ac:dyDescent="0.25">
      <c r="A1735" s="11" t="s">
        <v>1060</v>
      </c>
      <c r="B1735" s="11" t="s">
        <v>20</v>
      </c>
      <c r="C1735" s="11" t="s">
        <v>62</v>
      </c>
      <c r="D1735" s="12">
        <v>580</v>
      </c>
      <c r="E1735" s="13">
        <v>0</v>
      </c>
    </row>
    <row r="1736" spans="1:5" x14ac:dyDescent="0.25">
      <c r="A1736" s="11" t="s">
        <v>1452</v>
      </c>
      <c r="B1736" s="11" t="s">
        <v>20</v>
      </c>
      <c r="C1736" s="11" t="s">
        <v>44</v>
      </c>
      <c r="D1736" s="12">
        <v>580</v>
      </c>
      <c r="E1736" s="13">
        <v>2</v>
      </c>
    </row>
    <row r="1737" spans="1:5" x14ac:dyDescent="0.25">
      <c r="A1737" s="11" t="s">
        <v>1840</v>
      </c>
      <c r="B1737" s="11" t="s">
        <v>24</v>
      </c>
      <c r="C1737" s="11" t="s">
        <v>44</v>
      </c>
      <c r="D1737" s="12">
        <v>580</v>
      </c>
      <c r="E1737" s="13">
        <v>0</v>
      </c>
    </row>
    <row r="1738" spans="1:5" x14ac:dyDescent="0.25">
      <c r="A1738" s="11" t="s">
        <v>267</v>
      </c>
      <c r="B1738" s="11" t="s">
        <v>20</v>
      </c>
      <c r="C1738" s="11" t="s">
        <v>27</v>
      </c>
      <c r="D1738" s="12">
        <v>581</v>
      </c>
      <c r="E1738" s="13">
        <v>0</v>
      </c>
    </row>
    <row r="1739" spans="1:5" x14ac:dyDescent="0.25">
      <c r="A1739" s="11" t="s">
        <v>382</v>
      </c>
      <c r="B1739" s="11" t="s">
        <v>24</v>
      </c>
      <c r="C1739" s="11" t="s">
        <v>34</v>
      </c>
      <c r="D1739" s="12">
        <v>581</v>
      </c>
      <c r="E1739" s="13">
        <v>0</v>
      </c>
    </row>
    <row r="1740" spans="1:5" x14ac:dyDescent="0.25">
      <c r="A1740" s="11" t="s">
        <v>641</v>
      </c>
      <c r="B1740" s="11" t="s">
        <v>20</v>
      </c>
      <c r="C1740" s="11" t="s">
        <v>21</v>
      </c>
      <c r="D1740" s="12">
        <v>581</v>
      </c>
      <c r="E1740" s="13">
        <v>7</v>
      </c>
    </row>
    <row r="1741" spans="1:5" x14ac:dyDescent="0.25">
      <c r="A1741" s="11" t="s">
        <v>1586</v>
      </c>
      <c r="B1741" s="11" t="s">
        <v>20</v>
      </c>
      <c r="C1741" s="11" t="s">
        <v>30</v>
      </c>
      <c r="D1741" s="12">
        <v>581</v>
      </c>
      <c r="E1741" s="13">
        <v>0</v>
      </c>
    </row>
    <row r="1742" spans="1:5" x14ac:dyDescent="0.25">
      <c r="A1742" s="11" t="s">
        <v>1218</v>
      </c>
      <c r="B1742" s="11" t="s">
        <v>24</v>
      </c>
      <c r="C1742" s="11" t="s">
        <v>30</v>
      </c>
      <c r="D1742" s="12">
        <v>582</v>
      </c>
      <c r="E1742" s="13">
        <v>4</v>
      </c>
    </row>
    <row r="1743" spans="1:5" x14ac:dyDescent="0.25">
      <c r="A1743" s="11" t="s">
        <v>622</v>
      </c>
      <c r="B1743" s="11" t="s">
        <v>26</v>
      </c>
      <c r="C1743" s="11" t="s">
        <v>27</v>
      </c>
      <c r="D1743" s="12">
        <v>583</v>
      </c>
      <c r="E1743" s="13">
        <v>4</v>
      </c>
    </row>
    <row r="1744" spans="1:5" x14ac:dyDescent="0.25">
      <c r="A1744" s="11" t="s">
        <v>1597</v>
      </c>
      <c r="B1744" s="11" t="s">
        <v>26</v>
      </c>
      <c r="C1744" s="11" t="s">
        <v>34</v>
      </c>
      <c r="D1744" s="12">
        <v>583</v>
      </c>
      <c r="E1744" s="13">
        <v>1</v>
      </c>
    </row>
    <row r="1745" spans="1:5" x14ac:dyDescent="0.25">
      <c r="A1745" s="11" t="s">
        <v>355</v>
      </c>
      <c r="B1745" s="11" t="s">
        <v>26</v>
      </c>
      <c r="C1745" s="11" t="s">
        <v>28</v>
      </c>
      <c r="D1745" s="12">
        <v>584</v>
      </c>
      <c r="E1745" s="13">
        <v>1</v>
      </c>
    </row>
    <row r="1746" spans="1:5" x14ac:dyDescent="0.25">
      <c r="A1746" s="11" t="s">
        <v>1243</v>
      </c>
      <c r="B1746" s="11" t="s">
        <v>20</v>
      </c>
      <c r="C1746" s="11" t="s">
        <v>40</v>
      </c>
      <c r="D1746" s="12">
        <v>584</v>
      </c>
      <c r="E1746" s="13">
        <v>2</v>
      </c>
    </row>
    <row r="1747" spans="1:5" x14ac:dyDescent="0.25">
      <c r="A1747" s="11" t="s">
        <v>1441</v>
      </c>
      <c r="B1747" s="11" t="s">
        <v>20</v>
      </c>
      <c r="C1747" s="11" t="s">
        <v>66</v>
      </c>
      <c r="D1747" s="12">
        <v>584</v>
      </c>
      <c r="E1747" s="13">
        <v>1</v>
      </c>
    </row>
    <row r="1748" spans="1:5" x14ac:dyDescent="0.25">
      <c r="A1748" s="11" t="s">
        <v>1803</v>
      </c>
      <c r="B1748" s="11" t="s">
        <v>26</v>
      </c>
      <c r="C1748" s="11" t="s">
        <v>27</v>
      </c>
      <c r="D1748" s="12">
        <v>584</v>
      </c>
      <c r="E1748" s="13">
        <v>0</v>
      </c>
    </row>
    <row r="1749" spans="1:5" x14ac:dyDescent="0.25">
      <c r="A1749" s="11" t="s">
        <v>1737</v>
      </c>
      <c r="B1749" s="11" t="s">
        <v>24</v>
      </c>
      <c r="C1749" s="11" t="s">
        <v>44</v>
      </c>
      <c r="D1749" s="12">
        <v>585</v>
      </c>
      <c r="E1749" s="13">
        <v>1</v>
      </c>
    </row>
    <row r="1750" spans="1:5" x14ac:dyDescent="0.25">
      <c r="A1750" s="11" t="s">
        <v>1285</v>
      </c>
      <c r="B1750" s="11" t="s">
        <v>24</v>
      </c>
      <c r="C1750" s="11" t="s">
        <v>111</v>
      </c>
      <c r="D1750" s="12">
        <v>586</v>
      </c>
      <c r="E1750" s="13">
        <v>0</v>
      </c>
    </row>
    <row r="1751" spans="1:5" x14ac:dyDescent="0.25">
      <c r="A1751" s="11" t="s">
        <v>1328</v>
      </c>
      <c r="B1751" s="11" t="s">
        <v>26</v>
      </c>
      <c r="C1751" s="11" t="s">
        <v>5</v>
      </c>
      <c r="D1751" s="12">
        <v>586</v>
      </c>
      <c r="E1751" s="13">
        <v>7</v>
      </c>
    </row>
    <row r="1752" spans="1:5" x14ac:dyDescent="0.25">
      <c r="A1752" s="11" t="s">
        <v>167</v>
      </c>
      <c r="B1752" s="11" t="s">
        <v>24</v>
      </c>
      <c r="C1752" s="11" t="s">
        <v>32</v>
      </c>
      <c r="D1752" s="12">
        <v>587</v>
      </c>
      <c r="E1752" s="13">
        <v>6</v>
      </c>
    </row>
    <row r="1753" spans="1:5" x14ac:dyDescent="0.25">
      <c r="A1753" s="11" t="s">
        <v>258</v>
      </c>
      <c r="B1753" s="11" t="s">
        <v>20</v>
      </c>
      <c r="C1753" s="11" t="s">
        <v>33</v>
      </c>
      <c r="D1753" s="12">
        <v>587</v>
      </c>
      <c r="E1753" s="13">
        <v>3</v>
      </c>
    </row>
    <row r="1754" spans="1:5" x14ac:dyDescent="0.25">
      <c r="A1754" s="11" t="s">
        <v>687</v>
      </c>
      <c r="B1754" s="11" t="s">
        <v>26</v>
      </c>
      <c r="C1754" s="11" t="s">
        <v>39</v>
      </c>
      <c r="D1754" s="12">
        <v>587</v>
      </c>
      <c r="E1754" s="13">
        <v>3</v>
      </c>
    </row>
    <row r="1755" spans="1:5" x14ac:dyDescent="0.25">
      <c r="A1755" s="11" t="s">
        <v>1893</v>
      </c>
      <c r="B1755" s="11" t="s">
        <v>20</v>
      </c>
      <c r="C1755" s="11" t="s">
        <v>44</v>
      </c>
      <c r="D1755" s="12">
        <v>587</v>
      </c>
      <c r="E1755" s="13">
        <v>1</v>
      </c>
    </row>
    <row r="1756" spans="1:5" x14ac:dyDescent="0.25">
      <c r="A1756" s="11" t="s">
        <v>140</v>
      </c>
      <c r="B1756" s="11" t="s">
        <v>24</v>
      </c>
      <c r="C1756" s="11" t="s">
        <v>27</v>
      </c>
      <c r="D1756" s="12">
        <v>588</v>
      </c>
      <c r="E1756" s="13">
        <v>0</v>
      </c>
    </row>
    <row r="1757" spans="1:5" x14ac:dyDescent="0.25">
      <c r="A1757" s="11" t="s">
        <v>337</v>
      </c>
      <c r="B1757" s="11" t="s">
        <v>26</v>
      </c>
      <c r="C1757" s="11" t="s">
        <v>39</v>
      </c>
      <c r="D1757" s="12">
        <v>588</v>
      </c>
      <c r="E1757" s="13">
        <v>0</v>
      </c>
    </row>
    <row r="1758" spans="1:5" x14ac:dyDescent="0.25">
      <c r="A1758" s="11" t="s">
        <v>739</v>
      </c>
      <c r="B1758" s="11" t="s">
        <v>26</v>
      </c>
      <c r="C1758" s="11" t="s">
        <v>53</v>
      </c>
      <c r="D1758" s="12">
        <v>588</v>
      </c>
      <c r="E1758" s="13">
        <v>9</v>
      </c>
    </row>
    <row r="1759" spans="1:5" x14ac:dyDescent="0.25">
      <c r="A1759" s="11" t="s">
        <v>1340</v>
      </c>
      <c r="B1759" s="11" t="s">
        <v>24</v>
      </c>
      <c r="C1759" s="11" t="s">
        <v>44</v>
      </c>
      <c r="D1759" s="12">
        <v>588</v>
      </c>
      <c r="E1759" s="13">
        <v>3</v>
      </c>
    </row>
    <row r="1760" spans="1:5" x14ac:dyDescent="0.25">
      <c r="A1760" s="11" t="s">
        <v>186</v>
      </c>
      <c r="B1760" s="11" t="s">
        <v>20</v>
      </c>
      <c r="C1760" s="11" t="s">
        <v>30</v>
      </c>
      <c r="D1760" s="12">
        <v>589</v>
      </c>
      <c r="E1760" s="13">
        <v>7</v>
      </c>
    </row>
    <row r="1761" spans="1:5" x14ac:dyDescent="0.25">
      <c r="A1761" s="11" t="s">
        <v>511</v>
      </c>
      <c r="B1761" s="11" t="s">
        <v>20</v>
      </c>
      <c r="C1761" s="11" t="s">
        <v>44</v>
      </c>
      <c r="D1761" s="12">
        <v>589</v>
      </c>
      <c r="E1761" s="13">
        <v>0</v>
      </c>
    </row>
    <row r="1762" spans="1:5" x14ac:dyDescent="0.25">
      <c r="A1762" s="11" t="s">
        <v>864</v>
      </c>
      <c r="B1762" s="11" t="s">
        <v>26</v>
      </c>
      <c r="C1762" s="11" t="s">
        <v>39</v>
      </c>
      <c r="D1762" s="12">
        <v>589</v>
      </c>
      <c r="E1762" s="13">
        <v>1</v>
      </c>
    </row>
    <row r="1763" spans="1:5" x14ac:dyDescent="0.25">
      <c r="A1763" s="11" t="s">
        <v>942</v>
      </c>
      <c r="B1763" s="11" t="s">
        <v>24</v>
      </c>
      <c r="C1763" s="11" t="s">
        <v>39</v>
      </c>
      <c r="D1763" s="12">
        <v>589</v>
      </c>
      <c r="E1763" s="13">
        <v>5</v>
      </c>
    </row>
    <row r="1764" spans="1:5" x14ac:dyDescent="0.25">
      <c r="A1764" s="11" t="s">
        <v>450</v>
      </c>
      <c r="B1764" s="11" t="s">
        <v>20</v>
      </c>
      <c r="C1764" s="11" t="s">
        <v>28</v>
      </c>
      <c r="D1764" s="12">
        <v>590</v>
      </c>
      <c r="E1764" s="13">
        <v>0</v>
      </c>
    </row>
    <row r="1765" spans="1:5" x14ac:dyDescent="0.25">
      <c r="A1765" s="11" t="s">
        <v>1023</v>
      </c>
      <c r="B1765" s="11" t="s">
        <v>20</v>
      </c>
      <c r="C1765" s="11" t="s">
        <v>66</v>
      </c>
      <c r="D1765" s="12">
        <v>590</v>
      </c>
      <c r="E1765" s="13">
        <v>2</v>
      </c>
    </row>
    <row r="1766" spans="1:5" x14ac:dyDescent="0.25">
      <c r="A1766" s="11" t="s">
        <v>806</v>
      </c>
      <c r="B1766" s="11" t="s">
        <v>26</v>
      </c>
      <c r="C1766" s="11" t="s">
        <v>25</v>
      </c>
      <c r="D1766" s="12">
        <v>591</v>
      </c>
      <c r="E1766" s="13">
        <v>4</v>
      </c>
    </row>
    <row r="1767" spans="1:5" x14ac:dyDescent="0.25">
      <c r="A1767" s="11" t="s">
        <v>873</v>
      </c>
      <c r="B1767" s="11" t="s">
        <v>20</v>
      </c>
      <c r="C1767" s="11" t="s">
        <v>5</v>
      </c>
      <c r="D1767" s="12">
        <v>591</v>
      </c>
      <c r="E1767" s="13">
        <v>7</v>
      </c>
    </row>
    <row r="1768" spans="1:5" x14ac:dyDescent="0.25">
      <c r="A1768" s="11" t="s">
        <v>73</v>
      </c>
      <c r="B1768" s="11" t="s">
        <v>26</v>
      </c>
      <c r="C1768" s="11" t="s">
        <v>44</v>
      </c>
      <c r="D1768" s="12">
        <v>592</v>
      </c>
      <c r="E1768" s="13">
        <v>0</v>
      </c>
    </row>
    <row r="1769" spans="1:5" x14ac:dyDescent="0.25">
      <c r="A1769" s="11" t="s">
        <v>150</v>
      </c>
      <c r="B1769" s="11" t="s">
        <v>26</v>
      </c>
      <c r="C1769" s="11" t="s">
        <v>39</v>
      </c>
      <c r="D1769" s="12">
        <v>592</v>
      </c>
      <c r="E1769" s="13">
        <v>0</v>
      </c>
    </row>
    <row r="1770" spans="1:5" x14ac:dyDescent="0.25">
      <c r="A1770" s="11" t="s">
        <v>788</v>
      </c>
      <c r="B1770" s="11" t="s">
        <v>26</v>
      </c>
      <c r="C1770" s="11" t="s">
        <v>25</v>
      </c>
      <c r="D1770" s="12">
        <v>592</v>
      </c>
      <c r="E1770" s="13">
        <v>3</v>
      </c>
    </row>
    <row r="1771" spans="1:5" x14ac:dyDescent="0.25">
      <c r="A1771" s="11" t="s">
        <v>987</v>
      </c>
      <c r="B1771" s="11" t="s">
        <v>26</v>
      </c>
      <c r="C1771" s="11" t="s">
        <v>28</v>
      </c>
      <c r="D1771" s="12">
        <v>592</v>
      </c>
      <c r="E1771" s="13">
        <v>0</v>
      </c>
    </row>
    <row r="1772" spans="1:5" x14ac:dyDescent="0.25">
      <c r="A1772" s="11" t="s">
        <v>978</v>
      </c>
      <c r="B1772" s="11" t="s">
        <v>26</v>
      </c>
      <c r="C1772" s="11" t="s">
        <v>111</v>
      </c>
      <c r="D1772" s="12">
        <v>593</v>
      </c>
      <c r="E1772" s="13">
        <v>2</v>
      </c>
    </row>
    <row r="1773" spans="1:5" x14ac:dyDescent="0.25">
      <c r="A1773" s="11" t="s">
        <v>1322</v>
      </c>
      <c r="B1773" s="11" t="s">
        <v>24</v>
      </c>
      <c r="C1773" s="11" t="s">
        <v>44</v>
      </c>
      <c r="D1773" s="12">
        <v>593</v>
      </c>
      <c r="E1773" s="13">
        <v>7</v>
      </c>
    </row>
    <row r="1774" spans="1:5" x14ac:dyDescent="0.25">
      <c r="A1774" s="11" t="s">
        <v>1600</v>
      </c>
      <c r="B1774" s="11" t="s">
        <v>20</v>
      </c>
      <c r="C1774" s="11" t="s">
        <v>44</v>
      </c>
      <c r="D1774" s="12">
        <v>593</v>
      </c>
      <c r="E1774" s="13">
        <v>2</v>
      </c>
    </row>
    <row r="1775" spans="1:5" x14ac:dyDescent="0.25">
      <c r="A1775" s="11" t="s">
        <v>258</v>
      </c>
      <c r="B1775" s="11" t="s">
        <v>26</v>
      </c>
      <c r="C1775" s="11" t="s">
        <v>40</v>
      </c>
      <c r="D1775" s="12">
        <v>594</v>
      </c>
      <c r="E1775" s="13">
        <v>1</v>
      </c>
    </row>
    <row r="1776" spans="1:5" x14ac:dyDescent="0.25">
      <c r="A1776" s="11" t="s">
        <v>298</v>
      </c>
      <c r="B1776" s="11" t="s">
        <v>24</v>
      </c>
      <c r="C1776" s="11" t="s">
        <v>39</v>
      </c>
      <c r="D1776" s="12">
        <v>594</v>
      </c>
      <c r="E1776" s="13">
        <v>2</v>
      </c>
    </row>
    <row r="1777" spans="1:5" x14ac:dyDescent="0.25">
      <c r="A1777" s="11" t="s">
        <v>389</v>
      </c>
      <c r="B1777" s="11" t="s">
        <v>20</v>
      </c>
      <c r="C1777" s="11" t="s">
        <v>21</v>
      </c>
      <c r="D1777" s="12">
        <v>594</v>
      </c>
      <c r="E1777" s="13">
        <v>4</v>
      </c>
    </row>
    <row r="1778" spans="1:5" x14ac:dyDescent="0.25">
      <c r="A1778" s="11" t="s">
        <v>1356</v>
      </c>
      <c r="B1778" s="11" t="s">
        <v>26</v>
      </c>
      <c r="C1778" s="11" t="s">
        <v>34</v>
      </c>
      <c r="D1778" s="12">
        <v>594</v>
      </c>
      <c r="E1778" s="13">
        <v>0</v>
      </c>
    </row>
    <row r="1779" spans="1:5" x14ac:dyDescent="0.25">
      <c r="A1779" s="11" t="s">
        <v>1908</v>
      </c>
      <c r="B1779" s="11" t="s">
        <v>24</v>
      </c>
      <c r="C1779" s="11" t="s">
        <v>32</v>
      </c>
      <c r="D1779" s="12">
        <v>594</v>
      </c>
      <c r="E1779" s="13">
        <v>4</v>
      </c>
    </row>
    <row r="1780" spans="1:5" x14ac:dyDescent="0.25">
      <c r="A1780" s="11" t="s">
        <v>230</v>
      </c>
      <c r="B1780" s="11" t="s">
        <v>24</v>
      </c>
      <c r="C1780" s="11" t="s">
        <v>40</v>
      </c>
      <c r="D1780" s="12">
        <v>595</v>
      </c>
      <c r="E1780" s="13">
        <v>4</v>
      </c>
    </row>
    <row r="1781" spans="1:5" x14ac:dyDescent="0.25">
      <c r="A1781" s="11" t="s">
        <v>564</v>
      </c>
      <c r="B1781" s="11" t="s">
        <v>20</v>
      </c>
      <c r="C1781" s="11" t="s">
        <v>44</v>
      </c>
      <c r="D1781" s="12">
        <v>595</v>
      </c>
      <c r="E1781" s="13">
        <v>6</v>
      </c>
    </row>
    <row r="1782" spans="1:5" x14ac:dyDescent="0.25">
      <c r="A1782" s="11" t="s">
        <v>652</v>
      </c>
      <c r="B1782" s="11" t="s">
        <v>24</v>
      </c>
      <c r="C1782" s="11" t="s">
        <v>33</v>
      </c>
      <c r="D1782" s="12">
        <v>595</v>
      </c>
      <c r="E1782" s="13">
        <v>7</v>
      </c>
    </row>
    <row r="1783" spans="1:5" x14ac:dyDescent="0.25">
      <c r="A1783" s="11" t="s">
        <v>921</v>
      </c>
      <c r="B1783" s="11" t="s">
        <v>20</v>
      </c>
      <c r="C1783" s="11" t="s">
        <v>44</v>
      </c>
      <c r="D1783" s="12">
        <v>595</v>
      </c>
      <c r="E1783" s="13">
        <v>1</v>
      </c>
    </row>
    <row r="1784" spans="1:5" x14ac:dyDescent="0.25">
      <c r="A1784" s="11" t="s">
        <v>1402</v>
      </c>
      <c r="B1784" s="11" t="s">
        <v>26</v>
      </c>
      <c r="C1784" s="11" t="s">
        <v>66</v>
      </c>
      <c r="D1784" s="12">
        <v>595</v>
      </c>
      <c r="E1784" s="13">
        <v>1</v>
      </c>
    </row>
    <row r="1785" spans="1:5" x14ac:dyDescent="0.25">
      <c r="A1785" s="11" t="s">
        <v>840</v>
      </c>
      <c r="B1785" s="11" t="s">
        <v>20</v>
      </c>
      <c r="C1785" s="11" t="s">
        <v>27</v>
      </c>
      <c r="D1785" s="12">
        <v>596</v>
      </c>
      <c r="E1785" s="13">
        <v>1</v>
      </c>
    </row>
    <row r="1786" spans="1:5" x14ac:dyDescent="0.25">
      <c r="A1786" s="11" t="s">
        <v>1363</v>
      </c>
      <c r="B1786" s="11" t="s">
        <v>20</v>
      </c>
      <c r="C1786" s="11" t="s">
        <v>33</v>
      </c>
      <c r="D1786" s="12">
        <v>596</v>
      </c>
      <c r="E1786" s="13">
        <v>0</v>
      </c>
    </row>
    <row r="1787" spans="1:5" x14ac:dyDescent="0.25">
      <c r="A1787" s="11" t="s">
        <v>1872</v>
      </c>
      <c r="B1787" s="11" t="s">
        <v>20</v>
      </c>
      <c r="C1787" s="11" t="s">
        <v>30</v>
      </c>
      <c r="D1787" s="12">
        <v>596</v>
      </c>
      <c r="E1787" s="13">
        <v>0</v>
      </c>
    </row>
    <row r="1788" spans="1:5" x14ac:dyDescent="0.25">
      <c r="A1788" s="11" t="s">
        <v>404</v>
      </c>
      <c r="B1788" s="11" t="s">
        <v>20</v>
      </c>
      <c r="C1788" s="11" t="s">
        <v>27</v>
      </c>
      <c r="D1788" s="12">
        <v>598</v>
      </c>
      <c r="E1788" s="13">
        <v>3</v>
      </c>
    </row>
    <row r="1789" spans="1:5" x14ac:dyDescent="0.25">
      <c r="A1789" s="11" t="s">
        <v>1220</v>
      </c>
      <c r="B1789" s="11" t="s">
        <v>26</v>
      </c>
      <c r="C1789" s="11" t="s">
        <v>39</v>
      </c>
      <c r="D1789" s="12">
        <v>598</v>
      </c>
      <c r="E1789" s="13">
        <v>14</v>
      </c>
    </row>
    <row r="1790" spans="1:5" x14ac:dyDescent="0.25">
      <c r="A1790" s="11" t="s">
        <v>1833</v>
      </c>
      <c r="B1790" s="11" t="s">
        <v>20</v>
      </c>
      <c r="C1790" s="11" t="s">
        <v>34</v>
      </c>
      <c r="D1790" s="12">
        <v>598</v>
      </c>
      <c r="E1790" s="13">
        <v>2</v>
      </c>
    </row>
    <row r="1791" spans="1:5" x14ac:dyDescent="0.25">
      <c r="A1791" s="11" t="s">
        <v>686</v>
      </c>
      <c r="B1791" s="11" t="s">
        <v>20</v>
      </c>
      <c r="C1791" s="11" t="s">
        <v>5</v>
      </c>
      <c r="D1791" s="12">
        <v>599</v>
      </c>
      <c r="E1791" s="13">
        <v>1</v>
      </c>
    </row>
    <row r="1792" spans="1:5" x14ac:dyDescent="0.25">
      <c r="A1792" s="11" t="s">
        <v>690</v>
      </c>
      <c r="B1792" s="11" t="s">
        <v>20</v>
      </c>
      <c r="C1792" s="11" t="s">
        <v>53</v>
      </c>
      <c r="D1792" s="12">
        <v>599</v>
      </c>
      <c r="E1792" s="13">
        <v>1</v>
      </c>
    </row>
    <row r="1793" spans="1:5" x14ac:dyDescent="0.25">
      <c r="A1793" s="11" t="s">
        <v>883</v>
      </c>
      <c r="B1793" s="11" t="s">
        <v>24</v>
      </c>
      <c r="C1793" s="11" t="s">
        <v>32</v>
      </c>
      <c r="D1793" s="12">
        <v>599</v>
      </c>
      <c r="E1793" s="13">
        <v>7</v>
      </c>
    </row>
    <row r="1794" spans="1:5" x14ac:dyDescent="0.25">
      <c r="A1794" s="11" t="s">
        <v>1888</v>
      </c>
      <c r="B1794" s="11" t="s">
        <v>20</v>
      </c>
      <c r="C1794" s="11" t="s">
        <v>43</v>
      </c>
      <c r="D1794" s="12">
        <v>599</v>
      </c>
      <c r="E1794" s="13">
        <v>1</v>
      </c>
    </row>
    <row r="1795" spans="1:5" x14ac:dyDescent="0.25">
      <c r="A1795" s="11" t="s">
        <v>190</v>
      </c>
      <c r="B1795" s="11" t="s">
        <v>26</v>
      </c>
      <c r="C1795" s="11" t="s">
        <v>44</v>
      </c>
      <c r="D1795" s="12">
        <v>600</v>
      </c>
      <c r="E1795" s="13">
        <v>4</v>
      </c>
    </row>
    <row r="1796" spans="1:5" x14ac:dyDescent="0.25">
      <c r="A1796" s="11" t="s">
        <v>484</v>
      </c>
      <c r="B1796" s="11" t="s">
        <v>20</v>
      </c>
      <c r="C1796" s="11" t="s">
        <v>39</v>
      </c>
      <c r="D1796" s="12">
        <v>600</v>
      </c>
      <c r="E1796" s="13">
        <v>0</v>
      </c>
    </row>
    <row r="1797" spans="1:5" x14ac:dyDescent="0.25">
      <c r="A1797" s="11" t="s">
        <v>1271</v>
      </c>
      <c r="B1797" s="11" t="s">
        <v>24</v>
      </c>
      <c r="C1797" s="11" t="s">
        <v>22</v>
      </c>
      <c r="D1797" s="12">
        <v>600</v>
      </c>
      <c r="E1797" s="13">
        <v>5</v>
      </c>
    </row>
    <row r="1798" spans="1:5" x14ac:dyDescent="0.25">
      <c r="A1798" s="11" t="s">
        <v>287</v>
      </c>
      <c r="B1798" s="11" t="s">
        <v>26</v>
      </c>
      <c r="C1798" s="11" t="s">
        <v>32</v>
      </c>
      <c r="D1798" s="12">
        <v>601</v>
      </c>
      <c r="E1798" s="13">
        <v>2</v>
      </c>
    </row>
    <row r="1799" spans="1:5" x14ac:dyDescent="0.25">
      <c r="A1799" s="11" t="s">
        <v>289</v>
      </c>
      <c r="B1799" s="11" t="s">
        <v>24</v>
      </c>
      <c r="C1799" s="11" t="s">
        <v>53</v>
      </c>
      <c r="D1799" s="12">
        <v>601</v>
      </c>
      <c r="E1799" s="13">
        <v>1</v>
      </c>
    </row>
    <row r="1800" spans="1:5" x14ac:dyDescent="0.25">
      <c r="A1800" s="11" t="s">
        <v>870</v>
      </c>
      <c r="B1800" s="11" t="s">
        <v>26</v>
      </c>
      <c r="C1800" s="11" t="s">
        <v>34</v>
      </c>
      <c r="D1800" s="12">
        <v>601</v>
      </c>
      <c r="E1800" s="13">
        <v>3</v>
      </c>
    </row>
    <row r="1801" spans="1:5" x14ac:dyDescent="0.25">
      <c r="A1801" s="11" t="s">
        <v>790</v>
      </c>
      <c r="B1801" s="11" t="s">
        <v>26</v>
      </c>
      <c r="C1801" s="11" t="s">
        <v>44</v>
      </c>
      <c r="D1801" s="12">
        <v>602</v>
      </c>
      <c r="E1801" s="13">
        <v>11</v>
      </c>
    </row>
    <row r="1802" spans="1:5" x14ac:dyDescent="0.25">
      <c r="A1802" s="11" t="s">
        <v>1431</v>
      </c>
      <c r="B1802" s="11" t="s">
        <v>26</v>
      </c>
      <c r="C1802" s="11" t="s">
        <v>25</v>
      </c>
      <c r="D1802" s="12">
        <v>603</v>
      </c>
      <c r="E1802" s="13">
        <v>4</v>
      </c>
    </row>
    <row r="1803" spans="1:5" x14ac:dyDescent="0.25">
      <c r="A1803" s="11" t="s">
        <v>1863</v>
      </c>
      <c r="B1803" s="11" t="s">
        <v>24</v>
      </c>
      <c r="C1803" s="11" t="s">
        <v>44</v>
      </c>
      <c r="D1803" s="12">
        <v>603</v>
      </c>
      <c r="E1803" s="13">
        <v>1</v>
      </c>
    </row>
    <row r="1804" spans="1:5" x14ac:dyDescent="0.25">
      <c r="A1804" s="11" t="s">
        <v>1905</v>
      </c>
      <c r="B1804" s="11" t="s">
        <v>24</v>
      </c>
      <c r="C1804" s="11" t="s">
        <v>43</v>
      </c>
      <c r="D1804" s="12">
        <v>603</v>
      </c>
      <c r="E1804" s="13">
        <v>8</v>
      </c>
    </row>
    <row r="1805" spans="1:5" x14ac:dyDescent="0.25">
      <c r="A1805" s="11" t="s">
        <v>1828</v>
      </c>
      <c r="B1805" s="11" t="s">
        <v>20</v>
      </c>
      <c r="C1805" s="11" t="s">
        <v>28</v>
      </c>
      <c r="D1805" s="12">
        <v>604</v>
      </c>
      <c r="E1805" s="13">
        <v>1</v>
      </c>
    </row>
    <row r="1806" spans="1:5" x14ac:dyDescent="0.25">
      <c r="A1806" s="11" t="s">
        <v>289</v>
      </c>
      <c r="B1806" s="11" t="s">
        <v>24</v>
      </c>
      <c r="C1806" s="11" t="s">
        <v>25</v>
      </c>
      <c r="D1806" s="12">
        <v>605</v>
      </c>
      <c r="E1806" s="13">
        <v>3</v>
      </c>
    </row>
    <row r="1807" spans="1:5" x14ac:dyDescent="0.25">
      <c r="A1807" s="11" t="s">
        <v>661</v>
      </c>
      <c r="B1807" s="11" t="s">
        <v>24</v>
      </c>
      <c r="C1807" s="11" t="s">
        <v>5</v>
      </c>
      <c r="D1807" s="12">
        <v>605</v>
      </c>
      <c r="E1807" s="13">
        <v>2</v>
      </c>
    </row>
    <row r="1808" spans="1:5" x14ac:dyDescent="0.25">
      <c r="A1808" s="11" t="s">
        <v>1399</v>
      </c>
      <c r="B1808" s="11" t="s">
        <v>20</v>
      </c>
      <c r="C1808" s="11" t="s">
        <v>30</v>
      </c>
      <c r="D1808" s="12">
        <v>605</v>
      </c>
      <c r="E1808" s="13">
        <v>2</v>
      </c>
    </row>
    <row r="1809" spans="1:5" x14ac:dyDescent="0.25">
      <c r="A1809" s="11" t="s">
        <v>1797</v>
      </c>
      <c r="B1809" s="11" t="s">
        <v>20</v>
      </c>
      <c r="C1809" s="11" t="s">
        <v>27</v>
      </c>
      <c r="D1809" s="12">
        <v>605</v>
      </c>
      <c r="E1809" s="13">
        <v>6</v>
      </c>
    </row>
    <row r="1810" spans="1:5" x14ac:dyDescent="0.25">
      <c r="A1810" s="11" t="s">
        <v>242</v>
      </c>
      <c r="B1810" s="11" t="s">
        <v>24</v>
      </c>
      <c r="C1810" s="11" t="s">
        <v>25</v>
      </c>
      <c r="D1810" s="12">
        <v>606</v>
      </c>
      <c r="E1810" s="13">
        <v>3</v>
      </c>
    </row>
    <row r="1811" spans="1:5" x14ac:dyDescent="0.25">
      <c r="A1811" s="11" t="s">
        <v>810</v>
      </c>
      <c r="B1811" s="11" t="s">
        <v>24</v>
      </c>
      <c r="C1811" s="11" t="s">
        <v>32</v>
      </c>
      <c r="D1811" s="12">
        <v>606</v>
      </c>
      <c r="E1811" s="13">
        <v>0</v>
      </c>
    </row>
    <row r="1812" spans="1:5" x14ac:dyDescent="0.25">
      <c r="A1812" s="11" t="s">
        <v>917</v>
      </c>
      <c r="B1812" s="11" t="s">
        <v>20</v>
      </c>
      <c r="C1812" s="11" t="s">
        <v>39</v>
      </c>
      <c r="D1812" s="12">
        <v>606</v>
      </c>
      <c r="E1812" s="13">
        <v>1</v>
      </c>
    </row>
    <row r="1813" spans="1:5" x14ac:dyDescent="0.25">
      <c r="A1813" s="11" t="s">
        <v>1237</v>
      </c>
      <c r="B1813" s="11" t="s">
        <v>26</v>
      </c>
      <c r="C1813" s="11" t="s">
        <v>27</v>
      </c>
      <c r="D1813" s="12">
        <v>606</v>
      </c>
      <c r="E1813" s="13">
        <v>0</v>
      </c>
    </row>
    <row r="1814" spans="1:5" x14ac:dyDescent="0.25">
      <c r="A1814" s="11" t="s">
        <v>1262</v>
      </c>
      <c r="B1814" s="11" t="s">
        <v>26</v>
      </c>
      <c r="C1814" s="11" t="s">
        <v>44</v>
      </c>
      <c r="D1814" s="12">
        <v>606</v>
      </c>
      <c r="E1814" s="13">
        <v>0</v>
      </c>
    </row>
    <row r="1815" spans="1:5" x14ac:dyDescent="0.25">
      <c r="A1815" s="11" t="s">
        <v>1939</v>
      </c>
      <c r="B1815" s="11" t="s">
        <v>24</v>
      </c>
      <c r="C1815" s="11" t="s">
        <v>44</v>
      </c>
      <c r="D1815" s="12">
        <v>606</v>
      </c>
      <c r="E1815" s="13">
        <v>1</v>
      </c>
    </row>
    <row r="1816" spans="1:5" x14ac:dyDescent="0.25">
      <c r="A1816" s="11" t="s">
        <v>116</v>
      </c>
      <c r="B1816" s="11" t="s">
        <v>24</v>
      </c>
      <c r="C1816" s="11" t="s">
        <v>30</v>
      </c>
      <c r="D1816" s="12">
        <v>607</v>
      </c>
      <c r="E1816" s="13">
        <v>2</v>
      </c>
    </row>
    <row r="1817" spans="1:5" x14ac:dyDescent="0.25">
      <c r="A1817" s="11" t="s">
        <v>944</v>
      </c>
      <c r="B1817" s="11" t="s">
        <v>24</v>
      </c>
      <c r="C1817" s="11" t="s">
        <v>22</v>
      </c>
      <c r="D1817" s="12">
        <v>607</v>
      </c>
      <c r="E1817" s="13">
        <v>5</v>
      </c>
    </row>
    <row r="1818" spans="1:5" x14ac:dyDescent="0.25">
      <c r="A1818" s="11" t="s">
        <v>1156</v>
      </c>
      <c r="B1818" s="11" t="s">
        <v>24</v>
      </c>
      <c r="C1818" s="11" t="s">
        <v>22</v>
      </c>
      <c r="D1818" s="12">
        <v>607</v>
      </c>
      <c r="E1818" s="13">
        <v>5</v>
      </c>
    </row>
    <row r="1819" spans="1:5" x14ac:dyDescent="0.25">
      <c r="A1819" s="11" t="s">
        <v>891</v>
      </c>
      <c r="B1819" s="11" t="s">
        <v>24</v>
      </c>
      <c r="C1819" s="11" t="s">
        <v>27</v>
      </c>
      <c r="D1819" s="12">
        <v>608</v>
      </c>
      <c r="E1819" s="13">
        <v>4</v>
      </c>
    </row>
    <row r="1820" spans="1:5" x14ac:dyDescent="0.25">
      <c r="A1820" s="11" t="s">
        <v>1258</v>
      </c>
      <c r="B1820" s="11" t="s">
        <v>24</v>
      </c>
      <c r="C1820" s="11" t="s">
        <v>44</v>
      </c>
      <c r="D1820" s="12">
        <v>608</v>
      </c>
      <c r="E1820" s="13">
        <v>1</v>
      </c>
    </row>
    <row r="1821" spans="1:5" x14ac:dyDescent="0.25">
      <c r="A1821" s="11" t="s">
        <v>1527</v>
      </c>
      <c r="B1821" s="11" t="s">
        <v>20</v>
      </c>
      <c r="C1821" s="11" t="s">
        <v>27</v>
      </c>
      <c r="D1821" s="12">
        <v>608</v>
      </c>
      <c r="E1821" s="13">
        <v>14</v>
      </c>
    </row>
    <row r="1822" spans="1:5" x14ac:dyDescent="0.25">
      <c r="A1822" s="11" t="s">
        <v>1805</v>
      </c>
      <c r="B1822" s="11" t="s">
        <v>20</v>
      </c>
      <c r="C1822" s="11" t="s">
        <v>53</v>
      </c>
      <c r="D1822" s="12">
        <v>608</v>
      </c>
      <c r="E1822" s="13">
        <v>3</v>
      </c>
    </row>
    <row r="1823" spans="1:5" x14ac:dyDescent="0.25">
      <c r="A1823" s="11" t="s">
        <v>1908</v>
      </c>
      <c r="B1823" s="11" t="s">
        <v>24</v>
      </c>
      <c r="C1823" s="11" t="s">
        <v>62</v>
      </c>
      <c r="D1823" s="12">
        <v>608</v>
      </c>
      <c r="E1823" s="13">
        <v>1</v>
      </c>
    </row>
    <row r="1824" spans="1:5" x14ac:dyDescent="0.25">
      <c r="A1824" s="11" t="s">
        <v>1166</v>
      </c>
      <c r="B1824" s="11" t="s">
        <v>20</v>
      </c>
      <c r="C1824" s="11" t="s">
        <v>30</v>
      </c>
      <c r="D1824" s="12">
        <v>610</v>
      </c>
      <c r="E1824" s="13">
        <v>1</v>
      </c>
    </row>
    <row r="1825" spans="1:5" x14ac:dyDescent="0.25">
      <c r="A1825" s="11" t="s">
        <v>1447</v>
      </c>
      <c r="B1825" s="11" t="s">
        <v>20</v>
      </c>
      <c r="C1825" s="11" t="s">
        <v>43</v>
      </c>
      <c r="D1825" s="12">
        <v>610</v>
      </c>
      <c r="E1825" s="13">
        <v>0</v>
      </c>
    </row>
    <row r="1826" spans="1:5" x14ac:dyDescent="0.25">
      <c r="A1826" s="11" t="s">
        <v>1872</v>
      </c>
      <c r="B1826" s="11" t="s">
        <v>20</v>
      </c>
      <c r="C1826" s="11" t="s">
        <v>62</v>
      </c>
      <c r="D1826" s="12">
        <v>610</v>
      </c>
      <c r="E1826" s="13">
        <v>0</v>
      </c>
    </row>
    <row r="1827" spans="1:5" x14ac:dyDescent="0.25">
      <c r="A1827" s="11" t="s">
        <v>1975</v>
      </c>
      <c r="B1827" s="11" t="s">
        <v>24</v>
      </c>
      <c r="C1827" s="11" t="s">
        <v>5</v>
      </c>
      <c r="D1827" s="12">
        <v>610</v>
      </c>
      <c r="E1827" s="13">
        <v>0</v>
      </c>
    </row>
    <row r="1828" spans="1:5" x14ac:dyDescent="0.25">
      <c r="A1828" s="11" t="s">
        <v>959</v>
      </c>
      <c r="B1828" s="11" t="s">
        <v>20</v>
      </c>
      <c r="C1828" s="11" t="s">
        <v>34</v>
      </c>
      <c r="D1828" s="12">
        <v>612</v>
      </c>
      <c r="E1828" s="13">
        <v>1</v>
      </c>
    </row>
    <row r="1829" spans="1:5" x14ac:dyDescent="0.25">
      <c r="A1829" s="11" t="s">
        <v>1610</v>
      </c>
      <c r="B1829" s="11" t="s">
        <v>26</v>
      </c>
      <c r="C1829" s="11" t="s">
        <v>44</v>
      </c>
      <c r="D1829" s="12">
        <v>612</v>
      </c>
      <c r="E1829" s="13">
        <v>9</v>
      </c>
    </row>
    <row r="1830" spans="1:5" x14ac:dyDescent="0.25">
      <c r="A1830" s="11" t="s">
        <v>1792</v>
      </c>
      <c r="B1830" s="11" t="s">
        <v>26</v>
      </c>
      <c r="C1830" s="11" t="s">
        <v>43</v>
      </c>
      <c r="D1830" s="12">
        <v>612</v>
      </c>
      <c r="E1830" s="13">
        <v>0</v>
      </c>
    </row>
    <row r="1831" spans="1:5" x14ac:dyDescent="0.25">
      <c r="A1831" s="11" t="s">
        <v>1146</v>
      </c>
      <c r="B1831" s="11" t="s">
        <v>20</v>
      </c>
      <c r="C1831" s="11" t="s">
        <v>43</v>
      </c>
      <c r="D1831" s="12">
        <v>613</v>
      </c>
      <c r="E1831" s="13">
        <v>0</v>
      </c>
    </row>
    <row r="1832" spans="1:5" x14ac:dyDescent="0.25">
      <c r="A1832" s="11" t="s">
        <v>807</v>
      </c>
      <c r="B1832" s="11" t="s">
        <v>24</v>
      </c>
      <c r="C1832" s="11" t="s">
        <v>44</v>
      </c>
      <c r="D1832" s="12">
        <v>614</v>
      </c>
      <c r="E1832" s="13">
        <v>2</v>
      </c>
    </row>
    <row r="1833" spans="1:5" x14ac:dyDescent="0.25">
      <c r="A1833" s="11" t="s">
        <v>255</v>
      </c>
      <c r="B1833" s="11" t="s">
        <v>20</v>
      </c>
      <c r="C1833" s="11" t="s">
        <v>44</v>
      </c>
      <c r="D1833" s="12">
        <v>615</v>
      </c>
      <c r="E1833" s="13">
        <v>3</v>
      </c>
    </row>
    <row r="1834" spans="1:5" x14ac:dyDescent="0.25">
      <c r="A1834" s="11" t="s">
        <v>768</v>
      </c>
      <c r="B1834" s="11" t="s">
        <v>26</v>
      </c>
      <c r="C1834" s="11" t="s">
        <v>25</v>
      </c>
      <c r="D1834" s="12">
        <v>615</v>
      </c>
      <c r="E1834" s="13">
        <v>0</v>
      </c>
    </row>
    <row r="1835" spans="1:5" x14ac:dyDescent="0.25">
      <c r="A1835" s="11" t="s">
        <v>934</v>
      </c>
      <c r="B1835" s="11" t="s">
        <v>20</v>
      </c>
      <c r="C1835" s="11" t="s">
        <v>62</v>
      </c>
      <c r="D1835" s="12">
        <v>615</v>
      </c>
      <c r="E1835" s="13">
        <v>0</v>
      </c>
    </row>
    <row r="1836" spans="1:5" x14ac:dyDescent="0.25">
      <c r="A1836" s="11" t="s">
        <v>1114</v>
      </c>
      <c r="B1836" s="11" t="s">
        <v>20</v>
      </c>
      <c r="C1836" s="11" t="s">
        <v>30</v>
      </c>
      <c r="D1836" s="12">
        <v>615</v>
      </c>
      <c r="E1836" s="13">
        <v>3</v>
      </c>
    </row>
    <row r="1837" spans="1:5" x14ac:dyDescent="0.25">
      <c r="A1837" s="11" t="s">
        <v>96</v>
      </c>
      <c r="B1837" s="11" t="s">
        <v>24</v>
      </c>
      <c r="C1837" s="11" t="s">
        <v>33</v>
      </c>
      <c r="D1837" s="12">
        <v>616</v>
      </c>
      <c r="E1837" s="13">
        <v>1</v>
      </c>
    </row>
    <row r="1838" spans="1:5" x14ac:dyDescent="0.25">
      <c r="A1838" s="11" t="s">
        <v>1270</v>
      </c>
      <c r="B1838" s="11" t="s">
        <v>20</v>
      </c>
      <c r="C1838" s="11" t="s">
        <v>27</v>
      </c>
      <c r="D1838" s="12">
        <v>616</v>
      </c>
      <c r="E1838" s="13">
        <v>1</v>
      </c>
    </row>
    <row r="1839" spans="1:5" x14ac:dyDescent="0.25">
      <c r="A1839" s="11" t="s">
        <v>1598</v>
      </c>
      <c r="B1839" s="11" t="s">
        <v>24</v>
      </c>
      <c r="C1839" s="11" t="s">
        <v>30</v>
      </c>
      <c r="D1839" s="12">
        <v>616</v>
      </c>
      <c r="E1839" s="13">
        <v>1</v>
      </c>
    </row>
    <row r="1840" spans="1:5" x14ac:dyDescent="0.25">
      <c r="A1840" s="11" t="s">
        <v>1815</v>
      </c>
      <c r="B1840" s="11" t="s">
        <v>20</v>
      </c>
      <c r="C1840" s="11" t="s">
        <v>44</v>
      </c>
      <c r="D1840" s="12">
        <v>617</v>
      </c>
      <c r="E1840" s="13">
        <v>5</v>
      </c>
    </row>
    <row r="1841" spans="1:5" x14ac:dyDescent="0.25">
      <c r="A1841" s="11" t="s">
        <v>1331</v>
      </c>
      <c r="B1841" s="11" t="s">
        <v>26</v>
      </c>
      <c r="C1841" s="11" t="s">
        <v>30</v>
      </c>
      <c r="D1841" s="12">
        <v>618</v>
      </c>
      <c r="E1841" s="13">
        <v>5</v>
      </c>
    </row>
    <row r="1842" spans="1:5" x14ac:dyDescent="0.25">
      <c r="A1842" s="11" t="s">
        <v>1470</v>
      </c>
      <c r="B1842" s="11" t="s">
        <v>24</v>
      </c>
      <c r="C1842" s="11" t="s">
        <v>33</v>
      </c>
      <c r="D1842" s="12">
        <v>618</v>
      </c>
      <c r="E1842" s="13">
        <v>0</v>
      </c>
    </row>
    <row r="1843" spans="1:5" x14ac:dyDescent="0.25">
      <c r="A1843" s="11" t="s">
        <v>95</v>
      </c>
      <c r="B1843" s="11" t="s">
        <v>20</v>
      </c>
      <c r="C1843" s="11" t="s">
        <v>27</v>
      </c>
      <c r="D1843" s="12">
        <v>619</v>
      </c>
      <c r="E1843" s="13">
        <v>1</v>
      </c>
    </row>
    <row r="1844" spans="1:5" x14ac:dyDescent="0.25">
      <c r="A1844" s="11" t="s">
        <v>134</v>
      </c>
      <c r="B1844" s="11" t="s">
        <v>20</v>
      </c>
      <c r="C1844" s="11" t="s">
        <v>21</v>
      </c>
      <c r="D1844" s="12">
        <v>619</v>
      </c>
      <c r="E1844" s="13">
        <v>0</v>
      </c>
    </row>
    <row r="1845" spans="1:5" x14ac:dyDescent="0.25">
      <c r="A1845" s="11" t="s">
        <v>858</v>
      </c>
      <c r="B1845" s="11" t="s">
        <v>24</v>
      </c>
      <c r="C1845" s="11" t="s">
        <v>30</v>
      </c>
      <c r="D1845" s="12">
        <v>619</v>
      </c>
      <c r="E1845" s="13">
        <v>0</v>
      </c>
    </row>
    <row r="1846" spans="1:5" x14ac:dyDescent="0.25">
      <c r="A1846" s="11" t="s">
        <v>1046</v>
      </c>
      <c r="B1846" s="11" t="s">
        <v>24</v>
      </c>
      <c r="C1846" s="11" t="s">
        <v>27</v>
      </c>
      <c r="D1846" s="12">
        <v>619</v>
      </c>
      <c r="E1846" s="13">
        <v>1</v>
      </c>
    </row>
    <row r="1847" spans="1:5" x14ac:dyDescent="0.25">
      <c r="A1847" s="11" t="s">
        <v>1083</v>
      </c>
      <c r="B1847" s="11" t="s">
        <v>24</v>
      </c>
      <c r="C1847" s="11" t="s">
        <v>44</v>
      </c>
      <c r="D1847" s="12">
        <v>619</v>
      </c>
      <c r="E1847" s="13">
        <v>0</v>
      </c>
    </row>
    <row r="1848" spans="1:5" x14ac:dyDescent="0.25">
      <c r="A1848" s="11" t="s">
        <v>1105</v>
      </c>
      <c r="B1848" s="11" t="s">
        <v>24</v>
      </c>
      <c r="C1848" s="11" t="s">
        <v>34</v>
      </c>
      <c r="D1848" s="12">
        <v>619</v>
      </c>
      <c r="E1848" s="13">
        <v>5</v>
      </c>
    </row>
    <row r="1849" spans="1:5" x14ac:dyDescent="0.25">
      <c r="A1849" s="11" t="s">
        <v>1341</v>
      </c>
      <c r="B1849" s="11" t="s">
        <v>20</v>
      </c>
      <c r="C1849" s="11" t="s">
        <v>25</v>
      </c>
      <c r="D1849" s="12">
        <v>619</v>
      </c>
      <c r="E1849" s="13">
        <v>0</v>
      </c>
    </row>
    <row r="1850" spans="1:5" x14ac:dyDescent="0.25">
      <c r="A1850" s="11" t="s">
        <v>433</v>
      </c>
      <c r="B1850" s="11" t="s">
        <v>20</v>
      </c>
      <c r="C1850" s="11" t="s">
        <v>25</v>
      </c>
      <c r="D1850" s="12">
        <v>620</v>
      </c>
      <c r="E1850" s="13">
        <v>6</v>
      </c>
    </row>
    <row r="1851" spans="1:5" x14ac:dyDescent="0.25">
      <c r="A1851" s="11" t="s">
        <v>1463</v>
      </c>
      <c r="B1851" s="11" t="s">
        <v>20</v>
      </c>
      <c r="C1851" s="11" t="s">
        <v>30</v>
      </c>
      <c r="D1851" s="12">
        <v>620</v>
      </c>
      <c r="E1851" s="13">
        <v>0</v>
      </c>
    </row>
    <row r="1852" spans="1:5" x14ac:dyDescent="0.25">
      <c r="A1852" s="11" t="s">
        <v>303</v>
      </c>
      <c r="B1852" s="11" t="s">
        <v>26</v>
      </c>
      <c r="C1852" s="11" t="s">
        <v>27</v>
      </c>
      <c r="D1852" s="12">
        <v>621</v>
      </c>
      <c r="E1852" s="13">
        <v>0</v>
      </c>
    </row>
    <row r="1853" spans="1:5" x14ac:dyDescent="0.25">
      <c r="A1853" s="11" t="s">
        <v>649</v>
      </c>
      <c r="B1853" s="11" t="s">
        <v>26</v>
      </c>
      <c r="C1853" s="11" t="s">
        <v>30</v>
      </c>
      <c r="D1853" s="12">
        <v>621</v>
      </c>
      <c r="E1853" s="13">
        <v>5</v>
      </c>
    </row>
    <row r="1854" spans="1:5" x14ac:dyDescent="0.25">
      <c r="A1854" s="11" t="s">
        <v>811</v>
      </c>
      <c r="B1854" s="11" t="s">
        <v>20</v>
      </c>
      <c r="C1854" s="11" t="s">
        <v>32</v>
      </c>
      <c r="D1854" s="12">
        <v>621</v>
      </c>
      <c r="E1854" s="13">
        <v>1</v>
      </c>
    </row>
    <row r="1855" spans="1:5" x14ac:dyDescent="0.25">
      <c r="A1855" s="11" t="s">
        <v>1406</v>
      </c>
      <c r="B1855" s="11" t="s">
        <v>24</v>
      </c>
      <c r="C1855" s="11" t="s">
        <v>40</v>
      </c>
      <c r="D1855" s="12">
        <v>621</v>
      </c>
      <c r="E1855" s="13">
        <v>1</v>
      </c>
    </row>
    <row r="1856" spans="1:5" x14ac:dyDescent="0.25">
      <c r="A1856" s="11" t="s">
        <v>1428</v>
      </c>
      <c r="B1856" s="11" t="s">
        <v>26</v>
      </c>
      <c r="C1856" s="11" t="s">
        <v>27</v>
      </c>
      <c r="D1856" s="12">
        <v>621</v>
      </c>
      <c r="E1856" s="13">
        <v>0</v>
      </c>
    </row>
    <row r="1857" spans="1:5" x14ac:dyDescent="0.25">
      <c r="A1857" s="11" t="s">
        <v>875</v>
      </c>
      <c r="B1857" s="11" t="s">
        <v>26</v>
      </c>
      <c r="C1857" s="11" t="s">
        <v>39</v>
      </c>
      <c r="D1857" s="12">
        <v>623</v>
      </c>
      <c r="E1857" s="13">
        <v>1</v>
      </c>
    </row>
    <row r="1858" spans="1:5" x14ac:dyDescent="0.25">
      <c r="A1858" s="11" t="s">
        <v>1091</v>
      </c>
      <c r="B1858" s="11" t="s">
        <v>24</v>
      </c>
      <c r="C1858" s="11" t="s">
        <v>43</v>
      </c>
      <c r="D1858" s="12">
        <v>623</v>
      </c>
      <c r="E1858" s="13">
        <v>5</v>
      </c>
    </row>
    <row r="1859" spans="1:5" x14ac:dyDescent="0.25">
      <c r="A1859" s="11" t="s">
        <v>1371</v>
      </c>
      <c r="B1859" s="11" t="s">
        <v>26</v>
      </c>
      <c r="C1859" s="11" t="s">
        <v>39</v>
      </c>
      <c r="D1859" s="12">
        <v>623</v>
      </c>
      <c r="E1859" s="13">
        <v>3</v>
      </c>
    </row>
    <row r="1860" spans="1:5" x14ac:dyDescent="0.25">
      <c r="A1860" s="11" t="s">
        <v>1002</v>
      </c>
      <c r="B1860" s="11" t="s">
        <v>26</v>
      </c>
      <c r="C1860" s="11" t="s">
        <v>30</v>
      </c>
      <c r="D1860" s="12">
        <v>624</v>
      </c>
      <c r="E1860" s="13">
        <v>0</v>
      </c>
    </row>
    <row r="1861" spans="1:5" x14ac:dyDescent="0.25">
      <c r="A1861" s="11" t="s">
        <v>1192</v>
      </c>
      <c r="B1861" s="11" t="s">
        <v>24</v>
      </c>
      <c r="C1861" s="11" t="s">
        <v>21</v>
      </c>
      <c r="D1861" s="12">
        <v>625</v>
      </c>
      <c r="E1861" s="13">
        <v>1</v>
      </c>
    </row>
    <row r="1862" spans="1:5" x14ac:dyDescent="0.25">
      <c r="A1862" s="11" t="s">
        <v>156</v>
      </c>
      <c r="B1862" s="11" t="s">
        <v>26</v>
      </c>
      <c r="C1862" s="11" t="s">
        <v>44</v>
      </c>
      <c r="D1862" s="12">
        <v>626</v>
      </c>
      <c r="E1862" s="13">
        <v>0</v>
      </c>
    </row>
    <row r="1863" spans="1:5" x14ac:dyDescent="0.25">
      <c r="A1863" s="11" t="s">
        <v>1039</v>
      </c>
      <c r="B1863" s="11" t="s">
        <v>20</v>
      </c>
      <c r="C1863" s="11" t="s">
        <v>33</v>
      </c>
      <c r="D1863" s="12">
        <v>626</v>
      </c>
      <c r="E1863" s="13">
        <v>1</v>
      </c>
    </row>
    <row r="1864" spans="1:5" x14ac:dyDescent="0.25">
      <c r="A1864" s="11" t="s">
        <v>1230</v>
      </c>
      <c r="B1864" s="11" t="s">
        <v>20</v>
      </c>
      <c r="C1864" s="11" t="s">
        <v>27</v>
      </c>
      <c r="D1864" s="12">
        <v>627</v>
      </c>
      <c r="E1864" s="13">
        <v>1</v>
      </c>
    </row>
    <row r="1865" spans="1:5" x14ac:dyDescent="0.25">
      <c r="A1865" s="11" t="s">
        <v>1331</v>
      </c>
      <c r="B1865" s="11" t="s">
        <v>24</v>
      </c>
      <c r="C1865" s="11" t="s">
        <v>32</v>
      </c>
      <c r="D1865" s="12">
        <v>627</v>
      </c>
      <c r="E1865" s="13">
        <v>0</v>
      </c>
    </row>
    <row r="1866" spans="1:5" x14ac:dyDescent="0.25">
      <c r="A1866" s="11" t="s">
        <v>1625</v>
      </c>
      <c r="B1866" s="11" t="s">
        <v>26</v>
      </c>
      <c r="C1866" s="11" t="s">
        <v>43</v>
      </c>
      <c r="D1866" s="12">
        <v>627</v>
      </c>
      <c r="E1866" s="13">
        <v>0</v>
      </c>
    </row>
    <row r="1867" spans="1:5" x14ac:dyDescent="0.25">
      <c r="A1867" s="11" t="s">
        <v>1813</v>
      </c>
      <c r="B1867" s="11" t="s">
        <v>24</v>
      </c>
      <c r="C1867" s="11" t="s">
        <v>44</v>
      </c>
      <c r="D1867" s="12">
        <v>627</v>
      </c>
      <c r="E1867" s="13">
        <v>0</v>
      </c>
    </row>
    <row r="1868" spans="1:5" x14ac:dyDescent="0.25">
      <c r="A1868" s="11" t="s">
        <v>1844</v>
      </c>
      <c r="B1868" s="11" t="s">
        <v>20</v>
      </c>
      <c r="C1868" s="11" t="s">
        <v>44</v>
      </c>
      <c r="D1868" s="12">
        <v>627</v>
      </c>
      <c r="E1868" s="13">
        <v>0</v>
      </c>
    </row>
    <row r="1869" spans="1:5" x14ac:dyDescent="0.25">
      <c r="A1869" s="11" t="s">
        <v>523</v>
      </c>
      <c r="B1869" s="11" t="s">
        <v>26</v>
      </c>
      <c r="C1869" s="11" t="s">
        <v>44</v>
      </c>
      <c r="D1869" s="12">
        <v>628</v>
      </c>
      <c r="E1869" s="13">
        <v>5</v>
      </c>
    </row>
    <row r="1870" spans="1:5" x14ac:dyDescent="0.25">
      <c r="A1870" s="11" t="s">
        <v>1309</v>
      </c>
      <c r="B1870" s="11" t="s">
        <v>26</v>
      </c>
      <c r="C1870" s="11" t="s">
        <v>44</v>
      </c>
      <c r="D1870" s="12">
        <v>628</v>
      </c>
      <c r="E1870" s="13">
        <v>0</v>
      </c>
    </row>
    <row r="1871" spans="1:5" x14ac:dyDescent="0.25">
      <c r="A1871" s="11" t="s">
        <v>1603</v>
      </c>
      <c r="B1871" s="11" t="s">
        <v>24</v>
      </c>
      <c r="C1871" s="11" t="s">
        <v>44</v>
      </c>
      <c r="D1871" s="12">
        <v>628</v>
      </c>
      <c r="E1871" s="13">
        <v>0</v>
      </c>
    </row>
    <row r="1872" spans="1:5" x14ac:dyDescent="0.25">
      <c r="A1872" s="11" t="s">
        <v>1950</v>
      </c>
      <c r="B1872" s="11" t="s">
        <v>20</v>
      </c>
      <c r="C1872" s="11" t="s">
        <v>28</v>
      </c>
      <c r="D1872" s="12">
        <v>628</v>
      </c>
      <c r="E1872" s="13">
        <v>1</v>
      </c>
    </row>
    <row r="1873" spans="1:5" x14ac:dyDescent="0.25">
      <c r="A1873" s="11" t="s">
        <v>176</v>
      </c>
      <c r="B1873" s="11" t="s">
        <v>26</v>
      </c>
      <c r="C1873" s="11" t="s">
        <v>33</v>
      </c>
      <c r="D1873" s="12">
        <v>629</v>
      </c>
      <c r="E1873" s="13">
        <v>1</v>
      </c>
    </row>
    <row r="1874" spans="1:5" x14ac:dyDescent="0.25">
      <c r="A1874" s="11" t="s">
        <v>855</v>
      </c>
      <c r="B1874" s="11" t="s">
        <v>26</v>
      </c>
      <c r="C1874" s="11" t="s">
        <v>44</v>
      </c>
      <c r="D1874" s="12">
        <v>629</v>
      </c>
      <c r="E1874" s="13">
        <v>5</v>
      </c>
    </row>
    <row r="1875" spans="1:5" x14ac:dyDescent="0.25">
      <c r="A1875" s="11" t="s">
        <v>1394</v>
      </c>
      <c r="B1875" s="11" t="s">
        <v>24</v>
      </c>
      <c r="C1875" s="11" t="s">
        <v>27</v>
      </c>
      <c r="D1875" s="12">
        <v>629</v>
      </c>
      <c r="E1875" s="13">
        <v>3</v>
      </c>
    </row>
    <row r="1876" spans="1:5" x14ac:dyDescent="0.25">
      <c r="A1876" s="11" t="s">
        <v>585</v>
      </c>
      <c r="B1876" s="11" t="s">
        <v>26</v>
      </c>
      <c r="C1876" s="11" t="s">
        <v>27</v>
      </c>
      <c r="D1876" s="12">
        <v>630</v>
      </c>
      <c r="E1876" s="13">
        <v>0</v>
      </c>
    </row>
    <row r="1877" spans="1:5" x14ac:dyDescent="0.25">
      <c r="A1877" s="11" t="s">
        <v>1167</v>
      </c>
      <c r="B1877" s="11" t="s">
        <v>20</v>
      </c>
      <c r="C1877" s="11" t="s">
        <v>40</v>
      </c>
      <c r="D1877" s="12">
        <v>630</v>
      </c>
      <c r="E1877" s="13">
        <v>0</v>
      </c>
    </row>
    <row r="1878" spans="1:5" x14ac:dyDescent="0.25">
      <c r="A1878" s="11" t="s">
        <v>1740</v>
      </c>
      <c r="B1878" s="11" t="s">
        <v>26</v>
      </c>
      <c r="C1878" s="11" t="s">
        <v>5</v>
      </c>
      <c r="D1878" s="12">
        <v>630</v>
      </c>
      <c r="E1878" s="13">
        <v>1</v>
      </c>
    </row>
    <row r="1879" spans="1:5" x14ac:dyDescent="0.25">
      <c r="A1879" s="11" t="s">
        <v>826</v>
      </c>
      <c r="B1879" s="11" t="s">
        <v>24</v>
      </c>
      <c r="C1879" s="11" t="s">
        <v>44</v>
      </c>
      <c r="D1879" s="12">
        <v>631</v>
      </c>
      <c r="E1879" s="13">
        <v>3</v>
      </c>
    </row>
    <row r="1880" spans="1:5" x14ac:dyDescent="0.25">
      <c r="A1880" s="11" t="s">
        <v>1177</v>
      </c>
      <c r="B1880" s="11" t="s">
        <v>26</v>
      </c>
      <c r="C1880" s="11" t="s">
        <v>30</v>
      </c>
      <c r="D1880" s="12">
        <v>631</v>
      </c>
      <c r="E1880" s="13">
        <v>7</v>
      </c>
    </row>
    <row r="1881" spans="1:5" x14ac:dyDescent="0.25">
      <c r="A1881" s="11" t="s">
        <v>1749</v>
      </c>
      <c r="B1881" s="11" t="s">
        <v>26</v>
      </c>
      <c r="C1881" s="11" t="s">
        <v>111</v>
      </c>
      <c r="D1881" s="12">
        <v>631</v>
      </c>
      <c r="E1881" s="13">
        <v>4</v>
      </c>
    </row>
    <row r="1882" spans="1:5" x14ac:dyDescent="0.25">
      <c r="A1882" s="11" t="s">
        <v>1757</v>
      </c>
      <c r="B1882" s="11" t="s">
        <v>24</v>
      </c>
      <c r="C1882" s="11" t="s">
        <v>27</v>
      </c>
      <c r="D1882" s="12">
        <v>632</v>
      </c>
      <c r="E1882" s="13">
        <v>2</v>
      </c>
    </row>
    <row r="1883" spans="1:5" x14ac:dyDescent="0.25">
      <c r="A1883" s="11" t="s">
        <v>377</v>
      </c>
      <c r="B1883" s="11" t="s">
        <v>24</v>
      </c>
      <c r="C1883" s="11" t="s">
        <v>22</v>
      </c>
      <c r="D1883" s="12">
        <v>633</v>
      </c>
      <c r="E1883" s="13">
        <v>6</v>
      </c>
    </row>
    <row r="1884" spans="1:5" x14ac:dyDescent="0.25">
      <c r="A1884" s="11" t="s">
        <v>767</v>
      </c>
      <c r="B1884" s="11" t="s">
        <v>20</v>
      </c>
      <c r="C1884" s="11" t="s">
        <v>5</v>
      </c>
      <c r="D1884" s="12">
        <v>633</v>
      </c>
      <c r="E1884" s="13">
        <v>1</v>
      </c>
    </row>
    <row r="1885" spans="1:5" x14ac:dyDescent="0.25">
      <c r="A1885" s="11" t="s">
        <v>1050</v>
      </c>
      <c r="B1885" s="11" t="s">
        <v>26</v>
      </c>
      <c r="C1885" s="11" t="s">
        <v>66</v>
      </c>
      <c r="D1885" s="12">
        <v>633</v>
      </c>
      <c r="E1885" s="13">
        <v>1</v>
      </c>
    </row>
    <row r="1886" spans="1:5" x14ac:dyDescent="0.25">
      <c r="A1886" s="11" t="s">
        <v>1210</v>
      </c>
      <c r="B1886" s="11" t="s">
        <v>20</v>
      </c>
      <c r="C1886" s="11" t="s">
        <v>33</v>
      </c>
      <c r="D1886" s="12">
        <v>633</v>
      </c>
      <c r="E1886" s="13">
        <v>1</v>
      </c>
    </row>
    <row r="1887" spans="1:5" x14ac:dyDescent="0.25">
      <c r="A1887" s="11" t="s">
        <v>407</v>
      </c>
      <c r="B1887" s="11" t="s">
        <v>26</v>
      </c>
      <c r="C1887" s="11" t="s">
        <v>53</v>
      </c>
      <c r="D1887" s="12">
        <v>634</v>
      </c>
      <c r="E1887" s="13">
        <v>9</v>
      </c>
    </row>
    <row r="1888" spans="1:5" x14ac:dyDescent="0.25">
      <c r="A1888" s="11" t="s">
        <v>712</v>
      </c>
      <c r="B1888" s="11" t="s">
        <v>20</v>
      </c>
      <c r="C1888" s="11" t="s">
        <v>44</v>
      </c>
      <c r="D1888" s="12">
        <v>634</v>
      </c>
      <c r="E1888" s="13">
        <v>1</v>
      </c>
    </row>
    <row r="1889" spans="1:5" x14ac:dyDescent="0.25">
      <c r="A1889" s="11" t="s">
        <v>964</v>
      </c>
      <c r="B1889" s="11" t="s">
        <v>20</v>
      </c>
      <c r="C1889" s="11" t="s">
        <v>25</v>
      </c>
      <c r="D1889" s="12">
        <v>634</v>
      </c>
      <c r="E1889" s="13">
        <v>0</v>
      </c>
    </row>
    <row r="1890" spans="1:5" x14ac:dyDescent="0.25">
      <c r="A1890" s="11" t="s">
        <v>1633</v>
      </c>
      <c r="B1890" s="11" t="s">
        <v>26</v>
      </c>
      <c r="C1890" s="11" t="s">
        <v>27</v>
      </c>
      <c r="D1890" s="12">
        <v>634</v>
      </c>
      <c r="E1890" s="13">
        <v>2</v>
      </c>
    </row>
    <row r="1891" spans="1:5" x14ac:dyDescent="0.25">
      <c r="A1891" s="11" t="s">
        <v>528</v>
      </c>
      <c r="B1891" s="11" t="s">
        <v>20</v>
      </c>
      <c r="C1891" s="11" t="s">
        <v>22</v>
      </c>
      <c r="D1891" s="12">
        <v>635</v>
      </c>
      <c r="E1891" s="13">
        <v>0</v>
      </c>
    </row>
    <row r="1892" spans="1:5" x14ac:dyDescent="0.25">
      <c r="A1892" s="11" t="s">
        <v>913</v>
      </c>
      <c r="B1892" s="11" t="s">
        <v>20</v>
      </c>
      <c r="C1892" s="11" t="s">
        <v>27</v>
      </c>
      <c r="D1892" s="12">
        <v>635</v>
      </c>
      <c r="E1892" s="13">
        <v>0</v>
      </c>
    </row>
    <row r="1893" spans="1:5" x14ac:dyDescent="0.25">
      <c r="A1893" s="11" t="s">
        <v>1588</v>
      </c>
      <c r="B1893" s="11" t="s">
        <v>24</v>
      </c>
      <c r="C1893" s="11" t="s">
        <v>39</v>
      </c>
      <c r="D1893" s="12">
        <v>635</v>
      </c>
      <c r="E1893" s="13">
        <v>0</v>
      </c>
    </row>
    <row r="1894" spans="1:5" x14ac:dyDescent="0.25">
      <c r="A1894" s="11" t="s">
        <v>366</v>
      </c>
      <c r="B1894" s="11" t="s">
        <v>26</v>
      </c>
      <c r="C1894" s="11" t="s">
        <v>27</v>
      </c>
      <c r="D1894" s="12">
        <v>636</v>
      </c>
      <c r="E1894" s="13">
        <v>0</v>
      </c>
    </row>
    <row r="1895" spans="1:5" x14ac:dyDescent="0.25">
      <c r="A1895" s="11" t="s">
        <v>1755</v>
      </c>
      <c r="B1895" s="11" t="s">
        <v>26</v>
      </c>
      <c r="C1895" s="11" t="s">
        <v>25</v>
      </c>
      <c r="D1895" s="12">
        <v>636</v>
      </c>
      <c r="E1895" s="13">
        <v>0</v>
      </c>
    </row>
    <row r="1896" spans="1:5" x14ac:dyDescent="0.25">
      <c r="A1896" s="11" t="s">
        <v>80</v>
      </c>
      <c r="B1896" s="11" t="s">
        <v>20</v>
      </c>
      <c r="C1896" s="11" t="s">
        <v>43</v>
      </c>
      <c r="D1896" s="12">
        <v>637</v>
      </c>
      <c r="E1896" s="13">
        <v>0</v>
      </c>
    </row>
    <row r="1897" spans="1:5" x14ac:dyDescent="0.25">
      <c r="A1897" s="11" t="s">
        <v>542</v>
      </c>
      <c r="B1897" s="11" t="s">
        <v>24</v>
      </c>
      <c r="C1897" s="11" t="s">
        <v>27</v>
      </c>
      <c r="D1897" s="12">
        <v>637</v>
      </c>
      <c r="E1897" s="13">
        <v>2</v>
      </c>
    </row>
    <row r="1898" spans="1:5" x14ac:dyDescent="0.25">
      <c r="A1898" s="11" t="s">
        <v>560</v>
      </c>
      <c r="B1898" s="11" t="s">
        <v>20</v>
      </c>
      <c r="C1898" s="11" t="s">
        <v>22</v>
      </c>
      <c r="D1898" s="12">
        <v>637</v>
      </c>
      <c r="E1898" s="13">
        <v>4</v>
      </c>
    </row>
    <row r="1899" spans="1:5" x14ac:dyDescent="0.25">
      <c r="A1899" s="11" t="s">
        <v>1196</v>
      </c>
      <c r="B1899" s="11" t="s">
        <v>26</v>
      </c>
      <c r="C1899" s="11" t="s">
        <v>62</v>
      </c>
      <c r="D1899" s="12">
        <v>637</v>
      </c>
      <c r="E1899" s="13">
        <v>2</v>
      </c>
    </row>
    <row r="1900" spans="1:5" x14ac:dyDescent="0.25">
      <c r="A1900" s="11" t="s">
        <v>1947</v>
      </c>
      <c r="B1900" s="11" t="s">
        <v>26</v>
      </c>
      <c r="C1900" s="11" t="s">
        <v>44</v>
      </c>
      <c r="D1900" s="12">
        <v>637</v>
      </c>
      <c r="E1900" s="13">
        <v>2</v>
      </c>
    </row>
    <row r="1901" spans="1:5" x14ac:dyDescent="0.25">
      <c r="A1901" s="11" t="s">
        <v>959</v>
      </c>
      <c r="B1901" s="11" t="s">
        <v>24</v>
      </c>
      <c r="C1901" s="11" t="s">
        <v>27</v>
      </c>
      <c r="D1901" s="12">
        <v>638</v>
      </c>
      <c r="E1901" s="13">
        <v>9</v>
      </c>
    </row>
    <row r="1902" spans="1:5" x14ac:dyDescent="0.25">
      <c r="A1902" s="11" t="s">
        <v>1823</v>
      </c>
      <c r="B1902" s="11" t="s">
        <v>20</v>
      </c>
      <c r="C1902" s="11" t="s">
        <v>27</v>
      </c>
      <c r="D1902" s="12">
        <v>638</v>
      </c>
      <c r="E1902" s="13">
        <v>2</v>
      </c>
    </row>
    <row r="1903" spans="1:5" x14ac:dyDescent="0.25">
      <c r="A1903" s="11" t="s">
        <v>1886</v>
      </c>
      <c r="B1903" s="11" t="s">
        <v>26</v>
      </c>
      <c r="C1903" s="11" t="s">
        <v>44</v>
      </c>
      <c r="D1903" s="12">
        <v>638</v>
      </c>
      <c r="E1903" s="13">
        <v>9</v>
      </c>
    </row>
    <row r="1904" spans="1:5" x14ac:dyDescent="0.25">
      <c r="A1904" s="11" t="s">
        <v>375</v>
      </c>
      <c r="B1904" s="11" t="s">
        <v>24</v>
      </c>
      <c r="C1904" s="11" t="s">
        <v>32</v>
      </c>
      <c r="D1904" s="12">
        <v>639</v>
      </c>
      <c r="E1904" s="13">
        <v>0</v>
      </c>
    </row>
    <row r="1905" spans="1:5" x14ac:dyDescent="0.25">
      <c r="A1905" s="11" t="s">
        <v>1607</v>
      </c>
      <c r="B1905" s="11" t="s">
        <v>20</v>
      </c>
      <c r="C1905" s="11" t="s">
        <v>66</v>
      </c>
      <c r="D1905" s="12">
        <v>639</v>
      </c>
      <c r="E1905" s="13">
        <v>5</v>
      </c>
    </row>
    <row r="1906" spans="1:5" x14ac:dyDescent="0.25">
      <c r="A1906" s="11" t="s">
        <v>611</v>
      </c>
      <c r="B1906" s="11" t="s">
        <v>26</v>
      </c>
      <c r="C1906" s="11" t="s">
        <v>62</v>
      </c>
      <c r="D1906" s="12">
        <v>640</v>
      </c>
      <c r="E1906" s="13">
        <v>1</v>
      </c>
    </row>
    <row r="1907" spans="1:5" x14ac:dyDescent="0.25">
      <c r="A1907" s="11" t="s">
        <v>1808</v>
      </c>
      <c r="B1907" s="11" t="s">
        <v>20</v>
      </c>
      <c r="C1907" s="11" t="s">
        <v>25</v>
      </c>
      <c r="D1907" s="12">
        <v>640</v>
      </c>
      <c r="E1907" s="13">
        <v>4</v>
      </c>
    </row>
    <row r="1908" spans="1:5" x14ac:dyDescent="0.25">
      <c r="A1908" s="11" t="s">
        <v>1855</v>
      </c>
      <c r="B1908" s="11" t="s">
        <v>26</v>
      </c>
      <c r="C1908" s="11" t="s">
        <v>39</v>
      </c>
      <c r="D1908" s="12">
        <v>640</v>
      </c>
      <c r="E1908" s="13">
        <v>0</v>
      </c>
    </row>
    <row r="1909" spans="1:5" x14ac:dyDescent="0.25">
      <c r="A1909" s="11" t="s">
        <v>295</v>
      </c>
      <c r="B1909" s="11" t="s">
        <v>24</v>
      </c>
      <c r="C1909" s="11" t="s">
        <v>53</v>
      </c>
      <c r="D1909" s="12">
        <v>641</v>
      </c>
      <c r="E1909" s="13">
        <v>3</v>
      </c>
    </row>
    <row r="1910" spans="1:5" x14ac:dyDescent="0.25">
      <c r="A1910" s="11" t="s">
        <v>1679</v>
      </c>
      <c r="B1910" s="11" t="s">
        <v>20</v>
      </c>
      <c r="C1910" s="11" t="s">
        <v>44</v>
      </c>
      <c r="D1910" s="12">
        <v>641</v>
      </c>
      <c r="E1910" s="13">
        <v>1</v>
      </c>
    </row>
    <row r="1911" spans="1:5" x14ac:dyDescent="0.25">
      <c r="A1911" s="11" t="s">
        <v>501</v>
      </c>
      <c r="B1911" s="11" t="s">
        <v>24</v>
      </c>
      <c r="C1911" s="11" t="s">
        <v>44</v>
      </c>
      <c r="D1911" s="12">
        <v>642</v>
      </c>
      <c r="E1911" s="13">
        <v>3</v>
      </c>
    </row>
    <row r="1912" spans="1:5" x14ac:dyDescent="0.25">
      <c r="A1912" s="11" t="s">
        <v>1099</v>
      </c>
      <c r="B1912" s="11" t="s">
        <v>20</v>
      </c>
      <c r="C1912" s="11" t="s">
        <v>22</v>
      </c>
      <c r="D1912" s="12">
        <v>642</v>
      </c>
      <c r="E1912" s="13">
        <v>2</v>
      </c>
    </row>
    <row r="1913" spans="1:5" x14ac:dyDescent="0.25">
      <c r="A1913" s="11" t="s">
        <v>1667</v>
      </c>
      <c r="B1913" s="11" t="s">
        <v>26</v>
      </c>
      <c r="C1913" s="11" t="s">
        <v>111</v>
      </c>
      <c r="D1913" s="12">
        <v>642</v>
      </c>
      <c r="E1913" s="13">
        <v>0</v>
      </c>
    </row>
    <row r="1914" spans="1:5" x14ac:dyDescent="0.25">
      <c r="A1914" s="11" t="s">
        <v>246</v>
      </c>
      <c r="B1914" s="11" t="s">
        <v>20</v>
      </c>
      <c r="C1914" s="11" t="s">
        <v>39</v>
      </c>
      <c r="D1914" s="12">
        <v>643</v>
      </c>
      <c r="E1914" s="13">
        <v>0</v>
      </c>
    </row>
    <row r="1915" spans="1:5" x14ac:dyDescent="0.25">
      <c r="A1915" s="11" t="s">
        <v>274</v>
      </c>
      <c r="B1915" s="11" t="s">
        <v>24</v>
      </c>
      <c r="C1915" s="11" t="s">
        <v>32</v>
      </c>
      <c r="D1915" s="12">
        <v>643</v>
      </c>
      <c r="E1915" s="13">
        <v>5</v>
      </c>
    </row>
    <row r="1916" spans="1:5" x14ac:dyDescent="0.25">
      <c r="A1916" s="11" t="s">
        <v>275</v>
      </c>
      <c r="B1916" s="11" t="s">
        <v>20</v>
      </c>
      <c r="C1916" s="11" t="s">
        <v>39</v>
      </c>
      <c r="D1916" s="12">
        <v>643</v>
      </c>
      <c r="E1916" s="13">
        <v>8</v>
      </c>
    </row>
    <row r="1917" spans="1:5" x14ac:dyDescent="0.25">
      <c r="A1917" s="11" t="s">
        <v>534</v>
      </c>
      <c r="B1917" s="11" t="s">
        <v>26</v>
      </c>
      <c r="C1917" s="11" t="s">
        <v>53</v>
      </c>
      <c r="D1917" s="12">
        <v>643</v>
      </c>
      <c r="E1917" s="13">
        <v>7</v>
      </c>
    </row>
    <row r="1918" spans="1:5" x14ac:dyDescent="0.25">
      <c r="A1918" s="11" t="s">
        <v>1766</v>
      </c>
      <c r="B1918" s="11" t="s">
        <v>20</v>
      </c>
      <c r="C1918" s="11" t="s">
        <v>33</v>
      </c>
      <c r="D1918" s="12">
        <v>643</v>
      </c>
      <c r="E1918" s="13">
        <v>1</v>
      </c>
    </row>
    <row r="1919" spans="1:5" x14ac:dyDescent="0.25">
      <c r="A1919" s="11" t="s">
        <v>1914</v>
      </c>
      <c r="B1919" s="11" t="s">
        <v>20</v>
      </c>
      <c r="C1919" s="11" t="s">
        <v>44</v>
      </c>
      <c r="D1919" s="12">
        <v>643</v>
      </c>
      <c r="E1919" s="13">
        <v>0</v>
      </c>
    </row>
    <row r="1920" spans="1:5" x14ac:dyDescent="0.25">
      <c r="A1920" s="11" t="s">
        <v>1108</v>
      </c>
      <c r="B1920" s="11" t="s">
        <v>24</v>
      </c>
      <c r="C1920" s="11" t="s">
        <v>39</v>
      </c>
      <c r="D1920" s="12">
        <v>644</v>
      </c>
      <c r="E1920" s="13">
        <v>1</v>
      </c>
    </row>
    <row r="1921" spans="1:5" x14ac:dyDescent="0.25">
      <c r="A1921" s="11" t="s">
        <v>512</v>
      </c>
      <c r="B1921" s="11" t="s">
        <v>24</v>
      </c>
      <c r="C1921" s="11" t="s">
        <v>27</v>
      </c>
      <c r="D1921" s="12">
        <v>645</v>
      </c>
      <c r="E1921" s="13">
        <v>0</v>
      </c>
    </row>
    <row r="1922" spans="1:5" x14ac:dyDescent="0.25">
      <c r="A1922" s="11" t="s">
        <v>531</v>
      </c>
      <c r="B1922" s="11" t="s">
        <v>26</v>
      </c>
      <c r="C1922" s="11" t="s">
        <v>39</v>
      </c>
      <c r="D1922" s="12">
        <v>645</v>
      </c>
      <c r="E1922" s="13">
        <v>0</v>
      </c>
    </row>
    <row r="1923" spans="1:5" x14ac:dyDescent="0.25">
      <c r="A1923" s="11" t="s">
        <v>801</v>
      </c>
      <c r="B1923" s="11" t="s">
        <v>24</v>
      </c>
      <c r="C1923" s="11" t="s">
        <v>5</v>
      </c>
      <c r="D1923" s="12">
        <v>645</v>
      </c>
      <c r="E1923" s="13">
        <v>0</v>
      </c>
    </row>
    <row r="1924" spans="1:5" x14ac:dyDescent="0.25">
      <c r="A1924" s="11" t="s">
        <v>803</v>
      </c>
      <c r="B1924" s="11" t="s">
        <v>24</v>
      </c>
      <c r="C1924" s="11" t="s">
        <v>111</v>
      </c>
      <c r="D1924" s="12">
        <v>646</v>
      </c>
      <c r="E1924" s="13">
        <v>4</v>
      </c>
    </row>
    <row r="1925" spans="1:5" x14ac:dyDescent="0.25">
      <c r="A1925" s="11" t="s">
        <v>1237</v>
      </c>
      <c r="B1925" s="11" t="s">
        <v>26</v>
      </c>
      <c r="C1925" s="11" t="s">
        <v>22</v>
      </c>
      <c r="D1925" s="12">
        <v>646</v>
      </c>
      <c r="E1925" s="13">
        <v>0</v>
      </c>
    </row>
    <row r="1926" spans="1:5" x14ac:dyDescent="0.25">
      <c r="A1926" s="11" t="s">
        <v>1854</v>
      </c>
      <c r="B1926" s="11" t="s">
        <v>26</v>
      </c>
      <c r="C1926" s="11" t="s">
        <v>66</v>
      </c>
      <c r="D1926" s="12">
        <v>646</v>
      </c>
      <c r="E1926" s="13">
        <v>3</v>
      </c>
    </row>
    <row r="1927" spans="1:5" x14ac:dyDescent="0.25">
      <c r="A1927" s="11" t="s">
        <v>385</v>
      </c>
      <c r="B1927" s="11" t="s">
        <v>24</v>
      </c>
      <c r="C1927" s="11" t="s">
        <v>44</v>
      </c>
      <c r="D1927" s="12">
        <v>647</v>
      </c>
      <c r="E1927" s="13">
        <v>1</v>
      </c>
    </row>
    <row r="1928" spans="1:5" x14ac:dyDescent="0.25">
      <c r="A1928" s="11" t="s">
        <v>1205</v>
      </c>
      <c r="B1928" s="11" t="s">
        <v>24</v>
      </c>
      <c r="C1928" s="11" t="s">
        <v>5</v>
      </c>
      <c r="D1928" s="12">
        <v>647</v>
      </c>
      <c r="E1928" s="13">
        <v>8</v>
      </c>
    </row>
    <row r="1929" spans="1:5" x14ac:dyDescent="0.25">
      <c r="A1929" s="11" t="s">
        <v>1903</v>
      </c>
      <c r="B1929" s="11" t="s">
        <v>24</v>
      </c>
      <c r="C1929" s="11" t="s">
        <v>5</v>
      </c>
      <c r="D1929" s="12">
        <v>647</v>
      </c>
      <c r="E1929" s="13">
        <v>0</v>
      </c>
    </row>
    <row r="1930" spans="1:5" x14ac:dyDescent="0.25">
      <c r="A1930" s="11" t="s">
        <v>1937</v>
      </c>
      <c r="B1930" s="11" t="s">
        <v>26</v>
      </c>
      <c r="C1930" s="11" t="s">
        <v>33</v>
      </c>
      <c r="D1930" s="12">
        <v>647</v>
      </c>
      <c r="E1930" s="13">
        <v>4</v>
      </c>
    </row>
    <row r="1931" spans="1:5" x14ac:dyDescent="0.25">
      <c r="A1931" s="11" t="s">
        <v>946</v>
      </c>
      <c r="B1931" s="11" t="s">
        <v>20</v>
      </c>
      <c r="C1931" s="11" t="s">
        <v>39</v>
      </c>
      <c r="D1931" s="12">
        <v>648</v>
      </c>
      <c r="E1931" s="13">
        <v>5</v>
      </c>
    </row>
    <row r="1932" spans="1:5" x14ac:dyDescent="0.25">
      <c r="A1932" s="11" t="s">
        <v>1024</v>
      </c>
      <c r="B1932" s="11" t="s">
        <v>24</v>
      </c>
      <c r="C1932" s="11" t="s">
        <v>5</v>
      </c>
      <c r="D1932" s="12">
        <v>648</v>
      </c>
      <c r="E1932" s="13">
        <v>0</v>
      </c>
    </row>
    <row r="1933" spans="1:5" x14ac:dyDescent="0.25">
      <c r="A1933" s="11" t="s">
        <v>586</v>
      </c>
      <c r="B1933" s="11" t="s">
        <v>20</v>
      </c>
      <c r="C1933" s="11" t="s">
        <v>27</v>
      </c>
      <c r="D1933" s="12">
        <v>649</v>
      </c>
      <c r="E1933" s="13">
        <v>9</v>
      </c>
    </row>
    <row r="1934" spans="1:5" x14ac:dyDescent="0.25">
      <c r="A1934" s="11" t="s">
        <v>1178</v>
      </c>
      <c r="B1934" s="11" t="s">
        <v>24</v>
      </c>
      <c r="C1934" s="11" t="s">
        <v>30</v>
      </c>
      <c r="D1934" s="12">
        <v>649</v>
      </c>
      <c r="E1934" s="13">
        <v>0</v>
      </c>
    </row>
    <row r="1935" spans="1:5" x14ac:dyDescent="0.25">
      <c r="A1935" s="11" t="s">
        <v>190</v>
      </c>
      <c r="B1935" s="11" t="s">
        <v>26</v>
      </c>
      <c r="C1935" s="11" t="s">
        <v>22</v>
      </c>
      <c r="D1935" s="12">
        <v>650</v>
      </c>
      <c r="E1935" s="13">
        <v>0</v>
      </c>
    </row>
    <row r="1936" spans="1:5" x14ac:dyDescent="0.25">
      <c r="A1936" s="11" t="s">
        <v>974</v>
      </c>
      <c r="B1936" s="11" t="s">
        <v>26</v>
      </c>
      <c r="C1936" s="11" t="s">
        <v>44</v>
      </c>
      <c r="D1936" s="12">
        <v>650</v>
      </c>
      <c r="E1936" s="13">
        <v>4</v>
      </c>
    </row>
    <row r="1937" spans="1:5" x14ac:dyDescent="0.25">
      <c r="A1937" s="11" t="s">
        <v>1738</v>
      </c>
      <c r="B1937" s="11" t="s">
        <v>24</v>
      </c>
      <c r="C1937" s="11" t="s">
        <v>111</v>
      </c>
      <c r="D1937" s="12">
        <v>650</v>
      </c>
      <c r="E1937" s="13">
        <v>1</v>
      </c>
    </row>
    <row r="1938" spans="1:5" x14ac:dyDescent="0.25">
      <c r="A1938" s="11" t="s">
        <v>473</v>
      </c>
      <c r="B1938" s="11" t="s">
        <v>24</v>
      </c>
      <c r="C1938" s="11" t="s">
        <v>30</v>
      </c>
      <c r="D1938" s="12">
        <v>651</v>
      </c>
      <c r="E1938" s="13">
        <v>11</v>
      </c>
    </row>
    <row r="1939" spans="1:5" x14ac:dyDescent="0.25">
      <c r="A1939" s="11" t="s">
        <v>953</v>
      </c>
      <c r="B1939" s="11" t="s">
        <v>24</v>
      </c>
      <c r="C1939" s="11" t="s">
        <v>21</v>
      </c>
      <c r="D1939" s="12">
        <v>651</v>
      </c>
      <c r="E1939" s="13">
        <v>9</v>
      </c>
    </row>
    <row r="1940" spans="1:5" x14ac:dyDescent="0.25">
      <c r="A1940" s="11" t="s">
        <v>1064</v>
      </c>
      <c r="B1940" s="11" t="s">
        <v>26</v>
      </c>
      <c r="C1940" s="11" t="s">
        <v>43</v>
      </c>
      <c r="D1940" s="12">
        <v>651</v>
      </c>
      <c r="E1940" s="13">
        <v>4</v>
      </c>
    </row>
    <row r="1941" spans="1:5" x14ac:dyDescent="0.25">
      <c r="A1941" s="11" t="s">
        <v>46</v>
      </c>
      <c r="B1941" s="11" t="s">
        <v>24</v>
      </c>
      <c r="C1941" s="11" t="s">
        <v>44</v>
      </c>
      <c r="D1941" s="12">
        <v>652</v>
      </c>
      <c r="E1941" s="13">
        <v>1</v>
      </c>
    </row>
    <row r="1942" spans="1:5" x14ac:dyDescent="0.25">
      <c r="A1942" s="11" t="s">
        <v>783</v>
      </c>
      <c r="B1942" s="11" t="s">
        <v>26</v>
      </c>
      <c r="C1942" s="11" t="s">
        <v>111</v>
      </c>
      <c r="D1942" s="12">
        <v>652</v>
      </c>
      <c r="E1942" s="13">
        <v>0</v>
      </c>
    </row>
    <row r="1943" spans="1:5" x14ac:dyDescent="0.25">
      <c r="A1943" s="11" t="s">
        <v>179</v>
      </c>
      <c r="B1943" s="11" t="s">
        <v>26</v>
      </c>
      <c r="C1943" s="11" t="s">
        <v>25</v>
      </c>
      <c r="D1943" s="12">
        <v>653</v>
      </c>
      <c r="E1943" s="13">
        <v>0</v>
      </c>
    </row>
    <row r="1944" spans="1:5" x14ac:dyDescent="0.25">
      <c r="A1944" s="11" t="s">
        <v>642</v>
      </c>
      <c r="B1944" s="11" t="s">
        <v>20</v>
      </c>
      <c r="C1944" s="11" t="s">
        <v>34</v>
      </c>
      <c r="D1944" s="12">
        <v>653</v>
      </c>
      <c r="E1944" s="13">
        <v>1</v>
      </c>
    </row>
    <row r="1945" spans="1:5" x14ac:dyDescent="0.25">
      <c r="A1945" s="11" t="s">
        <v>932</v>
      </c>
      <c r="B1945" s="11" t="s">
        <v>20</v>
      </c>
      <c r="C1945" s="11" t="s">
        <v>33</v>
      </c>
      <c r="D1945" s="12">
        <v>653</v>
      </c>
      <c r="E1945" s="13">
        <v>0</v>
      </c>
    </row>
    <row r="1946" spans="1:5" x14ac:dyDescent="0.25">
      <c r="A1946" s="11" t="s">
        <v>1708</v>
      </c>
      <c r="B1946" s="11" t="s">
        <v>24</v>
      </c>
      <c r="C1946" s="11" t="s">
        <v>44</v>
      </c>
      <c r="D1946" s="12">
        <v>653</v>
      </c>
      <c r="E1946" s="13">
        <v>0</v>
      </c>
    </row>
    <row r="1947" spans="1:5" x14ac:dyDescent="0.25">
      <c r="A1947" s="11" t="s">
        <v>264</v>
      </c>
      <c r="B1947" s="11" t="s">
        <v>26</v>
      </c>
      <c r="C1947" s="11" t="s">
        <v>44</v>
      </c>
      <c r="D1947" s="12">
        <v>654</v>
      </c>
      <c r="E1947" s="13">
        <v>3</v>
      </c>
    </row>
    <row r="1948" spans="1:5" x14ac:dyDescent="0.25">
      <c r="A1948" s="11" t="s">
        <v>292</v>
      </c>
      <c r="B1948" s="11" t="s">
        <v>26</v>
      </c>
      <c r="C1948" s="11" t="s">
        <v>44</v>
      </c>
      <c r="D1948" s="12">
        <v>654</v>
      </c>
      <c r="E1948" s="13">
        <v>0</v>
      </c>
    </row>
    <row r="1949" spans="1:5" x14ac:dyDescent="0.25">
      <c r="A1949" s="11" t="s">
        <v>375</v>
      </c>
      <c r="B1949" s="11" t="s">
        <v>20</v>
      </c>
      <c r="C1949" s="11" t="s">
        <v>39</v>
      </c>
      <c r="D1949" s="12">
        <v>654</v>
      </c>
      <c r="E1949" s="13">
        <v>4</v>
      </c>
    </row>
    <row r="1950" spans="1:5" x14ac:dyDescent="0.25">
      <c r="A1950" s="11" t="s">
        <v>634</v>
      </c>
      <c r="B1950" s="11" t="s">
        <v>20</v>
      </c>
      <c r="C1950" s="11" t="s">
        <v>66</v>
      </c>
      <c r="D1950" s="12">
        <v>654</v>
      </c>
      <c r="E1950" s="13">
        <v>3</v>
      </c>
    </row>
    <row r="1951" spans="1:5" x14ac:dyDescent="0.25">
      <c r="A1951" s="11" t="s">
        <v>1771</v>
      </c>
      <c r="B1951" s="11" t="s">
        <v>24</v>
      </c>
      <c r="C1951" s="11" t="s">
        <v>43</v>
      </c>
      <c r="D1951" s="12">
        <v>654</v>
      </c>
      <c r="E1951" s="13">
        <v>0</v>
      </c>
    </row>
    <row r="1952" spans="1:5" x14ac:dyDescent="0.25">
      <c r="A1952" s="11" t="s">
        <v>1899</v>
      </c>
      <c r="B1952" s="11" t="s">
        <v>24</v>
      </c>
      <c r="C1952" s="11" t="s">
        <v>5</v>
      </c>
      <c r="D1952" s="12">
        <v>654</v>
      </c>
      <c r="E1952" s="13">
        <v>9</v>
      </c>
    </row>
    <row r="1953" spans="1:5" x14ac:dyDescent="0.25">
      <c r="A1953" s="11" t="s">
        <v>193</v>
      </c>
      <c r="B1953" s="11" t="s">
        <v>24</v>
      </c>
      <c r="C1953" s="11" t="s">
        <v>33</v>
      </c>
      <c r="D1953" s="12">
        <v>655</v>
      </c>
      <c r="E1953" s="13">
        <v>4</v>
      </c>
    </row>
    <row r="1954" spans="1:5" x14ac:dyDescent="0.25">
      <c r="A1954" s="11" t="s">
        <v>401</v>
      </c>
      <c r="B1954" s="11" t="s">
        <v>26</v>
      </c>
      <c r="C1954" s="11" t="s">
        <v>30</v>
      </c>
      <c r="D1954" s="12">
        <v>655</v>
      </c>
      <c r="E1954" s="13">
        <v>7</v>
      </c>
    </row>
    <row r="1955" spans="1:5" x14ac:dyDescent="0.25">
      <c r="A1955" s="11" t="s">
        <v>115</v>
      </c>
      <c r="B1955" s="11" t="s">
        <v>24</v>
      </c>
      <c r="C1955" s="11" t="s">
        <v>44</v>
      </c>
      <c r="D1955" s="12">
        <v>656</v>
      </c>
      <c r="E1955" s="13">
        <v>10</v>
      </c>
    </row>
    <row r="1956" spans="1:5" x14ac:dyDescent="0.25">
      <c r="A1956" s="11" t="s">
        <v>1329</v>
      </c>
      <c r="B1956" s="11" t="s">
        <v>24</v>
      </c>
      <c r="C1956" s="11" t="s">
        <v>28</v>
      </c>
      <c r="D1956" s="12">
        <v>656</v>
      </c>
      <c r="E1956" s="13">
        <v>2</v>
      </c>
    </row>
    <row r="1957" spans="1:5" x14ac:dyDescent="0.25">
      <c r="A1957" s="11" t="s">
        <v>1916</v>
      </c>
      <c r="B1957" s="11" t="s">
        <v>20</v>
      </c>
      <c r="C1957" s="11" t="s">
        <v>33</v>
      </c>
      <c r="D1957" s="12">
        <v>656</v>
      </c>
      <c r="E1957" s="13">
        <v>1</v>
      </c>
    </row>
    <row r="1958" spans="1:5" x14ac:dyDescent="0.25">
      <c r="A1958" s="11" t="s">
        <v>1555</v>
      </c>
      <c r="B1958" s="11" t="s">
        <v>26</v>
      </c>
      <c r="C1958" s="11" t="s">
        <v>66</v>
      </c>
      <c r="D1958" s="12">
        <v>657</v>
      </c>
      <c r="E1958" s="13">
        <v>1</v>
      </c>
    </row>
    <row r="1959" spans="1:5" x14ac:dyDescent="0.25">
      <c r="A1959" s="11" t="s">
        <v>367</v>
      </c>
      <c r="B1959" s="11" t="s">
        <v>24</v>
      </c>
      <c r="C1959" s="11" t="s">
        <v>40</v>
      </c>
      <c r="D1959" s="12">
        <v>658</v>
      </c>
      <c r="E1959" s="13">
        <v>3</v>
      </c>
    </row>
    <row r="1960" spans="1:5" x14ac:dyDescent="0.25">
      <c r="A1960" s="11" t="s">
        <v>215</v>
      </c>
      <c r="B1960" s="11" t="s">
        <v>26</v>
      </c>
      <c r="C1960" s="11" t="s">
        <v>25</v>
      </c>
      <c r="D1960" s="12">
        <v>659</v>
      </c>
      <c r="E1960" s="13">
        <v>0</v>
      </c>
    </row>
    <row r="1961" spans="1:5" x14ac:dyDescent="0.25">
      <c r="A1961" s="11" t="s">
        <v>364</v>
      </c>
      <c r="B1961" s="11" t="s">
        <v>24</v>
      </c>
      <c r="C1961" s="11" t="s">
        <v>66</v>
      </c>
      <c r="D1961" s="12">
        <v>659</v>
      </c>
      <c r="E1961" s="13">
        <v>0</v>
      </c>
    </row>
    <row r="1962" spans="1:5" x14ac:dyDescent="0.25">
      <c r="A1962" s="11" t="s">
        <v>480</v>
      </c>
      <c r="B1962" s="11" t="s">
        <v>26</v>
      </c>
      <c r="C1962" s="11" t="s">
        <v>27</v>
      </c>
      <c r="D1962" s="12">
        <v>659</v>
      </c>
      <c r="E1962" s="13">
        <v>0</v>
      </c>
    </row>
    <row r="1963" spans="1:5" x14ac:dyDescent="0.25">
      <c r="A1963" s="11" t="s">
        <v>606</v>
      </c>
      <c r="B1963" s="11" t="s">
        <v>26</v>
      </c>
      <c r="C1963" s="11" t="s">
        <v>62</v>
      </c>
      <c r="D1963" s="12">
        <v>659</v>
      </c>
      <c r="E1963" s="13">
        <v>2</v>
      </c>
    </row>
    <row r="1964" spans="1:5" x14ac:dyDescent="0.25">
      <c r="A1964" s="11" t="s">
        <v>617</v>
      </c>
      <c r="B1964" s="11" t="s">
        <v>26</v>
      </c>
      <c r="C1964" s="11" t="s">
        <v>28</v>
      </c>
      <c r="D1964" s="12">
        <v>659</v>
      </c>
      <c r="E1964" s="13">
        <v>15</v>
      </c>
    </row>
    <row r="1965" spans="1:5" x14ac:dyDescent="0.25">
      <c r="A1965" s="11" t="s">
        <v>757</v>
      </c>
      <c r="B1965" s="11" t="s">
        <v>26</v>
      </c>
      <c r="C1965" s="11" t="s">
        <v>44</v>
      </c>
      <c r="D1965" s="12">
        <v>659</v>
      </c>
      <c r="E1965" s="13">
        <v>0</v>
      </c>
    </row>
    <row r="1966" spans="1:5" x14ac:dyDescent="0.25">
      <c r="A1966" s="11" t="s">
        <v>947</v>
      </c>
      <c r="B1966" s="11" t="s">
        <v>20</v>
      </c>
      <c r="C1966" s="11" t="s">
        <v>111</v>
      </c>
      <c r="D1966" s="12">
        <v>659</v>
      </c>
      <c r="E1966" s="13">
        <v>0</v>
      </c>
    </row>
    <row r="1967" spans="1:5" x14ac:dyDescent="0.25">
      <c r="A1967" s="11" t="s">
        <v>995</v>
      </c>
      <c r="B1967" s="11" t="s">
        <v>24</v>
      </c>
      <c r="C1967" s="11" t="s">
        <v>44</v>
      </c>
      <c r="D1967" s="12">
        <v>659</v>
      </c>
      <c r="E1967" s="13">
        <v>1</v>
      </c>
    </row>
    <row r="1968" spans="1:5" x14ac:dyDescent="0.25">
      <c r="A1968" s="11" t="s">
        <v>1851</v>
      </c>
      <c r="B1968" s="11" t="s">
        <v>20</v>
      </c>
      <c r="C1968" s="11" t="s">
        <v>39</v>
      </c>
      <c r="D1968" s="12">
        <v>659</v>
      </c>
      <c r="E1968" s="13">
        <v>9</v>
      </c>
    </row>
    <row r="1969" spans="1:5" x14ac:dyDescent="0.25">
      <c r="A1969" s="11" t="s">
        <v>109</v>
      </c>
      <c r="B1969" s="11" t="s">
        <v>26</v>
      </c>
      <c r="C1969" s="11" t="s">
        <v>30</v>
      </c>
      <c r="D1969" s="12">
        <v>660</v>
      </c>
      <c r="E1969" s="13">
        <v>3</v>
      </c>
    </row>
    <row r="1970" spans="1:5" x14ac:dyDescent="0.25">
      <c r="A1970" s="11" t="s">
        <v>1182</v>
      </c>
      <c r="B1970" s="11" t="s">
        <v>26</v>
      </c>
      <c r="C1970" s="11" t="s">
        <v>33</v>
      </c>
      <c r="D1970" s="12">
        <v>660</v>
      </c>
      <c r="E1970" s="13">
        <v>4</v>
      </c>
    </row>
    <row r="1971" spans="1:5" x14ac:dyDescent="0.25">
      <c r="A1971" s="11" t="s">
        <v>1952</v>
      </c>
      <c r="B1971" s="11" t="s">
        <v>20</v>
      </c>
      <c r="C1971" s="11" t="s">
        <v>5</v>
      </c>
      <c r="D1971" s="12">
        <v>660</v>
      </c>
      <c r="E1971" s="13">
        <v>1</v>
      </c>
    </row>
    <row r="1972" spans="1:5" x14ac:dyDescent="0.25">
      <c r="A1972" s="11" t="s">
        <v>364</v>
      </c>
      <c r="B1972" s="11" t="s">
        <v>20</v>
      </c>
      <c r="C1972" s="11" t="s">
        <v>32</v>
      </c>
      <c r="D1972" s="12">
        <v>661</v>
      </c>
      <c r="E1972" s="13">
        <v>1</v>
      </c>
    </row>
    <row r="1973" spans="1:5" x14ac:dyDescent="0.25">
      <c r="A1973" s="11" t="s">
        <v>1896</v>
      </c>
      <c r="B1973" s="11" t="s">
        <v>20</v>
      </c>
      <c r="C1973" s="11" t="s">
        <v>34</v>
      </c>
      <c r="D1973" s="12">
        <v>661</v>
      </c>
      <c r="E1973" s="13">
        <v>2</v>
      </c>
    </row>
    <row r="1974" spans="1:5" x14ac:dyDescent="0.25">
      <c r="A1974" s="11" t="s">
        <v>1008</v>
      </c>
      <c r="B1974" s="11" t="s">
        <v>24</v>
      </c>
      <c r="C1974" s="11" t="s">
        <v>39</v>
      </c>
      <c r="D1974" s="12">
        <v>662</v>
      </c>
      <c r="E1974" s="13">
        <v>4</v>
      </c>
    </row>
    <row r="1975" spans="1:5" x14ac:dyDescent="0.25">
      <c r="A1975" s="11" t="s">
        <v>1244</v>
      </c>
      <c r="B1975" s="11" t="s">
        <v>26</v>
      </c>
      <c r="C1975" s="11" t="s">
        <v>25</v>
      </c>
      <c r="D1975" s="12">
        <v>662</v>
      </c>
      <c r="E1975" s="13">
        <v>3</v>
      </c>
    </row>
    <row r="1976" spans="1:5" x14ac:dyDescent="0.25">
      <c r="A1976" s="11" t="s">
        <v>1518</v>
      </c>
      <c r="B1976" s="11" t="s">
        <v>24</v>
      </c>
      <c r="C1976" s="11" t="s">
        <v>22</v>
      </c>
      <c r="D1976" s="12">
        <v>662</v>
      </c>
      <c r="E1976" s="13">
        <v>0</v>
      </c>
    </row>
    <row r="1977" spans="1:5" x14ac:dyDescent="0.25">
      <c r="A1977" s="11" t="s">
        <v>67</v>
      </c>
      <c r="B1977" s="11" t="s">
        <v>26</v>
      </c>
      <c r="C1977" s="11" t="s">
        <v>32</v>
      </c>
      <c r="D1977" s="12">
        <v>663</v>
      </c>
      <c r="E1977" s="13">
        <v>2</v>
      </c>
    </row>
    <row r="1978" spans="1:5" x14ac:dyDescent="0.25">
      <c r="A1978" s="11" t="s">
        <v>1203</v>
      </c>
      <c r="B1978" s="11" t="s">
        <v>20</v>
      </c>
      <c r="C1978" s="11" t="s">
        <v>44</v>
      </c>
      <c r="D1978" s="12">
        <v>663</v>
      </c>
      <c r="E1978" s="13">
        <v>2</v>
      </c>
    </row>
    <row r="1979" spans="1:5" x14ac:dyDescent="0.25">
      <c r="A1979" s="11" t="s">
        <v>238</v>
      </c>
      <c r="B1979" s="11" t="s">
        <v>20</v>
      </c>
      <c r="C1979" s="11" t="s">
        <v>66</v>
      </c>
      <c r="D1979" s="12">
        <v>664</v>
      </c>
      <c r="E1979" s="13">
        <v>1</v>
      </c>
    </row>
    <row r="1980" spans="1:5" x14ac:dyDescent="0.25">
      <c r="A1980" s="11" t="s">
        <v>1711</v>
      </c>
      <c r="B1980" s="11" t="s">
        <v>20</v>
      </c>
      <c r="C1980" s="11" t="s">
        <v>111</v>
      </c>
      <c r="D1980" s="12">
        <v>664</v>
      </c>
      <c r="E1980" s="13">
        <v>3</v>
      </c>
    </row>
    <row r="1981" spans="1:5" x14ac:dyDescent="0.25">
      <c r="A1981" s="11" t="s">
        <v>1785</v>
      </c>
      <c r="B1981" s="11" t="s">
        <v>20</v>
      </c>
      <c r="C1981" s="11" t="s">
        <v>43</v>
      </c>
      <c r="D1981" s="12">
        <v>664</v>
      </c>
      <c r="E1981" s="13">
        <v>1</v>
      </c>
    </row>
    <row r="1982" spans="1:5" x14ac:dyDescent="0.25">
      <c r="A1982" s="11" t="s">
        <v>550</v>
      </c>
      <c r="B1982" s="11" t="s">
        <v>20</v>
      </c>
      <c r="C1982" s="11" t="s">
        <v>33</v>
      </c>
      <c r="D1982" s="12">
        <v>665</v>
      </c>
      <c r="E1982" s="13">
        <v>0</v>
      </c>
    </row>
    <row r="1983" spans="1:5" x14ac:dyDescent="0.25">
      <c r="A1983" s="11" t="s">
        <v>800</v>
      </c>
      <c r="B1983" s="11" t="s">
        <v>26</v>
      </c>
      <c r="C1983" s="11" t="s">
        <v>39</v>
      </c>
      <c r="D1983" s="12">
        <v>665</v>
      </c>
      <c r="E1983" s="13">
        <v>0</v>
      </c>
    </row>
    <row r="1984" spans="1:5" x14ac:dyDescent="0.25">
      <c r="A1984" s="11" t="s">
        <v>1200</v>
      </c>
      <c r="B1984" s="11" t="s">
        <v>24</v>
      </c>
      <c r="C1984" s="11" t="s">
        <v>44</v>
      </c>
      <c r="D1984" s="12">
        <v>665</v>
      </c>
      <c r="E1984" s="13">
        <v>4</v>
      </c>
    </row>
    <row r="1985" spans="1:5" x14ac:dyDescent="0.25">
      <c r="A1985" s="11" t="s">
        <v>1894</v>
      </c>
      <c r="B1985" s="11" t="s">
        <v>26</v>
      </c>
      <c r="C1985" s="11" t="s">
        <v>5</v>
      </c>
      <c r="D1985" s="12">
        <v>665</v>
      </c>
      <c r="E1985" s="13">
        <v>1</v>
      </c>
    </row>
    <row r="1986" spans="1:5" x14ac:dyDescent="0.25">
      <c r="A1986" s="11" t="s">
        <v>1902</v>
      </c>
      <c r="B1986" s="11" t="s">
        <v>20</v>
      </c>
      <c r="C1986" s="11" t="s">
        <v>44</v>
      </c>
      <c r="D1986" s="12">
        <v>665</v>
      </c>
      <c r="E1986" s="13">
        <v>1</v>
      </c>
    </row>
    <row r="1987" spans="1:5" x14ac:dyDescent="0.25">
      <c r="A1987" s="11" t="s">
        <v>492</v>
      </c>
      <c r="B1987" s="11" t="s">
        <v>24</v>
      </c>
      <c r="C1987" s="11" t="s">
        <v>28</v>
      </c>
      <c r="D1987" s="12">
        <v>666</v>
      </c>
      <c r="E1987" s="13">
        <v>1</v>
      </c>
    </row>
    <row r="1988" spans="1:5" x14ac:dyDescent="0.25">
      <c r="A1988" s="11" t="s">
        <v>917</v>
      </c>
      <c r="B1988" s="11" t="s">
        <v>24</v>
      </c>
      <c r="C1988" s="11" t="s">
        <v>44</v>
      </c>
      <c r="D1988" s="12">
        <v>666</v>
      </c>
      <c r="E1988" s="13">
        <v>0</v>
      </c>
    </row>
    <row r="1989" spans="1:5" x14ac:dyDescent="0.25">
      <c r="A1989" s="11" t="s">
        <v>1645</v>
      </c>
      <c r="B1989" s="11" t="s">
        <v>26</v>
      </c>
      <c r="C1989" s="11" t="s">
        <v>44</v>
      </c>
      <c r="D1989" s="12">
        <v>666</v>
      </c>
      <c r="E1989" s="13">
        <v>6</v>
      </c>
    </row>
    <row r="1990" spans="1:5" x14ac:dyDescent="0.25">
      <c r="A1990" s="11" t="s">
        <v>418</v>
      </c>
      <c r="B1990" s="11" t="s">
        <v>26</v>
      </c>
      <c r="C1990" s="11" t="s">
        <v>44</v>
      </c>
      <c r="D1990" s="12">
        <v>667</v>
      </c>
      <c r="E1990" s="13">
        <v>7</v>
      </c>
    </row>
    <row r="1991" spans="1:5" x14ac:dyDescent="0.25">
      <c r="A1991" s="11" t="s">
        <v>1734</v>
      </c>
      <c r="B1991" s="11" t="s">
        <v>24</v>
      </c>
      <c r="C1991" s="11" t="s">
        <v>27</v>
      </c>
      <c r="D1991" s="12">
        <v>667</v>
      </c>
      <c r="E1991" s="13">
        <v>0</v>
      </c>
    </row>
    <row r="1992" spans="1:5" x14ac:dyDescent="0.25">
      <c r="A1992" s="11" t="s">
        <v>200</v>
      </c>
      <c r="B1992" s="11" t="s">
        <v>20</v>
      </c>
      <c r="C1992" s="11" t="s">
        <v>21</v>
      </c>
      <c r="D1992" s="12">
        <v>668</v>
      </c>
      <c r="E1992" s="13">
        <v>1</v>
      </c>
    </row>
    <row r="1993" spans="1:5" x14ac:dyDescent="0.25">
      <c r="A1993" s="11" t="s">
        <v>688</v>
      </c>
      <c r="B1993" s="11" t="s">
        <v>20</v>
      </c>
      <c r="C1993" s="11" t="s">
        <v>5</v>
      </c>
      <c r="D1993" s="12">
        <v>668</v>
      </c>
      <c r="E1993" s="13">
        <v>0</v>
      </c>
    </row>
    <row r="1994" spans="1:5" x14ac:dyDescent="0.25">
      <c r="A1994" s="11" t="s">
        <v>696</v>
      </c>
      <c r="B1994" s="11" t="s">
        <v>26</v>
      </c>
      <c r="C1994" s="11" t="s">
        <v>44</v>
      </c>
      <c r="D1994" s="12">
        <v>668</v>
      </c>
      <c r="E1994" s="13">
        <v>0</v>
      </c>
    </row>
    <row r="1995" spans="1:5" x14ac:dyDescent="0.25">
      <c r="A1995" s="11" t="s">
        <v>429</v>
      </c>
      <c r="B1995" s="11" t="s">
        <v>24</v>
      </c>
      <c r="C1995" s="11" t="s">
        <v>44</v>
      </c>
      <c r="D1995" s="12">
        <v>669</v>
      </c>
      <c r="E1995" s="13">
        <v>5</v>
      </c>
    </row>
    <row r="1996" spans="1:5" x14ac:dyDescent="0.25">
      <c r="A1996" s="11" t="s">
        <v>1800</v>
      </c>
      <c r="B1996" s="11" t="s">
        <v>20</v>
      </c>
      <c r="C1996" s="11" t="s">
        <v>34</v>
      </c>
      <c r="D1996" s="12">
        <v>669</v>
      </c>
      <c r="E1996" s="13">
        <v>0</v>
      </c>
    </row>
    <row r="1997" spans="1:5" x14ac:dyDescent="0.25">
      <c r="A1997" s="11" t="s">
        <v>666</v>
      </c>
      <c r="B1997" s="11" t="s">
        <v>26</v>
      </c>
      <c r="C1997" s="11" t="s">
        <v>44</v>
      </c>
      <c r="D1997" s="12">
        <v>670</v>
      </c>
      <c r="E1997" s="13">
        <v>1</v>
      </c>
    </row>
    <row r="1998" spans="1:5" x14ac:dyDescent="0.25">
      <c r="A1998" s="11" t="s">
        <v>777</v>
      </c>
      <c r="B1998" s="11" t="s">
        <v>24</v>
      </c>
      <c r="C1998" s="11" t="s">
        <v>27</v>
      </c>
      <c r="D1998" s="12">
        <v>670</v>
      </c>
      <c r="E1998" s="13">
        <v>0</v>
      </c>
    </row>
    <row r="1999" spans="1:5" x14ac:dyDescent="0.25">
      <c r="A1999" s="11" t="s">
        <v>822</v>
      </c>
      <c r="B1999" s="11" t="s">
        <v>26</v>
      </c>
      <c r="C1999" s="11" t="s">
        <v>34</v>
      </c>
      <c r="D1999" s="12">
        <v>670</v>
      </c>
      <c r="E1999" s="13">
        <v>1</v>
      </c>
    </row>
    <row r="2000" spans="1:5" x14ac:dyDescent="0.25">
      <c r="A2000" s="11" t="s">
        <v>1963</v>
      </c>
      <c r="B2000" s="11" t="s">
        <v>26</v>
      </c>
      <c r="C2000" s="11" t="s">
        <v>39</v>
      </c>
      <c r="D2000" s="12">
        <v>670</v>
      </c>
      <c r="E2000" s="13">
        <v>2</v>
      </c>
    </row>
    <row r="2001" spans="1:5" x14ac:dyDescent="0.25">
      <c r="A2001" s="11" t="s">
        <v>107</v>
      </c>
      <c r="B2001" s="11" t="s">
        <v>26</v>
      </c>
      <c r="C2001" s="11" t="s">
        <v>34</v>
      </c>
      <c r="D2001" s="12">
        <v>671</v>
      </c>
      <c r="E2001" s="13">
        <v>0</v>
      </c>
    </row>
    <row r="2002" spans="1:5" x14ac:dyDescent="0.25">
      <c r="A2002" s="11" t="s">
        <v>147</v>
      </c>
      <c r="B2002" s="11" t="s">
        <v>26</v>
      </c>
      <c r="C2002" s="11" t="s">
        <v>30</v>
      </c>
      <c r="D2002" s="12">
        <v>671</v>
      </c>
      <c r="E2002" s="13">
        <v>1</v>
      </c>
    </row>
    <row r="2003" spans="1:5" x14ac:dyDescent="0.25">
      <c r="A2003" s="11" t="s">
        <v>770</v>
      </c>
      <c r="B2003" s="11" t="s">
        <v>20</v>
      </c>
      <c r="C2003" s="11" t="s">
        <v>39</v>
      </c>
      <c r="D2003" s="12">
        <v>671</v>
      </c>
      <c r="E2003" s="13">
        <v>0</v>
      </c>
    </row>
    <row r="2004" spans="1:5" x14ac:dyDescent="0.25">
      <c r="A2004" s="11" t="s">
        <v>966</v>
      </c>
      <c r="B2004" s="11" t="s">
        <v>24</v>
      </c>
      <c r="C2004" s="11" t="s">
        <v>62</v>
      </c>
      <c r="D2004" s="12">
        <v>671</v>
      </c>
      <c r="E2004" s="13">
        <v>0</v>
      </c>
    </row>
    <row r="2005" spans="1:5" x14ac:dyDescent="0.25">
      <c r="A2005" s="11" t="s">
        <v>979</v>
      </c>
      <c r="B2005" s="11" t="s">
        <v>24</v>
      </c>
      <c r="C2005" s="11" t="s">
        <v>27</v>
      </c>
      <c r="D2005" s="12">
        <v>671</v>
      </c>
      <c r="E2005" s="13">
        <v>4</v>
      </c>
    </row>
    <row r="2006" spans="1:5" x14ac:dyDescent="0.25">
      <c r="A2006" s="11" t="s">
        <v>1772</v>
      </c>
      <c r="B2006" s="11" t="s">
        <v>24</v>
      </c>
      <c r="C2006" s="11" t="s">
        <v>22</v>
      </c>
      <c r="D2006" s="12">
        <v>671</v>
      </c>
      <c r="E2006" s="13">
        <v>8</v>
      </c>
    </row>
    <row r="2007" spans="1:5" x14ac:dyDescent="0.25">
      <c r="A2007" s="11" t="s">
        <v>1821</v>
      </c>
      <c r="B2007" s="11" t="s">
        <v>26</v>
      </c>
      <c r="C2007" s="11" t="s">
        <v>40</v>
      </c>
      <c r="D2007" s="12">
        <v>671</v>
      </c>
      <c r="E2007" s="13">
        <v>8</v>
      </c>
    </row>
    <row r="2008" spans="1:5" x14ac:dyDescent="0.25">
      <c r="A2008" s="11" t="s">
        <v>251</v>
      </c>
      <c r="B2008" s="11" t="s">
        <v>20</v>
      </c>
      <c r="C2008" s="11" t="s">
        <v>30</v>
      </c>
      <c r="D2008" s="12">
        <v>673</v>
      </c>
      <c r="E2008" s="13">
        <v>2</v>
      </c>
    </row>
    <row r="2009" spans="1:5" x14ac:dyDescent="0.25">
      <c r="A2009" s="11" t="s">
        <v>1528</v>
      </c>
      <c r="B2009" s="11" t="s">
        <v>20</v>
      </c>
      <c r="C2009" s="11" t="s">
        <v>30</v>
      </c>
      <c r="D2009" s="12">
        <v>673</v>
      </c>
      <c r="E2009" s="13">
        <v>0</v>
      </c>
    </row>
    <row r="2010" spans="1:5" x14ac:dyDescent="0.25">
      <c r="A2010" s="11" t="s">
        <v>692</v>
      </c>
      <c r="B2010" s="11" t="s">
        <v>26</v>
      </c>
      <c r="C2010" s="11" t="s">
        <v>44</v>
      </c>
      <c r="D2010" s="12">
        <v>674</v>
      </c>
      <c r="E2010" s="13">
        <v>3</v>
      </c>
    </row>
    <row r="2011" spans="1:5" x14ac:dyDescent="0.25">
      <c r="A2011" s="11" t="s">
        <v>761</v>
      </c>
      <c r="B2011" s="11" t="s">
        <v>26</v>
      </c>
      <c r="C2011" s="11" t="s">
        <v>39</v>
      </c>
      <c r="D2011" s="12">
        <v>674</v>
      </c>
      <c r="E2011" s="13">
        <v>2</v>
      </c>
    </row>
    <row r="2012" spans="1:5" x14ac:dyDescent="0.25">
      <c r="A2012" s="11" t="s">
        <v>1786</v>
      </c>
      <c r="B2012" s="11" t="s">
        <v>26</v>
      </c>
      <c r="C2012" s="11" t="s">
        <v>21</v>
      </c>
      <c r="D2012" s="12">
        <v>674</v>
      </c>
      <c r="E2012" s="13">
        <v>1</v>
      </c>
    </row>
    <row r="2013" spans="1:5" x14ac:dyDescent="0.25">
      <c r="A2013" s="11" t="s">
        <v>500</v>
      </c>
      <c r="B2013" s="11" t="s">
        <v>26</v>
      </c>
      <c r="C2013" s="11" t="s">
        <v>22</v>
      </c>
      <c r="D2013" s="12">
        <v>675</v>
      </c>
      <c r="E2013" s="13">
        <v>7</v>
      </c>
    </row>
    <row r="2014" spans="1:5" x14ac:dyDescent="0.25">
      <c r="A2014" s="11" t="s">
        <v>804</v>
      </c>
      <c r="B2014" s="11" t="s">
        <v>20</v>
      </c>
      <c r="C2014" s="11" t="s">
        <v>44</v>
      </c>
      <c r="D2014" s="12">
        <v>675</v>
      </c>
      <c r="E2014" s="13">
        <v>2</v>
      </c>
    </row>
    <row r="2015" spans="1:5" x14ac:dyDescent="0.25">
      <c r="A2015" s="11" t="s">
        <v>1895</v>
      </c>
      <c r="B2015" s="11" t="s">
        <v>26</v>
      </c>
      <c r="C2015" s="11" t="s">
        <v>39</v>
      </c>
      <c r="D2015" s="12">
        <v>675</v>
      </c>
      <c r="E2015" s="13">
        <v>0</v>
      </c>
    </row>
    <row r="2016" spans="1:5" x14ac:dyDescent="0.25">
      <c r="A2016" s="11" t="s">
        <v>81</v>
      </c>
      <c r="B2016" s="11" t="s">
        <v>24</v>
      </c>
      <c r="C2016" s="11" t="s">
        <v>40</v>
      </c>
      <c r="D2016" s="12">
        <v>676</v>
      </c>
      <c r="E2016" s="13">
        <v>3</v>
      </c>
    </row>
    <row r="2017" spans="1:5" x14ac:dyDescent="0.25">
      <c r="A2017" s="11" t="s">
        <v>1594</v>
      </c>
      <c r="B2017" s="11" t="s">
        <v>20</v>
      </c>
      <c r="C2017" s="11" t="s">
        <v>39</v>
      </c>
      <c r="D2017" s="12">
        <v>676</v>
      </c>
      <c r="E2017" s="13">
        <v>1</v>
      </c>
    </row>
    <row r="2018" spans="1:5" x14ac:dyDescent="0.25">
      <c r="A2018" s="11" t="s">
        <v>606</v>
      </c>
      <c r="B2018" s="11" t="s">
        <v>26</v>
      </c>
      <c r="C2018" s="11" t="s">
        <v>44</v>
      </c>
      <c r="D2018" s="12">
        <v>677</v>
      </c>
      <c r="E2018" s="13">
        <v>0</v>
      </c>
    </row>
    <row r="2019" spans="1:5" x14ac:dyDescent="0.25">
      <c r="A2019" s="11" t="s">
        <v>1390</v>
      </c>
      <c r="B2019" s="11" t="s">
        <v>20</v>
      </c>
      <c r="C2019" s="11" t="s">
        <v>34</v>
      </c>
      <c r="D2019" s="12">
        <v>677</v>
      </c>
      <c r="E2019" s="13">
        <v>5</v>
      </c>
    </row>
    <row r="2020" spans="1:5" x14ac:dyDescent="0.25">
      <c r="A2020" s="11" t="s">
        <v>1966</v>
      </c>
      <c r="B2020" s="11" t="s">
        <v>20</v>
      </c>
      <c r="C2020" s="11" t="s">
        <v>25</v>
      </c>
      <c r="D2020" s="12">
        <v>678</v>
      </c>
      <c r="E2020" s="13">
        <v>0</v>
      </c>
    </row>
    <row r="2021" spans="1:5" x14ac:dyDescent="0.25">
      <c r="A2021" s="11" t="s">
        <v>663</v>
      </c>
      <c r="B2021" s="11" t="s">
        <v>24</v>
      </c>
      <c r="C2021" s="11" t="s">
        <v>40</v>
      </c>
      <c r="D2021" s="12">
        <v>680</v>
      </c>
      <c r="E2021" s="13">
        <v>0</v>
      </c>
    </row>
    <row r="2022" spans="1:5" x14ac:dyDescent="0.25">
      <c r="A2022" s="11" t="s">
        <v>1122</v>
      </c>
      <c r="B2022" s="11" t="s">
        <v>26</v>
      </c>
      <c r="C2022" s="11" t="s">
        <v>33</v>
      </c>
      <c r="D2022" s="12">
        <v>680</v>
      </c>
      <c r="E2022" s="13">
        <v>2</v>
      </c>
    </row>
    <row r="2023" spans="1:5" x14ac:dyDescent="0.25">
      <c r="A2023" s="11" t="s">
        <v>137</v>
      </c>
      <c r="B2023" s="11" t="s">
        <v>24</v>
      </c>
      <c r="C2023" s="11" t="s">
        <v>44</v>
      </c>
      <c r="D2023" s="12">
        <v>681</v>
      </c>
      <c r="E2023" s="13">
        <v>0</v>
      </c>
    </row>
    <row r="2024" spans="1:5" x14ac:dyDescent="0.25">
      <c r="A2024" s="11" t="s">
        <v>320</v>
      </c>
      <c r="B2024" s="11" t="s">
        <v>24</v>
      </c>
      <c r="C2024" s="11" t="s">
        <v>44</v>
      </c>
      <c r="D2024" s="12">
        <v>681</v>
      </c>
      <c r="E2024" s="13">
        <v>0</v>
      </c>
    </row>
    <row r="2025" spans="1:5" x14ac:dyDescent="0.25">
      <c r="A2025" s="11" t="s">
        <v>486</v>
      </c>
      <c r="B2025" s="11" t="s">
        <v>24</v>
      </c>
      <c r="C2025" s="11" t="s">
        <v>44</v>
      </c>
      <c r="D2025" s="12">
        <v>681</v>
      </c>
      <c r="E2025" s="13">
        <v>0</v>
      </c>
    </row>
    <row r="2026" spans="1:5" x14ac:dyDescent="0.25">
      <c r="A2026" s="11" t="s">
        <v>905</v>
      </c>
      <c r="B2026" s="11" t="s">
        <v>20</v>
      </c>
      <c r="C2026" s="11" t="s">
        <v>39</v>
      </c>
      <c r="D2026" s="12">
        <v>681</v>
      </c>
      <c r="E2026" s="13">
        <v>1</v>
      </c>
    </row>
    <row r="2027" spans="1:5" x14ac:dyDescent="0.25">
      <c r="A2027" s="11" t="s">
        <v>1017</v>
      </c>
      <c r="B2027" s="11" t="s">
        <v>26</v>
      </c>
      <c r="C2027" s="11" t="s">
        <v>27</v>
      </c>
      <c r="D2027" s="12">
        <v>681</v>
      </c>
      <c r="E2027" s="13">
        <v>6</v>
      </c>
    </row>
    <row r="2028" spans="1:5" x14ac:dyDescent="0.25">
      <c r="A2028" s="11" t="s">
        <v>1142</v>
      </c>
      <c r="B2028" s="11" t="s">
        <v>24</v>
      </c>
      <c r="C2028" s="11" t="s">
        <v>25</v>
      </c>
      <c r="D2028" s="12">
        <v>681</v>
      </c>
      <c r="E2028" s="13">
        <v>1</v>
      </c>
    </row>
    <row r="2029" spans="1:5" x14ac:dyDescent="0.25">
      <c r="A2029" s="11" t="s">
        <v>1601</v>
      </c>
      <c r="B2029" s="11" t="s">
        <v>20</v>
      </c>
      <c r="C2029" s="11" t="s">
        <v>44</v>
      </c>
      <c r="D2029" s="12">
        <v>681</v>
      </c>
      <c r="E2029" s="13">
        <v>0</v>
      </c>
    </row>
    <row r="2030" spans="1:5" x14ac:dyDescent="0.25">
      <c r="A2030" s="11" t="s">
        <v>1668</v>
      </c>
      <c r="B2030" s="11" t="s">
        <v>20</v>
      </c>
      <c r="C2030" s="11" t="s">
        <v>66</v>
      </c>
      <c r="D2030" s="12">
        <v>681</v>
      </c>
      <c r="E2030" s="13">
        <v>0</v>
      </c>
    </row>
    <row r="2031" spans="1:5" x14ac:dyDescent="0.25">
      <c r="A2031" s="11" t="s">
        <v>1692</v>
      </c>
      <c r="B2031" s="11" t="s">
        <v>24</v>
      </c>
      <c r="C2031" s="11" t="s">
        <v>28</v>
      </c>
      <c r="D2031" s="12">
        <v>681</v>
      </c>
      <c r="E2031" s="13">
        <v>0</v>
      </c>
    </row>
    <row r="2032" spans="1:5" x14ac:dyDescent="0.25">
      <c r="A2032" s="11" t="s">
        <v>1055</v>
      </c>
      <c r="B2032" s="11" t="s">
        <v>26</v>
      </c>
      <c r="C2032" s="11" t="s">
        <v>111</v>
      </c>
      <c r="D2032" s="12">
        <v>682</v>
      </c>
      <c r="E2032" s="13">
        <v>0</v>
      </c>
    </row>
    <row r="2033" spans="1:5" x14ac:dyDescent="0.25">
      <c r="A2033" s="11" t="s">
        <v>1438</v>
      </c>
      <c r="B2033" s="11" t="s">
        <v>24</v>
      </c>
      <c r="C2033" s="11" t="s">
        <v>30</v>
      </c>
      <c r="D2033" s="12">
        <v>682</v>
      </c>
      <c r="E2033" s="13">
        <v>5</v>
      </c>
    </row>
    <row r="2034" spans="1:5" x14ac:dyDescent="0.25">
      <c r="A2034" s="11" t="s">
        <v>322</v>
      </c>
      <c r="B2034" s="11" t="s">
        <v>20</v>
      </c>
      <c r="C2034" s="11" t="s">
        <v>27</v>
      </c>
      <c r="D2034" s="12">
        <v>683</v>
      </c>
      <c r="E2034" s="13">
        <v>3</v>
      </c>
    </row>
    <row r="2035" spans="1:5" x14ac:dyDescent="0.25">
      <c r="A2035" s="11" t="s">
        <v>397</v>
      </c>
      <c r="B2035" s="11" t="s">
        <v>24</v>
      </c>
      <c r="C2035" s="11" t="s">
        <v>27</v>
      </c>
      <c r="D2035" s="12">
        <v>683</v>
      </c>
      <c r="E2035" s="13">
        <v>0</v>
      </c>
    </row>
    <row r="2036" spans="1:5" x14ac:dyDescent="0.25">
      <c r="A2036" s="11" t="s">
        <v>493</v>
      </c>
      <c r="B2036" s="11" t="s">
        <v>20</v>
      </c>
      <c r="C2036" s="11" t="s">
        <v>27</v>
      </c>
      <c r="D2036" s="12">
        <v>683</v>
      </c>
      <c r="E2036" s="13">
        <v>1</v>
      </c>
    </row>
    <row r="2037" spans="1:5" x14ac:dyDescent="0.25">
      <c r="A2037" s="11" t="s">
        <v>1009</v>
      </c>
      <c r="B2037" s="11" t="s">
        <v>24</v>
      </c>
      <c r="C2037" s="11" t="s">
        <v>66</v>
      </c>
      <c r="D2037" s="12">
        <v>683</v>
      </c>
      <c r="E2037" s="13">
        <v>5</v>
      </c>
    </row>
    <row r="2038" spans="1:5" x14ac:dyDescent="0.25">
      <c r="A2038" s="11" t="s">
        <v>252</v>
      </c>
      <c r="B2038" s="11" t="s">
        <v>26</v>
      </c>
      <c r="C2038" s="11" t="s">
        <v>5</v>
      </c>
      <c r="D2038" s="12">
        <v>684</v>
      </c>
      <c r="E2038" s="13">
        <v>0</v>
      </c>
    </row>
    <row r="2039" spans="1:5" x14ac:dyDescent="0.25">
      <c r="A2039" s="11" t="s">
        <v>312</v>
      </c>
      <c r="B2039" s="11" t="s">
        <v>20</v>
      </c>
      <c r="C2039" s="11" t="s">
        <v>111</v>
      </c>
      <c r="D2039" s="12">
        <v>684</v>
      </c>
      <c r="E2039" s="13">
        <v>10</v>
      </c>
    </row>
    <row r="2040" spans="1:5" x14ac:dyDescent="0.25">
      <c r="A2040" s="11" t="s">
        <v>811</v>
      </c>
      <c r="B2040" s="11" t="s">
        <v>24</v>
      </c>
      <c r="C2040" s="11" t="s">
        <v>32</v>
      </c>
      <c r="D2040" s="12">
        <v>684</v>
      </c>
      <c r="E2040" s="13">
        <v>1</v>
      </c>
    </row>
    <row r="2041" spans="1:5" x14ac:dyDescent="0.25">
      <c r="A2041" s="11" t="s">
        <v>927</v>
      </c>
      <c r="B2041" s="11" t="s">
        <v>26</v>
      </c>
      <c r="C2041" s="11" t="s">
        <v>27</v>
      </c>
      <c r="D2041" s="12">
        <v>684</v>
      </c>
      <c r="E2041" s="13">
        <v>12</v>
      </c>
    </row>
    <row r="2042" spans="1:5" x14ac:dyDescent="0.25">
      <c r="A2042" s="11" t="s">
        <v>980</v>
      </c>
      <c r="B2042" s="11" t="s">
        <v>26</v>
      </c>
      <c r="C2042" s="11" t="s">
        <v>5</v>
      </c>
      <c r="D2042" s="12">
        <v>684</v>
      </c>
      <c r="E2042" s="13">
        <v>0</v>
      </c>
    </row>
    <row r="2043" spans="1:5" x14ac:dyDescent="0.25">
      <c r="A2043" s="11" t="s">
        <v>85</v>
      </c>
      <c r="B2043" s="11" t="s">
        <v>26</v>
      </c>
      <c r="C2043" s="11" t="s">
        <v>43</v>
      </c>
      <c r="D2043" s="12">
        <v>685</v>
      </c>
      <c r="E2043" s="13">
        <v>1</v>
      </c>
    </row>
    <row r="2044" spans="1:5" x14ac:dyDescent="0.25">
      <c r="A2044" s="11" t="s">
        <v>325</v>
      </c>
      <c r="B2044" s="11" t="s">
        <v>24</v>
      </c>
      <c r="C2044" s="11" t="s">
        <v>44</v>
      </c>
      <c r="D2044" s="12">
        <v>685</v>
      </c>
      <c r="E2044" s="13">
        <v>0</v>
      </c>
    </row>
    <row r="2045" spans="1:5" x14ac:dyDescent="0.25">
      <c r="A2045" s="11" t="s">
        <v>1314</v>
      </c>
      <c r="B2045" s="11" t="s">
        <v>20</v>
      </c>
      <c r="C2045" s="11" t="s">
        <v>40</v>
      </c>
      <c r="D2045" s="12">
        <v>685</v>
      </c>
      <c r="E2045" s="13">
        <v>0</v>
      </c>
    </row>
    <row r="2046" spans="1:5" x14ac:dyDescent="0.25">
      <c r="A2046" s="11" t="s">
        <v>1656</v>
      </c>
      <c r="B2046" s="11" t="s">
        <v>26</v>
      </c>
      <c r="C2046" s="11" t="s">
        <v>39</v>
      </c>
      <c r="D2046" s="12">
        <v>685</v>
      </c>
      <c r="E2046" s="13">
        <v>0</v>
      </c>
    </row>
    <row r="2047" spans="1:5" x14ac:dyDescent="0.25">
      <c r="A2047" s="11" t="s">
        <v>1658</v>
      </c>
      <c r="B2047" s="11" t="s">
        <v>24</v>
      </c>
      <c r="C2047" s="11" t="s">
        <v>43</v>
      </c>
      <c r="D2047" s="12">
        <v>685</v>
      </c>
      <c r="E2047" s="13">
        <v>0</v>
      </c>
    </row>
    <row r="2048" spans="1:5" x14ac:dyDescent="0.25">
      <c r="A2048" s="11" t="s">
        <v>1903</v>
      </c>
      <c r="B2048" s="11" t="s">
        <v>20</v>
      </c>
      <c r="C2048" s="11" t="s">
        <v>21</v>
      </c>
      <c r="D2048" s="12">
        <v>685</v>
      </c>
      <c r="E2048" s="13">
        <v>0</v>
      </c>
    </row>
    <row r="2049" spans="1:5" x14ac:dyDescent="0.25">
      <c r="A2049" s="11" t="s">
        <v>294</v>
      </c>
      <c r="B2049" s="11" t="s">
        <v>20</v>
      </c>
      <c r="C2049" s="11" t="s">
        <v>44</v>
      </c>
      <c r="D2049" s="12">
        <v>686</v>
      </c>
      <c r="E2049" s="13">
        <v>0</v>
      </c>
    </row>
    <row r="2050" spans="1:5" x14ac:dyDescent="0.25">
      <c r="A2050" s="11" t="s">
        <v>1577</v>
      </c>
      <c r="B2050" s="11" t="s">
        <v>26</v>
      </c>
      <c r="C2050" s="11" t="s">
        <v>5</v>
      </c>
      <c r="D2050" s="12">
        <v>686</v>
      </c>
      <c r="E2050" s="13">
        <v>0</v>
      </c>
    </row>
    <row r="2051" spans="1:5" x14ac:dyDescent="0.25">
      <c r="A2051" s="11" t="s">
        <v>170</v>
      </c>
      <c r="B2051" s="11" t="s">
        <v>20</v>
      </c>
      <c r="C2051" s="11" t="s">
        <v>34</v>
      </c>
      <c r="D2051" s="12">
        <v>687</v>
      </c>
      <c r="E2051" s="13">
        <v>7</v>
      </c>
    </row>
    <row r="2052" spans="1:5" x14ac:dyDescent="0.25">
      <c r="A2052" s="11" t="s">
        <v>360</v>
      </c>
      <c r="B2052" s="11" t="s">
        <v>24</v>
      </c>
      <c r="C2052" s="11" t="s">
        <v>44</v>
      </c>
      <c r="D2052" s="12">
        <v>687</v>
      </c>
      <c r="E2052" s="13">
        <v>2</v>
      </c>
    </row>
    <row r="2053" spans="1:5" x14ac:dyDescent="0.25">
      <c r="A2053" s="11" t="s">
        <v>1016</v>
      </c>
      <c r="B2053" s="11" t="s">
        <v>24</v>
      </c>
      <c r="C2053" s="11" t="s">
        <v>33</v>
      </c>
      <c r="D2053" s="12">
        <v>687</v>
      </c>
      <c r="E2053" s="13">
        <v>0</v>
      </c>
    </row>
    <row r="2054" spans="1:5" x14ac:dyDescent="0.25">
      <c r="A2054" s="11" t="s">
        <v>1124</v>
      </c>
      <c r="B2054" s="11" t="s">
        <v>24</v>
      </c>
      <c r="C2054" s="11" t="s">
        <v>39</v>
      </c>
      <c r="D2054" s="12">
        <v>687</v>
      </c>
      <c r="E2054" s="13">
        <v>3</v>
      </c>
    </row>
    <row r="2055" spans="1:5" x14ac:dyDescent="0.25">
      <c r="A2055" s="11" t="s">
        <v>1233</v>
      </c>
      <c r="B2055" s="11" t="s">
        <v>26</v>
      </c>
      <c r="C2055" s="11" t="s">
        <v>43</v>
      </c>
      <c r="D2055" s="12">
        <v>687</v>
      </c>
      <c r="E2055" s="13">
        <v>13</v>
      </c>
    </row>
    <row r="2056" spans="1:5" x14ac:dyDescent="0.25">
      <c r="A2056" s="11" t="s">
        <v>645</v>
      </c>
      <c r="B2056" s="11" t="s">
        <v>20</v>
      </c>
      <c r="C2056" s="11" t="s">
        <v>5</v>
      </c>
      <c r="D2056" s="12">
        <v>688</v>
      </c>
      <c r="E2056" s="13">
        <v>7</v>
      </c>
    </row>
    <row r="2057" spans="1:5" x14ac:dyDescent="0.25">
      <c r="A2057" s="11" t="s">
        <v>646</v>
      </c>
      <c r="B2057" s="11" t="s">
        <v>24</v>
      </c>
      <c r="C2057" s="11" t="s">
        <v>39</v>
      </c>
      <c r="D2057" s="12">
        <v>688</v>
      </c>
      <c r="E2057" s="13">
        <v>0</v>
      </c>
    </row>
    <row r="2058" spans="1:5" x14ac:dyDescent="0.25">
      <c r="A2058" s="11" t="s">
        <v>1358</v>
      </c>
      <c r="B2058" s="11" t="s">
        <v>20</v>
      </c>
      <c r="C2058" s="11" t="s">
        <v>27</v>
      </c>
      <c r="D2058" s="12">
        <v>688</v>
      </c>
      <c r="E2058" s="13">
        <v>3</v>
      </c>
    </row>
    <row r="2059" spans="1:5" x14ac:dyDescent="0.25">
      <c r="A2059" s="11" t="s">
        <v>1409</v>
      </c>
      <c r="B2059" s="11" t="s">
        <v>24</v>
      </c>
      <c r="C2059" s="11" t="s">
        <v>39</v>
      </c>
      <c r="D2059" s="12">
        <v>688</v>
      </c>
      <c r="E2059" s="13">
        <v>0</v>
      </c>
    </row>
    <row r="2060" spans="1:5" x14ac:dyDescent="0.25">
      <c r="A2060" s="11" t="s">
        <v>51</v>
      </c>
      <c r="B2060" s="11" t="s">
        <v>20</v>
      </c>
      <c r="C2060" s="11" t="s">
        <v>25</v>
      </c>
      <c r="D2060" s="12">
        <v>689</v>
      </c>
      <c r="E2060" s="13">
        <v>0</v>
      </c>
    </row>
    <row r="2061" spans="1:5" x14ac:dyDescent="0.25">
      <c r="A2061" s="11" t="s">
        <v>551</v>
      </c>
      <c r="B2061" s="11" t="s">
        <v>26</v>
      </c>
      <c r="C2061" s="11" t="s">
        <v>44</v>
      </c>
      <c r="D2061" s="12">
        <v>689</v>
      </c>
      <c r="E2061" s="13">
        <v>0</v>
      </c>
    </row>
    <row r="2062" spans="1:5" x14ac:dyDescent="0.25">
      <c r="A2062" s="11" t="s">
        <v>799</v>
      </c>
      <c r="B2062" s="11" t="s">
        <v>26</v>
      </c>
      <c r="C2062" s="11" t="s">
        <v>39</v>
      </c>
      <c r="D2062" s="12">
        <v>689</v>
      </c>
      <c r="E2062" s="13">
        <v>15</v>
      </c>
    </row>
    <row r="2063" spans="1:5" x14ac:dyDescent="0.25">
      <c r="A2063" s="11" t="s">
        <v>161</v>
      </c>
      <c r="B2063" s="11" t="s">
        <v>20</v>
      </c>
      <c r="C2063" s="11" t="s">
        <v>27</v>
      </c>
      <c r="D2063" s="12">
        <v>690</v>
      </c>
      <c r="E2063" s="13">
        <v>0</v>
      </c>
    </row>
    <row r="2064" spans="1:5" x14ac:dyDescent="0.25">
      <c r="A2064" s="11" t="s">
        <v>234</v>
      </c>
      <c r="B2064" s="11" t="s">
        <v>26</v>
      </c>
      <c r="C2064" s="11" t="s">
        <v>44</v>
      </c>
      <c r="D2064" s="12">
        <v>690</v>
      </c>
      <c r="E2064" s="13">
        <v>9</v>
      </c>
    </row>
    <row r="2065" spans="1:5" x14ac:dyDescent="0.25">
      <c r="A2065" s="11" t="s">
        <v>292</v>
      </c>
      <c r="B2065" s="11" t="s">
        <v>20</v>
      </c>
      <c r="C2065" s="11" t="s">
        <v>43</v>
      </c>
      <c r="D2065" s="12">
        <v>690</v>
      </c>
      <c r="E2065" s="13">
        <v>0</v>
      </c>
    </row>
    <row r="2066" spans="1:5" x14ac:dyDescent="0.25">
      <c r="A2066" s="11" t="s">
        <v>299</v>
      </c>
      <c r="B2066" s="11" t="s">
        <v>26</v>
      </c>
      <c r="C2066" s="11" t="s">
        <v>62</v>
      </c>
      <c r="D2066" s="12">
        <v>691</v>
      </c>
      <c r="E2066" s="13">
        <v>0</v>
      </c>
    </row>
    <row r="2067" spans="1:5" x14ac:dyDescent="0.25">
      <c r="A2067" s="11" t="s">
        <v>668</v>
      </c>
      <c r="B2067" s="11" t="s">
        <v>26</v>
      </c>
      <c r="C2067" s="11" t="s">
        <v>21</v>
      </c>
      <c r="D2067" s="12">
        <v>691</v>
      </c>
      <c r="E2067" s="13">
        <v>2</v>
      </c>
    </row>
    <row r="2068" spans="1:5" x14ac:dyDescent="0.25">
      <c r="A2068" s="11" t="s">
        <v>1273</v>
      </c>
      <c r="B2068" s="11" t="s">
        <v>20</v>
      </c>
      <c r="C2068" s="11" t="s">
        <v>44</v>
      </c>
      <c r="D2068" s="12">
        <v>691</v>
      </c>
      <c r="E2068" s="13">
        <v>10</v>
      </c>
    </row>
    <row r="2069" spans="1:5" x14ac:dyDescent="0.25">
      <c r="A2069" s="11" t="s">
        <v>1419</v>
      </c>
      <c r="B2069" s="11" t="s">
        <v>24</v>
      </c>
      <c r="C2069" s="11" t="s">
        <v>5</v>
      </c>
      <c r="D2069" s="12">
        <v>691</v>
      </c>
      <c r="E2069" s="13">
        <v>0</v>
      </c>
    </row>
    <row r="2070" spans="1:5" x14ac:dyDescent="0.25">
      <c r="A2070" s="11" t="s">
        <v>455</v>
      </c>
      <c r="B2070" s="11" t="s">
        <v>20</v>
      </c>
      <c r="C2070" s="11" t="s">
        <v>44</v>
      </c>
      <c r="D2070" s="12">
        <v>692</v>
      </c>
      <c r="E2070" s="13">
        <v>0</v>
      </c>
    </row>
    <row r="2071" spans="1:5" x14ac:dyDescent="0.25">
      <c r="A2071" s="11" t="s">
        <v>1495</v>
      </c>
      <c r="B2071" s="11" t="s">
        <v>26</v>
      </c>
      <c r="C2071" s="11" t="s">
        <v>30</v>
      </c>
      <c r="D2071" s="12">
        <v>692</v>
      </c>
      <c r="E2071" s="13">
        <v>0</v>
      </c>
    </row>
    <row r="2072" spans="1:5" x14ac:dyDescent="0.25">
      <c r="A2072" s="11" t="s">
        <v>1509</v>
      </c>
      <c r="B2072" s="11" t="s">
        <v>20</v>
      </c>
      <c r="C2072" s="11" t="s">
        <v>66</v>
      </c>
      <c r="D2072" s="12">
        <v>692</v>
      </c>
      <c r="E2072" s="13">
        <v>4</v>
      </c>
    </row>
    <row r="2073" spans="1:5" x14ac:dyDescent="0.25">
      <c r="A2073" s="11" t="s">
        <v>1587</v>
      </c>
      <c r="B2073" s="11" t="s">
        <v>26</v>
      </c>
      <c r="C2073" s="11" t="s">
        <v>34</v>
      </c>
      <c r="D2073" s="12">
        <v>692</v>
      </c>
      <c r="E2073" s="13">
        <v>0</v>
      </c>
    </row>
    <row r="2074" spans="1:5" x14ac:dyDescent="0.25">
      <c r="A2074" s="11" t="s">
        <v>1597</v>
      </c>
      <c r="B2074" s="11" t="s">
        <v>24</v>
      </c>
      <c r="C2074" s="11" t="s">
        <v>33</v>
      </c>
      <c r="D2074" s="12">
        <v>692</v>
      </c>
      <c r="E2074" s="13">
        <v>1</v>
      </c>
    </row>
    <row r="2075" spans="1:5" x14ac:dyDescent="0.25">
      <c r="A2075" s="11" t="s">
        <v>493</v>
      </c>
      <c r="B2075" s="11" t="s">
        <v>26</v>
      </c>
      <c r="C2075" s="11" t="s">
        <v>32</v>
      </c>
      <c r="D2075" s="12">
        <v>693</v>
      </c>
      <c r="E2075" s="13">
        <v>1</v>
      </c>
    </row>
    <row r="2076" spans="1:5" x14ac:dyDescent="0.25">
      <c r="A2076" s="11" t="s">
        <v>549</v>
      </c>
      <c r="B2076" s="11" t="s">
        <v>20</v>
      </c>
      <c r="C2076" s="11" t="s">
        <v>33</v>
      </c>
      <c r="D2076" s="12">
        <v>693</v>
      </c>
      <c r="E2076" s="13">
        <v>6</v>
      </c>
    </row>
    <row r="2077" spans="1:5" x14ac:dyDescent="0.25">
      <c r="A2077" s="11" t="s">
        <v>763</v>
      </c>
      <c r="B2077" s="11" t="s">
        <v>26</v>
      </c>
      <c r="C2077" s="11" t="s">
        <v>28</v>
      </c>
      <c r="D2077" s="12">
        <v>693</v>
      </c>
      <c r="E2077" s="13">
        <v>7</v>
      </c>
    </row>
    <row r="2078" spans="1:5" x14ac:dyDescent="0.25">
      <c r="A2078" s="11" t="s">
        <v>1216</v>
      </c>
      <c r="B2078" s="11" t="s">
        <v>20</v>
      </c>
      <c r="C2078" s="11" t="s">
        <v>39</v>
      </c>
      <c r="D2078" s="12">
        <v>693</v>
      </c>
      <c r="E2078" s="13">
        <v>2</v>
      </c>
    </row>
    <row r="2079" spans="1:5" x14ac:dyDescent="0.25">
      <c r="A2079" s="11" t="s">
        <v>1742</v>
      </c>
      <c r="B2079" s="11" t="s">
        <v>20</v>
      </c>
      <c r="C2079" s="11" t="s">
        <v>25</v>
      </c>
      <c r="D2079" s="12">
        <v>693</v>
      </c>
      <c r="E2079" s="13">
        <v>0</v>
      </c>
    </row>
    <row r="2080" spans="1:5" x14ac:dyDescent="0.25">
      <c r="A2080" s="11" t="s">
        <v>274</v>
      </c>
      <c r="B2080" s="11" t="s">
        <v>26</v>
      </c>
      <c r="C2080" s="11" t="s">
        <v>28</v>
      </c>
      <c r="D2080" s="12">
        <v>694</v>
      </c>
      <c r="E2080" s="13">
        <v>0</v>
      </c>
    </row>
    <row r="2081" spans="1:5" x14ac:dyDescent="0.25">
      <c r="A2081" s="11" t="s">
        <v>827</v>
      </c>
      <c r="B2081" s="11" t="s">
        <v>20</v>
      </c>
      <c r="C2081" s="11" t="s">
        <v>44</v>
      </c>
      <c r="D2081" s="12">
        <v>694</v>
      </c>
      <c r="E2081" s="13">
        <v>2</v>
      </c>
    </row>
    <row r="2082" spans="1:5" x14ac:dyDescent="0.25">
      <c r="A2082" s="11" t="s">
        <v>1416</v>
      </c>
      <c r="B2082" s="11" t="s">
        <v>20</v>
      </c>
      <c r="C2082" s="11" t="s">
        <v>27</v>
      </c>
      <c r="D2082" s="12">
        <v>694</v>
      </c>
      <c r="E2082" s="13">
        <v>1</v>
      </c>
    </row>
    <row r="2083" spans="1:5" x14ac:dyDescent="0.25">
      <c r="A2083" s="11" t="s">
        <v>1670</v>
      </c>
      <c r="B2083" s="11" t="s">
        <v>26</v>
      </c>
      <c r="C2083" s="11" t="s">
        <v>44</v>
      </c>
      <c r="D2083" s="12">
        <v>694</v>
      </c>
      <c r="E2083" s="13">
        <v>3</v>
      </c>
    </row>
    <row r="2084" spans="1:5" x14ac:dyDescent="0.25">
      <c r="A2084" s="11" t="s">
        <v>1754</v>
      </c>
      <c r="B2084" s="11" t="s">
        <v>20</v>
      </c>
      <c r="C2084" s="11" t="s">
        <v>5</v>
      </c>
      <c r="D2084" s="12">
        <v>695</v>
      </c>
      <c r="E2084" s="13">
        <v>5</v>
      </c>
    </row>
    <row r="2085" spans="1:5" x14ac:dyDescent="0.25">
      <c r="A2085" s="11" t="s">
        <v>1962</v>
      </c>
      <c r="B2085" s="11" t="s">
        <v>26</v>
      </c>
      <c r="C2085" s="11" t="s">
        <v>40</v>
      </c>
      <c r="D2085" s="12">
        <v>695</v>
      </c>
      <c r="E2085" s="13">
        <v>0</v>
      </c>
    </row>
    <row r="2086" spans="1:5" x14ac:dyDescent="0.25">
      <c r="A2086" s="11" t="s">
        <v>453</v>
      </c>
      <c r="B2086" s="11" t="s">
        <v>26</v>
      </c>
      <c r="C2086" s="11" t="s">
        <v>44</v>
      </c>
      <c r="D2086" s="12">
        <v>696</v>
      </c>
      <c r="E2086" s="13">
        <v>4</v>
      </c>
    </row>
    <row r="2087" spans="1:5" x14ac:dyDescent="0.25">
      <c r="A2087" s="11" t="s">
        <v>209</v>
      </c>
      <c r="B2087" s="11" t="s">
        <v>20</v>
      </c>
      <c r="C2087" s="11" t="s">
        <v>25</v>
      </c>
      <c r="D2087" s="12">
        <v>697</v>
      </c>
      <c r="E2087" s="13">
        <v>0</v>
      </c>
    </row>
    <row r="2088" spans="1:5" x14ac:dyDescent="0.25">
      <c r="A2088" s="11" t="s">
        <v>641</v>
      </c>
      <c r="B2088" s="11" t="s">
        <v>26</v>
      </c>
      <c r="C2088" s="11" t="s">
        <v>5</v>
      </c>
      <c r="D2088" s="12">
        <v>697</v>
      </c>
      <c r="E2088" s="13">
        <v>5</v>
      </c>
    </row>
    <row r="2089" spans="1:5" x14ac:dyDescent="0.25">
      <c r="A2089" s="11" t="s">
        <v>1576</v>
      </c>
      <c r="B2089" s="11" t="s">
        <v>24</v>
      </c>
      <c r="C2089" s="11" t="s">
        <v>34</v>
      </c>
      <c r="D2089" s="12">
        <v>697</v>
      </c>
      <c r="E2089" s="13">
        <v>5</v>
      </c>
    </row>
    <row r="2090" spans="1:5" x14ac:dyDescent="0.25">
      <c r="A2090" s="11" t="s">
        <v>1901</v>
      </c>
      <c r="B2090" s="11" t="s">
        <v>20</v>
      </c>
      <c r="C2090" s="11" t="s">
        <v>44</v>
      </c>
      <c r="D2090" s="12">
        <v>697</v>
      </c>
      <c r="E2090" s="13">
        <v>0</v>
      </c>
    </row>
    <row r="2091" spans="1:5" x14ac:dyDescent="0.25">
      <c r="A2091" s="11" t="s">
        <v>290</v>
      </c>
      <c r="B2091" s="11" t="s">
        <v>26</v>
      </c>
      <c r="C2091" s="11" t="s">
        <v>62</v>
      </c>
      <c r="D2091" s="12">
        <v>698</v>
      </c>
      <c r="E2091" s="13">
        <v>5</v>
      </c>
    </row>
    <row r="2092" spans="1:5" x14ac:dyDescent="0.25">
      <c r="A2092" s="11" t="s">
        <v>668</v>
      </c>
      <c r="B2092" s="11" t="s">
        <v>24</v>
      </c>
      <c r="C2092" s="11" t="s">
        <v>39</v>
      </c>
      <c r="D2092" s="12">
        <v>698</v>
      </c>
      <c r="E2092" s="13">
        <v>0</v>
      </c>
    </row>
    <row r="2093" spans="1:5" x14ac:dyDescent="0.25">
      <c r="A2093" s="11" t="s">
        <v>969</v>
      </c>
      <c r="B2093" s="11" t="s">
        <v>26</v>
      </c>
      <c r="C2093" s="11" t="s">
        <v>44</v>
      </c>
      <c r="D2093" s="12">
        <v>698</v>
      </c>
      <c r="E2093" s="13">
        <v>0</v>
      </c>
    </row>
    <row r="2094" spans="1:5" x14ac:dyDescent="0.25">
      <c r="A2094" s="11" t="s">
        <v>1416</v>
      </c>
      <c r="B2094" s="11" t="s">
        <v>24</v>
      </c>
      <c r="C2094" s="11" t="s">
        <v>22</v>
      </c>
      <c r="D2094" s="12">
        <v>698</v>
      </c>
      <c r="E2094" s="13">
        <v>1</v>
      </c>
    </row>
    <row r="2095" spans="1:5" x14ac:dyDescent="0.25">
      <c r="A2095" s="11" t="s">
        <v>709</v>
      </c>
      <c r="B2095" s="11" t="s">
        <v>26</v>
      </c>
      <c r="C2095" s="11" t="s">
        <v>39</v>
      </c>
      <c r="D2095" s="12">
        <v>699</v>
      </c>
      <c r="E2095" s="13">
        <v>0</v>
      </c>
    </row>
    <row r="2096" spans="1:5" x14ac:dyDescent="0.25">
      <c r="A2096" s="11" t="s">
        <v>1125</v>
      </c>
      <c r="B2096" s="11" t="s">
        <v>20</v>
      </c>
      <c r="C2096" s="11" t="s">
        <v>27</v>
      </c>
      <c r="D2096" s="12">
        <v>699</v>
      </c>
      <c r="E2096" s="13">
        <v>2</v>
      </c>
    </row>
    <row r="2097" spans="1:5" x14ac:dyDescent="0.25">
      <c r="A2097" s="11" t="s">
        <v>1147</v>
      </c>
      <c r="B2097" s="11" t="s">
        <v>24</v>
      </c>
      <c r="C2097" s="11" t="s">
        <v>32</v>
      </c>
      <c r="D2097" s="12">
        <v>699</v>
      </c>
      <c r="E2097" s="13">
        <v>0</v>
      </c>
    </row>
    <row r="2098" spans="1:5" x14ac:dyDescent="0.25">
      <c r="A2098" s="11" t="s">
        <v>140</v>
      </c>
      <c r="B2098" s="11" t="s">
        <v>26</v>
      </c>
      <c r="C2098" s="11" t="s">
        <v>39</v>
      </c>
      <c r="D2098" s="12">
        <v>700</v>
      </c>
      <c r="E2098" s="13">
        <v>5</v>
      </c>
    </row>
    <row r="2099" spans="1:5" x14ac:dyDescent="0.25">
      <c r="A2099" s="11" t="s">
        <v>1251</v>
      </c>
      <c r="B2099" s="11" t="s">
        <v>24</v>
      </c>
      <c r="C2099" s="11" t="s">
        <v>27</v>
      </c>
      <c r="D2099" s="12">
        <v>700</v>
      </c>
      <c r="E2099" s="13">
        <v>1</v>
      </c>
    </row>
    <row r="2100" spans="1:5" x14ac:dyDescent="0.25">
      <c r="A2100" s="11" t="s">
        <v>1835</v>
      </c>
      <c r="B2100" s="11" t="s">
        <v>20</v>
      </c>
      <c r="C2100" s="11" t="s">
        <v>53</v>
      </c>
      <c r="D2100" s="12">
        <v>700</v>
      </c>
      <c r="E2100" s="13">
        <v>4</v>
      </c>
    </row>
    <row r="2101" spans="1:5" x14ac:dyDescent="0.25">
      <c r="A2101" s="11" t="s">
        <v>640</v>
      </c>
      <c r="B2101" s="11" t="s">
        <v>26</v>
      </c>
      <c r="C2101" s="11" t="s">
        <v>44</v>
      </c>
      <c r="D2101" s="12">
        <v>701</v>
      </c>
      <c r="E2101" s="13">
        <v>0</v>
      </c>
    </row>
    <row r="2102" spans="1:5" x14ac:dyDescent="0.25">
      <c r="A2102" s="11" t="s">
        <v>1506</v>
      </c>
      <c r="B2102" s="11" t="s">
        <v>26</v>
      </c>
      <c r="C2102" s="11" t="s">
        <v>62</v>
      </c>
      <c r="D2102" s="12">
        <v>701</v>
      </c>
      <c r="E2102" s="13">
        <v>0</v>
      </c>
    </row>
    <row r="2103" spans="1:5" x14ac:dyDescent="0.25">
      <c r="A2103" s="11" t="s">
        <v>97</v>
      </c>
      <c r="B2103" s="11" t="s">
        <v>24</v>
      </c>
      <c r="C2103" s="11" t="s">
        <v>39</v>
      </c>
      <c r="D2103" s="12">
        <v>702</v>
      </c>
      <c r="E2103" s="13">
        <v>1</v>
      </c>
    </row>
    <row r="2104" spans="1:5" x14ac:dyDescent="0.25">
      <c r="A2104" s="11" t="s">
        <v>1207</v>
      </c>
      <c r="B2104" s="11" t="s">
        <v>24</v>
      </c>
      <c r="C2104" s="11" t="s">
        <v>21</v>
      </c>
      <c r="D2104" s="12">
        <v>702</v>
      </c>
      <c r="E2104" s="13">
        <v>0</v>
      </c>
    </row>
    <row r="2105" spans="1:5" x14ac:dyDescent="0.25">
      <c r="A2105" s="11" t="s">
        <v>1775</v>
      </c>
      <c r="B2105" s="11" t="s">
        <v>24</v>
      </c>
      <c r="C2105" s="11" t="s">
        <v>5</v>
      </c>
      <c r="D2105" s="12">
        <v>702</v>
      </c>
      <c r="E2105" s="13">
        <v>1</v>
      </c>
    </row>
    <row r="2106" spans="1:5" x14ac:dyDescent="0.25">
      <c r="A2106" s="11" t="s">
        <v>854</v>
      </c>
      <c r="B2106" s="11" t="s">
        <v>20</v>
      </c>
      <c r="C2106" s="11" t="s">
        <v>22</v>
      </c>
      <c r="D2106" s="12">
        <v>703</v>
      </c>
      <c r="E2106" s="13">
        <v>0</v>
      </c>
    </row>
    <row r="2107" spans="1:5" x14ac:dyDescent="0.25">
      <c r="A2107" s="11" t="s">
        <v>962</v>
      </c>
      <c r="B2107" s="11" t="s">
        <v>26</v>
      </c>
      <c r="C2107" s="11" t="s">
        <v>28</v>
      </c>
      <c r="D2107" s="12">
        <v>703</v>
      </c>
      <c r="E2107" s="13">
        <v>5</v>
      </c>
    </row>
    <row r="2108" spans="1:5" x14ac:dyDescent="0.25">
      <c r="A2108" s="11" t="s">
        <v>1657</v>
      </c>
      <c r="B2108" s="11" t="s">
        <v>24</v>
      </c>
      <c r="C2108" s="11" t="s">
        <v>25</v>
      </c>
      <c r="D2108" s="12">
        <v>703</v>
      </c>
      <c r="E2108" s="13">
        <v>1</v>
      </c>
    </row>
    <row r="2109" spans="1:5" x14ac:dyDescent="0.25">
      <c r="A2109" s="11" t="s">
        <v>818</v>
      </c>
      <c r="B2109" s="11" t="s">
        <v>24</v>
      </c>
      <c r="C2109" s="11" t="s">
        <v>32</v>
      </c>
      <c r="D2109" s="12">
        <v>704</v>
      </c>
      <c r="E2109" s="13">
        <v>0</v>
      </c>
    </row>
    <row r="2110" spans="1:5" x14ac:dyDescent="0.25">
      <c r="A2110" s="11" t="s">
        <v>984</v>
      </c>
      <c r="B2110" s="11" t="s">
        <v>24</v>
      </c>
      <c r="C2110" s="11" t="s">
        <v>44</v>
      </c>
      <c r="D2110" s="12">
        <v>704</v>
      </c>
      <c r="E2110" s="13">
        <v>2</v>
      </c>
    </row>
    <row r="2111" spans="1:5" x14ac:dyDescent="0.25">
      <c r="A2111" s="11" t="s">
        <v>1242</v>
      </c>
      <c r="B2111" s="11" t="s">
        <v>20</v>
      </c>
      <c r="C2111" s="11" t="s">
        <v>44</v>
      </c>
      <c r="D2111" s="12">
        <v>704</v>
      </c>
      <c r="E2111" s="13">
        <v>0</v>
      </c>
    </row>
    <row r="2112" spans="1:5" x14ac:dyDescent="0.25">
      <c r="A2112" s="11" t="s">
        <v>1410</v>
      </c>
      <c r="B2112" s="11" t="s">
        <v>20</v>
      </c>
      <c r="C2112" s="11" t="s">
        <v>39</v>
      </c>
      <c r="D2112" s="12">
        <v>704</v>
      </c>
      <c r="E2112" s="13">
        <v>3</v>
      </c>
    </row>
    <row r="2113" spans="1:5" x14ac:dyDescent="0.25">
      <c r="A2113" s="11" t="s">
        <v>1831</v>
      </c>
      <c r="B2113" s="11" t="s">
        <v>20</v>
      </c>
      <c r="C2113" s="11" t="s">
        <v>30</v>
      </c>
      <c r="D2113" s="12">
        <v>704</v>
      </c>
      <c r="E2113" s="13">
        <v>0</v>
      </c>
    </row>
    <row r="2114" spans="1:5" x14ac:dyDescent="0.25">
      <c r="A2114" s="11" t="s">
        <v>245</v>
      </c>
      <c r="B2114" s="11" t="s">
        <v>26</v>
      </c>
      <c r="C2114" s="11" t="s">
        <v>5</v>
      </c>
      <c r="D2114" s="12">
        <v>705</v>
      </c>
      <c r="E2114" s="13">
        <v>1</v>
      </c>
    </row>
    <row r="2115" spans="1:5" x14ac:dyDescent="0.25">
      <c r="A2115" s="11" t="s">
        <v>1366</v>
      </c>
      <c r="B2115" s="11" t="s">
        <v>20</v>
      </c>
      <c r="C2115" s="11" t="s">
        <v>39</v>
      </c>
      <c r="D2115" s="12">
        <v>705</v>
      </c>
      <c r="E2115" s="13">
        <v>0</v>
      </c>
    </row>
    <row r="2116" spans="1:5" x14ac:dyDescent="0.25">
      <c r="A2116" s="11" t="s">
        <v>1697</v>
      </c>
      <c r="B2116" s="11" t="s">
        <v>26</v>
      </c>
      <c r="C2116" s="11" t="s">
        <v>43</v>
      </c>
      <c r="D2116" s="12">
        <v>705</v>
      </c>
      <c r="E2116" s="13">
        <v>2</v>
      </c>
    </row>
    <row r="2117" spans="1:5" x14ac:dyDescent="0.25">
      <c r="A2117" s="11" t="s">
        <v>202</v>
      </c>
      <c r="B2117" s="11" t="s">
        <v>24</v>
      </c>
      <c r="C2117" s="11" t="s">
        <v>111</v>
      </c>
      <c r="D2117" s="12">
        <v>706</v>
      </c>
      <c r="E2117" s="13">
        <v>0</v>
      </c>
    </row>
    <row r="2118" spans="1:5" x14ac:dyDescent="0.25">
      <c r="A2118" s="11" t="s">
        <v>746</v>
      </c>
      <c r="B2118" s="11" t="s">
        <v>24</v>
      </c>
      <c r="C2118" s="11" t="s">
        <v>34</v>
      </c>
      <c r="D2118" s="12">
        <v>707</v>
      </c>
      <c r="E2118" s="13">
        <v>5</v>
      </c>
    </row>
    <row r="2119" spans="1:5" x14ac:dyDescent="0.25">
      <c r="A2119" s="11" t="s">
        <v>1668</v>
      </c>
      <c r="B2119" s="11" t="s">
        <v>20</v>
      </c>
      <c r="C2119" s="11" t="s">
        <v>28</v>
      </c>
      <c r="D2119" s="12">
        <v>707</v>
      </c>
      <c r="E2119" s="13">
        <v>2</v>
      </c>
    </row>
    <row r="2120" spans="1:5" x14ac:dyDescent="0.25">
      <c r="A2120" s="11" t="s">
        <v>1889</v>
      </c>
      <c r="B2120" s="11" t="s">
        <v>26</v>
      </c>
      <c r="C2120" s="11" t="s">
        <v>62</v>
      </c>
      <c r="D2120" s="12">
        <v>707</v>
      </c>
      <c r="E2120" s="13">
        <v>0</v>
      </c>
    </row>
    <row r="2121" spans="1:5" x14ac:dyDescent="0.25">
      <c r="A2121" s="11" t="s">
        <v>342</v>
      </c>
      <c r="B2121" s="11" t="s">
        <v>24</v>
      </c>
      <c r="C2121" s="11" t="s">
        <v>30</v>
      </c>
      <c r="D2121" s="12">
        <v>708</v>
      </c>
      <c r="E2121" s="13">
        <v>4</v>
      </c>
    </row>
    <row r="2122" spans="1:5" x14ac:dyDescent="0.25">
      <c r="A2122" s="11" t="s">
        <v>669</v>
      </c>
      <c r="B2122" s="11" t="s">
        <v>20</v>
      </c>
      <c r="C2122" s="11" t="s">
        <v>5</v>
      </c>
      <c r="D2122" s="12">
        <v>708</v>
      </c>
      <c r="E2122" s="13">
        <v>0</v>
      </c>
    </row>
    <row r="2123" spans="1:5" x14ac:dyDescent="0.25">
      <c r="A2123" s="11" t="s">
        <v>679</v>
      </c>
      <c r="B2123" s="11" t="s">
        <v>20</v>
      </c>
      <c r="C2123" s="11" t="s">
        <v>44</v>
      </c>
      <c r="D2123" s="12">
        <v>708</v>
      </c>
      <c r="E2123" s="13">
        <v>4</v>
      </c>
    </row>
    <row r="2124" spans="1:5" x14ac:dyDescent="0.25">
      <c r="A2124" s="11" t="s">
        <v>1436</v>
      </c>
      <c r="B2124" s="11" t="s">
        <v>24</v>
      </c>
      <c r="C2124" s="11" t="s">
        <v>44</v>
      </c>
      <c r="D2124" s="12">
        <v>708</v>
      </c>
      <c r="E2124" s="13">
        <v>0</v>
      </c>
    </row>
    <row r="2125" spans="1:5" x14ac:dyDescent="0.25">
      <c r="A2125" s="11" t="s">
        <v>508</v>
      </c>
      <c r="B2125" s="11" t="s">
        <v>20</v>
      </c>
      <c r="C2125" s="11" t="s">
        <v>111</v>
      </c>
      <c r="D2125" s="12">
        <v>709</v>
      </c>
      <c r="E2125" s="13">
        <v>1</v>
      </c>
    </row>
    <row r="2126" spans="1:5" x14ac:dyDescent="0.25">
      <c r="A2126" s="11" t="s">
        <v>1768</v>
      </c>
      <c r="B2126" s="11" t="s">
        <v>26</v>
      </c>
      <c r="C2126" s="11" t="s">
        <v>44</v>
      </c>
      <c r="D2126" s="12">
        <v>709</v>
      </c>
      <c r="E2126" s="13">
        <v>0</v>
      </c>
    </row>
    <row r="2127" spans="1:5" x14ac:dyDescent="0.25">
      <c r="A2127" s="11" t="s">
        <v>754</v>
      </c>
      <c r="B2127" s="11" t="s">
        <v>20</v>
      </c>
      <c r="C2127" s="11" t="s">
        <v>27</v>
      </c>
      <c r="D2127" s="12">
        <v>710</v>
      </c>
      <c r="E2127" s="13">
        <v>0</v>
      </c>
    </row>
    <row r="2128" spans="1:5" x14ac:dyDescent="0.25">
      <c r="A2128" s="11" t="s">
        <v>1435</v>
      </c>
      <c r="B2128" s="11" t="s">
        <v>26</v>
      </c>
      <c r="C2128" s="11" t="s">
        <v>25</v>
      </c>
      <c r="D2128" s="12">
        <v>710</v>
      </c>
      <c r="E2128" s="13">
        <v>0</v>
      </c>
    </row>
    <row r="2129" spans="1:5" x14ac:dyDescent="0.25">
      <c r="A2129" s="11" t="s">
        <v>1943</v>
      </c>
      <c r="B2129" s="11" t="s">
        <v>24</v>
      </c>
      <c r="C2129" s="11" t="s">
        <v>27</v>
      </c>
      <c r="D2129" s="12">
        <v>710</v>
      </c>
      <c r="E2129" s="13">
        <v>1</v>
      </c>
    </row>
    <row r="2130" spans="1:5" x14ac:dyDescent="0.25">
      <c r="A2130" s="11" t="s">
        <v>673</v>
      </c>
      <c r="B2130" s="11" t="s">
        <v>20</v>
      </c>
      <c r="C2130" s="11" t="s">
        <v>40</v>
      </c>
      <c r="D2130" s="12">
        <v>711</v>
      </c>
      <c r="E2130" s="13">
        <v>1</v>
      </c>
    </row>
    <row r="2131" spans="1:5" x14ac:dyDescent="0.25">
      <c r="A2131" s="11" t="s">
        <v>965</v>
      </c>
      <c r="B2131" s="11" t="s">
        <v>20</v>
      </c>
      <c r="C2131" s="11" t="s">
        <v>34</v>
      </c>
      <c r="D2131" s="12">
        <v>712</v>
      </c>
      <c r="E2131" s="13">
        <v>0</v>
      </c>
    </row>
    <row r="2132" spans="1:5" x14ac:dyDescent="0.25">
      <c r="A2132" s="11" t="s">
        <v>432</v>
      </c>
      <c r="B2132" s="11" t="s">
        <v>26</v>
      </c>
      <c r="C2132" s="11" t="s">
        <v>44</v>
      </c>
      <c r="D2132" s="12">
        <v>713</v>
      </c>
      <c r="E2132" s="13">
        <v>0</v>
      </c>
    </row>
    <row r="2133" spans="1:5" x14ac:dyDescent="0.25">
      <c r="A2133" s="11" t="s">
        <v>346</v>
      </c>
      <c r="B2133" s="11" t="s">
        <v>24</v>
      </c>
      <c r="C2133" s="11" t="s">
        <v>39</v>
      </c>
      <c r="D2133" s="12">
        <v>714</v>
      </c>
      <c r="E2133" s="13">
        <v>10</v>
      </c>
    </row>
    <row r="2134" spans="1:5" x14ac:dyDescent="0.25">
      <c r="A2134" s="11" t="s">
        <v>1000</v>
      </c>
      <c r="B2134" s="11" t="s">
        <v>26</v>
      </c>
      <c r="C2134" s="11" t="s">
        <v>39</v>
      </c>
      <c r="D2134" s="12">
        <v>714</v>
      </c>
      <c r="E2134" s="13">
        <v>4</v>
      </c>
    </row>
    <row r="2135" spans="1:5" x14ac:dyDescent="0.25">
      <c r="A2135" s="11" t="s">
        <v>1368</v>
      </c>
      <c r="B2135" s="11" t="s">
        <v>26</v>
      </c>
      <c r="C2135" s="11" t="s">
        <v>53</v>
      </c>
      <c r="D2135" s="12">
        <v>714</v>
      </c>
      <c r="E2135" s="13">
        <v>0</v>
      </c>
    </row>
    <row r="2136" spans="1:5" x14ac:dyDescent="0.25">
      <c r="A2136" s="11" t="s">
        <v>1440</v>
      </c>
      <c r="B2136" s="11" t="s">
        <v>26</v>
      </c>
      <c r="C2136" s="11" t="s">
        <v>25</v>
      </c>
      <c r="D2136" s="12">
        <v>714</v>
      </c>
      <c r="E2136" s="13">
        <v>0</v>
      </c>
    </row>
    <row r="2137" spans="1:5" x14ac:dyDescent="0.25">
      <c r="A2137" s="11" t="s">
        <v>490</v>
      </c>
      <c r="B2137" s="11" t="s">
        <v>20</v>
      </c>
      <c r="C2137" s="11" t="s">
        <v>28</v>
      </c>
      <c r="D2137" s="12">
        <v>715</v>
      </c>
      <c r="E2137" s="13">
        <v>3</v>
      </c>
    </row>
    <row r="2138" spans="1:5" x14ac:dyDescent="0.25">
      <c r="A2138" s="11" t="s">
        <v>491</v>
      </c>
      <c r="B2138" s="11" t="s">
        <v>24</v>
      </c>
      <c r="C2138" s="11" t="s">
        <v>43</v>
      </c>
      <c r="D2138" s="12">
        <v>715</v>
      </c>
      <c r="E2138" s="13">
        <v>3</v>
      </c>
    </row>
    <row r="2139" spans="1:5" x14ac:dyDescent="0.25">
      <c r="A2139" s="11" t="s">
        <v>1327</v>
      </c>
      <c r="B2139" s="11" t="s">
        <v>24</v>
      </c>
      <c r="C2139" s="11" t="s">
        <v>30</v>
      </c>
      <c r="D2139" s="12">
        <v>715</v>
      </c>
      <c r="E2139" s="13">
        <v>5</v>
      </c>
    </row>
    <row r="2140" spans="1:5" x14ac:dyDescent="0.25">
      <c r="A2140" s="11" t="s">
        <v>1398</v>
      </c>
      <c r="B2140" s="11" t="s">
        <v>24</v>
      </c>
      <c r="C2140" s="11" t="s">
        <v>53</v>
      </c>
      <c r="D2140" s="12">
        <v>715</v>
      </c>
      <c r="E2140" s="13">
        <v>4</v>
      </c>
    </row>
    <row r="2141" spans="1:5" x14ac:dyDescent="0.25">
      <c r="A2141" s="11" t="s">
        <v>1544</v>
      </c>
      <c r="B2141" s="11" t="s">
        <v>24</v>
      </c>
      <c r="C2141" s="11" t="s">
        <v>62</v>
      </c>
      <c r="D2141" s="12">
        <v>715</v>
      </c>
      <c r="E2141" s="13">
        <v>1</v>
      </c>
    </row>
    <row r="2142" spans="1:5" x14ac:dyDescent="0.25">
      <c r="A2142" s="11" t="s">
        <v>1661</v>
      </c>
      <c r="B2142" s="11" t="s">
        <v>26</v>
      </c>
      <c r="C2142" s="11" t="s">
        <v>27</v>
      </c>
      <c r="D2142" s="12">
        <v>715</v>
      </c>
      <c r="E2142" s="13">
        <v>0</v>
      </c>
    </row>
    <row r="2143" spans="1:5" x14ac:dyDescent="0.25">
      <c r="A2143" s="11" t="s">
        <v>1911</v>
      </c>
      <c r="B2143" s="11" t="s">
        <v>20</v>
      </c>
      <c r="C2143" s="11" t="s">
        <v>44</v>
      </c>
      <c r="D2143" s="12">
        <v>715</v>
      </c>
      <c r="E2143" s="13">
        <v>11</v>
      </c>
    </row>
    <row r="2144" spans="1:5" x14ac:dyDescent="0.25">
      <c r="A2144" s="11" t="s">
        <v>136</v>
      </c>
      <c r="B2144" s="11" t="s">
        <v>24</v>
      </c>
      <c r="C2144" s="11" t="s">
        <v>30</v>
      </c>
      <c r="D2144" s="12">
        <v>716</v>
      </c>
      <c r="E2144" s="13">
        <v>0</v>
      </c>
    </row>
    <row r="2145" spans="1:5" x14ac:dyDescent="0.25">
      <c r="A2145" s="11" t="s">
        <v>368</v>
      </c>
      <c r="B2145" s="11" t="s">
        <v>20</v>
      </c>
      <c r="C2145" s="11" t="s">
        <v>44</v>
      </c>
      <c r="D2145" s="12">
        <v>716</v>
      </c>
      <c r="E2145" s="13">
        <v>6</v>
      </c>
    </row>
    <row r="2146" spans="1:5" x14ac:dyDescent="0.25">
      <c r="A2146" s="11" t="s">
        <v>909</v>
      </c>
      <c r="B2146" s="11" t="s">
        <v>20</v>
      </c>
      <c r="C2146" s="11" t="s">
        <v>25</v>
      </c>
      <c r="D2146" s="12">
        <v>716</v>
      </c>
      <c r="E2146" s="13">
        <v>3</v>
      </c>
    </row>
    <row r="2147" spans="1:5" x14ac:dyDescent="0.25">
      <c r="A2147" s="11" t="s">
        <v>1915</v>
      </c>
      <c r="B2147" s="11" t="s">
        <v>26</v>
      </c>
      <c r="C2147" s="11" t="s">
        <v>53</v>
      </c>
      <c r="D2147" s="12">
        <v>716</v>
      </c>
      <c r="E2147" s="13">
        <v>1</v>
      </c>
    </row>
    <row r="2148" spans="1:5" x14ac:dyDescent="0.25">
      <c r="A2148" s="11" t="s">
        <v>41</v>
      </c>
      <c r="B2148" s="11" t="s">
        <v>26</v>
      </c>
      <c r="C2148" s="11" t="s">
        <v>27</v>
      </c>
      <c r="D2148" s="12">
        <v>717</v>
      </c>
      <c r="E2148" s="13">
        <v>4</v>
      </c>
    </row>
    <row r="2149" spans="1:5" x14ac:dyDescent="0.25">
      <c r="A2149" s="11" t="s">
        <v>573</v>
      </c>
      <c r="B2149" s="11" t="s">
        <v>26</v>
      </c>
      <c r="C2149" s="11" t="s">
        <v>5</v>
      </c>
      <c r="D2149" s="12">
        <v>717</v>
      </c>
      <c r="E2149" s="13">
        <v>1</v>
      </c>
    </row>
    <row r="2150" spans="1:5" x14ac:dyDescent="0.25">
      <c r="A2150" s="11" t="s">
        <v>859</v>
      </c>
      <c r="B2150" s="11" t="s">
        <v>24</v>
      </c>
      <c r="C2150" s="11" t="s">
        <v>111</v>
      </c>
      <c r="D2150" s="12">
        <v>717</v>
      </c>
      <c r="E2150" s="13">
        <v>0</v>
      </c>
    </row>
    <row r="2151" spans="1:5" x14ac:dyDescent="0.25">
      <c r="A2151" s="11" t="s">
        <v>1004</v>
      </c>
      <c r="B2151" s="11" t="s">
        <v>26</v>
      </c>
      <c r="C2151" s="11" t="s">
        <v>43</v>
      </c>
      <c r="D2151" s="12">
        <v>717</v>
      </c>
      <c r="E2151" s="13">
        <v>14</v>
      </c>
    </row>
    <row r="2152" spans="1:5" x14ac:dyDescent="0.25">
      <c r="A2152" s="11" t="s">
        <v>1129</v>
      </c>
      <c r="B2152" s="11" t="s">
        <v>24</v>
      </c>
      <c r="C2152" s="11" t="s">
        <v>66</v>
      </c>
      <c r="D2152" s="12">
        <v>717</v>
      </c>
      <c r="E2152" s="13">
        <v>0</v>
      </c>
    </row>
    <row r="2153" spans="1:5" x14ac:dyDescent="0.25">
      <c r="A2153" s="11" t="s">
        <v>1202</v>
      </c>
      <c r="B2153" s="11" t="s">
        <v>20</v>
      </c>
      <c r="C2153" s="11" t="s">
        <v>28</v>
      </c>
      <c r="D2153" s="12">
        <v>717</v>
      </c>
      <c r="E2153" s="13">
        <v>0</v>
      </c>
    </row>
    <row r="2154" spans="1:5" x14ac:dyDescent="0.25">
      <c r="A2154" s="11" t="s">
        <v>1958</v>
      </c>
      <c r="B2154" s="11" t="s">
        <v>20</v>
      </c>
      <c r="C2154" s="11" t="s">
        <v>27</v>
      </c>
      <c r="D2154" s="12">
        <v>717</v>
      </c>
      <c r="E2154" s="13">
        <v>4</v>
      </c>
    </row>
    <row r="2155" spans="1:5" x14ac:dyDescent="0.25">
      <c r="A2155" s="11" t="s">
        <v>1968</v>
      </c>
      <c r="B2155" s="11" t="s">
        <v>24</v>
      </c>
      <c r="C2155" s="11" t="s">
        <v>44</v>
      </c>
      <c r="D2155" s="12">
        <v>717</v>
      </c>
      <c r="E2155" s="13">
        <v>2</v>
      </c>
    </row>
    <row r="2156" spans="1:5" x14ac:dyDescent="0.25">
      <c r="A2156" s="11" t="s">
        <v>169</v>
      </c>
      <c r="B2156" s="11" t="s">
        <v>24</v>
      </c>
      <c r="C2156" s="11" t="s">
        <v>44</v>
      </c>
      <c r="D2156" s="12">
        <v>718</v>
      </c>
      <c r="E2156" s="13">
        <v>5</v>
      </c>
    </row>
    <row r="2157" spans="1:5" x14ac:dyDescent="0.25">
      <c r="A2157" s="11" t="s">
        <v>1357</v>
      </c>
      <c r="B2157" s="11" t="s">
        <v>26</v>
      </c>
      <c r="C2157" s="11" t="s">
        <v>5</v>
      </c>
      <c r="D2157" s="12">
        <v>718</v>
      </c>
      <c r="E2157" s="13">
        <v>1</v>
      </c>
    </row>
    <row r="2158" spans="1:5" x14ac:dyDescent="0.25">
      <c r="A2158" s="11" t="s">
        <v>1558</v>
      </c>
      <c r="B2158" s="11" t="s">
        <v>26</v>
      </c>
      <c r="C2158" s="11" t="s">
        <v>21</v>
      </c>
      <c r="D2158" s="12">
        <v>718</v>
      </c>
      <c r="E2158" s="13">
        <v>0</v>
      </c>
    </row>
    <row r="2159" spans="1:5" x14ac:dyDescent="0.25">
      <c r="A2159" s="11" t="s">
        <v>689</v>
      </c>
      <c r="B2159" s="11" t="s">
        <v>24</v>
      </c>
      <c r="C2159" s="11" t="s">
        <v>5</v>
      </c>
      <c r="D2159" s="12">
        <v>719</v>
      </c>
      <c r="E2159" s="13">
        <v>0</v>
      </c>
    </row>
    <row r="2160" spans="1:5" x14ac:dyDescent="0.25">
      <c r="A2160" s="11" t="s">
        <v>754</v>
      </c>
      <c r="B2160" s="11" t="s">
        <v>20</v>
      </c>
      <c r="C2160" s="11" t="s">
        <v>39</v>
      </c>
      <c r="D2160" s="12">
        <v>720</v>
      </c>
      <c r="E2160" s="13">
        <v>6</v>
      </c>
    </row>
    <row r="2161" spans="1:5" x14ac:dyDescent="0.25">
      <c r="A2161" s="11" t="s">
        <v>1070</v>
      </c>
      <c r="B2161" s="11" t="s">
        <v>24</v>
      </c>
      <c r="C2161" s="11" t="s">
        <v>44</v>
      </c>
      <c r="D2161" s="12">
        <v>720</v>
      </c>
      <c r="E2161" s="13">
        <v>0</v>
      </c>
    </row>
    <row r="2162" spans="1:5" x14ac:dyDescent="0.25">
      <c r="A2162" s="11" t="s">
        <v>161</v>
      </c>
      <c r="B2162" s="11" t="s">
        <v>20</v>
      </c>
      <c r="C2162" s="11" t="s">
        <v>66</v>
      </c>
      <c r="D2162" s="12">
        <v>721</v>
      </c>
      <c r="E2162" s="13">
        <v>2</v>
      </c>
    </row>
    <row r="2163" spans="1:5" x14ac:dyDescent="0.25">
      <c r="A2163" s="11" t="s">
        <v>458</v>
      </c>
      <c r="B2163" s="11" t="s">
        <v>26</v>
      </c>
      <c r="C2163" s="11" t="s">
        <v>25</v>
      </c>
      <c r="D2163" s="12">
        <v>721</v>
      </c>
      <c r="E2163" s="13">
        <v>0</v>
      </c>
    </row>
    <row r="2164" spans="1:5" x14ac:dyDescent="0.25">
      <c r="A2164" s="11" t="s">
        <v>620</v>
      </c>
      <c r="B2164" s="11" t="s">
        <v>20</v>
      </c>
      <c r="C2164" s="11" t="s">
        <v>5</v>
      </c>
      <c r="D2164" s="12">
        <v>721</v>
      </c>
      <c r="E2164" s="13">
        <v>2</v>
      </c>
    </row>
    <row r="2165" spans="1:5" x14ac:dyDescent="0.25">
      <c r="A2165" s="11" t="s">
        <v>696</v>
      </c>
      <c r="B2165" s="11" t="s">
        <v>24</v>
      </c>
      <c r="C2165" s="11" t="s">
        <v>39</v>
      </c>
      <c r="D2165" s="12">
        <v>721</v>
      </c>
      <c r="E2165" s="13">
        <v>0</v>
      </c>
    </row>
    <row r="2166" spans="1:5" x14ac:dyDescent="0.25">
      <c r="A2166" s="11" t="s">
        <v>342</v>
      </c>
      <c r="B2166" s="11" t="s">
        <v>26</v>
      </c>
      <c r="C2166" s="11" t="s">
        <v>44</v>
      </c>
      <c r="D2166" s="12">
        <v>722</v>
      </c>
      <c r="E2166" s="13">
        <v>1</v>
      </c>
    </row>
    <row r="2167" spans="1:5" x14ac:dyDescent="0.25">
      <c r="A2167" s="11" t="s">
        <v>410</v>
      </c>
      <c r="B2167" s="11" t="s">
        <v>26</v>
      </c>
      <c r="C2167" s="11" t="s">
        <v>30</v>
      </c>
      <c r="D2167" s="12">
        <v>722</v>
      </c>
      <c r="E2167" s="13">
        <v>7</v>
      </c>
    </row>
    <row r="2168" spans="1:5" x14ac:dyDescent="0.25">
      <c r="A2168" s="11" t="s">
        <v>513</v>
      </c>
      <c r="B2168" s="11" t="s">
        <v>24</v>
      </c>
      <c r="C2168" s="11" t="s">
        <v>44</v>
      </c>
      <c r="D2168" s="12">
        <v>722</v>
      </c>
      <c r="E2168" s="13">
        <v>0</v>
      </c>
    </row>
    <row r="2169" spans="1:5" x14ac:dyDescent="0.25">
      <c r="A2169" s="11" t="s">
        <v>787</v>
      </c>
      <c r="B2169" s="11" t="s">
        <v>26</v>
      </c>
      <c r="C2169" s="11" t="s">
        <v>44</v>
      </c>
      <c r="D2169" s="12">
        <v>722</v>
      </c>
      <c r="E2169" s="13">
        <v>0</v>
      </c>
    </row>
    <row r="2170" spans="1:5" x14ac:dyDescent="0.25">
      <c r="A2170" s="11" t="s">
        <v>1486</v>
      </c>
      <c r="B2170" s="11" t="s">
        <v>20</v>
      </c>
      <c r="C2170" s="11" t="s">
        <v>5</v>
      </c>
      <c r="D2170" s="12">
        <v>722</v>
      </c>
      <c r="E2170" s="13">
        <v>0</v>
      </c>
    </row>
    <row r="2171" spans="1:5" x14ac:dyDescent="0.25">
      <c r="A2171" s="11" t="s">
        <v>745</v>
      </c>
      <c r="B2171" s="11" t="s">
        <v>26</v>
      </c>
      <c r="C2171" s="11" t="s">
        <v>30</v>
      </c>
      <c r="D2171" s="12">
        <v>724</v>
      </c>
      <c r="E2171" s="13">
        <v>2</v>
      </c>
    </row>
    <row r="2172" spans="1:5" x14ac:dyDescent="0.25">
      <c r="A2172" s="11" t="s">
        <v>1514</v>
      </c>
      <c r="B2172" s="11" t="s">
        <v>20</v>
      </c>
      <c r="C2172" s="11" t="s">
        <v>111</v>
      </c>
      <c r="D2172" s="12">
        <v>724</v>
      </c>
      <c r="E2172" s="13">
        <v>1</v>
      </c>
    </row>
    <row r="2173" spans="1:5" x14ac:dyDescent="0.25">
      <c r="A2173" s="11" t="s">
        <v>552</v>
      </c>
      <c r="B2173" s="11" t="s">
        <v>26</v>
      </c>
      <c r="C2173" s="11" t="s">
        <v>22</v>
      </c>
      <c r="D2173" s="12">
        <v>725</v>
      </c>
      <c r="E2173" s="13">
        <v>13</v>
      </c>
    </row>
    <row r="2174" spans="1:5" x14ac:dyDescent="0.25">
      <c r="A2174" s="11" t="s">
        <v>870</v>
      </c>
      <c r="B2174" s="11" t="s">
        <v>26</v>
      </c>
      <c r="C2174" s="11" t="s">
        <v>111</v>
      </c>
      <c r="D2174" s="12">
        <v>725</v>
      </c>
      <c r="E2174" s="13">
        <v>1</v>
      </c>
    </row>
    <row r="2175" spans="1:5" x14ac:dyDescent="0.25">
      <c r="A2175" s="11" t="s">
        <v>791</v>
      </c>
      <c r="B2175" s="11" t="s">
        <v>20</v>
      </c>
      <c r="C2175" s="11" t="s">
        <v>44</v>
      </c>
      <c r="D2175" s="12">
        <v>726</v>
      </c>
      <c r="E2175" s="13">
        <v>5</v>
      </c>
    </row>
    <row r="2176" spans="1:5" x14ac:dyDescent="0.25">
      <c r="A2176" s="11" t="s">
        <v>862</v>
      </c>
      <c r="B2176" s="11" t="s">
        <v>26</v>
      </c>
      <c r="C2176" s="11" t="s">
        <v>27</v>
      </c>
      <c r="D2176" s="12">
        <v>726</v>
      </c>
      <c r="E2176" s="13">
        <v>2</v>
      </c>
    </row>
    <row r="2177" spans="1:5" x14ac:dyDescent="0.25">
      <c r="A2177" s="11" t="s">
        <v>913</v>
      </c>
      <c r="B2177" s="11" t="s">
        <v>20</v>
      </c>
      <c r="C2177" s="11" t="s">
        <v>43</v>
      </c>
      <c r="D2177" s="12">
        <v>727</v>
      </c>
      <c r="E2177" s="13">
        <v>1</v>
      </c>
    </row>
    <row r="2178" spans="1:5" x14ac:dyDescent="0.25">
      <c r="A2178" s="11" t="s">
        <v>1350</v>
      </c>
      <c r="B2178" s="11" t="s">
        <v>24</v>
      </c>
      <c r="C2178" s="11" t="s">
        <v>39</v>
      </c>
      <c r="D2178" s="12">
        <v>727</v>
      </c>
      <c r="E2178" s="13">
        <v>5</v>
      </c>
    </row>
    <row r="2179" spans="1:5" x14ac:dyDescent="0.25">
      <c r="A2179" s="11" t="s">
        <v>1474</v>
      </c>
      <c r="B2179" s="11" t="s">
        <v>20</v>
      </c>
      <c r="C2179" s="11" t="s">
        <v>32</v>
      </c>
      <c r="D2179" s="12">
        <v>727</v>
      </c>
      <c r="E2179" s="13">
        <v>15</v>
      </c>
    </row>
    <row r="2180" spans="1:5" x14ac:dyDescent="0.25">
      <c r="A2180" s="11" t="s">
        <v>1532</v>
      </c>
      <c r="B2180" s="11" t="s">
        <v>24</v>
      </c>
      <c r="C2180" s="11" t="s">
        <v>40</v>
      </c>
      <c r="D2180" s="12">
        <v>727</v>
      </c>
      <c r="E2180" s="13">
        <v>8</v>
      </c>
    </row>
    <row r="2181" spans="1:5" x14ac:dyDescent="0.25">
      <c r="A2181" s="11" t="s">
        <v>1629</v>
      </c>
      <c r="B2181" s="11" t="s">
        <v>26</v>
      </c>
      <c r="C2181" s="11" t="s">
        <v>21</v>
      </c>
      <c r="D2181" s="12">
        <v>727</v>
      </c>
      <c r="E2181" s="13">
        <v>0</v>
      </c>
    </row>
    <row r="2182" spans="1:5" x14ac:dyDescent="0.25">
      <c r="A2182" s="11" t="s">
        <v>361</v>
      </c>
      <c r="B2182" s="11" t="s">
        <v>26</v>
      </c>
      <c r="C2182" s="11" t="s">
        <v>22</v>
      </c>
      <c r="D2182" s="12">
        <v>728</v>
      </c>
      <c r="E2182" s="13">
        <v>1</v>
      </c>
    </row>
    <row r="2183" spans="1:5" x14ac:dyDescent="0.25">
      <c r="A2183" s="11" t="s">
        <v>415</v>
      </c>
      <c r="B2183" s="11" t="s">
        <v>24</v>
      </c>
      <c r="C2183" s="11" t="s">
        <v>25</v>
      </c>
      <c r="D2183" s="12">
        <v>728</v>
      </c>
      <c r="E2183" s="13">
        <v>1</v>
      </c>
    </row>
    <row r="2184" spans="1:5" x14ac:dyDescent="0.25">
      <c r="A2184" s="11" t="s">
        <v>461</v>
      </c>
      <c r="B2184" s="11" t="s">
        <v>24</v>
      </c>
      <c r="C2184" s="11" t="s">
        <v>34</v>
      </c>
      <c r="D2184" s="12">
        <v>728</v>
      </c>
      <c r="E2184" s="13">
        <v>5</v>
      </c>
    </row>
    <row r="2185" spans="1:5" x14ac:dyDescent="0.25">
      <c r="A2185" s="11" t="s">
        <v>1041</v>
      </c>
      <c r="B2185" s="11" t="s">
        <v>20</v>
      </c>
      <c r="C2185" s="11" t="s">
        <v>111</v>
      </c>
      <c r="D2185" s="12">
        <v>728</v>
      </c>
      <c r="E2185" s="13">
        <v>3</v>
      </c>
    </row>
    <row r="2186" spans="1:5" x14ac:dyDescent="0.25">
      <c r="A2186" s="11" t="s">
        <v>1921</v>
      </c>
      <c r="B2186" s="11" t="s">
        <v>24</v>
      </c>
      <c r="C2186" s="11" t="s">
        <v>5</v>
      </c>
      <c r="D2186" s="12">
        <v>728</v>
      </c>
      <c r="E2186" s="13">
        <v>2</v>
      </c>
    </row>
    <row r="2187" spans="1:5" x14ac:dyDescent="0.25">
      <c r="A2187" s="11" t="s">
        <v>1229</v>
      </c>
      <c r="B2187" s="11" t="s">
        <v>26</v>
      </c>
      <c r="C2187" s="11" t="s">
        <v>25</v>
      </c>
      <c r="D2187" s="12">
        <v>729</v>
      </c>
      <c r="E2187" s="13">
        <v>0</v>
      </c>
    </row>
    <row r="2188" spans="1:5" x14ac:dyDescent="0.25">
      <c r="A2188" s="11" t="s">
        <v>1534</v>
      </c>
      <c r="B2188" s="11" t="s">
        <v>24</v>
      </c>
      <c r="C2188" s="11" t="s">
        <v>25</v>
      </c>
      <c r="D2188" s="12">
        <v>729</v>
      </c>
      <c r="E2188" s="13">
        <v>0</v>
      </c>
    </row>
    <row r="2189" spans="1:5" x14ac:dyDescent="0.25">
      <c r="A2189" s="11" t="s">
        <v>384</v>
      </c>
      <c r="B2189" s="11" t="s">
        <v>24</v>
      </c>
      <c r="C2189" s="11" t="s">
        <v>53</v>
      </c>
      <c r="D2189" s="12">
        <v>730</v>
      </c>
      <c r="E2189" s="13">
        <v>0</v>
      </c>
    </row>
    <row r="2190" spans="1:5" x14ac:dyDescent="0.25">
      <c r="A2190" s="11" t="s">
        <v>1246</v>
      </c>
      <c r="B2190" s="11" t="s">
        <v>26</v>
      </c>
      <c r="C2190" s="11" t="s">
        <v>21</v>
      </c>
      <c r="D2190" s="12">
        <v>730</v>
      </c>
      <c r="E2190" s="13">
        <v>1</v>
      </c>
    </row>
    <row r="2191" spans="1:5" x14ac:dyDescent="0.25">
      <c r="A2191" s="11" t="s">
        <v>233</v>
      </c>
      <c r="B2191" s="11" t="s">
        <v>24</v>
      </c>
      <c r="C2191" s="11" t="s">
        <v>32</v>
      </c>
      <c r="D2191" s="12">
        <v>731</v>
      </c>
      <c r="E2191" s="13">
        <v>0</v>
      </c>
    </row>
    <row r="2192" spans="1:5" x14ac:dyDescent="0.25">
      <c r="A2192" s="11" t="s">
        <v>550</v>
      </c>
      <c r="B2192" s="11" t="s">
        <v>24</v>
      </c>
      <c r="C2192" s="11" t="s">
        <v>39</v>
      </c>
      <c r="D2192" s="12">
        <v>731</v>
      </c>
      <c r="E2192" s="13">
        <v>0</v>
      </c>
    </row>
    <row r="2193" spans="1:5" x14ac:dyDescent="0.25">
      <c r="A2193" s="11" t="s">
        <v>1878</v>
      </c>
      <c r="B2193" s="11" t="s">
        <v>26</v>
      </c>
      <c r="C2193" s="11" t="s">
        <v>30</v>
      </c>
      <c r="D2193" s="12">
        <v>731</v>
      </c>
      <c r="E2193" s="13">
        <v>1</v>
      </c>
    </row>
    <row r="2194" spans="1:5" x14ac:dyDescent="0.25">
      <c r="A2194" s="11" t="s">
        <v>1894</v>
      </c>
      <c r="B2194" s="11" t="s">
        <v>24</v>
      </c>
      <c r="C2194" s="11" t="s">
        <v>27</v>
      </c>
      <c r="D2194" s="12">
        <v>731</v>
      </c>
      <c r="E2194" s="13">
        <v>3</v>
      </c>
    </row>
    <row r="2195" spans="1:5" x14ac:dyDescent="0.25">
      <c r="A2195" s="11" t="s">
        <v>911</v>
      </c>
      <c r="B2195" s="11" t="s">
        <v>26</v>
      </c>
      <c r="C2195" s="11" t="s">
        <v>22</v>
      </c>
      <c r="D2195" s="12">
        <v>732</v>
      </c>
      <c r="E2195" s="13">
        <v>6</v>
      </c>
    </row>
    <row r="2196" spans="1:5" x14ac:dyDescent="0.25">
      <c r="A2196" s="11" t="s">
        <v>1545</v>
      </c>
      <c r="B2196" s="11" t="s">
        <v>24</v>
      </c>
      <c r="C2196" s="11" t="s">
        <v>22</v>
      </c>
      <c r="D2196" s="12">
        <v>732</v>
      </c>
      <c r="E2196" s="13">
        <v>3</v>
      </c>
    </row>
    <row r="2197" spans="1:5" x14ac:dyDescent="0.25">
      <c r="A2197" s="11" t="s">
        <v>1562</v>
      </c>
      <c r="B2197" s="11" t="s">
        <v>20</v>
      </c>
      <c r="C2197" s="11" t="s">
        <v>43</v>
      </c>
      <c r="D2197" s="12">
        <v>732</v>
      </c>
      <c r="E2197" s="13">
        <v>3</v>
      </c>
    </row>
    <row r="2198" spans="1:5" x14ac:dyDescent="0.25">
      <c r="A2198" s="11" t="s">
        <v>654</v>
      </c>
      <c r="B2198" s="11" t="s">
        <v>26</v>
      </c>
      <c r="C2198" s="11" t="s">
        <v>30</v>
      </c>
      <c r="D2198" s="12">
        <v>733</v>
      </c>
      <c r="E2198" s="13">
        <v>1</v>
      </c>
    </row>
    <row r="2199" spans="1:5" x14ac:dyDescent="0.25">
      <c r="A2199" s="11" t="s">
        <v>1338</v>
      </c>
      <c r="B2199" s="11" t="s">
        <v>20</v>
      </c>
      <c r="C2199" s="11" t="s">
        <v>27</v>
      </c>
      <c r="D2199" s="12">
        <v>733</v>
      </c>
      <c r="E2199" s="13">
        <v>2</v>
      </c>
    </row>
    <row r="2200" spans="1:5" x14ac:dyDescent="0.25">
      <c r="A2200" s="11" t="s">
        <v>1426</v>
      </c>
      <c r="B2200" s="11" t="s">
        <v>24</v>
      </c>
      <c r="C2200" s="11" t="s">
        <v>27</v>
      </c>
      <c r="D2200" s="12">
        <v>733</v>
      </c>
      <c r="E2200" s="13">
        <v>0</v>
      </c>
    </row>
    <row r="2201" spans="1:5" x14ac:dyDescent="0.25">
      <c r="A2201" s="11" t="s">
        <v>1458</v>
      </c>
      <c r="B2201" s="11" t="s">
        <v>20</v>
      </c>
      <c r="C2201" s="11" t="s">
        <v>44</v>
      </c>
      <c r="D2201" s="12">
        <v>733</v>
      </c>
      <c r="E2201" s="13">
        <v>4</v>
      </c>
    </row>
    <row r="2202" spans="1:5" x14ac:dyDescent="0.25">
      <c r="A2202" s="11" t="s">
        <v>885</v>
      </c>
      <c r="B2202" s="11" t="s">
        <v>20</v>
      </c>
      <c r="C2202" s="11" t="s">
        <v>44</v>
      </c>
      <c r="D2202" s="12">
        <v>734</v>
      </c>
      <c r="E2202" s="13">
        <v>3</v>
      </c>
    </row>
    <row r="2203" spans="1:5" x14ac:dyDescent="0.25">
      <c r="A2203" s="11" t="s">
        <v>315</v>
      </c>
      <c r="B2203" s="11" t="s">
        <v>20</v>
      </c>
      <c r="C2203" s="11" t="s">
        <v>5</v>
      </c>
      <c r="D2203" s="12">
        <v>735</v>
      </c>
      <c r="E2203" s="13">
        <v>1</v>
      </c>
    </row>
    <row r="2204" spans="1:5" x14ac:dyDescent="0.25">
      <c r="A2204" s="11" t="s">
        <v>937</v>
      </c>
      <c r="B2204" s="11" t="s">
        <v>20</v>
      </c>
      <c r="C2204" s="11" t="s">
        <v>32</v>
      </c>
      <c r="D2204" s="12">
        <v>735</v>
      </c>
      <c r="E2204" s="13">
        <v>4</v>
      </c>
    </row>
    <row r="2205" spans="1:5" x14ac:dyDescent="0.25">
      <c r="A2205" s="11" t="s">
        <v>1430</v>
      </c>
      <c r="B2205" s="11" t="s">
        <v>20</v>
      </c>
      <c r="C2205" s="11" t="s">
        <v>27</v>
      </c>
      <c r="D2205" s="12">
        <v>735</v>
      </c>
      <c r="E2205" s="13">
        <v>0</v>
      </c>
    </row>
    <row r="2206" spans="1:5" x14ac:dyDescent="0.25">
      <c r="A2206" s="11" t="s">
        <v>1743</v>
      </c>
      <c r="B2206" s="11" t="s">
        <v>24</v>
      </c>
      <c r="C2206" s="11" t="s">
        <v>44</v>
      </c>
      <c r="D2206" s="12">
        <v>735</v>
      </c>
      <c r="E2206" s="13">
        <v>0</v>
      </c>
    </row>
    <row r="2207" spans="1:5" x14ac:dyDescent="0.25">
      <c r="A2207" s="11" t="s">
        <v>667</v>
      </c>
      <c r="B2207" s="11" t="s">
        <v>24</v>
      </c>
      <c r="C2207" s="11" t="s">
        <v>30</v>
      </c>
      <c r="D2207" s="12">
        <v>736</v>
      </c>
      <c r="E2207" s="13">
        <v>2</v>
      </c>
    </row>
    <row r="2208" spans="1:5" x14ac:dyDescent="0.25">
      <c r="A2208" s="11" t="s">
        <v>1703</v>
      </c>
      <c r="B2208" s="11" t="s">
        <v>20</v>
      </c>
      <c r="C2208" s="11" t="s">
        <v>44</v>
      </c>
      <c r="D2208" s="12">
        <v>736</v>
      </c>
      <c r="E2208" s="13">
        <v>5</v>
      </c>
    </row>
    <row r="2209" spans="1:5" x14ac:dyDescent="0.25">
      <c r="A2209" s="11" t="s">
        <v>566</v>
      </c>
      <c r="B2209" s="11" t="s">
        <v>26</v>
      </c>
      <c r="C2209" s="11" t="s">
        <v>44</v>
      </c>
      <c r="D2209" s="12">
        <v>737</v>
      </c>
      <c r="E2209" s="13">
        <v>0</v>
      </c>
    </row>
    <row r="2210" spans="1:5" x14ac:dyDescent="0.25">
      <c r="A2210" s="11" t="s">
        <v>657</v>
      </c>
      <c r="B2210" s="11" t="s">
        <v>26</v>
      </c>
      <c r="C2210" s="11" t="s">
        <v>44</v>
      </c>
      <c r="D2210" s="12">
        <v>737</v>
      </c>
      <c r="E2210" s="13">
        <v>0</v>
      </c>
    </row>
    <row r="2211" spans="1:5" x14ac:dyDescent="0.25">
      <c r="A2211" s="11" t="s">
        <v>940</v>
      </c>
      <c r="B2211" s="11" t="s">
        <v>24</v>
      </c>
      <c r="C2211" s="11" t="s">
        <v>27</v>
      </c>
      <c r="D2211" s="12">
        <v>737</v>
      </c>
      <c r="E2211" s="13">
        <v>1</v>
      </c>
    </row>
    <row r="2212" spans="1:5" x14ac:dyDescent="0.25">
      <c r="A2212" s="11" t="s">
        <v>1106</v>
      </c>
      <c r="B2212" s="11" t="s">
        <v>20</v>
      </c>
      <c r="C2212" s="11" t="s">
        <v>30</v>
      </c>
      <c r="D2212" s="12">
        <v>737</v>
      </c>
      <c r="E2212" s="13">
        <v>2</v>
      </c>
    </row>
    <row r="2213" spans="1:5" x14ac:dyDescent="0.25">
      <c r="A2213" s="11" t="s">
        <v>1160</v>
      </c>
      <c r="B2213" s="11" t="s">
        <v>20</v>
      </c>
      <c r="C2213" s="11" t="s">
        <v>34</v>
      </c>
      <c r="D2213" s="12">
        <v>737</v>
      </c>
      <c r="E2213" s="13">
        <v>1</v>
      </c>
    </row>
    <row r="2214" spans="1:5" x14ac:dyDescent="0.25">
      <c r="A2214" s="11" t="s">
        <v>1413</v>
      </c>
      <c r="B2214" s="11" t="s">
        <v>24</v>
      </c>
      <c r="C2214" s="11" t="s">
        <v>34</v>
      </c>
      <c r="D2214" s="12">
        <v>737</v>
      </c>
      <c r="E2214" s="13">
        <v>3</v>
      </c>
    </row>
    <row r="2215" spans="1:5" x14ac:dyDescent="0.25">
      <c r="A2215" s="11" t="s">
        <v>41</v>
      </c>
      <c r="B2215" s="11" t="s">
        <v>24</v>
      </c>
      <c r="C2215" s="11" t="s">
        <v>34</v>
      </c>
      <c r="D2215" s="12">
        <v>738</v>
      </c>
      <c r="E2215" s="13">
        <v>2</v>
      </c>
    </row>
    <row r="2216" spans="1:5" x14ac:dyDescent="0.25">
      <c r="A2216" s="11" t="s">
        <v>880</v>
      </c>
      <c r="B2216" s="11" t="s">
        <v>26</v>
      </c>
      <c r="C2216" s="11" t="s">
        <v>66</v>
      </c>
      <c r="D2216" s="12">
        <v>738</v>
      </c>
      <c r="E2216" s="13">
        <v>1</v>
      </c>
    </row>
    <row r="2217" spans="1:5" x14ac:dyDescent="0.25">
      <c r="A2217" s="11" t="s">
        <v>1622</v>
      </c>
      <c r="B2217" s="11" t="s">
        <v>20</v>
      </c>
      <c r="C2217" s="11" t="s">
        <v>27</v>
      </c>
      <c r="D2217" s="12">
        <v>738</v>
      </c>
      <c r="E2217" s="13">
        <v>4</v>
      </c>
    </row>
    <row r="2218" spans="1:5" x14ac:dyDescent="0.25">
      <c r="A2218" s="11" t="s">
        <v>1966</v>
      </c>
      <c r="B2218" s="11" t="s">
        <v>20</v>
      </c>
      <c r="C2218" s="11" t="s">
        <v>39</v>
      </c>
      <c r="D2218" s="12">
        <v>738</v>
      </c>
      <c r="E2218" s="13">
        <v>5</v>
      </c>
    </row>
    <row r="2219" spans="1:5" x14ac:dyDescent="0.25">
      <c r="A2219" s="11" t="s">
        <v>403</v>
      </c>
      <c r="B2219" s="11" t="s">
        <v>24</v>
      </c>
      <c r="C2219" s="11" t="s">
        <v>27</v>
      </c>
      <c r="D2219" s="12">
        <v>739</v>
      </c>
      <c r="E2219" s="13">
        <v>0</v>
      </c>
    </row>
    <row r="2220" spans="1:5" x14ac:dyDescent="0.25">
      <c r="A2220" s="11" t="s">
        <v>1557</v>
      </c>
      <c r="B2220" s="11" t="s">
        <v>20</v>
      </c>
      <c r="C2220" s="11" t="s">
        <v>39</v>
      </c>
      <c r="D2220" s="12">
        <v>739</v>
      </c>
      <c r="E2220" s="13">
        <v>1</v>
      </c>
    </row>
    <row r="2221" spans="1:5" x14ac:dyDescent="0.25">
      <c r="A2221" s="11" t="s">
        <v>890</v>
      </c>
      <c r="B2221" s="11" t="s">
        <v>20</v>
      </c>
      <c r="C2221" s="11" t="s">
        <v>44</v>
      </c>
      <c r="D2221" s="12">
        <v>740</v>
      </c>
      <c r="E2221" s="13">
        <v>7</v>
      </c>
    </row>
    <row r="2222" spans="1:5" x14ac:dyDescent="0.25">
      <c r="A2222" s="11" t="s">
        <v>1346</v>
      </c>
      <c r="B2222" s="11" t="s">
        <v>26</v>
      </c>
      <c r="C2222" s="11" t="s">
        <v>44</v>
      </c>
      <c r="D2222" s="12">
        <v>740</v>
      </c>
      <c r="E2222" s="13">
        <v>0</v>
      </c>
    </row>
    <row r="2223" spans="1:5" x14ac:dyDescent="0.25">
      <c r="A2223" s="11" t="s">
        <v>537</v>
      </c>
      <c r="B2223" s="11" t="s">
        <v>26</v>
      </c>
      <c r="C2223" s="11" t="s">
        <v>5</v>
      </c>
      <c r="D2223" s="12">
        <v>741</v>
      </c>
      <c r="E2223" s="13">
        <v>0</v>
      </c>
    </row>
    <row r="2224" spans="1:5" x14ac:dyDescent="0.25">
      <c r="A2224" s="11" t="s">
        <v>703</v>
      </c>
      <c r="B2224" s="11" t="s">
        <v>24</v>
      </c>
      <c r="C2224" s="11" t="s">
        <v>32</v>
      </c>
      <c r="D2224" s="12">
        <v>741</v>
      </c>
      <c r="E2224" s="13">
        <v>0</v>
      </c>
    </row>
    <row r="2225" spans="1:5" x14ac:dyDescent="0.25">
      <c r="A2225" s="11" t="s">
        <v>856</v>
      </c>
      <c r="B2225" s="11" t="s">
        <v>24</v>
      </c>
      <c r="C2225" s="11" t="s">
        <v>21</v>
      </c>
      <c r="D2225" s="12">
        <v>741</v>
      </c>
      <c r="E2225" s="13">
        <v>5</v>
      </c>
    </row>
    <row r="2226" spans="1:5" x14ac:dyDescent="0.25">
      <c r="A2226" s="11" t="s">
        <v>1396</v>
      </c>
      <c r="B2226" s="11" t="s">
        <v>20</v>
      </c>
      <c r="C2226" s="11" t="s">
        <v>5</v>
      </c>
      <c r="D2226" s="12">
        <v>741</v>
      </c>
      <c r="E2226" s="13">
        <v>0</v>
      </c>
    </row>
    <row r="2227" spans="1:5" x14ac:dyDescent="0.25">
      <c r="A2227" s="11" t="s">
        <v>1478</v>
      </c>
      <c r="B2227" s="11" t="s">
        <v>20</v>
      </c>
      <c r="C2227" s="11" t="s">
        <v>21</v>
      </c>
      <c r="D2227" s="12">
        <v>742</v>
      </c>
      <c r="E2227" s="13">
        <v>7</v>
      </c>
    </row>
    <row r="2228" spans="1:5" x14ac:dyDescent="0.25">
      <c r="A2228" s="11" t="s">
        <v>1898</v>
      </c>
      <c r="B2228" s="11" t="s">
        <v>26</v>
      </c>
      <c r="C2228" s="11" t="s">
        <v>44</v>
      </c>
      <c r="D2228" s="12">
        <v>742</v>
      </c>
      <c r="E2228" s="13">
        <v>0</v>
      </c>
    </row>
    <row r="2229" spans="1:5" x14ac:dyDescent="0.25">
      <c r="A2229" s="11" t="s">
        <v>147</v>
      </c>
      <c r="B2229" s="11" t="s">
        <v>20</v>
      </c>
      <c r="C2229" s="11" t="s">
        <v>34</v>
      </c>
      <c r="D2229" s="12">
        <v>743</v>
      </c>
      <c r="E2229" s="13">
        <v>2</v>
      </c>
    </row>
    <row r="2230" spans="1:5" x14ac:dyDescent="0.25">
      <c r="A2230" s="11" t="s">
        <v>329</v>
      </c>
      <c r="B2230" s="11" t="s">
        <v>26</v>
      </c>
      <c r="C2230" s="11" t="s">
        <v>34</v>
      </c>
      <c r="D2230" s="12">
        <v>743</v>
      </c>
      <c r="E2230" s="13">
        <v>4</v>
      </c>
    </row>
    <row r="2231" spans="1:5" x14ac:dyDescent="0.25">
      <c r="A2231" s="11" t="s">
        <v>595</v>
      </c>
      <c r="B2231" s="11" t="s">
        <v>20</v>
      </c>
      <c r="C2231" s="11" t="s">
        <v>40</v>
      </c>
      <c r="D2231" s="12">
        <v>743</v>
      </c>
      <c r="E2231" s="13">
        <v>0</v>
      </c>
    </row>
    <row r="2232" spans="1:5" x14ac:dyDescent="0.25">
      <c r="A2232" s="11" t="s">
        <v>742</v>
      </c>
      <c r="B2232" s="11" t="s">
        <v>20</v>
      </c>
      <c r="C2232" s="11" t="s">
        <v>43</v>
      </c>
      <c r="D2232" s="12">
        <v>743</v>
      </c>
      <c r="E2232" s="13">
        <v>12</v>
      </c>
    </row>
    <row r="2233" spans="1:5" x14ac:dyDescent="0.25">
      <c r="A2233" s="11" t="s">
        <v>1318</v>
      </c>
      <c r="B2233" s="11" t="s">
        <v>20</v>
      </c>
      <c r="C2233" s="11" t="s">
        <v>44</v>
      </c>
      <c r="D2233" s="12">
        <v>743</v>
      </c>
      <c r="E2233" s="13">
        <v>3</v>
      </c>
    </row>
    <row r="2234" spans="1:5" x14ac:dyDescent="0.25">
      <c r="A2234" s="11" t="s">
        <v>1496</v>
      </c>
      <c r="B2234" s="11" t="s">
        <v>26</v>
      </c>
      <c r="C2234" s="11" t="s">
        <v>5</v>
      </c>
      <c r="D2234" s="12">
        <v>743</v>
      </c>
      <c r="E2234" s="13">
        <v>0</v>
      </c>
    </row>
    <row r="2235" spans="1:5" x14ac:dyDescent="0.25">
      <c r="A2235" s="11" t="s">
        <v>468</v>
      </c>
      <c r="B2235" s="11" t="s">
        <v>20</v>
      </c>
      <c r="C2235" s="11" t="s">
        <v>44</v>
      </c>
      <c r="D2235" s="12">
        <v>744</v>
      </c>
      <c r="E2235" s="13">
        <v>0</v>
      </c>
    </row>
    <row r="2236" spans="1:5" x14ac:dyDescent="0.25">
      <c r="A2236" s="11" t="s">
        <v>568</v>
      </c>
      <c r="B2236" s="11" t="s">
        <v>26</v>
      </c>
      <c r="C2236" s="11" t="s">
        <v>40</v>
      </c>
      <c r="D2236" s="12">
        <v>744</v>
      </c>
      <c r="E2236" s="13">
        <v>8</v>
      </c>
    </row>
    <row r="2237" spans="1:5" x14ac:dyDescent="0.25">
      <c r="A2237" s="11" t="s">
        <v>1219</v>
      </c>
      <c r="B2237" s="11" t="s">
        <v>26</v>
      </c>
      <c r="C2237" s="11" t="s">
        <v>25</v>
      </c>
      <c r="D2237" s="12">
        <v>744</v>
      </c>
      <c r="E2237" s="13">
        <v>0</v>
      </c>
    </row>
    <row r="2238" spans="1:5" x14ac:dyDescent="0.25">
      <c r="A2238" s="11" t="s">
        <v>1612</v>
      </c>
      <c r="B2238" s="11" t="s">
        <v>24</v>
      </c>
      <c r="C2238" s="11" t="s">
        <v>27</v>
      </c>
      <c r="D2238" s="12">
        <v>744</v>
      </c>
      <c r="E2238" s="13">
        <v>2</v>
      </c>
    </row>
    <row r="2239" spans="1:5" x14ac:dyDescent="0.25">
      <c r="A2239" s="11" t="s">
        <v>355</v>
      </c>
      <c r="B2239" s="11" t="s">
        <v>20</v>
      </c>
      <c r="C2239" s="11" t="s">
        <v>53</v>
      </c>
      <c r="D2239" s="12">
        <v>745</v>
      </c>
      <c r="E2239" s="13">
        <v>1</v>
      </c>
    </row>
    <row r="2240" spans="1:5" x14ac:dyDescent="0.25">
      <c r="A2240" s="11" t="s">
        <v>524</v>
      </c>
      <c r="B2240" s="11" t="s">
        <v>20</v>
      </c>
      <c r="C2240" s="11" t="s">
        <v>33</v>
      </c>
      <c r="D2240" s="12">
        <v>745</v>
      </c>
      <c r="E2240" s="13">
        <v>5</v>
      </c>
    </row>
    <row r="2241" spans="1:5" x14ac:dyDescent="0.25">
      <c r="A2241" s="11" t="s">
        <v>1567</v>
      </c>
      <c r="B2241" s="11" t="s">
        <v>20</v>
      </c>
      <c r="C2241" s="11" t="s">
        <v>27</v>
      </c>
      <c r="D2241" s="12">
        <v>745</v>
      </c>
      <c r="E2241" s="13">
        <v>2</v>
      </c>
    </row>
    <row r="2242" spans="1:5" x14ac:dyDescent="0.25">
      <c r="A2242" s="11" t="s">
        <v>1828</v>
      </c>
      <c r="B2242" s="11" t="s">
        <v>26</v>
      </c>
      <c r="C2242" s="11" t="s">
        <v>44</v>
      </c>
      <c r="D2242" s="12">
        <v>745</v>
      </c>
      <c r="E2242" s="13">
        <v>3</v>
      </c>
    </row>
    <row r="2243" spans="1:5" x14ac:dyDescent="0.25">
      <c r="A2243" s="11" t="s">
        <v>204</v>
      </c>
      <c r="B2243" s="11" t="s">
        <v>24</v>
      </c>
      <c r="C2243" s="11" t="s">
        <v>30</v>
      </c>
      <c r="D2243" s="12">
        <v>746</v>
      </c>
      <c r="E2243" s="13">
        <v>12</v>
      </c>
    </row>
    <row r="2244" spans="1:5" x14ac:dyDescent="0.25">
      <c r="A2244" s="11" t="s">
        <v>598</v>
      </c>
      <c r="B2244" s="11" t="s">
        <v>20</v>
      </c>
      <c r="C2244" s="11" t="s">
        <v>44</v>
      </c>
      <c r="D2244" s="12">
        <v>747</v>
      </c>
      <c r="E2244" s="13">
        <v>4</v>
      </c>
    </row>
    <row r="2245" spans="1:5" x14ac:dyDescent="0.25">
      <c r="A2245" s="11" t="s">
        <v>1335</v>
      </c>
      <c r="B2245" s="11" t="s">
        <v>24</v>
      </c>
      <c r="C2245" s="11" t="s">
        <v>44</v>
      </c>
      <c r="D2245" s="12">
        <v>747</v>
      </c>
      <c r="E2245" s="13">
        <v>1</v>
      </c>
    </row>
    <row r="2246" spans="1:5" x14ac:dyDescent="0.25">
      <c r="A2246" s="11" t="s">
        <v>453</v>
      </c>
      <c r="B2246" s="11" t="s">
        <v>20</v>
      </c>
      <c r="C2246" s="11" t="s">
        <v>25</v>
      </c>
      <c r="D2246" s="12">
        <v>748</v>
      </c>
      <c r="E2246" s="13">
        <v>0</v>
      </c>
    </row>
    <row r="2247" spans="1:5" x14ac:dyDescent="0.25">
      <c r="A2247" s="11" t="s">
        <v>1068</v>
      </c>
      <c r="B2247" s="11" t="s">
        <v>20</v>
      </c>
      <c r="C2247" s="11" t="s">
        <v>111</v>
      </c>
      <c r="D2247" s="12">
        <v>748</v>
      </c>
      <c r="E2247" s="13">
        <v>0</v>
      </c>
    </row>
    <row r="2248" spans="1:5" x14ac:dyDescent="0.25">
      <c r="A2248" s="11" t="s">
        <v>145</v>
      </c>
      <c r="B2248" s="11" t="s">
        <v>26</v>
      </c>
      <c r="C2248" s="11" t="s">
        <v>44</v>
      </c>
      <c r="D2248" s="12">
        <v>749</v>
      </c>
      <c r="E2248" s="13">
        <v>3</v>
      </c>
    </row>
    <row r="2249" spans="1:5" x14ac:dyDescent="0.25">
      <c r="A2249" s="11" t="s">
        <v>1459</v>
      </c>
      <c r="B2249" s="11" t="s">
        <v>20</v>
      </c>
      <c r="C2249" s="11" t="s">
        <v>34</v>
      </c>
      <c r="D2249" s="12">
        <v>749</v>
      </c>
      <c r="E2249" s="13">
        <v>1</v>
      </c>
    </row>
    <row r="2250" spans="1:5" x14ac:dyDescent="0.25">
      <c r="A2250" s="11" t="s">
        <v>399</v>
      </c>
      <c r="B2250" s="11" t="s">
        <v>24</v>
      </c>
      <c r="C2250" s="11" t="s">
        <v>40</v>
      </c>
      <c r="D2250" s="12">
        <v>750</v>
      </c>
      <c r="E2250" s="13">
        <v>1</v>
      </c>
    </row>
    <row r="2251" spans="1:5" x14ac:dyDescent="0.25">
      <c r="A2251" s="11" t="s">
        <v>1405</v>
      </c>
      <c r="B2251" s="11" t="s">
        <v>20</v>
      </c>
      <c r="C2251" s="11" t="s">
        <v>39</v>
      </c>
      <c r="D2251" s="12">
        <v>750</v>
      </c>
      <c r="E2251" s="13">
        <v>0</v>
      </c>
    </row>
    <row r="2252" spans="1:5" x14ac:dyDescent="0.25">
      <c r="A2252" s="11" t="s">
        <v>1954</v>
      </c>
      <c r="B2252" s="11" t="s">
        <v>26</v>
      </c>
      <c r="C2252" s="11" t="s">
        <v>44</v>
      </c>
      <c r="D2252" s="12">
        <v>750</v>
      </c>
      <c r="E2252" s="13">
        <v>11</v>
      </c>
    </row>
    <row r="2253" spans="1:5" x14ac:dyDescent="0.25">
      <c r="A2253" s="11" t="s">
        <v>373</v>
      </c>
      <c r="B2253" s="11" t="s">
        <v>24</v>
      </c>
      <c r="C2253" s="11" t="s">
        <v>22</v>
      </c>
      <c r="D2253" s="12">
        <v>751</v>
      </c>
      <c r="E2253" s="13">
        <v>3</v>
      </c>
    </row>
    <row r="2254" spans="1:5" x14ac:dyDescent="0.25">
      <c r="A2254" s="11" t="s">
        <v>427</v>
      </c>
      <c r="B2254" s="11" t="s">
        <v>26</v>
      </c>
      <c r="C2254" s="11" t="s">
        <v>39</v>
      </c>
      <c r="D2254" s="12">
        <v>751</v>
      </c>
      <c r="E2254" s="13">
        <v>2</v>
      </c>
    </row>
    <row r="2255" spans="1:5" x14ac:dyDescent="0.25">
      <c r="A2255" s="11" t="s">
        <v>722</v>
      </c>
      <c r="B2255" s="11" t="s">
        <v>20</v>
      </c>
      <c r="C2255" s="11" t="s">
        <v>44</v>
      </c>
      <c r="D2255" s="12">
        <v>752</v>
      </c>
      <c r="E2255" s="13">
        <v>1</v>
      </c>
    </row>
    <row r="2256" spans="1:5" x14ac:dyDescent="0.25">
      <c r="A2256" s="11" t="s">
        <v>1241</v>
      </c>
      <c r="B2256" s="11" t="s">
        <v>20</v>
      </c>
      <c r="C2256" s="11" t="s">
        <v>30</v>
      </c>
      <c r="D2256" s="12">
        <v>752</v>
      </c>
      <c r="E2256" s="13">
        <v>0</v>
      </c>
    </row>
    <row r="2257" spans="1:5" x14ac:dyDescent="0.25">
      <c r="A2257" s="11" t="s">
        <v>129</v>
      </c>
      <c r="B2257" s="11" t="s">
        <v>20</v>
      </c>
      <c r="C2257" s="11" t="s">
        <v>5</v>
      </c>
      <c r="D2257" s="12">
        <v>753</v>
      </c>
      <c r="E2257" s="13">
        <v>0</v>
      </c>
    </row>
    <row r="2258" spans="1:5" x14ac:dyDescent="0.25">
      <c r="A2258" s="11" t="s">
        <v>215</v>
      </c>
      <c r="B2258" s="11" t="s">
        <v>20</v>
      </c>
      <c r="C2258" s="11" t="s">
        <v>27</v>
      </c>
      <c r="D2258" s="12">
        <v>753</v>
      </c>
      <c r="E2258" s="13">
        <v>4</v>
      </c>
    </row>
    <row r="2259" spans="1:5" x14ac:dyDescent="0.25">
      <c r="A2259" s="11" t="s">
        <v>1395</v>
      </c>
      <c r="B2259" s="11" t="s">
        <v>26</v>
      </c>
      <c r="C2259" s="11" t="s">
        <v>43</v>
      </c>
      <c r="D2259" s="12">
        <v>753</v>
      </c>
      <c r="E2259" s="13">
        <v>0</v>
      </c>
    </row>
    <row r="2260" spans="1:5" x14ac:dyDescent="0.25">
      <c r="A2260" s="11" t="s">
        <v>1774</v>
      </c>
      <c r="B2260" s="11" t="s">
        <v>24</v>
      </c>
      <c r="C2260" s="11" t="s">
        <v>62</v>
      </c>
      <c r="D2260" s="12">
        <v>753</v>
      </c>
      <c r="E2260" s="13">
        <v>0</v>
      </c>
    </row>
    <row r="2261" spans="1:5" x14ac:dyDescent="0.25">
      <c r="A2261" s="11" t="s">
        <v>342</v>
      </c>
      <c r="B2261" s="11" t="s">
        <v>20</v>
      </c>
      <c r="C2261" s="11" t="s">
        <v>111</v>
      </c>
      <c r="D2261" s="12">
        <v>754</v>
      </c>
      <c r="E2261" s="13">
        <v>8</v>
      </c>
    </row>
    <row r="2262" spans="1:5" x14ac:dyDescent="0.25">
      <c r="A2262" s="11" t="s">
        <v>1738</v>
      </c>
      <c r="B2262" s="11" t="s">
        <v>24</v>
      </c>
      <c r="C2262" s="11" t="s">
        <v>44</v>
      </c>
      <c r="D2262" s="12">
        <v>754</v>
      </c>
      <c r="E2262" s="13">
        <v>0</v>
      </c>
    </row>
    <row r="2263" spans="1:5" x14ac:dyDescent="0.25">
      <c r="A2263" s="11" t="s">
        <v>55</v>
      </c>
      <c r="B2263" s="11" t="s">
        <v>24</v>
      </c>
      <c r="C2263" s="11" t="s">
        <v>40</v>
      </c>
      <c r="D2263" s="12">
        <v>755</v>
      </c>
      <c r="E2263" s="13">
        <v>5</v>
      </c>
    </row>
    <row r="2264" spans="1:5" x14ac:dyDescent="0.25">
      <c r="A2264" s="11" t="s">
        <v>1676</v>
      </c>
      <c r="B2264" s="11" t="s">
        <v>26</v>
      </c>
      <c r="C2264" s="11" t="s">
        <v>44</v>
      </c>
      <c r="D2264" s="12">
        <v>755</v>
      </c>
      <c r="E2264" s="13">
        <v>0</v>
      </c>
    </row>
    <row r="2265" spans="1:5" x14ac:dyDescent="0.25">
      <c r="A2265" s="11" t="s">
        <v>582</v>
      </c>
      <c r="B2265" s="11" t="s">
        <v>26</v>
      </c>
      <c r="C2265" s="11" t="s">
        <v>43</v>
      </c>
      <c r="D2265" s="12">
        <v>756</v>
      </c>
      <c r="E2265" s="13">
        <v>1</v>
      </c>
    </row>
    <row r="2266" spans="1:5" x14ac:dyDescent="0.25">
      <c r="A2266" s="11" t="s">
        <v>854</v>
      </c>
      <c r="B2266" s="11" t="s">
        <v>24</v>
      </c>
      <c r="C2266" s="11" t="s">
        <v>66</v>
      </c>
      <c r="D2266" s="12">
        <v>756</v>
      </c>
      <c r="E2266" s="13">
        <v>10</v>
      </c>
    </row>
    <row r="2267" spans="1:5" x14ac:dyDescent="0.25">
      <c r="A2267" s="11" t="s">
        <v>1098</v>
      </c>
      <c r="B2267" s="11" t="s">
        <v>24</v>
      </c>
      <c r="C2267" s="11" t="s">
        <v>27</v>
      </c>
      <c r="D2267" s="12">
        <v>756</v>
      </c>
      <c r="E2267" s="13">
        <v>0</v>
      </c>
    </row>
    <row r="2268" spans="1:5" x14ac:dyDescent="0.25">
      <c r="A2268" s="11" t="s">
        <v>1387</v>
      </c>
      <c r="B2268" s="11" t="s">
        <v>26</v>
      </c>
      <c r="C2268" s="11" t="s">
        <v>25</v>
      </c>
      <c r="D2268" s="12">
        <v>756</v>
      </c>
      <c r="E2268" s="13">
        <v>7</v>
      </c>
    </row>
    <row r="2269" spans="1:5" x14ac:dyDescent="0.25">
      <c r="A2269" s="11" t="s">
        <v>1498</v>
      </c>
      <c r="B2269" s="11" t="s">
        <v>20</v>
      </c>
      <c r="C2269" s="11" t="s">
        <v>62</v>
      </c>
      <c r="D2269" s="12">
        <v>756</v>
      </c>
      <c r="E2269" s="13">
        <v>0</v>
      </c>
    </row>
    <row r="2270" spans="1:5" x14ac:dyDescent="0.25">
      <c r="A2270" s="11" t="s">
        <v>103</v>
      </c>
      <c r="B2270" s="11" t="s">
        <v>20</v>
      </c>
      <c r="C2270" s="11" t="s">
        <v>27</v>
      </c>
      <c r="D2270" s="12">
        <v>757</v>
      </c>
      <c r="E2270" s="13">
        <v>2</v>
      </c>
    </row>
    <row r="2271" spans="1:5" x14ac:dyDescent="0.25">
      <c r="A2271" s="11" t="s">
        <v>1324</v>
      </c>
      <c r="B2271" s="11" t="s">
        <v>26</v>
      </c>
      <c r="C2271" s="11" t="s">
        <v>28</v>
      </c>
      <c r="D2271" s="12">
        <v>757</v>
      </c>
      <c r="E2271" s="13">
        <v>0</v>
      </c>
    </row>
    <row r="2272" spans="1:5" x14ac:dyDescent="0.25">
      <c r="A2272" s="11" t="s">
        <v>1712</v>
      </c>
      <c r="B2272" s="11" t="s">
        <v>20</v>
      </c>
      <c r="C2272" s="11" t="s">
        <v>40</v>
      </c>
      <c r="D2272" s="12">
        <v>757</v>
      </c>
      <c r="E2272" s="13">
        <v>2</v>
      </c>
    </row>
    <row r="2273" spans="1:5" x14ac:dyDescent="0.25">
      <c r="A2273" s="11" t="s">
        <v>637</v>
      </c>
      <c r="B2273" s="11" t="s">
        <v>20</v>
      </c>
      <c r="C2273" s="11" t="s">
        <v>5</v>
      </c>
      <c r="D2273" s="12">
        <v>758</v>
      </c>
      <c r="E2273" s="13">
        <v>5</v>
      </c>
    </row>
    <row r="2274" spans="1:5" x14ac:dyDescent="0.25">
      <c r="A2274" s="11" t="s">
        <v>1897</v>
      </c>
      <c r="B2274" s="11" t="s">
        <v>26</v>
      </c>
      <c r="C2274" s="11" t="s">
        <v>30</v>
      </c>
      <c r="D2274" s="12">
        <v>758</v>
      </c>
      <c r="E2274" s="13">
        <v>0</v>
      </c>
    </row>
    <row r="2275" spans="1:5" x14ac:dyDescent="0.25">
      <c r="A2275" s="11" t="s">
        <v>92</v>
      </c>
      <c r="B2275" s="11" t="s">
        <v>24</v>
      </c>
      <c r="C2275" s="11" t="s">
        <v>44</v>
      </c>
      <c r="D2275" s="12">
        <v>759</v>
      </c>
      <c r="E2275" s="13">
        <v>0</v>
      </c>
    </row>
    <row r="2276" spans="1:5" x14ac:dyDescent="0.25">
      <c r="A2276" s="11" t="s">
        <v>453</v>
      </c>
      <c r="B2276" s="11" t="s">
        <v>20</v>
      </c>
      <c r="C2276" s="11" t="s">
        <v>39</v>
      </c>
      <c r="D2276" s="12">
        <v>759</v>
      </c>
      <c r="E2276" s="13">
        <v>2</v>
      </c>
    </row>
    <row r="2277" spans="1:5" x14ac:dyDescent="0.25">
      <c r="A2277" s="11" t="s">
        <v>580</v>
      </c>
      <c r="B2277" s="11" t="s">
        <v>20</v>
      </c>
      <c r="C2277" s="11" t="s">
        <v>44</v>
      </c>
      <c r="D2277" s="12">
        <v>759</v>
      </c>
      <c r="E2277" s="13">
        <v>1</v>
      </c>
    </row>
    <row r="2278" spans="1:5" x14ac:dyDescent="0.25">
      <c r="A2278" s="11" t="s">
        <v>738</v>
      </c>
      <c r="B2278" s="11" t="s">
        <v>24</v>
      </c>
      <c r="C2278" s="11" t="s">
        <v>30</v>
      </c>
      <c r="D2278" s="12">
        <v>760</v>
      </c>
      <c r="E2278" s="13">
        <v>0</v>
      </c>
    </row>
    <row r="2279" spans="1:5" x14ac:dyDescent="0.25">
      <c r="A2279" s="11" t="s">
        <v>789</v>
      </c>
      <c r="B2279" s="11" t="s">
        <v>24</v>
      </c>
      <c r="C2279" s="11" t="s">
        <v>32</v>
      </c>
      <c r="D2279" s="12">
        <v>760</v>
      </c>
      <c r="E2279" s="13">
        <v>0</v>
      </c>
    </row>
    <row r="2280" spans="1:5" x14ac:dyDescent="0.25">
      <c r="A2280" s="11" t="s">
        <v>1506</v>
      </c>
      <c r="B2280" s="11" t="s">
        <v>24</v>
      </c>
      <c r="C2280" s="11" t="s">
        <v>25</v>
      </c>
      <c r="D2280" s="12">
        <v>760</v>
      </c>
      <c r="E2280" s="13">
        <v>0</v>
      </c>
    </row>
    <row r="2281" spans="1:5" x14ac:dyDescent="0.25">
      <c r="A2281" s="11" t="s">
        <v>357</v>
      </c>
      <c r="B2281" s="11" t="s">
        <v>26</v>
      </c>
      <c r="C2281" s="11" t="s">
        <v>43</v>
      </c>
      <c r="D2281" s="12">
        <v>761</v>
      </c>
      <c r="E2281" s="13">
        <v>2</v>
      </c>
    </row>
    <row r="2282" spans="1:5" x14ac:dyDescent="0.25">
      <c r="A2282" s="11" t="s">
        <v>439</v>
      </c>
      <c r="B2282" s="11" t="s">
        <v>20</v>
      </c>
      <c r="C2282" s="11" t="s">
        <v>30</v>
      </c>
      <c r="D2282" s="12">
        <v>761</v>
      </c>
      <c r="E2282" s="13">
        <v>0</v>
      </c>
    </row>
    <row r="2283" spans="1:5" x14ac:dyDescent="0.25">
      <c r="A2283" s="11" t="s">
        <v>1076</v>
      </c>
      <c r="B2283" s="11" t="s">
        <v>24</v>
      </c>
      <c r="C2283" s="11" t="s">
        <v>25</v>
      </c>
      <c r="D2283" s="12">
        <v>761</v>
      </c>
      <c r="E2283" s="13">
        <v>7</v>
      </c>
    </row>
    <row r="2284" spans="1:5" x14ac:dyDescent="0.25">
      <c r="A2284" s="11" t="s">
        <v>584</v>
      </c>
      <c r="B2284" s="11" t="s">
        <v>24</v>
      </c>
      <c r="C2284" s="11" t="s">
        <v>32</v>
      </c>
      <c r="D2284" s="12">
        <v>762</v>
      </c>
      <c r="E2284" s="13">
        <v>9</v>
      </c>
    </row>
    <row r="2285" spans="1:5" x14ac:dyDescent="0.25">
      <c r="A2285" s="11" t="s">
        <v>929</v>
      </c>
      <c r="B2285" s="11" t="s">
        <v>26</v>
      </c>
      <c r="C2285" s="11" t="s">
        <v>30</v>
      </c>
      <c r="D2285" s="12">
        <v>762</v>
      </c>
      <c r="E2285" s="13">
        <v>4</v>
      </c>
    </row>
    <row r="2286" spans="1:5" x14ac:dyDescent="0.25">
      <c r="A2286" s="11" t="s">
        <v>1176</v>
      </c>
      <c r="B2286" s="11" t="s">
        <v>26</v>
      </c>
      <c r="C2286" s="11" t="s">
        <v>25</v>
      </c>
      <c r="D2286" s="12">
        <v>762</v>
      </c>
      <c r="E2286" s="13">
        <v>0</v>
      </c>
    </row>
    <row r="2287" spans="1:5" x14ac:dyDescent="0.25">
      <c r="A2287" s="11" t="s">
        <v>1378</v>
      </c>
      <c r="B2287" s="11" t="s">
        <v>26</v>
      </c>
      <c r="C2287" s="11" t="s">
        <v>5</v>
      </c>
      <c r="D2287" s="12">
        <v>762</v>
      </c>
      <c r="E2287" s="13">
        <v>0</v>
      </c>
    </row>
    <row r="2288" spans="1:5" x14ac:dyDescent="0.25">
      <c r="A2288" s="11" t="s">
        <v>1833</v>
      </c>
      <c r="B2288" s="11" t="s">
        <v>20</v>
      </c>
      <c r="C2288" s="11" t="s">
        <v>39</v>
      </c>
      <c r="D2288" s="12">
        <v>762</v>
      </c>
      <c r="E2288" s="13">
        <v>1</v>
      </c>
    </row>
    <row r="2289" spans="1:5" x14ac:dyDescent="0.25">
      <c r="A2289" s="11" t="s">
        <v>1460</v>
      </c>
      <c r="B2289" s="11" t="s">
        <v>26</v>
      </c>
      <c r="C2289" s="11" t="s">
        <v>44</v>
      </c>
      <c r="D2289" s="12">
        <v>763</v>
      </c>
      <c r="E2289" s="13">
        <v>0</v>
      </c>
    </row>
    <row r="2290" spans="1:5" x14ac:dyDescent="0.25">
      <c r="A2290" s="11" t="s">
        <v>1751</v>
      </c>
      <c r="B2290" s="11" t="s">
        <v>24</v>
      </c>
      <c r="C2290" s="11" t="s">
        <v>34</v>
      </c>
      <c r="D2290" s="12">
        <v>763</v>
      </c>
      <c r="E2290" s="13">
        <v>0</v>
      </c>
    </row>
    <row r="2291" spans="1:5" x14ac:dyDescent="0.25">
      <c r="A2291" s="11" t="s">
        <v>101</v>
      </c>
      <c r="B2291" s="11" t="s">
        <v>24</v>
      </c>
      <c r="C2291" s="11" t="s">
        <v>5</v>
      </c>
      <c r="D2291" s="12">
        <v>764</v>
      </c>
      <c r="E2291" s="13">
        <v>1</v>
      </c>
    </row>
    <row r="2292" spans="1:5" x14ac:dyDescent="0.25">
      <c r="A2292" s="11" t="s">
        <v>310</v>
      </c>
      <c r="B2292" s="11" t="s">
        <v>20</v>
      </c>
      <c r="C2292" s="11" t="s">
        <v>66</v>
      </c>
      <c r="D2292" s="12">
        <v>764</v>
      </c>
      <c r="E2292" s="13">
        <v>4</v>
      </c>
    </row>
    <row r="2293" spans="1:5" x14ac:dyDescent="0.25">
      <c r="A2293" s="11" t="s">
        <v>1445</v>
      </c>
      <c r="B2293" s="11" t="s">
        <v>26</v>
      </c>
      <c r="C2293" s="11" t="s">
        <v>39</v>
      </c>
      <c r="D2293" s="12">
        <v>764</v>
      </c>
      <c r="E2293" s="13">
        <v>1</v>
      </c>
    </row>
    <row r="2294" spans="1:5" x14ac:dyDescent="0.25">
      <c r="A2294" s="11" t="s">
        <v>1787</v>
      </c>
      <c r="B2294" s="11" t="s">
        <v>24</v>
      </c>
      <c r="C2294" s="11" t="s">
        <v>62</v>
      </c>
      <c r="D2294" s="12">
        <v>764</v>
      </c>
      <c r="E2294" s="13">
        <v>3</v>
      </c>
    </row>
    <row r="2295" spans="1:5" x14ac:dyDescent="0.25">
      <c r="A2295" s="11" t="s">
        <v>260</v>
      </c>
      <c r="B2295" s="11" t="s">
        <v>24</v>
      </c>
      <c r="C2295" s="11" t="s">
        <v>21</v>
      </c>
      <c r="D2295" s="12">
        <v>765</v>
      </c>
      <c r="E2295" s="13">
        <v>0</v>
      </c>
    </row>
    <row r="2296" spans="1:5" x14ac:dyDescent="0.25">
      <c r="A2296" s="11" t="s">
        <v>421</v>
      </c>
      <c r="B2296" s="11" t="s">
        <v>20</v>
      </c>
      <c r="C2296" s="11" t="s">
        <v>30</v>
      </c>
      <c r="D2296" s="12">
        <v>765</v>
      </c>
      <c r="E2296" s="13">
        <v>0</v>
      </c>
    </row>
    <row r="2297" spans="1:5" x14ac:dyDescent="0.25">
      <c r="A2297" s="11" t="s">
        <v>759</v>
      </c>
      <c r="B2297" s="11" t="s">
        <v>20</v>
      </c>
      <c r="C2297" s="11" t="s">
        <v>34</v>
      </c>
      <c r="D2297" s="12">
        <v>765</v>
      </c>
      <c r="E2297" s="13">
        <v>1</v>
      </c>
    </row>
    <row r="2298" spans="1:5" x14ac:dyDescent="0.25">
      <c r="A2298" s="11" t="s">
        <v>616</v>
      </c>
      <c r="B2298" s="11" t="s">
        <v>26</v>
      </c>
      <c r="C2298" s="11" t="s">
        <v>39</v>
      </c>
      <c r="D2298" s="12">
        <v>766</v>
      </c>
      <c r="E2298" s="13">
        <v>2</v>
      </c>
    </row>
    <row r="2299" spans="1:5" x14ac:dyDescent="0.25">
      <c r="A2299" s="11" t="s">
        <v>624</v>
      </c>
      <c r="B2299" s="11" t="s">
        <v>26</v>
      </c>
      <c r="C2299" s="11" t="s">
        <v>44</v>
      </c>
      <c r="D2299" s="12">
        <v>766</v>
      </c>
      <c r="E2299" s="13">
        <v>1</v>
      </c>
    </row>
    <row r="2300" spans="1:5" x14ac:dyDescent="0.25">
      <c r="A2300" s="11" t="s">
        <v>781</v>
      </c>
      <c r="B2300" s="11" t="s">
        <v>26</v>
      </c>
      <c r="C2300" s="11" t="s">
        <v>33</v>
      </c>
      <c r="D2300" s="12">
        <v>766</v>
      </c>
      <c r="E2300" s="13">
        <v>9</v>
      </c>
    </row>
    <row r="2301" spans="1:5" x14ac:dyDescent="0.25">
      <c r="A2301" s="11" t="s">
        <v>968</v>
      </c>
      <c r="B2301" s="11" t="s">
        <v>20</v>
      </c>
      <c r="C2301" s="11" t="s">
        <v>21</v>
      </c>
      <c r="D2301" s="12">
        <v>766</v>
      </c>
      <c r="E2301" s="13">
        <v>0</v>
      </c>
    </row>
    <row r="2302" spans="1:5" x14ac:dyDescent="0.25">
      <c r="A2302" s="11" t="s">
        <v>1067</v>
      </c>
      <c r="B2302" s="11" t="s">
        <v>20</v>
      </c>
      <c r="C2302" s="11" t="s">
        <v>5</v>
      </c>
      <c r="D2302" s="12">
        <v>766</v>
      </c>
      <c r="E2302" s="13">
        <v>0</v>
      </c>
    </row>
    <row r="2303" spans="1:5" x14ac:dyDescent="0.25">
      <c r="A2303" s="11" t="s">
        <v>1806</v>
      </c>
      <c r="B2303" s="11" t="s">
        <v>20</v>
      </c>
      <c r="C2303" s="11" t="s">
        <v>53</v>
      </c>
      <c r="D2303" s="12">
        <v>766</v>
      </c>
      <c r="E2303" s="13">
        <v>8</v>
      </c>
    </row>
    <row r="2304" spans="1:5" x14ac:dyDescent="0.25">
      <c r="A2304" s="11" t="s">
        <v>1946</v>
      </c>
      <c r="B2304" s="11" t="s">
        <v>20</v>
      </c>
      <c r="C2304" s="11" t="s">
        <v>5</v>
      </c>
      <c r="D2304" s="12">
        <v>766</v>
      </c>
      <c r="E2304" s="13">
        <v>1</v>
      </c>
    </row>
    <row r="2305" spans="1:5" x14ac:dyDescent="0.25">
      <c r="A2305" s="11" t="s">
        <v>122</v>
      </c>
      <c r="B2305" s="11" t="s">
        <v>24</v>
      </c>
      <c r="C2305" s="11" t="s">
        <v>43</v>
      </c>
      <c r="D2305" s="12">
        <v>767</v>
      </c>
      <c r="E2305" s="13">
        <v>0</v>
      </c>
    </row>
    <row r="2306" spans="1:5" x14ac:dyDescent="0.25">
      <c r="A2306" s="11" t="s">
        <v>150</v>
      </c>
      <c r="B2306" s="11" t="s">
        <v>20</v>
      </c>
      <c r="C2306" s="11" t="s">
        <v>39</v>
      </c>
      <c r="D2306" s="12">
        <v>767</v>
      </c>
      <c r="E2306" s="13">
        <v>5</v>
      </c>
    </row>
    <row r="2307" spans="1:5" x14ac:dyDescent="0.25">
      <c r="A2307" s="11" t="s">
        <v>228</v>
      </c>
      <c r="B2307" s="11" t="s">
        <v>24</v>
      </c>
      <c r="C2307" s="11" t="s">
        <v>44</v>
      </c>
      <c r="D2307" s="12">
        <v>767</v>
      </c>
      <c r="E2307" s="13">
        <v>2</v>
      </c>
    </row>
    <row r="2308" spans="1:5" x14ac:dyDescent="0.25">
      <c r="A2308" s="11" t="s">
        <v>495</v>
      </c>
      <c r="B2308" s="11" t="s">
        <v>20</v>
      </c>
      <c r="C2308" s="11" t="s">
        <v>32</v>
      </c>
      <c r="D2308" s="12">
        <v>767</v>
      </c>
      <c r="E2308" s="13">
        <v>1</v>
      </c>
    </row>
    <row r="2309" spans="1:5" x14ac:dyDescent="0.25">
      <c r="A2309" s="11" t="s">
        <v>1526</v>
      </c>
      <c r="B2309" s="11" t="s">
        <v>24</v>
      </c>
      <c r="C2309" s="11" t="s">
        <v>44</v>
      </c>
      <c r="D2309" s="12">
        <v>767</v>
      </c>
      <c r="E2309" s="13">
        <v>1</v>
      </c>
    </row>
    <row r="2310" spans="1:5" x14ac:dyDescent="0.25">
      <c r="A2310" s="11" t="s">
        <v>1532</v>
      </c>
      <c r="B2310" s="11" t="s">
        <v>20</v>
      </c>
      <c r="C2310" s="11" t="s">
        <v>30</v>
      </c>
      <c r="D2310" s="12">
        <v>767</v>
      </c>
      <c r="E2310" s="13">
        <v>1</v>
      </c>
    </row>
    <row r="2311" spans="1:5" x14ac:dyDescent="0.25">
      <c r="A2311" s="11" t="s">
        <v>875</v>
      </c>
      <c r="B2311" s="11" t="s">
        <v>20</v>
      </c>
      <c r="C2311" s="11" t="s">
        <v>44</v>
      </c>
      <c r="D2311" s="12">
        <v>768</v>
      </c>
      <c r="E2311" s="13">
        <v>0</v>
      </c>
    </row>
    <row r="2312" spans="1:5" x14ac:dyDescent="0.25">
      <c r="A2312" s="11" t="s">
        <v>1067</v>
      </c>
      <c r="B2312" s="11" t="s">
        <v>20</v>
      </c>
      <c r="C2312" s="11" t="s">
        <v>28</v>
      </c>
      <c r="D2312" s="12">
        <v>768</v>
      </c>
      <c r="E2312" s="13">
        <v>0</v>
      </c>
    </row>
    <row r="2313" spans="1:5" x14ac:dyDescent="0.25">
      <c r="A2313" s="11" t="s">
        <v>1495</v>
      </c>
      <c r="B2313" s="11" t="s">
        <v>20</v>
      </c>
      <c r="C2313" s="11" t="s">
        <v>44</v>
      </c>
      <c r="D2313" s="12">
        <v>768</v>
      </c>
      <c r="E2313" s="13">
        <v>0</v>
      </c>
    </row>
    <row r="2314" spans="1:5" x14ac:dyDescent="0.25">
      <c r="A2314" s="11" t="s">
        <v>835</v>
      </c>
      <c r="B2314" s="11" t="s">
        <v>24</v>
      </c>
      <c r="C2314" s="11" t="s">
        <v>34</v>
      </c>
      <c r="D2314" s="12">
        <v>769</v>
      </c>
      <c r="E2314" s="13">
        <v>2</v>
      </c>
    </row>
    <row r="2315" spans="1:5" x14ac:dyDescent="0.25">
      <c r="A2315" s="11" t="s">
        <v>856</v>
      </c>
      <c r="B2315" s="11" t="s">
        <v>20</v>
      </c>
      <c r="C2315" s="11" t="s">
        <v>21</v>
      </c>
      <c r="D2315" s="12">
        <v>769</v>
      </c>
      <c r="E2315" s="13">
        <v>2</v>
      </c>
    </row>
    <row r="2316" spans="1:5" x14ac:dyDescent="0.25">
      <c r="A2316" s="11" t="s">
        <v>1187</v>
      </c>
      <c r="B2316" s="11" t="s">
        <v>24</v>
      </c>
      <c r="C2316" s="11" t="s">
        <v>34</v>
      </c>
      <c r="D2316" s="12">
        <v>770</v>
      </c>
      <c r="E2316" s="13">
        <v>12</v>
      </c>
    </row>
    <row r="2317" spans="1:5" x14ac:dyDescent="0.25">
      <c r="A2317" s="11" t="s">
        <v>1365</v>
      </c>
      <c r="B2317" s="11" t="s">
        <v>24</v>
      </c>
      <c r="C2317" s="11" t="s">
        <v>53</v>
      </c>
      <c r="D2317" s="12">
        <v>771</v>
      </c>
      <c r="E2317" s="13">
        <v>4</v>
      </c>
    </row>
    <row r="2318" spans="1:5" x14ac:dyDescent="0.25">
      <c r="A2318" s="11" t="s">
        <v>1807</v>
      </c>
      <c r="B2318" s="11" t="s">
        <v>20</v>
      </c>
      <c r="C2318" s="11" t="s">
        <v>5</v>
      </c>
      <c r="D2318" s="12">
        <v>771</v>
      </c>
      <c r="E2318" s="13">
        <v>5</v>
      </c>
    </row>
    <row r="2319" spans="1:5" x14ac:dyDescent="0.25">
      <c r="A2319" s="11" t="s">
        <v>552</v>
      </c>
      <c r="B2319" s="11" t="s">
        <v>26</v>
      </c>
      <c r="C2319" s="11" t="s">
        <v>5</v>
      </c>
      <c r="D2319" s="12">
        <v>772</v>
      </c>
      <c r="E2319" s="13">
        <v>0</v>
      </c>
    </row>
    <row r="2320" spans="1:5" x14ac:dyDescent="0.25">
      <c r="A2320" s="11" t="s">
        <v>936</v>
      </c>
      <c r="B2320" s="11" t="s">
        <v>26</v>
      </c>
      <c r="C2320" s="11" t="s">
        <v>66</v>
      </c>
      <c r="D2320" s="12">
        <v>772</v>
      </c>
      <c r="E2320" s="13">
        <v>2</v>
      </c>
    </row>
    <row r="2321" spans="1:5" x14ac:dyDescent="0.25">
      <c r="A2321" s="11" t="s">
        <v>383</v>
      </c>
      <c r="B2321" s="11" t="s">
        <v>20</v>
      </c>
      <c r="C2321" s="11" t="s">
        <v>53</v>
      </c>
      <c r="D2321" s="12">
        <v>773</v>
      </c>
      <c r="E2321" s="13">
        <v>0</v>
      </c>
    </row>
    <row r="2322" spans="1:5" x14ac:dyDescent="0.25">
      <c r="A2322" s="11" t="s">
        <v>674</v>
      </c>
      <c r="B2322" s="11" t="s">
        <v>26</v>
      </c>
      <c r="C2322" s="11" t="s">
        <v>5</v>
      </c>
      <c r="D2322" s="12">
        <v>773</v>
      </c>
      <c r="E2322" s="13">
        <v>5</v>
      </c>
    </row>
    <row r="2323" spans="1:5" x14ac:dyDescent="0.25">
      <c r="A2323" s="11" t="s">
        <v>1316</v>
      </c>
      <c r="B2323" s="11" t="s">
        <v>20</v>
      </c>
      <c r="C2323" s="11" t="s">
        <v>28</v>
      </c>
      <c r="D2323" s="12">
        <v>773</v>
      </c>
      <c r="E2323" s="13">
        <v>2</v>
      </c>
    </row>
    <row r="2324" spans="1:5" x14ac:dyDescent="0.25">
      <c r="A2324" s="11" t="s">
        <v>1376</v>
      </c>
      <c r="B2324" s="11" t="s">
        <v>24</v>
      </c>
      <c r="C2324" s="11" t="s">
        <v>22</v>
      </c>
      <c r="D2324" s="12">
        <v>773</v>
      </c>
      <c r="E2324" s="13">
        <v>0</v>
      </c>
    </row>
    <row r="2325" spans="1:5" x14ac:dyDescent="0.25">
      <c r="A2325" s="11" t="s">
        <v>132</v>
      </c>
      <c r="B2325" s="11" t="s">
        <v>26</v>
      </c>
      <c r="C2325" s="11" t="s">
        <v>33</v>
      </c>
      <c r="D2325" s="12">
        <v>774</v>
      </c>
      <c r="E2325" s="13">
        <v>4</v>
      </c>
    </row>
    <row r="2326" spans="1:5" x14ac:dyDescent="0.25">
      <c r="A2326" s="11" t="s">
        <v>195</v>
      </c>
      <c r="B2326" s="11" t="s">
        <v>20</v>
      </c>
      <c r="C2326" s="11" t="s">
        <v>30</v>
      </c>
      <c r="D2326" s="12">
        <v>774</v>
      </c>
      <c r="E2326" s="13">
        <v>0</v>
      </c>
    </row>
    <row r="2327" spans="1:5" x14ac:dyDescent="0.25">
      <c r="A2327" s="11" t="s">
        <v>462</v>
      </c>
      <c r="B2327" s="11" t="s">
        <v>20</v>
      </c>
      <c r="C2327" s="11" t="s">
        <v>27</v>
      </c>
      <c r="D2327" s="12">
        <v>775</v>
      </c>
      <c r="E2327" s="13">
        <v>5</v>
      </c>
    </row>
    <row r="2328" spans="1:5" x14ac:dyDescent="0.25">
      <c r="A2328" s="11" t="s">
        <v>700</v>
      </c>
      <c r="B2328" s="11" t="s">
        <v>24</v>
      </c>
      <c r="C2328" s="11" t="s">
        <v>43</v>
      </c>
      <c r="D2328" s="12">
        <v>775</v>
      </c>
      <c r="E2328" s="13">
        <v>3</v>
      </c>
    </row>
    <row r="2329" spans="1:5" x14ac:dyDescent="0.25">
      <c r="A2329" s="11" t="s">
        <v>815</v>
      </c>
      <c r="B2329" s="11" t="s">
        <v>24</v>
      </c>
      <c r="C2329" s="11" t="s">
        <v>111</v>
      </c>
      <c r="D2329" s="12">
        <v>775</v>
      </c>
      <c r="E2329" s="13">
        <v>9</v>
      </c>
    </row>
    <row r="2330" spans="1:5" x14ac:dyDescent="0.25">
      <c r="A2330" s="11" t="s">
        <v>962</v>
      </c>
      <c r="B2330" s="11" t="s">
        <v>26</v>
      </c>
      <c r="C2330" s="11" t="s">
        <v>62</v>
      </c>
      <c r="D2330" s="12">
        <v>776</v>
      </c>
      <c r="E2330" s="13">
        <v>12</v>
      </c>
    </row>
    <row r="2331" spans="1:5" x14ac:dyDescent="0.25">
      <c r="A2331" s="11" t="s">
        <v>1093</v>
      </c>
      <c r="B2331" s="11" t="s">
        <v>20</v>
      </c>
      <c r="C2331" s="11" t="s">
        <v>25</v>
      </c>
      <c r="D2331" s="12">
        <v>776</v>
      </c>
      <c r="E2331" s="13">
        <v>4</v>
      </c>
    </row>
    <row r="2332" spans="1:5" x14ac:dyDescent="0.25">
      <c r="A2332" s="11" t="s">
        <v>1139</v>
      </c>
      <c r="B2332" s="11" t="s">
        <v>24</v>
      </c>
      <c r="C2332" s="11" t="s">
        <v>39</v>
      </c>
      <c r="D2332" s="12">
        <v>776</v>
      </c>
      <c r="E2332" s="13">
        <v>6</v>
      </c>
    </row>
    <row r="2333" spans="1:5" x14ac:dyDescent="0.25">
      <c r="A2333" s="11" t="s">
        <v>849</v>
      </c>
      <c r="B2333" s="11" t="s">
        <v>26</v>
      </c>
      <c r="C2333" s="11" t="s">
        <v>111</v>
      </c>
      <c r="D2333" s="12">
        <v>777</v>
      </c>
      <c r="E2333" s="13">
        <v>0</v>
      </c>
    </row>
    <row r="2334" spans="1:5" x14ac:dyDescent="0.25">
      <c r="A2334" s="11" t="s">
        <v>1088</v>
      </c>
      <c r="B2334" s="11" t="s">
        <v>20</v>
      </c>
      <c r="C2334" s="11" t="s">
        <v>22</v>
      </c>
      <c r="D2334" s="12">
        <v>777</v>
      </c>
      <c r="E2334" s="13">
        <v>4</v>
      </c>
    </row>
    <row r="2335" spans="1:5" x14ac:dyDescent="0.25">
      <c r="A2335" s="11" t="s">
        <v>173</v>
      </c>
      <c r="B2335" s="11" t="s">
        <v>24</v>
      </c>
      <c r="C2335" s="11" t="s">
        <v>44</v>
      </c>
      <c r="D2335" s="12">
        <v>778</v>
      </c>
      <c r="E2335" s="13">
        <v>17</v>
      </c>
    </row>
    <row r="2336" spans="1:5" x14ac:dyDescent="0.25">
      <c r="A2336" s="11" t="s">
        <v>271</v>
      </c>
      <c r="B2336" s="11" t="s">
        <v>20</v>
      </c>
      <c r="C2336" s="11" t="s">
        <v>25</v>
      </c>
      <c r="D2336" s="12">
        <v>778</v>
      </c>
      <c r="E2336" s="13">
        <v>8</v>
      </c>
    </row>
    <row r="2337" spans="1:5" x14ac:dyDescent="0.25">
      <c r="A2337" s="11" t="s">
        <v>792</v>
      </c>
      <c r="B2337" s="11" t="s">
        <v>20</v>
      </c>
      <c r="C2337" s="11" t="s">
        <v>27</v>
      </c>
      <c r="D2337" s="12">
        <v>778</v>
      </c>
      <c r="E2337" s="13">
        <v>1</v>
      </c>
    </row>
    <row r="2338" spans="1:5" x14ac:dyDescent="0.25">
      <c r="A2338" s="11" t="s">
        <v>1434</v>
      </c>
      <c r="B2338" s="11" t="s">
        <v>24</v>
      </c>
      <c r="C2338" s="11" t="s">
        <v>111</v>
      </c>
      <c r="D2338" s="12">
        <v>778</v>
      </c>
      <c r="E2338" s="13">
        <v>3</v>
      </c>
    </row>
    <row r="2339" spans="1:5" x14ac:dyDescent="0.25">
      <c r="A2339" s="11" t="s">
        <v>1733</v>
      </c>
      <c r="B2339" s="11" t="s">
        <v>26</v>
      </c>
      <c r="C2339" s="11" t="s">
        <v>44</v>
      </c>
      <c r="D2339" s="12">
        <v>778</v>
      </c>
      <c r="E2339" s="13">
        <v>1</v>
      </c>
    </row>
    <row r="2340" spans="1:5" x14ac:dyDescent="0.25">
      <c r="A2340" s="11" t="s">
        <v>1009</v>
      </c>
      <c r="B2340" s="11" t="s">
        <v>20</v>
      </c>
      <c r="C2340" s="11" t="s">
        <v>44</v>
      </c>
      <c r="D2340" s="12">
        <v>779</v>
      </c>
      <c r="E2340" s="13">
        <v>0</v>
      </c>
    </row>
    <row r="2341" spans="1:5" x14ac:dyDescent="0.25">
      <c r="A2341" s="11" t="s">
        <v>1402</v>
      </c>
      <c r="B2341" s="11" t="s">
        <v>20</v>
      </c>
      <c r="C2341" s="11" t="s">
        <v>22</v>
      </c>
      <c r="D2341" s="12">
        <v>779</v>
      </c>
      <c r="E2341" s="13">
        <v>3</v>
      </c>
    </row>
    <row r="2342" spans="1:5" x14ac:dyDescent="0.25">
      <c r="A2342" s="11" t="s">
        <v>387</v>
      </c>
      <c r="B2342" s="11" t="s">
        <v>26</v>
      </c>
      <c r="C2342" s="11" t="s">
        <v>44</v>
      </c>
      <c r="D2342" s="12">
        <v>780</v>
      </c>
      <c r="E2342" s="13">
        <v>2</v>
      </c>
    </row>
    <row r="2343" spans="1:5" x14ac:dyDescent="0.25">
      <c r="A2343" s="11" t="s">
        <v>623</v>
      </c>
      <c r="B2343" s="11" t="s">
        <v>24</v>
      </c>
      <c r="C2343" s="11" t="s">
        <v>22</v>
      </c>
      <c r="D2343" s="12">
        <v>780</v>
      </c>
      <c r="E2343" s="13">
        <v>1</v>
      </c>
    </row>
    <row r="2344" spans="1:5" x14ac:dyDescent="0.25">
      <c r="A2344" s="11" t="s">
        <v>756</v>
      </c>
      <c r="B2344" s="11" t="s">
        <v>20</v>
      </c>
      <c r="C2344" s="11" t="s">
        <v>43</v>
      </c>
      <c r="D2344" s="12">
        <v>780</v>
      </c>
      <c r="E2344" s="13">
        <v>0</v>
      </c>
    </row>
    <row r="2345" spans="1:5" x14ac:dyDescent="0.25">
      <c r="A2345" s="11" t="s">
        <v>1636</v>
      </c>
      <c r="B2345" s="11" t="s">
        <v>20</v>
      </c>
      <c r="C2345" s="11" t="s">
        <v>27</v>
      </c>
      <c r="D2345" s="12">
        <v>780</v>
      </c>
      <c r="E2345" s="13">
        <v>0</v>
      </c>
    </row>
    <row r="2346" spans="1:5" x14ac:dyDescent="0.25">
      <c r="A2346" s="11" t="s">
        <v>581</v>
      </c>
      <c r="B2346" s="11" t="s">
        <v>24</v>
      </c>
      <c r="C2346" s="11" t="s">
        <v>39</v>
      </c>
      <c r="D2346" s="12">
        <v>782</v>
      </c>
      <c r="E2346" s="13">
        <v>4</v>
      </c>
    </row>
    <row r="2347" spans="1:5" x14ac:dyDescent="0.25">
      <c r="A2347" s="11" t="s">
        <v>1523</v>
      </c>
      <c r="B2347" s="11" t="s">
        <v>20</v>
      </c>
      <c r="C2347" s="11" t="s">
        <v>40</v>
      </c>
      <c r="D2347" s="12">
        <v>782</v>
      </c>
      <c r="E2347" s="13">
        <v>0</v>
      </c>
    </row>
    <row r="2348" spans="1:5" x14ac:dyDescent="0.25">
      <c r="A2348" s="11" t="s">
        <v>1778</v>
      </c>
      <c r="B2348" s="11" t="s">
        <v>26</v>
      </c>
      <c r="C2348" s="11" t="s">
        <v>39</v>
      </c>
      <c r="D2348" s="12">
        <v>782</v>
      </c>
      <c r="E2348" s="13">
        <v>1</v>
      </c>
    </row>
    <row r="2349" spans="1:5" x14ac:dyDescent="0.25">
      <c r="A2349" s="11" t="s">
        <v>1733</v>
      </c>
      <c r="B2349" s="11" t="s">
        <v>26</v>
      </c>
      <c r="C2349" s="11" t="s">
        <v>22</v>
      </c>
      <c r="D2349" s="12">
        <v>783</v>
      </c>
      <c r="E2349" s="13">
        <v>0</v>
      </c>
    </row>
    <row r="2350" spans="1:5" x14ac:dyDescent="0.25">
      <c r="A2350" s="11" t="s">
        <v>887</v>
      </c>
      <c r="B2350" s="11" t="s">
        <v>24</v>
      </c>
      <c r="C2350" s="11" t="s">
        <v>62</v>
      </c>
      <c r="D2350" s="12">
        <v>784</v>
      </c>
      <c r="E2350" s="13">
        <v>3</v>
      </c>
    </row>
    <row r="2351" spans="1:5" x14ac:dyDescent="0.25">
      <c r="A2351" s="11" t="s">
        <v>1865</v>
      </c>
      <c r="B2351" s="11" t="s">
        <v>26</v>
      </c>
      <c r="C2351" s="11" t="s">
        <v>33</v>
      </c>
      <c r="D2351" s="12">
        <v>784</v>
      </c>
      <c r="E2351" s="13">
        <v>3</v>
      </c>
    </row>
    <row r="2352" spans="1:5" x14ac:dyDescent="0.25">
      <c r="A2352" s="11" t="s">
        <v>633</v>
      </c>
      <c r="B2352" s="11" t="s">
        <v>20</v>
      </c>
      <c r="C2352" s="11" t="s">
        <v>27</v>
      </c>
      <c r="D2352" s="12">
        <v>785</v>
      </c>
      <c r="E2352" s="13">
        <v>0</v>
      </c>
    </row>
    <row r="2353" spans="1:5" x14ac:dyDescent="0.25">
      <c r="A2353" s="11" t="s">
        <v>965</v>
      </c>
      <c r="B2353" s="11" t="s">
        <v>26</v>
      </c>
      <c r="C2353" s="11" t="s">
        <v>27</v>
      </c>
      <c r="D2353" s="12">
        <v>785</v>
      </c>
      <c r="E2353" s="13">
        <v>0</v>
      </c>
    </row>
    <row r="2354" spans="1:5" x14ac:dyDescent="0.25">
      <c r="A2354" s="11" t="s">
        <v>1584</v>
      </c>
      <c r="B2354" s="11" t="s">
        <v>24</v>
      </c>
      <c r="C2354" s="11" t="s">
        <v>28</v>
      </c>
      <c r="D2354" s="12">
        <v>785</v>
      </c>
      <c r="E2354" s="13">
        <v>15</v>
      </c>
    </row>
    <row r="2355" spans="1:5" x14ac:dyDescent="0.25">
      <c r="A2355" s="11" t="s">
        <v>596</v>
      </c>
      <c r="B2355" s="11" t="s">
        <v>26</v>
      </c>
      <c r="C2355" s="11" t="s">
        <v>34</v>
      </c>
      <c r="D2355" s="12">
        <v>786</v>
      </c>
      <c r="E2355" s="13">
        <v>0</v>
      </c>
    </row>
    <row r="2356" spans="1:5" x14ac:dyDescent="0.25">
      <c r="A2356" s="11" t="s">
        <v>860</v>
      </c>
      <c r="B2356" s="11" t="s">
        <v>24</v>
      </c>
      <c r="C2356" s="11" t="s">
        <v>44</v>
      </c>
      <c r="D2356" s="12">
        <v>786</v>
      </c>
      <c r="E2356" s="13">
        <v>0</v>
      </c>
    </row>
    <row r="2357" spans="1:5" x14ac:dyDescent="0.25">
      <c r="A2357" s="11" t="s">
        <v>1951</v>
      </c>
      <c r="B2357" s="11" t="s">
        <v>26</v>
      </c>
      <c r="C2357" s="11" t="s">
        <v>40</v>
      </c>
      <c r="D2357" s="12">
        <v>786</v>
      </c>
      <c r="E2357" s="13">
        <v>5</v>
      </c>
    </row>
    <row r="2358" spans="1:5" x14ac:dyDescent="0.25">
      <c r="A2358" s="11" t="s">
        <v>604</v>
      </c>
      <c r="B2358" s="11" t="s">
        <v>20</v>
      </c>
      <c r="C2358" s="11" t="s">
        <v>44</v>
      </c>
      <c r="D2358" s="12">
        <v>787</v>
      </c>
      <c r="E2358" s="13">
        <v>2</v>
      </c>
    </row>
    <row r="2359" spans="1:5" x14ac:dyDescent="0.25">
      <c r="A2359" s="11" t="s">
        <v>647</v>
      </c>
      <c r="B2359" s="11" t="s">
        <v>26</v>
      </c>
      <c r="C2359" s="11" t="s">
        <v>27</v>
      </c>
      <c r="D2359" s="12">
        <v>787</v>
      </c>
      <c r="E2359" s="13">
        <v>0</v>
      </c>
    </row>
    <row r="2360" spans="1:5" x14ac:dyDescent="0.25">
      <c r="A2360" s="11" t="s">
        <v>959</v>
      </c>
      <c r="B2360" s="11" t="s">
        <v>20</v>
      </c>
      <c r="C2360" s="11" t="s">
        <v>66</v>
      </c>
      <c r="D2360" s="12">
        <v>788</v>
      </c>
      <c r="E2360" s="13">
        <v>0</v>
      </c>
    </row>
    <row r="2361" spans="1:5" x14ac:dyDescent="0.25">
      <c r="A2361" s="11" t="s">
        <v>1044</v>
      </c>
      <c r="B2361" s="11" t="s">
        <v>20</v>
      </c>
      <c r="C2361" s="11" t="s">
        <v>30</v>
      </c>
      <c r="D2361" s="12">
        <v>788</v>
      </c>
      <c r="E2361" s="13">
        <v>0</v>
      </c>
    </row>
    <row r="2362" spans="1:5" x14ac:dyDescent="0.25">
      <c r="A2362" s="11" t="s">
        <v>1077</v>
      </c>
      <c r="B2362" s="11" t="s">
        <v>20</v>
      </c>
      <c r="C2362" s="11" t="s">
        <v>44</v>
      </c>
      <c r="D2362" s="12">
        <v>788</v>
      </c>
      <c r="E2362" s="13">
        <v>0</v>
      </c>
    </row>
    <row r="2363" spans="1:5" x14ac:dyDescent="0.25">
      <c r="A2363" s="11" t="s">
        <v>1086</v>
      </c>
      <c r="B2363" s="11" t="s">
        <v>26</v>
      </c>
      <c r="C2363" s="11" t="s">
        <v>33</v>
      </c>
      <c r="D2363" s="12">
        <v>788</v>
      </c>
      <c r="E2363" s="13">
        <v>1</v>
      </c>
    </row>
    <row r="2364" spans="1:5" x14ac:dyDescent="0.25">
      <c r="A2364" s="11" t="s">
        <v>1315</v>
      </c>
      <c r="B2364" s="11" t="s">
        <v>20</v>
      </c>
      <c r="C2364" s="11" t="s">
        <v>43</v>
      </c>
      <c r="D2364" s="12">
        <v>788</v>
      </c>
      <c r="E2364" s="13">
        <v>0</v>
      </c>
    </row>
    <row r="2365" spans="1:5" x14ac:dyDescent="0.25">
      <c r="A2365" s="11" t="s">
        <v>1846</v>
      </c>
      <c r="B2365" s="11" t="s">
        <v>26</v>
      </c>
      <c r="C2365" s="11" t="s">
        <v>21</v>
      </c>
      <c r="D2365" s="12">
        <v>788</v>
      </c>
      <c r="E2365" s="13">
        <v>0</v>
      </c>
    </row>
    <row r="2366" spans="1:5" x14ac:dyDescent="0.25">
      <c r="A2366" s="11" t="s">
        <v>1883</v>
      </c>
      <c r="B2366" s="11" t="s">
        <v>24</v>
      </c>
      <c r="C2366" s="11" t="s">
        <v>5</v>
      </c>
      <c r="D2366" s="12">
        <v>788</v>
      </c>
      <c r="E2366" s="13">
        <v>0</v>
      </c>
    </row>
    <row r="2367" spans="1:5" x14ac:dyDescent="0.25">
      <c r="A2367" s="11" t="s">
        <v>64</v>
      </c>
      <c r="B2367" s="11" t="s">
        <v>20</v>
      </c>
      <c r="C2367" s="11" t="s">
        <v>30</v>
      </c>
      <c r="D2367" s="12">
        <v>789</v>
      </c>
      <c r="E2367" s="13">
        <v>5</v>
      </c>
    </row>
    <row r="2368" spans="1:5" x14ac:dyDescent="0.25">
      <c r="A2368" s="11" t="s">
        <v>269</v>
      </c>
      <c r="B2368" s="11" t="s">
        <v>26</v>
      </c>
      <c r="C2368" s="11" t="s">
        <v>111</v>
      </c>
      <c r="D2368" s="12">
        <v>789</v>
      </c>
      <c r="E2368" s="13">
        <v>0</v>
      </c>
    </row>
    <row r="2369" spans="1:5" x14ac:dyDescent="0.25">
      <c r="A2369" s="11" t="s">
        <v>343</v>
      </c>
      <c r="B2369" s="11" t="s">
        <v>26</v>
      </c>
      <c r="C2369" s="11" t="s">
        <v>43</v>
      </c>
      <c r="D2369" s="12">
        <v>789</v>
      </c>
      <c r="E2369" s="13">
        <v>1</v>
      </c>
    </row>
    <row r="2370" spans="1:5" x14ac:dyDescent="0.25">
      <c r="A2370" s="11" t="s">
        <v>753</v>
      </c>
      <c r="B2370" s="11" t="s">
        <v>20</v>
      </c>
      <c r="C2370" s="11" t="s">
        <v>44</v>
      </c>
      <c r="D2370" s="12">
        <v>789</v>
      </c>
      <c r="E2370" s="13">
        <v>1</v>
      </c>
    </row>
    <row r="2371" spans="1:5" x14ac:dyDescent="0.25">
      <c r="A2371" s="11" t="s">
        <v>1597</v>
      </c>
      <c r="B2371" s="11" t="s">
        <v>20</v>
      </c>
      <c r="C2371" s="11" t="s">
        <v>111</v>
      </c>
      <c r="D2371" s="12">
        <v>789</v>
      </c>
      <c r="E2371" s="13">
        <v>0</v>
      </c>
    </row>
    <row r="2372" spans="1:5" x14ac:dyDescent="0.25">
      <c r="A2372" s="11" t="s">
        <v>279</v>
      </c>
      <c r="B2372" s="11" t="s">
        <v>20</v>
      </c>
      <c r="C2372" s="11" t="s">
        <v>30</v>
      </c>
      <c r="D2372" s="12">
        <v>790</v>
      </c>
      <c r="E2372" s="13">
        <v>6</v>
      </c>
    </row>
    <row r="2373" spans="1:5" x14ac:dyDescent="0.25">
      <c r="A2373" s="11" t="s">
        <v>711</v>
      </c>
      <c r="B2373" s="11" t="s">
        <v>26</v>
      </c>
      <c r="C2373" s="11" t="s">
        <v>53</v>
      </c>
      <c r="D2373" s="12">
        <v>790</v>
      </c>
      <c r="E2373" s="13">
        <v>8</v>
      </c>
    </row>
    <row r="2374" spans="1:5" x14ac:dyDescent="0.25">
      <c r="A2374" s="11" t="s">
        <v>134</v>
      </c>
      <c r="B2374" s="11" t="s">
        <v>24</v>
      </c>
      <c r="C2374" s="11" t="s">
        <v>30</v>
      </c>
      <c r="D2374" s="12">
        <v>791</v>
      </c>
      <c r="E2374" s="13">
        <v>0</v>
      </c>
    </row>
    <row r="2375" spans="1:5" x14ac:dyDescent="0.25">
      <c r="A2375" s="11" t="s">
        <v>876</v>
      </c>
      <c r="B2375" s="11" t="s">
        <v>24</v>
      </c>
      <c r="C2375" s="11" t="s">
        <v>39</v>
      </c>
      <c r="D2375" s="12">
        <v>791</v>
      </c>
      <c r="E2375" s="13">
        <v>0</v>
      </c>
    </row>
    <row r="2376" spans="1:5" x14ac:dyDescent="0.25">
      <c r="A2376" s="11" t="s">
        <v>1297</v>
      </c>
      <c r="B2376" s="11" t="s">
        <v>24</v>
      </c>
      <c r="C2376" s="11" t="s">
        <v>27</v>
      </c>
      <c r="D2376" s="12">
        <v>791</v>
      </c>
      <c r="E2376" s="13">
        <v>4</v>
      </c>
    </row>
    <row r="2377" spans="1:5" x14ac:dyDescent="0.25">
      <c r="A2377" s="11" t="s">
        <v>1696</v>
      </c>
      <c r="B2377" s="11" t="s">
        <v>24</v>
      </c>
      <c r="C2377" s="11" t="s">
        <v>25</v>
      </c>
      <c r="D2377" s="12">
        <v>791</v>
      </c>
      <c r="E2377" s="13">
        <v>2</v>
      </c>
    </row>
    <row r="2378" spans="1:5" x14ac:dyDescent="0.25">
      <c r="A2378" s="11" t="s">
        <v>1887</v>
      </c>
      <c r="B2378" s="11" t="s">
        <v>20</v>
      </c>
      <c r="C2378" s="11" t="s">
        <v>33</v>
      </c>
      <c r="D2378" s="12">
        <v>792</v>
      </c>
      <c r="E2378" s="13">
        <v>4</v>
      </c>
    </row>
    <row r="2379" spans="1:5" x14ac:dyDescent="0.25">
      <c r="A2379" s="11" t="s">
        <v>430</v>
      </c>
      <c r="B2379" s="11" t="s">
        <v>26</v>
      </c>
      <c r="C2379" s="11" t="s">
        <v>66</v>
      </c>
      <c r="D2379" s="12">
        <v>793</v>
      </c>
      <c r="E2379" s="13">
        <v>3</v>
      </c>
    </row>
    <row r="2380" spans="1:5" x14ac:dyDescent="0.25">
      <c r="A2380" s="11" t="s">
        <v>553</v>
      </c>
      <c r="B2380" s="11" t="s">
        <v>26</v>
      </c>
      <c r="C2380" s="11" t="s">
        <v>27</v>
      </c>
      <c r="D2380" s="12">
        <v>793</v>
      </c>
      <c r="E2380" s="13">
        <v>1</v>
      </c>
    </row>
    <row r="2381" spans="1:5" x14ac:dyDescent="0.25">
      <c r="A2381" s="11" t="s">
        <v>557</v>
      </c>
      <c r="B2381" s="11" t="s">
        <v>26</v>
      </c>
      <c r="C2381" s="11" t="s">
        <v>33</v>
      </c>
      <c r="D2381" s="12">
        <v>793</v>
      </c>
      <c r="E2381" s="13">
        <v>2</v>
      </c>
    </row>
    <row r="2382" spans="1:5" x14ac:dyDescent="0.25">
      <c r="A2382" s="11" t="s">
        <v>494</v>
      </c>
      <c r="B2382" s="11" t="s">
        <v>24</v>
      </c>
      <c r="C2382" s="11" t="s">
        <v>66</v>
      </c>
      <c r="D2382" s="12">
        <v>794</v>
      </c>
      <c r="E2382" s="13">
        <v>1</v>
      </c>
    </row>
    <row r="2383" spans="1:5" x14ac:dyDescent="0.25">
      <c r="A2383" s="11" t="s">
        <v>86</v>
      </c>
      <c r="B2383" s="11" t="s">
        <v>20</v>
      </c>
      <c r="C2383" s="11" t="s">
        <v>25</v>
      </c>
      <c r="D2383" s="12">
        <v>795</v>
      </c>
      <c r="E2383" s="13">
        <v>4</v>
      </c>
    </row>
    <row r="2384" spans="1:5" x14ac:dyDescent="0.25">
      <c r="A2384" s="11" t="s">
        <v>325</v>
      </c>
      <c r="B2384" s="11" t="s">
        <v>26</v>
      </c>
      <c r="C2384" s="11" t="s">
        <v>44</v>
      </c>
      <c r="D2384" s="12">
        <v>795</v>
      </c>
      <c r="E2384" s="13">
        <v>2</v>
      </c>
    </row>
    <row r="2385" spans="1:5" x14ac:dyDescent="0.25">
      <c r="A2385" s="11" t="s">
        <v>1459</v>
      </c>
      <c r="B2385" s="11" t="s">
        <v>24</v>
      </c>
      <c r="C2385" s="11" t="s">
        <v>34</v>
      </c>
      <c r="D2385" s="12">
        <v>795</v>
      </c>
      <c r="E2385" s="13">
        <v>2</v>
      </c>
    </row>
    <row r="2386" spans="1:5" x14ac:dyDescent="0.25">
      <c r="A2386" s="11" t="s">
        <v>1468</v>
      </c>
      <c r="B2386" s="11" t="s">
        <v>26</v>
      </c>
      <c r="C2386" s="11" t="s">
        <v>22</v>
      </c>
      <c r="D2386" s="12">
        <v>795</v>
      </c>
      <c r="E2386" s="13">
        <v>3</v>
      </c>
    </row>
    <row r="2387" spans="1:5" x14ac:dyDescent="0.25">
      <c r="A2387" s="11" t="s">
        <v>1719</v>
      </c>
      <c r="B2387" s="11" t="s">
        <v>26</v>
      </c>
      <c r="C2387" s="11" t="s">
        <v>66</v>
      </c>
      <c r="D2387" s="12">
        <v>795</v>
      </c>
      <c r="E2387" s="13">
        <v>3</v>
      </c>
    </row>
    <row r="2388" spans="1:5" x14ac:dyDescent="0.25">
      <c r="A2388" s="11" t="s">
        <v>1522</v>
      </c>
      <c r="B2388" s="11" t="s">
        <v>24</v>
      </c>
      <c r="C2388" s="11" t="s">
        <v>40</v>
      </c>
      <c r="D2388" s="12">
        <v>796</v>
      </c>
      <c r="E2388" s="13">
        <v>5</v>
      </c>
    </row>
    <row r="2389" spans="1:5" x14ac:dyDescent="0.25">
      <c r="A2389" s="11" t="s">
        <v>1255</v>
      </c>
      <c r="B2389" s="11" t="s">
        <v>20</v>
      </c>
      <c r="C2389" s="11" t="s">
        <v>27</v>
      </c>
      <c r="D2389" s="12">
        <v>797</v>
      </c>
      <c r="E2389" s="13">
        <v>0</v>
      </c>
    </row>
    <row r="2390" spans="1:5" x14ac:dyDescent="0.25">
      <c r="A2390" s="11" t="s">
        <v>1578</v>
      </c>
      <c r="B2390" s="11" t="s">
        <v>24</v>
      </c>
      <c r="C2390" s="11" t="s">
        <v>44</v>
      </c>
      <c r="D2390" s="12">
        <v>797</v>
      </c>
      <c r="E2390" s="13">
        <v>1</v>
      </c>
    </row>
    <row r="2391" spans="1:5" x14ac:dyDescent="0.25">
      <c r="A2391" s="11" t="s">
        <v>35</v>
      </c>
      <c r="B2391" s="11" t="s">
        <v>20</v>
      </c>
      <c r="C2391" s="11" t="s">
        <v>22</v>
      </c>
      <c r="D2391" s="12">
        <v>798</v>
      </c>
      <c r="E2391" s="13">
        <v>2</v>
      </c>
    </row>
    <row r="2392" spans="1:5" x14ac:dyDescent="0.25">
      <c r="A2392" s="11" t="s">
        <v>84</v>
      </c>
      <c r="B2392" s="11" t="s">
        <v>26</v>
      </c>
      <c r="C2392" s="11" t="s">
        <v>27</v>
      </c>
      <c r="D2392" s="12">
        <v>798</v>
      </c>
      <c r="E2392" s="13">
        <v>1</v>
      </c>
    </row>
    <row r="2393" spans="1:5" x14ac:dyDescent="0.25">
      <c r="A2393" s="11" t="s">
        <v>348</v>
      </c>
      <c r="B2393" s="11" t="s">
        <v>26</v>
      </c>
      <c r="C2393" s="11" t="s">
        <v>66</v>
      </c>
      <c r="D2393" s="12">
        <v>799</v>
      </c>
      <c r="E2393" s="13">
        <v>0</v>
      </c>
    </row>
    <row r="2394" spans="1:5" x14ac:dyDescent="0.25">
      <c r="A2394" s="11" t="s">
        <v>1308</v>
      </c>
      <c r="B2394" s="11" t="s">
        <v>26</v>
      </c>
      <c r="C2394" s="11" t="s">
        <v>40</v>
      </c>
      <c r="D2394" s="12">
        <v>800</v>
      </c>
      <c r="E2394" s="13">
        <v>9</v>
      </c>
    </row>
    <row r="2395" spans="1:5" x14ac:dyDescent="0.25">
      <c r="A2395" s="11" t="s">
        <v>510</v>
      </c>
      <c r="B2395" s="11" t="s">
        <v>24</v>
      </c>
      <c r="C2395" s="11" t="s">
        <v>111</v>
      </c>
      <c r="D2395" s="12">
        <v>801</v>
      </c>
      <c r="E2395" s="13">
        <v>0</v>
      </c>
    </row>
    <row r="2396" spans="1:5" x14ac:dyDescent="0.25">
      <c r="A2396" s="11" t="s">
        <v>1709</v>
      </c>
      <c r="B2396" s="11" t="s">
        <v>24</v>
      </c>
      <c r="C2396" s="11" t="s">
        <v>5</v>
      </c>
      <c r="D2396" s="12">
        <v>801</v>
      </c>
      <c r="E2396" s="13">
        <v>0</v>
      </c>
    </row>
    <row r="2397" spans="1:5" x14ac:dyDescent="0.25">
      <c r="A2397" s="11" t="s">
        <v>1912</v>
      </c>
      <c r="B2397" s="11" t="s">
        <v>20</v>
      </c>
      <c r="C2397" s="11" t="s">
        <v>25</v>
      </c>
      <c r="D2397" s="12">
        <v>801</v>
      </c>
      <c r="E2397" s="13">
        <v>1</v>
      </c>
    </row>
    <row r="2398" spans="1:5" x14ac:dyDescent="0.25">
      <c r="A2398" s="11" t="s">
        <v>673</v>
      </c>
      <c r="B2398" s="11" t="s">
        <v>26</v>
      </c>
      <c r="C2398" s="11" t="s">
        <v>5</v>
      </c>
      <c r="D2398" s="12">
        <v>803</v>
      </c>
      <c r="E2398" s="13">
        <v>2</v>
      </c>
    </row>
    <row r="2399" spans="1:5" x14ac:dyDescent="0.25">
      <c r="A2399" s="11" t="s">
        <v>821</v>
      </c>
      <c r="B2399" s="11" t="s">
        <v>24</v>
      </c>
      <c r="C2399" s="11" t="s">
        <v>53</v>
      </c>
      <c r="D2399" s="12">
        <v>803</v>
      </c>
      <c r="E2399" s="13">
        <v>2</v>
      </c>
    </row>
    <row r="2400" spans="1:5" x14ac:dyDescent="0.25">
      <c r="A2400" s="11" t="s">
        <v>1550</v>
      </c>
      <c r="B2400" s="11" t="s">
        <v>26</v>
      </c>
      <c r="C2400" s="11" t="s">
        <v>22</v>
      </c>
      <c r="D2400" s="12">
        <v>803</v>
      </c>
      <c r="E2400" s="13">
        <v>0</v>
      </c>
    </row>
    <row r="2401" spans="1:5" x14ac:dyDescent="0.25">
      <c r="A2401" s="11" t="s">
        <v>1617</v>
      </c>
      <c r="B2401" s="11" t="s">
        <v>20</v>
      </c>
      <c r="C2401" s="11" t="s">
        <v>28</v>
      </c>
      <c r="D2401" s="12">
        <v>803</v>
      </c>
      <c r="E2401" s="13">
        <v>0</v>
      </c>
    </row>
    <row r="2402" spans="1:5" x14ac:dyDescent="0.25">
      <c r="A2402" s="11" t="s">
        <v>283</v>
      </c>
      <c r="B2402" s="11" t="s">
        <v>20</v>
      </c>
      <c r="C2402" s="11" t="s">
        <v>33</v>
      </c>
      <c r="D2402" s="12">
        <v>804</v>
      </c>
      <c r="E2402" s="13">
        <v>0</v>
      </c>
    </row>
    <row r="2403" spans="1:5" x14ac:dyDescent="0.25">
      <c r="A2403" s="11" t="s">
        <v>1125</v>
      </c>
      <c r="B2403" s="11" t="s">
        <v>26</v>
      </c>
      <c r="C2403" s="11" t="s">
        <v>22</v>
      </c>
      <c r="D2403" s="12">
        <v>804</v>
      </c>
      <c r="E2403" s="13">
        <v>0</v>
      </c>
    </row>
    <row r="2404" spans="1:5" x14ac:dyDescent="0.25">
      <c r="A2404" s="11" t="s">
        <v>341</v>
      </c>
      <c r="B2404" s="11" t="s">
        <v>26</v>
      </c>
      <c r="C2404" s="11" t="s">
        <v>44</v>
      </c>
      <c r="D2404" s="12">
        <v>805</v>
      </c>
      <c r="E2404" s="13">
        <v>0</v>
      </c>
    </row>
    <row r="2405" spans="1:5" x14ac:dyDescent="0.25">
      <c r="A2405" s="11" t="s">
        <v>1003</v>
      </c>
      <c r="B2405" s="11" t="s">
        <v>24</v>
      </c>
      <c r="C2405" s="11" t="s">
        <v>27</v>
      </c>
      <c r="D2405" s="12">
        <v>805</v>
      </c>
      <c r="E2405" s="13">
        <v>2</v>
      </c>
    </row>
    <row r="2406" spans="1:5" x14ac:dyDescent="0.25">
      <c r="A2406" s="11" t="s">
        <v>109</v>
      </c>
      <c r="B2406" s="11" t="s">
        <v>24</v>
      </c>
      <c r="C2406" s="11" t="s">
        <v>44</v>
      </c>
      <c r="D2406" s="12">
        <v>806</v>
      </c>
      <c r="E2406" s="13">
        <v>2</v>
      </c>
    </row>
    <row r="2407" spans="1:5" x14ac:dyDescent="0.25">
      <c r="A2407" s="11" t="s">
        <v>807</v>
      </c>
      <c r="B2407" s="11" t="s">
        <v>26</v>
      </c>
      <c r="C2407" s="11" t="s">
        <v>40</v>
      </c>
      <c r="D2407" s="12">
        <v>806</v>
      </c>
      <c r="E2407" s="13">
        <v>0</v>
      </c>
    </row>
    <row r="2408" spans="1:5" x14ac:dyDescent="0.25">
      <c r="A2408" s="11" t="s">
        <v>1793</v>
      </c>
      <c r="B2408" s="11" t="s">
        <v>24</v>
      </c>
      <c r="C2408" s="11" t="s">
        <v>32</v>
      </c>
      <c r="D2408" s="12">
        <v>806</v>
      </c>
      <c r="E2408" s="13">
        <v>0</v>
      </c>
    </row>
    <row r="2409" spans="1:5" x14ac:dyDescent="0.25">
      <c r="A2409" s="11" t="s">
        <v>1923</v>
      </c>
      <c r="B2409" s="11" t="s">
        <v>26</v>
      </c>
      <c r="C2409" s="11" t="s">
        <v>28</v>
      </c>
      <c r="D2409" s="12">
        <v>806</v>
      </c>
      <c r="E2409" s="13">
        <v>0</v>
      </c>
    </row>
    <row r="2410" spans="1:5" x14ac:dyDescent="0.25">
      <c r="A2410" s="11" t="s">
        <v>55</v>
      </c>
      <c r="B2410" s="11" t="s">
        <v>26</v>
      </c>
      <c r="C2410" s="11" t="s">
        <v>43</v>
      </c>
      <c r="D2410" s="12">
        <v>807</v>
      </c>
      <c r="E2410" s="13">
        <v>4</v>
      </c>
    </row>
    <row r="2411" spans="1:5" x14ac:dyDescent="0.25">
      <c r="A2411" s="11" t="s">
        <v>283</v>
      </c>
      <c r="B2411" s="11" t="s">
        <v>20</v>
      </c>
      <c r="C2411" s="11" t="s">
        <v>44</v>
      </c>
      <c r="D2411" s="12">
        <v>807</v>
      </c>
      <c r="E2411" s="13">
        <v>3</v>
      </c>
    </row>
    <row r="2412" spans="1:5" x14ac:dyDescent="0.25">
      <c r="A2412" s="11" t="s">
        <v>848</v>
      </c>
      <c r="B2412" s="11" t="s">
        <v>20</v>
      </c>
      <c r="C2412" s="11" t="s">
        <v>22</v>
      </c>
      <c r="D2412" s="12">
        <v>807</v>
      </c>
      <c r="E2412" s="13">
        <v>0</v>
      </c>
    </row>
    <row r="2413" spans="1:5" x14ac:dyDescent="0.25">
      <c r="A2413" s="11" t="s">
        <v>1819</v>
      </c>
      <c r="B2413" s="11" t="s">
        <v>20</v>
      </c>
      <c r="C2413" s="11" t="s">
        <v>30</v>
      </c>
      <c r="D2413" s="12">
        <v>807</v>
      </c>
      <c r="E2413" s="13">
        <v>4</v>
      </c>
    </row>
    <row r="2414" spans="1:5" x14ac:dyDescent="0.25">
      <c r="A2414" s="11" t="s">
        <v>904</v>
      </c>
      <c r="B2414" s="11" t="s">
        <v>20</v>
      </c>
      <c r="C2414" s="11" t="s">
        <v>39</v>
      </c>
      <c r="D2414" s="12">
        <v>808</v>
      </c>
      <c r="E2414" s="13">
        <v>1</v>
      </c>
    </row>
    <row r="2415" spans="1:5" x14ac:dyDescent="0.25">
      <c r="A2415" s="11" t="s">
        <v>1863</v>
      </c>
      <c r="B2415" s="11" t="s">
        <v>20</v>
      </c>
      <c r="C2415" s="11" t="s">
        <v>22</v>
      </c>
      <c r="D2415" s="12">
        <v>808</v>
      </c>
      <c r="E2415" s="13">
        <v>0</v>
      </c>
    </row>
    <row r="2416" spans="1:5" x14ac:dyDescent="0.25">
      <c r="A2416" s="11" t="s">
        <v>587</v>
      </c>
      <c r="B2416" s="11" t="s">
        <v>24</v>
      </c>
      <c r="C2416" s="11" t="s">
        <v>27</v>
      </c>
      <c r="D2416" s="12">
        <v>809</v>
      </c>
      <c r="E2416" s="13">
        <v>2</v>
      </c>
    </row>
    <row r="2417" spans="1:5" x14ac:dyDescent="0.25">
      <c r="A2417" s="11" t="s">
        <v>602</v>
      </c>
      <c r="B2417" s="11" t="s">
        <v>26</v>
      </c>
      <c r="C2417" s="11" t="s">
        <v>40</v>
      </c>
      <c r="D2417" s="12">
        <v>809</v>
      </c>
      <c r="E2417" s="13">
        <v>1</v>
      </c>
    </row>
    <row r="2418" spans="1:5" x14ac:dyDescent="0.25">
      <c r="A2418" s="11" t="s">
        <v>1579</v>
      </c>
      <c r="B2418" s="11" t="s">
        <v>20</v>
      </c>
      <c r="C2418" s="11" t="s">
        <v>25</v>
      </c>
      <c r="D2418" s="12">
        <v>809</v>
      </c>
      <c r="E2418" s="13">
        <v>0</v>
      </c>
    </row>
    <row r="2419" spans="1:5" x14ac:dyDescent="0.25">
      <c r="A2419" s="11" t="s">
        <v>1673</v>
      </c>
      <c r="B2419" s="11" t="s">
        <v>20</v>
      </c>
      <c r="C2419" s="11" t="s">
        <v>32</v>
      </c>
      <c r="D2419" s="12">
        <v>809</v>
      </c>
      <c r="E2419" s="13">
        <v>5</v>
      </c>
    </row>
    <row r="2420" spans="1:5" x14ac:dyDescent="0.25">
      <c r="A2420" s="11" t="s">
        <v>1677</v>
      </c>
      <c r="B2420" s="11" t="s">
        <v>26</v>
      </c>
      <c r="C2420" s="11" t="s">
        <v>44</v>
      </c>
      <c r="D2420" s="12">
        <v>809</v>
      </c>
      <c r="E2420" s="13">
        <v>3</v>
      </c>
    </row>
    <row r="2421" spans="1:5" x14ac:dyDescent="0.25">
      <c r="A2421" s="11" t="s">
        <v>1791</v>
      </c>
      <c r="B2421" s="11" t="s">
        <v>20</v>
      </c>
      <c r="C2421" s="11" t="s">
        <v>39</v>
      </c>
      <c r="D2421" s="12">
        <v>809</v>
      </c>
      <c r="E2421" s="13">
        <v>2</v>
      </c>
    </row>
    <row r="2422" spans="1:5" x14ac:dyDescent="0.25">
      <c r="A2422" s="11" t="s">
        <v>920</v>
      </c>
      <c r="B2422" s="11" t="s">
        <v>20</v>
      </c>
      <c r="C2422" s="11" t="s">
        <v>30</v>
      </c>
      <c r="D2422" s="12">
        <v>810</v>
      </c>
      <c r="E2422" s="13">
        <v>2</v>
      </c>
    </row>
    <row r="2423" spans="1:5" x14ac:dyDescent="0.25">
      <c r="A2423" s="11" t="s">
        <v>1217</v>
      </c>
      <c r="B2423" s="11" t="s">
        <v>24</v>
      </c>
      <c r="C2423" s="11" t="s">
        <v>39</v>
      </c>
      <c r="D2423" s="12">
        <v>810</v>
      </c>
      <c r="E2423" s="13">
        <v>11</v>
      </c>
    </row>
    <row r="2424" spans="1:5" x14ac:dyDescent="0.25">
      <c r="A2424" s="11" t="s">
        <v>246</v>
      </c>
      <c r="B2424" s="11" t="s">
        <v>26</v>
      </c>
      <c r="C2424" s="11" t="s">
        <v>66</v>
      </c>
      <c r="D2424" s="12">
        <v>811</v>
      </c>
      <c r="E2424" s="13">
        <v>2</v>
      </c>
    </row>
    <row r="2425" spans="1:5" x14ac:dyDescent="0.25">
      <c r="A2425" s="11" t="s">
        <v>1023</v>
      </c>
      <c r="B2425" s="11" t="s">
        <v>20</v>
      </c>
      <c r="C2425" s="11" t="s">
        <v>39</v>
      </c>
      <c r="D2425" s="12">
        <v>811</v>
      </c>
      <c r="E2425" s="13">
        <v>0</v>
      </c>
    </row>
    <row r="2426" spans="1:5" x14ac:dyDescent="0.25">
      <c r="A2426" s="11" t="s">
        <v>1453</v>
      </c>
      <c r="B2426" s="11" t="s">
        <v>24</v>
      </c>
      <c r="C2426" s="11" t="s">
        <v>44</v>
      </c>
      <c r="D2426" s="12">
        <v>811</v>
      </c>
      <c r="E2426" s="13">
        <v>0</v>
      </c>
    </row>
    <row r="2427" spans="1:5" x14ac:dyDescent="0.25">
      <c r="A2427" s="11" t="s">
        <v>56</v>
      </c>
      <c r="B2427" s="11" t="s">
        <v>20</v>
      </c>
      <c r="C2427" s="11" t="s">
        <v>39</v>
      </c>
      <c r="D2427" s="12">
        <v>812</v>
      </c>
      <c r="E2427" s="13">
        <v>1</v>
      </c>
    </row>
    <row r="2428" spans="1:5" x14ac:dyDescent="0.25">
      <c r="A2428" s="11" t="s">
        <v>216</v>
      </c>
      <c r="B2428" s="11" t="s">
        <v>20</v>
      </c>
      <c r="C2428" s="11" t="s">
        <v>34</v>
      </c>
      <c r="D2428" s="12">
        <v>812</v>
      </c>
      <c r="E2428" s="13">
        <v>2</v>
      </c>
    </row>
    <row r="2429" spans="1:5" x14ac:dyDescent="0.25">
      <c r="A2429" s="11" t="s">
        <v>351</v>
      </c>
      <c r="B2429" s="11" t="s">
        <v>24</v>
      </c>
      <c r="C2429" s="11" t="s">
        <v>30</v>
      </c>
      <c r="D2429" s="12">
        <v>812</v>
      </c>
      <c r="E2429" s="13">
        <v>0</v>
      </c>
    </row>
    <row r="2430" spans="1:5" x14ac:dyDescent="0.25">
      <c r="A2430" s="11" t="s">
        <v>309</v>
      </c>
      <c r="B2430" s="11" t="s">
        <v>24</v>
      </c>
      <c r="C2430" s="11" t="s">
        <v>22</v>
      </c>
      <c r="D2430" s="12">
        <v>813</v>
      </c>
      <c r="E2430" s="13">
        <v>0</v>
      </c>
    </row>
    <row r="2431" spans="1:5" x14ac:dyDescent="0.25">
      <c r="A2431" s="11" t="s">
        <v>857</v>
      </c>
      <c r="B2431" s="11" t="s">
        <v>26</v>
      </c>
      <c r="C2431" s="11" t="s">
        <v>27</v>
      </c>
      <c r="D2431" s="12">
        <v>813</v>
      </c>
      <c r="E2431" s="13">
        <v>0</v>
      </c>
    </row>
    <row r="2432" spans="1:5" x14ac:dyDescent="0.25">
      <c r="A2432" s="11" t="s">
        <v>1703</v>
      </c>
      <c r="B2432" s="11" t="s">
        <v>24</v>
      </c>
      <c r="C2432" s="11" t="s">
        <v>28</v>
      </c>
      <c r="D2432" s="12">
        <v>813</v>
      </c>
      <c r="E2432" s="13">
        <v>1</v>
      </c>
    </row>
    <row r="2433" spans="1:5" x14ac:dyDescent="0.25">
      <c r="A2433" s="11" t="s">
        <v>1919</v>
      </c>
      <c r="B2433" s="11" t="s">
        <v>20</v>
      </c>
      <c r="C2433" s="11" t="s">
        <v>53</v>
      </c>
      <c r="D2433" s="12">
        <v>813</v>
      </c>
      <c r="E2433" s="13">
        <v>2</v>
      </c>
    </row>
    <row r="2434" spans="1:5" x14ac:dyDescent="0.25">
      <c r="A2434" s="11" t="s">
        <v>1752</v>
      </c>
      <c r="B2434" s="11" t="s">
        <v>24</v>
      </c>
      <c r="C2434" s="11" t="s">
        <v>22</v>
      </c>
      <c r="D2434" s="12">
        <v>814</v>
      </c>
      <c r="E2434" s="13">
        <v>1</v>
      </c>
    </row>
    <row r="2435" spans="1:5" x14ac:dyDescent="0.25">
      <c r="A2435" s="11" t="s">
        <v>227</v>
      </c>
      <c r="B2435" s="11" t="s">
        <v>24</v>
      </c>
      <c r="C2435" s="11" t="s">
        <v>44</v>
      </c>
      <c r="D2435" s="12">
        <v>815</v>
      </c>
      <c r="E2435" s="13">
        <v>4</v>
      </c>
    </row>
    <row r="2436" spans="1:5" x14ac:dyDescent="0.25">
      <c r="A2436" s="11" t="s">
        <v>855</v>
      </c>
      <c r="B2436" s="11" t="s">
        <v>20</v>
      </c>
      <c r="C2436" s="11" t="s">
        <v>111</v>
      </c>
      <c r="D2436" s="12">
        <v>815</v>
      </c>
      <c r="E2436" s="13">
        <v>3</v>
      </c>
    </row>
    <row r="2437" spans="1:5" x14ac:dyDescent="0.25">
      <c r="A2437" s="11" t="s">
        <v>884</v>
      </c>
      <c r="B2437" s="11" t="s">
        <v>24</v>
      </c>
      <c r="C2437" s="11" t="s">
        <v>44</v>
      </c>
      <c r="D2437" s="12">
        <v>815</v>
      </c>
      <c r="E2437" s="13">
        <v>2</v>
      </c>
    </row>
    <row r="2438" spans="1:5" x14ac:dyDescent="0.25">
      <c r="A2438" s="11" t="s">
        <v>1608</v>
      </c>
      <c r="B2438" s="11" t="s">
        <v>26</v>
      </c>
      <c r="C2438" s="11" t="s">
        <v>30</v>
      </c>
      <c r="D2438" s="12">
        <v>815</v>
      </c>
      <c r="E2438" s="13">
        <v>2</v>
      </c>
    </row>
    <row r="2439" spans="1:5" x14ac:dyDescent="0.25">
      <c r="A2439" s="11" t="s">
        <v>1170</v>
      </c>
      <c r="B2439" s="11" t="s">
        <v>20</v>
      </c>
      <c r="C2439" s="11" t="s">
        <v>44</v>
      </c>
      <c r="D2439" s="12">
        <v>816</v>
      </c>
      <c r="E2439" s="13">
        <v>0</v>
      </c>
    </row>
    <row r="2440" spans="1:5" x14ac:dyDescent="0.25">
      <c r="A2440" s="11" t="s">
        <v>1503</v>
      </c>
      <c r="B2440" s="11" t="s">
        <v>24</v>
      </c>
      <c r="C2440" s="11" t="s">
        <v>33</v>
      </c>
      <c r="D2440" s="12">
        <v>816</v>
      </c>
      <c r="E2440" s="13">
        <v>8</v>
      </c>
    </row>
    <row r="2441" spans="1:5" x14ac:dyDescent="0.25">
      <c r="A2441" s="11" t="s">
        <v>1649</v>
      </c>
      <c r="B2441" s="11" t="s">
        <v>24</v>
      </c>
      <c r="C2441" s="11" t="s">
        <v>53</v>
      </c>
      <c r="D2441" s="12">
        <v>816</v>
      </c>
      <c r="E2441" s="13">
        <v>0</v>
      </c>
    </row>
    <row r="2442" spans="1:5" x14ac:dyDescent="0.25">
      <c r="A2442" s="11" t="s">
        <v>671</v>
      </c>
      <c r="B2442" s="11" t="s">
        <v>26</v>
      </c>
      <c r="C2442" s="11" t="s">
        <v>27</v>
      </c>
      <c r="D2442" s="12">
        <v>817</v>
      </c>
      <c r="E2442" s="13">
        <v>1</v>
      </c>
    </row>
    <row r="2443" spans="1:5" x14ac:dyDescent="0.25">
      <c r="A2443" s="11" t="s">
        <v>1690</v>
      </c>
      <c r="B2443" s="11" t="s">
        <v>24</v>
      </c>
      <c r="C2443" s="11" t="s">
        <v>53</v>
      </c>
      <c r="D2443" s="12">
        <v>817</v>
      </c>
      <c r="E2443" s="13">
        <v>0</v>
      </c>
    </row>
    <row r="2444" spans="1:5" x14ac:dyDescent="0.25">
      <c r="A2444" s="11" t="s">
        <v>663</v>
      </c>
      <c r="B2444" s="11" t="s">
        <v>24</v>
      </c>
      <c r="C2444" s="11" t="s">
        <v>39</v>
      </c>
      <c r="D2444" s="12">
        <v>818</v>
      </c>
      <c r="E2444" s="13">
        <v>3</v>
      </c>
    </row>
    <row r="2445" spans="1:5" x14ac:dyDescent="0.25">
      <c r="A2445" s="11" t="s">
        <v>946</v>
      </c>
      <c r="B2445" s="11" t="s">
        <v>20</v>
      </c>
      <c r="C2445" s="11" t="s">
        <v>5</v>
      </c>
      <c r="D2445" s="12">
        <v>818</v>
      </c>
      <c r="E2445" s="13">
        <v>4</v>
      </c>
    </row>
    <row r="2446" spans="1:5" x14ac:dyDescent="0.25">
      <c r="A2446" s="11" t="s">
        <v>531</v>
      </c>
      <c r="B2446" s="11" t="s">
        <v>26</v>
      </c>
      <c r="C2446" s="11" t="s">
        <v>27</v>
      </c>
      <c r="D2446" s="12">
        <v>819</v>
      </c>
      <c r="E2446" s="13">
        <v>4</v>
      </c>
    </row>
    <row r="2447" spans="1:5" x14ac:dyDescent="0.25">
      <c r="A2447" s="11" t="s">
        <v>623</v>
      </c>
      <c r="B2447" s="11" t="s">
        <v>24</v>
      </c>
      <c r="C2447" s="11" t="s">
        <v>34</v>
      </c>
      <c r="D2447" s="12">
        <v>819</v>
      </c>
      <c r="E2447" s="13">
        <v>0</v>
      </c>
    </row>
    <row r="2448" spans="1:5" x14ac:dyDescent="0.25">
      <c r="A2448" s="11" t="s">
        <v>769</v>
      </c>
      <c r="B2448" s="11" t="s">
        <v>26</v>
      </c>
      <c r="C2448" s="11" t="s">
        <v>62</v>
      </c>
      <c r="D2448" s="12">
        <v>819</v>
      </c>
      <c r="E2448" s="13">
        <v>1</v>
      </c>
    </row>
    <row r="2449" spans="1:5" x14ac:dyDescent="0.25">
      <c r="A2449" s="11" t="s">
        <v>1669</v>
      </c>
      <c r="B2449" s="11" t="s">
        <v>26</v>
      </c>
      <c r="C2449" s="11" t="s">
        <v>30</v>
      </c>
      <c r="D2449" s="12">
        <v>819</v>
      </c>
      <c r="E2449" s="13">
        <v>3</v>
      </c>
    </row>
    <row r="2450" spans="1:5" x14ac:dyDescent="0.25">
      <c r="A2450" s="11" t="s">
        <v>507</v>
      </c>
      <c r="B2450" s="11" t="s">
        <v>24</v>
      </c>
      <c r="C2450" s="11" t="s">
        <v>39</v>
      </c>
      <c r="D2450" s="12">
        <v>820</v>
      </c>
      <c r="E2450" s="13">
        <v>0</v>
      </c>
    </row>
    <row r="2451" spans="1:5" x14ac:dyDescent="0.25">
      <c r="A2451" s="11" t="s">
        <v>1374</v>
      </c>
      <c r="B2451" s="11" t="s">
        <v>24</v>
      </c>
      <c r="C2451" s="11" t="s">
        <v>27</v>
      </c>
      <c r="D2451" s="12">
        <v>820</v>
      </c>
      <c r="E2451" s="13">
        <v>1</v>
      </c>
    </row>
    <row r="2452" spans="1:5" x14ac:dyDescent="0.25">
      <c r="A2452" s="11" t="s">
        <v>1537</v>
      </c>
      <c r="B2452" s="11" t="s">
        <v>20</v>
      </c>
      <c r="C2452" s="11" t="s">
        <v>53</v>
      </c>
      <c r="D2452" s="12">
        <v>820</v>
      </c>
      <c r="E2452" s="13">
        <v>9</v>
      </c>
    </row>
    <row r="2453" spans="1:5" x14ac:dyDescent="0.25">
      <c r="A2453" s="11" t="s">
        <v>1821</v>
      </c>
      <c r="B2453" s="11" t="s">
        <v>20</v>
      </c>
      <c r="C2453" s="11" t="s">
        <v>44</v>
      </c>
      <c r="D2453" s="12">
        <v>820</v>
      </c>
      <c r="E2453" s="13">
        <v>0</v>
      </c>
    </row>
    <row r="2454" spans="1:5" x14ac:dyDescent="0.25">
      <c r="A2454" s="11" t="s">
        <v>1979</v>
      </c>
      <c r="B2454" s="11" t="s">
        <v>26</v>
      </c>
      <c r="C2454" s="11" t="s">
        <v>34</v>
      </c>
      <c r="D2454" s="12">
        <v>820</v>
      </c>
      <c r="E2454" s="13">
        <v>3</v>
      </c>
    </row>
    <row r="2455" spans="1:5" x14ac:dyDescent="0.25">
      <c r="A2455" s="11" t="s">
        <v>45</v>
      </c>
      <c r="B2455" s="11" t="s">
        <v>20</v>
      </c>
      <c r="C2455" s="11" t="s">
        <v>39</v>
      </c>
      <c r="D2455" s="12">
        <v>821</v>
      </c>
      <c r="E2455" s="13">
        <v>0</v>
      </c>
    </row>
    <row r="2456" spans="1:5" x14ac:dyDescent="0.25">
      <c r="A2456" s="11" t="s">
        <v>289</v>
      </c>
      <c r="B2456" s="11" t="s">
        <v>24</v>
      </c>
      <c r="C2456" s="11" t="s">
        <v>44</v>
      </c>
      <c r="D2456" s="12">
        <v>821</v>
      </c>
      <c r="E2456" s="13">
        <v>2</v>
      </c>
    </row>
    <row r="2457" spans="1:5" x14ac:dyDescent="0.25">
      <c r="A2457" s="11" t="s">
        <v>423</v>
      </c>
      <c r="B2457" s="11" t="s">
        <v>20</v>
      </c>
      <c r="C2457" s="11" t="s">
        <v>34</v>
      </c>
      <c r="D2457" s="12">
        <v>821</v>
      </c>
      <c r="E2457" s="13">
        <v>0</v>
      </c>
    </row>
    <row r="2458" spans="1:5" x14ac:dyDescent="0.25">
      <c r="A2458" s="11" t="s">
        <v>1309</v>
      </c>
      <c r="B2458" s="11" t="s">
        <v>24</v>
      </c>
      <c r="C2458" s="11" t="s">
        <v>33</v>
      </c>
      <c r="D2458" s="12">
        <v>821</v>
      </c>
      <c r="E2458" s="13">
        <v>10</v>
      </c>
    </row>
    <row r="2459" spans="1:5" x14ac:dyDescent="0.25">
      <c r="A2459" s="11" t="s">
        <v>1569</v>
      </c>
      <c r="B2459" s="11" t="s">
        <v>20</v>
      </c>
      <c r="C2459" s="11" t="s">
        <v>44</v>
      </c>
      <c r="D2459" s="12">
        <v>821</v>
      </c>
      <c r="E2459" s="13">
        <v>6</v>
      </c>
    </row>
    <row r="2460" spans="1:5" x14ac:dyDescent="0.25">
      <c r="A2460" s="11" t="s">
        <v>169</v>
      </c>
      <c r="B2460" s="11" t="s">
        <v>20</v>
      </c>
      <c r="C2460" s="11" t="s">
        <v>39</v>
      </c>
      <c r="D2460" s="12">
        <v>822</v>
      </c>
      <c r="E2460" s="13">
        <v>1</v>
      </c>
    </row>
    <row r="2461" spans="1:5" x14ac:dyDescent="0.25">
      <c r="A2461" s="11" t="s">
        <v>1709</v>
      </c>
      <c r="B2461" s="11" t="s">
        <v>24</v>
      </c>
      <c r="C2461" s="11" t="s">
        <v>39</v>
      </c>
      <c r="D2461" s="12">
        <v>822</v>
      </c>
      <c r="E2461" s="13">
        <v>11</v>
      </c>
    </row>
    <row r="2462" spans="1:5" x14ac:dyDescent="0.25">
      <c r="A2462" s="11" t="s">
        <v>1410</v>
      </c>
      <c r="B2462" s="11" t="s">
        <v>20</v>
      </c>
      <c r="C2462" s="11" t="s">
        <v>21</v>
      </c>
      <c r="D2462" s="12">
        <v>823</v>
      </c>
      <c r="E2462" s="13">
        <v>1</v>
      </c>
    </row>
    <row r="2463" spans="1:5" x14ac:dyDescent="0.25">
      <c r="A2463" s="11" t="s">
        <v>558</v>
      </c>
      <c r="B2463" s="11" t="s">
        <v>20</v>
      </c>
      <c r="C2463" s="11" t="s">
        <v>27</v>
      </c>
      <c r="D2463" s="12">
        <v>824</v>
      </c>
      <c r="E2463" s="13">
        <v>2</v>
      </c>
    </row>
    <row r="2464" spans="1:5" x14ac:dyDescent="0.25">
      <c r="A2464" s="11" t="s">
        <v>1686</v>
      </c>
      <c r="B2464" s="11" t="s">
        <v>26</v>
      </c>
      <c r="C2464" s="11" t="s">
        <v>30</v>
      </c>
      <c r="D2464" s="12">
        <v>824</v>
      </c>
      <c r="E2464" s="13">
        <v>4</v>
      </c>
    </row>
    <row r="2465" spans="1:5" x14ac:dyDescent="0.25">
      <c r="A2465" s="11" t="s">
        <v>1711</v>
      </c>
      <c r="B2465" s="11" t="s">
        <v>24</v>
      </c>
      <c r="C2465" s="11" t="s">
        <v>39</v>
      </c>
      <c r="D2465" s="12">
        <v>824</v>
      </c>
      <c r="E2465" s="13">
        <v>2</v>
      </c>
    </row>
    <row r="2466" spans="1:5" x14ac:dyDescent="0.25">
      <c r="A2466" s="11" t="s">
        <v>376</v>
      </c>
      <c r="B2466" s="11" t="s">
        <v>20</v>
      </c>
      <c r="C2466" s="11" t="s">
        <v>22</v>
      </c>
      <c r="D2466" s="12">
        <v>825</v>
      </c>
      <c r="E2466" s="13">
        <v>0</v>
      </c>
    </row>
    <row r="2467" spans="1:5" x14ac:dyDescent="0.25">
      <c r="A2467" s="11" t="s">
        <v>499</v>
      </c>
      <c r="B2467" s="11" t="s">
        <v>24</v>
      </c>
      <c r="C2467" s="11" t="s">
        <v>32</v>
      </c>
      <c r="D2467" s="12">
        <v>825</v>
      </c>
      <c r="E2467" s="13">
        <v>1</v>
      </c>
    </row>
    <row r="2468" spans="1:5" x14ac:dyDescent="0.25">
      <c r="A2468" s="11" t="s">
        <v>1451</v>
      </c>
      <c r="B2468" s="11" t="s">
        <v>20</v>
      </c>
      <c r="C2468" s="11" t="s">
        <v>111</v>
      </c>
      <c r="D2468" s="12">
        <v>825</v>
      </c>
      <c r="E2468" s="13">
        <v>3</v>
      </c>
    </row>
    <row r="2469" spans="1:5" x14ac:dyDescent="0.25">
      <c r="A2469" s="11" t="s">
        <v>424</v>
      </c>
      <c r="B2469" s="11" t="s">
        <v>26</v>
      </c>
      <c r="C2469" s="11" t="s">
        <v>44</v>
      </c>
      <c r="D2469" s="12">
        <v>826</v>
      </c>
      <c r="E2469" s="13">
        <v>5</v>
      </c>
    </row>
    <row r="2470" spans="1:5" x14ac:dyDescent="0.25">
      <c r="A2470" s="11" t="s">
        <v>822</v>
      </c>
      <c r="B2470" s="11" t="s">
        <v>26</v>
      </c>
      <c r="C2470" s="11" t="s">
        <v>30</v>
      </c>
      <c r="D2470" s="12">
        <v>826</v>
      </c>
      <c r="E2470" s="13">
        <v>0</v>
      </c>
    </row>
    <row r="2471" spans="1:5" x14ac:dyDescent="0.25">
      <c r="A2471" s="11" t="s">
        <v>1134</v>
      </c>
      <c r="B2471" s="11" t="s">
        <v>24</v>
      </c>
      <c r="C2471" s="11" t="s">
        <v>44</v>
      </c>
      <c r="D2471" s="12">
        <v>826</v>
      </c>
      <c r="E2471" s="13">
        <v>0</v>
      </c>
    </row>
    <row r="2472" spans="1:5" x14ac:dyDescent="0.25">
      <c r="A2472" s="11" t="s">
        <v>1457</v>
      </c>
      <c r="B2472" s="11" t="s">
        <v>20</v>
      </c>
      <c r="C2472" s="11" t="s">
        <v>44</v>
      </c>
      <c r="D2472" s="12">
        <v>826</v>
      </c>
      <c r="E2472" s="13">
        <v>3</v>
      </c>
    </row>
    <row r="2473" spans="1:5" x14ac:dyDescent="0.25">
      <c r="A2473" s="11" t="s">
        <v>171</v>
      </c>
      <c r="B2473" s="11" t="s">
        <v>24</v>
      </c>
      <c r="C2473" s="11" t="s">
        <v>34</v>
      </c>
      <c r="D2473" s="12">
        <v>827</v>
      </c>
      <c r="E2473" s="13">
        <v>8</v>
      </c>
    </row>
    <row r="2474" spans="1:5" x14ac:dyDescent="0.25">
      <c r="A2474" s="11" t="s">
        <v>283</v>
      </c>
      <c r="B2474" s="11" t="s">
        <v>20</v>
      </c>
      <c r="C2474" s="11" t="s">
        <v>43</v>
      </c>
      <c r="D2474" s="12">
        <v>827</v>
      </c>
      <c r="E2474" s="13">
        <v>2</v>
      </c>
    </row>
    <row r="2475" spans="1:5" x14ac:dyDescent="0.25">
      <c r="A2475" s="11" t="s">
        <v>1126</v>
      </c>
      <c r="B2475" s="11" t="s">
        <v>24</v>
      </c>
      <c r="C2475" s="11" t="s">
        <v>39</v>
      </c>
      <c r="D2475" s="12">
        <v>827</v>
      </c>
      <c r="E2475" s="13">
        <v>3</v>
      </c>
    </row>
    <row r="2476" spans="1:5" x14ac:dyDescent="0.25">
      <c r="A2476" s="11" t="s">
        <v>1289</v>
      </c>
      <c r="B2476" s="11" t="s">
        <v>26</v>
      </c>
      <c r="C2476" s="11" t="s">
        <v>66</v>
      </c>
      <c r="D2476" s="12">
        <v>827</v>
      </c>
      <c r="E2476" s="13">
        <v>0</v>
      </c>
    </row>
    <row r="2477" spans="1:5" x14ac:dyDescent="0.25">
      <c r="A2477" s="11" t="s">
        <v>96</v>
      </c>
      <c r="B2477" s="11" t="s">
        <v>24</v>
      </c>
      <c r="C2477" s="11" t="s">
        <v>27</v>
      </c>
      <c r="D2477" s="12">
        <v>828</v>
      </c>
      <c r="E2477" s="13">
        <v>0</v>
      </c>
    </row>
    <row r="2478" spans="1:5" x14ac:dyDescent="0.25">
      <c r="A2478" s="11" t="s">
        <v>192</v>
      </c>
      <c r="B2478" s="11" t="s">
        <v>20</v>
      </c>
      <c r="C2478" s="11" t="s">
        <v>30</v>
      </c>
      <c r="D2478" s="12">
        <v>828</v>
      </c>
      <c r="E2478" s="13">
        <v>0</v>
      </c>
    </row>
    <row r="2479" spans="1:5" x14ac:dyDescent="0.25">
      <c r="A2479" s="11" t="s">
        <v>1280</v>
      </c>
      <c r="B2479" s="11" t="s">
        <v>20</v>
      </c>
      <c r="C2479" s="11" t="s">
        <v>43</v>
      </c>
      <c r="D2479" s="12">
        <v>828</v>
      </c>
      <c r="E2479" s="13">
        <v>2</v>
      </c>
    </row>
    <row r="2480" spans="1:5" x14ac:dyDescent="0.25">
      <c r="A2480" s="11" t="s">
        <v>200</v>
      </c>
      <c r="B2480" s="11" t="s">
        <v>24</v>
      </c>
      <c r="C2480" s="11" t="s">
        <v>39</v>
      </c>
      <c r="D2480" s="12">
        <v>829</v>
      </c>
      <c r="E2480" s="13">
        <v>3</v>
      </c>
    </row>
    <row r="2481" spans="1:5" x14ac:dyDescent="0.25">
      <c r="A2481" s="11" t="s">
        <v>1917</v>
      </c>
      <c r="B2481" s="11" t="s">
        <v>26</v>
      </c>
      <c r="C2481" s="11" t="s">
        <v>30</v>
      </c>
      <c r="D2481" s="12">
        <v>829</v>
      </c>
      <c r="E2481" s="13">
        <v>0</v>
      </c>
    </row>
    <row r="2482" spans="1:5" x14ac:dyDescent="0.25">
      <c r="A2482" s="11" t="s">
        <v>144</v>
      </c>
      <c r="B2482" s="11" t="s">
        <v>24</v>
      </c>
      <c r="C2482" s="11" t="s">
        <v>27</v>
      </c>
      <c r="D2482" s="12">
        <v>830</v>
      </c>
      <c r="E2482" s="13">
        <v>3</v>
      </c>
    </row>
    <row r="2483" spans="1:5" x14ac:dyDescent="0.25">
      <c r="A2483" s="11" t="s">
        <v>817</v>
      </c>
      <c r="B2483" s="11" t="s">
        <v>26</v>
      </c>
      <c r="C2483" s="11" t="s">
        <v>21</v>
      </c>
      <c r="D2483" s="12">
        <v>830</v>
      </c>
      <c r="E2483" s="13">
        <v>0</v>
      </c>
    </row>
    <row r="2484" spans="1:5" x14ac:dyDescent="0.25">
      <c r="A2484" s="11" t="s">
        <v>1465</v>
      </c>
      <c r="B2484" s="11" t="s">
        <v>24</v>
      </c>
      <c r="C2484" s="11" t="s">
        <v>21</v>
      </c>
      <c r="D2484" s="12">
        <v>830</v>
      </c>
      <c r="E2484" s="13">
        <v>0</v>
      </c>
    </row>
    <row r="2485" spans="1:5" x14ac:dyDescent="0.25">
      <c r="A2485" s="11" t="s">
        <v>1533</v>
      </c>
      <c r="B2485" s="11" t="s">
        <v>20</v>
      </c>
      <c r="C2485" s="11" t="s">
        <v>66</v>
      </c>
      <c r="D2485" s="12">
        <v>830</v>
      </c>
      <c r="E2485" s="13">
        <v>3</v>
      </c>
    </row>
    <row r="2486" spans="1:5" x14ac:dyDescent="0.25">
      <c r="A2486" s="11" t="s">
        <v>519</v>
      </c>
      <c r="B2486" s="11" t="s">
        <v>20</v>
      </c>
      <c r="C2486" s="11" t="s">
        <v>27</v>
      </c>
      <c r="D2486" s="12">
        <v>831</v>
      </c>
      <c r="E2486" s="13">
        <v>7</v>
      </c>
    </row>
    <row r="2487" spans="1:5" x14ac:dyDescent="0.25">
      <c r="A2487" s="11" t="s">
        <v>1738</v>
      </c>
      <c r="B2487" s="11" t="s">
        <v>20</v>
      </c>
      <c r="C2487" s="11" t="s">
        <v>30</v>
      </c>
      <c r="D2487" s="12">
        <v>831</v>
      </c>
      <c r="E2487" s="13">
        <v>13</v>
      </c>
    </row>
    <row r="2488" spans="1:5" x14ac:dyDescent="0.25">
      <c r="A2488" s="11" t="s">
        <v>91</v>
      </c>
      <c r="B2488" s="11" t="s">
        <v>20</v>
      </c>
      <c r="C2488" s="11" t="s">
        <v>66</v>
      </c>
      <c r="D2488" s="12">
        <v>832</v>
      </c>
      <c r="E2488" s="13">
        <v>1</v>
      </c>
    </row>
    <row r="2489" spans="1:5" x14ac:dyDescent="0.25">
      <c r="A2489" s="11" t="s">
        <v>572</v>
      </c>
      <c r="B2489" s="11" t="s">
        <v>26</v>
      </c>
      <c r="C2489" s="11" t="s">
        <v>21</v>
      </c>
      <c r="D2489" s="12">
        <v>832</v>
      </c>
      <c r="E2489" s="13">
        <v>1</v>
      </c>
    </row>
    <row r="2490" spans="1:5" x14ac:dyDescent="0.25">
      <c r="A2490" s="11" t="s">
        <v>1934</v>
      </c>
      <c r="B2490" s="11" t="s">
        <v>26</v>
      </c>
      <c r="C2490" s="11" t="s">
        <v>22</v>
      </c>
      <c r="D2490" s="12">
        <v>832</v>
      </c>
      <c r="E2490" s="13">
        <v>2</v>
      </c>
    </row>
    <row r="2491" spans="1:5" x14ac:dyDescent="0.25">
      <c r="A2491" s="11" t="s">
        <v>227</v>
      </c>
      <c r="B2491" s="11" t="s">
        <v>24</v>
      </c>
      <c r="C2491" s="11" t="s">
        <v>111</v>
      </c>
      <c r="D2491" s="12">
        <v>833</v>
      </c>
      <c r="E2491" s="13">
        <v>0</v>
      </c>
    </row>
    <row r="2492" spans="1:5" x14ac:dyDescent="0.25">
      <c r="A2492" s="11" t="s">
        <v>223</v>
      </c>
      <c r="B2492" s="11" t="s">
        <v>20</v>
      </c>
      <c r="C2492" s="11" t="s">
        <v>43</v>
      </c>
      <c r="D2492" s="12">
        <v>834</v>
      </c>
      <c r="E2492" s="13">
        <v>10</v>
      </c>
    </row>
    <row r="2493" spans="1:5" x14ac:dyDescent="0.25">
      <c r="A2493" s="11" t="s">
        <v>643</v>
      </c>
      <c r="B2493" s="11" t="s">
        <v>20</v>
      </c>
      <c r="C2493" s="11" t="s">
        <v>44</v>
      </c>
      <c r="D2493" s="12">
        <v>834</v>
      </c>
      <c r="E2493" s="13">
        <v>0</v>
      </c>
    </row>
    <row r="2494" spans="1:5" x14ac:dyDescent="0.25">
      <c r="A2494" s="11" t="s">
        <v>373</v>
      </c>
      <c r="B2494" s="11" t="s">
        <v>20</v>
      </c>
      <c r="C2494" s="11" t="s">
        <v>30</v>
      </c>
      <c r="D2494" s="12">
        <v>835</v>
      </c>
      <c r="E2494" s="13">
        <v>4</v>
      </c>
    </row>
    <row r="2495" spans="1:5" x14ac:dyDescent="0.25">
      <c r="A2495" s="11" t="s">
        <v>1609</v>
      </c>
      <c r="B2495" s="11" t="s">
        <v>24</v>
      </c>
      <c r="C2495" s="11" t="s">
        <v>111</v>
      </c>
      <c r="D2495" s="12">
        <v>835</v>
      </c>
      <c r="E2495" s="13">
        <v>7</v>
      </c>
    </row>
    <row r="2496" spans="1:5" x14ac:dyDescent="0.25">
      <c r="A2496" s="11" t="s">
        <v>1190</v>
      </c>
      <c r="B2496" s="11" t="s">
        <v>26</v>
      </c>
      <c r="C2496" s="11" t="s">
        <v>40</v>
      </c>
      <c r="D2496" s="12">
        <v>836</v>
      </c>
      <c r="E2496" s="13">
        <v>6</v>
      </c>
    </row>
    <row r="2497" spans="1:5" x14ac:dyDescent="0.25">
      <c r="A2497" s="11" t="s">
        <v>751</v>
      </c>
      <c r="B2497" s="11" t="s">
        <v>24</v>
      </c>
      <c r="C2497" s="11" t="s">
        <v>44</v>
      </c>
      <c r="D2497" s="12">
        <v>837</v>
      </c>
      <c r="E2497" s="13">
        <v>0</v>
      </c>
    </row>
    <row r="2498" spans="1:5" x14ac:dyDescent="0.25">
      <c r="A2498" s="11" t="s">
        <v>1148</v>
      </c>
      <c r="B2498" s="11" t="s">
        <v>26</v>
      </c>
      <c r="C2498" s="11" t="s">
        <v>39</v>
      </c>
      <c r="D2498" s="12">
        <v>837</v>
      </c>
      <c r="E2498" s="13">
        <v>0</v>
      </c>
    </row>
    <row r="2499" spans="1:5" x14ac:dyDescent="0.25">
      <c r="A2499" s="11" t="s">
        <v>586</v>
      </c>
      <c r="B2499" s="11" t="s">
        <v>26</v>
      </c>
      <c r="C2499" s="11" t="s">
        <v>30</v>
      </c>
      <c r="D2499" s="12">
        <v>838</v>
      </c>
      <c r="E2499" s="13">
        <v>0</v>
      </c>
    </row>
    <row r="2500" spans="1:5" x14ac:dyDescent="0.25">
      <c r="A2500" s="11" t="s">
        <v>641</v>
      </c>
      <c r="B2500" s="11" t="s">
        <v>20</v>
      </c>
      <c r="C2500" s="11" t="s">
        <v>62</v>
      </c>
      <c r="D2500" s="12">
        <v>838</v>
      </c>
      <c r="E2500" s="13">
        <v>3</v>
      </c>
    </row>
    <row r="2501" spans="1:5" x14ac:dyDescent="0.25">
      <c r="A2501" s="11" t="s">
        <v>1523</v>
      </c>
      <c r="B2501" s="11" t="s">
        <v>24</v>
      </c>
      <c r="C2501" s="11" t="s">
        <v>33</v>
      </c>
      <c r="D2501" s="12">
        <v>838</v>
      </c>
      <c r="E2501" s="13">
        <v>4</v>
      </c>
    </row>
    <row r="2502" spans="1:5" x14ac:dyDescent="0.25">
      <c r="A2502" s="11" t="s">
        <v>141</v>
      </c>
      <c r="B2502" s="11" t="s">
        <v>26</v>
      </c>
      <c r="C2502" s="11" t="s">
        <v>27</v>
      </c>
      <c r="D2502" s="12">
        <v>839</v>
      </c>
      <c r="E2502" s="13">
        <v>9</v>
      </c>
    </row>
    <row r="2503" spans="1:5" x14ac:dyDescent="0.25">
      <c r="A2503" s="11" t="s">
        <v>1320</v>
      </c>
      <c r="B2503" s="11" t="s">
        <v>20</v>
      </c>
      <c r="C2503" s="11" t="s">
        <v>25</v>
      </c>
      <c r="D2503" s="12">
        <v>839</v>
      </c>
      <c r="E2503" s="13">
        <v>1</v>
      </c>
    </row>
    <row r="2504" spans="1:5" x14ac:dyDescent="0.25">
      <c r="A2504" s="11" t="s">
        <v>181</v>
      </c>
      <c r="B2504" s="11" t="s">
        <v>26</v>
      </c>
      <c r="C2504" s="11" t="s">
        <v>39</v>
      </c>
      <c r="D2504" s="12">
        <v>840</v>
      </c>
      <c r="E2504" s="13">
        <v>2</v>
      </c>
    </row>
    <row r="2505" spans="1:5" x14ac:dyDescent="0.25">
      <c r="A2505" s="11" t="s">
        <v>419</v>
      </c>
      <c r="B2505" s="11" t="s">
        <v>26</v>
      </c>
      <c r="C2505" s="11" t="s">
        <v>39</v>
      </c>
      <c r="D2505" s="12">
        <v>840</v>
      </c>
      <c r="E2505" s="13">
        <v>2</v>
      </c>
    </row>
    <row r="2506" spans="1:5" x14ac:dyDescent="0.25">
      <c r="A2506" s="11" t="s">
        <v>490</v>
      </c>
      <c r="B2506" s="11" t="s">
        <v>26</v>
      </c>
      <c r="C2506" s="11" t="s">
        <v>5</v>
      </c>
      <c r="D2506" s="12">
        <v>840</v>
      </c>
      <c r="E2506" s="13">
        <v>8</v>
      </c>
    </row>
    <row r="2507" spans="1:5" x14ac:dyDescent="0.25">
      <c r="A2507" s="11" t="s">
        <v>543</v>
      </c>
      <c r="B2507" s="11" t="s">
        <v>24</v>
      </c>
      <c r="C2507" s="11" t="s">
        <v>27</v>
      </c>
      <c r="D2507" s="12">
        <v>840</v>
      </c>
      <c r="E2507" s="13">
        <v>10</v>
      </c>
    </row>
    <row r="2508" spans="1:5" x14ac:dyDescent="0.25">
      <c r="A2508" s="11" t="s">
        <v>897</v>
      </c>
      <c r="B2508" s="11" t="s">
        <v>24</v>
      </c>
      <c r="C2508" s="11" t="s">
        <v>34</v>
      </c>
      <c r="D2508" s="12">
        <v>840</v>
      </c>
      <c r="E2508" s="13">
        <v>2</v>
      </c>
    </row>
    <row r="2509" spans="1:5" x14ac:dyDescent="0.25">
      <c r="A2509" s="11" t="s">
        <v>1382</v>
      </c>
      <c r="B2509" s="11" t="s">
        <v>24</v>
      </c>
      <c r="C2509" s="11" t="s">
        <v>33</v>
      </c>
      <c r="D2509" s="12">
        <v>841</v>
      </c>
      <c r="E2509" s="13">
        <v>1</v>
      </c>
    </row>
    <row r="2510" spans="1:5" x14ac:dyDescent="0.25">
      <c r="A2510" s="11" t="s">
        <v>68</v>
      </c>
      <c r="B2510" s="11" t="s">
        <v>20</v>
      </c>
      <c r="C2510" s="11" t="s">
        <v>5</v>
      </c>
      <c r="D2510" s="12">
        <v>842</v>
      </c>
      <c r="E2510" s="13">
        <v>1</v>
      </c>
    </row>
    <row r="2511" spans="1:5" x14ac:dyDescent="0.25">
      <c r="A2511" s="11" t="s">
        <v>271</v>
      </c>
      <c r="B2511" s="11" t="s">
        <v>24</v>
      </c>
      <c r="C2511" s="11" t="s">
        <v>40</v>
      </c>
      <c r="D2511" s="12">
        <v>842</v>
      </c>
      <c r="E2511" s="13">
        <v>0</v>
      </c>
    </row>
    <row r="2512" spans="1:5" x14ac:dyDescent="0.25">
      <c r="A2512" s="11" t="s">
        <v>549</v>
      </c>
      <c r="B2512" s="11" t="s">
        <v>24</v>
      </c>
      <c r="C2512" s="11" t="s">
        <v>28</v>
      </c>
      <c r="D2512" s="12">
        <v>842</v>
      </c>
      <c r="E2512" s="13">
        <v>0</v>
      </c>
    </row>
    <row r="2513" spans="1:5" x14ac:dyDescent="0.25">
      <c r="A2513" s="11" t="s">
        <v>1159</v>
      </c>
      <c r="B2513" s="11" t="s">
        <v>26</v>
      </c>
      <c r="C2513" s="11" t="s">
        <v>40</v>
      </c>
      <c r="D2513" s="12">
        <v>842</v>
      </c>
      <c r="E2513" s="13">
        <v>6</v>
      </c>
    </row>
    <row r="2514" spans="1:5" x14ac:dyDescent="0.25">
      <c r="A2514" s="11" t="s">
        <v>1239</v>
      </c>
      <c r="B2514" s="11" t="s">
        <v>20</v>
      </c>
      <c r="C2514" s="11" t="s">
        <v>44</v>
      </c>
      <c r="D2514" s="12">
        <v>842</v>
      </c>
      <c r="E2514" s="13">
        <v>4</v>
      </c>
    </row>
    <row r="2515" spans="1:5" x14ac:dyDescent="0.25">
      <c r="A2515" s="11" t="s">
        <v>1283</v>
      </c>
      <c r="B2515" s="11" t="s">
        <v>20</v>
      </c>
      <c r="C2515" s="11" t="s">
        <v>66</v>
      </c>
      <c r="D2515" s="12">
        <v>842</v>
      </c>
      <c r="E2515" s="13">
        <v>1</v>
      </c>
    </row>
    <row r="2516" spans="1:5" x14ac:dyDescent="0.25">
      <c r="A2516" s="11" t="s">
        <v>1601</v>
      </c>
      <c r="B2516" s="11" t="s">
        <v>26</v>
      </c>
      <c r="C2516" s="11" t="s">
        <v>66</v>
      </c>
      <c r="D2516" s="12">
        <v>842</v>
      </c>
      <c r="E2516" s="13">
        <v>1</v>
      </c>
    </row>
    <row r="2517" spans="1:5" x14ac:dyDescent="0.25">
      <c r="A2517" s="11" t="s">
        <v>496</v>
      </c>
      <c r="B2517" s="11" t="s">
        <v>24</v>
      </c>
      <c r="C2517" s="11" t="s">
        <v>27</v>
      </c>
      <c r="D2517" s="12">
        <v>843</v>
      </c>
      <c r="E2517" s="13">
        <v>3</v>
      </c>
    </row>
    <row r="2518" spans="1:5" x14ac:dyDescent="0.25">
      <c r="A2518" s="11" t="s">
        <v>1080</v>
      </c>
      <c r="B2518" s="11" t="s">
        <v>26</v>
      </c>
      <c r="C2518" s="11" t="s">
        <v>27</v>
      </c>
      <c r="D2518" s="12">
        <v>843</v>
      </c>
      <c r="E2518" s="13">
        <v>1</v>
      </c>
    </row>
    <row r="2519" spans="1:5" x14ac:dyDescent="0.25">
      <c r="A2519" s="11" t="s">
        <v>1361</v>
      </c>
      <c r="B2519" s="11" t="s">
        <v>24</v>
      </c>
      <c r="C2519" s="11" t="s">
        <v>53</v>
      </c>
      <c r="D2519" s="12">
        <v>843</v>
      </c>
      <c r="E2519" s="13">
        <v>3</v>
      </c>
    </row>
    <row r="2520" spans="1:5" x14ac:dyDescent="0.25">
      <c r="A2520" s="11" t="s">
        <v>1547</v>
      </c>
      <c r="B2520" s="11" t="s">
        <v>20</v>
      </c>
      <c r="C2520" s="11" t="s">
        <v>39</v>
      </c>
      <c r="D2520" s="12">
        <v>843</v>
      </c>
      <c r="E2520" s="13">
        <v>1</v>
      </c>
    </row>
    <row r="2521" spans="1:5" x14ac:dyDescent="0.25">
      <c r="A2521" s="11" t="s">
        <v>302</v>
      </c>
      <c r="B2521" s="11" t="s">
        <v>20</v>
      </c>
      <c r="C2521" s="11" t="s">
        <v>62</v>
      </c>
      <c r="D2521" s="12">
        <v>844</v>
      </c>
      <c r="E2521" s="13">
        <v>2</v>
      </c>
    </row>
    <row r="2522" spans="1:5" x14ac:dyDescent="0.25">
      <c r="A2522" s="11" t="s">
        <v>659</v>
      </c>
      <c r="B2522" s="11" t="s">
        <v>20</v>
      </c>
      <c r="C2522" s="11" t="s">
        <v>27</v>
      </c>
      <c r="D2522" s="12">
        <v>844</v>
      </c>
      <c r="E2522" s="13">
        <v>7</v>
      </c>
    </row>
    <row r="2523" spans="1:5" x14ac:dyDescent="0.25">
      <c r="A2523" s="11" t="s">
        <v>753</v>
      </c>
      <c r="B2523" s="11" t="s">
        <v>24</v>
      </c>
      <c r="C2523" s="11" t="s">
        <v>39</v>
      </c>
      <c r="D2523" s="12">
        <v>844</v>
      </c>
      <c r="E2523" s="13">
        <v>1</v>
      </c>
    </row>
    <row r="2524" spans="1:5" x14ac:dyDescent="0.25">
      <c r="A2524" s="11" t="s">
        <v>1589</v>
      </c>
      <c r="B2524" s="11" t="s">
        <v>24</v>
      </c>
      <c r="C2524" s="11" t="s">
        <v>44</v>
      </c>
      <c r="D2524" s="12">
        <v>844</v>
      </c>
      <c r="E2524" s="13">
        <v>5</v>
      </c>
    </row>
    <row r="2525" spans="1:5" x14ac:dyDescent="0.25">
      <c r="A2525" s="11" t="s">
        <v>196</v>
      </c>
      <c r="B2525" s="11" t="s">
        <v>26</v>
      </c>
      <c r="C2525" s="11" t="s">
        <v>30</v>
      </c>
      <c r="D2525" s="12">
        <v>845</v>
      </c>
      <c r="E2525" s="13">
        <v>2</v>
      </c>
    </row>
    <row r="2526" spans="1:5" x14ac:dyDescent="0.25">
      <c r="A2526" s="11" t="s">
        <v>312</v>
      </c>
      <c r="B2526" s="11" t="s">
        <v>20</v>
      </c>
      <c r="C2526" s="11" t="s">
        <v>44</v>
      </c>
      <c r="D2526" s="12">
        <v>845</v>
      </c>
      <c r="E2526" s="13">
        <v>0</v>
      </c>
    </row>
    <row r="2527" spans="1:5" x14ac:dyDescent="0.25">
      <c r="A2527" s="11" t="s">
        <v>317</v>
      </c>
      <c r="B2527" s="11" t="s">
        <v>24</v>
      </c>
      <c r="C2527" s="11" t="s">
        <v>5</v>
      </c>
      <c r="D2527" s="12">
        <v>845</v>
      </c>
      <c r="E2527" s="13">
        <v>1</v>
      </c>
    </row>
    <row r="2528" spans="1:5" x14ac:dyDescent="0.25">
      <c r="A2528" s="11" t="s">
        <v>1128</v>
      </c>
      <c r="B2528" s="11" t="s">
        <v>24</v>
      </c>
      <c r="C2528" s="11" t="s">
        <v>39</v>
      </c>
      <c r="D2528" s="12">
        <v>845</v>
      </c>
      <c r="E2528" s="13">
        <v>0</v>
      </c>
    </row>
    <row r="2529" spans="1:5" x14ac:dyDescent="0.25">
      <c r="A2529" s="11" t="s">
        <v>918</v>
      </c>
      <c r="B2529" s="11" t="s">
        <v>24</v>
      </c>
      <c r="C2529" s="11" t="s">
        <v>111</v>
      </c>
      <c r="D2529" s="12">
        <v>846</v>
      </c>
      <c r="E2529" s="13">
        <v>0</v>
      </c>
    </row>
    <row r="2530" spans="1:5" x14ac:dyDescent="0.25">
      <c r="A2530" s="11" t="s">
        <v>1713</v>
      </c>
      <c r="B2530" s="11" t="s">
        <v>24</v>
      </c>
      <c r="C2530" s="11" t="s">
        <v>27</v>
      </c>
      <c r="D2530" s="12">
        <v>846</v>
      </c>
      <c r="E2530" s="13">
        <v>1</v>
      </c>
    </row>
    <row r="2531" spans="1:5" x14ac:dyDescent="0.25">
      <c r="A2531" s="11" t="s">
        <v>362</v>
      </c>
      <c r="B2531" s="11" t="s">
        <v>26</v>
      </c>
      <c r="C2531" s="11" t="s">
        <v>43</v>
      </c>
      <c r="D2531" s="12">
        <v>847</v>
      </c>
      <c r="E2531" s="13">
        <v>3</v>
      </c>
    </row>
    <row r="2532" spans="1:5" x14ac:dyDescent="0.25">
      <c r="A2532" s="11" t="s">
        <v>720</v>
      </c>
      <c r="B2532" s="11" t="s">
        <v>24</v>
      </c>
      <c r="C2532" s="11" t="s">
        <v>44</v>
      </c>
      <c r="D2532" s="12">
        <v>847</v>
      </c>
      <c r="E2532" s="13">
        <v>5</v>
      </c>
    </row>
    <row r="2533" spans="1:5" x14ac:dyDescent="0.25">
      <c r="A2533" s="11" t="s">
        <v>1824</v>
      </c>
      <c r="B2533" s="11" t="s">
        <v>26</v>
      </c>
      <c r="C2533" s="11" t="s">
        <v>53</v>
      </c>
      <c r="D2533" s="12">
        <v>847</v>
      </c>
      <c r="E2533" s="13">
        <v>0</v>
      </c>
    </row>
    <row r="2534" spans="1:5" x14ac:dyDescent="0.25">
      <c r="A2534" s="11" t="s">
        <v>1837</v>
      </c>
      <c r="B2534" s="11" t="s">
        <v>26</v>
      </c>
      <c r="C2534" s="11" t="s">
        <v>39</v>
      </c>
      <c r="D2534" s="12">
        <v>847</v>
      </c>
      <c r="E2534" s="13">
        <v>0</v>
      </c>
    </row>
    <row r="2535" spans="1:5" x14ac:dyDescent="0.25">
      <c r="A2535" s="11" t="s">
        <v>250</v>
      </c>
      <c r="B2535" s="11" t="s">
        <v>20</v>
      </c>
      <c r="C2535" s="11" t="s">
        <v>39</v>
      </c>
      <c r="D2535" s="12">
        <v>848</v>
      </c>
      <c r="E2535" s="13">
        <v>0</v>
      </c>
    </row>
    <row r="2536" spans="1:5" x14ac:dyDescent="0.25">
      <c r="A2536" s="11" t="s">
        <v>530</v>
      </c>
      <c r="B2536" s="11" t="s">
        <v>24</v>
      </c>
      <c r="C2536" s="11" t="s">
        <v>27</v>
      </c>
      <c r="D2536" s="12">
        <v>848</v>
      </c>
      <c r="E2536" s="13">
        <v>5</v>
      </c>
    </row>
    <row r="2537" spans="1:5" x14ac:dyDescent="0.25">
      <c r="A2537" s="11" t="s">
        <v>1052</v>
      </c>
      <c r="B2537" s="11" t="s">
        <v>20</v>
      </c>
      <c r="C2537" s="11" t="s">
        <v>39</v>
      </c>
      <c r="D2537" s="12">
        <v>848</v>
      </c>
      <c r="E2537" s="13">
        <v>1</v>
      </c>
    </row>
    <row r="2538" spans="1:5" x14ac:dyDescent="0.25">
      <c r="A2538" s="11" t="s">
        <v>1137</v>
      </c>
      <c r="B2538" s="11" t="s">
        <v>24</v>
      </c>
      <c r="C2538" s="11" t="s">
        <v>40</v>
      </c>
      <c r="D2538" s="12">
        <v>848</v>
      </c>
      <c r="E2538" s="13">
        <v>4</v>
      </c>
    </row>
    <row r="2539" spans="1:5" x14ac:dyDescent="0.25">
      <c r="A2539" s="11" t="s">
        <v>1862</v>
      </c>
      <c r="B2539" s="11" t="s">
        <v>26</v>
      </c>
      <c r="C2539" s="11" t="s">
        <v>30</v>
      </c>
      <c r="D2539" s="12">
        <v>848</v>
      </c>
      <c r="E2539" s="13">
        <v>6</v>
      </c>
    </row>
    <row r="2540" spans="1:5" x14ac:dyDescent="0.25">
      <c r="A2540" s="11" t="s">
        <v>579</v>
      </c>
      <c r="B2540" s="11" t="s">
        <v>24</v>
      </c>
      <c r="C2540" s="11" t="s">
        <v>44</v>
      </c>
      <c r="D2540" s="12">
        <v>849</v>
      </c>
      <c r="E2540" s="13">
        <v>8</v>
      </c>
    </row>
    <row r="2541" spans="1:5" x14ac:dyDescent="0.25">
      <c r="A2541" s="11" t="s">
        <v>1306</v>
      </c>
      <c r="B2541" s="11" t="s">
        <v>26</v>
      </c>
      <c r="C2541" s="11" t="s">
        <v>44</v>
      </c>
      <c r="D2541" s="12">
        <v>849</v>
      </c>
      <c r="E2541" s="13">
        <v>0</v>
      </c>
    </row>
    <row r="2542" spans="1:5" x14ac:dyDescent="0.25">
      <c r="A2542" s="11" t="s">
        <v>1533</v>
      </c>
      <c r="B2542" s="11" t="s">
        <v>26</v>
      </c>
      <c r="C2542" s="11" t="s">
        <v>44</v>
      </c>
      <c r="D2542" s="12">
        <v>849</v>
      </c>
      <c r="E2542" s="13">
        <v>4</v>
      </c>
    </row>
    <row r="2543" spans="1:5" x14ac:dyDescent="0.25">
      <c r="A2543" s="11" t="s">
        <v>1683</v>
      </c>
      <c r="B2543" s="11" t="s">
        <v>24</v>
      </c>
      <c r="C2543" s="11" t="s">
        <v>39</v>
      </c>
      <c r="D2543" s="12">
        <v>849</v>
      </c>
      <c r="E2543" s="13">
        <v>8</v>
      </c>
    </row>
    <row r="2544" spans="1:5" x14ac:dyDescent="0.25">
      <c r="A2544" s="11" t="s">
        <v>1849</v>
      </c>
      <c r="B2544" s="11" t="s">
        <v>20</v>
      </c>
      <c r="C2544" s="11" t="s">
        <v>39</v>
      </c>
      <c r="D2544" s="12">
        <v>849</v>
      </c>
      <c r="E2544" s="13">
        <v>0</v>
      </c>
    </row>
    <row r="2545" spans="1:5" x14ac:dyDescent="0.25">
      <c r="A2545" s="11" t="s">
        <v>991</v>
      </c>
      <c r="B2545" s="11" t="s">
        <v>26</v>
      </c>
      <c r="C2545" s="11" t="s">
        <v>44</v>
      </c>
      <c r="D2545" s="12">
        <v>850</v>
      </c>
      <c r="E2545" s="13">
        <v>0</v>
      </c>
    </row>
    <row r="2546" spans="1:5" x14ac:dyDescent="0.25">
      <c r="A2546" s="11" t="s">
        <v>1287</v>
      </c>
      <c r="B2546" s="11" t="s">
        <v>20</v>
      </c>
      <c r="C2546" s="11" t="s">
        <v>44</v>
      </c>
      <c r="D2546" s="12">
        <v>850</v>
      </c>
      <c r="E2546" s="13">
        <v>1</v>
      </c>
    </row>
    <row r="2547" spans="1:5" x14ac:dyDescent="0.25">
      <c r="A2547" s="11" t="s">
        <v>250</v>
      </c>
      <c r="B2547" s="11" t="s">
        <v>20</v>
      </c>
      <c r="C2547" s="11" t="s">
        <v>44</v>
      </c>
      <c r="D2547" s="12">
        <v>851</v>
      </c>
      <c r="E2547" s="13">
        <v>0</v>
      </c>
    </row>
    <row r="2548" spans="1:5" x14ac:dyDescent="0.25">
      <c r="A2548" s="11" t="s">
        <v>539</v>
      </c>
      <c r="B2548" s="11" t="s">
        <v>26</v>
      </c>
      <c r="C2548" s="11" t="s">
        <v>27</v>
      </c>
      <c r="D2548" s="12">
        <v>851</v>
      </c>
      <c r="E2548" s="13">
        <v>1</v>
      </c>
    </row>
    <row r="2549" spans="1:5" x14ac:dyDescent="0.25">
      <c r="A2549" s="11" t="s">
        <v>985</v>
      </c>
      <c r="B2549" s="11" t="s">
        <v>20</v>
      </c>
      <c r="C2549" s="11" t="s">
        <v>27</v>
      </c>
      <c r="D2549" s="12">
        <v>851</v>
      </c>
      <c r="E2549" s="13">
        <v>0</v>
      </c>
    </row>
    <row r="2550" spans="1:5" x14ac:dyDescent="0.25">
      <c r="A2550" s="11" t="s">
        <v>1866</v>
      </c>
      <c r="B2550" s="11" t="s">
        <v>24</v>
      </c>
      <c r="C2550" s="11" t="s">
        <v>44</v>
      </c>
      <c r="D2550" s="12">
        <v>851</v>
      </c>
      <c r="E2550" s="13">
        <v>1</v>
      </c>
    </row>
    <row r="2551" spans="1:5" x14ac:dyDescent="0.25">
      <c r="A2551" s="11" t="s">
        <v>323</v>
      </c>
      <c r="B2551" s="11" t="s">
        <v>20</v>
      </c>
      <c r="C2551" s="11" t="s">
        <v>53</v>
      </c>
      <c r="D2551" s="12">
        <v>852</v>
      </c>
      <c r="E2551" s="13">
        <v>5</v>
      </c>
    </row>
    <row r="2552" spans="1:5" x14ac:dyDescent="0.25">
      <c r="A2552" s="11" t="s">
        <v>795</v>
      </c>
      <c r="B2552" s="11" t="s">
        <v>24</v>
      </c>
      <c r="C2552" s="11" t="s">
        <v>22</v>
      </c>
      <c r="D2552" s="12">
        <v>852</v>
      </c>
      <c r="E2552" s="13">
        <v>2</v>
      </c>
    </row>
    <row r="2553" spans="1:5" x14ac:dyDescent="0.25">
      <c r="A2553" s="11" t="s">
        <v>958</v>
      </c>
      <c r="B2553" s="11" t="s">
        <v>24</v>
      </c>
      <c r="C2553" s="11" t="s">
        <v>44</v>
      </c>
      <c r="D2553" s="12">
        <v>852</v>
      </c>
      <c r="E2553" s="13">
        <v>2</v>
      </c>
    </row>
    <row r="2554" spans="1:5" x14ac:dyDescent="0.25">
      <c r="A2554" s="11" t="s">
        <v>1197</v>
      </c>
      <c r="B2554" s="11" t="s">
        <v>20</v>
      </c>
      <c r="C2554" s="11" t="s">
        <v>111</v>
      </c>
      <c r="D2554" s="12">
        <v>852</v>
      </c>
      <c r="E2554" s="13">
        <v>0</v>
      </c>
    </row>
    <row r="2555" spans="1:5" x14ac:dyDescent="0.25">
      <c r="A2555" s="11" t="s">
        <v>748</v>
      </c>
      <c r="B2555" s="11" t="s">
        <v>26</v>
      </c>
      <c r="C2555" s="11" t="s">
        <v>44</v>
      </c>
      <c r="D2555" s="12">
        <v>853</v>
      </c>
      <c r="E2555" s="13">
        <v>13</v>
      </c>
    </row>
    <row r="2556" spans="1:5" x14ac:dyDescent="0.25">
      <c r="A2556" s="11" t="s">
        <v>137</v>
      </c>
      <c r="B2556" s="11" t="s">
        <v>20</v>
      </c>
      <c r="C2556" s="11" t="s">
        <v>66</v>
      </c>
      <c r="D2556" s="12">
        <v>854</v>
      </c>
      <c r="E2556" s="13">
        <v>0</v>
      </c>
    </row>
    <row r="2557" spans="1:5" x14ac:dyDescent="0.25">
      <c r="A2557" s="11" t="s">
        <v>186</v>
      </c>
      <c r="B2557" s="11" t="s">
        <v>26</v>
      </c>
      <c r="C2557" s="11" t="s">
        <v>25</v>
      </c>
      <c r="D2557" s="12">
        <v>854</v>
      </c>
      <c r="E2557" s="13">
        <v>0</v>
      </c>
    </row>
    <row r="2558" spans="1:5" x14ac:dyDescent="0.25">
      <c r="A2558" s="11" t="s">
        <v>802</v>
      </c>
      <c r="B2558" s="11" t="s">
        <v>26</v>
      </c>
      <c r="C2558" s="11" t="s">
        <v>27</v>
      </c>
      <c r="D2558" s="12">
        <v>854</v>
      </c>
      <c r="E2558" s="13">
        <v>12</v>
      </c>
    </row>
    <row r="2559" spans="1:5" x14ac:dyDescent="0.25">
      <c r="A2559" s="11" t="s">
        <v>1477</v>
      </c>
      <c r="B2559" s="11" t="s">
        <v>20</v>
      </c>
      <c r="C2559" s="11" t="s">
        <v>25</v>
      </c>
      <c r="D2559" s="12">
        <v>854</v>
      </c>
      <c r="E2559" s="13">
        <v>1</v>
      </c>
    </row>
    <row r="2560" spans="1:5" x14ac:dyDescent="0.25">
      <c r="A2560" s="11" t="s">
        <v>1705</v>
      </c>
      <c r="B2560" s="11" t="s">
        <v>24</v>
      </c>
      <c r="C2560" s="11" t="s">
        <v>34</v>
      </c>
      <c r="D2560" s="12">
        <v>854</v>
      </c>
      <c r="E2560" s="13">
        <v>0</v>
      </c>
    </row>
    <row r="2561" spans="1:5" x14ac:dyDescent="0.25">
      <c r="A2561" s="11" t="s">
        <v>1729</v>
      </c>
      <c r="B2561" s="11" t="s">
        <v>24</v>
      </c>
      <c r="C2561" s="11" t="s">
        <v>44</v>
      </c>
      <c r="D2561" s="12">
        <v>854</v>
      </c>
      <c r="E2561" s="13">
        <v>5</v>
      </c>
    </row>
    <row r="2562" spans="1:5" x14ac:dyDescent="0.25">
      <c r="A2562" s="11" t="s">
        <v>1794</v>
      </c>
      <c r="B2562" s="11" t="s">
        <v>20</v>
      </c>
      <c r="C2562" s="11" t="s">
        <v>5</v>
      </c>
      <c r="D2562" s="12">
        <v>854</v>
      </c>
      <c r="E2562" s="13">
        <v>0</v>
      </c>
    </row>
    <row r="2563" spans="1:5" x14ac:dyDescent="0.25">
      <c r="A2563" s="11" t="s">
        <v>1865</v>
      </c>
      <c r="B2563" s="11" t="s">
        <v>20</v>
      </c>
      <c r="C2563" s="11" t="s">
        <v>43</v>
      </c>
      <c r="D2563" s="12">
        <v>854</v>
      </c>
      <c r="E2563" s="13">
        <v>0</v>
      </c>
    </row>
    <row r="2564" spans="1:5" x14ac:dyDescent="0.25">
      <c r="A2564" s="11" t="s">
        <v>1006</v>
      </c>
      <c r="B2564" s="11" t="s">
        <v>20</v>
      </c>
      <c r="C2564" s="11" t="s">
        <v>39</v>
      </c>
      <c r="D2564" s="12">
        <v>855</v>
      </c>
      <c r="E2564" s="13">
        <v>2</v>
      </c>
    </row>
    <row r="2565" spans="1:5" x14ac:dyDescent="0.25">
      <c r="A2565" s="11" t="s">
        <v>1158</v>
      </c>
      <c r="B2565" s="11" t="s">
        <v>24</v>
      </c>
      <c r="C2565" s="11" t="s">
        <v>5</v>
      </c>
      <c r="D2565" s="12">
        <v>855</v>
      </c>
      <c r="E2565" s="13">
        <v>4</v>
      </c>
    </row>
    <row r="2566" spans="1:5" x14ac:dyDescent="0.25">
      <c r="A2566" s="11" t="s">
        <v>1632</v>
      </c>
      <c r="B2566" s="11" t="s">
        <v>20</v>
      </c>
      <c r="C2566" s="11" t="s">
        <v>34</v>
      </c>
      <c r="D2566" s="12">
        <v>855</v>
      </c>
      <c r="E2566" s="13">
        <v>0</v>
      </c>
    </row>
    <row r="2567" spans="1:5" x14ac:dyDescent="0.25">
      <c r="A2567" s="11" t="s">
        <v>1264</v>
      </c>
      <c r="B2567" s="11" t="s">
        <v>26</v>
      </c>
      <c r="C2567" s="11" t="s">
        <v>39</v>
      </c>
      <c r="D2567" s="12">
        <v>856</v>
      </c>
      <c r="E2567" s="13">
        <v>4</v>
      </c>
    </row>
    <row r="2568" spans="1:5" x14ac:dyDescent="0.25">
      <c r="A2568" s="11" t="s">
        <v>802</v>
      </c>
      <c r="B2568" s="11" t="s">
        <v>20</v>
      </c>
      <c r="C2568" s="11" t="s">
        <v>30</v>
      </c>
      <c r="D2568" s="12">
        <v>857</v>
      </c>
      <c r="E2568" s="13">
        <v>1</v>
      </c>
    </row>
    <row r="2569" spans="1:5" x14ac:dyDescent="0.25">
      <c r="A2569" s="11" t="s">
        <v>883</v>
      </c>
      <c r="B2569" s="11" t="s">
        <v>24</v>
      </c>
      <c r="C2569" s="11" t="s">
        <v>62</v>
      </c>
      <c r="D2569" s="12">
        <v>857</v>
      </c>
      <c r="E2569" s="13">
        <v>0</v>
      </c>
    </row>
    <row r="2570" spans="1:5" x14ac:dyDescent="0.25">
      <c r="A2570" s="11" t="s">
        <v>1705</v>
      </c>
      <c r="B2570" s="11" t="s">
        <v>24</v>
      </c>
      <c r="C2570" s="11" t="s">
        <v>22</v>
      </c>
      <c r="D2570" s="12">
        <v>857</v>
      </c>
      <c r="E2570" s="13">
        <v>2</v>
      </c>
    </row>
    <row r="2571" spans="1:5" x14ac:dyDescent="0.25">
      <c r="A2571" s="11" t="s">
        <v>1759</v>
      </c>
      <c r="B2571" s="11" t="s">
        <v>24</v>
      </c>
      <c r="C2571" s="11" t="s">
        <v>43</v>
      </c>
      <c r="D2571" s="12">
        <v>857</v>
      </c>
      <c r="E2571" s="13">
        <v>5</v>
      </c>
    </row>
    <row r="2572" spans="1:5" x14ac:dyDescent="0.25">
      <c r="A2572" s="11" t="s">
        <v>1938</v>
      </c>
      <c r="B2572" s="11" t="s">
        <v>26</v>
      </c>
      <c r="C2572" s="11" t="s">
        <v>32</v>
      </c>
      <c r="D2572" s="12">
        <v>857</v>
      </c>
      <c r="E2572" s="13">
        <v>6</v>
      </c>
    </row>
    <row r="2573" spans="1:5" x14ac:dyDescent="0.25">
      <c r="A2573" s="11" t="s">
        <v>1802</v>
      </c>
      <c r="B2573" s="11" t="s">
        <v>24</v>
      </c>
      <c r="C2573" s="11" t="s">
        <v>27</v>
      </c>
      <c r="D2573" s="12">
        <v>858</v>
      </c>
      <c r="E2573" s="13">
        <v>0</v>
      </c>
    </row>
    <row r="2574" spans="1:5" x14ac:dyDescent="0.25">
      <c r="A2574" s="11" t="s">
        <v>1859</v>
      </c>
      <c r="B2574" s="11" t="s">
        <v>24</v>
      </c>
      <c r="C2574" s="11" t="s">
        <v>39</v>
      </c>
      <c r="D2574" s="12">
        <v>858</v>
      </c>
      <c r="E2574" s="13">
        <v>0</v>
      </c>
    </row>
    <row r="2575" spans="1:5" x14ac:dyDescent="0.25">
      <c r="A2575" s="11" t="s">
        <v>199</v>
      </c>
      <c r="B2575" s="11" t="s">
        <v>26</v>
      </c>
      <c r="C2575" s="11" t="s">
        <v>5</v>
      </c>
      <c r="D2575" s="12">
        <v>859</v>
      </c>
      <c r="E2575" s="13">
        <v>2</v>
      </c>
    </row>
    <row r="2576" spans="1:5" x14ac:dyDescent="0.25">
      <c r="A2576" s="11" t="s">
        <v>339</v>
      </c>
      <c r="B2576" s="11" t="s">
        <v>24</v>
      </c>
      <c r="C2576" s="11" t="s">
        <v>44</v>
      </c>
      <c r="D2576" s="12">
        <v>859</v>
      </c>
      <c r="E2576" s="13">
        <v>1</v>
      </c>
    </row>
    <row r="2577" spans="1:5" x14ac:dyDescent="0.25">
      <c r="A2577" s="11" t="s">
        <v>1096</v>
      </c>
      <c r="B2577" s="11" t="s">
        <v>26</v>
      </c>
      <c r="C2577" s="11" t="s">
        <v>22</v>
      </c>
      <c r="D2577" s="12">
        <v>859</v>
      </c>
      <c r="E2577" s="13">
        <v>1</v>
      </c>
    </row>
    <row r="2578" spans="1:5" x14ac:dyDescent="0.25">
      <c r="A2578" s="11" t="s">
        <v>1165</v>
      </c>
      <c r="B2578" s="11" t="s">
        <v>26</v>
      </c>
      <c r="C2578" s="11" t="s">
        <v>39</v>
      </c>
      <c r="D2578" s="12">
        <v>859</v>
      </c>
      <c r="E2578" s="13">
        <v>3</v>
      </c>
    </row>
    <row r="2579" spans="1:5" x14ac:dyDescent="0.25">
      <c r="A2579" s="11" t="s">
        <v>411</v>
      </c>
      <c r="B2579" s="11" t="s">
        <v>24</v>
      </c>
      <c r="C2579" s="11" t="s">
        <v>62</v>
      </c>
      <c r="D2579" s="12">
        <v>861</v>
      </c>
      <c r="E2579" s="13">
        <v>0</v>
      </c>
    </row>
    <row r="2580" spans="1:5" x14ac:dyDescent="0.25">
      <c r="A2580" s="11" t="s">
        <v>467</v>
      </c>
      <c r="B2580" s="11" t="s">
        <v>24</v>
      </c>
      <c r="C2580" s="11" t="s">
        <v>25</v>
      </c>
      <c r="D2580" s="12">
        <v>861</v>
      </c>
      <c r="E2580" s="13">
        <v>0</v>
      </c>
    </row>
    <row r="2581" spans="1:5" x14ac:dyDescent="0.25">
      <c r="A2581" s="11" t="s">
        <v>149</v>
      </c>
      <c r="B2581" s="11" t="s">
        <v>20</v>
      </c>
      <c r="C2581" s="11" t="s">
        <v>33</v>
      </c>
      <c r="D2581" s="12">
        <v>862</v>
      </c>
      <c r="E2581" s="13">
        <v>0</v>
      </c>
    </row>
    <row r="2582" spans="1:5" x14ac:dyDescent="0.25">
      <c r="A2582" s="11" t="s">
        <v>717</v>
      </c>
      <c r="B2582" s="11" t="s">
        <v>24</v>
      </c>
      <c r="C2582" s="11" t="s">
        <v>62</v>
      </c>
      <c r="D2582" s="12">
        <v>863</v>
      </c>
      <c r="E2582" s="13">
        <v>0</v>
      </c>
    </row>
    <row r="2583" spans="1:5" x14ac:dyDescent="0.25">
      <c r="A2583" s="11" t="s">
        <v>1843</v>
      </c>
      <c r="B2583" s="11" t="s">
        <v>20</v>
      </c>
      <c r="C2583" s="11" t="s">
        <v>30</v>
      </c>
      <c r="D2583" s="12">
        <v>864</v>
      </c>
      <c r="E2583" s="13">
        <v>2</v>
      </c>
    </row>
    <row r="2584" spans="1:5" x14ac:dyDescent="0.25">
      <c r="A2584" s="11" t="s">
        <v>214</v>
      </c>
      <c r="B2584" s="11" t="s">
        <v>24</v>
      </c>
      <c r="C2584" s="11" t="s">
        <v>66</v>
      </c>
      <c r="D2584" s="12">
        <v>865</v>
      </c>
      <c r="E2584" s="13">
        <v>0</v>
      </c>
    </row>
    <row r="2585" spans="1:5" x14ac:dyDescent="0.25">
      <c r="A2585" s="11" t="s">
        <v>386</v>
      </c>
      <c r="B2585" s="11" t="s">
        <v>24</v>
      </c>
      <c r="C2585" s="11" t="s">
        <v>25</v>
      </c>
      <c r="D2585" s="12">
        <v>865</v>
      </c>
      <c r="E2585" s="13">
        <v>6</v>
      </c>
    </row>
    <row r="2586" spans="1:5" x14ac:dyDescent="0.25">
      <c r="A2586" s="11" t="s">
        <v>1615</v>
      </c>
      <c r="B2586" s="11" t="s">
        <v>26</v>
      </c>
      <c r="C2586" s="11" t="s">
        <v>34</v>
      </c>
      <c r="D2586" s="12">
        <v>865</v>
      </c>
      <c r="E2586" s="13">
        <v>0</v>
      </c>
    </row>
    <row r="2587" spans="1:5" x14ac:dyDescent="0.25">
      <c r="A2587" s="11" t="s">
        <v>1361</v>
      </c>
      <c r="B2587" s="11" t="s">
        <v>26</v>
      </c>
      <c r="C2587" s="11" t="s">
        <v>25</v>
      </c>
      <c r="D2587" s="12">
        <v>866</v>
      </c>
      <c r="E2587" s="13">
        <v>0</v>
      </c>
    </row>
    <row r="2588" spans="1:5" x14ac:dyDescent="0.25">
      <c r="A2588" s="11" t="s">
        <v>220</v>
      </c>
      <c r="B2588" s="11" t="s">
        <v>24</v>
      </c>
      <c r="C2588" s="11" t="s">
        <v>32</v>
      </c>
      <c r="D2588" s="12">
        <v>868</v>
      </c>
      <c r="E2588" s="13">
        <v>0</v>
      </c>
    </row>
    <row r="2589" spans="1:5" x14ac:dyDescent="0.25">
      <c r="A2589" s="11" t="s">
        <v>647</v>
      </c>
      <c r="B2589" s="11" t="s">
        <v>20</v>
      </c>
      <c r="C2589" s="11" t="s">
        <v>40</v>
      </c>
      <c r="D2589" s="12">
        <v>868</v>
      </c>
      <c r="E2589" s="13">
        <v>3</v>
      </c>
    </row>
    <row r="2590" spans="1:5" x14ac:dyDescent="0.25">
      <c r="A2590" s="11" t="s">
        <v>1015</v>
      </c>
      <c r="B2590" s="11" t="s">
        <v>24</v>
      </c>
      <c r="C2590" s="11" t="s">
        <v>28</v>
      </c>
      <c r="D2590" s="12">
        <v>868</v>
      </c>
      <c r="E2590" s="13">
        <v>0</v>
      </c>
    </row>
    <row r="2591" spans="1:5" x14ac:dyDescent="0.25">
      <c r="A2591" s="11" t="s">
        <v>1519</v>
      </c>
      <c r="B2591" s="11" t="s">
        <v>20</v>
      </c>
      <c r="C2591" s="11" t="s">
        <v>27</v>
      </c>
      <c r="D2591" s="12">
        <v>868</v>
      </c>
      <c r="E2591" s="13">
        <v>0</v>
      </c>
    </row>
    <row r="2592" spans="1:5" x14ac:dyDescent="0.25">
      <c r="A2592" s="11" t="s">
        <v>1650</v>
      </c>
      <c r="B2592" s="11" t="s">
        <v>26</v>
      </c>
      <c r="C2592" s="11" t="s">
        <v>39</v>
      </c>
      <c r="D2592" s="12">
        <v>868</v>
      </c>
      <c r="E2592" s="13">
        <v>4</v>
      </c>
    </row>
    <row r="2593" spans="1:5" x14ac:dyDescent="0.25">
      <c r="A2593" s="11" t="s">
        <v>351</v>
      </c>
      <c r="B2593" s="11" t="s">
        <v>26</v>
      </c>
      <c r="C2593" s="11" t="s">
        <v>30</v>
      </c>
      <c r="D2593" s="12">
        <v>869</v>
      </c>
      <c r="E2593" s="13">
        <v>0</v>
      </c>
    </row>
    <row r="2594" spans="1:5" x14ac:dyDescent="0.25">
      <c r="A2594" s="11" t="s">
        <v>584</v>
      </c>
      <c r="B2594" s="11" t="s">
        <v>26</v>
      </c>
      <c r="C2594" s="11" t="s">
        <v>66</v>
      </c>
      <c r="D2594" s="12">
        <v>869</v>
      </c>
      <c r="E2594" s="13">
        <v>0</v>
      </c>
    </row>
    <row r="2595" spans="1:5" x14ac:dyDescent="0.25">
      <c r="A2595" s="11" t="s">
        <v>1916</v>
      </c>
      <c r="B2595" s="11" t="s">
        <v>20</v>
      </c>
      <c r="C2595" s="11" t="s">
        <v>111</v>
      </c>
      <c r="D2595" s="12">
        <v>869</v>
      </c>
      <c r="E2595" s="13">
        <v>2</v>
      </c>
    </row>
    <row r="2596" spans="1:5" x14ac:dyDescent="0.25">
      <c r="A2596" s="11" t="s">
        <v>1130</v>
      </c>
      <c r="B2596" s="11" t="s">
        <v>26</v>
      </c>
      <c r="C2596" s="11" t="s">
        <v>27</v>
      </c>
      <c r="D2596" s="12">
        <v>870</v>
      </c>
      <c r="E2596" s="13">
        <v>0</v>
      </c>
    </row>
    <row r="2597" spans="1:5" x14ac:dyDescent="0.25">
      <c r="A2597" s="11" t="s">
        <v>1854</v>
      </c>
      <c r="B2597" s="11" t="s">
        <v>20</v>
      </c>
      <c r="C2597" s="11" t="s">
        <v>22</v>
      </c>
      <c r="D2597" s="12">
        <v>870</v>
      </c>
      <c r="E2597" s="13">
        <v>1</v>
      </c>
    </row>
    <row r="2598" spans="1:5" x14ac:dyDescent="0.25">
      <c r="A2598" s="11" t="s">
        <v>470</v>
      </c>
      <c r="B2598" s="11" t="s">
        <v>20</v>
      </c>
      <c r="C2598" s="11" t="s">
        <v>30</v>
      </c>
      <c r="D2598" s="12">
        <v>872</v>
      </c>
      <c r="E2598" s="13">
        <v>0</v>
      </c>
    </row>
    <row r="2599" spans="1:5" x14ac:dyDescent="0.25">
      <c r="A2599" s="11" t="s">
        <v>441</v>
      </c>
      <c r="B2599" s="11" t="s">
        <v>26</v>
      </c>
      <c r="C2599" s="11" t="s">
        <v>44</v>
      </c>
      <c r="D2599" s="12">
        <v>873</v>
      </c>
      <c r="E2599" s="13">
        <v>3</v>
      </c>
    </row>
    <row r="2600" spans="1:5" x14ac:dyDescent="0.25">
      <c r="A2600" s="11" t="s">
        <v>857</v>
      </c>
      <c r="B2600" s="11" t="s">
        <v>20</v>
      </c>
      <c r="C2600" s="11" t="s">
        <v>28</v>
      </c>
      <c r="D2600" s="12">
        <v>873</v>
      </c>
      <c r="E2600" s="13">
        <v>1</v>
      </c>
    </row>
    <row r="2601" spans="1:5" x14ac:dyDescent="0.25">
      <c r="A2601" s="11" t="s">
        <v>1091</v>
      </c>
      <c r="B2601" s="11" t="s">
        <v>26</v>
      </c>
      <c r="C2601" s="11" t="s">
        <v>30</v>
      </c>
      <c r="D2601" s="12">
        <v>873</v>
      </c>
      <c r="E2601" s="13">
        <v>0</v>
      </c>
    </row>
    <row r="2602" spans="1:5" x14ac:dyDescent="0.25">
      <c r="A2602" s="11" t="s">
        <v>126</v>
      </c>
      <c r="B2602" s="11" t="s">
        <v>24</v>
      </c>
      <c r="C2602" s="11" t="s">
        <v>40</v>
      </c>
      <c r="D2602" s="12">
        <v>874</v>
      </c>
      <c r="E2602" s="13">
        <v>1</v>
      </c>
    </row>
    <row r="2603" spans="1:5" x14ac:dyDescent="0.25">
      <c r="A2603" s="11" t="s">
        <v>561</v>
      </c>
      <c r="B2603" s="11" t="s">
        <v>26</v>
      </c>
      <c r="C2603" s="11" t="s">
        <v>34</v>
      </c>
      <c r="D2603" s="12">
        <v>874</v>
      </c>
      <c r="E2603" s="13">
        <v>2</v>
      </c>
    </row>
    <row r="2604" spans="1:5" x14ac:dyDescent="0.25">
      <c r="A2604" s="11" t="s">
        <v>895</v>
      </c>
      <c r="B2604" s="11" t="s">
        <v>26</v>
      </c>
      <c r="C2604" s="11" t="s">
        <v>5</v>
      </c>
      <c r="D2604" s="12">
        <v>874</v>
      </c>
      <c r="E2604" s="13">
        <v>4</v>
      </c>
    </row>
    <row r="2605" spans="1:5" x14ac:dyDescent="0.25">
      <c r="A2605" s="11" t="s">
        <v>1672</v>
      </c>
      <c r="B2605" s="11" t="s">
        <v>24</v>
      </c>
      <c r="C2605" s="11" t="s">
        <v>25</v>
      </c>
      <c r="D2605" s="12">
        <v>874</v>
      </c>
      <c r="E2605" s="13">
        <v>1</v>
      </c>
    </row>
    <row r="2606" spans="1:5" x14ac:dyDescent="0.25">
      <c r="A2606" s="11" t="s">
        <v>708</v>
      </c>
      <c r="B2606" s="11" t="s">
        <v>20</v>
      </c>
      <c r="C2606" s="11" t="s">
        <v>30</v>
      </c>
      <c r="D2606" s="12">
        <v>875</v>
      </c>
      <c r="E2606" s="13">
        <v>0</v>
      </c>
    </row>
    <row r="2607" spans="1:5" x14ac:dyDescent="0.25">
      <c r="A2607" s="11" t="s">
        <v>1013</v>
      </c>
      <c r="B2607" s="11" t="s">
        <v>24</v>
      </c>
      <c r="C2607" s="11" t="s">
        <v>30</v>
      </c>
      <c r="D2607" s="12">
        <v>875</v>
      </c>
      <c r="E2607" s="13">
        <v>0</v>
      </c>
    </row>
    <row r="2608" spans="1:5" x14ac:dyDescent="0.25">
      <c r="A2608" s="11" t="s">
        <v>1268</v>
      </c>
      <c r="B2608" s="11" t="s">
        <v>20</v>
      </c>
      <c r="C2608" s="11" t="s">
        <v>66</v>
      </c>
      <c r="D2608" s="12">
        <v>875</v>
      </c>
      <c r="E2608" s="13">
        <v>0</v>
      </c>
    </row>
    <row r="2609" spans="1:5" x14ac:dyDescent="0.25">
      <c r="A2609" s="11" t="s">
        <v>941</v>
      </c>
      <c r="B2609" s="11" t="s">
        <v>24</v>
      </c>
      <c r="C2609" s="11" t="s">
        <v>44</v>
      </c>
      <c r="D2609" s="12">
        <v>876</v>
      </c>
      <c r="E2609" s="13">
        <v>4</v>
      </c>
    </row>
    <row r="2610" spans="1:5" x14ac:dyDescent="0.25">
      <c r="A2610" s="11" t="s">
        <v>363</v>
      </c>
      <c r="B2610" s="11" t="s">
        <v>24</v>
      </c>
      <c r="C2610" s="11" t="s">
        <v>111</v>
      </c>
      <c r="D2610" s="12">
        <v>877</v>
      </c>
      <c r="E2610" s="13">
        <v>2</v>
      </c>
    </row>
    <row r="2611" spans="1:5" x14ac:dyDescent="0.25">
      <c r="A2611" s="11" t="s">
        <v>730</v>
      </c>
      <c r="B2611" s="11" t="s">
        <v>26</v>
      </c>
      <c r="C2611" s="11" t="s">
        <v>39</v>
      </c>
      <c r="D2611" s="12">
        <v>877</v>
      </c>
      <c r="E2611" s="13">
        <v>0</v>
      </c>
    </row>
    <row r="2612" spans="1:5" x14ac:dyDescent="0.25">
      <c r="A2612" s="11" t="s">
        <v>736</v>
      </c>
      <c r="B2612" s="11" t="s">
        <v>20</v>
      </c>
      <c r="C2612" s="11" t="s">
        <v>44</v>
      </c>
      <c r="D2612" s="12">
        <v>877</v>
      </c>
      <c r="E2612" s="13">
        <v>0</v>
      </c>
    </row>
    <row r="2613" spans="1:5" x14ac:dyDescent="0.25">
      <c r="A2613" s="11" t="s">
        <v>1323</v>
      </c>
      <c r="B2613" s="11" t="s">
        <v>20</v>
      </c>
      <c r="C2613" s="11" t="s">
        <v>111</v>
      </c>
      <c r="D2613" s="12">
        <v>877</v>
      </c>
      <c r="E2613" s="13">
        <v>3</v>
      </c>
    </row>
    <row r="2614" spans="1:5" x14ac:dyDescent="0.25">
      <c r="A2614" s="11" t="s">
        <v>334</v>
      </c>
      <c r="B2614" s="11" t="s">
        <v>26</v>
      </c>
      <c r="C2614" s="11" t="s">
        <v>34</v>
      </c>
      <c r="D2614" s="12">
        <v>878</v>
      </c>
      <c r="E2614" s="13">
        <v>1</v>
      </c>
    </row>
    <row r="2615" spans="1:5" x14ac:dyDescent="0.25">
      <c r="A2615" s="11" t="s">
        <v>1043</v>
      </c>
      <c r="B2615" s="11" t="s">
        <v>26</v>
      </c>
      <c r="C2615" s="11" t="s">
        <v>33</v>
      </c>
      <c r="D2615" s="12">
        <v>878</v>
      </c>
      <c r="E2615" s="13">
        <v>2</v>
      </c>
    </row>
    <row r="2616" spans="1:5" x14ac:dyDescent="0.25">
      <c r="A2616" s="11" t="s">
        <v>1315</v>
      </c>
      <c r="B2616" s="11" t="s">
        <v>26</v>
      </c>
      <c r="C2616" s="11" t="s">
        <v>66</v>
      </c>
      <c r="D2616" s="12">
        <v>878</v>
      </c>
      <c r="E2616" s="13">
        <v>4</v>
      </c>
    </row>
    <row r="2617" spans="1:5" x14ac:dyDescent="0.25">
      <c r="A2617" s="11" t="s">
        <v>1443</v>
      </c>
      <c r="B2617" s="11" t="s">
        <v>24</v>
      </c>
      <c r="C2617" s="11" t="s">
        <v>5</v>
      </c>
      <c r="D2617" s="12">
        <v>878</v>
      </c>
      <c r="E2617" s="13">
        <v>4</v>
      </c>
    </row>
    <row r="2618" spans="1:5" x14ac:dyDescent="0.25">
      <c r="A2618" s="11" t="s">
        <v>1805</v>
      </c>
      <c r="B2618" s="11" t="s">
        <v>20</v>
      </c>
      <c r="C2618" s="11" t="s">
        <v>39</v>
      </c>
      <c r="D2618" s="12">
        <v>878</v>
      </c>
      <c r="E2618" s="13">
        <v>2</v>
      </c>
    </row>
    <row r="2619" spans="1:5" x14ac:dyDescent="0.25">
      <c r="A2619" s="11" t="s">
        <v>1951</v>
      </c>
      <c r="B2619" s="11" t="s">
        <v>26</v>
      </c>
      <c r="C2619" s="11" t="s">
        <v>27</v>
      </c>
      <c r="D2619" s="12">
        <v>878</v>
      </c>
      <c r="E2619" s="13">
        <v>2</v>
      </c>
    </row>
    <row r="2620" spans="1:5" x14ac:dyDescent="0.25">
      <c r="A2620" s="11" t="s">
        <v>1539</v>
      </c>
      <c r="B2620" s="11" t="s">
        <v>24</v>
      </c>
      <c r="C2620" s="11" t="s">
        <v>39</v>
      </c>
      <c r="D2620" s="12">
        <v>879</v>
      </c>
      <c r="E2620" s="13">
        <v>7</v>
      </c>
    </row>
    <row r="2621" spans="1:5" x14ac:dyDescent="0.25">
      <c r="A2621" s="11" t="s">
        <v>1726</v>
      </c>
      <c r="B2621" s="11" t="s">
        <v>24</v>
      </c>
      <c r="C2621" s="11" t="s">
        <v>21</v>
      </c>
      <c r="D2621" s="12">
        <v>879</v>
      </c>
      <c r="E2621" s="13">
        <v>2</v>
      </c>
    </row>
    <row r="2622" spans="1:5" x14ac:dyDescent="0.25">
      <c r="A2622" s="11" t="s">
        <v>1751</v>
      </c>
      <c r="B2622" s="11" t="s">
        <v>26</v>
      </c>
      <c r="C2622" s="11" t="s">
        <v>30</v>
      </c>
      <c r="D2622" s="12">
        <v>879</v>
      </c>
      <c r="E2622" s="13">
        <v>1</v>
      </c>
    </row>
    <row r="2623" spans="1:5" x14ac:dyDescent="0.25">
      <c r="A2623" s="11" t="s">
        <v>67</v>
      </c>
      <c r="B2623" s="11" t="s">
        <v>26</v>
      </c>
      <c r="C2623" s="11" t="s">
        <v>27</v>
      </c>
      <c r="D2623" s="12">
        <v>880</v>
      </c>
      <c r="E2623" s="13">
        <v>0</v>
      </c>
    </row>
    <row r="2624" spans="1:5" x14ac:dyDescent="0.25">
      <c r="A2624" s="11" t="s">
        <v>447</v>
      </c>
      <c r="B2624" s="11" t="s">
        <v>20</v>
      </c>
      <c r="C2624" s="11" t="s">
        <v>27</v>
      </c>
      <c r="D2624" s="12">
        <v>880</v>
      </c>
      <c r="E2624" s="13">
        <v>1</v>
      </c>
    </row>
    <row r="2625" spans="1:5" x14ac:dyDescent="0.25">
      <c r="A2625" s="11" t="s">
        <v>504</v>
      </c>
      <c r="B2625" s="11" t="s">
        <v>26</v>
      </c>
      <c r="C2625" s="11" t="s">
        <v>5</v>
      </c>
      <c r="D2625" s="12">
        <v>880</v>
      </c>
      <c r="E2625" s="13">
        <v>0</v>
      </c>
    </row>
    <row r="2626" spans="1:5" x14ac:dyDescent="0.25">
      <c r="A2626" s="11" t="s">
        <v>871</v>
      </c>
      <c r="B2626" s="11" t="s">
        <v>26</v>
      </c>
      <c r="C2626" s="11" t="s">
        <v>30</v>
      </c>
      <c r="D2626" s="12">
        <v>880</v>
      </c>
      <c r="E2626" s="13">
        <v>0</v>
      </c>
    </row>
    <row r="2627" spans="1:5" x14ac:dyDescent="0.25">
      <c r="A2627" s="11" t="s">
        <v>904</v>
      </c>
      <c r="B2627" s="11" t="s">
        <v>26</v>
      </c>
      <c r="C2627" s="11" t="s">
        <v>27</v>
      </c>
      <c r="D2627" s="12">
        <v>880</v>
      </c>
      <c r="E2627" s="13">
        <v>1</v>
      </c>
    </row>
    <row r="2628" spans="1:5" x14ac:dyDescent="0.25">
      <c r="A2628" s="11" t="s">
        <v>977</v>
      </c>
      <c r="B2628" s="11" t="s">
        <v>26</v>
      </c>
      <c r="C2628" s="11" t="s">
        <v>39</v>
      </c>
      <c r="D2628" s="12">
        <v>880</v>
      </c>
      <c r="E2628" s="13">
        <v>3</v>
      </c>
    </row>
    <row r="2629" spans="1:5" x14ac:dyDescent="0.25">
      <c r="A2629" s="11" t="s">
        <v>1112</v>
      </c>
      <c r="B2629" s="11" t="s">
        <v>24</v>
      </c>
      <c r="C2629" s="11" t="s">
        <v>30</v>
      </c>
      <c r="D2629" s="12">
        <v>880</v>
      </c>
      <c r="E2629" s="13">
        <v>3</v>
      </c>
    </row>
    <row r="2630" spans="1:5" x14ac:dyDescent="0.25">
      <c r="A2630" s="11" t="s">
        <v>1462</v>
      </c>
      <c r="B2630" s="11" t="s">
        <v>26</v>
      </c>
      <c r="C2630" s="11" t="s">
        <v>21</v>
      </c>
      <c r="D2630" s="12">
        <v>880</v>
      </c>
      <c r="E2630" s="13">
        <v>0</v>
      </c>
    </row>
    <row r="2631" spans="1:5" x14ac:dyDescent="0.25">
      <c r="A2631" s="11" t="s">
        <v>144</v>
      </c>
      <c r="B2631" s="11" t="s">
        <v>20</v>
      </c>
      <c r="C2631" s="11" t="s">
        <v>33</v>
      </c>
      <c r="D2631" s="12">
        <v>881</v>
      </c>
      <c r="E2631" s="13">
        <v>0</v>
      </c>
    </row>
    <row r="2632" spans="1:5" x14ac:dyDescent="0.25">
      <c r="A2632" s="11" t="s">
        <v>714</v>
      </c>
      <c r="B2632" s="11" t="s">
        <v>26</v>
      </c>
      <c r="C2632" s="11" t="s">
        <v>30</v>
      </c>
      <c r="D2632" s="12">
        <v>881</v>
      </c>
      <c r="E2632" s="13">
        <v>2</v>
      </c>
    </row>
    <row r="2633" spans="1:5" x14ac:dyDescent="0.25">
      <c r="A2633" s="11" t="s">
        <v>965</v>
      </c>
      <c r="B2633" s="11" t="s">
        <v>26</v>
      </c>
      <c r="C2633" s="11" t="s">
        <v>44</v>
      </c>
      <c r="D2633" s="12">
        <v>881</v>
      </c>
      <c r="E2633" s="13">
        <v>1</v>
      </c>
    </row>
    <row r="2634" spans="1:5" x14ac:dyDescent="0.25">
      <c r="A2634" s="11" t="s">
        <v>1044</v>
      </c>
      <c r="B2634" s="11" t="s">
        <v>26</v>
      </c>
      <c r="C2634" s="11" t="s">
        <v>53</v>
      </c>
      <c r="D2634" s="12">
        <v>881</v>
      </c>
      <c r="E2634" s="13">
        <v>1</v>
      </c>
    </row>
    <row r="2635" spans="1:5" x14ac:dyDescent="0.25">
      <c r="A2635" s="11" t="s">
        <v>1582</v>
      </c>
      <c r="B2635" s="11" t="s">
        <v>20</v>
      </c>
      <c r="C2635" s="11" t="s">
        <v>111</v>
      </c>
      <c r="D2635" s="12">
        <v>881</v>
      </c>
      <c r="E2635" s="13">
        <v>10</v>
      </c>
    </row>
    <row r="2636" spans="1:5" x14ac:dyDescent="0.25">
      <c r="A2636" s="11" t="s">
        <v>1906</v>
      </c>
      <c r="B2636" s="11" t="s">
        <v>20</v>
      </c>
      <c r="C2636" s="11" t="s">
        <v>66</v>
      </c>
      <c r="D2636" s="12">
        <v>881</v>
      </c>
      <c r="E2636" s="13">
        <v>1</v>
      </c>
    </row>
    <row r="2637" spans="1:5" x14ac:dyDescent="0.25">
      <c r="A2637" s="11" t="s">
        <v>663</v>
      </c>
      <c r="B2637" s="11" t="s">
        <v>20</v>
      </c>
      <c r="C2637" s="11" t="s">
        <v>30</v>
      </c>
      <c r="D2637" s="12">
        <v>883</v>
      </c>
      <c r="E2637" s="13">
        <v>3</v>
      </c>
    </row>
    <row r="2638" spans="1:5" x14ac:dyDescent="0.25">
      <c r="A2638" s="11" t="s">
        <v>1805</v>
      </c>
      <c r="B2638" s="11" t="s">
        <v>24</v>
      </c>
      <c r="C2638" s="11" t="s">
        <v>25</v>
      </c>
      <c r="D2638" s="12">
        <v>883</v>
      </c>
      <c r="E2638" s="13">
        <v>4</v>
      </c>
    </row>
    <row r="2639" spans="1:5" x14ac:dyDescent="0.25">
      <c r="A2639" s="11" t="s">
        <v>428</v>
      </c>
      <c r="B2639" s="11" t="s">
        <v>24</v>
      </c>
      <c r="C2639" s="11" t="s">
        <v>40</v>
      </c>
      <c r="D2639" s="12">
        <v>884</v>
      </c>
      <c r="E2639" s="13">
        <v>8</v>
      </c>
    </row>
    <row r="2640" spans="1:5" x14ac:dyDescent="0.25">
      <c r="A2640" s="11" t="s">
        <v>833</v>
      </c>
      <c r="B2640" s="11" t="s">
        <v>20</v>
      </c>
      <c r="C2640" s="11" t="s">
        <v>21</v>
      </c>
      <c r="D2640" s="12">
        <v>884</v>
      </c>
      <c r="E2640" s="13">
        <v>2</v>
      </c>
    </row>
    <row r="2641" spans="1:5" x14ac:dyDescent="0.25">
      <c r="A2641" s="11" t="s">
        <v>333</v>
      </c>
      <c r="B2641" s="11" t="s">
        <v>24</v>
      </c>
      <c r="C2641" s="11" t="s">
        <v>5</v>
      </c>
      <c r="D2641" s="12">
        <v>885</v>
      </c>
      <c r="E2641" s="13">
        <v>0</v>
      </c>
    </row>
    <row r="2642" spans="1:5" x14ac:dyDescent="0.25">
      <c r="A2642" s="11" t="s">
        <v>628</v>
      </c>
      <c r="B2642" s="11" t="s">
        <v>24</v>
      </c>
      <c r="C2642" s="11" t="s">
        <v>43</v>
      </c>
      <c r="D2642" s="12">
        <v>885</v>
      </c>
      <c r="E2642" s="13">
        <v>2</v>
      </c>
    </row>
    <row r="2643" spans="1:5" x14ac:dyDescent="0.25">
      <c r="A2643" s="11" t="s">
        <v>747</v>
      </c>
      <c r="B2643" s="11" t="s">
        <v>24</v>
      </c>
      <c r="C2643" s="11" t="s">
        <v>27</v>
      </c>
      <c r="D2643" s="12">
        <v>885</v>
      </c>
      <c r="E2643" s="13">
        <v>7</v>
      </c>
    </row>
    <row r="2644" spans="1:5" x14ac:dyDescent="0.25">
      <c r="A2644" s="11" t="s">
        <v>1525</v>
      </c>
      <c r="B2644" s="11" t="s">
        <v>24</v>
      </c>
      <c r="C2644" s="11" t="s">
        <v>27</v>
      </c>
      <c r="D2644" s="12">
        <v>885</v>
      </c>
      <c r="E2644" s="13">
        <v>0</v>
      </c>
    </row>
    <row r="2645" spans="1:5" x14ac:dyDescent="0.25">
      <c r="A2645" s="11" t="s">
        <v>31</v>
      </c>
      <c r="B2645" s="11" t="s">
        <v>20</v>
      </c>
      <c r="C2645" s="11" t="s">
        <v>34</v>
      </c>
      <c r="D2645" s="12">
        <v>886</v>
      </c>
      <c r="E2645" s="13">
        <v>0</v>
      </c>
    </row>
    <row r="2646" spans="1:5" x14ac:dyDescent="0.25">
      <c r="A2646" s="11" t="s">
        <v>397</v>
      </c>
      <c r="B2646" s="11" t="s">
        <v>20</v>
      </c>
      <c r="C2646" s="11" t="s">
        <v>39</v>
      </c>
      <c r="D2646" s="12">
        <v>886</v>
      </c>
      <c r="E2646" s="13">
        <v>1</v>
      </c>
    </row>
    <row r="2647" spans="1:5" x14ac:dyDescent="0.25">
      <c r="A2647" s="11" t="s">
        <v>1069</v>
      </c>
      <c r="B2647" s="11" t="s">
        <v>26</v>
      </c>
      <c r="C2647" s="11" t="s">
        <v>27</v>
      </c>
      <c r="D2647" s="12">
        <v>886</v>
      </c>
      <c r="E2647" s="13">
        <v>0</v>
      </c>
    </row>
    <row r="2648" spans="1:5" x14ac:dyDescent="0.25">
      <c r="A2648" s="11" t="s">
        <v>1193</v>
      </c>
      <c r="B2648" s="11" t="s">
        <v>26</v>
      </c>
      <c r="C2648" s="11" t="s">
        <v>22</v>
      </c>
      <c r="D2648" s="12">
        <v>886</v>
      </c>
      <c r="E2648" s="13">
        <v>7</v>
      </c>
    </row>
    <row r="2649" spans="1:5" x14ac:dyDescent="0.25">
      <c r="A2649" s="11" t="s">
        <v>434</v>
      </c>
      <c r="B2649" s="11" t="s">
        <v>26</v>
      </c>
      <c r="C2649" s="11" t="s">
        <v>5</v>
      </c>
      <c r="D2649" s="12">
        <v>887</v>
      </c>
      <c r="E2649" s="13">
        <v>2</v>
      </c>
    </row>
    <row r="2650" spans="1:5" x14ac:dyDescent="0.25">
      <c r="A2650" s="11" t="s">
        <v>896</v>
      </c>
      <c r="B2650" s="11" t="s">
        <v>26</v>
      </c>
      <c r="C2650" s="11" t="s">
        <v>32</v>
      </c>
      <c r="D2650" s="12">
        <v>887</v>
      </c>
      <c r="E2650" s="13">
        <v>0</v>
      </c>
    </row>
    <row r="2651" spans="1:5" x14ac:dyDescent="0.25">
      <c r="A2651" s="11" t="s">
        <v>1099</v>
      </c>
      <c r="B2651" s="11" t="s">
        <v>20</v>
      </c>
      <c r="C2651" s="11" t="s">
        <v>28</v>
      </c>
      <c r="D2651" s="12">
        <v>887</v>
      </c>
      <c r="E2651" s="13">
        <v>2</v>
      </c>
    </row>
    <row r="2652" spans="1:5" x14ac:dyDescent="0.25">
      <c r="A2652" s="11" t="s">
        <v>1840</v>
      </c>
      <c r="B2652" s="11" t="s">
        <v>20</v>
      </c>
      <c r="C2652" s="11" t="s">
        <v>44</v>
      </c>
      <c r="D2652" s="12">
        <v>887</v>
      </c>
      <c r="E2652" s="13">
        <v>1</v>
      </c>
    </row>
    <row r="2653" spans="1:5" x14ac:dyDescent="0.25">
      <c r="A2653" s="11" t="s">
        <v>1048</v>
      </c>
      <c r="B2653" s="11" t="s">
        <v>26</v>
      </c>
      <c r="C2653" s="11" t="s">
        <v>27</v>
      </c>
      <c r="D2653" s="12">
        <v>888</v>
      </c>
      <c r="E2653" s="13">
        <v>14</v>
      </c>
    </row>
    <row r="2654" spans="1:5" x14ac:dyDescent="0.25">
      <c r="A2654" s="11" t="s">
        <v>1272</v>
      </c>
      <c r="B2654" s="11" t="s">
        <v>20</v>
      </c>
      <c r="C2654" s="11" t="s">
        <v>62</v>
      </c>
      <c r="D2654" s="12">
        <v>888</v>
      </c>
      <c r="E2654" s="13">
        <v>2</v>
      </c>
    </row>
    <row r="2655" spans="1:5" x14ac:dyDescent="0.25">
      <c r="A2655" s="11" t="s">
        <v>1286</v>
      </c>
      <c r="B2655" s="11" t="s">
        <v>26</v>
      </c>
      <c r="C2655" s="11" t="s">
        <v>28</v>
      </c>
      <c r="D2655" s="12">
        <v>888</v>
      </c>
      <c r="E2655" s="13">
        <v>5</v>
      </c>
    </row>
    <row r="2656" spans="1:5" x14ac:dyDescent="0.25">
      <c r="A2656" s="11" t="s">
        <v>1554</v>
      </c>
      <c r="B2656" s="11" t="s">
        <v>24</v>
      </c>
      <c r="C2656" s="11" t="s">
        <v>66</v>
      </c>
      <c r="D2656" s="12">
        <v>888</v>
      </c>
      <c r="E2656" s="13">
        <v>1</v>
      </c>
    </row>
    <row r="2657" spans="1:5" x14ac:dyDescent="0.25">
      <c r="A2657" s="11" t="s">
        <v>1836</v>
      </c>
      <c r="B2657" s="11" t="s">
        <v>26</v>
      </c>
      <c r="C2657" s="11" t="s">
        <v>66</v>
      </c>
      <c r="D2657" s="12">
        <v>888</v>
      </c>
      <c r="E2657" s="13">
        <v>4</v>
      </c>
    </row>
    <row r="2658" spans="1:5" x14ac:dyDescent="0.25">
      <c r="A2658" s="11" t="s">
        <v>1853</v>
      </c>
      <c r="B2658" s="11" t="s">
        <v>26</v>
      </c>
      <c r="C2658" s="11" t="s">
        <v>30</v>
      </c>
      <c r="D2658" s="12">
        <v>888</v>
      </c>
      <c r="E2658" s="13">
        <v>11</v>
      </c>
    </row>
    <row r="2659" spans="1:5" x14ac:dyDescent="0.25">
      <c r="A2659" s="11" t="s">
        <v>1595</v>
      </c>
      <c r="B2659" s="11" t="s">
        <v>26</v>
      </c>
      <c r="C2659" s="11" t="s">
        <v>30</v>
      </c>
      <c r="D2659" s="12">
        <v>889</v>
      </c>
      <c r="E2659" s="13">
        <v>13</v>
      </c>
    </row>
    <row r="2660" spans="1:5" x14ac:dyDescent="0.25">
      <c r="A2660" s="11" t="s">
        <v>1634</v>
      </c>
      <c r="B2660" s="11" t="s">
        <v>26</v>
      </c>
      <c r="C2660" s="11" t="s">
        <v>30</v>
      </c>
      <c r="D2660" s="12">
        <v>889</v>
      </c>
      <c r="E2660" s="13">
        <v>10</v>
      </c>
    </row>
    <row r="2661" spans="1:5" x14ac:dyDescent="0.25">
      <c r="A2661" s="11" t="s">
        <v>231</v>
      </c>
      <c r="B2661" s="11" t="s">
        <v>26</v>
      </c>
      <c r="C2661" s="11" t="s">
        <v>27</v>
      </c>
      <c r="D2661" s="12">
        <v>891</v>
      </c>
      <c r="E2661" s="13">
        <v>0</v>
      </c>
    </row>
    <row r="2662" spans="1:5" x14ac:dyDescent="0.25">
      <c r="A2662" s="11" t="s">
        <v>1038</v>
      </c>
      <c r="B2662" s="11" t="s">
        <v>26</v>
      </c>
      <c r="C2662" s="11" t="s">
        <v>5</v>
      </c>
      <c r="D2662" s="12">
        <v>891</v>
      </c>
      <c r="E2662" s="13">
        <v>0</v>
      </c>
    </row>
    <row r="2663" spans="1:5" x14ac:dyDescent="0.25">
      <c r="A2663" s="11" t="s">
        <v>1971</v>
      </c>
      <c r="B2663" s="11" t="s">
        <v>20</v>
      </c>
      <c r="C2663" s="11" t="s">
        <v>62</v>
      </c>
      <c r="D2663" s="12">
        <v>891</v>
      </c>
      <c r="E2663" s="13">
        <v>1</v>
      </c>
    </row>
    <row r="2664" spans="1:5" x14ac:dyDescent="0.25">
      <c r="A2664" s="11" t="s">
        <v>706</v>
      </c>
      <c r="B2664" s="11" t="s">
        <v>20</v>
      </c>
      <c r="C2664" s="11" t="s">
        <v>34</v>
      </c>
      <c r="D2664" s="12">
        <v>892</v>
      </c>
      <c r="E2664" s="13">
        <v>0</v>
      </c>
    </row>
    <row r="2665" spans="1:5" x14ac:dyDescent="0.25">
      <c r="A2665" s="11" t="s">
        <v>1032</v>
      </c>
      <c r="B2665" s="11" t="s">
        <v>26</v>
      </c>
      <c r="C2665" s="11" t="s">
        <v>40</v>
      </c>
      <c r="D2665" s="12">
        <v>892</v>
      </c>
      <c r="E2665" s="13">
        <v>1</v>
      </c>
    </row>
    <row r="2666" spans="1:5" x14ac:dyDescent="0.25">
      <c r="A2666" s="11" t="s">
        <v>1035</v>
      </c>
      <c r="B2666" s="11" t="s">
        <v>24</v>
      </c>
      <c r="C2666" s="11" t="s">
        <v>40</v>
      </c>
      <c r="D2666" s="12">
        <v>892</v>
      </c>
      <c r="E2666" s="13">
        <v>5</v>
      </c>
    </row>
    <row r="2667" spans="1:5" x14ac:dyDescent="0.25">
      <c r="A2667" s="11" t="s">
        <v>1305</v>
      </c>
      <c r="B2667" s="11" t="s">
        <v>24</v>
      </c>
      <c r="C2667" s="11" t="s">
        <v>44</v>
      </c>
      <c r="D2667" s="12">
        <v>892</v>
      </c>
      <c r="E2667" s="13">
        <v>2</v>
      </c>
    </row>
    <row r="2668" spans="1:5" x14ac:dyDescent="0.25">
      <c r="A2668" s="11" t="s">
        <v>1918</v>
      </c>
      <c r="B2668" s="11" t="s">
        <v>24</v>
      </c>
      <c r="C2668" s="11" t="s">
        <v>33</v>
      </c>
      <c r="D2668" s="12">
        <v>892</v>
      </c>
      <c r="E2668" s="13">
        <v>0</v>
      </c>
    </row>
    <row r="2669" spans="1:5" x14ac:dyDescent="0.25">
      <c r="A2669" s="11" t="s">
        <v>1360</v>
      </c>
      <c r="B2669" s="11" t="s">
        <v>20</v>
      </c>
      <c r="C2669" s="11" t="s">
        <v>39</v>
      </c>
      <c r="D2669" s="12">
        <v>893</v>
      </c>
      <c r="E2669" s="13">
        <v>3</v>
      </c>
    </row>
    <row r="2670" spans="1:5" x14ac:dyDescent="0.25">
      <c r="A2670" s="11" t="s">
        <v>563</v>
      </c>
      <c r="B2670" s="11" t="s">
        <v>26</v>
      </c>
      <c r="C2670" s="11" t="s">
        <v>30</v>
      </c>
      <c r="D2670" s="12">
        <v>894</v>
      </c>
      <c r="E2670" s="13">
        <v>0</v>
      </c>
    </row>
    <row r="2671" spans="1:5" x14ac:dyDescent="0.25">
      <c r="A2671" s="11" t="s">
        <v>1124</v>
      </c>
      <c r="B2671" s="11" t="s">
        <v>26</v>
      </c>
      <c r="C2671" s="11" t="s">
        <v>25</v>
      </c>
      <c r="D2671" s="12">
        <v>894</v>
      </c>
      <c r="E2671" s="13">
        <v>2</v>
      </c>
    </row>
    <row r="2672" spans="1:5" x14ac:dyDescent="0.25">
      <c r="A2672" s="11" t="s">
        <v>1639</v>
      </c>
      <c r="B2672" s="11" t="s">
        <v>24</v>
      </c>
      <c r="C2672" s="11" t="s">
        <v>39</v>
      </c>
      <c r="D2672" s="12">
        <v>894</v>
      </c>
      <c r="E2672" s="13">
        <v>4</v>
      </c>
    </row>
    <row r="2673" spans="1:5" x14ac:dyDescent="0.25">
      <c r="A2673" s="11" t="s">
        <v>469</v>
      </c>
      <c r="B2673" s="11" t="s">
        <v>26</v>
      </c>
      <c r="C2673" s="11" t="s">
        <v>21</v>
      </c>
      <c r="D2673" s="12">
        <v>895</v>
      </c>
      <c r="E2673" s="13">
        <v>6</v>
      </c>
    </row>
    <row r="2674" spans="1:5" x14ac:dyDescent="0.25">
      <c r="A2674" s="11" t="s">
        <v>488</v>
      </c>
      <c r="B2674" s="11" t="s">
        <v>20</v>
      </c>
      <c r="C2674" s="11" t="s">
        <v>27</v>
      </c>
      <c r="D2674" s="12">
        <v>895</v>
      </c>
      <c r="E2674" s="13">
        <v>1</v>
      </c>
    </row>
    <row r="2675" spans="1:5" x14ac:dyDescent="0.25">
      <c r="A2675" s="11" t="s">
        <v>575</v>
      </c>
      <c r="B2675" s="11" t="s">
        <v>26</v>
      </c>
      <c r="C2675" s="11" t="s">
        <v>62</v>
      </c>
      <c r="D2675" s="12">
        <v>896</v>
      </c>
      <c r="E2675" s="13">
        <v>1</v>
      </c>
    </row>
    <row r="2676" spans="1:5" x14ac:dyDescent="0.25">
      <c r="A2676" s="11" t="s">
        <v>1917</v>
      </c>
      <c r="B2676" s="11" t="s">
        <v>24</v>
      </c>
      <c r="C2676" s="11" t="s">
        <v>62</v>
      </c>
      <c r="D2676" s="12">
        <v>896</v>
      </c>
      <c r="E2676" s="13">
        <v>5</v>
      </c>
    </row>
    <row r="2677" spans="1:5" x14ac:dyDescent="0.25">
      <c r="A2677" s="11" t="s">
        <v>1523</v>
      </c>
      <c r="B2677" s="11" t="s">
        <v>26</v>
      </c>
      <c r="C2677" s="11" t="s">
        <v>62</v>
      </c>
      <c r="D2677" s="12">
        <v>897</v>
      </c>
      <c r="E2677" s="13">
        <v>0</v>
      </c>
    </row>
    <row r="2678" spans="1:5" x14ac:dyDescent="0.25">
      <c r="A2678" s="11" t="s">
        <v>78</v>
      </c>
      <c r="B2678" s="11" t="s">
        <v>24</v>
      </c>
      <c r="C2678" s="11" t="s">
        <v>33</v>
      </c>
      <c r="D2678" s="12">
        <v>898</v>
      </c>
      <c r="E2678" s="13">
        <v>4</v>
      </c>
    </row>
    <row r="2679" spans="1:5" x14ac:dyDescent="0.25">
      <c r="A2679" s="11" t="s">
        <v>417</v>
      </c>
      <c r="B2679" s="11" t="s">
        <v>26</v>
      </c>
      <c r="C2679" s="11" t="s">
        <v>28</v>
      </c>
      <c r="D2679" s="12">
        <v>898</v>
      </c>
      <c r="E2679" s="13">
        <v>0</v>
      </c>
    </row>
    <row r="2680" spans="1:5" x14ac:dyDescent="0.25">
      <c r="A2680" s="11" t="s">
        <v>1556</v>
      </c>
      <c r="B2680" s="11" t="s">
        <v>24</v>
      </c>
      <c r="C2680" s="11" t="s">
        <v>32</v>
      </c>
      <c r="D2680" s="12">
        <v>898</v>
      </c>
      <c r="E2680" s="13">
        <v>2</v>
      </c>
    </row>
    <row r="2681" spans="1:5" x14ac:dyDescent="0.25">
      <c r="A2681" s="11" t="s">
        <v>1854</v>
      </c>
      <c r="B2681" s="11" t="s">
        <v>26</v>
      </c>
      <c r="C2681" s="11" t="s">
        <v>30</v>
      </c>
      <c r="D2681" s="12">
        <v>898</v>
      </c>
      <c r="E2681" s="13">
        <v>0</v>
      </c>
    </row>
    <row r="2682" spans="1:5" x14ac:dyDescent="0.25">
      <c r="A2682" s="11" t="s">
        <v>69</v>
      </c>
      <c r="B2682" s="11" t="s">
        <v>20</v>
      </c>
      <c r="C2682" s="11" t="s">
        <v>62</v>
      </c>
      <c r="D2682" s="12">
        <v>899</v>
      </c>
      <c r="E2682" s="13">
        <v>0</v>
      </c>
    </row>
    <row r="2683" spans="1:5" x14ac:dyDescent="0.25">
      <c r="A2683" s="11" t="s">
        <v>1371</v>
      </c>
      <c r="B2683" s="11" t="s">
        <v>24</v>
      </c>
      <c r="C2683" s="11" t="s">
        <v>5</v>
      </c>
      <c r="D2683" s="12">
        <v>899</v>
      </c>
      <c r="E2683" s="13">
        <v>0</v>
      </c>
    </row>
    <row r="2684" spans="1:5" x14ac:dyDescent="0.25">
      <c r="A2684" s="11" t="s">
        <v>1431</v>
      </c>
      <c r="B2684" s="11" t="s">
        <v>20</v>
      </c>
      <c r="C2684" s="11" t="s">
        <v>32</v>
      </c>
      <c r="D2684" s="12">
        <v>899</v>
      </c>
      <c r="E2684" s="13">
        <v>3</v>
      </c>
    </row>
    <row r="2685" spans="1:5" x14ac:dyDescent="0.25">
      <c r="A2685" s="11" t="s">
        <v>1744</v>
      </c>
      <c r="B2685" s="11" t="s">
        <v>24</v>
      </c>
      <c r="C2685" s="11" t="s">
        <v>33</v>
      </c>
      <c r="D2685" s="12">
        <v>899</v>
      </c>
      <c r="E2685" s="13">
        <v>1</v>
      </c>
    </row>
    <row r="2686" spans="1:5" x14ac:dyDescent="0.25">
      <c r="A2686" s="11" t="s">
        <v>1874</v>
      </c>
      <c r="B2686" s="11" t="s">
        <v>24</v>
      </c>
      <c r="C2686" s="11" t="s">
        <v>43</v>
      </c>
      <c r="D2686" s="12">
        <v>899</v>
      </c>
      <c r="E2686" s="13">
        <v>10</v>
      </c>
    </row>
    <row r="2687" spans="1:5" x14ac:dyDescent="0.25">
      <c r="A2687" s="11" t="s">
        <v>338</v>
      </c>
      <c r="B2687" s="11" t="s">
        <v>24</v>
      </c>
      <c r="C2687" s="11" t="s">
        <v>44</v>
      </c>
      <c r="D2687" s="12">
        <v>900</v>
      </c>
      <c r="E2687" s="13">
        <v>7</v>
      </c>
    </row>
    <row r="2688" spans="1:5" x14ac:dyDescent="0.25">
      <c r="A2688" s="11" t="s">
        <v>1469</v>
      </c>
      <c r="B2688" s="11" t="s">
        <v>26</v>
      </c>
      <c r="C2688" s="11" t="s">
        <v>34</v>
      </c>
      <c r="D2688" s="12">
        <v>900</v>
      </c>
      <c r="E2688" s="13">
        <v>6</v>
      </c>
    </row>
    <row r="2689" spans="1:5" x14ac:dyDescent="0.25">
      <c r="A2689" s="11" t="s">
        <v>106</v>
      </c>
      <c r="B2689" s="11" t="s">
        <v>20</v>
      </c>
      <c r="C2689" s="11" t="s">
        <v>34</v>
      </c>
      <c r="D2689" s="12">
        <v>901</v>
      </c>
      <c r="E2689" s="13">
        <v>9</v>
      </c>
    </row>
    <row r="2690" spans="1:5" x14ac:dyDescent="0.25">
      <c r="A2690" s="11" t="s">
        <v>1505</v>
      </c>
      <c r="B2690" s="11" t="s">
        <v>20</v>
      </c>
      <c r="C2690" s="11" t="s">
        <v>44</v>
      </c>
      <c r="D2690" s="12">
        <v>901</v>
      </c>
      <c r="E2690" s="13">
        <v>0</v>
      </c>
    </row>
    <row r="2691" spans="1:5" x14ac:dyDescent="0.25">
      <c r="A2691" s="11" t="s">
        <v>186</v>
      </c>
      <c r="B2691" s="11" t="s">
        <v>20</v>
      </c>
      <c r="C2691" s="11" t="s">
        <v>28</v>
      </c>
      <c r="D2691" s="12">
        <v>902</v>
      </c>
      <c r="E2691" s="13">
        <v>2</v>
      </c>
    </row>
    <row r="2692" spans="1:5" x14ac:dyDescent="0.25">
      <c r="A2692" s="11" t="s">
        <v>71</v>
      </c>
      <c r="B2692" s="11" t="s">
        <v>24</v>
      </c>
      <c r="C2692" s="11" t="s">
        <v>44</v>
      </c>
      <c r="D2692" s="12">
        <v>903</v>
      </c>
      <c r="E2692" s="13">
        <v>0</v>
      </c>
    </row>
    <row r="2693" spans="1:5" x14ac:dyDescent="0.25">
      <c r="A2693" s="11" t="s">
        <v>1104</v>
      </c>
      <c r="B2693" s="11" t="s">
        <v>24</v>
      </c>
      <c r="C2693" s="11" t="s">
        <v>22</v>
      </c>
      <c r="D2693" s="12">
        <v>903</v>
      </c>
      <c r="E2693" s="13">
        <v>0</v>
      </c>
    </row>
    <row r="2694" spans="1:5" x14ac:dyDescent="0.25">
      <c r="A2694" s="11" t="s">
        <v>414</v>
      </c>
      <c r="B2694" s="11" t="s">
        <v>20</v>
      </c>
      <c r="C2694" s="11" t="s">
        <v>111</v>
      </c>
      <c r="D2694" s="12">
        <v>904</v>
      </c>
      <c r="E2694" s="13">
        <v>3</v>
      </c>
    </row>
    <row r="2695" spans="1:5" x14ac:dyDescent="0.25">
      <c r="A2695" s="11" t="s">
        <v>1832</v>
      </c>
      <c r="B2695" s="11" t="s">
        <v>26</v>
      </c>
      <c r="C2695" s="11" t="s">
        <v>44</v>
      </c>
      <c r="D2695" s="12">
        <v>904</v>
      </c>
      <c r="E2695" s="13">
        <v>0</v>
      </c>
    </row>
    <row r="2696" spans="1:5" x14ac:dyDescent="0.25">
      <c r="A2696" s="11" t="s">
        <v>1397</v>
      </c>
      <c r="B2696" s="11" t="s">
        <v>20</v>
      </c>
      <c r="C2696" s="11" t="s">
        <v>39</v>
      </c>
      <c r="D2696" s="12">
        <v>905</v>
      </c>
      <c r="E2696" s="13">
        <v>2</v>
      </c>
    </row>
    <row r="2697" spans="1:5" x14ac:dyDescent="0.25">
      <c r="A2697" s="11" t="s">
        <v>413</v>
      </c>
      <c r="B2697" s="11" t="s">
        <v>20</v>
      </c>
      <c r="C2697" s="11" t="s">
        <v>66</v>
      </c>
      <c r="D2697" s="12">
        <v>906</v>
      </c>
      <c r="E2697" s="13">
        <v>0</v>
      </c>
    </row>
    <row r="2698" spans="1:5" x14ac:dyDescent="0.25">
      <c r="A2698" s="11" t="s">
        <v>925</v>
      </c>
      <c r="B2698" s="11" t="s">
        <v>20</v>
      </c>
      <c r="C2698" s="11" t="s">
        <v>62</v>
      </c>
      <c r="D2698" s="12">
        <v>906</v>
      </c>
      <c r="E2698" s="13">
        <v>1</v>
      </c>
    </row>
    <row r="2699" spans="1:5" x14ac:dyDescent="0.25">
      <c r="A2699" s="11" t="s">
        <v>1058</v>
      </c>
      <c r="B2699" s="11" t="s">
        <v>26</v>
      </c>
      <c r="C2699" s="11" t="s">
        <v>111</v>
      </c>
      <c r="D2699" s="12">
        <v>906</v>
      </c>
      <c r="E2699" s="13">
        <v>0</v>
      </c>
    </row>
    <row r="2700" spans="1:5" x14ac:dyDescent="0.25">
      <c r="A2700" s="11" t="s">
        <v>1480</v>
      </c>
      <c r="B2700" s="11" t="s">
        <v>20</v>
      </c>
      <c r="C2700" s="11" t="s">
        <v>40</v>
      </c>
      <c r="D2700" s="12">
        <v>906</v>
      </c>
      <c r="E2700" s="13">
        <v>0</v>
      </c>
    </row>
    <row r="2701" spans="1:5" x14ac:dyDescent="0.25">
      <c r="A2701" s="11" t="s">
        <v>1775</v>
      </c>
      <c r="B2701" s="11" t="s">
        <v>24</v>
      </c>
      <c r="C2701" s="11" t="s">
        <v>43</v>
      </c>
      <c r="D2701" s="12">
        <v>906</v>
      </c>
      <c r="E2701" s="13">
        <v>0</v>
      </c>
    </row>
    <row r="2702" spans="1:5" x14ac:dyDescent="0.25">
      <c r="A2702" s="11" t="s">
        <v>1955</v>
      </c>
      <c r="B2702" s="11" t="s">
        <v>26</v>
      </c>
      <c r="C2702" s="11" t="s">
        <v>44</v>
      </c>
      <c r="D2702" s="12">
        <v>906</v>
      </c>
      <c r="E2702" s="13">
        <v>0</v>
      </c>
    </row>
    <row r="2703" spans="1:5" x14ac:dyDescent="0.25">
      <c r="A2703" s="11" t="s">
        <v>408</v>
      </c>
      <c r="B2703" s="11" t="s">
        <v>24</v>
      </c>
      <c r="C2703" s="11" t="s">
        <v>5</v>
      </c>
      <c r="D2703" s="12">
        <v>907</v>
      </c>
      <c r="E2703" s="13">
        <v>0</v>
      </c>
    </row>
    <row r="2704" spans="1:5" x14ac:dyDescent="0.25">
      <c r="A2704" s="11" t="s">
        <v>1485</v>
      </c>
      <c r="B2704" s="11" t="s">
        <v>24</v>
      </c>
      <c r="C2704" s="11" t="s">
        <v>39</v>
      </c>
      <c r="D2704" s="12">
        <v>907</v>
      </c>
      <c r="E2704" s="13">
        <v>2</v>
      </c>
    </row>
    <row r="2705" spans="1:5" x14ac:dyDescent="0.25">
      <c r="A2705" s="11" t="s">
        <v>1476</v>
      </c>
      <c r="B2705" s="11" t="s">
        <v>20</v>
      </c>
      <c r="C2705" s="11" t="s">
        <v>25</v>
      </c>
      <c r="D2705" s="12">
        <v>908</v>
      </c>
      <c r="E2705" s="13">
        <v>0</v>
      </c>
    </row>
    <row r="2706" spans="1:5" x14ac:dyDescent="0.25">
      <c r="A2706" s="11" t="s">
        <v>1482</v>
      </c>
      <c r="B2706" s="11" t="s">
        <v>20</v>
      </c>
      <c r="C2706" s="11" t="s">
        <v>22</v>
      </c>
      <c r="D2706" s="12">
        <v>909</v>
      </c>
      <c r="E2706" s="13">
        <v>3</v>
      </c>
    </row>
    <row r="2707" spans="1:5" x14ac:dyDescent="0.25">
      <c r="A2707" s="11" t="s">
        <v>130</v>
      </c>
      <c r="B2707" s="11" t="s">
        <v>24</v>
      </c>
      <c r="C2707" s="11" t="s">
        <v>5</v>
      </c>
      <c r="D2707" s="12">
        <v>910</v>
      </c>
      <c r="E2707" s="13">
        <v>0</v>
      </c>
    </row>
    <row r="2708" spans="1:5" x14ac:dyDescent="0.25">
      <c r="A2708" s="11" t="s">
        <v>812</v>
      </c>
      <c r="B2708" s="11" t="s">
        <v>24</v>
      </c>
      <c r="C2708" s="11" t="s">
        <v>27</v>
      </c>
      <c r="D2708" s="12">
        <v>910</v>
      </c>
      <c r="E2708" s="13">
        <v>12</v>
      </c>
    </row>
    <row r="2709" spans="1:5" x14ac:dyDescent="0.25">
      <c r="A2709" s="11" t="s">
        <v>865</v>
      </c>
      <c r="B2709" s="11" t="s">
        <v>24</v>
      </c>
      <c r="C2709" s="11" t="s">
        <v>27</v>
      </c>
      <c r="D2709" s="12">
        <v>910</v>
      </c>
      <c r="E2709" s="13">
        <v>0</v>
      </c>
    </row>
    <row r="2710" spans="1:5" x14ac:dyDescent="0.25">
      <c r="A2710" s="11" t="s">
        <v>1484</v>
      </c>
      <c r="B2710" s="11" t="s">
        <v>20</v>
      </c>
      <c r="C2710" s="11" t="s">
        <v>5</v>
      </c>
      <c r="D2710" s="12">
        <v>910</v>
      </c>
      <c r="E2710" s="13">
        <v>0</v>
      </c>
    </row>
    <row r="2711" spans="1:5" x14ac:dyDescent="0.25">
      <c r="A2711" s="11" t="s">
        <v>1429</v>
      </c>
      <c r="B2711" s="11" t="s">
        <v>26</v>
      </c>
      <c r="C2711" s="11" t="s">
        <v>44</v>
      </c>
      <c r="D2711" s="12">
        <v>911</v>
      </c>
      <c r="E2711" s="13">
        <v>12</v>
      </c>
    </row>
    <row r="2712" spans="1:5" x14ac:dyDescent="0.25">
      <c r="A2712" s="11" t="s">
        <v>1875</v>
      </c>
      <c r="B2712" s="11" t="s">
        <v>24</v>
      </c>
      <c r="C2712" s="11" t="s">
        <v>39</v>
      </c>
      <c r="D2712" s="12">
        <v>911</v>
      </c>
      <c r="E2712" s="13">
        <v>4</v>
      </c>
    </row>
    <row r="2713" spans="1:5" x14ac:dyDescent="0.25">
      <c r="A2713" s="11" t="s">
        <v>90</v>
      </c>
      <c r="B2713" s="11" t="s">
        <v>24</v>
      </c>
      <c r="C2713" s="11" t="s">
        <v>44</v>
      </c>
      <c r="D2713" s="12">
        <v>912</v>
      </c>
      <c r="E2713" s="13">
        <v>2</v>
      </c>
    </row>
    <row r="2714" spans="1:5" x14ac:dyDescent="0.25">
      <c r="A2714" s="11" t="s">
        <v>275</v>
      </c>
      <c r="B2714" s="11" t="s">
        <v>24</v>
      </c>
      <c r="C2714" s="11" t="s">
        <v>30</v>
      </c>
      <c r="D2714" s="12">
        <v>912</v>
      </c>
      <c r="E2714" s="13">
        <v>0</v>
      </c>
    </row>
    <row r="2715" spans="1:5" x14ac:dyDescent="0.25">
      <c r="A2715" s="11" t="s">
        <v>59</v>
      </c>
      <c r="B2715" s="11" t="s">
        <v>24</v>
      </c>
      <c r="C2715" s="11" t="s">
        <v>27</v>
      </c>
      <c r="D2715" s="12">
        <v>913</v>
      </c>
      <c r="E2715" s="13">
        <v>2</v>
      </c>
    </row>
    <row r="2716" spans="1:5" x14ac:dyDescent="0.25">
      <c r="A2716" s="11" t="s">
        <v>829</v>
      </c>
      <c r="B2716" s="11" t="s">
        <v>20</v>
      </c>
      <c r="C2716" s="11" t="s">
        <v>44</v>
      </c>
      <c r="D2716" s="12">
        <v>913</v>
      </c>
      <c r="E2716" s="13">
        <v>0</v>
      </c>
    </row>
    <row r="2717" spans="1:5" x14ac:dyDescent="0.25">
      <c r="A2717" s="11" t="s">
        <v>1041</v>
      </c>
      <c r="B2717" s="11" t="s">
        <v>24</v>
      </c>
      <c r="C2717" s="11" t="s">
        <v>39</v>
      </c>
      <c r="D2717" s="12">
        <v>913</v>
      </c>
      <c r="E2717" s="13">
        <v>0</v>
      </c>
    </row>
    <row r="2718" spans="1:5" x14ac:dyDescent="0.25">
      <c r="A2718" s="11" t="s">
        <v>1051</v>
      </c>
      <c r="B2718" s="11" t="s">
        <v>20</v>
      </c>
      <c r="C2718" s="11" t="s">
        <v>39</v>
      </c>
      <c r="D2718" s="12">
        <v>913</v>
      </c>
      <c r="E2718" s="13">
        <v>2</v>
      </c>
    </row>
    <row r="2719" spans="1:5" x14ac:dyDescent="0.25">
      <c r="A2719" s="11" t="s">
        <v>1327</v>
      </c>
      <c r="B2719" s="11" t="s">
        <v>24</v>
      </c>
      <c r="C2719" s="11" t="s">
        <v>21</v>
      </c>
      <c r="D2719" s="12">
        <v>913</v>
      </c>
      <c r="E2719" s="13">
        <v>3</v>
      </c>
    </row>
    <row r="2720" spans="1:5" x14ac:dyDescent="0.25">
      <c r="A2720" s="11" t="s">
        <v>1352</v>
      </c>
      <c r="B2720" s="11" t="s">
        <v>24</v>
      </c>
      <c r="C2720" s="11" t="s">
        <v>27</v>
      </c>
      <c r="D2720" s="12">
        <v>913</v>
      </c>
      <c r="E2720" s="13">
        <v>0</v>
      </c>
    </row>
    <row r="2721" spans="1:5" x14ac:dyDescent="0.25">
      <c r="A2721" s="11" t="s">
        <v>1473</v>
      </c>
      <c r="B2721" s="11" t="s">
        <v>24</v>
      </c>
      <c r="C2721" s="11" t="s">
        <v>44</v>
      </c>
      <c r="D2721" s="12">
        <v>913</v>
      </c>
      <c r="E2721" s="13">
        <v>0</v>
      </c>
    </row>
    <row r="2722" spans="1:5" x14ac:dyDescent="0.25">
      <c r="A2722" s="11" t="s">
        <v>660</v>
      </c>
      <c r="B2722" s="11" t="s">
        <v>20</v>
      </c>
      <c r="C2722" s="11" t="s">
        <v>43</v>
      </c>
      <c r="D2722" s="12">
        <v>914</v>
      </c>
      <c r="E2722" s="13">
        <v>0</v>
      </c>
    </row>
    <row r="2723" spans="1:5" x14ac:dyDescent="0.25">
      <c r="A2723" s="11" t="s">
        <v>766</v>
      </c>
      <c r="B2723" s="11" t="s">
        <v>24</v>
      </c>
      <c r="C2723" s="11" t="s">
        <v>27</v>
      </c>
      <c r="D2723" s="12">
        <v>914</v>
      </c>
      <c r="E2723" s="13">
        <v>3</v>
      </c>
    </row>
    <row r="2724" spans="1:5" x14ac:dyDescent="0.25">
      <c r="A2724" s="11" t="s">
        <v>1019</v>
      </c>
      <c r="B2724" s="11" t="s">
        <v>24</v>
      </c>
      <c r="C2724" s="11" t="s">
        <v>30</v>
      </c>
      <c r="D2724" s="12">
        <v>914</v>
      </c>
      <c r="E2724" s="13">
        <v>5</v>
      </c>
    </row>
    <row r="2725" spans="1:5" x14ac:dyDescent="0.25">
      <c r="A2725" s="11" t="s">
        <v>1131</v>
      </c>
      <c r="B2725" s="11" t="s">
        <v>24</v>
      </c>
      <c r="C2725" s="11" t="s">
        <v>28</v>
      </c>
      <c r="D2725" s="12">
        <v>914</v>
      </c>
      <c r="E2725" s="13">
        <v>1</v>
      </c>
    </row>
    <row r="2726" spans="1:5" x14ac:dyDescent="0.25">
      <c r="A2726" s="11" t="s">
        <v>437</v>
      </c>
      <c r="B2726" s="11" t="s">
        <v>26</v>
      </c>
      <c r="C2726" s="11" t="s">
        <v>27</v>
      </c>
      <c r="D2726" s="12">
        <v>915</v>
      </c>
      <c r="E2726" s="13">
        <v>0</v>
      </c>
    </row>
    <row r="2727" spans="1:5" x14ac:dyDescent="0.25">
      <c r="A2727" s="11" t="s">
        <v>1791</v>
      </c>
      <c r="B2727" s="11" t="s">
        <v>20</v>
      </c>
      <c r="C2727" s="11" t="s">
        <v>30</v>
      </c>
      <c r="D2727" s="12">
        <v>915</v>
      </c>
      <c r="E2727" s="13">
        <v>3</v>
      </c>
    </row>
    <row r="2728" spans="1:5" x14ac:dyDescent="0.25">
      <c r="A2728" s="11" t="s">
        <v>503</v>
      </c>
      <c r="B2728" s="11" t="s">
        <v>20</v>
      </c>
      <c r="C2728" s="11" t="s">
        <v>32</v>
      </c>
      <c r="D2728" s="12">
        <v>916</v>
      </c>
      <c r="E2728" s="13">
        <v>2</v>
      </c>
    </row>
    <row r="2729" spans="1:5" x14ac:dyDescent="0.25">
      <c r="A2729" s="11" t="s">
        <v>719</v>
      </c>
      <c r="B2729" s="11" t="s">
        <v>20</v>
      </c>
      <c r="C2729" s="11" t="s">
        <v>39</v>
      </c>
      <c r="D2729" s="12">
        <v>916</v>
      </c>
      <c r="E2729" s="13">
        <v>0</v>
      </c>
    </row>
    <row r="2730" spans="1:5" x14ac:dyDescent="0.25">
      <c r="A2730" s="11" t="s">
        <v>1626</v>
      </c>
      <c r="B2730" s="11" t="s">
        <v>26</v>
      </c>
      <c r="C2730" s="11" t="s">
        <v>27</v>
      </c>
      <c r="D2730" s="12">
        <v>916</v>
      </c>
      <c r="E2730" s="13">
        <v>2</v>
      </c>
    </row>
    <row r="2731" spans="1:5" x14ac:dyDescent="0.25">
      <c r="A2731" s="11" t="s">
        <v>1078</v>
      </c>
      <c r="B2731" s="11" t="s">
        <v>26</v>
      </c>
      <c r="C2731" s="11" t="s">
        <v>27</v>
      </c>
      <c r="D2731" s="12">
        <v>917</v>
      </c>
      <c r="E2731" s="13">
        <v>1</v>
      </c>
    </row>
    <row r="2732" spans="1:5" x14ac:dyDescent="0.25">
      <c r="A2732" s="11" t="s">
        <v>1289</v>
      </c>
      <c r="B2732" s="11" t="s">
        <v>20</v>
      </c>
      <c r="C2732" s="11" t="s">
        <v>39</v>
      </c>
      <c r="D2732" s="12">
        <v>917</v>
      </c>
      <c r="E2732" s="13">
        <v>0</v>
      </c>
    </row>
    <row r="2733" spans="1:5" x14ac:dyDescent="0.25">
      <c r="A2733" s="11" t="s">
        <v>1603</v>
      </c>
      <c r="B2733" s="11" t="s">
        <v>24</v>
      </c>
      <c r="C2733" s="11" t="s">
        <v>27</v>
      </c>
      <c r="D2733" s="12">
        <v>917</v>
      </c>
      <c r="E2733" s="13">
        <v>0</v>
      </c>
    </row>
    <row r="2734" spans="1:5" x14ac:dyDescent="0.25">
      <c r="A2734" s="11" t="s">
        <v>391</v>
      </c>
      <c r="B2734" s="11" t="s">
        <v>26</v>
      </c>
      <c r="C2734" s="11" t="s">
        <v>62</v>
      </c>
      <c r="D2734" s="12">
        <v>918</v>
      </c>
      <c r="E2734" s="13">
        <v>4</v>
      </c>
    </row>
    <row r="2735" spans="1:5" x14ac:dyDescent="0.25">
      <c r="A2735" s="11" t="s">
        <v>1801</v>
      </c>
      <c r="B2735" s="11" t="s">
        <v>24</v>
      </c>
      <c r="C2735" s="11" t="s">
        <v>30</v>
      </c>
      <c r="D2735" s="12">
        <v>918</v>
      </c>
      <c r="E2735" s="13">
        <v>0</v>
      </c>
    </row>
    <row r="2736" spans="1:5" x14ac:dyDescent="0.25">
      <c r="A2736" s="11" t="s">
        <v>148</v>
      </c>
      <c r="B2736" s="11" t="s">
        <v>26</v>
      </c>
      <c r="C2736" s="11" t="s">
        <v>5</v>
      </c>
      <c r="D2736" s="12">
        <v>919</v>
      </c>
      <c r="E2736" s="13">
        <v>2</v>
      </c>
    </row>
    <row r="2737" spans="1:5" x14ac:dyDescent="0.25">
      <c r="A2737" s="11" t="s">
        <v>1277</v>
      </c>
      <c r="B2737" s="11" t="s">
        <v>26</v>
      </c>
      <c r="C2737" s="11" t="s">
        <v>44</v>
      </c>
      <c r="D2737" s="12">
        <v>919</v>
      </c>
      <c r="E2737" s="13">
        <v>4</v>
      </c>
    </row>
    <row r="2738" spans="1:5" x14ac:dyDescent="0.25">
      <c r="A2738" s="11" t="s">
        <v>1474</v>
      </c>
      <c r="B2738" s="11" t="s">
        <v>20</v>
      </c>
      <c r="C2738" s="11" t="s">
        <v>39</v>
      </c>
      <c r="D2738" s="12">
        <v>919</v>
      </c>
      <c r="E2738" s="13">
        <v>0</v>
      </c>
    </row>
    <row r="2739" spans="1:5" x14ac:dyDescent="0.25">
      <c r="A2739" s="11" t="s">
        <v>1844</v>
      </c>
      <c r="B2739" s="11" t="s">
        <v>24</v>
      </c>
      <c r="C2739" s="11" t="s">
        <v>25</v>
      </c>
      <c r="D2739" s="12">
        <v>919</v>
      </c>
      <c r="E2739" s="13">
        <v>4</v>
      </c>
    </row>
    <row r="2740" spans="1:5" x14ac:dyDescent="0.25">
      <c r="A2740" s="11" t="s">
        <v>61</v>
      </c>
      <c r="B2740" s="11" t="s">
        <v>26</v>
      </c>
      <c r="C2740" s="11" t="s">
        <v>62</v>
      </c>
      <c r="D2740" s="12">
        <v>920</v>
      </c>
      <c r="E2740" s="13">
        <v>0</v>
      </c>
    </row>
    <row r="2741" spans="1:5" x14ac:dyDescent="0.25">
      <c r="A2741" s="11" t="s">
        <v>284</v>
      </c>
      <c r="B2741" s="11" t="s">
        <v>20</v>
      </c>
      <c r="C2741" s="11" t="s">
        <v>53</v>
      </c>
      <c r="D2741" s="12">
        <v>920</v>
      </c>
      <c r="E2741" s="13">
        <v>11</v>
      </c>
    </row>
    <row r="2742" spans="1:5" x14ac:dyDescent="0.25">
      <c r="A2742" s="11" t="s">
        <v>570</v>
      </c>
      <c r="B2742" s="11" t="s">
        <v>24</v>
      </c>
      <c r="C2742" s="11" t="s">
        <v>39</v>
      </c>
      <c r="D2742" s="12">
        <v>920</v>
      </c>
      <c r="E2742" s="13">
        <v>0</v>
      </c>
    </row>
    <row r="2743" spans="1:5" x14ac:dyDescent="0.25">
      <c r="A2743" s="11" t="s">
        <v>794</v>
      </c>
      <c r="B2743" s="11" t="s">
        <v>20</v>
      </c>
      <c r="C2743" s="11" t="s">
        <v>40</v>
      </c>
      <c r="D2743" s="12">
        <v>920</v>
      </c>
      <c r="E2743" s="13">
        <v>8</v>
      </c>
    </row>
    <row r="2744" spans="1:5" x14ac:dyDescent="0.25">
      <c r="A2744" s="11" t="s">
        <v>830</v>
      </c>
      <c r="B2744" s="11" t="s">
        <v>24</v>
      </c>
      <c r="C2744" s="11" t="s">
        <v>21</v>
      </c>
      <c r="D2744" s="12">
        <v>920</v>
      </c>
      <c r="E2744" s="13">
        <v>13</v>
      </c>
    </row>
    <row r="2745" spans="1:5" x14ac:dyDescent="0.25">
      <c r="A2745" s="11" t="s">
        <v>938</v>
      </c>
      <c r="B2745" s="11" t="s">
        <v>26</v>
      </c>
      <c r="C2745" s="11" t="s">
        <v>53</v>
      </c>
      <c r="D2745" s="12">
        <v>920</v>
      </c>
      <c r="E2745" s="13">
        <v>13</v>
      </c>
    </row>
    <row r="2746" spans="1:5" x14ac:dyDescent="0.25">
      <c r="A2746" s="11" t="s">
        <v>1175</v>
      </c>
      <c r="B2746" s="11" t="s">
        <v>20</v>
      </c>
      <c r="C2746" s="11" t="s">
        <v>34</v>
      </c>
      <c r="D2746" s="12">
        <v>920</v>
      </c>
      <c r="E2746" s="13">
        <v>0</v>
      </c>
    </row>
    <row r="2747" spans="1:5" x14ac:dyDescent="0.25">
      <c r="A2747" s="11" t="s">
        <v>1642</v>
      </c>
      <c r="B2747" s="11" t="s">
        <v>26</v>
      </c>
      <c r="C2747" s="11" t="s">
        <v>25</v>
      </c>
      <c r="D2747" s="12">
        <v>920</v>
      </c>
      <c r="E2747" s="13">
        <v>10</v>
      </c>
    </row>
    <row r="2748" spans="1:5" x14ac:dyDescent="0.25">
      <c r="A2748" s="11" t="s">
        <v>198</v>
      </c>
      <c r="B2748" s="11" t="s">
        <v>20</v>
      </c>
      <c r="C2748" s="11" t="s">
        <v>27</v>
      </c>
      <c r="D2748" s="12">
        <v>921</v>
      </c>
      <c r="E2748" s="13">
        <v>0</v>
      </c>
    </row>
    <row r="2749" spans="1:5" x14ac:dyDescent="0.25">
      <c r="A2749" s="11" t="s">
        <v>1118</v>
      </c>
      <c r="B2749" s="11" t="s">
        <v>20</v>
      </c>
      <c r="C2749" s="11" t="s">
        <v>39</v>
      </c>
      <c r="D2749" s="12">
        <v>921</v>
      </c>
      <c r="E2749" s="13">
        <v>0</v>
      </c>
    </row>
    <row r="2750" spans="1:5" x14ac:dyDescent="0.25">
      <c r="A2750" s="11" t="s">
        <v>1441</v>
      </c>
      <c r="B2750" s="11" t="s">
        <v>20</v>
      </c>
      <c r="C2750" s="11" t="s">
        <v>30</v>
      </c>
      <c r="D2750" s="12">
        <v>921</v>
      </c>
      <c r="E2750" s="13">
        <v>0</v>
      </c>
    </row>
    <row r="2751" spans="1:5" x14ac:dyDescent="0.25">
      <c r="A2751" s="11" t="s">
        <v>1563</v>
      </c>
      <c r="B2751" s="11" t="s">
        <v>24</v>
      </c>
      <c r="C2751" s="11" t="s">
        <v>27</v>
      </c>
      <c r="D2751" s="12">
        <v>921</v>
      </c>
      <c r="E2751" s="13">
        <v>4</v>
      </c>
    </row>
    <row r="2752" spans="1:5" x14ac:dyDescent="0.25">
      <c r="A2752" s="11" t="s">
        <v>82</v>
      </c>
      <c r="B2752" s="11" t="s">
        <v>24</v>
      </c>
      <c r="C2752" s="11" t="s">
        <v>22</v>
      </c>
      <c r="D2752" s="12">
        <v>922</v>
      </c>
      <c r="E2752" s="13">
        <v>4</v>
      </c>
    </row>
    <row r="2753" spans="1:5" x14ac:dyDescent="0.25">
      <c r="A2753" s="11" t="s">
        <v>1474</v>
      </c>
      <c r="B2753" s="11" t="s">
        <v>24</v>
      </c>
      <c r="C2753" s="11" t="s">
        <v>44</v>
      </c>
      <c r="D2753" s="12">
        <v>922</v>
      </c>
      <c r="E2753" s="13">
        <v>0</v>
      </c>
    </row>
    <row r="2754" spans="1:5" x14ac:dyDescent="0.25">
      <c r="A2754" s="11" t="s">
        <v>1928</v>
      </c>
      <c r="B2754" s="11" t="s">
        <v>24</v>
      </c>
      <c r="C2754" s="11" t="s">
        <v>28</v>
      </c>
      <c r="D2754" s="12">
        <v>922</v>
      </c>
      <c r="E2754" s="13">
        <v>0</v>
      </c>
    </row>
    <row r="2755" spans="1:5" x14ac:dyDescent="0.25">
      <c r="A2755" s="11" t="s">
        <v>458</v>
      </c>
      <c r="B2755" s="11" t="s">
        <v>24</v>
      </c>
      <c r="C2755" s="11" t="s">
        <v>40</v>
      </c>
      <c r="D2755" s="12">
        <v>923</v>
      </c>
      <c r="E2755" s="13">
        <v>1</v>
      </c>
    </row>
    <row r="2756" spans="1:5" x14ac:dyDescent="0.25">
      <c r="A2756" s="11" t="s">
        <v>600</v>
      </c>
      <c r="B2756" s="11" t="s">
        <v>20</v>
      </c>
      <c r="C2756" s="11" t="s">
        <v>5</v>
      </c>
      <c r="D2756" s="12">
        <v>923</v>
      </c>
      <c r="E2756" s="13">
        <v>2</v>
      </c>
    </row>
    <row r="2757" spans="1:5" x14ac:dyDescent="0.25">
      <c r="A2757" s="11" t="s">
        <v>621</v>
      </c>
      <c r="B2757" s="11" t="s">
        <v>24</v>
      </c>
      <c r="C2757" s="11" t="s">
        <v>28</v>
      </c>
      <c r="D2757" s="12">
        <v>923</v>
      </c>
      <c r="E2757" s="13">
        <v>0</v>
      </c>
    </row>
    <row r="2758" spans="1:5" x14ac:dyDescent="0.25">
      <c r="A2758" s="11" t="s">
        <v>471</v>
      </c>
      <c r="B2758" s="11" t="s">
        <v>24</v>
      </c>
      <c r="C2758" s="11" t="s">
        <v>62</v>
      </c>
      <c r="D2758" s="12">
        <v>924</v>
      </c>
      <c r="E2758" s="13">
        <v>7</v>
      </c>
    </row>
    <row r="2759" spans="1:5" x14ac:dyDescent="0.25">
      <c r="A2759" s="11" t="s">
        <v>790</v>
      </c>
      <c r="B2759" s="11" t="s">
        <v>24</v>
      </c>
      <c r="C2759" s="11" t="s">
        <v>21</v>
      </c>
      <c r="D2759" s="12">
        <v>924</v>
      </c>
      <c r="E2759" s="13">
        <v>0</v>
      </c>
    </row>
    <row r="2760" spans="1:5" x14ac:dyDescent="0.25">
      <c r="A2760" s="11" t="s">
        <v>908</v>
      </c>
      <c r="B2760" s="11" t="s">
        <v>26</v>
      </c>
      <c r="C2760" s="11" t="s">
        <v>32</v>
      </c>
      <c r="D2760" s="12">
        <v>924</v>
      </c>
      <c r="E2760" s="13">
        <v>2</v>
      </c>
    </row>
    <row r="2761" spans="1:5" x14ac:dyDescent="0.25">
      <c r="A2761" s="11" t="s">
        <v>1278</v>
      </c>
      <c r="B2761" s="11" t="s">
        <v>24</v>
      </c>
      <c r="C2761" s="11" t="s">
        <v>30</v>
      </c>
      <c r="D2761" s="12">
        <v>924</v>
      </c>
      <c r="E2761" s="13">
        <v>0</v>
      </c>
    </row>
    <row r="2762" spans="1:5" x14ac:dyDescent="0.25">
      <c r="A2762" s="11" t="s">
        <v>1849</v>
      </c>
      <c r="B2762" s="11" t="s">
        <v>24</v>
      </c>
      <c r="C2762" s="11" t="s">
        <v>34</v>
      </c>
      <c r="D2762" s="12">
        <v>924</v>
      </c>
      <c r="E2762" s="13">
        <v>2</v>
      </c>
    </row>
    <row r="2763" spans="1:5" x14ac:dyDescent="0.25">
      <c r="A2763" s="11" t="s">
        <v>156</v>
      </c>
      <c r="B2763" s="11" t="s">
        <v>20</v>
      </c>
      <c r="C2763" s="11" t="s">
        <v>27</v>
      </c>
      <c r="D2763" s="12">
        <v>925</v>
      </c>
      <c r="E2763" s="13">
        <v>1</v>
      </c>
    </row>
    <row r="2764" spans="1:5" x14ac:dyDescent="0.25">
      <c r="A2764" s="11" t="s">
        <v>558</v>
      </c>
      <c r="B2764" s="11" t="s">
        <v>26</v>
      </c>
      <c r="C2764" s="11" t="s">
        <v>66</v>
      </c>
      <c r="D2764" s="12">
        <v>925</v>
      </c>
      <c r="E2764" s="13">
        <v>1</v>
      </c>
    </row>
    <row r="2765" spans="1:5" x14ac:dyDescent="0.25">
      <c r="A2765" s="11" t="s">
        <v>1790</v>
      </c>
      <c r="B2765" s="11" t="s">
        <v>26</v>
      </c>
      <c r="C2765" s="11" t="s">
        <v>5</v>
      </c>
      <c r="D2765" s="12">
        <v>925</v>
      </c>
      <c r="E2765" s="13">
        <v>1</v>
      </c>
    </row>
    <row r="2766" spans="1:5" x14ac:dyDescent="0.25">
      <c r="A2766" s="11" t="s">
        <v>50</v>
      </c>
      <c r="B2766" s="11" t="s">
        <v>24</v>
      </c>
      <c r="C2766" s="11" t="s">
        <v>28</v>
      </c>
      <c r="D2766" s="12">
        <v>926</v>
      </c>
      <c r="E2766" s="13">
        <v>0</v>
      </c>
    </row>
    <row r="2767" spans="1:5" x14ac:dyDescent="0.25">
      <c r="A2767" s="11" t="s">
        <v>626</v>
      </c>
      <c r="B2767" s="11" t="s">
        <v>20</v>
      </c>
      <c r="C2767" s="11" t="s">
        <v>34</v>
      </c>
      <c r="D2767" s="12">
        <v>926</v>
      </c>
      <c r="E2767" s="13">
        <v>3</v>
      </c>
    </row>
    <row r="2768" spans="1:5" x14ac:dyDescent="0.25">
      <c r="A2768" s="11" t="s">
        <v>220</v>
      </c>
      <c r="B2768" s="11" t="s">
        <v>20</v>
      </c>
      <c r="C2768" s="11" t="s">
        <v>44</v>
      </c>
      <c r="D2768" s="12">
        <v>927</v>
      </c>
      <c r="E2768" s="13">
        <v>1</v>
      </c>
    </row>
    <row r="2769" spans="1:5" x14ac:dyDescent="0.25">
      <c r="A2769" s="11" t="s">
        <v>302</v>
      </c>
      <c r="B2769" s="11" t="s">
        <v>24</v>
      </c>
      <c r="C2769" s="11" t="s">
        <v>44</v>
      </c>
      <c r="D2769" s="12">
        <v>927</v>
      </c>
      <c r="E2769" s="13">
        <v>1</v>
      </c>
    </row>
    <row r="2770" spans="1:5" x14ac:dyDescent="0.25">
      <c r="A2770" s="11" t="s">
        <v>423</v>
      </c>
      <c r="B2770" s="11" t="s">
        <v>20</v>
      </c>
      <c r="C2770" s="11" t="s">
        <v>28</v>
      </c>
      <c r="D2770" s="12">
        <v>927</v>
      </c>
      <c r="E2770" s="13">
        <v>2</v>
      </c>
    </row>
    <row r="2771" spans="1:5" x14ac:dyDescent="0.25">
      <c r="A2771" s="11" t="s">
        <v>1396</v>
      </c>
      <c r="B2771" s="11" t="s">
        <v>26</v>
      </c>
      <c r="C2771" s="11" t="s">
        <v>5</v>
      </c>
      <c r="D2771" s="12">
        <v>927</v>
      </c>
      <c r="E2771" s="13">
        <v>1</v>
      </c>
    </row>
    <row r="2772" spans="1:5" x14ac:dyDescent="0.25">
      <c r="A2772" s="11" t="s">
        <v>562</v>
      </c>
      <c r="B2772" s="11" t="s">
        <v>26</v>
      </c>
      <c r="C2772" s="11" t="s">
        <v>44</v>
      </c>
      <c r="D2772" s="12">
        <v>928</v>
      </c>
      <c r="E2772" s="13">
        <v>1</v>
      </c>
    </row>
    <row r="2773" spans="1:5" x14ac:dyDescent="0.25">
      <c r="A2773" s="11" t="s">
        <v>887</v>
      </c>
      <c r="B2773" s="11" t="s">
        <v>24</v>
      </c>
      <c r="C2773" s="11" t="s">
        <v>53</v>
      </c>
      <c r="D2773" s="12">
        <v>928</v>
      </c>
      <c r="E2773" s="13">
        <v>3</v>
      </c>
    </row>
    <row r="2774" spans="1:5" x14ac:dyDescent="0.25">
      <c r="A2774" s="11" t="s">
        <v>925</v>
      </c>
      <c r="B2774" s="11" t="s">
        <v>24</v>
      </c>
      <c r="C2774" s="11" t="s">
        <v>44</v>
      </c>
      <c r="D2774" s="12">
        <v>928</v>
      </c>
      <c r="E2774" s="13">
        <v>2</v>
      </c>
    </row>
    <row r="2775" spans="1:5" x14ac:dyDescent="0.25">
      <c r="A2775" s="11" t="s">
        <v>1144</v>
      </c>
      <c r="B2775" s="11" t="s">
        <v>20</v>
      </c>
      <c r="C2775" s="11" t="s">
        <v>5</v>
      </c>
      <c r="D2775" s="12">
        <v>928</v>
      </c>
      <c r="E2775" s="13">
        <v>0</v>
      </c>
    </row>
    <row r="2776" spans="1:5" x14ac:dyDescent="0.25">
      <c r="A2776" s="11" t="s">
        <v>1216</v>
      </c>
      <c r="B2776" s="11" t="s">
        <v>26</v>
      </c>
      <c r="C2776" s="11" t="s">
        <v>30</v>
      </c>
      <c r="D2776" s="12">
        <v>928</v>
      </c>
      <c r="E2776" s="13">
        <v>0</v>
      </c>
    </row>
    <row r="2777" spans="1:5" x14ac:dyDescent="0.25">
      <c r="A2777" s="11" t="s">
        <v>1610</v>
      </c>
      <c r="B2777" s="11" t="s">
        <v>26</v>
      </c>
      <c r="C2777" s="11" t="s">
        <v>43</v>
      </c>
      <c r="D2777" s="12">
        <v>928</v>
      </c>
      <c r="E2777" s="13">
        <v>0</v>
      </c>
    </row>
    <row r="2778" spans="1:5" x14ac:dyDescent="0.25">
      <c r="A2778" s="11" t="s">
        <v>284</v>
      </c>
      <c r="B2778" s="11" t="s">
        <v>20</v>
      </c>
      <c r="C2778" s="11" t="s">
        <v>27</v>
      </c>
      <c r="D2778" s="12">
        <v>929</v>
      </c>
      <c r="E2778" s="13">
        <v>0</v>
      </c>
    </row>
    <row r="2779" spans="1:5" x14ac:dyDescent="0.25">
      <c r="A2779" s="11" t="s">
        <v>303</v>
      </c>
      <c r="B2779" s="11" t="s">
        <v>24</v>
      </c>
      <c r="C2779" s="11" t="s">
        <v>66</v>
      </c>
      <c r="D2779" s="12">
        <v>929</v>
      </c>
      <c r="E2779" s="13">
        <v>0</v>
      </c>
    </row>
    <row r="2780" spans="1:5" x14ac:dyDescent="0.25">
      <c r="A2780" s="11" t="s">
        <v>409</v>
      </c>
      <c r="B2780" s="11" t="s">
        <v>20</v>
      </c>
      <c r="C2780" s="11" t="s">
        <v>27</v>
      </c>
      <c r="D2780" s="12">
        <v>929</v>
      </c>
      <c r="E2780" s="13">
        <v>0</v>
      </c>
    </row>
    <row r="2781" spans="1:5" x14ac:dyDescent="0.25">
      <c r="A2781" s="11" t="s">
        <v>427</v>
      </c>
      <c r="B2781" s="11" t="s">
        <v>24</v>
      </c>
      <c r="C2781" s="11" t="s">
        <v>62</v>
      </c>
      <c r="D2781" s="12">
        <v>929</v>
      </c>
      <c r="E2781" s="13">
        <v>1</v>
      </c>
    </row>
    <row r="2782" spans="1:5" x14ac:dyDescent="0.25">
      <c r="A2782" s="11" t="s">
        <v>731</v>
      </c>
      <c r="B2782" s="11" t="s">
        <v>20</v>
      </c>
      <c r="C2782" s="11" t="s">
        <v>21</v>
      </c>
      <c r="D2782" s="12">
        <v>930</v>
      </c>
      <c r="E2782" s="13">
        <v>0</v>
      </c>
    </row>
    <row r="2783" spans="1:5" x14ac:dyDescent="0.25">
      <c r="A2783" s="11" t="s">
        <v>1479</v>
      </c>
      <c r="B2783" s="11" t="s">
        <v>24</v>
      </c>
      <c r="C2783" s="11" t="s">
        <v>5</v>
      </c>
      <c r="D2783" s="12">
        <v>930</v>
      </c>
      <c r="E2783" s="13">
        <v>2</v>
      </c>
    </row>
    <row r="2784" spans="1:5" x14ac:dyDescent="0.25">
      <c r="A2784" s="11" t="s">
        <v>1862</v>
      </c>
      <c r="B2784" s="11" t="s">
        <v>24</v>
      </c>
      <c r="C2784" s="11" t="s">
        <v>33</v>
      </c>
      <c r="D2784" s="12">
        <v>930</v>
      </c>
      <c r="E2784" s="13">
        <v>0</v>
      </c>
    </row>
    <row r="2785" spans="1:5" x14ac:dyDescent="0.25">
      <c r="A2785" s="11" t="s">
        <v>229</v>
      </c>
      <c r="B2785" s="11" t="s">
        <v>26</v>
      </c>
      <c r="C2785" s="11" t="s">
        <v>44</v>
      </c>
      <c r="D2785" s="12">
        <v>931</v>
      </c>
      <c r="E2785" s="13">
        <v>0</v>
      </c>
    </row>
    <row r="2786" spans="1:5" x14ac:dyDescent="0.25">
      <c r="A2786" s="11" t="s">
        <v>280</v>
      </c>
      <c r="B2786" s="11" t="s">
        <v>26</v>
      </c>
      <c r="C2786" s="11" t="s">
        <v>39</v>
      </c>
      <c r="D2786" s="12">
        <v>931</v>
      </c>
      <c r="E2786" s="13">
        <v>2</v>
      </c>
    </row>
    <row r="2787" spans="1:5" x14ac:dyDescent="0.25">
      <c r="A2787" s="11" t="s">
        <v>547</v>
      </c>
      <c r="B2787" s="11" t="s">
        <v>20</v>
      </c>
      <c r="C2787" s="11" t="s">
        <v>33</v>
      </c>
      <c r="D2787" s="12">
        <v>932</v>
      </c>
      <c r="E2787" s="13">
        <v>0</v>
      </c>
    </row>
    <row r="2788" spans="1:5" x14ac:dyDescent="0.25">
      <c r="A2788" s="11" t="s">
        <v>631</v>
      </c>
      <c r="B2788" s="11" t="s">
        <v>24</v>
      </c>
      <c r="C2788" s="11" t="s">
        <v>62</v>
      </c>
      <c r="D2788" s="12">
        <v>932</v>
      </c>
      <c r="E2788" s="13">
        <v>6</v>
      </c>
    </row>
    <row r="2789" spans="1:5" x14ac:dyDescent="0.25">
      <c r="A2789" s="11" t="s">
        <v>1378</v>
      </c>
      <c r="B2789" s="11" t="s">
        <v>24</v>
      </c>
      <c r="C2789" s="11" t="s">
        <v>44</v>
      </c>
      <c r="D2789" s="12">
        <v>932</v>
      </c>
      <c r="E2789" s="13">
        <v>2</v>
      </c>
    </row>
    <row r="2790" spans="1:5" x14ac:dyDescent="0.25">
      <c r="A2790" s="11" t="s">
        <v>1599</v>
      </c>
      <c r="B2790" s="11" t="s">
        <v>20</v>
      </c>
      <c r="C2790" s="11" t="s">
        <v>28</v>
      </c>
      <c r="D2790" s="12">
        <v>932</v>
      </c>
      <c r="E2790" s="13">
        <v>0</v>
      </c>
    </row>
    <row r="2791" spans="1:5" x14ac:dyDescent="0.25">
      <c r="A2791" s="11" t="s">
        <v>1573</v>
      </c>
      <c r="B2791" s="11" t="s">
        <v>26</v>
      </c>
      <c r="C2791" s="11" t="s">
        <v>34</v>
      </c>
      <c r="D2791" s="12">
        <v>933</v>
      </c>
      <c r="E2791" s="13">
        <v>14</v>
      </c>
    </row>
    <row r="2792" spans="1:5" x14ac:dyDescent="0.25">
      <c r="A2792" s="11" t="s">
        <v>307</v>
      </c>
      <c r="B2792" s="11" t="s">
        <v>24</v>
      </c>
      <c r="C2792" s="11" t="s">
        <v>25</v>
      </c>
      <c r="D2792" s="12">
        <v>934</v>
      </c>
      <c r="E2792" s="13">
        <v>5</v>
      </c>
    </row>
    <row r="2793" spans="1:5" x14ac:dyDescent="0.25">
      <c r="A2793" s="11" t="s">
        <v>350</v>
      </c>
      <c r="B2793" s="11" t="s">
        <v>26</v>
      </c>
      <c r="C2793" s="11" t="s">
        <v>111</v>
      </c>
      <c r="D2793" s="12">
        <v>934</v>
      </c>
      <c r="E2793" s="13">
        <v>4</v>
      </c>
    </row>
    <row r="2794" spans="1:5" x14ac:dyDescent="0.25">
      <c r="A2794" s="11" t="s">
        <v>1363</v>
      </c>
      <c r="B2794" s="11" t="s">
        <v>24</v>
      </c>
      <c r="C2794" s="11" t="s">
        <v>111</v>
      </c>
      <c r="D2794" s="12">
        <v>934</v>
      </c>
      <c r="E2794" s="13">
        <v>0</v>
      </c>
    </row>
    <row r="2795" spans="1:5" x14ac:dyDescent="0.25">
      <c r="A2795" s="11" t="s">
        <v>1419</v>
      </c>
      <c r="B2795" s="11" t="s">
        <v>26</v>
      </c>
      <c r="C2795" s="11" t="s">
        <v>27</v>
      </c>
      <c r="D2795" s="12">
        <v>934</v>
      </c>
      <c r="E2795" s="13">
        <v>3</v>
      </c>
    </row>
    <row r="2796" spans="1:5" x14ac:dyDescent="0.25">
      <c r="A2796" s="11" t="s">
        <v>1842</v>
      </c>
      <c r="B2796" s="11" t="s">
        <v>20</v>
      </c>
      <c r="C2796" s="11" t="s">
        <v>53</v>
      </c>
      <c r="D2796" s="12">
        <v>934</v>
      </c>
      <c r="E2796" s="13">
        <v>1</v>
      </c>
    </row>
    <row r="2797" spans="1:5" x14ac:dyDescent="0.25">
      <c r="A2797" s="11" t="s">
        <v>175</v>
      </c>
      <c r="B2797" s="11" t="s">
        <v>26</v>
      </c>
      <c r="C2797" s="11" t="s">
        <v>21</v>
      </c>
      <c r="D2797" s="12">
        <v>935</v>
      </c>
      <c r="E2797" s="13">
        <v>0</v>
      </c>
    </row>
    <row r="2798" spans="1:5" x14ac:dyDescent="0.25">
      <c r="A2798" s="11" t="s">
        <v>392</v>
      </c>
      <c r="B2798" s="11" t="s">
        <v>26</v>
      </c>
      <c r="C2798" s="11" t="s">
        <v>27</v>
      </c>
      <c r="D2798" s="12">
        <v>935</v>
      </c>
      <c r="E2798" s="13">
        <v>2</v>
      </c>
    </row>
    <row r="2799" spans="1:5" x14ac:dyDescent="0.25">
      <c r="A2799" s="11" t="s">
        <v>401</v>
      </c>
      <c r="B2799" s="11" t="s">
        <v>20</v>
      </c>
      <c r="C2799" s="11" t="s">
        <v>27</v>
      </c>
      <c r="D2799" s="12">
        <v>935</v>
      </c>
      <c r="E2799" s="13">
        <v>0</v>
      </c>
    </row>
    <row r="2800" spans="1:5" x14ac:dyDescent="0.25">
      <c r="A2800" s="11" t="s">
        <v>784</v>
      </c>
      <c r="B2800" s="11" t="s">
        <v>26</v>
      </c>
      <c r="C2800" s="11" t="s">
        <v>28</v>
      </c>
      <c r="D2800" s="12">
        <v>935</v>
      </c>
      <c r="E2800" s="13">
        <v>0</v>
      </c>
    </row>
    <row r="2801" spans="1:5" x14ac:dyDescent="0.25">
      <c r="A2801" s="11" t="s">
        <v>908</v>
      </c>
      <c r="B2801" s="11" t="s">
        <v>20</v>
      </c>
      <c r="C2801" s="11" t="s">
        <v>39</v>
      </c>
      <c r="D2801" s="12">
        <v>935</v>
      </c>
      <c r="E2801" s="13">
        <v>3</v>
      </c>
    </row>
    <row r="2802" spans="1:5" x14ac:dyDescent="0.25">
      <c r="A2802" s="11" t="s">
        <v>309</v>
      </c>
      <c r="B2802" s="11" t="s">
        <v>24</v>
      </c>
      <c r="C2802" s="11" t="s">
        <v>5</v>
      </c>
      <c r="D2802" s="12">
        <v>936</v>
      </c>
      <c r="E2802" s="13">
        <v>0</v>
      </c>
    </row>
    <row r="2803" spans="1:5" x14ac:dyDescent="0.25">
      <c r="A2803" s="11" t="s">
        <v>1186</v>
      </c>
      <c r="B2803" s="11" t="s">
        <v>24</v>
      </c>
      <c r="C2803" s="11" t="s">
        <v>22</v>
      </c>
      <c r="D2803" s="12">
        <v>936</v>
      </c>
      <c r="E2803" s="13">
        <v>0</v>
      </c>
    </row>
    <row r="2804" spans="1:5" x14ac:dyDescent="0.25">
      <c r="A2804" s="11" t="s">
        <v>1655</v>
      </c>
      <c r="B2804" s="11" t="s">
        <v>24</v>
      </c>
      <c r="C2804" s="11" t="s">
        <v>5</v>
      </c>
      <c r="D2804" s="12">
        <v>936</v>
      </c>
      <c r="E2804" s="13">
        <v>2</v>
      </c>
    </row>
    <row r="2805" spans="1:5" x14ac:dyDescent="0.25">
      <c r="A2805" s="11" t="s">
        <v>1933</v>
      </c>
      <c r="B2805" s="11" t="s">
        <v>24</v>
      </c>
      <c r="C2805" s="11" t="s">
        <v>22</v>
      </c>
      <c r="D2805" s="12">
        <v>936</v>
      </c>
      <c r="E2805" s="13">
        <v>0</v>
      </c>
    </row>
    <row r="2806" spans="1:5" x14ac:dyDescent="0.25">
      <c r="A2806" s="11" t="s">
        <v>408</v>
      </c>
      <c r="B2806" s="11" t="s">
        <v>24</v>
      </c>
      <c r="C2806" s="11" t="s">
        <v>44</v>
      </c>
      <c r="D2806" s="12">
        <v>937</v>
      </c>
      <c r="E2806" s="13">
        <v>2</v>
      </c>
    </row>
    <row r="2807" spans="1:5" x14ac:dyDescent="0.25">
      <c r="A2807" s="11" t="s">
        <v>1150</v>
      </c>
      <c r="B2807" s="11" t="s">
        <v>26</v>
      </c>
      <c r="C2807" s="11" t="s">
        <v>39</v>
      </c>
      <c r="D2807" s="12">
        <v>937</v>
      </c>
      <c r="E2807" s="13">
        <v>5</v>
      </c>
    </row>
    <row r="2808" spans="1:5" x14ac:dyDescent="0.25">
      <c r="A2808" s="11" t="s">
        <v>294</v>
      </c>
      <c r="B2808" s="11" t="s">
        <v>24</v>
      </c>
      <c r="C2808" s="11" t="s">
        <v>30</v>
      </c>
      <c r="D2808" s="12">
        <v>938</v>
      </c>
      <c r="E2808" s="13">
        <v>2</v>
      </c>
    </row>
    <row r="2809" spans="1:5" x14ac:dyDescent="0.25">
      <c r="A2809" s="11" t="s">
        <v>452</v>
      </c>
      <c r="B2809" s="11" t="s">
        <v>24</v>
      </c>
      <c r="C2809" s="11" t="s">
        <v>25</v>
      </c>
      <c r="D2809" s="12">
        <v>938</v>
      </c>
      <c r="E2809" s="13">
        <v>0</v>
      </c>
    </row>
    <row r="2810" spans="1:5" x14ac:dyDescent="0.25">
      <c r="A2810" s="11" t="s">
        <v>1842</v>
      </c>
      <c r="B2810" s="11" t="s">
        <v>26</v>
      </c>
      <c r="C2810" s="11" t="s">
        <v>43</v>
      </c>
      <c r="D2810" s="12">
        <v>938</v>
      </c>
      <c r="E2810" s="13">
        <v>3</v>
      </c>
    </row>
    <row r="2811" spans="1:5" x14ac:dyDescent="0.25">
      <c r="A2811" s="11" t="s">
        <v>1232</v>
      </c>
      <c r="B2811" s="11" t="s">
        <v>20</v>
      </c>
      <c r="C2811" s="11" t="s">
        <v>44</v>
      </c>
      <c r="D2811" s="12">
        <v>939</v>
      </c>
      <c r="E2811" s="13">
        <v>5</v>
      </c>
    </row>
    <row r="2812" spans="1:5" x14ac:dyDescent="0.25">
      <c r="A2812" s="11" t="s">
        <v>1375</v>
      </c>
      <c r="B2812" s="11" t="s">
        <v>20</v>
      </c>
      <c r="C2812" s="11" t="s">
        <v>111</v>
      </c>
      <c r="D2812" s="12">
        <v>939</v>
      </c>
      <c r="E2812" s="13">
        <v>2</v>
      </c>
    </row>
    <row r="2813" spans="1:5" x14ac:dyDescent="0.25">
      <c r="A2813" s="11" t="s">
        <v>1487</v>
      </c>
      <c r="B2813" s="11" t="s">
        <v>20</v>
      </c>
      <c r="C2813" s="11" t="s">
        <v>66</v>
      </c>
      <c r="D2813" s="12">
        <v>939</v>
      </c>
      <c r="E2813" s="13">
        <v>3</v>
      </c>
    </row>
    <row r="2814" spans="1:5" x14ac:dyDescent="0.25">
      <c r="A2814" s="11" t="s">
        <v>362</v>
      </c>
      <c r="B2814" s="11" t="s">
        <v>20</v>
      </c>
      <c r="C2814" s="11" t="s">
        <v>27</v>
      </c>
      <c r="D2814" s="12">
        <v>940</v>
      </c>
      <c r="E2814" s="13">
        <v>15</v>
      </c>
    </row>
    <row r="2815" spans="1:5" x14ac:dyDescent="0.25">
      <c r="A2815" s="11" t="s">
        <v>1628</v>
      </c>
      <c r="B2815" s="11" t="s">
        <v>26</v>
      </c>
      <c r="C2815" s="11" t="s">
        <v>27</v>
      </c>
      <c r="D2815" s="12">
        <v>940</v>
      </c>
      <c r="E2815" s="13">
        <v>0</v>
      </c>
    </row>
    <row r="2816" spans="1:5" x14ac:dyDescent="0.25">
      <c r="A2816" s="11" t="s">
        <v>1956</v>
      </c>
      <c r="B2816" s="11" t="s">
        <v>20</v>
      </c>
      <c r="C2816" s="11" t="s">
        <v>22</v>
      </c>
      <c r="D2816" s="12">
        <v>940</v>
      </c>
      <c r="E2816" s="13">
        <v>1</v>
      </c>
    </row>
    <row r="2817" spans="1:5" x14ac:dyDescent="0.25">
      <c r="A2817" s="11" t="s">
        <v>651</v>
      </c>
      <c r="B2817" s="11" t="s">
        <v>26</v>
      </c>
      <c r="C2817" s="11" t="s">
        <v>28</v>
      </c>
      <c r="D2817" s="12">
        <v>941</v>
      </c>
      <c r="E2817" s="13">
        <v>0</v>
      </c>
    </row>
    <row r="2818" spans="1:5" x14ac:dyDescent="0.25">
      <c r="A2818" s="11" t="s">
        <v>632</v>
      </c>
      <c r="B2818" s="11" t="s">
        <v>26</v>
      </c>
      <c r="C2818" s="11" t="s">
        <v>34</v>
      </c>
      <c r="D2818" s="12">
        <v>942</v>
      </c>
      <c r="E2818" s="13">
        <v>1</v>
      </c>
    </row>
    <row r="2819" spans="1:5" x14ac:dyDescent="0.25">
      <c r="A2819" s="11" t="s">
        <v>718</v>
      </c>
      <c r="B2819" s="11" t="s">
        <v>26</v>
      </c>
      <c r="C2819" s="11" t="s">
        <v>62</v>
      </c>
      <c r="D2819" s="12">
        <v>942</v>
      </c>
      <c r="E2819" s="13">
        <v>5</v>
      </c>
    </row>
    <row r="2820" spans="1:5" x14ac:dyDescent="0.25">
      <c r="A2820" s="11" t="s">
        <v>1033</v>
      </c>
      <c r="B2820" s="11" t="s">
        <v>20</v>
      </c>
      <c r="C2820" s="11" t="s">
        <v>30</v>
      </c>
      <c r="D2820" s="12">
        <v>942</v>
      </c>
      <c r="E2820" s="13">
        <v>1</v>
      </c>
    </row>
    <row r="2821" spans="1:5" x14ac:dyDescent="0.25">
      <c r="A2821" s="11" t="s">
        <v>1479</v>
      </c>
      <c r="B2821" s="11" t="s">
        <v>26</v>
      </c>
      <c r="C2821" s="11" t="s">
        <v>62</v>
      </c>
      <c r="D2821" s="12">
        <v>942</v>
      </c>
      <c r="E2821" s="13">
        <v>4</v>
      </c>
    </row>
    <row r="2822" spans="1:5" x14ac:dyDescent="0.25">
      <c r="A2822" s="11" t="s">
        <v>724</v>
      </c>
      <c r="B2822" s="11" t="s">
        <v>24</v>
      </c>
      <c r="C2822" s="11" t="s">
        <v>28</v>
      </c>
      <c r="D2822" s="12">
        <v>943</v>
      </c>
      <c r="E2822" s="13">
        <v>0</v>
      </c>
    </row>
    <row r="2823" spans="1:5" x14ac:dyDescent="0.25">
      <c r="A2823" s="11" t="s">
        <v>1214</v>
      </c>
      <c r="B2823" s="11" t="s">
        <v>24</v>
      </c>
      <c r="C2823" s="11" t="s">
        <v>44</v>
      </c>
      <c r="D2823" s="12">
        <v>943</v>
      </c>
      <c r="E2823" s="13">
        <v>0</v>
      </c>
    </row>
    <row r="2824" spans="1:5" x14ac:dyDescent="0.25">
      <c r="A2824" s="11" t="s">
        <v>1769</v>
      </c>
      <c r="B2824" s="11" t="s">
        <v>24</v>
      </c>
      <c r="C2824" s="11" t="s">
        <v>34</v>
      </c>
      <c r="D2824" s="12">
        <v>943</v>
      </c>
      <c r="E2824" s="13">
        <v>2</v>
      </c>
    </row>
    <row r="2825" spans="1:5" x14ac:dyDescent="0.25">
      <c r="A2825" s="11" t="s">
        <v>995</v>
      </c>
      <c r="B2825" s="11" t="s">
        <v>20</v>
      </c>
      <c r="C2825" s="11" t="s">
        <v>66</v>
      </c>
      <c r="D2825" s="12">
        <v>944</v>
      </c>
      <c r="E2825" s="13">
        <v>0</v>
      </c>
    </row>
    <row r="2826" spans="1:5" x14ac:dyDescent="0.25">
      <c r="A2826" s="11" t="s">
        <v>1117</v>
      </c>
      <c r="B2826" s="11" t="s">
        <v>26</v>
      </c>
      <c r="C2826" s="11" t="s">
        <v>43</v>
      </c>
      <c r="D2826" s="12">
        <v>944</v>
      </c>
      <c r="E2826" s="13">
        <v>0</v>
      </c>
    </row>
    <row r="2827" spans="1:5" x14ac:dyDescent="0.25">
      <c r="A2827" s="11" t="s">
        <v>1270</v>
      </c>
      <c r="B2827" s="11" t="s">
        <v>26</v>
      </c>
      <c r="C2827" s="11" t="s">
        <v>44</v>
      </c>
      <c r="D2827" s="12">
        <v>944</v>
      </c>
      <c r="E2827" s="13">
        <v>0</v>
      </c>
    </row>
    <row r="2828" spans="1:5" x14ac:dyDescent="0.25">
      <c r="A2828" s="11" t="s">
        <v>166</v>
      </c>
      <c r="B2828" s="11" t="s">
        <v>26</v>
      </c>
      <c r="C2828" s="11" t="s">
        <v>40</v>
      </c>
      <c r="D2828" s="12">
        <v>945</v>
      </c>
      <c r="E2828" s="13">
        <v>0</v>
      </c>
    </row>
    <row r="2829" spans="1:5" x14ac:dyDescent="0.25">
      <c r="A2829" s="11" t="s">
        <v>1358</v>
      </c>
      <c r="B2829" s="11" t="s">
        <v>26</v>
      </c>
      <c r="C2829" s="11" t="s">
        <v>30</v>
      </c>
      <c r="D2829" s="12">
        <v>945</v>
      </c>
      <c r="E2829" s="13">
        <v>4</v>
      </c>
    </row>
    <row r="2830" spans="1:5" x14ac:dyDescent="0.25">
      <c r="A2830" s="11" t="s">
        <v>31</v>
      </c>
      <c r="B2830" s="11" t="s">
        <v>20</v>
      </c>
      <c r="C2830" s="11" t="s">
        <v>33</v>
      </c>
      <c r="D2830" s="12">
        <v>946</v>
      </c>
      <c r="E2830" s="13">
        <v>2</v>
      </c>
    </row>
    <row r="2831" spans="1:5" x14ac:dyDescent="0.25">
      <c r="A2831" s="11" t="s">
        <v>576</v>
      </c>
      <c r="B2831" s="11" t="s">
        <v>20</v>
      </c>
      <c r="C2831" s="11" t="s">
        <v>25</v>
      </c>
      <c r="D2831" s="12">
        <v>946</v>
      </c>
      <c r="E2831" s="13">
        <v>1</v>
      </c>
    </row>
    <row r="2832" spans="1:5" x14ac:dyDescent="0.25">
      <c r="A2832" s="11" t="s">
        <v>1403</v>
      </c>
      <c r="B2832" s="11" t="s">
        <v>24</v>
      </c>
      <c r="C2832" s="11" t="s">
        <v>34</v>
      </c>
      <c r="D2832" s="12">
        <v>946</v>
      </c>
      <c r="E2832" s="13">
        <v>5</v>
      </c>
    </row>
    <row r="2833" spans="1:5" x14ac:dyDescent="0.25">
      <c r="A2833" s="11" t="s">
        <v>1633</v>
      </c>
      <c r="B2833" s="11" t="s">
        <v>20</v>
      </c>
      <c r="C2833" s="11" t="s">
        <v>44</v>
      </c>
      <c r="D2833" s="12">
        <v>946</v>
      </c>
      <c r="E2833" s="13">
        <v>2</v>
      </c>
    </row>
    <row r="2834" spans="1:5" x14ac:dyDescent="0.25">
      <c r="A2834" s="11" t="s">
        <v>396</v>
      </c>
      <c r="B2834" s="11" t="s">
        <v>24</v>
      </c>
      <c r="C2834" s="11" t="s">
        <v>21</v>
      </c>
      <c r="D2834" s="12">
        <v>947</v>
      </c>
      <c r="E2834" s="13">
        <v>0</v>
      </c>
    </row>
    <row r="2835" spans="1:5" x14ac:dyDescent="0.25">
      <c r="A2835" s="11" t="s">
        <v>765</v>
      </c>
      <c r="B2835" s="11" t="s">
        <v>20</v>
      </c>
      <c r="C2835" s="11" t="s">
        <v>30</v>
      </c>
      <c r="D2835" s="12">
        <v>947</v>
      </c>
      <c r="E2835" s="13">
        <v>2</v>
      </c>
    </row>
    <row r="2836" spans="1:5" x14ac:dyDescent="0.25">
      <c r="A2836" s="11" t="s">
        <v>1184</v>
      </c>
      <c r="B2836" s="11" t="s">
        <v>20</v>
      </c>
      <c r="C2836" s="11" t="s">
        <v>21</v>
      </c>
      <c r="D2836" s="12">
        <v>947</v>
      </c>
      <c r="E2836" s="13">
        <v>1</v>
      </c>
    </row>
    <row r="2837" spans="1:5" x14ac:dyDescent="0.25">
      <c r="A2837" s="11" t="s">
        <v>72</v>
      </c>
      <c r="B2837" s="11" t="s">
        <v>26</v>
      </c>
      <c r="C2837" s="11" t="s">
        <v>44</v>
      </c>
      <c r="D2837" s="12">
        <v>948</v>
      </c>
      <c r="E2837" s="13">
        <v>2</v>
      </c>
    </row>
    <row r="2838" spans="1:5" x14ac:dyDescent="0.25">
      <c r="A2838" s="11" t="s">
        <v>159</v>
      </c>
      <c r="B2838" s="11" t="s">
        <v>24</v>
      </c>
      <c r="C2838" s="11" t="s">
        <v>21</v>
      </c>
      <c r="D2838" s="12">
        <v>948</v>
      </c>
      <c r="E2838" s="13">
        <v>2</v>
      </c>
    </row>
    <row r="2839" spans="1:5" x14ac:dyDescent="0.25">
      <c r="A2839" s="11" t="s">
        <v>240</v>
      </c>
      <c r="B2839" s="11" t="s">
        <v>20</v>
      </c>
      <c r="C2839" s="11" t="s">
        <v>53</v>
      </c>
      <c r="D2839" s="12">
        <v>948</v>
      </c>
      <c r="E2839" s="13">
        <v>0</v>
      </c>
    </row>
    <row r="2840" spans="1:5" x14ac:dyDescent="0.25">
      <c r="A2840" s="11" t="s">
        <v>1387</v>
      </c>
      <c r="B2840" s="11" t="s">
        <v>20</v>
      </c>
      <c r="C2840" s="11" t="s">
        <v>22</v>
      </c>
      <c r="D2840" s="12">
        <v>948</v>
      </c>
      <c r="E2840" s="13">
        <v>3</v>
      </c>
    </row>
    <row r="2841" spans="1:5" x14ac:dyDescent="0.25">
      <c r="A2841" s="11" t="s">
        <v>1561</v>
      </c>
      <c r="B2841" s="11" t="s">
        <v>26</v>
      </c>
      <c r="C2841" s="11" t="s">
        <v>28</v>
      </c>
      <c r="D2841" s="12">
        <v>948</v>
      </c>
      <c r="E2841" s="13">
        <v>0</v>
      </c>
    </row>
    <row r="2842" spans="1:5" x14ac:dyDescent="0.25">
      <c r="A2842" s="11" t="s">
        <v>656</v>
      </c>
      <c r="B2842" s="11" t="s">
        <v>26</v>
      </c>
      <c r="C2842" s="11" t="s">
        <v>111</v>
      </c>
      <c r="D2842" s="12">
        <v>949</v>
      </c>
      <c r="E2842" s="13">
        <v>2</v>
      </c>
    </row>
    <row r="2843" spans="1:5" x14ac:dyDescent="0.25">
      <c r="A2843" s="11" t="s">
        <v>1448</v>
      </c>
      <c r="B2843" s="11" t="s">
        <v>20</v>
      </c>
      <c r="C2843" s="11" t="s">
        <v>28</v>
      </c>
      <c r="D2843" s="12">
        <v>949</v>
      </c>
      <c r="E2843" s="13">
        <v>7</v>
      </c>
    </row>
    <row r="2844" spans="1:5" x14ac:dyDescent="0.25">
      <c r="A2844" s="11" t="s">
        <v>1456</v>
      </c>
      <c r="B2844" s="11" t="s">
        <v>20</v>
      </c>
      <c r="C2844" s="11" t="s">
        <v>30</v>
      </c>
      <c r="D2844" s="12">
        <v>950</v>
      </c>
      <c r="E2844" s="13">
        <v>3</v>
      </c>
    </row>
    <row r="2845" spans="1:5" x14ac:dyDescent="0.25">
      <c r="A2845" s="11" t="s">
        <v>1806</v>
      </c>
      <c r="B2845" s="11" t="s">
        <v>24</v>
      </c>
      <c r="C2845" s="11" t="s">
        <v>39</v>
      </c>
      <c r="D2845" s="12">
        <v>950</v>
      </c>
      <c r="E2845" s="13">
        <v>3</v>
      </c>
    </row>
    <row r="2846" spans="1:5" x14ac:dyDescent="0.25">
      <c r="A2846" s="11" t="s">
        <v>943</v>
      </c>
      <c r="B2846" s="11" t="s">
        <v>20</v>
      </c>
      <c r="C2846" s="11" t="s">
        <v>44</v>
      </c>
      <c r="D2846" s="12">
        <v>951</v>
      </c>
      <c r="E2846" s="13">
        <v>12</v>
      </c>
    </row>
    <row r="2847" spans="1:5" x14ac:dyDescent="0.25">
      <c r="A2847" s="11" t="s">
        <v>1651</v>
      </c>
      <c r="B2847" s="11" t="s">
        <v>24</v>
      </c>
      <c r="C2847" s="11" t="s">
        <v>33</v>
      </c>
      <c r="D2847" s="12">
        <v>951</v>
      </c>
      <c r="E2847" s="13">
        <v>0</v>
      </c>
    </row>
    <row r="2848" spans="1:5" x14ac:dyDescent="0.25">
      <c r="A2848" s="11" t="s">
        <v>732</v>
      </c>
      <c r="B2848" s="11" t="s">
        <v>24</v>
      </c>
      <c r="C2848" s="11" t="s">
        <v>28</v>
      </c>
      <c r="D2848" s="12">
        <v>952</v>
      </c>
      <c r="E2848" s="13">
        <v>3</v>
      </c>
    </row>
    <row r="2849" spans="1:5" x14ac:dyDescent="0.25">
      <c r="A2849" s="11" t="s">
        <v>980</v>
      </c>
      <c r="B2849" s="11" t="s">
        <v>24</v>
      </c>
      <c r="C2849" s="11" t="s">
        <v>44</v>
      </c>
      <c r="D2849" s="12">
        <v>952</v>
      </c>
      <c r="E2849" s="13">
        <v>1</v>
      </c>
    </row>
    <row r="2850" spans="1:5" x14ac:dyDescent="0.25">
      <c r="A2850" s="11" t="s">
        <v>1841</v>
      </c>
      <c r="B2850" s="11" t="s">
        <v>20</v>
      </c>
      <c r="C2850" s="11" t="s">
        <v>22</v>
      </c>
      <c r="D2850" s="12">
        <v>952</v>
      </c>
      <c r="E2850" s="13">
        <v>0</v>
      </c>
    </row>
    <row r="2851" spans="1:5" x14ac:dyDescent="0.25">
      <c r="A2851" s="11" t="s">
        <v>189</v>
      </c>
      <c r="B2851" s="11" t="s">
        <v>24</v>
      </c>
      <c r="C2851" s="11" t="s">
        <v>28</v>
      </c>
      <c r="D2851" s="12">
        <v>953</v>
      </c>
      <c r="E2851" s="13">
        <v>1</v>
      </c>
    </row>
    <row r="2852" spans="1:5" x14ac:dyDescent="0.25">
      <c r="A2852" s="11" t="s">
        <v>1950</v>
      </c>
      <c r="B2852" s="11" t="s">
        <v>20</v>
      </c>
      <c r="C2852" s="11" t="s">
        <v>27</v>
      </c>
      <c r="D2852" s="12">
        <v>953</v>
      </c>
      <c r="E2852" s="13">
        <v>0</v>
      </c>
    </row>
    <row r="2853" spans="1:5" x14ac:dyDescent="0.25">
      <c r="A2853" s="11" t="s">
        <v>180</v>
      </c>
      <c r="B2853" s="11" t="s">
        <v>24</v>
      </c>
      <c r="C2853" s="11" t="s">
        <v>66</v>
      </c>
      <c r="D2853" s="12">
        <v>954</v>
      </c>
      <c r="E2853" s="13">
        <v>1</v>
      </c>
    </row>
    <row r="2854" spans="1:5" x14ac:dyDescent="0.25">
      <c r="A2854" s="11" t="s">
        <v>358</v>
      </c>
      <c r="B2854" s="11" t="s">
        <v>20</v>
      </c>
      <c r="C2854" s="11" t="s">
        <v>27</v>
      </c>
      <c r="D2854" s="12">
        <v>954</v>
      </c>
      <c r="E2854" s="13">
        <v>0</v>
      </c>
    </row>
    <row r="2855" spans="1:5" x14ac:dyDescent="0.25">
      <c r="A2855" s="11" t="s">
        <v>839</v>
      </c>
      <c r="B2855" s="11" t="s">
        <v>20</v>
      </c>
      <c r="C2855" s="11" t="s">
        <v>32</v>
      </c>
      <c r="D2855" s="12">
        <v>954</v>
      </c>
      <c r="E2855" s="13">
        <v>0</v>
      </c>
    </row>
    <row r="2856" spans="1:5" x14ac:dyDescent="0.25">
      <c r="A2856" s="11" t="s">
        <v>1250</v>
      </c>
      <c r="B2856" s="11" t="s">
        <v>20</v>
      </c>
      <c r="C2856" s="11" t="s">
        <v>53</v>
      </c>
      <c r="D2856" s="12">
        <v>954</v>
      </c>
      <c r="E2856" s="13">
        <v>2</v>
      </c>
    </row>
    <row r="2857" spans="1:5" x14ac:dyDescent="0.25">
      <c r="A2857" s="11" t="s">
        <v>1412</v>
      </c>
      <c r="B2857" s="11" t="s">
        <v>20</v>
      </c>
      <c r="C2857" s="11" t="s">
        <v>27</v>
      </c>
      <c r="D2857" s="12">
        <v>954</v>
      </c>
      <c r="E2857" s="13">
        <v>0</v>
      </c>
    </row>
    <row r="2858" spans="1:5" x14ac:dyDescent="0.25">
      <c r="A2858" s="11" t="s">
        <v>1968</v>
      </c>
      <c r="B2858" s="11" t="s">
        <v>26</v>
      </c>
      <c r="C2858" s="11" t="s">
        <v>53</v>
      </c>
      <c r="D2858" s="12">
        <v>954</v>
      </c>
      <c r="E2858" s="13">
        <v>3</v>
      </c>
    </row>
    <row r="2859" spans="1:5" x14ac:dyDescent="0.25">
      <c r="A2859" s="11" t="s">
        <v>458</v>
      </c>
      <c r="B2859" s="11" t="s">
        <v>20</v>
      </c>
      <c r="C2859" s="11" t="s">
        <v>66</v>
      </c>
      <c r="D2859" s="12">
        <v>955</v>
      </c>
      <c r="E2859" s="13">
        <v>0</v>
      </c>
    </row>
    <row r="2860" spans="1:5" x14ac:dyDescent="0.25">
      <c r="A2860" s="11" t="s">
        <v>1383</v>
      </c>
      <c r="B2860" s="11" t="s">
        <v>24</v>
      </c>
      <c r="C2860" s="11" t="s">
        <v>27</v>
      </c>
      <c r="D2860" s="12">
        <v>955</v>
      </c>
      <c r="E2860" s="13">
        <v>0</v>
      </c>
    </row>
    <row r="2861" spans="1:5" x14ac:dyDescent="0.25">
      <c r="A2861" s="11" t="s">
        <v>1432</v>
      </c>
      <c r="B2861" s="11" t="s">
        <v>20</v>
      </c>
      <c r="C2861" s="11" t="s">
        <v>30</v>
      </c>
      <c r="D2861" s="12">
        <v>955</v>
      </c>
      <c r="E2861" s="13">
        <v>1</v>
      </c>
    </row>
    <row r="2862" spans="1:5" x14ac:dyDescent="0.25">
      <c r="A2862" s="11" t="s">
        <v>1763</v>
      </c>
      <c r="B2862" s="11" t="s">
        <v>20</v>
      </c>
      <c r="C2862" s="11" t="s">
        <v>30</v>
      </c>
      <c r="D2862" s="12">
        <v>955</v>
      </c>
      <c r="E2862" s="13">
        <v>3</v>
      </c>
    </row>
    <row r="2863" spans="1:5" x14ac:dyDescent="0.25">
      <c r="A2863" s="11" t="s">
        <v>1867</v>
      </c>
      <c r="B2863" s="11" t="s">
        <v>26</v>
      </c>
      <c r="C2863" s="11" t="s">
        <v>30</v>
      </c>
      <c r="D2863" s="12">
        <v>955</v>
      </c>
      <c r="E2863" s="13">
        <v>0</v>
      </c>
    </row>
    <row r="2864" spans="1:5" x14ac:dyDescent="0.25">
      <c r="A2864" s="11" t="s">
        <v>1091</v>
      </c>
      <c r="B2864" s="11" t="s">
        <v>20</v>
      </c>
      <c r="C2864" s="11" t="s">
        <v>44</v>
      </c>
      <c r="D2864" s="12">
        <v>956</v>
      </c>
      <c r="E2864" s="13">
        <v>0</v>
      </c>
    </row>
    <row r="2865" spans="1:5" x14ac:dyDescent="0.25">
      <c r="A2865" s="11" t="s">
        <v>1170</v>
      </c>
      <c r="B2865" s="11" t="s">
        <v>20</v>
      </c>
      <c r="C2865" s="11" t="s">
        <v>27</v>
      </c>
      <c r="D2865" s="12">
        <v>956</v>
      </c>
      <c r="E2865" s="13">
        <v>0</v>
      </c>
    </row>
    <row r="2866" spans="1:5" x14ac:dyDescent="0.25">
      <c r="A2866" s="11" t="s">
        <v>100</v>
      </c>
      <c r="B2866" s="11" t="s">
        <v>24</v>
      </c>
      <c r="C2866" s="11" t="s">
        <v>5</v>
      </c>
      <c r="D2866" s="12">
        <v>957</v>
      </c>
      <c r="E2866" s="13">
        <v>5</v>
      </c>
    </row>
    <row r="2867" spans="1:5" x14ac:dyDescent="0.25">
      <c r="A2867" s="11" t="s">
        <v>1265</v>
      </c>
      <c r="B2867" s="11" t="s">
        <v>24</v>
      </c>
      <c r="C2867" s="11" t="s">
        <v>44</v>
      </c>
      <c r="D2867" s="12">
        <v>957</v>
      </c>
      <c r="E2867" s="13">
        <v>6</v>
      </c>
    </row>
    <row r="2868" spans="1:5" x14ac:dyDescent="0.25">
      <c r="A2868" s="11" t="s">
        <v>1879</v>
      </c>
      <c r="B2868" s="11" t="s">
        <v>26</v>
      </c>
      <c r="C2868" s="11" t="s">
        <v>43</v>
      </c>
      <c r="D2868" s="12">
        <v>957</v>
      </c>
      <c r="E2868" s="13">
        <v>0</v>
      </c>
    </row>
    <row r="2869" spans="1:5" x14ac:dyDescent="0.25">
      <c r="A2869" s="11" t="s">
        <v>481</v>
      </c>
      <c r="B2869" s="11" t="s">
        <v>26</v>
      </c>
      <c r="C2869" s="11" t="s">
        <v>66</v>
      </c>
      <c r="D2869" s="12">
        <v>958</v>
      </c>
      <c r="E2869" s="13">
        <v>3</v>
      </c>
    </row>
    <row r="2870" spans="1:5" x14ac:dyDescent="0.25">
      <c r="A2870" s="11" t="s">
        <v>1372</v>
      </c>
      <c r="B2870" s="11" t="s">
        <v>26</v>
      </c>
      <c r="C2870" s="11" t="s">
        <v>21</v>
      </c>
      <c r="D2870" s="12">
        <v>958</v>
      </c>
      <c r="E2870" s="13">
        <v>8</v>
      </c>
    </row>
    <row r="2871" spans="1:5" x14ac:dyDescent="0.25">
      <c r="A2871" s="11" t="s">
        <v>1622</v>
      </c>
      <c r="B2871" s="11" t="s">
        <v>24</v>
      </c>
      <c r="C2871" s="11" t="s">
        <v>111</v>
      </c>
      <c r="D2871" s="12">
        <v>958</v>
      </c>
      <c r="E2871" s="13">
        <v>1</v>
      </c>
    </row>
    <row r="2872" spans="1:5" x14ac:dyDescent="0.25">
      <c r="A2872" s="11" t="s">
        <v>1978</v>
      </c>
      <c r="B2872" s="11" t="s">
        <v>20</v>
      </c>
      <c r="C2872" s="11" t="s">
        <v>44</v>
      </c>
      <c r="D2872" s="12">
        <v>958</v>
      </c>
      <c r="E2872" s="13">
        <v>2</v>
      </c>
    </row>
    <row r="2873" spans="1:5" x14ac:dyDescent="0.25">
      <c r="A2873" s="11" t="s">
        <v>352</v>
      </c>
      <c r="B2873" s="11" t="s">
        <v>24</v>
      </c>
      <c r="C2873" s="11" t="s">
        <v>5</v>
      </c>
      <c r="D2873" s="12">
        <v>960</v>
      </c>
      <c r="E2873" s="13">
        <v>0</v>
      </c>
    </row>
    <row r="2874" spans="1:5" x14ac:dyDescent="0.25">
      <c r="A2874" s="11" t="s">
        <v>1423</v>
      </c>
      <c r="B2874" s="11" t="s">
        <v>24</v>
      </c>
      <c r="C2874" s="11" t="s">
        <v>21</v>
      </c>
      <c r="D2874" s="12">
        <v>960</v>
      </c>
      <c r="E2874" s="13">
        <v>0</v>
      </c>
    </row>
    <row r="2875" spans="1:5" x14ac:dyDescent="0.25">
      <c r="A2875" s="11" t="s">
        <v>1592</v>
      </c>
      <c r="B2875" s="11" t="s">
        <v>24</v>
      </c>
      <c r="C2875" s="11" t="s">
        <v>33</v>
      </c>
      <c r="D2875" s="12">
        <v>960</v>
      </c>
      <c r="E2875" s="13">
        <v>1</v>
      </c>
    </row>
    <row r="2876" spans="1:5" x14ac:dyDescent="0.25">
      <c r="A2876" s="11" t="s">
        <v>522</v>
      </c>
      <c r="B2876" s="11" t="s">
        <v>20</v>
      </c>
      <c r="C2876" s="11" t="s">
        <v>25</v>
      </c>
      <c r="D2876" s="12">
        <v>961</v>
      </c>
      <c r="E2876" s="13">
        <v>3</v>
      </c>
    </row>
    <row r="2877" spans="1:5" x14ac:dyDescent="0.25">
      <c r="A2877" s="11" t="s">
        <v>1013</v>
      </c>
      <c r="B2877" s="11" t="s">
        <v>26</v>
      </c>
      <c r="C2877" s="11" t="s">
        <v>25</v>
      </c>
      <c r="D2877" s="12">
        <v>961</v>
      </c>
      <c r="E2877" s="13">
        <v>2</v>
      </c>
    </row>
    <row r="2878" spans="1:5" x14ac:dyDescent="0.25">
      <c r="A2878" s="11" t="s">
        <v>1739</v>
      </c>
      <c r="B2878" s="11" t="s">
        <v>20</v>
      </c>
      <c r="C2878" s="11" t="s">
        <v>25</v>
      </c>
      <c r="D2878" s="12">
        <v>961</v>
      </c>
      <c r="E2878" s="13">
        <v>2</v>
      </c>
    </row>
    <row r="2879" spans="1:5" x14ac:dyDescent="0.25">
      <c r="A2879" s="11" t="s">
        <v>654</v>
      </c>
      <c r="B2879" s="11" t="s">
        <v>20</v>
      </c>
      <c r="C2879" s="11" t="s">
        <v>34</v>
      </c>
      <c r="D2879" s="12">
        <v>962</v>
      </c>
      <c r="E2879" s="13">
        <v>0</v>
      </c>
    </row>
    <row r="2880" spans="1:5" x14ac:dyDescent="0.25">
      <c r="A2880" s="11" t="s">
        <v>149</v>
      </c>
      <c r="B2880" s="11" t="s">
        <v>20</v>
      </c>
      <c r="C2880" s="11" t="s">
        <v>111</v>
      </c>
      <c r="D2880" s="12">
        <v>963</v>
      </c>
      <c r="E2880" s="13">
        <v>6</v>
      </c>
    </row>
    <row r="2881" spans="1:5" x14ac:dyDescent="0.25">
      <c r="A2881" s="11" t="s">
        <v>605</v>
      </c>
      <c r="B2881" s="11" t="s">
        <v>20</v>
      </c>
      <c r="C2881" s="11" t="s">
        <v>43</v>
      </c>
      <c r="D2881" s="12">
        <v>963</v>
      </c>
      <c r="E2881" s="13">
        <v>0</v>
      </c>
    </row>
    <row r="2882" spans="1:5" x14ac:dyDescent="0.25">
      <c r="A2882" s="11" t="s">
        <v>146</v>
      </c>
      <c r="B2882" s="11" t="s">
        <v>26</v>
      </c>
      <c r="C2882" s="11" t="s">
        <v>43</v>
      </c>
      <c r="D2882" s="12">
        <v>964</v>
      </c>
      <c r="E2882" s="13">
        <v>2</v>
      </c>
    </row>
    <row r="2883" spans="1:5" x14ac:dyDescent="0.25">
      <c r="A2883" s="11" t="s">
        <v>1306</v>
      </c>
      <c r="B2883" s="11" t="s">
        <v>20</v>
      </c>
      <c r="C2883" s="11" t="s">
        <v>33</v>
      </c>
      <c r="D2883" s="12">
        <v>964</v>
      </c>
      <c r="E2883" s="13">
        <v>1</v>
      </c>
    </row>
    <row r="2884" spans="1:5" x14ac:dyDescent="0.25">
      <c r="A2884" s="11" t="s">
        <v>114</v>
      </c>
      <c r="B2884" s="11" t="s">
        <v>20</v>
      </c>
      <c r="C2884" s="11" t="s">
        <v>43</v>
      </c>
      <c r="D2884" s="12">
        <v>965</v>
      </c>
      <c r="E2884" s="13">
        <v>1</v>
      </c>
    </row>
    <row r="2885" spans="1:5" x14ac:dyDescent="0.25">
      <c r="A2885" s="11" t="s">
        <v>774</v>
      </c>
      <c r="B2885" s="11" t="s">
        <v>20</v>
      </c>
      <c r="C2885" s="11" t="s">
        <v>44</v>
      </c>
      <c r="D2885" s="12">
        <v>965</v>
      </c>
      <c r="E2885" s="13">
        <v>10</v>
      </c>
    </row>
    <row r="2886" spans="1:5" x14ac:dyDescent="0.25">
      <c r="A2886" s="11" t="s">
        <v>1652</v>
      </c>
      <c r="B2886" s="11" t="s">
        <v>20</v>
      </c>
      <c r="C2886" s="11" t="s">
        <v>62</v>
      </c>
      <c r="D2886" s="12">
        <v>965</v>
      </c>
      <c r="E2886" s="13">
        <v>3</v>
      </c>
    </row>
    <row r="2887" spans="1:5" x14ac:dyDescent="0.25">
      <c r="A2887" s="11" t="s">
        <v>1683</v>
      </c>
      <c r="B2887" s="11" t="s">
        <v>26</v>
      </c>
      <c r="C2887" s="11" t="s">
        <v>5</v>
      </c>
      <c r="D2887" s="12">
        <v>965</v>
      </c>
      <c r="E2887" s="13">
        <v>0</v>
      </c>
    </row>
    <row r="2888" spans="1:5" x14ac:dyDescent="0.25">
      <c r="A2888" s="11" t="s">
        <v>475</v>
      </c>
      <c r="B2888" s="11" t="s">
        <v>26</v>
      </c>
      <c r="C2888" s="11" t="s">
        <v>44</v>
      </c>
      <c r="D2888" s="12">
        <v>966</v>
      </c>
      <c r="E2888" s="13">
        <v>5</v>
      </c>
    </row>
    <row r="2889" spans="1:5" x14ac:dyDescent="0.25">
      <c r="A2889" s="11" t="s">
        <v>1816</v>
      </c>
      <c r="B2889" s="11" t="s">
        <v>24</v>
      </c>
      <c r="C2889" s="11" t="s">
        <v>27</v>
      </c>
      <c r="D2889" s="12">
        <v>966</v>
      </c>
      <c r="E2889" s="13">
        <v>1</v>
      </c>
    </row>
    <row r="2890" spans="1:5" x14ac:dyDescent="0.25">
      <c r="A2890" s="11" t="s">
        <v>672</v>
      </c>
      <c r="B2890" s="11" t="s">
        <v>24</v>
      </c>
      <c r="C2890" s="11" t="s">
        <v>43</v>
      </c>
      <c r="D2890" s="12">
        <v>967</v>
      </c>
      <c r="E2890" s="13">
        <v>0</v>
      </c>
    </row>
    <row r="2891" spans="1:5" x14ac:dyDescent="0.25">
      <c r="A2891" s="11" t="s">
        <v>1698</v>
      </c>
      <c r="B2891" s="11" t="s">
        <v>20</v>
      </c>
      <c r="C2891" s="11" t="s">
        <v>30</v>
      </c>
      <c r="D2891" s="12">
        <v>967</v>
      </c>
      <c r="E2891" s="13">
        <v>1</v>
      </c>
    </row>
    <row r="2892" spans="1:5" x14ac:dyDescent="0.25">
      <c r="A2892" s="11" t="s">
        <v>211</v>
      </c>
      <c r="B2892" s="11" t="s">
        <v>26</v>
      </c>
      <c r="C2892" s="11" t="s">
        <v>32</v>
      </c>
      <c r="D2892" s="12">
        <v>968</v>
      </c>
      <c r="E2892" s="13">
        <v>7</v>
      </c>
    </row>
    <row r="2893" spans="1:5" x14ac:dyDescent="0.25">
      <c r="A2893" s="11" t="s">
        <v>1321</v>
      </c>
      <c r="B2893" s="11" t="s">
        <v>26</v>
      </c>
      <c r="C2893" s="11" t="s">
        <v>27</v>
      </c>
      <c r="D2893" s="12">
        <v>968</v>
      </c>
      <c r="E2893" s="13">
        <v>3</v>
      </c>
    </row>
    <row r="2894" spans="1:5" x14ac:dyDescent="0.25">
      <c r="A2894" s="11" t="s">
        <v>330</v>
      </c>
      <c r="B2894" s="11" t="s">
        <v>24</v>
      </c>
      <c r="C2894" s="11" t="s">
        <v>66</v>
      </c>
      <c r="D2894" s="12">
        <v>970</v>
      </c>
      <c r="E2894" s="13">
        <v>3</v>
      </c>
    </row>
    <row r="2895" spans="1:5" x14ac:dyDescent="0.25">
      <c r="A2895" s="11" t="s">
        <v>684</v>
      </c>
      <c r="B2895" s="11" t="s">
        <v>24</v>
      </c>
      <c r="C2895" s="11" t="s">
        <v>44</v>
      </c>
      <c r="D2895" s="12">
        <v>970</v>
      </c>
      <c r="E2895" s="13">
        <v>3</v>
      </c>
    </row>
    <row r="2896" spans="1:5" x14ac:dyDescent="0.25">
      <c r="A2896" s="11" t="s">
        <v>1031</v>
      </c>
      <c r="B2896" s="11" t="s">
        <v>26</v>
      </c>
      <c r="C2896" s="11" t="s">
        <v>39</v>
      </c>
      <c r="D2896" s="12">
        <v>970</v>
      </c>
      <c r="E2896" s="13">
        <v>0</v>
      </c>
    </row>
    <row r="2897" spans="1:5" x14ac:dyDescent="0.25">
      <c r="A2897" s="11" t="s">
        <v>1213</v>
      </c>
      <c r="B2897" s="11" t="s">
        <v>20</v>
      </c>
      <c r="C2897" s="11" t="s">
        <v>44</v>
      </c>
      <c r="D2897" s="12">
        <v>970</v>
      </c>
      <c r="E2897" s="13">
        <v>2</v>
      </c>
    </row>
    <row r="2898" spans="1:5" x14ac:dyDescent="0.25">
      <c r="A2898" s="11" t="s">
        <v>191</v>
      </c>
      <c r="B2898" s="11" t="s">
        <v>26</v>
      </c>
      <c r="C2898" s="11" t="s">
        <v>44</v>
      </c>
      <c r="D2898" s="12">
        <v>971</v>
      </c>
      <c r="E2898" s="13">
        <v>15</v>
      </c>
    </row>
    <row r="2899" spans="1:5" x14ac:dyDescent="0.25">
      <c r="A2899" s="11" t="s">
        <v>1231</v>
      </c>
      <c r="B2899" s="11" t="s">
        <v>20</v>
      </c>
      <c r="C2899" s="11" t="s">
        <v>27</v>
      </c>
      <c r="D2899" s="12">
        <v>971</v>
      </c>
      <c r="E2899" s="13">
        <v>0</v>
      </c>
    </row>
    <row r="2900" spans="1:5" x14ac:dyDescent="0.25">
      <c r="A2900" s="11" t="s">
        <v>1237</v>
      </c>
      <c r="B2900" s="11" t="s">
        <v>20</v>
      </c>
      <c r="C2900" s="11" t="s">
        <v>39</v>
      </c>
      <c r="D2900" s="12">
        <v>971</v>
      </c>
      <c r="E2900" s="13">
        <v>0</v>
      </c>
    </row>
    <row r="2901" spans="1:5" x14ac:dyDescent="0.25">
      <c r="A2901" s="11" t="s">
        <v>1932</v>
      </c>
      <c r="B2901" s="11" t="s">
        <v>24</v>
      </c>
      <c r="C2901" s="11" t="s">
        <v>27</v>
      </c>
      <c r="D2901" s="12">
        <v>971</v>
      </c>
      <c r="E2901" s="13">
        <v>0</v>
      </c>
    </row>
    <row r="2902" spans="1:5" x14ac:dyDescent="0.25">
      <c r="A2902" s="11" t="s">
        <v>276</v>
      </c>
      <c r="B2902" s="11" t="s">
        <v>26</v>
      </c>
      <c r="C2902" s="11" t="s">
        <v>25</v>
      </c>
      <c r="D2902" s="12">
        <v>972</v>
      </c>
      <c r="E2902" s="13">
        <v>5</v>
      </c>
    </row>
    <row r="2903" spans="1:5" x14ac:dyDescent="0.25">
      <c r="A2903" s="11" t="s">
        <v>804</v>
      </c>
      <c r="B2903" s="11" t="s">
        <v>26</v>
      </c>
      <c r="C2903" s="11" t="s">
        <v>44</v>
      </c>
      <c r="D2903" s="12">
        <v>973</v>
      </c>
      <c r="E2903" s="13">
        <v>0</v>
      </c>
    </row>
    <row r="2904" spans="1:5" x14ac:dyDescent="0.25">
      <c r="A2904" s="11" t="s">
        <v>1304</v>
      </c>
      <c r="B2904" s="11" t="s">
        <v>24</v>
      </c>
      <c r="C2904" s="11" t="s">
        <v>33</v>
      </c>
      <c r="D2904" s="12">
        <v>973</v>
      </c>
      <c r="E2904" s="13">
        <v>7</v>
      </c>
    </row>
    <row r="2905" spans="1:5" x14ac:dyDescent="0.25">
      <c r="A2905" s="11" t="s">
        <v>741</v>
      </c>
      <c r="B2905" s="11" t="s">
        <v>26</v>
      </c>
      <c r="C2905" s="11" t="s">
        <v>40</v>
      </c>
      <c r="D2905" s="12">
        <v>974</v>
      </c>
      <c r="E2905" s="13">
        <v>2</v>
      </c>
    </row>
    <row r="2906" spans="1:5" x14ac:dyDescent="0.25">
      <c r="A2906" s="11" t="s">
        <v>1494</v>
      </c>
      <c r="B2906" s="11" t="s">
        <v>26</v>
      </c>
      <c r="C2906" s="11" t="s">
        <v>30</v>
      </c>
      <c r="D2906" s="12">
        <v>974</v>
      </c>
      <c r="E2906" s="13">
        <v>0</v>
      </c>
    </row>
    <row r="2907" spans="1:5" x14ac:dyDescent="0.25">
      <c r="A2907" s="11" t="s">
        <v>1818</v>
      </c>
      <c r="B2907" s="11" t="s">
        <v>24</v>
      </c>
      <c r="C2907" s="11" t="s">
        <v>21</v>
      </c>
      <c r="D2907" s="12">
        <v>974</v>
      </c>
      <c r="E2907" s="13">
        <v>2</v>
      </c>
    </row>
    <row r="2908" spans="1:5" x14ac:dyDescent="0.25">
      <c r="A2908" s="11" t="s">
        <v>886</v>
      </c>
      <c r="B2908" s="11" t="s">
        <v>26</v>
      </c>
      <c r="C2908" s="11" t="s">
        <v>28</v>
      </c>
      <c r="D2908" s="12">
        <v>975</v>
      </c>
      <c r="E2908" s="13">
        <v>2</v>
      </c>
    </row>
    <row r="2909" spans="1:5" x14ac:dyDescent="0.25">
      <c r="A2909" s="11" t="s">
        <v>1213</v>
      </c>
      <c r="B2909" s="11" t="s">
        <v>24</v>
      </c>
      <c r="C2909" s="11" t="s">
        <v>21</v>
      </c>
      <c r="D2909" s="12">
        <v>975</v>
      </c>
      <c r="E2909" s="13">
        <v>9</v>
      </c>
    </row>
    <row r="2910" spans="1:5" x14ac:dyDescent="0.25">
      <c r="A2910" s="11" t="s">
        <v>1362</v>
      </c>
      <c r="B2910" s="11" t="s">
        <v>26</v>
      </c>
      <c r="C2910" s="11" t="s">
        <v>44</v>
      </c>
      <c r="D2910" s="12">
        <v>975</v>
      </c>
      <c r="E2910" s="13">
        <v>1</v>
      </c>
    </row>
    <row r="2911" spans="1:5" x14ac:dyDescent="0.25">
      <c r="A2911" s="11" t="s">
        <v>316</v>
      </c>
      <c r="B2911" s="11" t="s">
        <v>24</v>
      </c>
      <c r="C2911" s="11" t="s">
        <v>39</v>
      </c>
      <c r="D2911" s="12">
        <v>976</v>
      </c>
      <c r="E2911" s="13">
        <v>3</v>
      </c>
    </row>
    <row r="2912" spans="1:5" x14ac:dyDescent="0.25">
      <c r="A2912" s="11" t="s">
        <v>1657</v>
      </c>
      <c r="B2912" s="11" t="s">
        <v>24</v>
      </c>
      <c r="C2912" s="11" t="s">
        <v>39</v>
      </c>
      <c r="D2912" s="12">
        <v>976</v>
      </c>
      <c r="E2912" s="13">
        <v>2</v>
      </c>
    </row>
    <row r="2913" spans="1:5" x14ac:dyDescent="0.25">
      <c r="A2913" s="11" t="s">
        <v>1886</v>
      </c>
      <c r="B2913" s="11" t="s">
        <v>26</v>
      </c>
      <c r="C2913" s="11" t="s">
        <v>30</v>
      </c>
      <c r="D2913" s="12">
        <v>976</v>
      </c>
      <c r="E2913" s="13">
        <v>0</v>
      </c>
    </row>
    <row r="2914" spans="1:5" x14ac:dyDescent="0.25">
      <c r="A2914" s="11" t="s">
        <v>536</v>
      </c>
      <c r="B2914" s="11" t="s">
        <v>20</v>
      </c>
      <c r="C2914" s="11" t="s">
        <v>22</v>
      </c>
      <c r="D2914" s="12">
        <v>977</v>
      </c>
      <c r="E2914" s="13">
        <v>0</v>
      </c>
    </row>
    <row r="2915" spans="1:5" x14ac:dyDescent="0.25">
      <c r="A2915" s="11" t="s">
        <v>600</v>
      </c>
      <c r="B2915" s="11" t="s">
        <v>20</v>
      </c>
      <c r="C2915" s="11" t="s">
        <v>44</v>
      </c>
      <c r="D2915" s="12">
        <v>977</v>
      </c>
      <c r="E2915" s="13">
        <v>0</v>
      </c>
    </row>
    <row r="2916" spans="1:5" x14ac:dyDescent="0.25">
      <c r="A2916" s="11" t="s">
        <v>629</v>
      </c>
      <c r="B2916" s="11" t="s">
        <v>26</v>
      </c>
      <c r="C2916" s="11" t="s">
        <v>22</v>
      </c>
      <c r="D2916" s="12">
        <v>977</v>
      </c>
      <c r="E2916" s="13">
        <v>8</v>
      </c>
    </row>
    <row r="2917" spans="1:5" x14ac:dyDescent="0.25">
      <c r="A2917" s="11" t="s">
        <v>1085</v>
      </c>
      <c r="B2917" s="11" t="s">
        <v>26</v>
      </c>
      <c r="C2917" s="11" t="s">
        <v>30</v>
      </c>
      <c r="D2917" s="12">
        <v>977</v>
      </c>
      <c r="E2917" s="13">
        <v>5</v>
      </c>
    </row>
    <row r="2918" spans="1:5" x14ac:dyDescent="0.25">
      <c r="A2918" s="11" t="s">
        <v>996</v>
      </c>
      <c r="B2918" s="11" t="s">
        <v>26</v>
      </c>
      <c r="C2918" s="11" t="s">
        <v>30</v>
      </c>
      <c r="D2918" s="12">
        <v>978</v>
      </c>
      <c r="E2918" s="13">
        <v>0</v>
      </c>
    </row>
    <row r="2919" spans="1:5" x14ac:dyDescent="0.25">
      <c r="A2919" s="11" t="s">
        <v>1054</v>
      </c>
      <c r="B2919" s="11" t="s">
        <v>24</v>
      </c>
      <c r="C2919" s="11" t="s">
        <v>44</v>
      </c>
      <c r="D2919" s="12">
        <v>978</v>
      </c>
      <c r="E2919" s="13">
        <v>4</v>
      </c>
    </row>
    <row r="2920" spans="1:5" x14ac:dyDescent="0.25">
      <c r="A2920" s="11" t="s">
        <v>1758</v>
      </c>
      <c r="B2920" s="11" t="s">
        <v>20</v>
      </c>
      <c r="C2920" s="11" t="s">
        <v>27</v>
      </c>
      <c r="D2920" s="12">
        <v>978</v>
      </c>
      <c r="E2920" s="13">
        <v>1</v>
      </c>
    </row>
    <row r="2921" spans="1:5" x14ac:dyDescent="0.25">
      <c r="A2921" s="11" t="s">
        <v>1761</v>
      </c>
      <c r="B2921" s="11" t="s">
        <v>20</v>
      </c>
      <c r="C2921" s="11" t="s">
        <v>44</v>
      </c>
      <c r="D2921" s="12">
        <v>978</v>
      </c>
      <c r="E2921" s="13">
        <v>17</v>
      </c>
    </row>
    <row r="2922" spans="1:5" x14ac:dyDescent="0.25">
      <c r="A2922" s="11" t="s">
        <v>583</v>
      </c>
      <c r="B2922" s="11" t="s">
        <v>20</v>
      </c>
      <c r="C2922" s="11" t="s">
        <v>44</v>
      </c>
      <c r="D2922" s="12">
        <v>979</v>
      </c>
      <c r="E2922" s="13">
        <v>3</v>
      </c>
    </row>
    <row r="2923" spans="1:5" x14ac:dyDescent="0.25">
      <c r="A2923" s="11" t="s">
        <v>1527</v>
      </c>
      <c r="B2923" s="11" t="s">
        <v>20</v>
      </c>
      <c r="C2923" s="11" t="s">
        <v>34</v>
      </c>
      <c r="D2923" s="12">
        <v>979</v>
      </c>
      <c r="E2923" s="13">
        <v>2</v>
      </c>
    </row>
    <row r="2924" spans="1:5" x14ac:dyDescent="0.25">
      <c r="A2924" s="11" t="s">
        <v>1546</v>
      </c>
      <c r="B2924" s="11" t="s">
        <v>26</v>
      </c>
      <c r="C2924" s="11" t="s">
        <v>111</v>
      </c>
      <c r="D2924" s="12">
        <v>979</v>
      </c>
      <c r="E2924" s="13">
        <v>0</v>
      </c>
    </row>
    <row r="2925" spans="1:5" x14ac:dyDescent="0.25">
      <c r="A2925" s="11" t="s">
        <v>1552</v>
      </c>
      <c r="B2925" s="11" t="s">
        <v>24</v>
      </c>
      <c r="C2925" s="11" t="s">
        <v>53</v>
      </c>
      <c r="D2925" s="12">
        <v>979</v>
      </c>
      <c r="E2925" s="13">
        <v>5</v>
      </c>
    </row>
    <row r="2926" spans="1:5" x14ac:dyDescent="0.25">
      <c r="A2926" s="11" t="s">
        <v>94</v>
      </c>
      <c r="B2926" s="11" t="s">
        <v>24</v>
      </c>
      <c r="C2926" s="11" t="s">
        <v>32</v>
      </c>
      <c r="D2926" s="12">
        <v>980</v>
      </c>
      <c r="E2926" s="13">
        <v>4</v>
      </c>
    </row>
    <row r="2927" spans="1:5" x14ac:dyDescent="0.25">
      <c r="A2927" s="11" t="s">
        <v>182</v>
      </c>
      <c r="B2927" s="11" t="s">
        <v>26</v>
      </c>
      <c r="C2927" s="11" t="s">
        <v>27</v>
      </c>
      <c r="D2927" s="12">
        <v>980</v>
      </c>
      <c r="E2927" s="13">
        <v>7</v>
      </c>
    </row>
    <row r="2928" spans="1:5" x14ac:dyDescent="0.25">
      <c r="A2928" s="11" t="s">
        <v>1087</v>
      </c>
      <c r="B2928" s="11" t="s">
        <v>20</v>
      </c>
      <c r="C2928" s="11" t="s">
        <v>44</v>
      </c>
      <c r="D2928" s="12">
        <v>980</v>
      </c>
      <c r="E2928" s="13">
        <v>8</v>
      </c>
    </row>
    <row r="2929" spans="1:5" x14ac:dyDescent="0.25">
      <c r="A2929" s="11" t="s">
        <v>1235</v>
      </c>
      <c r="B2929" s="11" t="s">
        <v>24</v>
      </c>
      <c r="C2929" s="11" t="s">
        <v>28</v>
      </c>
      <c r="D2929" s="12">
        <v>980</v>
      </c>
      <c r="E2929" s="13">
        <v>0</v>
      </c>
    </row>
    <row r="2930" spans="1:5" x14ac:dyDescent="0.25">
      <c r="A2930" s="11" t="s">
        <v>1520</v>
      </c>
      <c r="B2930" s="11" t="s">
        <v>26</v>
      </c>
      <c r="C2930" s="11" t="s">
        <v>53</v>
      </c>
      <c r="D2930" s="12">
        <v>980</v>
      </c>
      <c r="E2930" s="13">
        <v>0</v>
      </c>
    </row>
    <row r="2931" spans="1:5" x14ac:dyDescent="0.25">
      <c r="A2931" s="11" t="s">
        <v>1581</v>
      </c>
      <c r="B2931" s="11" t="s">
        <v>26</v>
      </c>
      <c r="C2931" s="11" t="s">
        <v>39</v>
      </c>
      <c r="D2931" s="12">
        <v>980</v>
      </c>
      <c r="E2931" s="13">
        <v>0</v>
      </c>
    </row>
    <row r="2932" spans="1:5" x14ac:dyDescent="0.25">
      <c r="A2932" s="11" t="s">
        <v>1627</v>
      </c>
      <c r="B2932" s="11" t="s">
        <v>20</v>
      </c>
      <c r="C2932" s="11" t="s">
        <v>53</v>
      </c>
      <c r="D2932" s="12">
        <v>980</v>
      </c>
      <c r="E2932" s="13">
        <v>0</v>
      </c>
    </row>
    <row r="2933" spans="1:5" x14ac:dyDescent="0.25">
      <c r="A2933" s="11" t="s">
        <v>263</v>
      </c>
      <c r="B2933" s="11" t="s">
        <v>20</v>
      </c>
      <c r="C2933" s="11" t="s">
        <v>25</v>
      </c>
      <c r="D2933" s="12">
        <v>981</v>
      </c>
      <c r="E2933" s="13">
        <v>0</v>
      </c>
    </row>
    <row r="2934" spans="1:5" x14ac:dyDescent="0.25">
      <c r="A2934" s="11" t="s">
        <v>857</v>
      </c>
      <c r="B2934" s="11" t="s">
        <v>24</v>
      </c>
      <c r="C2934" s="11" t="s">
        <v>28</v>
      </c>
      <c r="D2934" s="12">
        <v>981</v>
      </c>
      <c r="E2934" s="13">
        <v>0</v>
      </c>
    </row>
    <row r="2935" spans="1:5" x14ac:dyDescent="0.25">
      <c r="A2935" s="11" t="s">
        <v>892</v>
      </c>
      <c r="B2935" s="11" t="s">
        <v>20</v>
      </c>
      <c r="C2935" s="11" t="s">
        <v>27</v>
      </c>
      <c r="D2935" s="12">
        <v>981</v>
      </c>
      <c r="E2935" s="13">
        <v>1</v>
      </c>
    </row>
    <row r="2936" spans="1:5" x14ac:dyDescent="0.25">
      <c r="A2936" s="11" t="s">
        <v>914</v>
      </c>
      <c r="B2936" s="11" t="s">
        <v>26</v>
      </c>
      <c r="C2936" s="11" t="s">
        <v>30</v>
      </c>
      <c r="D2936" s="12">
        <v>981</v>
      </c>
      <c r="E2936" s="13">
        <v>0</v>
      </c>
    </row>
    <row r="2937" spans="1:5" x14ac:dyDescent="0.25">
      <c r="A2937" s="11" t="s">
        <v>1823</v>
      </c>
      <c r="B2937" s="11" t="s">
        <v>26</v>
      </c>
      <c r="C2937" s="11" t="s">
        <v>34</v>
      </c>
      <c r="D2937" s="12">
        <v>981</v>
      </c>
      <c r="E2937" s="13">
        <v>9</v>
      </c>
    </row>
    <row r="2938" spans="1:5" x14ac:dyDescent="0.25">
      <c r="A2938" s="11" t="s">
        <v>988</v>
      </c>
      <c r="B2938" s="11" t="s">
        <v>20</v>
      </c>
      <c r="C2938" s="11" t="s">
        <v>27</v>
      </c>
      <c r="D2938" s="12">
        <v>983</v>
      </c>
      <c r="E2938" s="13">
        <v>2</v>
      </c>
    </row>
    <row r="2939" spans="1:5" x14ac:dyDescent="0.25">
      <c r="A2939" s="11" t="s">
        <v>1696</v>
      </c>
      <c r="B2939" s="11" t="s">
        <v>24</v>
      </c>
      <c r="C2939" s="11" t="s">
        <v>44</v>
      </c>
      <c r="D2939" s="12">
        <v>984</v>
      </c>
      <c r="E2939" s="13">
        <v>1</v>
      </c>
    </row>
    <row r="2940" spans="1:5" x14ac:dyDescent="0.25">
      <c r="A2940" s="11" t="s">
        <v>1808</v>
      </c>
      <c r="B2940" s="11" t="s">
        <v>26</v>
      </c>
      <c r="C2940" s="11" t="s">
        <v>111</v>
      </c>
      <c r="D2940" s="12">
        <v>984</v>
      </c>
      <c r="E2940" s="13">
        <v>5</v>
      </c>
    </row>
    <row r="2941" spans="1:5" x14ac:dyDescent="0.25">
      <c r="A2941" s="11" t="s">
        <v>1143</v>
      </c>
      <c r="B2941" s="11" t="s">
        <v>24</v>
      </c>
      <c r="C2941" s="11" t="s">
        <v>27</v>
      </c>
      <c r="D2941" s="12">
        <v>985</v>
      </c>
      <c r="E2941" s="13">
        <v>0</v>
      </c>
    </row>
    <row r="2942" spans="1:5" x14ac:dyDescent="0.25">
      <c r="A2942" s="11" t="s">
        <v>1976</v>
      </c>
      <c r="B2942" s="11" t="s">
        <v>24</v>
      </c>
      <c r="C2942" s="11" t="s">
        <v>32</v>
      </c>
      <c r="D2942" s="12">
        <v>985</v>
      </c>
      <c r="E2942" s="13">
        <v>3</v>
      </c>
    </row>
    <row r="2943" spans="1:5" x14ac:dyDescent="0.25">
      <c r="A2943" s="11" t="s">
        <v>124</v>
      </c>
      <c r="B2943" s="11" t="s">
        <v>24</v>
      </c>
      <c r="C2943" s="11" t="s">
        <v>44</v>
      </c>
      <c r="D2943" s="12">
        <v>986</v>
      </c>
      <c r="E2943" s="13">
        <v>2</v>
      </c>
    </row>
    <row r="2944" spans="1:5" x14ac:dyDescent="0.25">
      <c r="A2944" s="11" t="s">
        <v>1489</v>
      </c>
      <c r="B2944" s="11" t="s">
        <v>20</v>
      </c>
      <c r="C2944" s="11" t="s">
        <v>44</v>
      </c>
      <c r="D2944" s="12">
        <v>986</v>
      </c>
      <c r="E2944" s="13">
        <v>0</v>
      </c>
    </row>
    <row r="2945" spans="1:5" x14ac:dyDescent="0.25">
      <c r="A2945" s="11" t="s">
        <v>1503</v>
      </c>
      <c r="B2945" s="11" t="s">
        <v>24</v>
      </c>
      <c r="C2945" s="11" t="s">
        <v>27</v>
      </c>
      <c r="D2945" s="12">
        <v>987</v>
      </c>
      <c r="E2945" s="13">
        <v>0</v>
      </c>
    </row>
    <row r="2946" spans="1:5" x14ac:dyDescent="0.25">
      <c r="A2946" s="11" t="s">
        <v>1647</v>
      </c>
      <c r="B2946" s="11" t="s">
        <v>24</v>
      </c>
      <c r="C2946" s="11" t="s">
        <v>21</v>
      </c>
      <c r="D2946" s="12">
        <v>987</v>
      </c>
      <c r="E2946" s="13">
        <v>3</v>
      </c>
    </row>
    <row r="2947" spans="1:5" x14ac:dyDescent="0.25">
      <c r="A2947" s="11" t="s">
        <v>631</v>
      </c>
      <c r="B2947" s="11" t="s">
        <v>24</v>
      </c>
      <c r="C2947" s="11" t="s">
        <v>43</v>
      </c>
      <c r="D2947" s="12">
        <v>988</v>
      </c>
      <c r="E2947" s="13">
        <v>2</v>
      </c>
    </row>
    <row r="2948" spans="1:5" x14ac:dyDescent="0.25">
      <c r="A2948" s="11" t="s">
        <v>1254</v>
      </c>
      <c r="B2948" s="11" t="s">
        <v>24</v>
      </c>
      <c r="C2948" s="11" t="s">
        <v>21</v>
      </c>
      <c r="D2948" s="12">
        <v>988</v>
      </c>
      <c r="E2948" s="13">
        <v>0</v>
      </c>
    </row>
    <row r="2949" spans="1:5" x14ac:dyDescent="0.25">
      <c r="A2949" s="11" t="s">
        <v>288</v>
      </c>
      <c r="B2949" s="11" t="s">
        <v>24</v>
      </c>
      <c r="C2949" s="11" t="s">
        <v>28</v>
      </c>
      <c r="D2949" s="12">
        <v>989</v>
      </c>
      <c r="E2949" s="13">
        <v>0</v>
      </c>
    </row>
    <row r="2950" spans="1:5" x14ac:dyDescent="0.25">
      <c r="A2950" s="11" t="s">
        <v>578</v>
      </c>
      <c r="B2950" s="11" t="s">
        <v>24</v>
      </c>
      <c r="C2950" s="11" t="s">
        <v>66</v>
      </c>
      <c r="D2950" s="12">
        <v>991</v>
      </c>
      <c r="E2950" s="13">
        <v>0</v>
      </c>
    </row>
    <row r="2951" spans="1:5" x14ac:dyDescent="0.25">
      <c r="A2951" s="11" t="s">
        <v>901</v>
      </c>
      <c r="B2951" s="11" t="s">
        <v>26</v>
      </c>
      <c r="C2951" s="11" t="s">
        <v>44</v>
      </c>
      <c r="D2951" s="12">
        <v>991</v>
      </c>
      <c r="E2951" s="13">
        <v>6</v>
      </c>
    </row>
    <row r="2952" spans="1:5" x14ac:dyDescent="0.25">
      <c r="A2952" s="11" t="s">
        <v>949</v>
      </c>
      <c r="B2952" s="11" t="s">
        <v>20</v>
      </c>
      <c r="C2952" s="11" t="s">
        <v>22</v>
      </c>
      <c r="D2952" s="12">
        <v>991</v>
      </c>
      <c r="E2952" s="13">
        <v>4</v>
      </c>
    </row>
    <row r="2953" spans="1:5" x14ac:dyDescent="0.25">
      <c r="A2953" s="11" t="s">
        <v>1580</v>
      </c>
      <c r="B2953" s="11" t="s">
        <v>24</v>
      </c>
      <c r="C2953" s="11" t="s">
        <v>5</v>
      </c>
      <c r="D2953" s="12">
        <v>991</v>
      </c>
      <c r="E2953" s="13">
        <v>7</v>
      </c>
    </row>
    <row r="2954" spans="1:5" x14ac:dyDescent="0.25">
      <c r="A2954" s="11" t="s">
        <v>1633</v>
      </c>
      <c r="B2954" s="11" t="s">
        <v>26</v>
      </c>
      <c r="C2954" s="11" t="s">
        <v>39</v>
      </c>
      <c r="D2954" s="12">
        <v>991</v>
      </c>
      <c r="E2954" s="13">
        <v>6</v>
      </c>
    </row>
    <row r="2955" spans="1:5" x14ac:dyDescent="0.25">
      <c r="A2955" s="11" t="s">
        <v>1903</v>
      </c>
      <c r="B2955" s="11" t="s">
        <v>26</v>
      </c>
      <c r="C2955" s="11" t="s">
        <v>34</v>
      </c>
      <c r="D2955" s="12">
        <v>991</v>
      </c>
      <c r="E2955" s="13">
        <v>0</v>
      </c>
    </row>
    <row r="2956" spans="1:5" x14ac:dyDescent="0.25">
      <c r="A2956" s="11" t="s">
        <v>122</v>
      </c>
      <c r="B2956" s="11" t="s">
        <v>26</v>
      </c>
      <c r="C2956" s="11" t="s">
        <v>27</v>
      </c>
      <c r="D2956" s="12">
        <v>992</v>
      </c>
      <c r="E2956" s="13">
        <v>0</v>
      </c>
    </row>
    <row r="2957" spans="1:5" x14ac:dyDescent="0.25">
      <c r="A2957" s="11" t="s">
        <v>1409</v>
      </c>
      <c r="B2957" s="11" t="s">
        <v>26</v>
      </c>
      <c r="C2957" s="11" t="s">
        <v>111</v>
      </c>
      <c r="D2957" s="12">
        <v>992</v>
      </c>
      <c r="E2957" s="13">
        <v>0</v>
      </c>
    </row>
    <row r="2958" spans="1:5" x14ac:dyDescent="0.25">
      <c r="A2958" s="11" t="s">
        <v>1418</v>
      </c>
      <c r="B2958" s="11" t="s">
        <v>26</v>
      </c>
      <c r="C2958" s="11" t="s">
        <v>30</v>
      </c>
      <c r="D2958" s="12">
        <v>992</v>
      </c>
      <c r="E2958" s="13">
        <v>1</v>
      </c>
    </row>
    <row r="2959" spans="1:5" x14ac:dyDescent="0.25">
      <c r="A2959" s="11" t="s">
        <v>1735</v>
      </c>
      <c r="B2959" s="11" t="s">
        <v>24</v>
      </c>
      <c r="C2959" s="11" t="s">
        <v>66</v>
      </c>
      <c r="D2959" s="12">
        <v>992</v>
      </c>
      <c r="E2959" s="13">
        <v>0</v>
      </c>
    </row>
    <row r="2960" spans="1:5" x14ac:dyDescent="0.25">
      <c r="A2960" s="11" t="s">
        <v>1375</v>
      </c>
      <c r="B2960" s="11" t="s">
        <v>20</v>
      </c>
      <c r="C2960" s="11" t="s">
        <v>53</v>
      </c>
      <c r="D2960" s="12">
        <v>993</v>
      </c>
      <c r="E2960" s="13">
        <v>2</v>
      </c>
    </row>
    <row r="2961" spans="1:5" x14ac:dyDescent="0.25">
      <c r="A2961" s="11" t="s">
        <v>193</v>
      </c>
      <c r="B2961" s="11" t="s">
        <v>24</v>
      </c>
      <c r="C2961" s="11" t="s">
        <v>66</v>
      </c>
      <c r="D2961" s="12">
        <v>994</v>
      </c>
      <c r="E2961" s="13">
        <v>0</v>
      </c>
    </row>
    <row r="2962" spans="1:5" x14ac:dyDescent="0.25">
      <c r="A2962" s="11" t="s">
        <v>1782</v>
      </c>
      <c r="B2962" s="11" t="s">
        <v>20</v>
      </c>
      <c r="C2962" s="11" t="s">
        <v>111</v>
      </c>
      <c r="D2962" s="12">
        <v>994</v>
      </c>
      <c r="E2962" s="13">
        <v>14</v>
      </c>
    </row>
    <row r="2963" spans="1:5" x14ac:dyDescent="0.25">
      <c r="A2963" s="11" t="s">
        <v>1495</v>
      </c>
      <c r="B2963" s="11" t="s">
        <v>26</v>
      </c>
      <c r="C2963" s="11" t="s">
        <v>21</v>
      </c>
      <c r="D2963" s="12">
        <v>995</v>
      </c>
      <c r="E2963" s="13">
        <v>0</v>
      </c>
    </row>
    <row r="2964" spans="1:5" x14ac:dyDescent="0.25">
      <c r="A2964" s="11" t="s">
        <v>1834</v>
      </c>
      <c r="B2964" s="11" t="s">
        <v>24</v>
      </c>
      <c r="C2964" s="11" t="s">
        <v>44</v>
      </c>
      <c r="D2964" s="12">
        <v>995</v>
      </c>
      <c r="E2964" s="13">
        <v>2</v>
      </c>
    </row>
    <row r="2965" spans="1:5" x14ac:dyDescent="0.25">
      <c r="A2965" s="11" t="s">
        <v>128</v>
      </c>
      <c r="B2965" s="11" t="s">
        <v>20</v>
      </c>
      <c r="C2965" s="11" t="s">
        <v>62</v>
      </c>
      <c r="D2965" s="12">
        <v>996</v>
      </c>
      <c r="E2965" s="13">
        <v>1</v>
      </c>
    </row>
    <row r="2966" spans="1:5" x14ac:dyDescent="0.25">
      <c r="A2966" s="11" t="s">
        <v>162</v>
      </c>
      <c r="B2966" s="11" t="s">
        <v>24</v>
      </c>
      <c r="C2966" s="11" t="s">
        <v>30</v>
      </c>
      <c r="D2966" s="12">
        <v>996</v>
      </c>
      <c r="E2966" s="13">
        <v>9</v>
      </c>
    </row>
    <row r="2967" spans="1:5" x14ac:dyDescent="0.25">
      <c r="A2967" s="11" t="s">
        <v>1223</v>
      </c>
      <c r="B2967" s="11" t="s">
        <v>26</v>
      </c>
      <c r="C2967" s="11" t="s">
        <v>44</v>
      </c>
      <c r="D2967" s="12">
        <v>996</v>
      </c>
      <c r="E2967" s="13">
        <v>2</v>
      </c>
    </row>
    <row r="2968" spans="1:5" x14ac:dyDescent="0.25">
      <c r="A2968" s="11" t="s">
        <v>1473</v>
      </c>
      <c r="B2968" s="11" t="s">
        <v>24</v>
      </c>
      <c r="C2968" s="11" t="s">
        <v>5</v>
      </c>
      <c r="D2968" s="12">
        <v>996</v>
      </c>
      <c r="E2968" s="13">
        <v>0</v>
      </c>
    </row>
    <row r="2969" spans="1:5" x14ac:dyDescent="0.25">
      <c r="A2969" s="11" t="s">
        <v>1624</v>
      </c>
      <c r="B2969" s="11" t="s">
        <v>26</v>
      </c>
      <c r="C2969" s="11" t="s">
        <v>44</v>
      </c>
      <c r="D2969" s="12">
        <v>996</v>
      </c>
      <c r="E2969" s="13">
        <v>3</v>
      </c>
    </row>
    <row r="2970" spans="1:5" x14ac:dyDescent="0.25">
      <c r="A2970" s="11" t="s">
        <v>825</v>
      </c>
      <c r="B2970" s="11" t="s">
        <v>20</v>
      </c>
      <c r="C2970" s="11" t="s">
        <v>21</v>
      </c>
      <c r="D2970" s="12">
        <v>997</v>
      </c>
      <c r="E2970" s="13">
        <v>2</v>
      </c>
    </row>
    <row r="2971" spans="1:5" x14ac:dyDescent="0.25">
      <c r="A2971" s="11" t="s">
        <v>1025</v>
      </c>
      <c r="B2971" s="11" t="s">
        <v>20</v>
      </c>
      <c r="C2971" s="11" t="s">
        <v>28</v>
      </c>
      <c r="D2971" s="12">
        <v>997</v>
      </c>
      <c r="E2971" s="13">
        <v>3</v>
      </c>
    </row>
    <row r="2972" spans="1:5" ht="39.6" x14ac:dyDescent="0.25">
      <c r="A2972" s="23" t="s">
        <v>1482</v>
      </c>
      <c r="B2972" s="11" t="s">
        <v>24</v>
      </c>
      <c r="C2972" s="11" t="s">
        <v>44</v>
      </c>
      <c r="D2972" s="12">
        <v>997</v>
      </c>
      <c r="E2972" s="13">
        <v>5</v>
      </c>
    </row>
    <row r="2973" spans="1:5" x14ac:dyDescent="0.25">
      <c r="A2973" s="11" t="s">
        <v>1501</v>
      </c>
      <c r="B2973" s="11" t="s">
        <v>24</v>
      </c>
      <c r="C2973" s="11" t="s">
        <v>27</v>
      </c>
      <c r="D2973" s="12">
        <v>997</v>
      </c>
      <c r="E2973" s="13">
        <v>2</v>
      </c>
    </row>
    <row r="2974" spans="1:5" x14ac:dyDescent="0.25">
      <c r="A2974" s="11" t="s">
        <v>1884</v>
      </c>
      <c r="B2974" s="11" t="s">
        <v>24</v>
      </c>
      <c r="C2974" s="11" t="s">
        <v>32</v>
      </c>
      <c r="D2974" s="12">
        <v>997</v>
      </c>
      <c r="E2974" s="13">
        <v>1</v>
      </c>
    </row>
    <row r="2975" spans="1:5" x14ac:dyDescent="0.25">
      <c r="A2975" s="11" t="s">
        <v>58</v>
      </c>
      <c r="B2975" s="11" t="s">
        <v>26</v>
      </c>
      <c r="C2975" s="11" t="s">
        <v>21</v>
      </c>
      <c r="D2975" s="12">
        <v>998</v>
      </c>
      <c r="E2975" s="13">
        <v>1</v>
      </c>
    </row>
    <row r="2976" spans="1:5" x14ac:dyDescent="0.25">
      <c r="A2976" s="11" t="s">
        <v>222</v>
      </c>
      <c r="B2976" s="11" t="s">
        <v>24</v>
      </c>
      <c r="C2976" s="11" t="s">
        <v>53</v>
      </c>
      <c r="D2976" s="12">
        <v>999</v>
      </c>
      <c r="E2976" s="13">
        <v>0</v>
      </c>
    </row>
    <row r="2977" spans="1:5" x14ac:dyDescent="0.25">
      <c r="A2977" s="11" t="s">
        <v>756</v>
      </c>
      <c r="B2977" s="11" t="s">
        <v>24</v>
      </c>
      <c r="C2977" s="11" t="s">
        <v>27</v>
      </c>
      <c r="D2977" s="12">
        <v>999</v>
      </c>
      <c r="E2977" s="13">
        <v>5</v>
      </c>
    </row>
    <row r="2978" spans="1:5" x14ac:dyDescent="0.25">
      <c r="A2978" s="11" t="s">
        <v>1115</v>
      </c>
      <c r="B2978" s="11" t="s">
        <v>24</v>
      </c>
      <c r="C2978" s="11" t="s">
        <v>27</v>
      </c>
      <c r="D2978" s="12">
        <v>999</v>
      </c>
      <c r="E2978" s="13">
        <v>1</v>
      </c>
    </row>
    <row r="2979" spans="1:5" x14ac:dyDescent="0.25">
      <c r="A2979" s="11" t="s">
        <v>484</v>
      </c>
      <c r="B2979" s="11" t="s">
        <v>26</v>
      </c>
      <c r="C2979" s="11" t="s">
        <v>66</v>
      </c>
      <c r="D2979" s="12">
        <v>1000</v>
      </c>
      <c r="E2979" s="13">
        <v>0</v>
      </c>
    </row>
  </sheetData>
  <autoFilter ref="A1:E2979" xr:uid="{6F791C87-5E8F-4B78-9F1E-20B57C98F2A6}">
    <sortState xmlns:xlrd2="http://schemas.microsoft.com/office/spreadsheetml/2017/richdata2" ref="A2:E2979">
      <sortCondition ref="D1:D297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D3B4-9C60-41D4-8B56-A83DA4A2FCE2}">
  <dimension ref="A1:Y601"/>
  <sheetViews>
    <sheetView tabSelected="1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T9" sqref="T9"/>
    </sheetView>
  </sheetViews>
  <sheetFormatPr defaultRowHeight="13.2" x14ac:dyDescent="0.25"/>
  <cols>
    <col min="2" max="2" width="57.5546875" bestFit="1" customWidth="1"/>
    <col min="3" max="3" width="10.109375" bestFit="1" customWidth="1"/>
    <col min="4" max="4" width="12.77734375" bestFit="1" customWidth="1"/>
    <col min="5" max="5" width="16.77734375" bestFit="1" customWidth="1"/>
    <col min="6" max="6" width="16.21875" bestFit="1" customWidth="1"/>
    <col min="25" max="25" width="8.88671875" style="26"/>
  </cols>
  <sheetData>
    <row r="1" spans="1:25" ht="52.8" x14ac:dyDescent="0.25">
      <c r="A1" s="21" t="s">
        <v>1988</v>
      </c>
      <c r="B1" s="17" t="s">
        <v>1989</v>
      </c>
      <c r="C1" s="17" t="s">
        <v>1990</v>
      </c>
      <c r="D1" s="17" t="s">
        <v>1991</v>
      </c>
      <c r="E1" s="17" t="s">
        <v>1992</v>
      </c>
      <c r="F1" s="17" t="s">
        <v>1993</v>
      </c>
      <c r="G1" s="17" t="s">
        <v>1994</v>
      </c>
      <c r="H1" s="17" t="s">
        <v>1995</v>
      </c>
      <c r="I1" s="17" t="s">
        <v>1996</v>
      </c>
      <c r="J1" s="17" t="s">
        <v>1997</v>
      </c>
      <c r="K1" s="17" t="s">
        <v>1998</v>
      </c>
      <c r="L1" s="17" t="s">
        <v>1999</v>
      </c>
      <c r="M1" s="17" t="s">
        <v>2000</v>
      </c>
      <c r="N1" s="17" t="s">
        <v>2001</v>
      </c>
      <c r="O1" s="17" t="s">
        <v>2002</v>
      </c>
      <c r="P1" s="17" t="s">
        <v>2003</v>
      </c>
      <c r="Q1" s="17" t="s">
        <v>2004</v>
      </c>
      <c r="R1" s="17" t="s">
        <v>2005</v>
      </c>
      <c r="S1" s="17" t="s">
        <v>2006</v>
      </c>
      <c r="T1" s="17" t="s">
        <v>2007</v>
      </c>
      <c r="U1" s="17" t="s">
        <v>2008</v>
      </c>
      <c r="V1" s="17" t="s">
        <v>2009</v>
      </c>
      <c r="W1" s="17" t="s">
        <v>2010</v>
      </c>
      <c r="X1" s="17" t="s">
        <v>2011</v>
      </c>
      <c r="Y1" s="25" t="s">
        <v>2420</v>
      </c>
    </row>
    <row r="2" spans="1:25" x14ac:dyDescent="0.25">
      <c r="A2" t="s">
        <v>2012</v>
      </c>
      <c r="B2" t="s">
        <v>2013</v>
      </c>
      <c r="C2" s="22">
        <v>42484</v>
      </c>
      <c r="D2" t="s">
        <v>2014</v>
      </c>
      <c r="E2" t="s">
        <v>2015</v>
      </c>
      <c r="F2" t="s">
        <v>2016</v>
      </c>
      <c r="G2">
        <v>648</v>
      </c>
      <c r="H2">
        <v>231336</v>
      </c>
      <c r="I2">
        <v>693</v>
      </c>
      <c r="J2">
        <v>214137</v>
      </c>
      <c r="K2">
        <v>187</v>
      </c>
      <c r="L2">
        <v>66198</v>
      </c>
      <c r="M2">
        <v>251</v>
      </c>
      <c r="N2">
        <v>97388</v>
      </c>
      <c r="O2">
        <v>445</v>
      </c>
      <c r="P2">
        <v>195355</v>
      </c>
      <c r="Q2">
        <v>713</v>
      </c>
      <c r="R2">
        <v>300886</v>
      </c>
      <c r="S2">
        <v>355</v>
      </c>
      <c r="T2">
        <v>158685</v>
      </c>
      <c r="U2">
        <v>389</v>
      </c>
      <c r="V2">
        <v>152099</v>
      </c>
      <c r="W2">
        <v>556</v>
      </c>
      <c r="X2">
        <v>247420</v>
      </c>
      <c r="Y2" s="26">
        <f>SUMIF($G$1:$X$1,"Количество*",G2:X2)</f>
        <v>4237</v>
      </c>
    </row>
    <row r="3" spans="1:25" x14ac:dyDescent="0.25">
      <c r="A3" t="s">
        <v>2017</v>
      </c>
      <c r="B3" t="s">
        <v>2018</v>
      </c>
      <c r="C3" s="22">
        <v>42609</v>
      </c>
      <c r="D3" t="s">
        <v>2014</v>
      </c>
      <c r="E3" t="s">
        <v>2019</v>
      </c>
      <c r="F3" t="s">
        <v>2016</v>
      </c>
      <c r="G3">
        <v>157</v>
      </c>
      <c r="H3">
        <v>47100</v>
      </c>
      <c r="I3">
        <v>505</v>
      </c>
      <c r="J3">
        <v>211090</v>
      </c>
      <c r="K3">
        <v>213</v>
      </c>
      <c r="L3">
        <v>74550</v>
      </c>
      <c r="M3">
        <v>463</v>
      </c>
      <c r="N3">
        <v>193071</v>
      </c>
      <c r="O3">
        <v>161</v>
      </c>
      <c r="P3">
        <v>48461</v>
      </c>
      <c r="Q3">
        <v>332</v>
      </c>
      <c r="R3">
        <v>118524</v>
      </c>
      <c r="S3">
        <v>372</v>
      </c>
      <c r="T3">
        <v>113088</v>
      </c>
      <c r="U3">
        <v>172</v>
      </c>
      <c r="V3">
        <v>62092</v>
      </c>
      <c r="W3">
        <v>564</v>
      </c>
      <c r="X3">
        <v>184992</v>
      </c>
      <c r="Y3" s="26">
        <f t="shared" ref="Y3:Y66" si="0">SUMIF($G$1:$X$1,"Количество*",G3:X3)</f>
        <v>2939</v>
      </c>
    </row>
    <row r="4" spans="1:25" x14ac:dyDescent="0.25">
      <c r="A4" t="s">
        <v>2020</v>
      </c>
      <c r="B4" t="s">
        <v>2021</v>
      </c>
      <c r="C4" s="22">
        <v>43385</v>
      </c>
      <c r="D4" t="s">
        <v>2014</v>
      </c>
      <c r="E4" t="s">
        <v>2015</v>
      </c>
      <c r="F4" t="s">
        <v>2016</v>
      </c>
      <c r="G4">
        <v>785</v>
      </c>
      <c r="H4">
        <v>306150</v>
      </c>
      <c r="I4">
        <v>102</v>
      </c>
      <c r="J4">
        <v>43860</v>
      </c>
      <c r="K4">
        <v>508</v>
      </c>
      <c r="L4">
        <v>228600</v>
      </c>
      <c r="M4">
        <v>154</v>
      </c>
      <c r="N4">
        <v>58520</v>
      </c>
      <c r="O4">
        <v>478</v>
      </c>
      <c r="P4">
        <v>149136</v>
      </c>
      <c r="Q4">
        <v>146</v>
      </c>
      <c r="R4">
        <v>44968</v>
      </c>
      <c r="S4">
        <v>365</v>
      </c>
      <c r="T4">
        <v>123370</v>
      </c>
      <c r="U4">
        <v>234</v>
      </c>
      <c r="V4">
        <v>73008</v>
      </c>
      <c r="W4">
        <v>641</v>
      </c>
      <c r="X4">
        <v>200633</v>
      </c>
      <c r="Y4" s="26">
        <f t="shared" si="0"/>
        <v>3413</v>
      </c>
    </row>
    <row r="5" spans="1:25" x14ac:dyDescent="0.25">
      <c r="A5" t="s">
        <v>2022</v>
      </c>
      <c r="B5" t="s">
        <v>2023</v>
      </c>
      <c r="C5" s="22">
        <v>42908</v>
      </c>
      <c r="D5" t="s">
        <v>2014</v>
      </c>
      <c r="E5" t="s">
        <v>2019</v>
      </c>
      <c r="F5" t="s">
        <v>2016</v>
      </c>
      <c r="G5">
        <v>537</v>
      </c>
      <c r="H5">
        <v>177747</v>
      </c>
      <c r="I5">
        <v>441</v>
      </c>
      <c r="J5">
        <v>158319</v>
      </c>
      <c r="K5">
        <v>238</v>
      </c>
      <c r="L5">
        <v>99246</v>
      </c>
      <c r="M5">
        <v>238</v>
      </c>
      <c r="N5">
        <v>85204</v>
      </c>
      <c r="O5">
        <v>595</v>
      </c>
      <c r="P5">
        <v>257040</v>
      </c>
      <c r="Q5">
        <v>320</v>
      </c>
      <c r="R5">
        <v>100480</v>
      </c>
      <c r="S5">
        <v>130</v>
      </c>
      <c r="T5">
        <v>46670</v>
      </c>
      <c r="U5">
        <v>264</v>
      </c>
      <c r="V5">
        <v>101112</v>
      </c>
      <c r="W5">
        <v>706</v>
      </c>
      <c r="X5">
        <v>240746</v>
      </c>
      <c r="Y5" s="26">
        <f t="shared" si="0"/>
        <v>3469</v>
      </c>
    </row>
    <row r="6" spans="1:25" x14ac:dyDescent="0.25">
      <c r="A6" t="s">
        <v>2024</v>
      </c>
      <c r="B6" t="s">
        <v>2025</v>
      </c>
      <c r="C6" s="22">
        <v>42104</v>
      </c>
      <c r="D6" t="s">
        <v>2026</v>
      </c>
      <c r="E6" t="s">
        <v>2027</v>
      </c>
      <c r="F6" t="s">
        <v>2016</v>
      </c>
      <c r="G6">
        <v>482</v>
      </c>
      <c r="H6">
        <v>215936</v>
      </c>
      <c r="I6">
        <v>341</v>
      </c>
      <c r="J6">
        <v>121396</v>
      </c>
      <c r="K6">
        <v>623</v>
      </c>
      <c r="L6">
        <v>218050</v>
      </c>
      <c r="M6">
        <v>600</v>
      </c>
      <c r="N6">
        <v>205200</v>
      </c>
      <c r="O6">
        <v>441</v>
      </c>
      <c r="P6">
        <v>145530</v>
      </c>
      <c r="Q6">
        <v>519</v>
      </c>
      <c r="R6">
        <v>167637</v>
      </c>
      <c r="S6">
        <v>667</v>
      </c>
      <c r="T6">
        <v>252126</v>
      </c>
      <c r="U6">
        <v>575</v>
      </c>
      <c r="V6">
        <v>192050</v>
      </c>
      <c r="W6">
        <v>572</v>
      </c>
      <c r="X6">
        <v>195052</v>
      </c>
      <c r="Y6" s="26">
        <f t="shared" si="0"/>
        <v>4820</v>
      </c>
    </row>
    <row r="7" spans="1:25" x14ac:dyDescent="0.25">
      <c r="A7" t="s">
        <v>2028</v>
      </c>
      <c r="B7" t="s">
        <v>2029</v>
      </c>
      <c r="C7" s="22">
        <v>44108</v>
      </c>
      <c r="D7" t="s">
        <v>2026</v>
      </c>
      <c r="E7" t="s">
        <v>2027</v>
      </c>
      <c r="F7" t="s">
        <v>2016</v>
      </c>
      <c r="G7">
        <v>625</v>
      </c>
      <c r="H7">
        <v>200000</v>
      </c>
      <c r="I7">
        <v>638</v>
      </c>
      <c r="J7">
        <v>225214</v>
      </c>
      <c r="K7">
        <v>247</v>
      </c>
      <c r="L7">
        <v>108186</v>
      </c>
      <c r="M7">
        <v>674</v>
      </c>
      <c r="N7">
        <v>291168</v>
      </c>
      <c r="O7">
        <v>542</v>
      </c>
      <c r="P7">
        <v>209212</v>
      </c>
      <c r="Q7">
        <v>788</v>
      </c>
      <c r="R7">
        <v>276588</v>
      </c>
      <c r="S7">
        <v>780</v>
      </c>
      <c r="T7">
        <v>293280</v>
      </c>
      <c r="U7">
        <v>496</v>
      </c>
      <c r="V7">
        <v>211296</v>
      </c>
      <c r="W7">
        <v>103</v>
      </c>
      <c r="X7">
        <v>40273</v>
      </c>
      <c r="Y7" s="26">
        <f t="shared" si="0"/>
        <v>4893</v>
      </c>
    </row>
    <row r="8" spans="1:25" x14ac:dyDescent="0.25">
      <c r="A8" t="s">
        <v>2030</v>
      </c>
      <c r="B8" t="s">
        <v>2031</v>
      </c>
      <c r="C8" s="22">
        <v>42806</v>
      </c>
      <c r="D8" t="s">
        <v>2026</v>
      </c>
      <c r="E8" t="s">
        <v>2027</v>
      </c>
      <c r="F8" t="s">
        <v>2016</v>
      </c>
      <c r="G8">
        <v>291</v>
      </c>
      <c r="H8">
        <v>107379</v>
      </c>
      <c r="I8">
        <v>530</v>
      </c>
      <c r="J8">
        <v>209880</v>
      </c>
      <c r="K8">
        <v>752</v>
      </c>
      <c r="L8">
        <v>273728</v>
      </c>
      <c r="M8">
        <v>629</v>
      </c>
      <c r="N8">
        <v>227698</v>
      </c>
      <c r="O8">
        <v>218</v>
      </c>
      <c r="P8">
        <v>73466</v>
      </c>
      <c r="Q8">
        <v>633</v>
      </c>
      <c r="R8">
        <v>239274</v>
      </c>
      <c r="S8">
        <v>257</v>
      </c>
      <c r="T8">
        <v>77614</v>
      </c>
      <c r="U8">
        <v>642</v>
      </c>
      <c r="V8">
        <v>263220</v>
      </c>
      <c r="W8">
        <v>392</v>
      </c>
      <c r="X8">
        <v>175224</v>
      </c>
      <c r="Y8" s="26">
        <f t="shared" si="0"/>
        <v>4344</v>
      </c>
    </row>
    <row r="9" spans="1:25" x14ac:dyDescent="0.25">
      <c r="A9" t="s">
        <v>2032</v>
      </c>
      <c r="B9" t="s">
        <v>2033</v>
      </c>
      <c r="C9" s="22">
        <v>42736</v>
      </c>
      <c r="D9" t="s">
        <v>2014</v>
      </c>
      <c r="E9" t="s">
        <v>2015</v>
      </c>
      <c r="F9" t="s">
        <v>2016</v>
      </c>
      <c r="G9">
        <v>656</v>
      </c>
      <c r="H9">
        <v>292576</v>
      </c>
      <c r="I9">
        <v>190</v>
      </c>
      <c r="J9">
        <v>57190</v>
      </c>
      <c r="K9">
        <v>131</v>
      </c>
      <c r="L9">
        <v>45981</v>
      </c>
      <c r="M9">
        <v>252</v>
      </c>
      <c r="N9">
        <v>80892</v>
      </c>
      <c r="O9">
        <v>626</v>
      </c>
      <c r="P9">
        <v>259164</v>
      </c>
      <c r="Q9">
        <v>105</v>
      </c>
      <c r="R9">
        <v>39480</v>
      </c>
      <c r="S9">
        <v>600</v>
      </c>
      <c r="T9">
        <v>202200</v>
      </c>
      <c r="U9">
        <v>313</v>
      </c>
      <c r="V9">
        <v>140850</v>
      </c>
      <c r="W9">
        <v>142</v>
      </c>
      <c r="X9">
        <v>44730</v>
      </c>
      <c r="Y9" s="26">
        <f t="shared" si="0"/>
        <v>3015</v>
      </c>
    </row>
    <row r="10" spans="1:25" x14ac:dyDescent="0.25">
      <c r="A10" t="s">
        <v>2034</v>
      </c>
      <c r="B10" t="s">
        <v>2035</v>
      </c>
      <c r="C10" s="22">
        <v>43556</v>
      </c>
      <c r="D10" t="s">
        <v>2014</v>
      </c>
      <c r="E10" t="s">
        <v>2019</v>
      </c>
      <c r="F10" t="s">
        <v>2016</v>
      </c>
      <c r="G10">
        <v>126</v>
      </c>
      <c r="H10">
        <v>49266</v>
      </c>
      <c r="I10">
        <v>723</v>
      </c>
      <c r="J10">
        <v>324627</v>
      </c>
      <c r="K10">
        <v>602</v>
      </c>
      <c r="L10">
        <v>199864</v>
      </c>
      <c r="M10">
        <v>255</v>
      </c>
      <c r="N10">
        <v>109140</v>
      </c>
      <c r="O10">
        <v>537</v>
      </c>
      <c r="P10">
        <v>234669</v>
      </c>
      <c r="Q10">
        <v>606</v>
      </c>
      <c r="R10">
        <v>253914</v>
      </c>
      <c r="S10">
        <v>450</v>
      </c>
      <c r="T10">
        <v>177300</v>
      </c>
      <c r="U10">
        <v>174</v>
      </c>
      <c r="V10">
        <v>74820</v>
      </c>
      <c r="W10">
        <v>154</v>
      </c>
      <c r="X10">
        <v>68530</v>
      </c>
      <c r="Y10" s="26">
        <f t="shared" si="0"/>
        <v>3627</v>
      </c>
    </row>
    <row r="11" spans="1:25" x14ac:dyDescent="0.25">
      <c r="A11" t="s">
        <v>2036</v>
      </c>
      <c r="B11" t="s">
        <v>2037</v>
      </c>
      <c r="C11" s="22">
        <v>43747</v>
      </c>
      <c r="D11" t="s">
        <v>2026</v>
      </c>
      <c r="E11" t="s">
        <v>2015</v>
      </c>
      <c r="F11" t="s">
        <v>2016</v>
      </c>
      <c r="G11">
        <v>575</v>
      </c>
      <c r="H11">
        <v>213325</v>
      </c>
      <c r="I11">
        <v>264</v>
      </c>
      <c r="J11">
        <v>110616</v>
      </c>
      <c r="K11">
        <v>477</v>
      </c>
      <c r="L11">
        <v>191754</v>
      </c>
      <c r="M11">
        <v>323</v>
      </c>
      <c r="N11">
        <v>112727</v>
      </c>
      <c r="O11">
        <v>701</v>
      </c>
      <c r="P11">
        <v>231330</v>
      </c>
      <c r="Q11">
        <v>479</v>
      </c>
      <c r="R11">
        <v>145137</v>
      </c>
      <c r="S11">
        <v>738</v>
      </c>
      <c r="T11">
        <v>249444</v>
      </c>
      <c r="U11">
        <v>167</v>
      </c>
      <c r="V11">
        <v>60287</v>
      </c>
      <c r="W11">
        <v>469</v>
      </c>
      <c r="X11">
        <v>172592</v>
      </c>
      <c r="Y11" s="26">
        <f t="shared" si="0"/>
        <v>4193</v>
      </c>
    </row>
    <row r="12" spans="1:25" x14ac:dyDescent="0.25">
      <c r="A12" t="s">
        <v>2038</v>
      </c>
      <c r="B12" t="s">
        <v>2039</v>
      </c>
      <c r="C12" s="22">
        <v>44073</v>
      </c>
      <c r="D12" t="s">
        <v>2026</v>
      </c>
      <c r="E12" t="s">
        <v>2015</v>
      </c>
      <c r="F12" t="s">
        <v>2016</v>
      </c>
      <c r="G12">
        <v>147</v>
      </c>
      <c r="H12">
        <v>61299</v>
      </c>
      <c r="I12">
        <v>565</v>
      </c>
      <c r="J12">
        <v>253120</v>
      </c>
      <c r="K12">
        <v>314</v>
      </c>
      <c r="L12">
        <v>117750</v>
      </c>
      <c r="M12">
        <v>284</v>
      </c>
      <c r="N12">
        <v>117008</v>
      </c>
      <c r="O12">
        <v>179</v>
      </c>
      <c r="P12">
        <v>80192</v>
      </c>
      <c r="Q12">
        <v>321</v>
      </c>
      <c r="R12">
        <v>110103</v>
      </c>
      <c r="S12">
        <v>491</v>
      </c>
      <c r="T12">
        <v>163994</v>
      </c>
      <c r="U12">
        <v>129</v>
      </c>
      <c r="V12">
        <v>49020</v>
      </c>
      <c r="W12">
        <v>433</v>
      </c>
      <c r="X12">
        <v>179262</v>
      </c>
      <c r="Y12" s="26">
        <f t="shared" si="0"/>
        <v>2863</v>
      </c>
    </row>
    <row r="13" spans="1:25" x14ac:dyDescent="0.25">
      <c r="A13" t="s">
        <v>2040</v>
      </c>
      <c r="B13" t="s">
        <v>2041</v>
      </c>
      <c r="C13" s="22">
        <v>43435</v>
      </c>
      <c r="D13" t="s">
        <v>2026</v>
      </c>
      <c r="E13" t="s">
        <v>2015</v>
      </c>
      <c r="F13" t="s">
        <v>2016</v>
      </c>
      <c r="G13">
        <v>185</v>
      </c>
      <c r="H13">
        <v>76035</v>
      </c>
      <c r="I13">
        <v>416</v>
      </c>
      <c r="J13">
        <v>169728</v>
      </c>
      <c r="K13">
        <v>220</v>
      </c>
      <c r="L13">
        <v>72380</v>
      </c>
      <c r="M13">
        <v>494</v>
      </c>
      <c r="N13">
        <v>183274</v>
      </c>
      <c r="O13">
        <v>158</v>
      </c>
      <c r="P13">
        <v>47558</v>
      </c>
      <c r="Q13">
        <v>613</v>
      </c>
      <c r="R13">
        <v>265429</v>
      </c>
      <c r="S13">
        <v>101</v>
      </c>
      <c r="T13">
        <v>35350</v>
      </c>
      <c r="U13">
        <v>497</v>
      </c>
      <c r="V13">
        <v>193830</v>
      </c>
      <c r="W13">
        <v>614</v>
      </c>
      <c r="X13">
        <v>184200</v>
      </c>
      <c r="Y13" s="26">
        <f t="shared" si="0"/>
        <v>3298</v>
      </c>
    </row>
    <row r="14" spans="1:25" x14ac:dyDescent="0.25">
      <c r="A14" t="s">
        <v>2042</v>
      </c>
      <c r="B14" t="s">
        <v>2043</v>
      </c>
      <c r="C14" s="22">
        <v>42229</v>
      </c>
      <c r="D14" t="s">
        <v>2014</v>
      </c>
      <c r="E14" t="s">
        <v>2027</v>
      </c>
      <c r="F14" t="s">
        <v>2016</v>
      </c>
      <c r="G14">
        <v>439</v>
      </c>
      <c r="H14">
        <v>140041</v>
      </c>
      <c r="I14">
        <v>419</v>
      </c>
      <c r="J14">
        <v>170533</v>
      </c>
      <c r="K14">
        <v>433</v>
      </c>
      <c r="L14">
        <v>193551</v>
      </c>
      <c r="M14">
        <v>568</v>
      </c>
      <c r="N14">
        <v>186304</v>
      </c>
      <c r="O14">
        <v>273</v>
      </c>
      <c r="P14">
        <v>114933</v>
      </c>
      <c r="Q14">
        <v>149</v>
      </c>
      <c r="R14">
        <v>54236</v>
      </c>
      <c r="S14">
        <v>428</v>
      </c>
      <c r="T14">
        <v>173768</v>
      </c>
      <c r="U14">
        <v>270</v>
      </c>
      <c r="V14">
        <v>91800</v>
      </c>
      <c r="W14">
        <v>409</v>
      </c>
      <c r="X14">
        <v>174234</v>
      </c>
      <c r="Y14" s="26">
        <f t="shared" si="0"/>
        <v>3388</v>
      </c>
    </row>
    <row r="15" spans="1:25" x14ac:dyDescent="0.25">
      <c r="A15" t="s">
        <v>2044</v>
      </c>
      <c r="B15" t="s">
        <v>2045</v>
      </c>
      <c r="C15" s="22">
        <v>43695</v>
      </c>
      <c r="D15" t="s">
        <v>2026</v>
      </c>
      <c r="E15" t="s">
        <v>2015</v>
      </c>
      <c r="F15" t="s">
        <v>2016</v>
      </c>
      <c r="G15">
        <v>159</v>
      </c>
      <c r="H15">
        <v>61692</v>
      </c>
      <c r="I15">
        <v>776</v>
      </c>
      <c r="J15">
        <v>348424</v>
      </c>
      <c r="K15">
        <v>384</v>
      </c>
      <c r="L15">
        <v>160128</v>
      </c>
      <c r="M15">
        <v>244</v>
      </c>
      <c r="N15">
        <v>97600</v>
      </c>
      <c r="O15">
        <v>346</v>
      </c>
      <c r="P15">
        <v>144282</v>
      </c>
      <c r="Q15">
        <v>151</v>
      </c>
      <c r="R15">
        <v>48773</v>
      </c>
      <c r="S15">
        <v>370</v>
      </c>
      <c r="T15">
        <v>154660</v>
      </c>
      <c r="U15">
        <v>508</v>
      </c>
      <c r="V15">
        <v>158496</v>
      </c>
      <c r="W15">
        <v>748</v>
      </c>
      <c r="X15">
        <v>232628</v>
      </c>
      <c r="Y15" s="26">
        <f t="shared" si="0"/>
        <v>3686</v>
      </c>
    </row>
    <row r="16" spans="1:25" x14ac:dyDescent="0.25">
      <c r="A16" t="s">
        <v>2046</v>
      </c>
      <c r="B16" t="s">
        <v>2047</v>
      </c>
      <c r="C16" s="22">
        <v>42241</v>
      </c>
      <c r="D16" t="s">
        <v>2014</v>
      </c>
      <c r="E16" t="s">
        <v>2015</v>
      </c>
      <c r="F16" t="s">
        <v>2016</v>
      </c>
      <c r="G16">
        <v>320</v>
      </c>
      <c r="H16">
        <v>113280</v>
      </c>
      <c r="I16">
        <v>133</v>
      </c>
      <c r="J16">
        <v>54397</v>
      </c>
      <c r="K16">
        <v>678</v>
      </c>
      <c r="L16">
        <v>250860</v>
      </c>
      <c r="M16">
        <v>592</v>
      </c>
      <c r="N16">
        <v>222000</v>
      </c>
      <c r="O16">
        <v>662</v>
      </c>
      <c r="P16">
        <v>297238</v>
      </c>
      <c r="Q16">
        <v>335</v>
      </c>
      <c r="R16">
        <v>113900</v>
      </c>
      <c r="S16">
        <v>483</v>
      </c>
      <c r="T16">
        <v>189819</v>
      </c>
      <c r="U16">
        <v>583</v>
      </c>
      <c r="V16">
        <v>191224</v>
      </c>
      <c r="W16">
        <v>152</v>
      </c>
      <c r="X16">
        <v>56088</v>
      </c>
      <c r="Y16" s="26">
        <f t="shared" si="0"/>
        <v>3938</v>
      </c>
    </row>
    <row r="17" spans="1:25" x14ac:dyDescent="0.25">
      <c r="A17" t="s">
        <v>2048</v>
      </c>
      <c r="B17" t="s">
        <v>2049</v>
      </c>
      <c r="C17" s="22">
        <v>42700</v>
      </c>
      <c r="D17" t="s">
        <v>2014</v>
      </c>
      <c r="E17" t="s">
        <v>2015</v>
      </c>
      <c r="F17" t="s">
        <v>2016</v>
      </c>
      <c r="G17">
        <v>463</v>
      </c>
      <c r="H17">
        <v>192608</v>
      </c>
      <c r="I17">
        <v>577</v>
      </c>
      <c r="J17">
        <v>175408</v>
      </c>
      <c r="K17">
        <v>426</v>
      </c>
      <c r="L17">
        <v>190848</v>
      </c>
      <c r="M17">
        <v>496</v>
      </c>
      <c r="N17">
        <v>154256</v>
      </c>
      <c r="O17">
        <v>184</v>
      </c>
      <c r="P17">
        <v>55936</v>
      </c>
      <c r="Q17">
        <v>388</v>
      </c>
      <c r="R17">
        <v>122608</v>
      </c>
      <c r="S17">
        <v>454</v>
      </c>
      <c r="T17">
        <v>141194</v>
      </c>
      <c r="U17">
        <v>324</v>
      </c>
      <c r="V17">
        <v>145152</v>
      </c>
      <c r="W17">
        <v>275</v>
      </c>
      <c r="X17">
        <v>119900</v>
      </c>
      <c r="Y17" s="26">
        <f t="shared" si="0"/>
        <v>3587</v>
      </c>
    </row>
    <row r="18" spans="1:25" x14ac:dyDescent="0.25">
      <c r="A18" t="s">
        <v>2050</v>
      </c>
      <c r="B18" t="s">
        <v>2051</v>
      </c>
      <c r="C18" s="22">
        <v>43442</v>
      </c>
      <c r="D18" t="s">
        <v>2014</v>
      </c>
      <c r="E18" t="s">
        <v>2019</v>
      </c>
      <c r="F18" t="s">
        <v>2016</v>
      </c>
      <c r="G18">
        <v>159</v>
      </c>
      <c r="H18">
        <v>67734</v>
      </c>
      <c r="I18">
        <v>483</v>
      </c>
      <c r="J18">
        <v>214935</v>
      </c>
      <c r="K18">
        <v>695</v>
      </c>
      <c r="L18">
        <v>300240</v>
      </c>
      <c r="M18">
        <v>511</v>
      </c>
      <c r="N18">
        <v>212065</v>
      </c>
      <c r="O18">
        <v>236</v>
      </c>
      <c r="P18">
        <v>80476</v>
      </c>
      <c r="Q18">
        <v>411</v>
      </c>
      <c r="R18">
        <v>142206</v>
      </c>
      <c r="S18">
        <v>530</v>
      </c>
      <c r="T18">
        <v>180730</v>
      </c>
      <c r="U18">
        <v>264</v>
      </c>
      <c r="V18">
        <v>84216</v>
      </c>
      <c r="W18">
        <v>597</v>
      </c>
      <c r="X18">
        <v>227457</v>
      </c>
      <c r="Y18" s="26">
        <f t="shared" si="0"/>
        <v>3886</v>
      </c>
    </row>
    <row r="19" spans="1:25" x14ac:dyDescent="0.25">
      <c r="A19" t="s">
        <v>2052</v>
      </c>
      <c r="B19" t="s">
        <v>2053</v>
      </c>
      <c r="C19" s="22">
        <v>44110</v>
      </c>
      <c r="D19" t="s">
        <v>2026</v>
      </c>
      <c r="E19" t="s">
        <v>2019</v>
      </c>
      <c r="F19" t="s">
        <v>2016</v>
      </c>
      <c r="G19">
        <v>480</v>
      </c>
      <c r="H19">
        <v>186240</v>
      </c>
      <c r="I19">
        <v>366</v>
      </c>
      <c r="J19">
        <v>148230</v>
      </c>
      <c r="K19">
        <v>135</v>
      </c>
      <c r="L19">
        <v>46035</v>
      </c>
      <c r="M19">
        <v>125</v>
      </c>
      <c r="N19">
        <v>50625</v>
      </c>
      <c r="O19">
        <v>786</v>
      </c>
      <c r="P19">
        <v>242874</v>
      </c>
      <c r="Q19">
        <v>317</v>
      </c>
      <c r="R19">
        <v>105244</v>
      </c>
      <c r="S19">
        <v>227</v>
      </c>
      <c r="T19">
        <v>83082</v>
      </c>
      <c r="U19">
        <v>582</v>
      </c>
      <c r="V19">
        <v>175764</v>
      </c>
      <c r="W19">
        <v>354</v>
      </c>
      <c r="X19">
        <v>158946</v>
      </c>
      <c r="Y19" s="26">
        <f t="shared" si="0"/>
        <v>3372</v>
      </c>
    </row>
    <row r="20" spans="1:25" x14ac:dyDescent="0.25">
      <c r="A20" t="s">
        <v>2054</v>
      </c>
      <c r="B20" t="s">
        <v>2055</v>
      </c>
      <c r="C20" s="22">
        <v>43417</v>
      </c>
      <c r="D20" t="s">
        <v>2014</v>
      </c>
      <c r="E20" t="s">
        <v>2019</v>
      </c>
      <c r="F20" t="s">
        <v>2016</v>
      </c>
      <c r="G20">
        <v>628</v>
      </c>
      <c r="H20">
        <v>197820</v>
      </c>
      <c r="I20">
        <v>457</v>
      </c>
      <c r="J20">
        <v>157665</v>
      </c>
      <c r="K20">
        <v>264</v>
      </c>
      <c r="L20">
        <v>102432</v>
      </c>
      <c r="M20">
        <v>768</v>
      </c>
      <c r="N20">
        <v>331776</v>
      </c>
      <c r="O20">
        <v>173</v>
      </c>
      <c r="P20">
        <v>75947</v>
      </c>
      <c r="Q20">
        <v>228</v>
      </c>
      <c r="R20">
        <v>86184</v>
      </c>
      <c r="S20">
        <v>557</v>
      </c>
      <c r="T20">
        <v>234497</v>
      </c>
      <c r="U20">
        <v>270</v>
      </c>
      <c r="V20">
        <v>95040</v>
      </c>
      <c r="W20">
        <v>352</v>
      </c>
      <c r="X20">
        <v>126368</v>
      </c>
      <c r="Y20" s="26">
        <f t="shared" si="0"/>
        <v>3697</v>
      </c>
    </row>
    <row r="21" spans="1:25" x14ac:dyDescent="0.25">
      <c r="A21" t="s">
        <v>2056</v>
      </c>
      <c r="B21" t="s">
        <v>2057</v>
      </c>
      <c r="C21" s="22">
        <v>42169</v>
      </c>
      <c r="D21" t="s">
        <v>2026</v>
      </c>
      <c r="E21" t="s">
        <v>2019</v>
      </c>
      <c r="F21" t="s">
        <v>2016</v>
      </c>
      <c r="G21">
        <v>377</v>
      </c>
      <c r="H21">
        <v>134966</v>
      </c>
      <c r="I21">
        <v>748</v>
      </c>
      <c r="J21">
        <v>288728</v>
      </c>
      <c r="K21">
        <v>517</v>
      </c>
      <c r="L21">
        <v>176814</v>
      </c>
      <c r="M21">
        <v>341</v>
      </c>
      <c r="N21">
        <v>106051</v>
      </c>
      <c r="O21">
        <v>135</v>
      </c>
      <c r="P21">
        <v>46845</v>
      </c>
      <c r="Q21">
        <v>334</v>
      </c>
      <c r="R21">
        <v>108216</v>
      </c>
      <c r="S21">
        <v>553</v>
      </c>
      <c r="T21">
        <v>168665</v>
      </c>
      <c r="U21">
        <v>766</v>
      </c>
      <c r="V21">
        <v>249716</v>
      </c>
      <c r="W21">
        <v>484</v>
      </c>
      <c r="X21">
        <v>184888</v>
      </c>
      <c r="Y21" s="26">
        <f t="shared" si="0"/>
        <v>4255</v>
      </c>
    </row>
    <row r="22" spans="1:25" x14ac:dyDescent="0.25">
      <c r="A22" t="s">
        <v>2058</v>
      </c>
      <c r="B22" t="s">
        <v>2059</v>
      </c>
      <c r="C22" s="22">
        <v>43086</v>
      </c>
      <c r="D22" t="s">
        <v>2026</v>
      </c>
      <c r="E22" t="s">
        <v>2027</v>
      </c>
      <c r="F22" t="s">
        <v>2016</v>
      </c>
      <c r="G22">
        <v>305</v>
      </c>
      <c r="H22">
        <v>130540</v>
      </c>
      <c r="I22">
        <v>186</v>
      </c>
      <c r="J22">
        <v>67518</v>
      </c>
      <c r="K22">
        <v>587</v>
      </c>
      <c r="L22">
        <v>220712</v>
      </c>
      <c r="M22">
        <v>402</v>
      </c>
      <c r="N22">
        <v>151956</v>
      </c>
      <c r="O22">
        <v>371</v>
      </c>
      <c r="P22">
        <v>150997</v>
      </c>
      <c r="Q22">
        <v>356</v>
      </c>
      <c r="R22">
        <v>119616</v>
      </c>
      <c r="S22">
        <v>748</v>
      </c>
      <c r="T22">
        <v>296208</v>
      </c>
      <c r="U22">
        <v>390</v>
      </c>
      <c r="V22">
        <v>154830</v>
      </c>
      <c r="W22">
        <v>509</v>
      </c>
      <c r="X22">
        <v>220397</v>
      </c>
      <c r="Y22" s="26">
        <f t="shared" si="0"/>
        <v>3854</v>
      </c>
    </row>
    <row r="23" spans="1:25" x14ac:dyDescent="0.25">
      <c r="A23" t="s">
        <v>2060</v>
      </c>
      <c r="B23" t="s">
        <v>2061</v>
      </c>
      <c r="C23" s="22">
        <v>42569</v>
      </c>
      <c r="D23" t="s">
        <v>2026</v>
      </c>
      <c r="E23" t="s">
        <v>2015</v>
      </c>
      <c r="F23" t="s">
        <v>2016</v>
      </c>
      <c r="G23">
        <v>790</v>
      </c>
      <c r="H23">
        <v>349180</v>
      </c>
      <c r="I23">
        <v>553</v>
      </c>
      <c r="J23">
        <v>235025</v>
      </c>
      <c r="K23">
        <v>571</v>
      </c>
      <c r="L23">
        <v>250098</v>
      </c>
      <c r="M23">
        <v>238</v>
      </c>
      <c r="N23">
        <v>98056</v>
      </c>
      <c r="O23">
        <v>317</v>
      </c>
      <c r="P23">
        <v>139480</v>
      </c>
      <c r="Q23">
        <v>677</v>
      </c>
      <c r="R23">
        <v>303296</v>
      </c>
      <c r="S23">
        <v>115</v>
      </c>
      <c r="T23">
        <v>49450</v>
      </c>
      <c r="U23">
        <v>623</v>
      </c>
      <c r="V23">
        <v>269759</v>
      </c>
      <c r="W23">
        <v>474</v>
      </c>
      <c r="X23">
        <v>155946</v>
      </c>
      <c r="Y23" s="26">
        <f t="shared" si="0"/>
        <v>4358</v>
      </c>
    </row>
    <row r="24" spans="1:25" x14ac:dyDescent="0.25">
      <c r="A24" t="s">
        <v>2062</v>
      </c>
      <c r="B24" t="s">
        <v>2063</v>
      </c>
      <c r="C24" s="22">
        <v>43238</v>
      </c>
      <c r="D24" t="s">
        <v>2026</v>
      </c>
      <c r="E24" t="s">
        <v>2019</v>
      </c>
      <c r="F24" t="s">
        <v>2016</v>
      </c>
      <c r="G24">
        <v>461</v>
      </c>
      <c r="H24">
        <v>180251</v>
      </c>
      <c r="I24">
        <v>604</v>
      </c>
      <c r="J24">
        <v>215628</v>
      </c>
      <c r="K24">
        <v>464</v>
      </c>
      <c r="L24">
        <v>206016</v>
      </c>
      <c r="M24">
        <v>498</v>
      </c>
      <c r="N24">
        <v>196710</v>
      </c>
      <c r="O24">
        <v>650</v>
      </c>
      <c r="P24">
        <v>265200</v>
      </c>
      <c r="Q24">
        <v>296</v>
      </c>
      <c r="R24">
        <v>95904</v>
      </c>
      <c r="S24">
        <v>394</v>
      </c>
      <c r="T24">
        <v>128838</v>
      </c>
      <c r="U24">
        <v>594</v>
      </c>
      <c r="V24">
        <v>220968</v>
      </c>
      <c r="W24">
        <v>582</v>
      </c>
      <c r="X24">
        <v>246768</v>
      </c>
      <c r="Y24" s="26">
        <f t="shared" si="0"/>
        <v>4543</v>
      </c>
    </row>
    <row r="25" spans="1:25" x14ac:dyDescent="0.25">
      <c r="A25" t="s">
        <v>2064</v>
      </c>
      <c r="B25" t="s">
        <v>2065</v>
      </c>
      <c r="C25" s="22">
        <v>42218</v>
      </c>
      <c r="D25" t="s">
        <v>2014</v>
      </c>
      <c r="E25" t="s">
        <v>2019</v>
      </c>
      <c r="F25" t="s">
        <v>2016</v>
      </c>
      <c r="G25">
        <v>791</v>
      </c>
      <c r="H25">
        <v>262612</v>
      </c>
      <c r="I25">
        <v>617</v>
      </c>
      <c r="J25">
        <v>186951</v>
      </c>
      <c r="K25">
        <v>711</v>
      </c>
      <c r="L25">
        <v>255960</v>
      </c>
      <c r="M25">
        <v>202</v>
      </c>
      <c r="N25">
        <v>77770</v>
      </c>
      <c r="O25">
        <v>202</v>
      </c>
      <c r="P25">
        <v>61004</v>
      </c>
      <c r="Q25">
        <v>538</v>
      </c>
      <c r="R25">
        <v>167856</v>
      </c>
      <c r="S25">
        <v>582</v>
      </c>
      <c r="T25">
        <v>222906</v>
      </c>
      <c r="U25">
        <v>669</v>
      </c>
      <c r="V25">
        <v>236157</v>
      </c>
      <c r="W25">
        <v>412</v>
      </c>
      <c r="X25">
        <v>147084</v>
      </c>
      <c r="Y25" s="26">
        <f t="shared" si="0"/>
        <v>4724</v>
      </c>
    </row>
    <row r="26" spans="1:25" x14ac:dyDescent="0.25">
      <c r="A26" t="s">
        <v>2066</v>
      </c>
      <c r="B26" t="s">
        <v>2067</v>
      </c>
      <c r="C26" s="22">
        <v>43565</v>
      </c>
      <c r="D26" t="s">
        <v>2014</v>
      </c>
      <c r="E26" t="s">
        <v>2019</v>
      </c>
      <c r="F26" t="s">
        <v>2016</v>
      </c>
      <c r="G26">
        <v>760</v>
      </c>
      <c r="H26">
        <v>292600</v>
      </c>
      <c r="I26">
        <v>764</v>
      </c>
      <c r="J26">
        <v>269692</v>
      </c>
      <c r="K26">
        <v>260</v>
      </c>
      <c r="L26">
        <v>79300</v>
      </c>
      <c r="M26">
        <v>419</v>
      </c>
      <c r="N26">
        <v>131147</v>
      </c>
      <c r="O26">
        <v>540</v>
      </c>
      <c r="P26">
        <v>193860</v>
      </c>
      <c r="Q26">
        <v>684</v>
      </c>
      <c r="R26">
        <v>269496</v>
      </c>
      <c r="S26">
        <v>290</v>
      </c>
      <c r="T26">
        <v>117450</v>
      </c>
      <c r="U26">
        <v>494</v>
      </c>
      <c r="V26">
        <v>183768</v>
      </c>
      <c r="W26">
        <v>719</v>
      </c>
      <c r="X26">
        <v>301261</v>
      </c>
      <c r="Y26" s="26">
        <f t="shared" si="0"/>
        <v>4930</v>
      </c>
    </row>
    <row r="27" spans="1:25" x14ac:dyDescent="0.25">
      <c r="A27" t="s">
        <v>2068</v>
      </c>
      <c r="B27" t="s">
        <v>2069</v>
      </c>
      <c r="C27" s="22">
        <v>42643</v>
      </c>
      <c r="D27" t="s">
        <v>2026</v>
      </c>
      <c r="E27" t="s">
        <v>2019</v>
      </c>
      <c r="F27" t="s">
        <v>2016</v>
      </c>
      <c r="G27">
        <v>264</v>
      </c>
      <c r="H27">
        <v>94512</v>
      </c>
      <c r="I27">
        <v>371</v>
      </c>
      <c r="J27">
        <v>143577</v>
      </c>
      <c r="K27">
        <v>548</v>
      </c>
      <c r="L27">
        <v>183580</v>
      </c>
      <c r="M27">
        <v>673</v>
      </c>
      <c r="N27">
        <v>251029</v>
      </c>
      <c r="O27">
        <v>182</v>
      </c>
      <c r="P27">
        <v>70434</v>
      </c>
      <c r="Q27">
        <v>543</v>
      </c>
      <c r="R27">
        <v>200910</v>
      </c>
      <c r="S27">
        <v>272</v>
      </c>
      <c r="T27">
        <v>117776</v>
      </c>
      <c r="U27">
        <v>441</v>
      </c>
      <c r="V27">
        <v>143766</v>
      </c>
      <c r="W27">
        <v>271</v>
      </c>
      <c r="X27">
        <v>115175</v>
      </c>
      <c r="Y27" s="26">
        <f t="shared" si="0"/>
        <v>3565</v>
      </c>
    </row>
    <row r="28" spans="1:25" x14ac:dyDescent="0.25">
      <c r="A28" t="s">
        <v>2070</v>
      </c>
      <c r="B28" t="s">
        <v>2071</v>
      </c>
      <c r="C28" s="22">
        <v>43025</v>
      </c>
      <c r="D28" t="s">
        <v>2014</v>
      </c>
      <c r="E28" t="s">
        <v>2015</v>
      </c>
      <c r="F28" t="s">
        <v>2016</v>
      </c>
      <c r="G28">
        <v>113</v>
      </c>
      <c r="H28">
        <v>49833</v>
      </c>
      <c r="I28">
        <v>129</v>
      </c>
      <c r="J28">
        <v>54567</v>
      </c>
      <c r="K28">
        <v>381</v>
      </c>
      <c r="L28">
        <v>138303</v>
      </c>
      <c r="M28">
        <v>607</v>
      </c>
      <c r="N28">
        <v>236730</v>
      </c>
      <c r="O28">
        <v>593</v>
      </c>
      <c r="P28">
        <v>233049</v>
      </c>
      <c r="Q28">
        <v>730</v>
      </c>
      <c r="R28">
        <v>243820</v>
      </c>
      <c r="S28">
        <v>698</v>
      </c>
      <c r="T28">
        <v>314100</v>
      </c>
      <c r="U28">
        <v>651</v>
      </c>
      <c r="V28">
        <v>278628</v>
      </c>
      <c r="W28">
        <v>224</v>
      </c>
      <c r="X28">
        <v>77728</v>
      </c>
      <c r="Y28" s="26">
        <f t="shared" si="0"/>
        <v>4126</v>
      </c>
    </row>
    <row r="29" spans="1:25" x14ac:dyDescent="0.25">
      <c r="A29" t="s">
        <v>2072</v>
      </c>
      <c r="B29" t="s">
        <v>2073</v>
      </c>
      <c r="C29" s="22">
        <v>42917</v>
      </c>
      <c r="D29" t="s">
        <v>2026</v>
      </c>
      <c r="E29" t="s">
        <v>2015</v>
      </c>
      <c r="F29" t="s">
        <v>2016</v>
      </c>
      <c r="G29">
        <v>714</v>
      </c>
      <c r="H29">
        <v>290598</v>
      </c>
      <c r="I29">
        <v>203</v>
      </c>
      <c r="J29">
        <v>64960</v>
      </c>
      <c r="K29">
        <v>399</v>
      </c>
      <c r="L29">
        <v>167979</v>
      </c>
      <c r="M29">
        <v>672</v>
      </c>
      <c r="N29">
        <v>240576</v>
      </c>
      <c r="O29">
        <v>309</v>
      </c>
      <c r="P29">
        <v>105369</v>
      </c>
      <c r="Q29">
        <v>572</v>
      </c>
      <c r="R29">
        <v>242528</v>
      </c>
      <c r="S29">
        <v>421</v>
      </c>
      <c r="T29">
        <v>127563</v>
      </c>
      <c r="U29">
        <v>760</v>
      </c>
      <c r="V29">
        <v>266760</v>
      </c>
      <c r="W29">
        <v>763</v>
      </c>
      <c r="X29">
        <v>264761</v>
      </c>
      <c r="Y29" s="26">
        <f t="shared" si="0"/>
        <v>4813</v>
      </c>
    </row>
    <row r="30" spans="1:25" x14ac:dyDescent="0.25">
      <c r="A30" t="s">
        <v>2074</v>
      </c>
      <c r="B30" t="s">
        <v>2075</v>
      </c>
      <c r="C30" s="22">
        <v>42638</v>
      </c>
      <c r="D30" t="s">
        <v>2014</v>
      </c>
      <c r="E30" t="s">
        <v>2015</v>
      </c>
      <c r="F30" t="s">
        <v>2016</v>
      </c>
      <c r="G30">
        <v>452</v>
      </c>
      <c r="H30">
        <v>159556</v>
      </c>
      <c r="I30">
        <v>615</v>
      </c>
      <c r="J30">
        <v>202950</v>
      </c>
      <c r="K30">
        <v>349</v>
      </c>
      <c r="L30">
        <v>116566</v>
      </c>
      <c r="M30">
        <v>771</v>
      </c>
      <c r="N30">
        <v>257514</v>
      </c>
      <c r="O30">
        <v>212</v>
      </c>
      <c r="P30">
        <v>82892</v>
      </c>
      <c r="Q30">
        <v>668</v>
      </c>
      <c r="R30">
        <v>235804</v>
      </c>
      <c r="S30">
        <v>453</v>
      </c>
      <c r="T30">
        <v>157191</v>
      </c>
      <c r="U30">
        <v>381</v>
      </c>
      <c r="V30">
        <v>130302</v>
      </c>
      <c r="W30">
        <v>360</v>
      </c>
      <c r="X30">
        <v>158400</v>
      </c>
      <c r="Y30" s="26">
        <f t="shared" si="0"/>
        <v>4261</v>
      </c>
    </row>
    <row r="31" spans="1:25" x14ac:dyDescent="0.25">
      <c r="A31" t="s">
        <v>2076</v>
      </c>
      <c r="B31" t="s">
        <v>2077</v>
      </c>
      <c r="C31" s="22">
        <v>42306</v>
      </c>
      <c r="D31" t="s">
        <v>2014</v>
      </c>
      <c r="E31" t="s">
        <v>2019</v>
      </c>
      <c r="F31" t="s">
        <v>2016</v>
      </c>
      <c r="G31">
        <v>735</v>
      </c>
      <c r="H31">
        <v>321195</v>
      </c>
      <c r="I31">
        <v>205</v>
      </c>
      <c r="J31">
        <v>87125</v>
      </c>
      <c r="K31">
        <v>723</v>
      </c>
      <c r="L31">
        <v>301491</v>
      </c>
      <c r="M31">
        <v>641</v>
      </c>
      <c r="N31">
        <v>221786</v>
      </c>
      <c r="O31">
        <v>730</v>
      </c>
      <c r="P31">
        <v>223380</v>
      </c>
      <c r="Q31">
        <v>318</v>
      </c>
      <c r="R31">
        <v>112254</v>
      </c>
      <c r="S31">
        <v>227</v>
      </c>
      <c r="T31">
        <v>100334</v>
      </c>
      <c r="U31">
        <v>721</v>
      </c>
      <c r="V31">
        <v>237930</v>
      </c>
      <c r="W31">
        <v>698</v>
      </c>
      <c r="X31">
        <v>239414</v>
      </c>
      <c r="Y31" s="26">
        <f t="shared" si="0"/>
        <v>4998</v>
      </c>
    </row>
    <row r="32" spans="1:25" x14ac:dyDescent="0.25">
      <c r="A32" t="s">
        <v>2078</v>
      </c>
      <c r="B32" t="s">
        <v>2079</v>
      </c>
      <c r="C32" s="22">
        <v>43821</v>
      </c>
      <c r="D32" t="s">
        <v>2014</v>
      </c>
      <c r="E32" t="s">
        <v>2015</v>
      </c>
      <c r="F32" t="s">
        <v>2016</v>
      </c>
      <c r="G32">
        <v>526</v>
      </c>
      <c r="H32">
        <v>199354</v>
      </c>
      <c r="I32">
        <v>335</v>
      </c>
      <c r="J32">
        <v>111555</v>
      </c>
      <c r="K32">
        <v>468</v>
      </c>
      <c r="L32">
        <v>143676</v>
      </c>
      <c r="M32">
        <v>755</v>
      </c>
      <c r="N32">
        <v>267270</v>
      </c>
      <c r="O32">
        <v>769</v>
      </c>
      <c r="P32">
        <v>299910</v>
      </c>
      <c r="Q32">
        <v>377</v>
      </c>
      <c r="R32">
        <v>168142</v>
      </c>
      <c r="S32">
        <v>465</v>
      </c>
      <c r="T32">
        <v>185535</v>
      </c>
      <c r="U32">
        <v>708</v>
      </c>
      <c r="V32">
        <v>223728</v>
      </c>
      <c r="W32">
        <v>650</v>
      </c>
      <c r="X32">
        <v>224900</v>
      </c>
      <c r="Y32" s="26">
        <f t="shared" si="0"/>
        <v>5053</v>
      </c>
    </row>
    <row r="33" spans="1:25" x14ac:dyDescent="0.25">
      <c r="A33" t="s">
        <v>2080</v>
      </c>
      <c r="B33" t="s">
        <v>2081</v>
      </c>
      <c r="C33" s="22">
        <v>42767</v>
      </c>
      <c r="D33" t="s">
        <v>2026</v>
      </c>
      <c r="E33" t="s">
        <v>2019</v>
      </c>
      <c r="F33" t="s">
        <v>2016</v>
      </c>
      <c r="G33">
        <v>312</v>
      </c>
      <c r="H33">
        <v>115752</v>
      </c>
      <c r="I33">
        <v>287</v>
      </c>
      <c r="J33">
        <v>116809</v>
      </c>
      <c r="K33">
        <v>439</v>
      </c>
      <c r="L33">
        <v>188331</v>
      </c>
      <c r="M33">
        <v>196</v>
      </c>
      <c r="N33">
        <v>72912</v>
      </c>
      <c r="O33">
        <v>457</v>
      </c>
      <c r="P33">
        <v>175031</v>
      </c>
      <c r="Q33">
        <v>101</v>
      </c>
      <c r="R33">
        <v>41006</v>
      </c>
      <c r="S33">
        <v>254</v>
      </c>
      <c r="T33">
        <v>77470</v>
      </c>
      <c r="U33">
        <v>480</v>
      </c>
      <c r="V33">
        <v>176640</v>
      </c>
      <c r="W33">
        <v>321</v>
      </c>
      <c r="X33">
        <v>115560</v>
      </c>
      <c r="Y33" s="26">
        <f t="shared" si="0"/>
        <v>2847</v>
      </c>
    </row>
    <row r="34" spans="1:25" x14ac:dyDescent="0.25">
      <c r="A34" t="s">
        <v>2082</v>
      </c>
      <c r="B34" t="s">
        <v>2083</v>
      </c>
      <c r="C34" s="22">
        <v>43203</v>
      </c>
      <c r="D34" t="s">
        <v>2014</v>
      </c>
      <c r="E34" t="s">
        <v>2027</v>
      </c>
      <c r="F34" t="s">
        <v>2016</v>
      </c>
      <c r="G34">
        <v>529</v>
      </c>
      <c r="H34">
        <v>197846</v>
      </c>
      <c r="I34">
        <v>329</v>
      </c>
      <c r="J34">
        <v>124691</v>
      </c>
      <c r="K34">
        <v>450</v>
      </c>
      <c r="L34">
        <v>147150</v>
      </c>
      <c r="M34">
        <v>153</v>
      </c>
      <c r="N34">
        <v>61659</v>
      </c>
      <c r="O34">
        <v>166</v>
      </c>
      <c r="P34">
        <v>59096</v>
      </c>
      <c r="Q34">
        <v>259</v>
      </c>
      <c r="R34">
        <v>94276</v>
      </c>
      <c r="S34">
        <v>319</v>
      </c>
      <c r="T34">
        <v>112607</v>
      </c>
      <c r="U34">
        <v>589</v>
      </c>
      <c r="V34">
        <v>262105</v>
      </c>
      <c r="W34">
        <v>657</v>
      </c>
      <c r="X34">
        <v>216153</v>
      </c>
      <c r="Y34" s="26">
        <f t="shared" si="0"/>
        <v>3451</v>
      </c>
    </row>
    <row r="35" spans="1:25" x14ac:dyDescent="0.25">
      <c r="A35" t="s">
        <v>2084</v>
      </c>
      <c r="B35" t="s">
        <v>2085</v>
      </c>
      <c r="C35" s="22">
        <v>43598</v>
      </c>
      <c r="D35" t="s">
        <v>2014</v>
      </c>
      <c r="E35" t="s">
        <v>2027</v>
      </c>
      <c r="F35" t="s">
        <v>2016</v>
      </c>
      <c r="G35">
        <v>536</v>
      </c>
      <c r="H35">
        <v>210648</v>
      </c>
      <c r="I35">
        <v>492</v>
      </c>
      <c r="J35">
        <v>195324</v>
      </c>
      <c r="K35">
        <v>793</v>
      </c>
      <c r="L35">
        <v>310856</v>
      </c>
      <c r="M35">
        <v>683</v>
      </c>
      <c r="N35">
        <v>260906</v>
      </c>
      <c r="O35">
        <v>121</v>
      </c>
      <c r="P35">
        <v>39809</v>
      </c>
      <c r="Q35">
        <v>603</v>
      </c>
      <c r="R35">
        <v>187533</v>
      </c>
      <c r="S35">
        <v>745</v>
      </c>
      <c r="T35">
        <v>327055</v>
      </c>
      <c r="U35">
        <v>516</v>
      </c>
      <c r="V35">
        <v>173376</v>
      </c>
      <c r="W35">
        <v>605</v>
      </c>
      <c r="X35">
        <v>220220</v>
      </c>
      <c r="Y35" s="26">
        <f t="shared" si="0"/>
        <v>5094</v>
      </c>
    </row>
    <row r="36" spans="1:25" x14ac:dyDescent="0.25">
      <c r="A36" t="s">
        <v>2086</v>
      </c>
      <c r="B36" t="s">
        <v>2087</v>
      </c>
      <c r="C36" s="22">
        <v>43374</v>
      </c>
      <c r="D36" t="s">
        <v>2014</v>
      </c>
      <c r="E36" t="s">
        <v>2027</v>
      </c>
      <c r="F36" t="s">
        <v>2016</v>
      </c>
      <c r="G36">
        <v>537</v>
      </c>
      <c r="H36">
        <v>187950</v>
      </c>
      <c r="I36">
        <v>653</v>
      </c>
      <c r="J36">
        <v>199818</v>
      </c>
      <c r="K36">
        <v>472</v>
      </c>
      <c r="L36">
        <v>147264</v>
      </c>
      <c r="M36">
        <v>139</v>
      </c>
      <c r="N36">
        <v>47538</v>
      </c>
      <c r="O36">
        <v>759</v>
      </c>
      <c r="P36">
        <v>273240</v>
      </c>
      <c r="Q36">
        <v>397</v>
      </c>
      <c r="R36">
        <v>120291</v>
      </c>
      <c r="S36">
        <v>256</v>
      </c>
      <c r="T36">
        <v>77824</v>
      </c>
      <c r="U36">
        <v>426</v>
      </c>
      <c r="V36">
        <v>143136</v>
      </c>
      <c r="W36">
        <v>145</v>
      </c>
      <c r="X36">
        <v>44515</v>
      </c>
      <c r="Y36" s="26">
        <f t="shared" si="0"/>
        <v>3784</v>
      </c>
    </row>
    <row r="37" spans="1:25" x14ac:dyDescent="0.25">
      <c r="A37" t="s">
        <v>2088</v>
      </c>
      <c r="B37" t="s">
        <v>2089</v>
      </c>
      <c r="C37" s="22">
        <v>42503</v>
      </c>
      <c r="D37" t="s">
        <v>2026</v>
      </c>
      <c r="E37" t="s">
        <v>2019</v>
      </c>
      <c r="F37" t="s">
        <v>2016</v>
      </c>
      <c r="G37">
        <v>549</v>
      </c>
      <c r="H37">
        <v>210267</v>
      </c>
      <c r="I37">
        <v>255</v>
      </c>
      <c r="J37">
        <v>105060</v>
      </c>
      <c r="K37">
        <v>701</v>
      </c>
      <c r="L37">
        <v>312646</v>
      </c>
      <c r="M37">
        <v>598</v>
      </c>
      <c r="N37">
        <v>218868</v>
      </c>
      <c r="O37">
        <v>119</v>
      </c>
      <c r="P37">
        <v>39627</v>
      </c>
      <c r="Q37">
        <v>438</v>
      </c>
      <c r="R37">
        <v>175638</v>
      </c>
      <c r="S37">
        <v>353</v>
      </c>
      <c r="T37">
        <v>141553</v>
      </c>
      <c r="U37">
        <v>107</v>
      </c>
      <c r="V37">
        <v>41516</v>
      </c>
      <c r="W37">
        <v>553</v>
      </c>
      <c r="X37">
        <v>225624</v>
      </c>
      <c r="Y37" s="26">
        <f t="shared" si="0"/>
        <v>3673</v>
      </c>
    </row>
    <row r="38" spans="1:25" x14ac:dyDescent="0.25">
      <c r="A38" t="s">
        <v>2090</v>
      </c>
      <c r="B38" t="s">
        <v>2091</v>
      </c>
      <c r="C38" s="22">
        <v>44147</v>
      </c>
      <c r="D38" t="s">
        <v>2014</v>
      </c>
      <c r="E38" t="s">
        <v>2015</v>
      </c>
      <c r="F38" t="s">
        <v>2016</v>
      </c>
      <c r="G38">
        <v>428</v>
      </c>
      <c r="H38">
        <v>166492</v>
      </c>
      <c r="I38">
        <v>319</v>
      </c>
      <c r="J38">
        <v>120263</v>
      </c>
      <c r="K38">
        <v>607</v>
      </c>
      <c r="L38">
        <v>191205</v>
      </c>
      <c r="M38">
        <v>355</v>
      </c>
      <c r="N38">
        <v>138450</v>
      </c>
      <c r="O38">
        <v>610</v>
      </c>
      <c r="P38">
        <v>187880</v>
      </c>
      <c r="Q38">
        <v>710</v>
      </c>
      <c r="R38">
        <v>318080</v>
      </c>
      <c r="S38">
        <v>491</v>
      </c>
      <c r="T38">
        <v>198855</v>
      </c>
      <c r="U38">
        <v>389</v>
      </c>
      <c r="V38">
        <v>118256</v>
      </c>
      <c r="W38">
        <v>755</v>
      </c>
      <c r="X38">
        <v>324650</v>
      </c>
      <c r="Y38" s="26">
        <f t="shared" si="0"/>
        <v>4664</v>
      </c>
    </row>
    <row r="39" spans="1:25" x14ac:dyDescent="0.25">
      <c r="A39" t="s">
        <v>2092</v>
      </c>
      <c r="B39" t="s">
        <v>2093</v>
      </c>
      <c r="C39" s="22">
        <v>42510</v>
      </c>
      <c r="D39" t="s">
        <v>2026</v>
      </c>
      <c r="E39" t="s">
        <v>2027</v>
      </c>
      <c r="F39" t="s">
        <v>2016</v>
      </c>
      <c r="G39">
        <v>472</v>
      </c>
      <c r="H39">
        <v>157176</v>
      </c>
      <c r="I39">
        <v>137</v>
      </c>
      <c r="J39">
        <v>49046</v>
      </c>
      <c r="K39">
        <v>357</v>
      </c>
      <c r="L39">
        <v>117810</v>
      </c>
      <c r="M39">
        <v>668</v>
      </c>
      <c r="N39">
        <v>236472</v>
      </c>
      <c r="O39">
        <v>119</v>
      </c>
      <c r="P39">
        <v>51408</v>
      </c>
      <c r="Q39">
        <v>349</v>
      </c>
      <c r="R39">
        <v>134365</v>
      </c>
      <c r="S39">
        <v>563</v>
      </c>
      <c r="T39">
        <v>233082</v>
      </c>
      <c r="U39">
        <v>509</v>
      </c>
      <c r="V39">
        <v>191893</v>
      </c>
      <c r="W39">
        <v>617</v>
      </c>
      <c r="X39">
        <v>214716</v>
      </c>
      <c r="Y39" s="26">
        <f t="shared" si="0"/>
        <v>3791</v>
      </c>
    </row>
    <row r="40" spans="1:25" x14ac:dyDescent="0.25">
      <c r="A40" t="s">
        <v>2094</v>
      </c>
      <c r="B40" t="s">
        <v>2095</v>
      </c>
      <c r="C40" s="22">
        <v>42211</v>
      </c>
      <c r="D40" t="s">
        <v>2026</v>
      </c>
      <c r="E40" t="s">
        <v>2019</v>
      </c>
      <c r="F40" t="s">
        <v>2016</v>
      </c>
      <c r="G40">
        <v>162</v>
      </c>
      <c r="H40">
        <v>62532</v>
      </c>
      <c r="I40">
        <v>152</v>
      </c>
      <c r="J40">
        <v>63992</v>
      </c>
      <c r="K40">
        <v>348</v>
      </c>
      <c r="L40">
        <v>110316</v>
      </c>
      <c r="M40">
        <v>719</v>
      </c>
      <c r="N40">
        <v>225047</v>
      </c>
      <c r="O40">
        <v>371</v>
      </c>
      <c r="P40">
        <v>128737</v>
      </c>
      <c r="Q40">
        <v>526</v>
      </c>
      <c r="R40">
        <v>207770</v>
      </c>
      <c r="S40">
        <v>489</v>
      </c>
      <c r="T40">
        <v>161370</v>
      </c>
      <c r="U40">
        <v>217</v>
      </c>
      <c r="V40">
        <v>78120</v>
      </c>
      <c r="W40">
        <v>256</v>
      </c>
      <c r="X40">
        <v>78592</v>
      </c>
      <c r="Y40" s="26">
        <f t="shared" si="0"/>
        <v>3240</v>
      </c>
    </row>
    <row r="41" spans="1:25" x14ac:dyDescent="0.25">
      <c r="A41" t="s">
        <v>2096</v>
      </c>
      <c r="B41" t="s">
        <v>2097</v>
      </c>
      <c r="C41" s="22">
        <v>44048</v>
      </c>
      <c r="D41" t="s">
        <v>2014</v>
      </c>
      <c r="E41" t="s">
        <v>2019</v>
      </c>
      <c r="F41" t="s">
        <v>2016</v>
      </c>
      <c r="G41">
        <v>426</v>
      </c>
      <c r="H41">
        <v>137598</v>
      </c>
      <c r="I41">
        <v>377</v>
      </c>
      <c r="J41">
        <v>116116</v>
      </c>
      <c r="K41">
        <v>131</v>
      </c>
      <c r="L41">
        <v>58295</v>
      </c>
      <c r="M41">
        <v>400</v>
      </c>
      <c r="N41">
        <v>171600</v>
      </c>
      <c r="O41">
        <v>434</v>
      </c>
      <c r="P41">
        <v>156240</v>
      </c>
      <c r="Q41">
        <v>411</v>
      </c>
      <c r="R41">
        <v>170565</v>
      </c>
      <c r="S41">
        <v>287</v>
      </c>
      <c r="T41">
        <v>91553</v>
      </c>
      <c r="U41">
        <v>410</v>
      </c>
      <c r="V41">
        <v>171790</v>
      </c>
      <c r="W41">
        <v>657</v>
      </c>
      <c r="X41">
        <v>259515</v>
      </c>
      <c r="Y41" s="26">
        <f t="shared" si="0"/>
        <v>3533</v>
      </c>
    </row>
    <row r="42" spans="1:25" x14ac:dyDescent="0.25">
      <c r="A42" t="s">
        <v>2098</v>
      </c>
      <c r="B42" t="s">
        <v>2099</v>
      </c>
      <c r="C42" s="22">
        <v>44039</v>
      </c>
      <c r="D42" t="s">
        <v>2026</v>
      </c>
      <c r="E42" t="s">
        <v>2019</v>
      </c>
      <c r="F42" t="s">
        <v>2016</v>
      </c>
      <c r="G42">
        <v>489</v>
      </c>
      <c r="H42">
        <v>163815</v>
      </c>
      <c r="I42">
        <v>225</v>
      </c>
      <c r="J42">
        <v>76050</v>
      </c>
      <c r="K42">
        <v>773</v>
      </c>
      <c r="L42">
        <v>248906</v>
      </c>
      <c r="M42">
        <v>469</v>
      </c>
      <c r="N42">
        <v>199325</v>
      </c>
      <c r="O42">
        <v>664</v>
      </c>
      <c r="P42">
        <v>272904</v>
      </c>
      <c r="Q42">
        <v>788</v>
      </c>
      <c r="R42">
        <v>345144</v>
      </c>
      <c r="S42">
        <v>212</v>
      </c>
      <c r="T42">
        <v>69748</v>
      </c>
      <c r="U42">
        <v>618</v>
      </c>
      <c r="V42">
        <v>195906</v>
      </c>
      <c r="W42">
        <v>689</v>
      </c>
      <c r="X42">
        <v>295581</v>
      </c>
      <c r="Y42" s="26">
        <f t="shared" si="0"/>
        <v>4927</v>
      </c>
    </row>
    <row r="43" spans="1:25" x14ac:dyDescent="0.25">
      <c r="A43" t="s">
        <v>2100</v>
      </c>
      <c r="B43" t="s">
        <v>2101</v>
      </c>
      <c r="C43" s="22">
        <v>42360</v>
      </c>
      <c r="D43" t="s">
        <v>2026</v>
      </c>
      <c r="E43" t="s">
        <v>2015</v>
      </c>
      <c r="F43" t="s">
        <v>2016</v>
      </c>
      <c r="G43">
        <v>355</v>
      </c>
      <c r="H43">
        <v>119990</v>
      </c>
      <c r="I43">
        <v>152</v>
      </c>
      <c r="J43">
        <v>62928</v>
      </c>
      <c r="K43">
        <v>225</v>
      </c>
      <c r="L43">
        <v>97425</v>
      </c>
      <c r="M43">
        <v>309</v>
      </c>
      <c r="N43">
        <v>119892</v>
      </c>
      <c r="O43">
        <v>513</v>
      </c>
      <c r="P43">
        <v>227772</v>
      </c>
      <c r="Q43">
        <v>521</v>
      </c>
      <c r="R43">
        <v>227156</v>
      </c>
      <c r="S43">
        <v>294</v>
      </c>
      <c r="T43">
        <v>94374</v>
      </c>
      <c r="U43">
        <v>299</v>
      </c>
      <c r="V43">
        <v>90298</v>
      </c>
      <c r="W43">
        <v>401</v>
      </c>
      <c r="X43">
        <v>144761</v>
      </c>
      <c r="Y43" s="26">
        <f t="shared" si="0"/>
        <v>3069</v>
      </c>
    </row>
    <row r="44" spans="1:25" x14ac:dyDescent="0.25">
      <c r="A44" t="s">
        <v>2102</v>
      </c>
      <c r="B44" t="s">
        <v>2103</v>
      </c>
      <c r="C44" s="22">
        <v>43940</v>
      </c>
      <c r="D44" t="s">
        <v>2014</v>
      </c>
      <c r="E44" t="s">
        <v>2019</v>
      </c>
      <c r="F44" t="s">
        <v>2016</v>
      </c>
      <c r="G44">
        <v>601</v>
      </c>
      <c r="H44">
        <v>269248</v>
      </c>
      <c r="I44">
        <v>551</v>
      </c>
      <c r="J44">
        <v>210482</v>
      </c>
      <c r="K44">
        <v>368</v>
      </c>
      <c r="L44">
        <v>117024</v>
      </c>
      <c r="M44">
        <v>261</v>
      </c>
      <c r="N44">
        <v>90306</v>
      </c>
      <c r="O44">
        <v>275</v>
      </c>
      <c r="P44">
        <v>84150</v>
      </c>
      <c r="Q44">
        <v>629</v>
      </c>
      <c r="R44">
        <v>266696</v>
      </c>
      <c r="S44">
        <v>524</v>
      </c>
      <c r="T44">
        <v>165584</v>
      </c>
      <c r="U44">
        <v>698</v>
      </c>
      <c r="V44">
        <v>261052</v>
      </c>
      <c r="W44">
        <v>800</v>
      </c>
      <c r="X44">
        <v>327200</v>
      </c>
      <c r="Y44" s="26">
        <f t="shared" si="0"/>
        <v>4707</v>
      </c>
    </row>
    <row r="45" spans="1:25" x14ac:dyDescent="0.25">
      <c r="A45" t="s">
        <v>2104</v>
      </c>
      <c r="B45" t="s">
        <v>2105</v>
      </c>
      <c r="C45" s="22">
        <v>43521</v>
      </c>
      <c r="D45" t="s">
        <v>2014</v>
      </c>
      <c r="E45" t="s">
        <v>2027</v>
      </c>
      <c r="F45" t="s">
        <v>2016</v>
      </c>
      <c r="G45">
        <v>503</v>
      </c>
      <c r="H45">
        <v>189128</v>
      </c>
      <c r="I45">
        <v>127</v>
      </c>
      <c r="J45">
        <v>48006</v>
      </c>
      <c r="K45">
        <v>406</v>
      </c>
      <c r="L45">
        <v>149002</v>
      </c>
      <c r="M45">
        <v>260</v>
      </c>
      <c r="N45">
        <v>93600</v>
      </c>
      <c r="O45">
        <v>749</v>
      </c>
      <c r="P45">
        <v>274134</v>
      </c>
      <c r="Q45">
        <v>103</v>
      </c>
      <c r="R45">
        <v>43260</v>
      </c>
      <c r="S45">
        <v>742</v>
      </c>
      <c r="T45">
        <v>273798</v>
      </c>
      <c r="U45">
        <v>574</v>
      </c>
      <c r="V45">
        <v>185402</v>
      </c>
      <c r="W45">
        <v>609</v>
      </c>
      <c r="X45">
        <v>251517</v>
      </c>
      <c r="Y45" s="26">
        <f t="shared" si="0"/>
        <v>4073</v>
      </c>
    </row>
    <row r="46" spans="1:25" x14ac:dyDescent="0.25">
      <c r="A46" t="s">
        <v>2106</v>
      </c>
      <c r="B46" t="s">
        <v>2107</v>
      </c>
      <c r="C46" s="22">
        <v>43639</v>
      </c>
      <c r="D46" t="s">
        <v>2026</v>
      </c>
      <c r="E46" t="s">
        <v>2019</v>
      </c>
      <c r="F46" t="s">
        <v>2016</v>
      </c>
      <c r="G46">
        <v>663</v>
      </c>
      <c r="H46">
        <v>292383</v>
      </c>
      <c r="I46">
        <v>645</v>
      </c>
      <c r="J46">
        <v>206400</v>
      </c>
      <c r="K46">
        <v>517</v>
      </c>
      <c r="L46">
        <v>178365</v>
      </c>
      <c r="M46">
        <v>118</v>
      </c>
      <c r="N46">
        <v>50622</v>
      </c>
      <c r="O46">
        <v>799</v>
      </c>
      <c r="P46">
        <v>258876</v>
      </c>
      <c r="Q46">
        <v>484</v>
      </c>
      <c r="R46">
        <v>205216</v>
      </c>
      <c r="S46">
        <v>586</v>
      </c>
      <c r="T46">
        <v>256668</v>
      </c>
      <c r="U46">
        <v>293</v>
      </c>
      <c r="V46">
        <v>102257</v>
      </c>
      <c r="W46">
        <v>491</v>
      </c>
      <c r="X46">
        <v>184616</v>
      </c>
      <c r="Y46" s="26">
        <f t="shared" si="0"/>
        <v>4596</v>
      </c>
    </row>
    <row r="47" spans="1:25" x14ac:dyDescent="0.25">
      <c r="A47" t="s">
        <v>2108</v>
      </c>
      <c r="B47" t="s">
        <v>2109</v>
      </c>
      <c r="C47" s="22">
        <v>43727</v>
      </c>
      <c r="D47" t="s">
        <v>2014</v>
      </c>
      <c r="E47" t="s">
        <v>2015</v>
      </c>
      <c r="F47" t="s">
        <v>2016</v>
      </c>
      <c r="G47">
        <v>711</v>
      </c>
      <c r="H47">
        <v>228231</v>
      </c>
      <c r="I47">
        <v>708</v>
      </c>
      <c r="J47">
        <v>228684</v>
      </c>
      <c r="K47">
        <v>309</v>
      </c>
      <c r="L47">
        <v>125763</v>
      </c>
      <c r="M47">
        <v>662</v>
      </c>
      <c r="N47">
        <v>238320</v>
      </c>
      <c r="O47">
        <v>643</v>
      </c>
      <c r="P47">
        <v>207046</v>
      </c>
      <c r="Q47">
        <v>693</v>
      </c>
      <c r="R47">
        <v>238392</v>
      </c>
      <c r="S47">
        <v>380</v>
      </c>
      <c r="T47">
        <v>150100</v>
      </c>
      <c r="U47">
        <v>141</v>
      </c>
      <c r="V47">
        <v>61335</v>
      </c>
      <c r="W47">
        <v>705</v>
      </c>
      <c r="X47">
        <v>234765</v>
      </c>
      <c r="Y47" s="26">
        <f t="shared" si="0"/>
        <v>4952</v>
      </c>
    </row>
    <row r="48" spans="1:25" x14ac:dyDescent="0.25">
      <c r="A48" t="s">
        <v>2110</v>
      </c>
      <c r="B48" t="s">
        <v>2111</v>
      </c>
      <c r="C48" s="22">
        <v>43584</v>
      </c>
      <c r="D48" t="s">
        <v>2014</v>
      </c>
      <c r="E48" t="s">
        <v>2015</v>
      </c>
      <c r="F48" t="s">
        <v>2016</v>
      </c>
      <c r="G48">
        <v>476</v>
      </c>
      <c r="H48">
        <v>190876</v>
      </c>
      <c r="I48">
        <v>444</v>
      </c>
      <c r="J48">
        <v>149628</v>
      </c>
      <c r="K48">
        <v>499</v>
      </c>
      <c r="L48">
        <v>151696</v>
      </c>
      <c r="M48">
        <v>667</v>
      </c>
      <c r="N48">
        <v>266800</v>
      </c>
      <c r="O48">
        <v>371</v>
      </c>
      <c r="P48">
        <v>155820</v>
      </c>
      <c r="Q48">
        <v>693</v>
      </c>
      <c r="R48">
        <v>259182</v>
      </c>
      <c r="S48">
        <v>748</v>
      </c>
      <c r="T48">
        <v>305932</v>
      </c>
      <c r="U48">
        <v>163</v>
      </c>
      <c r="V48">
        <v>54605</v>
      </c>
      <c r="W48">
        <v>638</v>
      </c>
      <c r="X48">
        <v>281996</v>
      </c>
      <c r="Y48" s="26">
        <f t="shared" si="0"/>
        <v>4699</v>
      </c>
    </row>
    <row r="49" spans="1:25" x14ac:dyDescent="0.25">
      <c r="A49" t="s">
        <v>2112</v>
      </c>
      <c r="B49" t="s">
        <v>2113</v>
      </c>
      <c r="C49" s="22">
        <v>43217</v>
      </c>
      <c r="D49" t="s">
        <v>2014</v>
      </c>
      <c r="E49" t="s">
        <v>2027</v>
      </c>
      <c r="F49" t="s">
        <v>2016</v>
      </c>
      <c r="G49">
        <v>495</v>
      </c>
      <c r="H49">
        <v>212355</v>
      </c>
      <c r="I49">
        <v>371</v>
      </c>
      <c r="J49">
        <v>150626</v>
      </c>
      <c r="K49">
        <v>492</v>
      </c>
      <c r="L49">
        <v>191388</v>
      </c>
      <c r="M49">
        <v>531</v>
      </c>
      <c r="N49">
        <v>224082</v>
      </c>
      <c r="O49">
        <v>786</v>
      </c>
      <c r="P49">
        <v>268812</v>
      </c>
      <c r="Q49">
        <v>431</v>
      </c>
      <c r="R49">
        <v>181451</v>
      </c>
      <c r="S49">
        <v>456</v>
      </c>
      <c r="T49">
        <v>138168</v>
      </c>
      <c r="U49">
        <v>772</v>
      </c>
      <c r="V49">
        <v>275604</v>
      </c>
      <c r="W49">
        <v>320</v>
      </c>
      <c r="X49">
        <v>106240</v>
      </c>
      <c r="Y49" s="26">
        <f t="shared" si="0"/>
        <v>4654</v>
      </c>
    </row>
    <row r="50" spans="1:25" x14ac:dyDescent="0.25">
      <c r="A50" t="s">
        <v>2114</v>
      </c>
      <c r="B50" t="s">
        <v>2115</v>
      </c>
      <c r="C50" s="22">
        <v>43245</v>
      </c>
      <c r="D50" t="s">
        <v>2014</v>
      </c>
      <c r="E50" t="s">
        <v>2027</v>
      </c>
      <c r="F50" t="s">
        <v>2016</v>
      </c>
      <c r="G50">
        <v>194</v>
      </c>
      <c r="H50">
        <v>74884</v>
      </c>
      <c r="I50">
        <v>747</v>
      </c>
      <c r="J50">
        <v>272655</v>
      </c>
      <c r="K50">
        <v>299</v>
      </c>
      <c r="L50">
        <v>106145</v>
      </c>
      <c r="M50">
        <v>120</v>
      </c>
      <c r="N50">
        <v>40080</v>
      </c>
      <c r="O50">
        <v>350</v>
      </c>
      <c r="P50">
        <v>113400</v>
      </c>
      <c r="Q50">
        <v>553</v>
      </c>
      <c r="R50">
        <v>189679</v>
      </c>
      <c r="S50">
        <v>561</v>
      </c>
      <c r="T50">
        <v>170544</v>
      </c>
      <c r="U50">
        <v>246</v>
      </c>
      <c r="V50">
        <v>100614</v>
      </c>
      <c r="W50">
        <v>582</v>
      </c>
      <c r="X50">
        <v>249096</v>
      </c>
      <c r="Y50" s="26">
        <f t="shared" si="0"/>
        <v>3652</v>
      </c>
    </row>
    <row r="51" spans="1:25" x14ac:dyDescent="0.25">
      <c r="A51" t="s">
        <v>2116</v>
      </c>
      <c r="B51" t="s">
        <v>2117</v>
      </c>
      <c r="C51" s="22">
        <v>42464</v>
      </c>
      <c r="D51" t="s">
        <v>2026</v>
      </c>
      <c r="E51" t="s">
        <v>2019</v>
      </c>
      <c r="F51" t="s">
        <v>2016</v>
      </c>
      <c r="G51">
        <v>334</v>
      </c>
      <c r="H51">
        <v>141616</v>
      </c>
      <c r="I51">
        <v>671</v>
      </c>
      <c r="J51">
        <v>204655</v>
      </c>
      <c r="K51">
        <v>624</v>
      </c>
      <c r="L51">
        <v>279552</v>
      </c>
      <c r="M51">
        <v>158</v>
      </c>
      <c r="N51">
        <v>71100</v>
      </c>
      <c r="O51">
        <v>492</v>
      </c>
      <c r="P51">
        <v>161376</v>
      </c>
      <c r="Q51">
        <v>506</v>
      </c>
      <c r="R51">
        <v>191268</v>
      </c>
      <c r="S51">
        <v>269</v>
      </c>
      <c r="T51">
        <v>87963</v>
      </c>
      <c r="U51">
        <v>718</v>
      </c>
      <c r="V51">
        <v>243402</v>
      </c>
      <c r="W51">
        <v>481</v>
      </c>
      <c r="X51">
        <v>193362</v>
      </c>
      <c r="Y51" s="26">
        <f t="shared" si="0"/>
        <v>4253</v>
      </c>
    </row>
    <row r="52" spans="1:25" x14ac:dyDescent="0.25">
      <c r="A52" t="s">
        <v>2118</v>
      </c>
      <c r="B52" t="s">
        <v>2119</v>
      </c>
      <c r="C52" s="22">
        <v>43940</v>
      </c>
      <c r="D52" t="s">
        <v>2026</v>
      </c>
      <c r="E52" t="s">
        <v>2027</v>
      </c>
      <c r="F52" t="s">
        <v>2016</v>
      </c>
      <c r="G52">
        <v>534</v>
      </c>
      <c r="H52">
        <v>200250</v>
      </c>
      <c r="I52">
        <v>790</v>
      </c>
      <c r="J52">
        <v>241740</v>
      </c>
      <c r="K52">
        <v>590</v>
      </c>
      <c r="L52">
        <v>205320</v>
      </c>
      <c r="M52">
        <v>572</v>
      </c>
      <c r="N52">
        <v>221936</v>
      </c>
      <c r="O52">
        <v>670</v>
      </c>
      <c r="P52">
        <v>276040</v>
      </c>
      <c r="Q52">
        <v>640</v>
      </c>
      <c r="R52">
        <v>270080</v>
      </c>
      <c r="S52">
        <v>644</v>
      </c>
      <c r="T52">
        <v>208012</v>
      </c>
      <c r="U52">
        <v>434</v>
      </c>
      <c r="V52">
        <v>157542</v>
      </c>
      <c r="W52">
        <v>367</v>
      </c>
      <c r="X52">
        <v>146433</v>
      </c>
      <c r="Y52" s="26">
        <f t="shared" si="0"/>
        <v>5241</v>
      </c>
    </row>
    <row r="53" spans="1:25" x14ac:dyDescent="0.25">
      <c r="A53" t="s">
        <v>2120</v>
      </c>
      <c r="B53" t="s">
        <v>2121</v>
      </c>
      <c r="C53" s="22">
        <v>42641</v>
      </c>
      <c r="D53" t="s">
        <v>2014</v>
      </c>
      <c r="E53" t="s">
        <v>2015</v>
      </c>
      <c r="F53" t="s">
        <v>2016</v>
      </c>
      <c r="G53">
        <v>296</v>
      </c>
      <c r="H53">
        <v>91464</v>
      </c>
      <c r="I53">
        <v>150</v>
      </c>
      <c r="J53">
        <v>56700</v>
      </c>
      <c r="K53">
        <v>690</v>
      </c>
      <c r="L53">
        <v>251850</v>
      </c>
      <c r="M53">
        <v>288</v>
      </c>
      <c r="N53">
        <v>89568</v>
      </c>
      <c r="O53">
        <v>722</v>
      </c>
      <c r="P53">
        <v>284468</v>
      </c>
      <c r="Q53">
        <v>156</v>
      </c>
      <c r="R53">
        <v>50076</v>
      </c>
      <c r="S53">
        <v>225</v>
      </c>
      <c r="T53">
        <v>91125</v>
      </c>
      <c r="U53">
        <v>637</v>
      </c>
      <c r="V53">
        <v>250341</v>
      </c>
      <c r="W53">
        <v>773</v>
      </c>
      <c r="X53">
        <v>300697</v>
      </c>
      <c r="Y53" s="26">
        <f t="shared" si="0"/>
        <v>3937</v>
      </c>
    </row>
    <row r="54" spans="1:25" x14ac:dyDescent="0.25">
      <c r="A54" t="s">
        <v>2122</v>
      </c>
      <c r="B54" t="s">
        <v>2123</v>
      </c>
      <c r="C54" s="22">
        <v>42083</v>
      </c>
      <c r="D54" t="s">
        <v>2014</v>
      </c>
      <c r="E54" t="s">
        <v>2019</v>
      </c>
      <c r="F54" t="s">
        <v>2016</v>
      </c>
      <c r="G54">
        <v>664</v>
      </c>
      <c r="H54">
        <v>237048</v>
      </c>
      <c r="I54">
        <v>420</v>
      </c>
      <c r="J54">
        <v>139440</v>
      </c>
      <c r="K54">
        <v>556</v>
      </c>
      <c r="L54">
        <v>242416</v>
      </c>
      <c r="M54">
        <v>543</v>
      </c>
      <c r="N54">
        <v>171045</v>
      </c>
      <c r="O54">
        <v>193</v>
      </c>
      <c r="P54">
        <v>72375</v>
      </c>
      <c r="Q54">
        <v>132</v>
      </c>
      <c r="R54">
        <v>47916</v>
      </c>
      <c r="S54">
        <v>466</v>
      </c>
      <c r="T54">
        <v>186400</v>
      </c>
      <c r="U54">
        <v>366</v>
      </c>
      <c r="V54">
        <v>143106</v>
      </c>
      <c r="W54">
        <v>221</v>
      </c>
      <c r="X54">
        <v>69836</v>
      </c>
      <c r="Y54" s="26">
        <f t="shared" si="0"/>
        <v>3561</v>
      </c>
    </row>
    <row r="55" spans="1:25" x14ac:dyDescent="0.25">
      <c r="A55" t="s">
        <v>2124</v>
      </c>
      <c r="B55" t="s">
        <v>2125</v>
      </c>
      <c r="C55" s="22">
        <v>43777</v>
      </c>
      <c r="D55" t="s">
        <v>2026</v>
      </c>
      <c r="E55" t="s">
        <v>2019</v>
      </c>
      <c r="F55" t="s">
        <v>2016</v>
      </c>
      <c r="G55">
        <v>268</v>
      </c>
      <c r="H55">
        <v>112560</v>
      </c>
      <c r="I55">
        <v>557</v>
      </c>
      <c r="J55">
        <v>183253</v>
      </c>
      <c r="K55">
        <v>442</v>
      </c>
      <c r="L55">
        <v>163982</v>
      </c>
      <c r="M55">
        <v>641</v>
      </c>
      <c r="N55">
        <v>213453</v>
      </c>
      <c r="O55">
        <v>731</v>
      </c>
      <c r="P55">
        <v>315792</v>
      </c>
      <c r="Q55">
        <v>587</v>
      </c>
      <c r="R55">
        <v>263563</v>
      </c>
      <c r="S55">
        <v>674</v>
      </c>
      <c r="T55">
        <v>250054</v>
      </c>
      <c r="U55">
        <v>457</v>
      </c>
      <c r="V55">
        <v>189198</v>
      </c>
      <c r="W55">
        <v>330</v>
      </c>
      <c r="X55">
        <v>132000</v>
      </c>
      <c r="Y55" s="26">
        <f t="shared" si="0"/>
        <v>4687</v>
      </c>
    </row>
    <row r="56" spans="1:25" x14ac:dyDescent="0.25">
      <c r="A56" t="s">
        <v>2126</v>
      </c>
      <c r="B56" t="s">
        <v>2127</v>
      </c>
      <c r="C56" s="22">
        <v>43919</v>
      </c>
      <c r="D56" t="s">
        <v>2014</v>
      </c>
      <c r="E56" t="s">
        <v>2027</v>
      </c>
      <c r="F56" t="s">
        <v>2016</v>
      </c>
      <c r="G56">
        <v>281</v>
      </c>
      <c r="H56">
        <v>92449</v>
      </c>
      <c r="I56">
        <v>447</v>
      </c>
      <c r="J56">
        <v>200703</v>
      </c>
      <c r="K56">
        <v>504</v>
      </c>
      <c r="L56">
        <v>186480</v>
      </c>
      <c r="M56">
        <v>664</v>
      </c>
      <c r="N56">
        <v>203184</v>
      </c>
      <c r="O56">
        <v>664</v>
      </c>
      <c r="P56">
        <v>292160</v>
      </c>
      <c r="Q56">
        <v>465</v>
      </c>
      <c r="R56">
        <v>181350</v>
      </c>
      <c r="S56">
        <v>321</v>
      </c>
      <c r="T56">
        <v>119733</v>
      </c>
      <c r="U56">
        <v>640</v>
      </c>
      <c r="V56">
        <v>282240</v>
      </c>
      <c r="W56">
        <v>145</v>
      </c>
      <c r="X56">
        <v>62350</v>
      </c>
      <c r="Y56" s="26">
        <f t="shared" si="0"/>
        <v>4131</v>
      </c>
    </row>
    <row r="57" spans="1:25" x14ac:dyDescent="0.25">
      <c r="A57" t="s">
        <v>2128</v>
      </c>
      <c r="B57" t="s">
        <v>2129</v>
      </c>
      <c r="C57" s="22">
        <v>42879</v>
      </c>
      <c r="D57" t="s">
        <v>2026</v>
      </c>
      <c r="E57" t="s">
        <v>2015</v>
      </c>
      <c r="F57" t="s">
        <v>2016</v>
      </c>
      <c r="G57">
        <v>599</v>
      </c>
      <c r="H57">
        <v>214442</v>
      </c>
      <c r="I57">
        <v>282</v>
      </c>
      <c r="J57">
        <v>108570</v>
      </c>
      <c r="K57">
        <v>143</v>
      </c>
      <c r="L57">
        <v>62634</v>
      </c>
      <c r="M57">
        <v>798</v>
      </c>
      <c r="N57">
        <v>304038</v>
      </c>
      <c r="O57">
        <v>152</v>
      </c>
      <c r="P57">
        <v>47728</v>
      </c>
      <c r="Q57">
        <v>219</v>
      </c>
      <c r="R57">
        <v>96798</v>
      </c>
      <c r="S57">
        <v>767</v>
      </c>
      <c r="T57">
        <v>299130</v>
      </c>
      <c r="U57">
        <v>217</v>
      </c>
      <c r="V57">
        <v>81592</v>
      </c>
      <c r="W57">
        <v>643</v>
      </c>
      <c r="X57">
        <v>273918</v>
      </c>
      <c r="Y57" s="26">
        <f t="shared" si="0"/>
        <v>3820</v>
      </c>
    </row>
    <row r="58" spans="1:25" x14ac:dyDescent="0.25">
      <c r="A58" t="s">
        <v>2130</v>
      </c>
      <c r="B58" t="s">
        <v>2131</v>
      </c>
      <c r="C58" s="22">
        <v>43746</v>
      </c>
      <c r="D58" t="s">
        <v>2014</v>
      </c>
      <c r="E58" t="s">
        <v>2019</v>
      </c>
      <c r="F58" t="s">
        <v>2016</v>
      </c>
      <c r="G58">
        <v>383</v>
      </c>
      <c r="H58">
        <v>133667</v>
      </c>
      <c r="I58">
        <v>634</v>
      </c>
      <c r="J58">
        <v>270718</v>
      </c>
      <c r="K58">
        <v>725</v>
      </c>
      <c r="L58">
        <v>288550</v>
      </c>
      <c r="M58">
        <v>531</v>
      </c>
      <c r="N58">
        <v>237888</v>
      </c>
      <c r="O58">
        <v>515</v>
      </c>
      <c r="P58">
        <v>197760</v>
      </c>
      <c r="Q58">
        <v>370</v>
      </c>
      <c r="R58">
        <v>130610</v>
      </c>
      <c r="S58">
        <v>520</v>
      </c>
      <c r="T58">
        <v>226200</v>
      </c>
      <c r="U58">
        <v>372</v>
      </c>
      <c r="V58">
        <v>161820</v>
      </c>
      <c r="W58">
        <v>507</v>
      </c>
      <c r="X58">
        <v>198237</v>
      </c>
      <c r="Y58" s="26">
        <f t="shared" si="0"/>
        <v>4557</v>
      </c>
    </row>
    <row r="59" spans="1:25" x14ac:dyDescent="0.25">
      <c r="A59" t="s">
        <v>2132</v>
      </c>
      <c r="B59" t="s">
        <v>2133</v>
      </c>
      <c r="C59" s="22">
        <v>42571</v>
      </c>
      <c r="D59" t="s">
        <v>2014</v>
      </c>
      <c r="E59" t="s">
        <v>2019</v>
      </c>
      <c r="F59" t="s">
        <v>2016</v>
      </c>
      <c r="G59">
        <v>757</v>
      </c>
      <c r="H59">
        <v>311884</v>
      </c>
      <c r="I59">
        <v>453</v>
      </c>
      <c r="J59">
        <v>198414</v>
      </c>
      <c r="K59">
        <v>653</v>
      </c>
      <c r="L59">
        <v>260547</v>
      </c>
      <c r="M59">
        <v>286</v>
      </c>
      <c r="N59">
        <v>88088</v>
      </c>
      <c r="O59">
        <v>707</v>
      </c>
      <c r="P59">
        <v>276437</v>
      </c>
      <c r="Q59">
        <v>700</v>
      </c>
      <c r="R59">
        <v>230300</v>
      </c>
      <c r="S59">
        <v>193</v>
      </c>
      <c r="T59">
        <v>78551</v>
      </c>
      <c r="U59">
        <v>737</v>
      </c>
      <c r="V59">
        <v>240262</v>
      </c>
      <c r="W59">
        <v>408</v>
      </c>
      <c r="X59">
        <v>135048</v>
      </c>
      <c r="Y59" s="26">
        <f t="shared" si="0"/>
        <v>4894</v>
      </c>
    </row>
    <row r="60" spans="1:25" x14ac:dyDescent="0.25">
      <c r="A60" t="s">
        <v>2134</v>
      </c>
      <c r="B60" t="s">
        <v>2135</v>
      </c>
      <c r="C60" s="22">
        <v>44019</v>
      </c>
      <c r="D60" t="s">
        <v>2014</v>
      </c>
      <c r="E60" t="s">
        <v>2019</v>
      </c>
      <c r="F60" t="s">
        <v>2016</v>
      </c>
      <c r="G60">
        <v>349</v>
      </c>
      <c r="H60">
        <v>129479</v>
      </c>
      <c r="I60">
        <v>257</v>
      </c>
      <c r="J60">
        <v>94833</v>
      </c>
      <c r="K60">
        <v>297</v>
      </c>
      <c r="L60">
        <v>123552</v>
      </c>
      <c r="M60">
        <v>151</v>
      </c>
      <c r="N60">
        <v>56172</v>
      </c>
      <c r="O60">
        <v>300</v>
      </c>
      <c r="P60">
        <v>133800</v>
      </c>
      <c r="Q60">
        <v>648</v>
      </c>
      <c r="R60">
        <v>259848</v>
      </c>
      <c r="S60">
        <v>243</v>
      </c>
      <c r="T60">
        <v>91611</v>
      </c>
      <c r="U60">
        <v>796</v>
      </c>
      <c r="V60">
        <v>267456</v>
      </c>
      <c r="W60">
        <v>146</v>
      </c>
      <c r="X60">
        <v>64240</v>
      </c>
      <c r="Y60" s="26">
        <f t="shared" si="0"/>
        <v>3187</v>
      </c>
    </row>
    <row r="61" spans="1:25" x14ac:dyDescent="0.25">
      <c r="A61" t="s">
        <v>2136</v>
      </c>
      <c r="B61" t="s">
        <v>2137</v>
      </c>
      <c r="C61" s="22">
        <v>43098</v>
      </c>
      <c r="D61" t="s">
        <v>2014</v>
      </c>
      <c r="E61" t="s">
        <v>2015</v>
      </c>
      <c r="F61" t="s">
        <v>2016</v>
      </c>
      <c r="G61">
        <v>565</v>
      </c>
      <c r="H61">
        <v>238995</v>
      </c>
      <c r="I61">
        <v>560</v>
      </c>
      <c r="J61">
        <v>178080</v>
      </c>
      <c r="K61">
        <v>247</v>
      </c>
      <c r="L61">
        <v>87191</v>
      </c>
      <c r="M61">
        <v>372</v>
      </c>
      <c r="N61">
        <v>122388</v>
      </c>
      <c r="O61">
        <v>580</v>
      </c>
      <c r="P61">
        <v>233740</v>
      </c>
      <c r="Q61">
        <v>716</v>
      </c>
      <c r="R61">
        <v>257760</v>
      </c>
      <c r="S61">
        <v>537</v>
      </c>
      <c r="T61">
        <v>218559</v>
      </c>
      <c r="U61">
        <v>385</v>
      </c>
      <c r="V61">
        <v>140910</v>
      </c>
      <c r="W61">
        <v>630</v>
      </c>
      <c r="X61">
        <v>272160</v>
      </c>
      <c r="Y61" s="26">
        <f t="shared" si="0"/>
        <v>4592</v>
      </c>
    </row>
    <row r="62" spans="1:25" x14ac:dyDescent="0.25">
      <c r="A62" t="s">
        <v>2138</v>
      </c>
      <c r="B62" t="s">
        <v>2139</v>
      </c>
      <c r="C62" s="22">
        <v>43766</v>
      </c>
      <c r="D62" t="s">
        <v>2026</v>
      </c>
      <c r="E62" t="s">
        <v>2027</v>
      </c>
      <c r="F62" t="s">
        <v>2016</v>
      </c>
      <c r="G62">
        <v>182</v>
      </c>
      <c r="H62">
        <v>59332</v>
      </c>
      <c r="I62">
        <v>310</v>
      </c>
      <c r="J62">
        <v>116250</v>
      </c>
      <c r="K62">
        <v>626</v>
      </c>
      <c r="L62">
        <v>258538</v>
      </c>
      <c r="M62">
        <v>561</v>
      </c>
      <c r="N62">
        <v>180642</v>
      </c>
      <c r="O62">
        <v>353</v>
      </c>
      <c r="P62">
        <v>117549</v>
      </c>
      <c r="Q62">
        <v>799</v>
      </c>
      <c r="R62">
        <v>264469</v>
      </c>
      <c r="S62">
        <v>506</v>
      </c>
      <c r="T62">
        <v>175582</v>
      </c>
      <c r="U62">
        <v>544</v>
      </c>
      <c r="V62">
        <v>168640</v>
      </c>
      <c r="W62">
        <v>412</v>
      </c>
      <c r="X62">
        <v>144612</v>
      </c>
      <c r="Y62" s="26">
        <f t="shared" si="0"/>
        <v>4293</v>
      </c>
    </row>
    <row r="63" spans="1:25" x14ac:dyDescent="0.25">
      <c r="A63" t="s">
        <v>2140</v>
      </c>
      <c r="B63" t="s">
        <v>2141</v>
      </c>
      <c r="C63" s="22">
        <v>43330</v>
      </c>
      <c r="D63" t="s">
        <v>2014</v>
      </c>
      <c r="E63" t="s">
        <v>2027</v>
      </c>
      <c r="F63" t="s">
        <v>2016</v>
      </c>
      <c r="G63">
        <v>718</v>
      </c>
      <c r="H63">
        <v>311612</v>
      </c>
      <c r="I63">
        <v>410</v>
      </c>
      <c r="J63">
        <v>165640</v>
      </c>
      <c r="K63">
        <v>237</v>
      </c>
      <c r="L63">
        <v>90060</v>
      </c>
      <c r="M63">
        <v>124</v>
      </c>
      <c r="N63">
        <v>40300</v>
      </c>
      <c r="O63">
        <v>409</v>
      </c>
      <c r="P63">
        <v>161964</v>
      </c>
      <c r="Q63">
        <v>743</v>
      </c>
      <c r="R63">
        <v>333607</v>
      </c>
      <c r="S63">
        <v>750</v>
      </c>
      <c r="T63">
        <v>283500</v>
      </c>
      <c r="U63">
        <v>129</v>
      </c>
      <c r="V63">
        <v>39990</v>
      </c>
      <c r="W63">
        <v>174</v>
      </c>
      <c r="X63">
        <v>60378</v>
      </c>
      <c r="Y63" s="26">
        <f t="shared" si="0"/>
        <v>3694</v>
      </c>
    </row>
    <row r="64" spans="1:25" x14ac:dyDescent="0.25">
      <c r="A64" t="s">
        <v>2142</v>
      </c>
      <c r="B64" t="s">
        <v>2143</v>
      </c>
      <c r="C64" s="22">
        <v>42717</v>
      </c>
      <c r="D64" t="s">
        <v>2014</v>
      </c>
      <c r="E64" t="s">
        <v>2019</v>
      </c>
      <c r="F64" t="s">
        <v>2016</v>
      </c>
      <c r="G64">
        <v>540</v>
      </c>
      <c r="H64">
        <v>186840</v>
      </c>
      <c r="I64">
        <v>768</v>
      </c>
      <c r="J64">
        <v>300288</v>
      </c>
      <c r="K64">
        <v>787</v>
      </c>
      <c r="L64">
        <v>289616</v>
      </c>
      <c r="M64">
        <v>217</v>
      </c>
      <c r="N64">
        <v>92008</v>
      </c>
      <c r="O64">
        <v>304</v>
      </c>
      <c r="P64">
        <v>96368</v>
      </c>
      <c r="Q64">
        <v>792</v>
      </c>
      <c r="R64">
        <v>265320</v>
      </c>
      <c r="S64">
        <v>100</v>
      </c>
      <c r="T64">
        <v>34700</v>
      </c>
      <c r="U64">
        <v>474</v>
      </c>
      <c r="V64">
        <v>149784</v>
      </c>
      <c r="W64">
        <v>135</v>
      </c>
      <c r="X64">
        <v>55755</v>
      </c>
      <c r="Y64" s="26">
        <f t="shared" si="0"/>
        <v>4117</v>
      </c>
    </row>
    <row r="65" spans="1:25" x14ac:dyDescent="0.25">
      <c r="A65" t="s">
        <v>2144</v>
      </c>
      <c r="B65" t="s">
        <v>2145</v>
      </c>
      <c r="C65" s="22">
        <v>42436</v>
      </c>
      <c r="D65" t="s">
        <v>2026</v>
      </c>
      <c r="E65" t="s">
        <v>2019</v>
      </c>
      <c r="F65" t="s">
        <v>2016</v>
      </c>
      <c r="G65">
        <v>363</v>
      </c>
      <c r="H65">
        <v>160446</v>
      </c>
      <c r="I65">
        <v>301</v>
      </c>
      <c r="J65">
        <v>131537</v>
      </c>
      <c r="K65">
        <v>695</v>
      </c>
      <c r="L65">
        <v>285645</v>
      </c>
      <c r="M65">
        <v>512</v>
      </c>
      <c r="N65">
        <v>187392</v>
      </c>
      <c r="O65">
        <v>590</v>
      </c>
      <c r="P65">
        <v>230690</v>
      </c>
      <c r="Q65">
        <v>348</v>
      </c>
      <c r="R65">
        <v>127368</v>
      </c>
      <c r="S65">
        <v>469</v>
      </c>
      <c r="T65">
        <v>146328</v>
      </c>
      <c r="U65">
        <v>430</v>
      </c>
      <c r="V65">
        <v>165120</v>
      </c>
      <c r="W65">
        <v>585</v>
      </c>
      <c r="X65">
        <v>235755</v>
      </c>
      <c r="Y65" s="26">
        <f t="shared" si="0"/>
        <v>4293</v>
      </c>
    </row>
    <row r="66" spans="1:25" x14ac:dyDescent="0.25">
      <c r="A66" t="s">
        <v>2146</v>
      </c>
      <c r="B66" t="s">
        <v>2147</v>
      </c>
      <c r="C66" s="22">
        <v>42724</v>
      </c>
      <c r="D66" t="s">
        <v>2026</v>
      </c>
      <c r="E66" t="s">
        <v>2015</v>
      </c>
      <c r="F66" t="s">
        <v>2016</v>
      </c>
      <c r="G66">
        <v>668</v>
      </c>
      <c r="H66">
        <v>211088</v>
      </c>
      <c r="I66">
        <v>208</v>
      </c>
      <c r="J66">
        <v>62816</v>
      </c>
      <c r="K66">
        <v>775</v>
      </c>
      <c r="L66">
        <v>321625</v>
      </c>
      <c r="M66">
        <v>237</v>
      </c>
      <c r="N66">
        <v>77499</v>
      </c>
      <c r="O66">
        <v>656</v>
      </c>
      <c r="P66">
        <v>262400</v>
      </c>
      <c r="Q66">
        <v>479</v>
      </c>
      <c r="R66">
        <v>179146</v>
      </c>
      <c r="S66">
        <v>336</v>
      </c>
      <c r="T66">
        <v>112560</v>
      </c>
      <c r="U66">
        <v>352</v>
      </c>
      <c r="V66">
        <v>146432</v>
      </c>
      <c r="W66">
        <v>200</v>
      </c>
      <c r="X66">
        <v>71400</v>
      </c>
      <c r="Y66" s="26">
        <f t="shared" si="0"/>
        <v>3911</v>
      </c>
    </row>
    <row r="67" spans="1:25" x14ac:dyDescent="0.25">
      <c r="A67" t="s">
        <v>2148</v>
      </c>
      <c r="B67" t="s">
        <v>2149</v>
      </c>
      <c r="C67" s="22">
        <v>44050</v>
      </c>
      <c r="D67" t="s">
        <v>2014</v>
      </c>
      <c r="E67" t="s">
        <v>2015</v>
      </c>
      <c r="F67" t="s">
        <v>2016</v>
      </c>
      <c r="G67">
        <v>412</v>
      </c>
      <c r="H67">
        <v>145436</v>
      </c>
      <c r="I67">
        <v>280</v>
      </c>
      <c r="J67">
        <v>121800</v>
      </c>
      <c r="K67">
        <v>517</v>
      </c>
      <c r="L67">
        <v>231616</v>
      </c>
      <c r="M67">
        <v>703</v>
      </c>
      <c r="N67">
        <v>237614</v>
      </c>
      <c r="O67">
        <v>244</v>
      </c>
      <c r="P67">
        <v>92720</v>
      </c>
      <c r="Q67">
        <v>572</v>
      </c>
      <c r="R67">
        <v>244816</v>
      </c>
      <c r="S67">
        <v>534</v>
      </c>
      <c r="T67">
        <v>239766</v>
      </c>
      <c r="U67">
        <v>149</v>
      </c>
      <c r="V67">
        <v>57663</v>
      </c>
      <c r="W67">
        <v>384</v>
      </c>
      <c r="X67">
        <v>134016</v>
      </c>
      <c r="Y67" s="26">
        <f t="shared" ref="Y67:Y130" si="1">SUMIF($G$1:$X$1,"Количество*",G67:X67)</f>
        <v>3795</v>
      </c>
    </row>
    <row r="68" spans="1:25" x14ac:dyDescent="0.25">
      <c r="A68" t="s">
        <v>2150</v>
      </c>
      <c r="B68" t="s">
        <v>2151</v>
      </c>
      <c r="C68" s="22">
        <v>42244</v>
      </c>
      <c r="D68" t="s">
        <v>2014</v>
      </c>
      <c r="E68" t="s">
        <v>2015</v>
      </c>
      <c r="F68" t="s">
        <v>2016</v>
      </c>
      <c r="G68">
        <v>356</v>
      </c>
      <c r="H68">
        <v>110004</v>
      </c>
      <c r="I68">
        <v>640</v>
      </c>
      <c r="J68">
        <v>224640</v>
      </c>
      <c r="K68">
        <v>785</v>
      </c>
      <c r="L68">
        <v>277890</v>
      </c>
      <c r="M68">
        <v>536</v>
      </c>
      <c r="N68">
        <v>192960</v>
      </c>
      <c r="O68">
        <v>256</v>
      </c>
      <c r="P68">
        <v>81920</v>
      </c>
      <c r="Q68">
        <v>269</v>
      </c>
      <c r="R68">
        <v>95495</v>
      </c>
      <c r="S68">
        <v>139</v>
      </c>
      <c r="T68">
        <v>56017</v>
      </c>
      <c r="U68">
        <v>736</v>
      </c>
      <c r="V68">
        <v>230368</v>
      </c>
      <c r="W68">
        <v>438</v>
      </c>
      <c r="X68">
        <v>162498</v>
      </c>
      <c r="Y68" s="26">
        <f t="shared" si="1"/>
        <v>4155</v>
      </c>
    </row>
    <row r="69" spans="1:25" x14ac:dyDescent="0.25">
      <c r="A69" t="s">
        <v>2152</v>
      </c>
      <c r="B69" t="s">
        <v>2153</v>
      </c>
      <c r="C69" s="22">
        <v>42356</v>
      </c>
      <c r="D69" t="s">
        <v>2026</v>
      </c>
      <c r="E69" t="s">
        <v>2019</v>
      </c>
      <c r="F69" t="s">
        <v>2016</v>
      </c>
      <c r="G69">
        <v>382</v>
      </c>
      <c r="H69">
        <v>154710</v>
      </c>
      <c r="I69">
        <v>543</v>
      </c>
      <c r="J69">
        <v>240006</v>
      </c>
      <c r="K69">
        <v>240</v>
      </c>
      <c r="L69">
        <v>98880</v>
      </c>
      <c r="M69">
        <v>562</v>
      </c>
      <c r="N69">
        <v>188832</v>
      </c>
      <c r="O69">
        <v>573</v>
      </c>
      <c r="P69">
        <v>241806</v>
      </c>
      <c r="Q69">
        <v>411</v>
      </c>
      <c r="R69">
        <v>161112</v>
      </c>
      <c r="S69">
        <v>627</v>
      </c>
      <c r="T69">
        <v>269610</v>
      </c>
      <c r="U69">
        <v>764</v>
      </c>
      <c r="V69">
        <v>269692</v>
      </c>
      <c r="W69">
        <v>552</v>
      </c>
      <c r="X69">
        <v>212520</v>
      </c>
      <c r="Y69" s="26">
        <f t="shared" si="1"/>
        <v>4654</v>
      </c>
    </row>
    <row r="70" spans="1:25" x14ac:dyDescent="0.25">
      <c r="A70" t="s">
        <v>2154</v>
      </c>
      <c r="B70" t="s">
        <v>2155</v>
      </c>
      <c r="C70" s="22">
        <v>42647</v>
      </c>
      <c r="D70" t="s">
        <v>2026</v>
      </c>
      <c r="E70" t="s">
        <v>2019</v>
      </c>
      <c r="F70" t="s">
        <v>2016</v>
      </c>
      <c r="G70">
        <v>312</v>
      </c>
      <c r="H70">
        <v>125112</v>
      </c>
      <c r="I70">
        <v>232</v>
      </c>
      <c r="J70">
        <v>87928</v>
      </c>
      <c r="K70">
        <v>220</v>
      </c>
      <c r="L70">
        <v>98780</v>
      </c>
      <c r="M70">
        <v>194</v>
      </c>
      <c r="N70">
        <v>71586</v>
      </c>
      <c r="O70">
        <v>289</v>
      </c>
      <c r="P70">
        <v>123981</v>
      </c>
      <c r="Q70">
        <v>609</v>
      </c>
      <c r="R70">
        <v>260652</v>
      </c>
      <c r="S70">
        <v>478</v>
      </c>
      <c r="T70">
        <v>196458</v>
      </c>
      <c r="U70">
        <v>745</v>
      </c>
      <c r="V70">
        <v>312900</v>
      </c>
      <c r="W70">
        <v>115</v>
      </c>
      <c r="X70">
        <v>48990</v>
      </c>
      <c r="Y70" s="26">
        <f t="shared" si="1"/>
        <v>3194</v>
      </c>
    </row>
    <row r="71" spans="1:25" x14ac:dyDescent="0.25">
      <c r="A71" t="s">
        <v>2156</v>
      </c>
      <c r="B71" t="s">
        <v>2157</v>
      </c>
      <c r="C71" s="22">
        <v>42754</v>
      </c>
      <c r="D71" t="s">
        <v>2026</v>
      </c>
      <c r="E71" t="s">
        <v>2019</v>
      </c>
      <c r="F71" t="s">
        <v>2016</v>
      </c>
      <c r="G71">
        <v>526</v>
      </c>
      <c r="H71">
        <v>160956</v>
      </c>
      <c r="I71">
        <v>429</v>
      </c>
      <c r="J71">
        <v>178464</v>
      </c>
      <c r="K71">
        <v>244</v>
      </c>
      <c r="L71">
        <v>82960</v>
      </c>
      <c r="M71">
        <v>227</v>
      </c>
      <c r="N71">
        <v>81493</v>
      </c>
      <c r="O71">
        <v>145</v>
      </c>
      <c r="P71">
        <v>63800</v>
      </c>
      <c r="Q71">
        <v>765</v>
      </c>
      <c r="R71">
        <v>292230</v>
      </c>
      <c r="S71">
        <v>429</v>
      </c>
      <c r="T71">
        <v>193050</v>
      </c>
      <c r="U71">
        <v>734</v>
      </c>
      <c r="V71">
        <v>225338</v>
      </c>
      <c r="W71">
        <v>202</v>
      </c>
      <c r="X71">
        <v>64842</v>
      </c>
      <c r="Y71" s="26">
        <f t="shared" si="1"/>
        <v>3701</v>
      </c>
    </row>
    <row r="72" spans="1:25" x14ac:dyDescent="0.25">
      <c r="A72" t="s">
        <v>2158</v>
      </c>
      <c r="B72" t="s">
        <v>2159</v>
      </c>
      <c r="C72" s="22">
        <v>42790</v>
      </c>
      <c r="D72" t="s">
        <v>2026</v>
      </c>
      <c r="E72" t="s">
        <v>2027</v>
      </c>
      <c r="F72" t="s">
        <v>2016</v>
      </c>
      <c r="G72">
        <v>752</v>
      </c>
      <c r="H72">
        <v>227104</v>
      </c>
      <c r="I72">
        <v>284</v>
      </c>
      <c r="J72">
        <v>104796</v>
      </c>
      <c r="K72">
        <v>313</v>
      </c>
      <c r="L72">
        <v>111428</v>
      </c>
      <c r="M72">
        <v>136</v>
      </c>
      <c r="N72">
        <v>48688</v>
      </c>
      <c r="O72">
        <v>560</v>
      </c>
      <c r="P72">
        <v>235200</v>
      </c>
      <c r="Q72">
        <v>736</v>
      </c>
      <c r="R72">
        <v>277472</v>
      </c>
      <c r="S72">
        <v>542</v>
      </c>
      <c r="T72">
        <v>181028</v>
      </c>
      <c r="U72">
        <v>735</v>
      </c>
      <c r="V72">
        <v>291795</v>
      </c>
      <c r="W72">
        <v>725</v>
      </c>
      <c r="X72">
        <v>223300</v>
      </c>
      <c r="Y72" s="26">
        <f t="shared" si="1"/>
        <v>4783</v>
      </c>
    </row>
    <row r="73" spans="1:25" x14ac:dyDescent="0.25">
      <c r="A73" t="s">
        <v>2160</v>
      </c>
      <c r="B73" t="s">
        <v>2161</v>
      </c>
      <c r="C73" s="22">
        <v>42526</v>
      </c>
      <c r="D73" t="s">
        <v>2014</v>
      </c>
      <c r="E73" t="s">
        <v>2019</v>
      </c>
      <c r="F73" t="s">
        <v>2016</v>
      </c>
      <c r="G73">
        <v>177</v>
      </c>
      <c r="H73">
        <v>54339</v>
      </c>
      <c r="I73">
        <v>750</v>
      </c>
      <c r="J73">
        <v>247500</v>
      </c>
      <c r="K73">
        <v>768</v>
      </c>
      <c r="L73">
        <v>279552</v>
      </c>
      <c r="M73">
        <v>546</v>
      </c>
      <c r="N73">
        <v>163800</v>
      </c>
      <c r="O73">
        <v>291</v>
      </c>
      <c r="P73">
        <v>123966</v>
      </c>
      <c r="Q73">
        <v>377</v>
      </c>
      <c r="R73">
        <v>155324</v>
      </c>
      <c r="S73">
        <v>322</v>
      </c>
      <c r="T73">
        <v>129766</v>
      </c>
      <c r="U73">
        <v>480</v>
      </c>
      <c r="V73">
        <v>150720</v>
      </c>
      <c r="W73">
        <v>649</v>
      </c>
      <c r="X73">
        <v>271931</v>
      </c>
      <c r="Y73" s="26">
        <f t="shared" si="1"/>
        <v>4360</v>
      </c>
    </row>
    <row r="74" spans="1:25" x14ac:dyDescent="0.25">
      <c r="A74" t="s">
        <v>2162</v>
      </c>
      <c r="B74" t="s">
        <v>2163</v>
      </c>
      <c r="C74" s="22">
        <v>42594</v>
      </c>
      <c r="D74" t="s">
        <v>2014</v>
      </c>
      <c r="E74" t="s">
        <v>2015</v>
      </c>
      <c r="F74" t="s">
        <v>2016</v>
      </c>
      <c r="G74">
        <v>625</v>
      </c>
      <c r="H74">
        <v>219375</v>
      </c>
      <c r="I74">
        <v>265</v>
      </c>
      <c r="J74">
        <v>117925</v>
      </c>
      <c r="K74">
        <v>228</v>
      </c>
      <c r="L74">
        <v>88008</v>
      </c>
      <c r="M74">
        <v>589</v>
      </c>
      <c r="N74">
        <v>202616</v>
      </c>
      <c r="O74">
        <v>477</v>
      </c>
      <c r="P74">
        <v>198432</v>
      </c>
      <c r="Q74">
        <v>709</v>
      </c>
      <c r="R74">
        <v>267293</v>
      </c>
      <c r="S74">
        <v>667</v>
      </c>
      <c r="T74">
        <v>210772</v>
      </c>
      <c r="U74">
        <v>271</v>
      </c>
      <c r="V74">
        <v>97289</v>
      </c>
      <c r="W74">
        <v>658</v>
      </c>
      <c r="X74">
        <v>223062</v>
      </c>
      <c r="Y74" s="26">
        <f t="shared" si="1"/>
        <v>4489</v>
      </c>
    </row>
    <row r="75" spans="1:25" x14ac:dyDescent="0.25">
      <c r="A75" t="s">
        <v>2164</v>
      </c>
      <c r="B75" t="s">
        <v>2165</v>
      </c>
      <c r="C75" s="22">
        <v>42340</v>
      </c>
      <c r="D75" t="s">
        <v>2014</v>
      </c>
      <c r="E75" t="s">
        <v>2015</v>
      </c>
      <c r="F75" t="s">
        <v>2016</v>
      </c>
      <c r="G75">
        <v>552</v>
      </c>
      <c r="H75">
        <v>175536</v>
      </c>
      <c r="I75">
        <v>173</v>
      </c>
      <c r="J75">
        <v>62453</v>
      </c>
      <c r="K75">
        <v>643</v>
      </c>
      <c r="L75">
        <v>241125</v>
      </c>
      <c r="M75">
        <v>132</v>
      </c>
      <c r="N75">
        <v>39864</v>
      </c>
      <c r="O75">
        <v>657</v>
      </c>
      <c r="P75">
        <v>210240</v>
      </c>
      <c r="Q75">
        <v>601</v>
      </c>
      <c r="R75">
        <v>221168</v>
      </c>
      <c r="S75">
        <v>656</v>
      </c>
      <c r="T75">
        <v>256496</v>
      </c>
      <c r="U75">
        <v>432</v>
      </c>
      <c r="V75">
        <v>159408</v>
      </c>
      <c r="W75">
        <v>688</v>
      </c>
      <c r="X75">
        <v>222224</v>
      </c>
      <c r="Y75" s="26">
        <f t="shared" si="1"/>
        <v>4534</v>
      </c>
    </row>
    <row r="76" spans="1:25" x14ac:dyDescent="0.25">
      <c r="A76" t="s">
        <v>2166</v>
      </c>
      <c r="B76" t="s">
        <v>2167</v>
      </c>
      <c r="C76" s="22">
        <v>43226</v>
      </c>
      <c r="D76" t="s">
        <v>2026</v>
      </c>
      <c r="E76" t="s">
        <v>2019</v>
      </c>
      <c r="F76" t="s">
        <v>2016</v>
      </c>
      <c r="G76">
        <v>292</v>
      </c>
      <c r="H76">
        <v>95484</v>
      </c>
      <c r="I76">
        <v>290</v>
      </c>
      <c r="J76">
        <v>116870</v>
      </c>
      <c r="K76">
        <v>570</v>
      </c>
      <c r="L76">
        <v>218310</v>
      </c>
      <c r="M76">
        <v>294</v>
      </c>
      <c r="N76">
        <v>106428</v>
      </c>
      <c r="O76">
        <v>261</v>
      </c>
      <c r="P76">
        <v>116145</v>
      </c>
      <c r="Q76">
        <v>736</v>
      </c>
      <c r="R76">
        <v>297344</v>
      </c>
      <c r="S76">
        <v>776</v>
      </c>
      <c r="T76">
        <v>337560</v>
      </c>
      <c r="U76">
        <v>425</v>
      </c>
      <c r="V76">
        <v>152575</v>
      </c>
      <c r="W76">
        <v>516</v>
      </c>
      <c r="X76">
        <v>224976</v>
      </c>
      <c r="Y76" s="26">
        <f t="shared" si="1"/>
        <v>4160</v>
      </c>
    </row>
    <row r="77" spans="1:25" x14ac:dyDescent="0.25">
      <c r="A77" t="s">
        <v>2168</v>
      </c>
      <c r="B77" t="s">
        <v>2169</v>
      </c>
      <c r="C77" s="22">
        <v>43852</v>
      </c>
      <c r="D77" t="s">
        <v>2026</v>
      </c>
      <c r="E77" t="s">
        <v>2027</v>
      </c>
      <c r="F77" t="s">
        <v>2016</v>
      </c>
      <c r="G77">
        <v>354</v>
      </c>
      <c r="H77">
        <v>114696</v>
      </c>
      <c r="I77">
        <v>648</v>
      </c>
      <c r="J77">
        <v>220968</v>
      </c>
      <c r="K77">
        <v>752</v>
      </c>
      <c r="L77">
        <v>252672</v>
      </c>
      <c r="M77">
        <v>476</v>
      </c>
      <c r="N77">
        <v>151368</v>
      </c>
      <c r="O77">
        <v>442</v>
      </c>
      <c r="P77">
        <v>153816</v>
      </c>
      <c r="Q77">
        <v>680</v>
      </c>
      <c r="R77">
        <v>233920</v>
      </c>
      <c r="S77">
        <v>242</v>
      </c>
      <c r="T77">
        <v>75746</v>
      </c>
      <c r="U77">
        <v>516</v>
      </c>
      <c r="V77">
        <v>173892</v>
      </c>
      <c r="W77">
        <v>246</v>
      </c>
      <c r="X77">
        <v>84624</v>
      </c>
      <c r="Y77" s="26">
        <f t="shared" si="1"/>
        <v>4356</v>
      </c>
    </row>
    <row r="78" spans="1:25" x14ac:dyDescent="0.25">
      <c r="A78" t="s">
        <v>2170</v>
      </c>
      <c r="B78" t="s">
        <v>2171</v>
      </c>
      <c r="C78" s="22">
        <v>43650</v>
      </c>
      <c r="D78" t="s">
        <v>2014</v>
      </c>
      <c r="E78" t="s">
        <v>2019</v>
      </c>
      <c r="F78" t="s">
        <v>2016</v>
      </c>
      <c r="G78">
        <v>685</v>
      </c>
      <c r="H78">
        <v>265780</v>
      </c>
      <c r="I78">
        <v>617</v>
      </c>
      <c r="J78">
        <v>235694</v>
      </c>
      <c r="K78">
        <v>418</v>
      </c>
      <c r="L78">
        <v>127908</v>
      </c>
      <c r="M78">
        <v>163</v>
      </c>
      <c r="N78">
        <v>67971</v>
      </c>
      <c r="O78">
        <v>277</v>
      </c>
      <c r="P78">
        <v>83100</v>
      </c>
      <c r="Q78">
        <v>710</v>
      </c>
      <c r="R78">
        <v>241400</v>
      </c>
      <c r="S78">
        <v>429</v>
      </c>
      <c r="T78">
        <v>172029</v>
      </c>
      <c r="U78">
        <v>350</v>
      </c>
      <c r="V78">
        <v>141750</v>
      </c>
      <c r="W78">
        <v>348</v>
      </c>
      <c r="X78">
        <v>131196</v>
      </c>
      <c r="Y78" s="26">
        <f t="shared" si="1"/>
        <v>3997</v>
      </c>
    </row>
    <row r="79" spans="1:25" x14ac:dyDescent="0.25">
      <c r="A79" t="s">
        <v>2172</v>
      </c>
      <c r="B79" t="s">
        <v>2173</v>
      </c>
      <c r="C79" s="22">
        <v>43537</v>
      </c>
      <c r="D79" t="s">
        <v>2026</v>
      </c>
      <c r="E79" t="s">
        <v>2015</v>
      </c>
      <c r="F79" t="s">
        <v>2016</v>
      </c>
      <c r="G79">
        <v>734</v>
      </c>
      <c r="H79">
        <v>326630</v>
      </c>
      <c r="I79">
        <v>590</v>
      </c>
      <c r="J79">
        <v>183490</v>
      </c>
      <c r="K79">
        <v>279</v>
      </c>
      <c r="L79">
        <v>104067</v>
      </c>
      <c r="M79">
        <v>730</v>
      </c>
      <c r="N79">
        <v>247470</v>
      </c>
      <c r="O79">
        <v>798</v>
      </c>
      <c r="P79">
        <v>244986</v>
      </c>
      <c r="Q79">
        <v>491</v>
      </c>
      <c r="R79">
        <v>217022</v>
      </c>
      <c r="S79">
        <v>182</v>
      </c>
      <c r="T79">
        <v>72982</v>
      </c>
      <c r="U79">
        <v>423</v>
      </c>
      <c r="V79">
        <v>137898</v>
      </c>
      <c r="W79">
        <v>160</v>
      </c>
      <c r="X79">
        <v>68480</v>
      </c>
      <c r="Y79" s="26">
        <f t="shared" si="1"/>
        <v>4387</v>
      </c>
    </row>
    <row r="80" spans="1:25" x14ac:dyDescent="0.25">
      <c r="A80" t="s">
        <v>2174</v>
      </c>
      <c r="B80" t="s">
        <v>2175</v>
      </c>
      <c r="C80" s="22">
        <v>43726</v>
      </c>
      <c r="D80" t="s">
        <v>2014</v>
      </c>
      <c r="E80" t="s">
        <v>2027</v>
      </c>
      <c r="F80" t="s">
        <v>2016</v>
      </c>
      <c r="G80">
        <v>305</v>
      </c>
      <c r="H80">
        <v>116815</v>
      </c>
      <c r="I80">
        <v>476</v>
      </c>
      <c r="J80">
        <v>159460</v>
      </c>
      <c r="K80">
        <v>315</v>
      </c>
      <c r="L80">
        <v>94815</v>
      </c>
      <c r="M80">
        <v>264</v>
      </c>
      <c r="N80">
        <v>106920</v>
      </c>
      <c r="O80">
        <v>341</v>
      </c>
      <c r="P80">
        <v>134354</v>
      </c>
      <c r="Q80">
        <v>523</v>
      </c>
      <c r="R80">
        <v>168929</v>
      </c>
      <c r="S80">
        <v>105</v>
      </c>
      <c r="T80">
        <v>39060</v>
      </c>
      <c r="U80">
        <v>522</v>
      </c>
      <c r="V80">
        <v>218196</v>
      </c>
      <c r="W80">
        <v>718</v>
      </c>
      <c r="X80">
        <v>263506</v>
      </c>
      <c r="Y80" s="26">
        <f t="shared" si="1"/>
        <v>3569</v>
      </c>
    </row>
    <row r="81" spans="1:25" x14ac:dyDescent="0.25">
      <c r="A81" t="s">
        <v>2176</v>
      </c>
      <c r="B81" t="s">
        <v>2177</v>
      </c>
      <c r="C81" s="22">
        <v>43937</v>
      </c>
      <c r="D81" t="s">
        <v>2014</v>
      </c>
      <c r="E81" t="s">
        <v>2015</v>
      </c>
      <c r="F81" t="s">
        <v>2016</v>
      </c>
      <c r="G81">
        <v>249</v>
      </c>
      <c r="H81">
        <v>96363</v>
      </c>
      <c r="I81">
        <v>639</v>
      </c>
      <c r="J81">
        <v>202563</v>
      </c>
      <c r="K81">
        <v>520</v>
      </c>
      <c r="L81">
        <v>182000</v>
      </c>
      <c r="M81">
        <v>277</v>
      </c>
      <c r="N81">
        <v>103875</v>
      </c>
      <c r="O81">
        <v>574</v>
      </c>
      <c r="P81">
        <v>216972</v>
      </c>
      <c r="Q81">
        <v>180</v>
      </c>
      <c r="R81">
        <v>62280</v>
      </c>
      <c r="S81">
        <v>378</v>
      </c>
      <c r="T81">
        <v>114912</v>
      </c>
      <c r="U81">
        <v>631</v>
      </c>
      <c r="V81">
        <v>283319</v>
      </c>
      <c r="W81">
        <v>219</v>
      </c>
      <c r="X81">
        <v>71175</v>
      </c>
      <c r="Y81" s="26">
        <f t="shared" si="1"/>
        <v>3667</v>
      </c>
    </row>
    <row r="82" spans="1:25" x14ac:dyDescent="0.25">
      <c r="A82" t="s">
        <v>2178</v>
      </c>
      <c r="B82" t="s">
        <v>2179</v>
      </c>
      <c r="C82" s="22">
        <v>43005</v>
      </c>
      <c r="D82" t="s">
        <v>2026</v>
      </c>
      <c r="E82" t="s">
        <v>2019</v>
      </c>
      <c r="F82" t="s">
        <v>2016</v>
      </c>
      <c r="G82">
        <v>673</v>
      </c>
      <c r="H82">
        <v>279968</v>
      </c>
      <c r="I82">
        <v>253</v>
      </c>
      <c r="J82">
        <v>77418</v>
      </c>
      <c r="K82">
        <v>368</v>
      </c>
      <c r="L82">
        <v>118864</v>
      </c>
      <c r="M82">
        <v>576</v>
      </c>
      <c r="N82">
        <v>237312</v>
      </c>
      <c r="O82">
        <v>279</v>
      </c>
      <c r="P82">
        <v>118854</v>
      </c>
      <c r="Q82">
        <v>310</v>
      </c>
      <c r="R82">
        <v>121830</v>
      </c>
      <c r="S82">
        <v>681</v>
      </c>
      <c r="T82">
        <v>262185</v>
      </c>
      <c r="U82">
        <v>583</v>
      </c>
      <c r="V82">
        <v>209297</v>
      </c>
      <c r="W82">
        <v>741</v>
      </c>
      <c r="X82">
        <v>263055</v>
      </c>
      <c r="Y82" s="26">
        <f t="shared" si="1"/>
        <v>4464</v>
      </c>
    </row>
    <row r="83" spans="1:25" x14ac:dyDescent="0.25">
      <c r="A83" t="s">
        <v>2180</v>
      </c>
      <c r="B83" t="s">
        <v>2181</v>
      </c>
      <c r="C83" s="22">
        <v>44155</v>
      </c>
      <c r="D83" t="s">
        <v>2026</v>
      </c>
      <c r="E83" t="s">
        <v>2015</v>
      </c>
      <c r="F83" t="s">
        <v>2016</v>
      </c>
      <c r="G83">
        <v>164</v>
      </c>
      <c r="H83">
        <v>67404</v>
      </c>
      <c r="I83">
        <v>313</v>
      </c>
      <c r="J83">
        <v>123009</v>
      </c>
      <c r="K83">
        <v>694</v>
      </c>
      <c r="L83">
        <v>289398</v>
      </c>
      <c r="M83">
        <v>461</v>
      </c>
      <c r="N83">
        <v>200074</v>
      </c>
      <c r="O83">
        <v>390</v>
      </c>
      <c r="P83">
        <v>126750</v>
      </c>
      <c r="Q83">
        <v>744</v>
      </c>
      <c r="R83">
        <v>277512</v>
      </c>
      <c r="S83">
        <v>516</v>
      </c>
      <c r="T83">
        <v>222396</v>
      </c>
      <c r="U83">
        <v>214</v>
      </c>
      <c r="V83">
        <v>86456</v>
      </c>
      <c r="W83">
        <v>647</v>
      </c>
      <c r="X83">
        <v>266564</v>
      </c>
      <c r="Y83" s="26">
        <f t="shared" si="1"/>
        <v>4143</v>
      </c>
    </row>
    <row r="84" spans="1:25" x14ac:dyDescent="0.25">
      <c r="A84" t="s">
        <v>2182</v>
      </c>
      <c r="B84" t="s">
        <v>2183</v>
      </c>
      <c r="C84" s="22">
        <v>42759</v>
      </c>
      <c r="D84" t="s">
        <v>2014</v>
      </c>
      <c r="E84" t="s">
        <v>2027</v>
      </c>
      <c r="F84" t="s">
        <v>2016</v>
      </c>
      <c r="G84">
        <v>396</v>
      </c>
      <c r="H84">
        <v>139788</v>
      </c>
      <c r="I84">
        <v>360</v>
      </c>
      <c r="J84">
        <v>158040</v>
      </c>
      <c r="K84">
        <v>454</v>
      </c>
      <c r="L84">
        <v>146188</v>
      </c>
      <c r="M84">
        <v>458</v>
      </c>
      <c r="N84">
        <v>174498</v>
      </c>
      <c r="O84">
        <v>773</v>
      </c>
      <c r="P84">
        <v>320022</v>
      </c>
      <c r="Q84">
        <v>360</v>
      </c>
      <c r="R84">
        <v>157680</v>
      </c>
      <c r="S84">
        <v>176</v>
      </c>
      <c r="T84">
        <v>77792</v>
      </c>
      <c r="U84">
        <v>655</v>
      </c>
      <c r="V84">
        <v>204360</v>
      </c>
      <c r="W84">
        <v>219</v>
      </c>
      <c r="X84">
        <v>98550</v>
      </c>
      <c r="Y84" s="26">
        <f t="shared" si="1"/>
        <v>3851</v>
      </c>
    </row>
    <row r="85" spans="1:25" x14ac:dyDescent="0.25">
      <c r="A85" t="s">
        <v>2184</v>
      </c>
      <c r="B85" t="s">
        <v>2185</v>
      </c>
      <c r="C85" s="22">
        <v>43807</v>
      </c>
      <c r="D85" t="s">
        <v>2014</v>
      </c>
      <c r="E85" t="s">
        <v>2027</v>
      </c>
      <c r="F85" t="s">
        <v>2016</v>
      </c>
      <c r="G85">
        <v>530</v>
      </c>
      <c r="H85">
        <v>166420</v>
      </c>
      <c r="I85">
        <v>211</v>
      </c>
      <c r="J85">
        <v>87776</v>
      </c>
      <c r="K85">
        <v>122</v>
      </c>
      <c r="L85">
        <v>38796</v>
      </c>
      <c r="M85">
        <v>510</v>
      </c>
      <c r="N85">
        <v>202470</v>
      </c>
      <c r="O85">
        <v>147</v>
      </c>
      <c r="P85">
        <v>51303</v>
      </c>
      <c r="Q85">
        <v>237</v>
      </c>
      <c r="R85">
        <v>79395</v>
      </c>
      <c r="S85">
        <v>170</v>
      </c>
      <c r="T85">
        <v>73950</v>
      </c>
      <c r="U85">
        <v>273</v>
      </c>
      <c r="V85">
        <v>103194</v>
      </c>
      <c r="W85">
        <v>115</v>
      </c>
      <c r="X85">
        <v>45655</v>
      </c>
      <c r="Y85" s="26">
        <f t="shared" si="1"/>
        <v>2315</v>
      </c>
    </row>
    <row r="86" spans="1:25" x14ac:dyDescent="0.25">
      <c r="A86" t="s">
        <v>2186</v>
      </c>
      <c r="B86" t="s">
        <v>2187</v>
      </c>
      <c r="C86" s="22">
        <v>43126</v>
      </c>
      <c r="D86" t="s">
        <v>2014</v>
      </c>
      <c r="E86" t="s">
        <v>2027</v>
      </c>
      <c r="F86" t="s">
        <v>2016</v>
      </c>
      <c r="G86">
        <v>599</v>
      </c>
      <c r="H86">
        <v>190482</v>
      </c>
      <c r="I86">
        <v>780</v>
      </c>
      <c r="J86">
        <v>348660</v>
      </c>
      <c r="K86">
        <v>105</v>
      </c>
      <c r="L86">
        <v>44940</v>
      </c>
      <c r="M86">
        <v>317</v>
      </c>
      <c r="N86">
        <v>130921</v>
      </c>
      <c r="O86">
        <v>726</v>
      </c>
      <c r="P86">
        <v>279510</v>
      </c>
      <c r="Q86">
        <v>146</v>
      </c>
      <c r="R86">
        <v>55042</v>
      </c>
      <c r="S86">
        <v>390</v>
      </c>
      <c r="T86">
        <v>150930</v>
      </c>
      <c r="U86">
        <v>580</v>
      </c>
      <c r="V86">
        <v>197200</v>
      </c>
      <c r="W86">
        <v>761</v>
      </c>
      <c r="X86">
        <v>264828</v>
      </c>
      <c r="Y86" s="26">
        <f t="shared" si="1"/>
        <v>4404</v>
      </c>
    </row>
    <row r="87" spans="1:25" x14ac:dyDescent="0.25">
      <c r="A87" t="s">
        <v>2188</v>
      </c>
      <c r="B87" t="s">
        <v>2189</v>
      </c>
      <c r="C87" s="22">
        <v>43126</v>
      </c>
      <c r="D87" t="s">
        <v>2014</v>
      </c>
      <c r="E87" t="s">
        <v>2015</v>
      </c>
      <c r="F87" t="s">
        <v>2016</v>
      </c>
      <c r="G87">
        <v>388</v>
      </c>
      <c r="H87">
        <v>169944</v>
      </c>
      <c r="I87">
        <v>296</v>
      </c>
      <c r="J87">
        <v>116920</v>
      </c>
      <c r="K87">
        <v>688</v>
      </c>
      <c r="L87">
        <v>253872</v>
      </c>
      <c r="M87">
        <v>237</v>
      </c>
      <c r="N87">
        <v>72759</v>
      </c>
      <c r="O87">
        <v>322</v>
      </c>
      <c r="P87">
        <v>128156</v>
      </c>
      <c r="Q87">
        <v>272</v>
      </c>
      <c r="R87">
        <v>82960</v>
      </c>
      <c r="S87">
        <v>489</v>
      </c>
      <c r="T87">
        <v>190710</v>
      </c>
      <c r="U87">
        <v>420</v>
      </c>
      <c r="V87">
        <v>188160</v>
      </c>
      <c r="W87">
        <v>541</v>
      </c>
      <c r="X87">
        <v>236417</v>
      </c>
      <c r="Y87" s="26">
        <f t="shared" si="1"/>
        <v>3653</v>
      </c>
    </row>
    <row r="88" spans="1:25" x14ac:dyDescent="0.25">
      <c r="A88" t="s">
        <v>2190</v>
      </c>
      <c r="B88" t="s">
        <v>2191</v>
      </c>
      <c r="C88" s="22">
        <v>44068</v>
      </c>
      <c r="D88" t="s">
        <v>2014</v>
      </c>
      <c r="E88" t="s">
        <v>2027</v>
      </c>
      <c r="F88" t="s">
        <v>2016</v>
      </c>
      <c r="G88">
        <v>551</v>
      </c>
      <c r="H88">
        <v>235828</v>
      </c>
      <c r="I88">
        <v>302</v>
      </c>
      <c r="J88">
        <v>97546</v>
      </c>
      <c r="K88">
        <v>775</v>
      </c>
      <c r="L88">
        <v>241025</v>
      </c>
      <c r="M88">
        <v>293</v>
      </c>
      <c r="N88">
        <v>97569</v>
      </c>
      <c r="O88">
        <v>398</v>
      </c>
      <c r="P88">
        <v>134524</v>
      </c>
      <c r="Q88">
        <v>698</v>
      </c>
      <c r="R88">
        <v>294556</v>
      </c>
      <c r="S88">
        <v>277</v>
      </c>
      <c r="T88">
        <v>119110</v>
      </c>
      <c r="U88">
        <v>533</v>
      </c>
      <c r="V88">
        <v>238251</v>
      </c>
      <c r="W88">
        <v>116</v>
      </c>
      <c r="X88">
        <v>35844</v>
      </c>
      <c r="Y88" s="26">
        <f t="shared" si="1"/>
        <v>3943</v>
      </c>
    </row>
    <row r="89" spans="1:25" x14ac:dyDescent="0.25">
      <c r="A89" t="s">
        <v>2192</v>
      </c>
      <c r="B89" t="s">
        <v>2193</v>
      </c>
      <c r="C89" s="22">
        <v>43227</v>
      </c>
      <c r="D89" t="s">
        <v>2026</v>
      </c>
      <c r="E89" t="s">
        <v>2019</v>
      </c>
      <c r="F89" t="s">
        <v>2016</v>
      </c>
      <c r="G89">
        <v>110</v>
      </c>
      <c r="H89">
        <v>38830</v>
      </c>
      <c r="I89">
        <v>176</v>
      </c>
      <c r="J89">
        <v>52976</v>
      </c>
      <c r="K89">
        <v>292</v>
      </c>
      <c r="L89">
        <v>122640</v>
      </c>
      <c r="M89">
        <v>165</v>
      </c>
      <c r="N89">
        <v>67980</v>
      </c>
      <c r="O89">
        <v>492</v>
      </c>
      <c r="P89">
        <v>217464</v>
      </c>
      <c r="Q89">
        <v>215</v>
      </c>
      <c r="R89">
        <v>84065</v>
      </c>
      <c r="S89">
        <v>276</v>
      </c>
      <c r="T89">
        <v>88044</v>
      </c>
      <c r="U89">
        <v>259</v>
      </c>
      <c r="V89">
        <v>104118</v>
      </c>
      <c r="W89">
        <v>509</v>
      </c>
      <c r="X89">
        <v>161862</v>
      </c>
      <c r="Y89" s="26">
        <f t="shared" si="1"/>
        <v>2494</v>
      </c>
    </row>
    <row r="90" spans="1:25" x14ac:dyDescent="0.25">
      <c r="A90" t="s">
        <v>2194</v>
      </c>
      <c r="B90" t="s">
        <v>2195</v>
      </c>
      <c r="C90" s="22">
        <v>42125</v>
      </c>
      <c r="D90" t="s">
        <v>2026</v>
      </c>
      <c r="E90" t="s">
        <v>2027</v>
      </c>
      <c r="F90" t="s">
        <v>2016</v>
      </c>
      <c r="G90">
        <v>689</v>
      </c>
      <c r="H90">
        <v>275600</v>
      </c>
      <c r="I90">
        <v>643</v>
      </c>
      <c r="J90">
        <v>253342</v>
      </c>
      <c r="K90">
        <v>667</v>
      </c>
      <c r="L90">
        <v>211439</v>
      </c>
      <c r="M90">
        <v>303</v>
      </c>
      <c r="N90">
        <v>103626</v>
      </c>
      <c r="O90">
        <v>528</v>
      </c>
      <c r="P90">
        <v>160512</v>
      </c>
      <c r="Q90">
        <v>260</v>
      </c>
      <c r="R90">
        <v>111280</v>
      </c>
      <c r="S90">
        <v>355</v>
      </c>
      <c r="T90">
        <v>139870</v>
      </c>
      <c r="U90">
        <v>105</v>
      </c>
      <c r="V90">
        <v>35910</v>
      </c>
      <c r="W90">
        <v>290</v>
      </c>
      <c r="X90">
        <v>113100</v>
      </c>
      <c r="Y90" s="26">
        <f t="shared" si="1"/>
        <v>3840</v>
      </c>
    </row>
    <row r="91" spans="1:25" x14ac:dyDescent="0.25">
      <c r="A91" t="s">
        <v>2196</v>
      </c>
      <c r="B91" t="s">
        <v>2197</v>
      </c>
      <c r="C91" s="22">
        <v>42784</v>
      </c>
      <c r="D91" t="s">
        <v>2014</v>
      </c>
      <c r="E91" t="s">
        <v>2027</v>
      </c>
      <c r="F91" t="s">
        <v>2016</v>
      </c>
      <c r="G91">
        <v>727</v>
      </c>
      <c r="H91">
        <v>234094</v>
      </c>
      <c r="I91">
        <v>267</v>
      </c>
      <c r="J91">
        <v>83571</v>
      </c>
      <c r="K91">
        <v>478</v>
      </c>
      <c r="L91">
        <v>171124</v>
      </c>
      <c r="M91">
        <v>588</v>
      </c>
      <c r="N91">
        <v>196392</v>
      </c>
      <c r="O91">
        <v>211</v>
      </c>
      <c r="P91">
        <v>89675</v>
      </c>
      <c r="Q91">
        <v>734</v>
      </c>
      <c r="R91">
        <v>278186</v>
      </c>
      <c r="S91">
        <v>274</v>
      </c>
      <c r="T91">
        <v>94530</v>
      </c>
      <c r="U91">
        <v>773</v>
      </c>
      <c r="V91">
        <v>267458</v>
      </c>
      <c r="W91">
        <v>713</v>
      </c>
      <c r="X91">
        <v>216752</v>
      </c>
      <c r="Y91" s="26">
        <f t="shared" si="1"/>
        <v>4765</v>
      </c>
    </row>
    <row r="92" spans="1:25" x14ac:dyDescent="0.25">
      <c r="A92" t="s">
        <v>2198</v>
      </c>
      <c r="B92" t="s">
        <v>2199</v>
      </c>
      <c r="C92" s="22">
        <v>44046</v>
      </c>
      <c r="D92" t="s">
        <v>2014</v>
      </c>
      <c r="E92" t="s">
        <v>2019</v>
      </c>
      <c r="F92" t="s">
        <v>2016</v>
      </c>
      <c r="G92">
        <v>346</v>
      </c>
      <c r="H92">
        <v>126636</v>
      </c>
      <c r="I92">
        <v>652</v>
      </c>
      <c r="J92">
        <v>213204</v>
      </c>
      <c r="K92">
        <v>624</v>
      </c>
      <c r="L92">
        <v>230256</v>
      </c>
      <c r="M92">
        <v>700</v>
      </c>
      <c r="N92">
        <v>296100</v>
      </c>
      <c r="O92">
        <v>541</v>
      </c>
      <c r="P92">
        <v>233171</v>
      </c>
      <c r="Q92">
        <v>329</v>
      </c>
      <c r="R92">
        <v>146734</v>
      </c>
      <c r="S92">
        <v>790</v>
      </c>
      <c r="T92">
        <v>238580</v>
      </c>
      <c r="U92">
        <v>375</v>
      </c>
      <c r="V92">
        <v>141000</v>
      </c>
      <c r="W92">
        <v>614</v>
      </c>
      <c r="X92">
        <v>265862</v>
      </c>
      <c r="Y92" s="26">
        <f t="shared" si="1"/>
        <v>4971</v>
      </c>
    </row>
    <row r="93" spans="1:25" x14ac:dyDescent="0.25">
      <c r="A93" t="s">
        <v>2200</v>
      </c>
      <c r="B93" t="s">
        <v>2201</v>
      </c>
      <c r="C93" s="22">
        <v>42040</v>
      </c>
      <c r="D93" t="s">
        <v>2014</v>
      </c>
      <c r="E93" t="s">
        <v>2027</v>
      </c>
      <c r="F93" t="s">
        <v>2016</v>
      </c>
      <c r="G93">
        <v>689</v>
      </c>
      <c r="H93">
        <v>251485</v>
      </c>
      <c r="I93">
        <v>675</v>
      </c>
      <c r="J93">
        <v>258525</v>
      </c>
      <c r="K93">
        <v>363</v>
      </c>
      <c r="L93">
        <v>153549</v>
      </c>
      <c r="M93">
        <v>432</v>
      </c>
      <c r="N93">
        <v>154656</v>
      </c>
      <c r="O93">
        <v>566</v>
      </c>
      <c r="P93">
        <v>229230</v>
      </c>
      <c r="Q93">
        <v>440</v>
      </c>
      <c r="R93">
        <v>154880</v>
      </c>
      <c r="S93">
        <v>122</v>
      </c>
      <c r="T93">
        <v>49654</v>
      </c>
      <c r="U93">
        <v>584</v>
      </c>
      <c r="V93">
        <v>223672</v>
      </c>
      <c r="W93">
        <v>592</v>
      </c>
      <c r="X93">
        <v>238576</v>
      </c>
      <c r="Y93" s="26">
        <f t="shared" si="1"/>
        <v>4463</v>
      </c>
    </row>
    <row r="94" spans="1:25" x14ac:dyDescent="0.25">
      <c r="A94" t="s">
        <v>2202</v>
      </c>
      <c r="B94" t="s">
        <v>2203</v>
      </c>
      <c r="C94" s="22">
        <v>43043</v>
      </c>
      <c r="D94" t="s">
        <v>2014</v>
      </c>
      <c r="E94" t="s">
        <v>2027</v>
      </c>
      <c r="F94" t="s">
        <v>2016</v>
      </c>
      <c r="G94">
        <v>434</v>
      </c>
      <c r="H94">
        <v>179242</v>
      </c>
      <c r="I94">
        <v>603</v>
      </c>
      <c r="J94">
        <v>242406</v>
      </c>
      <c r="K94">
        <v>561</v>
      </c>
      <c r="L94">
        <v>199716</v>
      </c>
      <c r="M94">
        <v>163</v>
      </c>
      <c r="N94">
        <v>73024</v>
      </c>
      <c r="O94">
        <v>678</v>
      </c>
      <c r="P94">
        <v>289506</v>
      </c>
      <c r="Q94">
        <v>573</v>
      </c>
      <c r="R94">
        <v>252693</v>
      </c>
      <c r="S94">
        <v>353</v>
      </c>
      <c r="T94">
        <v>117902</v>
      </c>
      <c r="U94">
        <v>205</v>
      </c>
      <c r="V94">
        <v>83845</v>
      </c>
      <c r="W94">
        <v>608</v>
      </c>
      <c r="X94">
        <v>254752</v>
      </c>
      <c r="Y94" s="26">
        <f t="shared" si="1"/>
        <v>4178</v>
      </c>
    </row>
    <row r="95" spans="1:25" x14ac:dyDescent="0.25">
      <c r="A95" t="s">
        <v>2204</v>
      </c>
      <c r="B95" t="s">
        <v>2205</v>
      </c>
      <c r="C95" s="22">
        <v>42865</v>
      </c>
      <c r="D95" t="s">
        <v>2026</v>
      </c>
      <c r="E95" t="s">
        <v>2015</v>
      </c>
      <c r="F95" t="s">
        <v>2016</v>
      </c>
      <c r="G95">
        <v>254</v>
      </c>
      <c r="H95">
        <v>88646</v>
      </c>
      <c r="I95">
        <v>494</v>
      </c>
      <c r="J95">
        <v>152646</v>
      </c>
      <c r="K95">
        <v>398</v>
      </c>
      <c r="L95">
        <v>163976</v>
      </c>
      <c r="M95">
        <v>165</v>
      </c>
      <c r="N95">
        <v>64185</v>
      </c>
      <c r="O95">
        <v>459</v>
      </c>
      <c r="P95">
        <v>157437</v>
      </c>
      <c r="Q95">
        <v>730</v>
      </c>
      <c r="R95">
        <v>251850</v>
      </c>
      <c r="S95">
        <v>180</v>
      </c>
      <c r="T95">
        <v>80460</v>
      </c>
      <c r="U95">
        <v>478</v>
      </c>
      <c r="V95">
        <v>199804</v>
      </c>
      <c r="W95">
        <v>104</v>
      </c>
      <c r="X95">
        <v>41704</v>
      </c>
      <c r="Y95" s="26">
        <f t="shared" si="1"/>
        <v>3262</v>
      </c>
    </row>
    <row r="96" spans="1:25" x14ac:dyDescent="0.25">
      <c r="A96" t="s">
        <v>2206</v>
      </c>
      <c r="B96" t="s">
        <v>2207</v>
      </c>
      <c r="C96" s="22">
        <v>42963</v>
      </c>
      <c r="D96" t="s">
        <v>2014</v>
      </c>
      <c r="E96" t="s">
        <v>2027</v>
      </c>
      <c r="F96" t="s">
        <v>2016</v>
      </c>
      <c r="G96">
        <v>682</v>
      </c>
      <c r="H96">
        <v>243474</v>
      </c>
      <c r="I96">
        <v>782</v>
      </c>
      <c r="J96">
        <v>305762</v>
      </c>
      <c r="K96">
        <v>551</v>
      </c>
      <c r="L96">
        <v>240787</v>
      </c>
      <c r="M96">
        <v>266</v>
      </c>
      <c r="N96">
        <v>107730</v>
      </c>
      <c r="O96">
        <v>450</v>
      </c>
      <c r="P96">
        <v>161550</v>
      </c>
      <c r="Q96">
        <v>248</v>
      </c>
      <c r="R96">
        <v>105152</v>
      </c>
      <c r="S96">
        <v>496</v>
      </c>
      <c r="T96">
        <v>211296</v>
      </c>
      <c r="U96">
        <v>372</v>
      </c>
      <c r="V96">
        <v>135780</v>
      </c>
      <c r="W96">
        <v>516</v>
      </c>
      <c r="X96">
        <v>184728</v>
      </c>
      <c r="Y96" s="26">
        <f t="shared" si="1"/>
        <v>4363</v>
      </c>
    </row>
    <row r="97" spans="1:25" x14ac:dyDescent="0.25">
      <c r="A97" t="s">
        <v>2208</v>
      </c>
      <c r="B97" t="s">
        <v>2209</v>
      </c>
      <c r="C97" s="22">
        <v>43385</v>
      </c>
      <c r="D97" t="s">
        <v>2026</v>
      </c>
      <c r="E97" t="s">
        <v>2015</v>
      </c>
      <c r="F97" t="s">
        <v>2016</v>
      </c>
      <c r="G97">
        <v>104</v>
      </c>
      <c r="H97">
        <v>33072</v>
      </c>
      <c r="I97">
        <v>686</v>
      </c>
      <c r="J97">
        <v>205800</v>
      </c>
      <c r="K97">
        <v>584</v>
      </c>
      <c r="L97">
        <v>179288</v>
      </c>
      <c r="M97">
        <v>186</v>
      </c>
      <c r="N97">
        <v>67146</v>
      </c>
      <c r="O97">
        <v>354</v>
      </c>
      <c r="P97">
        <v>109032</v>
      </c>
      <c r="Q97">
        <v>693</v>
      </c>
      <c r="R97">
        <v>248094</v>
      </c>
      <c r="S97">
        <v>606</v>
      </c>
      <c r="T97">
        <v>198162</v>
      </c>
      <c r="U97">
        <v>485</v>
      </c>
      <c r="V97">
        <v>195940</v>
      </c>
      <c r="W97">
        <v>190</v>
      </c>
      <c r="X97">
        <v>68210</v>
      </c>
      <c r="Y97" s="26">
        <f t="shared" si="1"/>
        <v>3888</v>
      </c>
    </row>
    <row r="98" spans="1:25" x14ac:dyDescent="0.25">
      <c r="A98" t="s">
        <v>2210</v>
      </c>
      <c r="B98" t="s">
        <v>2211</v>
      </c>
      <c r="C98" s="22">
        <v>42320</v>
      </c>
      <c r="D98" t="s">
        <v>2014</v>
      </c>
      <c r="E98" t="s">
        <v>2015</v>
      </c>
      <c r="F98" t="s">
        <v>2016</v>
      </c>
      <c r="G98">
        <v>638</v>
      </c>
      <c r="H98">
        <v>250734</v>
      </c>
      <c r="I98">
        <v>415</v>
      </c>
      <c r="J98">
        <v>146495</v>
      </c>
      <c r="K98">
        <v>119</v>
      </c>
      <c r="L98">
        <v>41055</v>
      </c>
      <c r="M98">
        <v>674</v>
      </c>
      <c r="N98">
        <v>285102</v>
      </c>
      <c r="O98">
        <v>357</v>
      </c>
      <c r="P98">
        <v>152082</v>
      </c>
      <c r="Q98">
        <v>157</v>
      </c>
      <c r="R98">
        <v>50397</v>
      </c>
      <c r="S98">
        <v>722</v>
      </c>
      <c r="T98">
        <v>249090</v>
      </c>
      <c r="U98">
        <v>564</v>
      </c>
      <c r="V98">
        <v>206988</v>
      </c>
      <c r="W98">
        <v>636</v>
      </c>
      <c r="X98">
        <v>263940</v>
      </c>
      <c r="Y98" s="26">
        <f t="shared" si="1"/>
        <v>4282</v>
      </c>
    </row>
    <row r="99" spans="1:25" x14ac:dyDescent="0.25">
      <c r="A99" t="s">
        <v>2212</v>
      </c>
      <c r="B99" t="s">
        <v>2213</v>
      </c>
      <c r="C99" s="22">
        <v>43200</v>
      </c>
      <c r="D99" t="s">
        <v>2014</v>
      </c>
      <c r="E99" t="s">
        <v>2019</v>
      </c>
      <c r="F99" t="s">
        <v>2016</v>
      </c>
      <c r="G99">
        <v>331</v>
      </c>
      <c r="H99">
        <v>144647</v>
      </c>
      <c r="I99">
        <v>523</v>
      </c>
      <c r="J99">
        <v>181481</v>
      </c>
      <c r="K99">
        <v>607</v>
      </c>
      <c r="L99">
        <v>242800</v>
      </c>
      <c r="M99">
        <v>281</v>
      </c>
      <c r="N99">
        <v>100879</v>
      </c>
      <c r="O99">
        <v>570</v>
      </c>
      <c r="P99">
        <v>201210</v>
      </c>
      <c r="Q99">
        <v>166</v>
      </c>
      <c r="R99">
        <v>68558</v>
      </c>
      <c r="S99">
        <v>316</v>
      </c>
      <c r="T99">
        <v>132404</v>
      </c>
      <c r="U99">
        <v>534</v>
      </c>
      <c r="V99">
        <v>208260</v>
      </c>
      <c r="W99">
        <v>100</v>
      </c>
      <c r="X99">
        <v>39800</v>
      </c>
      <c r="Y99" s="26">
        <f t="shared" si="1"/>
        <v>3428</v>
      </c>
    </row>
    <row r="100" spans="1:25" x14ac:dyDescent="0.25">
      <c r="A100" t="s">
        <v>2214</v>
      </c>
      <c r="B100" t="s">
        <v>2215</v>
      </c>
      <c r="C100" s="22">
        <v>43936</v>
      </c>
      <c r="D100" t="s">
        <v>2026</v>
      </c>
      <c r="E100" t="s">
        <v>2019</v>
      </c>
      <c r="F100" t="s">
        <v>2016</v>
      </c>
      <c r="G100">
        <v>545</v>
      </c>
      <c r="H100">
        <v>214730</v>
      </c>
      <c r="I100">
        <v>193</v>
      </c>
      <c r="J100">
        <v>64269</v>
      </c>
      <c r="K100">
        <v>431</v>
      </c>
      <c r="L100">
        <v>130162</v>
      </c>
      <c r="M100">
        <v>134</v>
      </c>
      <c r="N100">
        <v>60300</v>
      </c>
      <c r="O100">
        <v>398</v>
      </c>
      <c r="P100">
        <v>164374</v>
      </c>
      <c r="Q100">
        <v>605</v>
      </c>
      <c r="R100">
        <v>231110</v>
      </c>
      <c r="S100">
        <v>507</v>
      </c>
      <c r="T100">
        <v>170352</v>
      </c>
      <c r="U100">
        <v>558</v>
      </c>
      <c r="V100">
        <v>218178</v>
      </c>
      <c r="W100">
        <v>194</v>
      </c>
      <c r="X100">
        <v>72362</v>
      </c>
      <c r="Y100" s="26">
        <f t="shared" si="1"/>
        <v>3565</v>
      </c>
    </row>
    <row r="101" spans="1:25" x14ac:dyDescent="0.25">
      <c r="A101" t="s">
        <v>2216</v>
      </c>
      <c r="B101" t="s">
        <v>2217</v>
      </c>
      <c r="C101" s="22">
        <v>43667</v>
      </c>
      <c r="D101" t="s">
        <v>2026</v>
      </c>
      <c r="E101" t="s">
        <v>2015</v>
      </c>
      <c r="F101" t="s">
        <v>2016</v>
      </c>
      <c r="G101">
        <v>398</v>
      </c>
      <c r="H101">
        <v>124972</v>
      </c>
      <c r="I101">
        <v>790</v>
      </c>
      <c r="J101">
        <v>328640</v>
      </c>
      <c r="K101">
        <v>548</v>
      </c>
      <c r="L101">
        <v>220296</v>
      </c>
      <c r="M101">
        <v>266</v>
      </c>
      <c r="N101">
        <v>119700</v>
      </c>
      <c r="O101">
        <v>390</v>
      </c>
      <c r="P101">
        <v>174330</v>
      </c>
      <c r="Q101">
        <v>159</v>
      </c>
      <c r="R101">
        <v>50562</v>
      </c>
      <c r="S101">
        <v>726</v>
      </c>
      <c r="T101">
        <v>217800</v>
      </c>
      <c r="U101">
        <v>166</v>
      </c>
      <c r="V101">
        <v>56938</v>
      </c>
      <c r="W101">
        <v>354</v>
      </c>
      <c r="X101">
        <v>127086</v>
      </c>
      <c r="Y101" s="26">
        <f t="shared" si="1"/>
        <v>3797</v>
      </c>
    </row>
    <row r="102" spans="1:25" x14ac:dyDescent="0.25">
      <c r="A102" t="s">
        <v>2218</v>
      </c>
      <c r="B102" t="s">
        <v>2219</v>
      </c>
      <c r="C102" s="22">
        <v>42332</v>
      </c>
      <c r="D102" t="s">
        <v>2026</v>
      </c>
      <c r="E102" t="s">
        <v>2019</v>
      </c>
      <c r="F102" t="s">
        <v>2016</v>
      </c>
      <c r="G102">
        <v>725</v>
      </c>
      <c r="H102">
        <v>317550</v>
      </c>
      <c r="I102">
        <v>117</v>
      </c>
      <c r="J102">
        <v>42237</v>
      </c>
      <c r="K102">
        <v>201</v>
      </c>
      <c r="L102">
        <v>85023</v>
      </c>
      <c r="M102">
        <v>634</v>
      </c>
      <c r="N102">
        <v>249796</v>
      </c>
      <c r="O102">
        <v>186</v>
      </c>
      <c r="P102">
        <v>72912</v>
      </c>
      <c r="Q102">
        <v>607</v>
      </c>
      <c r="R102">
        <v>183314</v>
      </c>
      <c r="S102">
        <v>204</v>
      </c>
      <c r="T102">
        <v>88128</v>
      </c>
      <c r="U102">
        <v>518</v>
      </c>
      <c r="V102">
        <v>191142</v>
      </c>
      <c r="W102">
        <v>181</v>
      </c>
      <c r="X102">
        <v>55929</v>
      </c>
      <c r="Y102" s="26">
        <f t="shared" si="1"/>
        <v>3373</v>
      </c>
    </row>
    <row r="103" spans="1:25" x14ac:dyDescent="0.25">
      <c r="A103" t="s">
        <v>2220</v>
      </c>
      <c r="B103" t="s">
        <v>2221</v>
      </c>
      <c r="C103" s="22">
        <v>43796</v>
      </c>
      <c r="D103" t="s">
        <v>2014</v>
      </c>
      <c r="E103" t="s">
        <v>2019</v>
      </c>
      <c r="F103" t="s">
        <v>2016</v>
      </c>
      <c r="G103">
        <v>101</v>
      </c>
      <c r="H103">
        <v>33027</v>
      </c>
      <c r="I103">
        <v>118</v>
      </c>
      <c r="J103">
        <v>51094</v>
      </c>
      <c r="K103">
        <v>147</v>
      </c>
      <c r="L103">
        <v>52626</v>
      </c>
      <c r="M103">
        <v>133</v>
      </c>
      <c r="N103">
        <v>59318</v>
      </c>
      <c r="O103">
        <v>122</v>
      </c>
      <c r="P103">
        <v>47824</v>
      </c>
      <c r="Q103">
        <v>161</v>
      </c>
      <c r="R103">
        <v>52647</v>
      </c>
      <c r="S103">
        <v>516</v>
      </c>
      <c r="T103">
        <v>175440</v>
      </c>
      <c r="U103">
        <v>142</v>
      </c>
      <c r="V103">
        <v>60350</v>
      </c>
      <c r="W103">
        <v>268</v>
      </c>
      <c r="X103">
        <v>102644</v>
      </c>
      <c r="Y103" s="26">
        <f t="shared" si="1"/>
        <v>1708</v>
      </c>
    </row>
    <row r="104" spans="1:25" x14ac:dyDescent="0.25">
      <c r="A104" t="s">
        <v>2222</v>
      </c>
      <c r="B104" t="s">
        <v>2223</v>
      </c>
      <c r="C104" s="22">
        <v>42879</v>
      </c>
      <c r="D104" t="s">
        <v>2014</v>
      </c>
      <c r="E104" t="s">
        <v>2027</v>
      </c>
      <c r="F104" t="s">
        <v>2016</v>
      </c>
      <c r="G104">
        <v>412</v>
      </c>
      <c r="H104">
        <v>171392</v>
      </c>
      <c r="I104">
        <v>188</v>
      </c>
      <c r="J104">
        <v>72192</v>
      </c>
      <c r="K104">
        <v>758</v>
      </c>
      <c r="L104">
        <v>306990</v>
      </c>
      <c r="M104">
        <v>155</v>
      </c>
      <c r="N104">
        <v>48360</v>
      </c>
      <c r="O104">
        <v>503</v>
      </c>
      <c r="P104">
        <v>195667</v>
      </c>
      <c r="Q104">
        <v>571</v>
      </c>
      <c r="R104">
        <v>181007</v>
      </c>
      <c r="S104">
        <v>391</v>
      </c>
      <c r="T104">
        <v>120428</v>
      </c>
      <c r="U104">
        <v>276</v>
      </c>
      <c r="V104">
        <v>83904</v>
      </c>
      <c r="W104">
        <v>204</v>
      </c>
      <c r="X104">
        <v>76296</v>
      </c>
      <c r="Y104" s="26">
        <f t="shared" si="1"/>
        <v>3458</v>
      </c>
    </row>
    <row r="105" spans="1:25" x14ac:dyDescent="0.25">
      <c r="A105" t="s">
        <v>2224</v>
      </c>
      <c r="B105" t="s">
        <v>2225</v>
      </c>
      <c r="C105" s="22">
        <v>42481</v>
      </c>
      <c r="D105" t="s">
        <v>2026</v>
      </c>
      <c r="E105" t="s">
        <v>2027</v>
      </c>
      <c r="F105" t="s">
        <v>2016</v>
      </c>
      <c r="G105">
        <v>381</v>
      </c>
      <c r="H105">
        <v>153162</v>
      </c>
      <c r="I105">
        <v>591</v>
      </c>
      <c r="J105">
        <v>193257</v>
      </c>
      <c r="K105">
        <v>375</v>
      </c>
      <c r="L105">
        <v>159375</v>
      </c>
      <c r="M105">
        <v>363</v>
      </c>
      <c r="N105">
        <v>138303</v>
      </c>
      <c r="O105">
        <v>191</v>
      </c>
      <c r="P105">
        <v>79456</v>
      </c>
      <c r="Q105">
        <v>603</v>
      </c>
      <c r="R105">
        <v>181503</v>
      </c>
      <c r="S105">
        <v>501</v>
      </c>
      <c r="T105">
        <v>188376</v>
      </c>
      <c r="U105">
        <v>202</v>
      </c>
      <c r="V105">
        <v>61004</v>
      </c>
      <c r="W105">
        <v>304</v>
      </c>
      <c r="X105">
        <v>105184</v>
      </c>
      <c r="Y105" s="26">
        <f t="shared" si="1"/>
        <v>3511</v>
      </c>
    </row>
    <row r="106" spans="1:25" x14ac:dyDescent="0.25">
      <c r="A106" t="s">
        <v>2226</v>
      </c>
      <c r="B106" t="s">
        <v>2227</v>
      </c>
      <c r="C106" s="22">
        <v>42645</v>
      </c>
      <c r="D106" t="s">
        <v>2014</v>
      </c>
      <c r="E106" t="s">
        <v>2019</v>
      </c>
      <c r="F106" t="s">
        <v>2016</v>
      </c>
      <c r="G106">
        <v>220</v>
      </c>
      <c r="H106">
        <v>96360</v>
      </c>
      <c r="I106">
        <v>170</v>
      </c>
      <c r="J106">
        <v>72080</v>
      </c>
      <c r="K106">
        <v>263</v>
      </c>
      <c r="L106">
        <v>98099</v>
      </c>
      <c r="M106">
        <v>408</v>
      </c>
      <c r="N106">
        <v>143208</v>
      </c>
      <c r="O106">
        <v>698</v>
      </c>
      <c r="P106">
        <v>257562</v>
      </c>
      <c r="Q106">
        <v>531</v>
      </c>
      <c r="R106">
        <v>219303</v>
      </c>
      <c r="S106">
        <v>149</v>
      </c>
      <c r="T106">
        <v>49468</v>
      </c>
      <c r="U106">
        <v>754</v>
      </c>
      <c r="V106">
        <v>312910</v>
      </c>
      <c r="W106">
        <v>438</v>
      </c>
      <c r="X106">
        <v>191844</v>
      </c>
      <c r="Y106" s="26">
        <f t="shared" si="1"/>
        <v>3631</v>
      </c>
    </row>
    <row r="107" spans="1:25" x14ac:dyDescent="0.25">
      <c r="A107" t="s">
        <v>2228</v>
      </c>
      <c r="B107" t="s">
        <v>2229</v>
      </c>
      <c r="C107" s="22">
        <v>43935</v>
      </c>
      <c r="D107" t="s">
        <v>2026</v>
      </c>
      <c r="E107" t="s">
        <v>2027</v>
      </c>
      <c r="F107" t="s">
        <v>2016</v>
      </c>
      <c r="G107">
        <v>725</v>
      </c>
      <c r="H107">
        <v>256650</v>
      </c>
      <c r="I107">
        <v>368</v>
      </c>
      <c r="J107">
        <v>119232</v>
      </c>
      <c r="K107">
        <v>436</v>
      </c>
      <c r="L107">
        <v>171784</v>
      </c>
      <c r="M107">
        <v>769</v>
      </c>
      <c r="N107">
        <v>304524</v>
      </c>
      <c r="O107">
        <v>218</v>
      </c>
      <c r="P107">
        <v>89162</v>
      </c>
      <c r="Q107">
        <v>731</v>
      </c>
      <c r="R107">
        <v>260967</v>
      </c>
      <c r="S107">
        <v>182</v>
      </c>
      <c r="T107">
        <v>60424</v>
      </c>
      <c r="U107">
        <v>535</v>
      </c>
      <c r="V107">
        <v>215070</v>
      </c>
      <c r="W107">
        <v>300</v>
      </c>
      <c r="X107">
        <v>107400</v>
      </c>
      <c r="Y107" s="26">
        <f t="shared" si="1"/>
        <v>4264</v>
      </c>
    </row>
    <row r="108" spans="1:25" x14ac:dyDescent="0.25">
      <c r="A108" t="s">
        <v>2230</v>
      </c>
      <c r="B108" t="s">
        <v>2231</v>
      </c>
      <c r="C108" s="22">
        <v>43245</v>
      </c>
      <c r="D108" t="s">
        <v>2014</v>
      </c>
      <c r="E108" t="s">
        <v>2015</v>
      </c>
      <c r="F108" t="s">
        <v>2016</v>
      </c>
      <c r="G108">
        <v>425</v>
      </c>
      <c r="H108">
        <v>145350</v>
      </c>
      <c r="I108">
        <v>405</v>
      </c>
      <c r="J108">
        <v>124740</v>
      </c>
      <c r="K108">
        <v>485</v>
      </c>
      <c r="L108">
        <v>169265</v>
      </c>
      <c r="M108">
        <v>146</v>
      </c>
      <c r="N108">
        <v>45552</v>
      </c>
      <c r="O108">
        <v>189</v>
      </c>
      <c r="P108">
        <v>74844</v>
      </c>
      <c r="Q108">
        <v>334</v>
      </c>
      <c r="R108">
        <v>117568</v>
      </c>
      <c r="S108">
        <v>537</v>
      </c>
      <c r="T108">
        <v>177210</v>
      </c>
      <c r="U108">
        <v>423</v>
      </c>
      <c r="V108">
        <v>135783</v>
      </c>
      <c r="W108">
        <v>435</v>
      </c>
      <c r="X108">
        <v>179655</v>
      </c>
      <c r="Y108" s="26">
        <f t="shared" si="1"/>
        <v>3379</v>
      </c>
    </row>
    <row r="109" spans="1:25" x14ac:dyDescent="0.25">
      <c r="A109" t="s">
        <v>2232</v>
      </c>
      <c r="B109" t="s">
        <v>2233</v>
      </c>
      <c r="C109" s="22">
        <v>43834</v>
      </c>
      <c r="D109" t="s">
        <v>2014</v>
      </c>
      <c r="E109" t="s">
        <v>2015</v>
      </c>
      <c r="F109" t="s">
        <v>2016</v>
      </c>
      <c r="G109">
        <v>302</v>
      </c>
      <c r="H109">
        <v>94526</v>
      </c>
      <c r="I109">
        <v>636</v>
      </c>
      <c r="J109">
        <v>235956</v>
      </c>
      <c r="K109">
        <v>662</v>
      </c>
      <c r="L109">
        <v>260828</v>
      </c>
      <c r="M109">
        <v>598</v>
      </c>
      <c r="N109">
        <v>191360</v>
      </c>
      <c r="O109">
        <v>703</v>
      </c>
      <c r="P109">
        <v>216524</v>
      </c>
      <c r="Q109">
        <v>227</v>
      </c>
      <c r="R109">
        <v>97156</v>
      </c>
      <c r="S109">
        <v>599</v>
      </c>
      <c r="T109">
        <v>253976</v>
      </c>
      <c r="U109">
        <v>184</v>
      </c>
      <c r="V109">
        <v>78384</v>
      </c>
      <c r="W109">
        <v>295</v>
      </c>
      <c r="X109">
        <v>128325</v>
      </c>
      <c r="Y109" s="26">
        <f t="shared" si="1"/>
        <v>4206</v>
      </c>
    </row>
    <row r="110" spans="1:25" x14ac:dyDescent="0.25">
      <c r="A110" t="s">
        <v>2234</v>
      </c>
      <c r="B110" t="s">
        <v>2235</v>
      </c>
      <c r="C110" s="22">
        <v>42683</v>
      </c>
      <c r="D110" t="s">
        <v>2026</v>
      </c>
      <c r="E110" t="s">
        <v>2015</v>
      </c>
      <c r="F110" t="s">
        <v>2016</v>
      </c>
      <c r="G110">
        <v>561</v>
      </c>
      <c r="H110">
        <v>212058</v>
      </c>
      <c r="I110">
        <v>749</v>
      </c>
      <c r="J110">
        <v>321321</v>
      </c>
      <c r="K110">
        <v>537</v>
      </c>
      <c r="L110">
        <v>212652</v>
      </c>
      <c r="M110">
        <v>179</v>
      </c>
      <c r="N110">
        <v>79297</v>
      </c>
      <c r="O110">
        <v>758</v>
      </c>
      <c r="P110">
        <v>332762</v>
      </c>
      <c r="Q110">
        <v>162</v>
      </c>
      <c r="R110">
        <v>57996</v>
      </c>
      <c r="S110">
        <v>655</v>
      </c>
      <c r="T110">
        <v>279030</v>
      </c>
      <c r="U110">
        <v>287</v>
      </c>
      <c r="V110">
        <v>128289</v>
      </c>
      <c r="W110">
        <v>353</v>
      </c>
      <c r="X110">
        <v>137670</v>
      </c>
      <c r="Y110" s="26">
        <f t="shared" si="1"/>
        <v>4241</v>
      </c>
    </row>
    <row r="111" spans="1:25" x14ac:dyDescent="0.25">
      <c r="A111" t="s">
        <v>2236</v>
      </c>
      <c r="B111" t="s">
        <v>2237</v>
      </c>
      <c r="C111" s="22">
        <v>42329</v>
      </c>
      <c r="D111" t="s">
        <v>2026</v>
      </c>
      <c r="E111" t="s">
        <v>2019</v>
      </c>
      <c r="F111" t="s">
        <v>2016</v>
      </c>
      <c r="G111">
        <v>791</v>
      </c>
      <c r="H111">
        <v>251538</v>
      </c>
      <c r="I111">
        <v>648</v>
      </c>
      <c r="J111">
        <v>248184</v>
      </c>
      <c r="K111">
        <v>290</v>
      </c>
      <c r="L111">
        <v>127020</v>
      </c>
      <c r="M111">
        <v>243</v>
      </c>
      <c r="N111">
        <v>108135</v>
      </c>
      <c r="O111">
        <v>754</v>
      </c>
      <c r="P111">
        <v>309140</v>
      </c>
      <c r="Q111">
        <v>591</v>
      </c>
      <c r="R111">
        <v>224580</v>
      </c>
      <c r="S111">
        <v>555</v>
      </c>
      <c r="T111">
        <v>235320</v>
      </c>
      <c r="U111">
        <v>488</v>
      </c>
      <c r="V111">
        <v>200080</v>
      </c>
      <c r="W111">
        <v>218</v>
      </c>
      <c r="X111">
        <v>97010</v>
      </c>
      <c r="Y111" s="26">
        <f t="shared" si="1"/>
        <v>4578</v>
      </c>
    </row>
    <row r="112" spans="1:25" x14ac:dyDescent="0.25">
      <c r="A112" t="s">
        <v>2238</v>
      </c>
      <c r="B112" t="s">
        <v>2239</v>
      </c>
      <c r="C112" s="22">
        <v>42553</v>
      </c>
      <c r="D112" t="s">
        <v>2014</v>
      </c>
      <c r="E112" t="s">
        <v>2015</v>
      </c>
      <c r="F112" t="s">
        <v>2016</v>
      </c>
      <c r="G112">
        <v>615</v>
      </c>
      <c r="H112">
        <v>230010</v>
      </c>
      <c r="I112">
        <v>538</v>
      </c>
      <c r="J112">
        <v>172160</v>
      </c>
      <c r="K112">
        <v>187</v>
      </c>
      <c r="L112">
        <v>77418</v>
      </c>
      <c r="M112">
        <v>400</v>
      </c>
      <c r="N112">
        <v>139200</v>
      </c>
      <c r="O112">
        <v>280</v>
      </c>
      <c r="P112">
        <v>84280</v>
      </c>
      <c r="Q112">
        <v>458</v>
      </c>
      <c r="R112">
        <v>191902</v>
      </c>
      <c r="S112">
        <v>754</v>
      </c>
      <c r="T112">
        <v>257114</v>
      </c>
      <c r="U112">
        <v>600</v>
      </c>
      <c r="V112">
        <v>257400</v>
      </c>
      <c r="W112">
        <v>231</v>
      </c>
      <c r="X112">
        <v>96096</v>
      </c>
      <c r="Y112" s="26">
        <f t="shared" si="1"/>
        <v>4063</v>
      </c>
    </row>
    <row r="113" spans="1:25" x14ac:dyDescent="0.25">
      <c r="A113" t="s">
        <v>2240</v>
      </c>
      <c r="B113" t="s">
        <v>2241</v>
      </c>
      <c r="C113" s="22">
        <v>43359</v>
      </c>
      <c r="D113" t="s">
        <v>2014</v>
      </c>
      <c r="E113" t="s">
        <v>2015</v>
      </c>
      <c r="F113" t="s">
        <v>2016</v>
      </c>
      <c r="G113">
        <v>205</v>
      </c>
      <c r="H113">
        <v>90405</v>
      </c>
      <c r="I113">
        <v>413</v>
      </c>
      <c r="J113">
        <v>154875</v>
      </c>
      <c r="K113">
        <v>211</v>
      </c>
      <c r="L113">
        <v>71951</v>
      </c>
      <c r="M113">
        <v>466</v>
      </c>
      <c r="N113">
        <v>205972</v>
      </c>
      <c r="O113">
        <v>248</v>
      </c>
      <c r="P113">
        <v>110112</v>
      </c>
      <c r="Q113">
        <v>795</v>
      </c>
      <c r="R113">
        <v>329130</v>
      </c>
      <c r="S113">
        <v>459</v>
      </c>
      <c r="T113">
        <v>145503</v>
      </c>
      <c r="U113">
        <v>454</v>
      </c>
      <c r="V113">
        <v>183870</v>
      </c>
      <c r="W113">
        <v>692</v>
      </c>
      <c r="X113">
        <v>287872</v>
      </c>
      <c r="Y113" s="26">
        <f t="shared" si="1"/>
        <v>3943</v>
      </c>
    </row>
    <row r="114" spans="1:25" x14ac:dyDescent="0.25">
      <c r="A114" t="s">
        <v>2242</v>
      </c>
      <c r="B114" t="s">
        <v>2243</v>
      </c>
      <c r="C114" s="22">
        <v>43879</v>
      </c>
      <c r="D114" t="s">
        <v>2026</v>
      </c>
      <c r="E114" t="s">
        <v>2027</v>
      </c>
      <c r="F114" t="s">
        <v>2016</v>
      </c>
      <c r="G114">
        <v>614</v>
      </c>
      <c r="H114">
        <v>222268</v>
      </c>
      <c r="I114">
        <v>374</v>
      </c>
      <c r="J114">
        <v>147356</v>
      </c>
      <c r="K114">
        <v>285</v>
      </c>
      <c r="L114">
        <v>123690</v>
      </c>
      <c r="M114">
        <v>487</v>
      </c>
      <c r="N114">
        <v>166554</v>
      </c>
      <c r="O114">
        <v>146</v>
      </c>
      <c r="P114">
        <v>63072</v>
      </c>
      <c r="Q114">
        <v>392</v>
      </c>
      <c r="R114">
        <v>119168</v>
      </c>
      <c r="S114">
        <v>354</v>
      </c>
      <c r="T114">
        <v>109740</v>
      </c>
      <c r="U114">
        <v>274</v>
      </c>
      <c r="V114">
        <v>119464</v>
      </c>
      <c r="W114">
        <v>112</v>
      </c>
      <c r="X114">
        <v>47824</v>
      </c>
      <c r="Y114" s="26">
        <f t="shared" si="1"/>
        <v>3038</v>
      </c>
    </row>
    <row r="115" spans="1:25" x14ac:dyDescent="0.25">
      <c r="A115" t="s">
        <v>2244</v>
      </c>
      <c r="B115" t="s">
        <v>2245</v>
      </c>
      <c r="C115" s="22">
        <v>44018</v>
      </c>
      <c r="D115" t="s">
        <v>2014</v>
      </c>
      <c r="E115" t="s">
        <v>2019</v>
      </c>
      <c r="F115" t="s">
        <v>2016</v>
      </c>
      <c r="G115">
        <v>785</v>
      </c>
      <c r="H115">
        <v>335980</v>
      </c>
      <c r="I115">
        <v>127</v>
      </c>
      <c r="J115">
        <v>40767</v>
      </c>
      <c r="K115">
        <v>628</v>
      </c>
      <c r="L115">
        <v>254968</v>
      </c>
      <c r="M115">
        <v>253</v>
      </c>
      <c r="N115">
        <v>89815</v>
      </c>
      <c r="O115">
        <v>784</v>
      </c>
      <c r="P115">
        <v>237552</v>
      </c>
      <c r="Q115">
        <v>112</v>
      </c>
      <c r="R115">
        <v>42672</v>
      </c>
      <c r="S115">
        <v>546</v>
      </c>
      <c r="T115">
        <v>233142</v>
      </c>
      <c r="U115">
        <v>716</v>
      </c>
      <c r="V115">
        <v>278524</v>
      </c>
      <c r="W115">
        <v>492</v>
      </c>
      <c r="X115">
        <v>156456</v>
      </c>
      <c r="Y115" s="26">
        <f t="shared" si="1"/>
        <v>4443</v>
      </c>
    </row>
    <row r="116" spans="1:25" x14ac:dyDescent="0.25">
      <c r="A116" t="s">
        <v>2246</v>
      </c>
      <c r="B116" t="s">
        <v>2247</v>
      </c>
      <c r="C116" s="22">
        <v>44056</v>
      </c>
      <c r="D116" t="s">
        <v>2026</v>
      </c>
      <c r="E116" t="s">
        <v>2027</v>
      </c>
      <c r="F116" t="s">
        <v>2016</v>
      </c>
      <c r="G116">
        <v>235</v>
      </c>
      <c r="H116">
        <v>93060</v>
      </c>
      <c r="I116">
        <v>358</v>
      </c>
      <c r="J116">
        <v>122078</v>
      </c>
      <c r="K116">
        <v>109</v>
      </c>
      <c r="L116">
        <v>35861</v>
      </c>
      <c r="M116">
        <v>256</v>
      </c>
      <c r="N116">
        <v>110592</v>
      </c>
      <c r="O116">
        <v>204</v>
      </c>
      <c r="P116">
        <v>70992</v>
      </c>
      <c r="Q116">
        <v>252</v>
      </c>
      <c r="R116">
        <v>89460</v>
      </c>
      <c r="S116">
        <v>483</v>
      </c>
      <c r="T116">
        <v>208173</v>
      </c>
      <c r="U116">
        <v>631</v>
      </c>
      <c r="V116">
        <v>222743</v>
      </c>
      <c r="W116">
        <v>279</v>
      </c>
      <c r="X116">
        <v>118575</v>
      </c>
      <c r="Y116" s="26">
        <f t="shared" si="1"/>
        <v>2807</v>
      </c>
    </row>
    <row r="117" spans="1:25" x14ac:dyDescent="0.25">
      <c r="A117" t="s">
        <v>2248</v>
      </c>
      <c r="B117" t="s">
        <v>2249</v>
      </c>
      <c r="C117" s="22">
        <v>42962</v>
      </c>
      <c r="D117" t="s">
        <v>2026</v>
      </c>
      <c r="E117" t="s">
        <v>2019</v>
      </c>
      <c r="F117" t="s">
        <v>2016</v>
      </c>
      <c r="G117">
        <v>275</v>
      </c>
      <c r="H117">
        <v>89100</v>
      </c>
      <c r="I117">
        <v>201</v>
      </c>
      <c r="J117">
        <v>85626</v>
      </c>
      <c r="K117">
        <v>731</v>
      </c>
      <c r="L117">
        <v>233189</v>
      </c>
      <c r="M117">
        <v>446</v>
      </c>
      <c r="N117">
        <v>141828</v>
      </c>
      <c r="O117">
        <v>741</v>
      </c>
      <c r="P117">
        <v>320853</v>
      </c>
      <c r="Q117">
        <v>794</v>
      </c>
      <c r="R117">
        <v>281076</v>
      </c>
      <c r="S117">
        <v>365</v>
      </c>
      <c r="T117">
        <v>137970</v>
      </c>
      <c r="U117">
        <v>467</v>
      </c>
      <c r="V117">
        <v>177927</v>
      </c>
      <c r="W117">
        <v>469</v>
      </c>
      <c r="X117">
        <v>200263</v>
      </c>
      <c r="Y117" s="26">
        <f t="shared" si="1"/>
        <v>4489</v>
      </c>
    </row>
    <row r="118" spans="1:25" x14ac:dyDescent="0.25">
      <c r="A118" t="s">
        <v>2250</v>
      </c>
      <c r="B118" t="s">
        <v>2251</v>
      </c>
      <c r="C118" s="22">
        <v>43538</v>
      </c>
      <c r="D118" t="s">
        <v>2026</v>
      </c>
      <c r="E118" t="s">
        <v>2015</v>
      </c>
      <c r="F118" t="s">
        <v>2016</v>
      </c>
      <c r="G118">
        <v>754</v>
      </c>
      <c r="H118">
        <v>329498</v>
      </c>
      <c r="I118">
        <v>105</v>
      </c>
      <c r="J118">
        <v>42000</v>
      </c>
      <c r="K118">
        <v>631</v>
      </c>
      <c r="L118">
        <v>201289</v>
      </c>
      <c r="M118">
        <v>208</v>
      </c>
      <c r="N118">
        <v>86112</v>
      </c>
      <c r="O118">
        <v>412</v>
      </c>
      <c r="P118">
        <v>150792</v>
      </c>
      <c r="Q118">
        <v>442</v>
      </c>
      <c r="R118">
        <v>158678</v>
      </c>
      <c r="S118">
        <v>574</v>
      </c>
      <c r="T118">
        <v>211232</v>
      </c>
      <c r="U118">
        <v>283</v>
      </c>
      <c r="V118">
        <v>108106</v>
      </c>
      <c r="W118">
        <v>249</v>
      </c>
      <c r="X118">
        <v>86154</v>
      </c>
      <c r="Y118" s="26">
        <f t="shared" si="1"/>
        <v>3658</v>
      </c>
    </row>
    <row r="119" spans="1:25" x14ac:dyDescent="0.25">
      <c r="A119" t="s">
        <v>2252</v>
      </c>
      <c r="B119" t="s">
        <v>2253</v>
      </c>
      <c r="C119" s="22">
        <v>42005</v>
      </c>
      <c r="D119" t="s">
        <v>2014</v>
      </c>
      <c r="E119" t="s">
        <v>2019</v>
      </c>
      <c r="F119" t="s">
        <v>2016</v>
      </c>
      <c r="G119">
        <v>303</v>
      </c>
      <c r="H119">
        <v>132411</v>
      </c>
      <c r="I119">
        <v>551</v>
      </c>
      <c r="J119">
        <v>238032</v>
      </c>
      <c r="K119">
        <v>666</v>
      </c>
      <c r="L119">
        <v>292374</v>
      </c>
      <c r="M119">
        <v>712</v>
      </c>
      <c r="N119">
        <v>237096</v>
      </c>
      <c r="O119">
        <v>786</v>
      </c>
      <c r="P119">
        <v>344268</v>
      </c>
      <c r="Q119">
        <v>620</v>
      </c>
      <c r="R119">
        <v>225680</v>
      </c>
      <c r="S119">
        <v>350</v>
      </c>
      <c r="T119">
        <v>106750</v>
      </c>
      <c r="U119">
        <v>172</v>
      </c>
      <c r="V119">
        <v>72756</v>
      </c>
      <c r="W119">
        <v>562</v>
      </c>
      <c r="X119">
        <v>211312</v>
      </c>
      <c r="Y119" s="26">
        <f t="shared" si="1"/>
        <v>4722</v>
      </c>
    </row>
    <row r="120" spans="1:25" x14ac:dyDescent="0.25">
      <c r="A120" t="s">
        <v>2254</v>
      </c>
      <c r="B120" t="s">
        <v>2255</v>
      </c>
      <c r="C120" s="22">
        <v>42093</v>
      </c>
      <c r="D120" t="s">
        <v>2026</v>
      </c>
      <c r="E120" t="s">
        <v>2027</v>
      </c>
      <c r="F120" t="s">
        <v>2016</v>
      </c>
      <c r="G120">
        <v>102</v>
      </c>
      <c r="H120">
        <v>39882</v>
      </c>
      <c r="I120">
        <v>773</v>
      </c>
      <c r="J120">
        <v>255863</v>
      </c>
      <c r="K120">
        <v>657</v>
      </c>
      <c r="L120">
        <v>294336</v>
      </c>
      <c r="M120">
        <v>366</v>
      </c>
      <c r="N120">
        <v>113460</v>
      </c>
      <c r="O120">
        <v>527</v>
      </c>
      <c r="P120">
        <v>200787</v>
      </c>
      <c r="Q120">
        <v>641</v>
      </c>
      <c r="R120">
        <v>223709</v>
      </c>
      <c r="S120">
        <v>391</v>
      </c>
      <c r="T120">
        <v>158355</v>
      </c>
      <c r="U120">
        <v>321</v>
      </c>
      <c r="V120">
        <v>119733</v>
      </c>
      <c r="W120">
        <v>530</v>
      </c>
      <c r="X120">
        <v>193980</v>
      </c>
      <c r="Y120" s="26">
        <f t="shared" si="1"/>
        <v>4308</v>
      </c>
    </row>
    <row r="121" spans="1:25" x14ac:dyDescent="0.25">
      <c r="A121" t="s">
        <v>2256</v>
      </c>
      <c r="B121" t="s">
        <v>2257</v>
      </c>
      <c r="C121" s="22">
        <v>42182</v>
      </c>
      <c r="D121" t="s">
        <v>2014</v>
      </c>
      <c r="E121" t="s">
        <v>2015</v>
      </c>
      <c r="F121" t="s">
        <v>2016</v>
      </c>
      <c r="G121">
        <v>150</v>
      </c>
      <c r="H121">
        <v>46500</v>
      </c>
      <c r="I121">
        <v>260</v>
      </c>
      <c r="J121">
        <v>96460</v>
      </c>
      <c r="K121">
        <v>559</v>
      </c>
      <c r="L121">
        <v>221364</v>
      </c>
      <c r="M121">
        <v>624</v>
      </c>
      <c r="N121">
        <v>238992</v>
      </c>
      <c r="O121">
        <v>417</v>
      </c>
      <c r="P121">
        <v>160128</v>
      </c>
      <c r="Q121">
        <v>713</v>
      </c>
      <c r="R121">
        <v>309442</v>
      </c>
      <c r="S121">
        <v>549</v>
      </c>
      <c r="T121">
        <v>172386</v>
      </c>
      <c r="U121">
        <v>730</v>
      </c>
      <c r="V121">
        <v>288350</v>
      </c>
      <c r="W121">
        <v>411</v>
      </c>
      <c r="X121">
        <v>176319</v>
      </c>
      <c r="Y121" s="26">
        <f t="shared" si="1"/>
        <v>4413</v>
      </c>
    </row>
    <row r="122" spans="1:25" x14ac:dyDescent="0.25">
      <c r="A122" t="s">
        <v>2258</v>
      </c>
      <c r="B122" t="s">
        <v>2259</v>
      </c>
      <c r="C122" s="22">
        <v>43955</v>
      </c>
      <c r="D122" t="s">
        <v>2014</v>
      </c>
      <c r="E122" t="s">
        <v>2015</v>
      </c>
      <c r="F122" t="s">
        <v>2016</v>
      </c>
      <c r="G122">
        <v>713</v>
      </c>
      <c r="H122">
        <v>320137</v>
      </c>
      <c r="I122">
        <v>483</v>
      </c>
      <c r="J122">
        <v>214452</v>
      </c>
      <c r="K122">
        <v>374</v>
      </c>
      <c r="L122">
        <v>136510</v>
      </c>
      <c r="M122">
        <v>511</v>
      </c>
      <c r="N122">
        <v>213598</v>
      </c>
      <c r="O122">
        <v>450</v>
      </c>
      <c r="P122">
        <v>158850</v>
      </c>
      <c r="Q122">
        <v>707</v>
      </c>
      <c r="R122">
        <v>215635</v>
      </c>
      <c r="S122">
        <v>353</v>
      </c>
      <c r="T122">
        <v>145083</v>
      </c>
      <c r="U122">
        <v>377</v>
      </c>
      <c r="V122">
        <v>161733</v>
      </c>
      <c r="W122">
        <v>797</v>
      </c>
      <c r="X122">
        <v>267792</v>
      </c>
      <c r="Y122" s="26">
        <f t="shared" si="1"/>
        <v>4765</v>
      </c>
    </row>
    <row r="123" spans="1:25" x14ac:dyDescent="0.25">
      <c r="A123" t="s">
        <v>2260</v>
      </c>
      <c r="B123" t="s">
        <v>2261</v>
      </c>
      <c r="C123" s="22">
        <v>43309</v>
      </c>
      <c r="D123" t="s">
        <v>2026</v>
      </c>
      <c r="E123" t="s">
        <v>2019</v>
      </c>
      <c r="F123" t="s">
        <v>2016</v>
      </c>
      <c r="G123">
        <v>709</v>
      </c>
      <c r="H123">
        <v>291399</v>
      </c>
      <c r="I123">
        <v>744</v>
      </c>
      <c r="J123">
        <v>331080</v>
      </c>
      <c r="K123">
        <v>224</v>
      </c>
      <c r="L123">
        <v>91392</v>
      </c>
      <c r="M123">
        <v>170</v>
      </c>
      <c r="N123">
        <v>74970</v>
      </c>
      <c r="O123">
        <v>721</v>
      </c>
      <c r="P123">
        <v>309309</v>
      </c>
      <c r="Q123">
        <v>576</v>
      </c>
      <c r="R123">
        <v>213120</v>
      </c>
      <c r="S123">
        <v>559</v>
      </c>
      <c r="T123">
        <v>199563</v>
      </c>
      <c r="U123">
        <v>158</v>
      </c>
      <c r="V123">
        <v>57986</v>
      </c>
      <c r="W123">
        <v>268</v>
      </c>
      <c r="X123">
        <v>94068</v>
      </c>
      <c r="Y123" s="26">
        <f t="shared" si="1"/>
        <v>4129</v>
      </c>
    </row>
    <row r="124" spans="1:25" x14ac:dyDescent="0.25">
      <c r="A124" t="s">
        <v>2262</v>
      </c>
      <c r="B124" t="s">
        <v>2263</v>
      </c>
      <c r="C124" s="22">
        <v>44005</v>
      </c>
      <c r="D124" t="s">
        <v>2014</v>
      </c>
      <c r="E124" t="s">
        <v>2027</v>
      </c>
      <c r="F124" t="s">
        <v>2016</v>
      </c>
      <c r="G124">
        <v>156</v>
      </c>
      <c r="H124">
        <v>52728</v>
      </c>
      <c r="I124">
        <v>284</v>
      </c>
      <c r="J124">
        <v>123256</v>
      </c>
      <c r="K124">
        <v>774</v>
      </c>
      <c r="L124">
        <v>291798</v>
      </c>
      <c r="M124">
        <v>561</v>
      </c>
      <c r="N124">
        <v>210375</v>
      </c>
      <c r="O124">
        <v>172</v>
      </c>
      <c r="P124">
        <v>54696</v>
      </c>
      <c r="Q124">
        <v>104</v>
      </c>
      <c r="R124">
        <v>34840</v>
      </c>
      <c r="S124">
        <v>523</v>
      </c>
      <c r="T124">
        <v>225413</v>
      </c>
      <c r="U124">
        <v>745</v>
      </c>
      <c r="V124">
        <v>223500</v>
      </c>
      <c r="W124">
        <v>720</v>
      </c>
      <c r="X124">
        <v>309600</v>
      </c>
      <c r="Y124" s="26">
        <f t="shared" si="1"/>
        <v>4039</v>
      </c>
    </row>
    <row r="125" spans="1:25" x14ac:dyDescent="0.25">
      <c r="A125" t="s">
        <v>2264</v>
      </c>
      <c r="B125" t="s">
        <v>2265</v>
      </c>
      <c r="C125" s="22">
        <v>42540</v>
      </c>
      <c r="D125" t="s">
        <v>2014</v>
      </c>
      <c r="E125" t="s">
        <v>2019</v>
      </c>
      <c r="F125" t="s">
        <v>2016</v>
      </c>
      <c r="G125">
        <v>529</v>
      </c>
      <c r="H125">
        <v>169809</v>
      </c>
      <c r="I125">
        <v>486</v>
      </c>
      <c r="J125">
        <v>162810</v>
      </c>
      <c r="K125">
        <v>244</v>
      </c>
      <c r="L125">
        <v>105652</v>
      </c>
      <c r="M125">
        <v>574</v>
      </c>
      <c r="N125">
        <v>236488</v>
      </c>
      <c r="O125">
        <v>398</v>
      </c>
      <c r="P125">
        <v>152434</v>
      </c>
      <c r="Q125">
        <v>574</v>
      </c>
      <c r="R125">
        <v>213528</v>
      </c>
      <c r="S125">
        <v>684</v>
      </c>
      <c r="T125">
        <v>294804</v>
      </c>
      <c r="U125">
        <v>128</v>
      </c>
      <c r="V125">
        <v>38400</v>
      </c>
      <c r="W125">
        <v>370</v>
      </c>
      <c r="X125">
        <v>144670</v>
      </c>
      <c r="Y125" s="26">
        <f t="shared" si="1"/>
        <v>3987</v>
      </c>
    </row>
    <row r="126" spans="1:25" x14ac:dyDescent="0.25">
      <c r="A126" t="s">
        <v>2266</v>
      </c>
      <c r="B126" t="s">
        <v>2267</v>
      </c>
      <c r="C126" s="22">
        <v>42758</v>
      </c>
      <c r="D126" t="s">
        <v>2026</v>
      </c>
      <c r="E126" t="s">
        <v>2027</v>
      </c>
      <c r="F126" t="s">
        <v>2016</v>
      </c>
      <c r="G126">
        <v>767</v>
      </c>
      <c r="H126">
        <v>268450</v>
      </c>
      <c r="I126">
        <v>284</v>
      </c>
      <c r="J126">
        <v>97412</v>
      </c>
      <c r="K126">
        <v>595</v>
      </c>
      <c r="L126">
        <v>198135</v>
      </c>
      <c r="M126">
        <v>555</v>
      </c>
      <c r="N126">
        <v>215895</v>
      </c>
      <c r="O126">
        <v>177</v>
      </c>
      <c r="P126">
        <v>71508</v>
      </c>
      <c r="Q126">
        <v>410</v>
      </c>
      <c r="R126">
        <v>159490</v>
      </c>
      <c r="S126">
        <v>345</v>
      </c>
      <c r="T126">
        <v>151800</v>
      </c>
      <c r="U126">
        <v>762</v>
      </c>
      <c r="V126">
        <v>303276</v>
      </c>
      <c r="W126">
        <v>256</v>
      </c>
      <c r="X126">
        <v>96768</v>
      </c>
      <c r="Y126" s="26">
        <f t="shared" si="1"/>
        <v>4151</v>
      </c>
    </row>
    <row r="127" spans="1:25" x14ac:dyDescent="0.25">
      <c r="A127" t="s">
        <v>2260</v>
      </c>
      <c r="B127" t="s">
        <v>2268</v>
      </c>
      <c r="C127" s="22">
        <v>43339</v>
      </c>
      <c r="D127" t="s">
        <v>2014</v>
      </c>
      <c r="E127" t="s">
        <v>2019</v>
      </c>
      <c r="F127" t="s">
        <v>2016</v>
      </c>
      <c r="G127">
        <v>678</v>
      </c>
      <c r="H127">
        <v>256284</v>
      </c>
      <c r="I127">
        <v>740</v>
      </c>
      <c r="J127">
        <v>281940</v>
      </c>
      <c r="K127">
        <v>466</v>
      </c>
      <c r="L127">
        <v>168226</v>
      </c>
      <c r="M127">
        <v>592</v>
      </c>
      <c r="N127">
        <v>258704</v>
      </c>
      <c r="O127">
        <v>357</v>
      </c>
      <c r="P127">
        <v>116025</v>
      </c>
      <c r="Q127">
        <v>125</v>
      </c>
      <c r="R127">
        <v>42000</v>
      </c>
      <c r="S127">
        <v>418</v>
      </c>
      <c r="T127">
        <v>160512</v>
      </c>
      <c r="U127">
        <v>240</v>
      </c>
      <c r="V127">
        <v>72480</v>
      </c>
      <c r="W127">
        <v>555</v>
      </c>
      <c r="X127">
        <v>200910</v>
      </c>
      <c r="Y127" s="26">
        <f t="shared" si="1"/>
        <v>4171</v>
      </c>
    </row>
    <row r="128" spans="1:25" x14ac:dyDescent="0.25">
      <c r="A128" t="s">
        <v>2269</v>
      </c>
      <c r="B128" t="s">
        <v>2270</v>
      </c>
      <c r="C128" s="22">
        <v>42514</v>
      </c>
      <c r="D128" t="s">
        <v>2026</v>
      </c>
      <c r="E128" t="s">
        <v>2015</v>
      </c>
      <c r="F128" t="s">
        <v>2016</v>
      </c>
      <c r="G128">
        <v>347</v>
      </c>
      <c r="H128">
        <v>128737</v>
      </c>
      <c r="I128">
        <v>646</v>
      </c>
      <c r="J128">
        <v>193800</v>
      </c>
      <c r="K128">
        <v>377</v>
      </c>
      <c r="L128">
        <v>133835</v>
      </c>
      <c r="M128">
        <v>256</v>
      </c>
      <c r="N128">
        <v>77824</v>
      </c>
      <c r="O128">
        <v>511</v>
      </c>
      <c r="P128">
        <v>224840</v>
      </c>
      <c r="Q128">
        <v>279</v>
      </c>
      <c r="R128">
        <v>121923</v>
      </c>
      <c r="S128">
        <v>354</v>
      </c>
      <c r="T128">
        <v>149388</v>
      </c>
      <c r="U128">
        <v>759</v>
      </c>
      <c r="V128">
        <v>308154</v>
      </c>
      <c r="W128">
        <v>567</v>
      </c>
      <c r="X128">
        <v>230202</v>
      </c>
      <c r="Y128" s="26">
        <f t="shared" si="1"/>
        <v>4096</v>
      </c>
    </row>
    <row r="129" spans="1:25" x14ac:dyDescent="0.25">
      <c r="A129" t="s">
        <v>2271</v>
      </c>
      <c r="B129" t="s">
        <v>2272</v>
      </c>
      <c r="C129" s="22">
        <v>43058</v>
      </c>
      <c r="D129" t="s">
        <v>2026</v>
      </c>
      <c r="E129" t="s">
        <v>2015</v>
      </c>
      <c r="F129" t="s">
        <v>2016</v>
      </c>
      <c r="G129">
        <v>342</v>
      </c>
      <c r="H129">
        <v>153900</v>
      </c>
      <c r="I129">
        <v>332</v>
      </c>
      <c r="J129">
        <v>125164</v>
      </c>
      <c r="K129">
        <v>317</v>
      </c>
      <c r="L129">
        <v>134725</v>
      </c>
      <c r="M129">
        <v>327</v>
      </c>
      <c r="N129">
        <v>137340</v>
      </c>
      <c r="O129">
        <v>511</v>
      </c>
      <c r="P129">
        <v>188048</v>
      </c>
      <c r="Q129">
        <v>510</v>
      </c>
      <c r="R129">
        <v>163200</v>
      </c>
      <c r="S129">
        <v>190</v>
      </c>
      <c r="T129">
        <v>85120</v>
      </c>
      <c r="U129">
        <v>184</v>
      </c>
      <c r="V129">
        <v>72496</v>
      </c>
      <c r="W129">
        <v>338</v>
      </c>
      <c r="X129">
        <v>142636</v>
      </c>
      <c r="Y129" s="26">
        <f t="shared" si="1"/>
        <v>3051</v>
      </c>
    </row>
    <row r="130" spans="1:25" x14ac:dyDescent="0.25">
      <c r="A130" t="s">
        <v>2273</v>
      </c>
      <c r="B130" t="s">
        <v>2274</v>
      </c>
      <c r="C130" s="22">
        <v>42690</v>
      </c>
      <c r="D130" t="s">
        <v>2026</v>
      </c>
      <c r="E130" t="s">
        <v>2027</v>
      </c>
      <c r="F130" t="s">
        <v>2016</v>
      </c>
      <c r="G130">
        <v>769</v>
      </c>
      <c r="H130">
        <v>315290</v>
      </c>
      <c r="I130">
        <v>166</v>
      </c>
      <c r="J130">
        <v>51128</v>
      </c>
      <c r="K130">
        <v>798</v>
      </c>
      <c r="L130">
        <v>298452</v>
      </c>
      <c r="M130">
        <v>341</v>
      </c>
      <c r="N130">
        <v>133672</v>
      </c>
      <c r="O130">
        <v>496</v>
      </c>
      <c r="P130">
        <v>179552</v>
      </c>
      <c r="Q130">
        <v>537</v>
      </c>
      <c r="R130">
        <v>169155</v>
      </c>
      <c r="S130">
        <v>222</v>
      </c>
      <c r="T130">
        <v>85692</v>
      </c>
      <c r="U130">
        <v>791</v>
      </c>
      <c r="V130">
        <v>321937</v>
      </c>
      <c r="W130">
        <v>412</v>
      </c>
      <c r="X130">
        <v>142140</v>
      </c>
      <c r="Y130" s="26">
        <f t="shared" si="1"/>
        <v>4532</v>
      </c>
    </row>
    <row r="131" spans="1:25" x14ac:dyDescent="0.25">
      <c r="A131" t="s">
        <v>2275</v>
      </c>
      <c r="B131" t="s">
        <v>2276</v>
      </c>
      <c r="C131" s="22">
        <v>43307</v>
      </c>
      <c r="D131" t="s">
        <v>2014</v>
      </c>
      <c r="E131" t="s">
        <v>2019</v>
      </c>
      <c r="F131" t="s">
        <v>2016</v>
      </c>
      <c r="G131">
        <v>134</v>
      </c>
      <c r="H131">
        <v>47302</v>
      </c>
      <c r="I131">
        <v>378</v>
      </c>
      <c r="J131">
        <v>136080</v>
      </c>
      <c r="K131">
        <v>318</v>
      </c>
      <c r="L131">
        <v>136740</v>
      </c>
      <c r="M131">
        <v>200</v>
      </c>
      <c r="N131">
        <v>66800</v>
      </c>
      <c r="O131">
        <v>392</v>
      </c>
      <c r="P131">
        <v>117992</v>
      </c>
      <c r="Q131">
        <v>313</v>
      </c>
      <c r="R131">
        <v>125513</v>
      </c>
      <c r="S131">
        <v>269</v>
      </c>
      <c r="T131">
        <v>108676</v>
      </c>
      <c r="U131">
        <v>564</v>
      </c>
      <c r="V131">
        <v>186120</v>
      </c>
      <c r="W131">
        <v>557</v>
      </c>
      <c r="X131">
        <v>248979</v>
      </c>
      <c r="Y131" s="26">
        <f t="shared" ref="Y131:Y194" si="2">SUMIF($G$1:$X$1,"Количество*",G131:X131)</f>
        <v>3125</v>
      </c>
    </row>
    <row r="132" spans="1:25" x14ac:dyDescent="0.25">
      <c r="A132" t="s">
        <v>2277</v>
      </c>
      <c r="B132" t="s">
        <v>2278</v>
      </c>
      <c r="C132" s="22">
        <v>42368</v>
      </c>
      <c r="D132" t="s">
        <v>2026</v>
      </c>
      <c r="E132" t="s">
        <v>2027</v>
      </c>
      <c r="F132" t="s">
        <v>2016</v>
      </c>
      <c r="G132">
        <v>312</v>
      </c>
      <c r="H132">
        <v>130104</v>
      </c>
      <c r="I132">
        <v>419</v>
      </c>
      <c r="J132">
        <v>159639</v>
      </c>
      <c r="K132">
        <v>736</v>
      </c>
      <c r="L132">
        <v>258336</v>
      </c>
      <c r="M132">
        <v>321</v>
      </c>
      <c r="N132">
        <v>118449</v>
      </c>
      <c r="O132">
        <v>582</v>
      </c>
      <c r="P132">
        <v>253170</v>
      </c>
      <c r="Q132">
        <v>675</v>
      </c>
      <c r="R132">
        <v>229500</v>
      </c>
      <c r="S132">
        <v>496</v>
      </c>
      <c r="T132">
        <v>149296</v>
      </c>
      <c r="U132">
        <v>165</v>
      </c>
      <c r="V132">
        <v>50820</v>
      </c>
      <c r="W132">
        <v>766</v>
      </c>
      <c r="X132">
        <v>281122</v>
      </c>
      <c r="Y132" s="26">
        <f t="shared" si="2"/>
        <v>4472</v>
      </c>
    </row>
    <row r="133" spans="1:25" x14ac:dyDescent="0.25">
      <c r="A133" t="s">
        <v>2279</v>
      </c>
      <c r="B133" t="s">
        <v>2280</v>
      </c>
      <c r="C133" s="22">
        <v>43666</v>
      </c>
      <c r="D133" t="s">
        <v>2026</v>
      </c>
      <c r="E133" t="s">
        <v>2015</v>
      </c>
      <c r="F133" t="s">
        <v>2016</v>
      </c>
      <c r="G133">
        <v>341</v>
      </c>
      <c r="H133">
        <v>104346</v>
      </c>
      <c r="I133">
        <v>535</v>
      </c>
      <c r="J133">
        <v>219885</v>
      </c>
      <c r="K133">
        <v>122</v>
      </c>
      <c r="L133">
        <v>37698</v>
      </c>
      <c r="M133">
        <v>558</v>
      </c>
      <c r="N133">
        <v>180792</v>
      </c>
      <c r="O133">
        <v>635</v>
      </c>
      <c r="P133">
        <v>266065</v>
      </c>
      <c r="Q133">
        <v>319</v>
      </c>
      <c r="R133">
        <v>129514</v>
      </c>
      <c r="S133">
        <v>175</v>
      </c>
      <c r="T133">
        <v>72975</v>
      </c>
      <c r="U133">
        <v>619</v>
      </c>
      <c r="V133">
        <v>269265</v>
      </c>
      <c r="W133">
        <v>775</v>
      </c>
      <c r="X133">
        <v>341775</v>
      </c>
      <c r="Y133" s="26">
        <f t="shared" si="2"/>
        <v>4079</v>
      </c>
    </row>
    <row r="134" spans="1:25" x14ac:dyDescent="0.25">
      <c r="A134" t="s">
        <v>2281</v>
      </c>
      <c r="B134" t="s">
        <v>2282</v>
      </c>
      <c r="C134" s="22">
        <v>42369</v>
      </c>
      <c r="D134" t="s">
        <v>2014</v>
      </c>
      <c r="E134" t="s">
        <v>2019</v>
      </c>
      <c r="F134" t="s">
        <v>2016</v>
      </c>
      <c r="G134">
        <v>196</v>
      </c>
      <c r="H134">
        <v>66836</v>
      </c>
      <c r="I134">
        <v>442</v>
      </c>
      <c r="J134">
        <v>190944</v>
      </c>
      <c r="K134">
        <v>735</v>
      </c>
      <c r="L134">
        <v>227115</v>
      </c>
      <c r="M134">
        <v>272</v>
      </c>
      <c r="N134">
        <v>105808</v>
      </c>
      <c r="O134">
        <v>539</v>
      </c>
      <c r="P134">
        <v>199430</v>
      </c>
      <c r="Q134">
        <v>322</v>
      </c>
      <c r="R134">
        <v>112700</v>
      </c>
      <c r="S134">
        <v>647</v>
      </c>
      <c r="T134">
        <v>288562</v>
      </c>
      <c r="U134">
        <v>798</v>
      </c>
      <c r="V134">
        <v>341544</v>
      </c>
      <c r="W134">
        <v>728</v>
      </c>
      <c r="X134">
        <v>251160</v>
      </c>
      <c r="Y134" s="26">
        <f t="shared" si="2"/>
        <v>4679</v>
      </c>
    </row>
    <row r="135" spans="1:25" x14ac:dyDescent="0.25">
      <c r="A135" t="s">
        <v>2283</v>
      </c>
      <c r="B135" t="s">
        <v>2284</v>
      </c>
      <c r="C135" s="22">
        <v>43639</v>
      </c>
      <c r="D135" t="s">
        <v>2014</v>
      </c>
      <c r="E135" t="s">
        <v>2027</v>
      </c>
      <c r="F135" t="s">
        <v>2016</v>
      </c>
      <c r="G135">
        <v>226</v>
      </c>
      <c r="H135">
        <v>87914</v>
      </c>
      <c r="I135">
        <v>586</v>
      </c>
      <c r="J135">
        <v>195138</v>
      </c>
      <c r="K135">
        <v>302</v>
      </c>
      <c r="L135">
        <v>109324</v>
      </c>
      <c r="M135">
        <v>169</v>
      </c>
      <c r="N135">
        <v>71487</v>
      </c>
      <c r="O135">
        <v>419</v>
      </c>
      <c r="P135">
        <v>166762</v>
      </c>
      <c r="Q135">
        <v>351</v>
      </c>
      <c r="R135">
        <v>154791</v>
      </c>
      <c r="S135">
        <v>619</v>
      </c>
      <c r="T135">
        <v>235839</v>
      </c>
      <c r="U135">
        <v>174</v>
      </c>
      <c r="V135">
        <v>68208</v>
      </c>
      <c r="W135">
        <v>362</v>
      </c>
      <c r="X135">
        <v>153126</v>
      </c>
      <c r="Y135" s="26">
        <f t="shared" si="2"/>
        <v>3208</v>
      </c>
    </row>
    <row r="136" spans="1:25" x14ac:dyDescent="0.25">
      <c r="A136" t="s">
        <v>2285</v>
      </c>
      <c r="B136" t="s">
        <v>2286</v>
      </c>
      <c r="C136" s="22">
        <v>42269</v>
      </c>
      <c r="D136" t="s">
        <v>2014</v>
      </c>
      <c r="E136" t="s">
        <v>2027</v>
      </c>
      <c r="F136" t="s">
        <v>2016</v>
      </c>
      <c r="G136">
        <v>343</v>
      </c>
      <c r="H136">
        <v>151949</v>
      </c>
      <c r="I136">
        <v>109</v>
      </c>
      <c r="J136">
        <v>36951</v>
      </c>
      <c r="K136">
        <v>245</v>
      </c>
      <c r="L136">
        <v>90160</v>
      </c>
      <c r="M136">
        <v>696</v>
      </c>
      <c r="N136">
        <v>278400</v>
      </c>
      <c r="O136">
        <v>333</v>
      </c>
      <c r="P136">
        <v>133533</v>
      </c>
      <c r="Q136">
        <v>286</v>
      </c>
      <c r="R136">
        <v>121264</v>
      </c>
      <c r="S136">
        <v>708</v>
      </c>
      <c r="T136">
        <v>280368</v>
      </c>
      <c r="U136">
        <v>748</v>
      </c>
      <c r="V136">
        <v>233376</v>
      </c>
      <c r="W136">
        <v>708</v>
      </c>
      <c r="X136">
        <v>293820</v>
      </c>
      <c r="Y136" s="26">
        <f t="shared" si="2"/>
        <v>4176</v>
      </c>
    </row>
    <row r="137" spans="1:25" x14ac:dyDescent="0.25">
      <c r="A137" t="s">
        <v>2287</v>
      </c>
      <c r="B137" t="s">
        <v>2288</v>
      </c>
      <c r="C137" s="22">
        <v>43429</v>
      </c>
      <c r="D137" t="s">
        <v>2026</v>
      </c>
      <c r="E137" t="s">
        <v>2027</v>
      </c>
      <c r="F137" t="s">
        <v>2016</v>
      </c>
      <c r="G137">
        <v>609</v>
      </c>
      <c r="H137">
        <v>242991</v>
      </c>
      <c r="I137">
        <v>699</v>
      </c>
      <c r="J137">
        <v>230670</v>
      </c>
      <c r="K137">
        <v>783</v>
      </c>
      <c r="L137">
        <v>258390</v>
      </c>
      <c r="M137">
        <v>272</v>
      </c>
      <c r="N137">
        <v>116144</v>
      </c>
      <c r="O137">
        <v>293</v>
      </c>
      <c r="P137">
        <v>108703</v>
      </c>
      <c r="Q137">
        <v>406</v>
      </c>
      <c r="R137">
        <v>159558</v>
      </c>
      <c r="S137">
        <v>704</v>
      </c>
      <c r="T137">
        <v>306944</v>
      </c>
      <c r="U137">
        <v>722</v>
      </c>
      <c r="V137">
        <v>223820</v>
      </c>
      <c r="W137">
        <v>486</v>
      </c>
      <c r="X137">
        <v>201204</v>
      </c>
      <c r="Y137" s="26">
        <f t="shared" si="2"/>
        <v>4974</v>
      </c>
    </row>
    <row r="138" spans="1:25" x14ac:dyDescent="0.25">
      <c r="A138" t="s">
        <v>2289</v>
      </c>
      <c r="B138" t="s">
        <v>2290</v>
      </c>
      <c r="C138" s="22">
        <v>43883</v>
      </c>
      <c r="D138" t="s">
        <v>2026</v>
      </c>
      <c r="E138" t="s">
        <v>2019</v>
      </c>
      <c r="F138" t="s">
        <v>2016</v>
      </c>
      <c r="G138">
        <v>793</v>
      </c>
      <c r="H138">
        <v>347334</v>
      </c>
      <c r="I138">
        <v>660</v>
      </c>
      <c r="J138">
        <v>262020</v>
      </c>
      <c r="K138">
        <v>201</v>
      </c>
      <c r="L138">
        <v>84219</v>
      </c>
      <c r="M138">
        <v>314</v>
      </c>
      <c r="N138">
        <v>103306</v>
      </c>
      <c r="O138">
        <v>167</v>
      </c>
      <c r="P138">
        <v>62458</v>
      </c>
      <c r="Q138">
        <v>486</v>
      </c>
      <c r="R138">
        <v>160866</v>
      </c>
      <c r="S138">
        <v>746</v>
      </c>
      <c r="T138">
        <v>299892</v>
      </c>
      <c r="U138">
        <v>195</v>
      </c>
      <c r="V138">
        <v>80340</v>
      </c>
      <c r="W138">
        <v>647</v>
      </c>
      <c r="X138">
        <v>224509</v>
      </c>
      <c r="Y138" s="26">
        <f t="shared" si="2"/>
        <v>4209</v>
      </c>
    </row>
    <row r="139" spans="1:25" x14ac:dyDescent="0.25">
      <c r="A139" t="s">
        <v>2291</v>
      </c>
      <c r="B139" t="s">
        <v>2292</v>
      </c>
      <c r="C139" s="22">
        <v>42999</v>
      </c>
      <c r="D139" t="s">
        <v>2014</v>
      </c>
      <c r="E139" t="s">
        <v>2027</v>
      </c>
      <c r="F139" t="s">
        <v>2016</v>
      </c>
      <c r="G139">
        <v>597</v>
      </c>
      <c r="H139">
        <v>228054</v>
      </c>
      <c r="I139">
        <v>228</v>
      </c>
      <c r="J139">
        <v>84360</v>
      </c>
      <c r="K139">
        <v>298</v>
      </c>
      <c r="L139">
        <v>122478</v>
      </c>
      <c r="M139">
        <v>611</v>
      </c>
      <c r="N139">
        <v>273728</v>
      </c>
      <c r="O139">
        <v>266</v>
      </c>
      <c r="P139">
        <v>86716</v>
      </c>
      <c r="Q139">
        <v>445</v>
      </c>
      <c r="R139">
        <v>159310</v>
      </c>
      <c r="S139">
        <v>143</v>
      </c>
      <c r="T139">
        <v>55913</v>
      </c>
      <c r="U139">
        <v>210</v>
      </c>
      <c r="V139">
        <v>88200</v>
      </c>
      <c r="W139">
        <v>413</v>
      </c>
      <c r="X139">
        <v>134638</v>
      </c>
      <c r="Y139" s="26">
        <f t="shared" si="2"/>
        <v>3211</v>
      </c>
    </row>
    <row r="140" spans="1:25" x14ac:dyDescent="0.25">
      <c r="A140" t="s">
        <v>2293</v>
      </c>
      <c r="B140" t="s">
        <v>2294</v>
      </c>
      <c r="C140" s="22">
        <v>43479</v>
      </c>
      <c r="D140" t="s">
        <v>2026</v>
      </c>
      <c r="E140" t="s">
        <v>2027</v>
      </c>
      <c r="F140" t="s">
        <v>2016</v>
      </c>
      <c r="G140">
        <v>291</v>
      </c>
      <c r="H140">
        <v>100686</v>
      </c>
      <c r="I140">
        <v>192</v>
      </c>
      <c r="J140">
        <v>68736</v>
      </c>
      <c r="K140">
        <v>214</v>
      </c>
      <c r="L140">
        <v>87098</v>
      </c>
      <c r="M140">
        <v>754</v>
      </c>
      <c r="N140">
        <v>260884</v>
      </c>
      <c r="O140">
        <v>351</v>
      </c>
      <c r="P140">
        <v>141453</v>
      </c>
      <c r="Q140">
        <v>447</v>
      </c>
      <c r="R140">
        <v>176118</v>
      </c>
      <c r="S140">
        <v>474</v>
      </c>
      <c r="T140">
        <v>151206</v>
      </c>
      <c r="U140">
        <v>696</v>
      </c>
      <c r="V140">
        <v>213672</v>
      </c>
      <c r="W140">
        <v>303</v>
      </c>
      <c r="X140">
        <v>127563</v>
      </c>
      <c r="Y140" s="26">
        <f t="shared" si="2"/>
        <v>3722</v>
      </c>
    </row>
    <row r="141" spans="1:25" x14ac:dyDescent="0.25">
      <c r="A141" t="s">
        <v>2295</v>
      </c>
      <c r="B141" t="s">
        <v>2296</v>
      </c>
      <c r="C141" s="22">
        <v>42654</v>
      </c>
      <c r="D141" t="s">
        <v>2014</v>
      </c>
      <c r="E141" t="s">
        <v>2015</v>
      </c>
      <c r="F141" t="s">
        <v>2016</v>
      </c>
      <c r="G141">
        <v>600</v>
      </c>
      <c r="H141">
        <v>197400</v>
      </c>
      <c r="I141">
        <v>623</v>
      </c>
      <c r="J141">
        <v>274120</v>
      </c>
      <c r="K141">
        <v>222</v>
      </c>
      <c r="L141">
        <v>75036</v>
      </c>
      <c r="M141">
        <v>151</v>
      </c>
      <c r="N141">
        <v>58437</v>
      </c>
      <c r="O141">
        <v>215</v>
      </c>
      <c r="P141">
        <v>95245</v>
      </c>
      <c r="Q141">
        <v>748</v>
      </c>
      <c r="R141">
        <v>233376</v>
      </c>
      <c r="S141">
        <v>455</v>
      </c>
      <c r="T141">
        <v>166985</v>
      </c>
      <c r="U141">
        <v>148</v>
      </c>
      <c r="V141">
        <v>55944</v>
      </c>
      <c r="W141">
        <v>261</v>
      </c>
      <c r="X141">
        <v>95004</v>
      </c>
      <c r="Y141" s="26">
        <f t="shared" si="2"/>
        <v>3423</v>
      </c>
    </row>
    <row r="142" spans="1:25" x14ac:dyDescent="0.25">
      <c r="A142" t="s">
        <v>2297</v>
      </c>
      <c r="B142" t="s">
        <v>2298</v>
      </c>
      <c r="C142" s="22">
        <v>42315</v>
      </c>
      <c r="D142" t="s">
        <v>2014</v>
      </c>
      <c r="E142" t="s">
        <v>2027</v>
      </c>
      <c r="F142" t="s">
        <v>2016</v>
      </c>
      <c r="G142">
        <v>684</v>
      </c>
      <c r="H142">
        <v>259920</v>
      </c>
      <c r="I142">
        <v>754</v>
      </c>
      <c r="J142">
        <v>257868</v>
      </c>
      <c r="K142">
        <v>710</v>
      </c>
      <c r="L142">
        <v>293230</v>
      </c>
      <c r="M142">
        <v>699</v>
      </c>
      <c r="N142">
        <v>285192</v>
      </c>
      <c r="O142">
        <v>372</v>
      </c>
      <c r="P142">
        <v>139872</v>
      </c>
      <c r="Q142">
        <v>599</v>
      </c>
      <c r="R142">
        <v>209051</v>
      </c>
      <c r="S142">
        <v>346</v>
      </c>
      <c r="T142">
        <v>144628</v>
      </c>
      <c r="U142">
        <v>492</v>
      </c>
      <c r="V142">
        <v>156948</v>
      </c>
      <c r="W142">
        <v>223</v>
      </c>
      <c r="X142">
        <v>73144</v>
      </c>
      <c r="Y142" s="26">
        <f t="shared" si="2"/>
        <v>4879</v>
      </c>
    </row>
    <row r="143" spans="1:25" x14ac:dyDescent="0.25">
      <c r="A143" t="s">
        <v>2299</v>
      </c>
      <c r="B143" t="s">
        <v>2300</v>
      </c>
      <c r="C143" s="22">
        <v>44029</v>
      </c>
      <c r="D143" t="s">
        <v>2014</v>
      </c>
      <c r="E143" t="s">
        <v>2027</v>
      </c>
      <c r="F143" t="s">
        <v>2016</v>
      </c>
      <c r="G143">
        <v>586</v>
      </c>
      <c r="H143">
        <v>240846</v>
      </c>
      <c r="I143">
        <v>373</v>
      </c>
      <c r="J143">
        <v>143232</v>
      </c>
      <c r="K143">
        <v>512</v>
      </c>
      <c r="L143">
        <v>209920</v>
      </c>
      <c r="M143">
        <v>647</v>
      </c>
      <c r="N143">
        <v>280798</v>
      </c>
      <c r="O143">
        <v>301</v>
      </c>
      <c r="P143">
        <v>107457</v>
      </c>
      <c r="Q143">
        <v>169</v>
      </c>
      <c r="R143">
        <v>72332</v>
      </c>
      <c r="S143">
        <v>170</v>
      </c>
      <c r="T143">
        <v>59840</v>
      </c>
      <c r="U143">
        <v>436</v>
      </c>
      <c r="V143">
        <v>139084</v>
      </c>
      <c r="W143">
        <v>587</v>
      </c>
      <c r="X143">
        <v>254171</v>
      </c>
      <c r="Y143" s="26">
        <f t="shared" si="2"/>
        <v>3781</v>
      </c>
    </row>
    <row r="144" spans="1:25" x14ac:dyDescent="0.25">
      <c r="A144" t="s">
        <v>2301</v>
      </c>
      <c r="B144" t="s">
        <v>2302</v>
      </c>
      <c r="C144" s="22">
        <v>43260</v>
      </c>
      <c r="D144" t="s">
        <v>2026</v>
      </c>
      <c r="E144" t="s">
        <v>2015</v>
      </c>
      <c r="F144" t="s">
        <v>2016</v>
      </c>
      <c r="G144">
        <v>409</v>
      </c>
      <c r="H144">
        <v>150103</v>
      </c>
      <c r="I144">
        <v>551</v>
      </c>
      <c r="J144">
        <v>246848</v>
      </c>
      <c r="K144">
        <v>103</v>
      </c>
      <c r="L144">
        <v>40479</v>
      </c>
      <c r="M144">
        <v>360</v>
      </c>
      <c r="N144">
        <v>110520</v>
      </c>
      <c r="O144">
        <v>607</v>
      </c>
      <c r="P144">
        <v>213057</v>
      </c>
      <c r="Q144">
        <v>570</v>
      </c>
      <c r="R144">
        <v>237120</v>
      </c>
      <c r="S144">
        <v>146</v>
      </c>
      <c r="T144">
        <v>55626</v>
      </c>
      <c r="U144">
        <v>737</v>
      </c>
      <c r="V144">
        <v>223311</v>
      </c>
      <c r="W144">
        <v>555</v>
      </c>
      <c r="X144">
        <v>245865</v>
      </c>
      <c r="Y144" s="26">
        <f t="shared" si="2"/>
        <v>4038</v>
      </c>
    </row>
    <row r="145" spans="1:25" x14ac:dyDescent="0.25">
      <c r="A145" t="s">
        <v>2303</v>
      </c>
      <c r="B145" t="s">
        <v>2304</v>
      </c>
      <c r="C145" s="22">
        <v>43715</v>
      </c>
      <c r="D145" t="s">
        <v>2026</v>
      </c>
      <c r="E145" t="s">
        <v>2019</v>
      </c>
      <c r="F145" t="s">
        <v>2016</v>
      </c>
      <c r="G145">
        <v>442</v>
      </c>
      <c r="H145">
        <v>167518</v>
      </c>
      <c r="I145">
        <v>208</v>
      </c>
      <c r="J145">
        <v>69680</v>
      </c>
      <c r="K145">
        <v>667</v>
      </c>
      <c r="L145">
        <v>206103</v>
      </c>
      <c r="M145">
        <v>680</v>
      </c>
      <c r="N145">
        <v>267240</v>
      </c>
      <c r="O145">
        <v>141</v>
      </c>
      <c r="P145">
        <v>62604</v>
      </c>
      <c r="Q145">
        <v>335</v>
      </c>
      <c r="R145">
        <v>111555</v>
      </c>
      <c r="S145">
        <v>639</v>
      </c>
      <c r="T145">
        <v>265185</v>
      </c>
      <c r="U145">
        <v>344</v>
      </c>
      <c r="V145">
        <v>137256</v>
      </c>
      <c r="W145">
        <v>743</v>
      </c>
      <c r="X145">
        <v>263022</v>
      </c>
      <c r="Y145" s="26">
        <f t="shared" si="2"/>
        <v>4199</v>
      </c>
    </row>
    <row r="146" spans="1:25" x14ac:dyDescent="0.25">
      <c r="A146" t="s">
        <v>2305</v>
      </c>
      <c r="B146" t="s">
        <v>2306</v>
      </c>
      <c r="C146" s="22">
        <v>42423</v>
      </c>
      <c r="D146" t="s">
        <v>2026</v>
      </c>
      <c r="E146" t="s">
        <v>2027</v>
      </c>
      <c r="F146" t="s">
        <v>2016</v>
      </c>
      <c r="G146">
        <v>451</v>
      </c>
      <c r="H146">
        <v>141614</v>
      </c>
      <c r="I146">
        <v>528</v>
      </c>
      <c r="J146">
        <v>185328</v>
      </c>
      <c r="K146">
        <v>402</v>
      </c>
      <c r="L146">
        <v>168036</v>
      </c>
      <c r="M146">
        <v>201</v>
      </c>
      <c r="N146">
        <v>86430</v>
      </c>
      <c r="O146">
        <v>644</v>
      </c>
      <c r="P146">
        <v>241500</v>
      </c>
      <c r="Q146">
        <v>445</v>
      </c>
      <c r="R146">
        <v>198915</v>
      </c>
      <c r="S146">
        <v>486</v>
      </c>
      <c r="T146">
        <v>179334</v>
      </c>
      <c r="U146">
        <v>140</v>
      </c>
      <c r="V146">
        <v>57400</v>
      </c>
      <c r="W146">
        <v>121</v>
      </c>
      <c r="X146">
        <v>37994</v>
      </c>
      <c r="Y146" s="26">
        <f t="shared" si="2"/>
        <v>3418</v>
      </c>
    </row>
    <row r="147" spans="1:25" x14ac:dyDescent="0.25">
      <c r="A147" t="s">
        <v>2307</v>
      </c>
      <c r="B147" t="s">
        <v>2308</v>
      </c>
      <c r="C147" s="22">
        <v>43472</v>
      </c>
      <c r="D147" t="s">
        <v>2014</v>
      </c>
      <c r="E147" t="s">
        <v>2015</v>
      </c>
      <c r="F147" t="s">
        <v>2016</v>
      </c>
      <c r="G147">
        <v>756</v>
      </c>
      <c r="H147">
        <v>231336</v>
      </c>
      <c r="I147">
        <v>167</v>
      </c>
      <c r="J147">
        <v>50935</v>
      </c>
      <c r="K147">
        <v>507</v>
      </c>
      <c r="L147">
        <v>203814</v>
      </c>
      <c r="M147">
        <v>785</v>
      </c>
      <c r="N147">
        <v>265330</v>
      </c>
      <c r="O147">
        <v>377</v>
      </c>
      <c r="P147">
        <v>117624</v>
      </c>
      <c r="Q147">
        <v>755</v>
      </c>
      <c r="R147">
        <v>285390</v>
      </c>
      <c r="S147">
        <v>798</v>
      </c>
      <c r="T147">
        <v>300846</v>
      </c>
      <c r="U147">
        <v>360</v>
      </c>
      <c r="V147">
        <v>113040</v>
      </c>
      <c r="W147">
        <v>557</v>
      </c>
      <c r="X147">
        <v>247865</v>
      </c>
      <c r="Y147" s="26">
        <f t="shared" si="2"/>
        <v>5062</v>
      </c>
    </row>
    <row r="148" spans="1:25" x14ac:dyDescent="0.25">
      <c r="A148" t="s">
        <v>2309</v>
      </c>
      <c r="B148" t="s">
        <v>2310</v>
      </c>
      <c r="C148" s="22">
        <v>43828</v>
      </c>
      <c r="D148" t="s">
        <v>2026</v>
      </c>
      <c r="E148" t="s">
        <v>2027</v>
      </c>
      <c r="F148" t="s">
        <v>2016</v>
      </c>
      <c r="G148">
        <v>526</v>
      </c>
      <c r="H148">
        <v>235648</v>
      </c>
      <c r="I148">
        <v>573</v>
      </c>
      <c r="J148">
        <v>202842</v>
      </c>
      <c r="K148">
        <v>543</v>
      </c>
      <c r="L148">
        <v>212313</v>
      </c>
      <c r="M148">
        <v>169</v>
      </c>
      <c r="N148">
        <v>56784</v>
      </c>
      <c r="O148">
        <v>676</v>
      </c>
      <c r="P148">
        <v>267696</v>
      </c>
      <c r="Q148">
        <v>731</v>
      </c>
      <c r="R148">
        <v>244885</v>
      </c>
      <c r="S148">
        <v>285</v>
      </c>
      <c r="T148">
        <v>99465</v>
      </c>
      <c r="U148">
        <v>378</v>
      </c>
      <c r="V148">
        <v>120960</v>
      </c>
      <c r="W148">
        <v>106</v>
      </c>
      <c r="X148">
        <v>44308</v>
      </c>
      <c r="Y148" s="26">
        <f t="shared" si="2"/>
        <v>3987</v>
      </c>
    </row>
    <row r="149" spans="1:25" x14ac:dyDescent="0.25">
      <c r="A149" t="s">
        <v>2311</v>
      </c>
      <c r="B149" t="s">
        <v>2312</v>
      </c>
      <c r="C149" s="22">
        <v>44021</v>
      </c>
      <c r="D149" t="s">
        <v>2014</v>
      </c>
      <c r="E149" t="s">
        <v>2027</v>
      </c>
      <c r="F149" t="s">
        <v>2016</v>
      </c>
      <c r="G149">
        <v>713</v>
      </c>
      <c r="H149">
        <v>301599</v>
      </c>
      <c r="I149">
        <v>681</v>
      </c>
      <c r="J149">
        <v>296235</v>
      </c>
      <c r="K149">
        <v>656</v>
      </c>
      <c r="L149">
        <v>269616</v>
      </c>
      <c r="M149">
        <v>332</v>
      </c>
      <c r="N149">
        <v>138444</v>
      </c>
      <c r="O149">
        <v>653</v>
      </c>
      <c r="P149">
        <v>267730</v>
      </c>
      <c r="Q149">
        <v>731</v>
      </c>
      <c r="R149">
        <v>308482</v>
      </c>
      <c r="S149">
        <v>144</v>
      </c>
      <c r="T149">
        <v>60624</v>
      </c>
      <c r="U149">
        <v>760</v>
      </c>
      <c r="V149">
        <v>329080</v>
      </c>
      <c r="W149">
        <v>645</v>
      </c>
      <c r="X149">
        <v>267675</v>
      </c>
      <c r="Y149" s="26">
        <f t="shared" si="2"/>
        <v>5315</v>
      </c>
    </row>
    <row r="150" spans="1:25" x14ac:dyDescent="0.25">
      <c r="A150" t="s">
        <v>2313</v>
      </c>
      <c r="B150" t="s">
        <v>2314</v>
      </c>
      <c r="C150" s="22">
        <v>43224</v>
      </c>
      <c r="D150" t="s">
        <v>2026</v>
      </c>
      <c r="E150" t="s">
        <v>2027</v>
      </c>
      <c r="F150" t="s">
        <v>2016</v>
      </c>
      <c r="G150">
        <v>226</v>
      </c>
      <c r="H150">
        <v>79100</v>
      </c>
      <c r="I150">
        <v>243</v>
      </c>
      <c r="J150">
        <v>108864</v>
      </c>
      <c r="K150">
        <v>789</v>
      </c>
      <c r="L150">
        <v>276150</v>
      </c>
      <c r="M150">
        <v>736</v>
      </c>
      <c r="N150">
        <v>276000</v>
      </c>
      <c r="O150">
        <v>737</v>
      </c>
      <c r="P150">
        <v>270479</v>
      </c>
      <c r="Q150">
        <v>291</v>
      </c>
      <c r="R150">
        <v>90501</v>
      </c>
      <c r="S150">
        <v>577</v>
      </c>
      <c r="T150">
        <v>198488</v>
      </c>
      <c r="U150">
        <v>782</v>
      </c>
      <c r="V150">
        <v>269008</v>
      </c>
      <c r="W150">
        <v>780</v>
      </c>
      <c r="X150">
        <v>294060</v>
      </c>
      <c r="Y150" s="26">
        <f t="shared" si="2"/>
        <v>5161</v>
      </c>
    </row>
    <row r="151" spans="1:25" x14ac:dyDescent="0.25">
      <c r="A151" t="s">
        <v>2315</v>
      </c>
      <c r="B151" t="s">
        <v>2316</v>
      </c>
      <c r="C151" s="22">
        <v>43376</v>
      </c>
      <c r="D151" t="s">
        <v>2026</v>
      </c>
      <c r="E151" t="s">
        <v>2027</v>
      </c>
      <c r="F151" t="s">
        <v>2016</v>
      </c>
      <c r="G151">
        <v>469</v>
      </c>
      <c r="H151">
        <v>181972</v>
      </c>
      <c r="I151">
        <v>159</v>
      </c>
      <c r="J151">
        <v>62646</v>
      </c>
      <c r="K151">
        <v>683</v>
      </c>
      <c r="L151">
        <v>303252</v>
      </c>
      <c r="M151">
        <v>289</v>
      </c>
      <c r="N151">
        <v>99994</v>
      </c>
      <c r="O151">
        <v>709</v>
      </c>
      <c r="P151">
        <v>252404</v>
      </c>
      <c r="Q151">
        <v>198</v>
      </c>
      <c r="R151">
        <v>64152</v>
      </c>
      <c r="S151">
        <v>753</v>
      </c>
      <c r="T151">
        <v>232677</v>
      </c>
      <c r="U151">
        <v>111</v>
      </c>
      <c r="V151">
        <v>47064</v>
      </c>
      <c r="W151">
        <v>485</v>
      </c>
      <c r="X151">
        <v>158595</v>
      </c>
      <c r="Y151" s="26">
        <f t="shared" si="2"/>
        <v>3856</v>
      </c>
    </row>
    <row r="152" spans="1:25" x14ac:dyDescent="0.25">
      <c r="A152" t="s">
        <v>2317</v>
      </c>
      <c r="B152" t="s">
        <v>2318</v>
      </c>
      <c r="C152" s="22">
        <v>42831</v>
      </c>
      <c r="D152" t="s">
        <v>2026</v>
      </c>
      <c r="E152" t="s">
        <v>2027</v>
      </c>
      <c r="F152" t="s">
        <v>2016</v>
      </c>
      <c r="G152">
        <v>341</v>
      </c>
      <c r="H152">
        <v>115258</v>
      </c>
      <c r="I152">
        <v>689</v>
      </c>
      <c r="J152">
        <v>265954</v>
      </c>
      <c r="K152">
        <v>222</v>
      </c>
      <c r="L152">
        <v>83250</v>
      </c>
      <c r="M152">
        <v>226</v>
      </c>
      <c r="N152">
        <v>100118</v>
      </c>
      <c r="O152">
        <v>347</v>
      </c>
      <c r="P152">
        <v>138106</v>
      </c>
      <c r="Q152">
        <v>515</v>
      </c>
      <c r="R152">
        <v>187460</v>
      </c>
      <c r="S152">
        <v>132</v>
      </c>
      <c r="T152">
        <v>46860</v>
      </c>
      <c r="U152">
        <v>326</v>
      </c>
      <c r="V152">
        <v>146048</v>
      </c>
      <c r="W152">
        <v>277</v>
      </c>
      <c r="X152">
        <v>86701</v>
      </c>
      <c r="Y152" s="26">
        <f t="shared" si="2"/>
        <v>3075</v>
      </c>
    </row>
    <row r="153" spans="1:25" x14ac:dyDescent="0.25">
      <c r="A153" t="s">
        <v>2319</v>
      </c>
      <c r="B153" t="s">
        <v>2320</v>
      </c>
      <c r="C153" s="22">
        <v>44108</v>
      </c>
      <c r="D153" t="s">
        <v>2014</v>
      </c>
      <c r="E153" t="s">
        <v>2015</v>
      </c>
      <c r="F153" t="s">
        <v>2016</v>
      </c>
      <c r="G153">
        <v>515</v>
      </c>
      <c r="H153">
        <v>216300</v>
      </c>
      <c r="I153">
        <v>559</v>
      </c>
      <c r="J153">
        <v>244283</v>
      </c>
      <c r="K153">
        <v>222</v>
      </c>
      <c r="L153">
        <v>74370</v>
      </c>
      <c r="M153">
        <v>743</v>
      </c>
      <c r="N153">
        <v>245190</v>
      </c>
      <c r="O153">
        <v>765</v>
      </c>
      <c r="P153">
        <v>320535</v>
      </c>
      <c r="Q153">
        <v>523</v>
      </c>
      <c r="R153">
        <v>207108</v>
      </c>
      <c r="S153">
        <v>319</v>
      </c>
      <c r="T153">
        <v>102399</v>
      </c>
      <c r="U153">
        <v>159</v>
      </c>
      <c r="V153">
        <v>64872</v>
      </c>
      <c r="W153">
        <v>299</v>
      </c>
      <c r="X153">
        <v>131859</v>
      </c>
      <c r="Y153" s="26">
        <f t="shared" si="2"/>
        <v>4104</v>
      </c>
    </row>
    <row r="154" spans="1:25" x14ac:dyDescent="0.25">
      <c r="A154" t="s">
        <v>2321</v>
      </c>
      <c r="B154" t="s">
        <v>2322</v>
      </c>
      <c r="C154" s="22">
        <v>42964</v>
      </c>
      <c r="D154" t="s">
        <v>2014</v>
      </c>
      <c r="E154" t="s">
        <v>2019</v>
      </c>
      <c r="F154" t="s">
        <v>2016</v>
      </c>
      <c r="G154">
        <v>150</v>
      </c>
      <c r="H154">
        <v>63900</v>
      </c>
      <c r="I154">
        <v>703</v>
      </c>
      <c r="J154">
        <v>234099</v>
      </c>
      <c r="K154">
        <v>148</v>
      </c>
      <c r="L154">
        <v>55352</v>
      </c>
      <c r="M154">
        <v>764</v>
      </c>
      <c r="N154">
        <v>284208</v>
      </c>
      <c r="O154">
        <v>367</v>
      </c>
      <c r="P154">
        <v>149736</v>
      </c>
      <c r="Q154">
        <v>738</v>
      </c>
      <c r="R154">
        <v>323244</v>
      </c>
      <c r="S154">
        <v>150</v>
      </c>
      <c r="T154">
        <v>51900</v>
      </c>
      <c r="U154">
        <v>432</v>
      </c>
      <c r="V154">
        <v>163296</v>
      </c>
      <c r="W154">
        <v>516</v>
      </c>
      <c r="X154">
        <v>191952</v>
      </c>
      <c r="Y154" s="26">
        <f t="shared" si="2"/>
        <v>3968</v>
      </c>
    </row>
    <row r="155" spans="1:25" x14ac:dyDescent="0.25">
      <c r="A155" t="s">
        <v>2323</v>
      </c>
      <c r="B155" t="s">
        <v>2324</v>
      </c>
      <c r="C155" s="22">
        <v>43429</v>
      </c>
      <c r="D155" t="s">
        <v>2014</v>
      </c>
      <c r="E155" t="s">
        <v>2019</v>
      </c>
      <c r="F155" t="s">
        <v>2016</v>
      </c>
      <c r="G155">
        <v>753</v>
      </c>
      <c r="H155">
        <v>254514</v>
      </c>
      <c r="I155">
        <v>344</v>
      </c>
      <c r="J155">
        <v>119368</v>
      </c>
      <c r="K155">
        <v>217</v>
      </c>
      <c r="L155">
        <v>66619</v>
      </c>
      <c r="M155">
        <v>795</v>
      </c>
      <c r="N155">
        <v>351390</v>
      </c>
      <c r="O155">
        <v>457</v>
      </c>
      <c r="P155">
        <v>167719</v>
      </c>
      <c r="Q155">
        <v>504</v>
      </c>
      <c r="R155">
        <v>218232</v>
      </c>
      <c r="S155">
        <v>779</v>
      </c>
      <c r="T155">
        <v>343539</v>
      </c>
      <c r="U155">
        <v>737</v>
      </c>
      <c r="V155">
        <v>223311</v>
      </c>
      <c r="W155">
        <v>535</v>
      </c>
      <c r="X155">
        <v>184575</v>
      </c>
      <c r="Y155" s="26">
        <f t="shared" si="2"/>
        <v>5121</v>
      </c>
    </row>
    <row r="156" spans="1:25" x14ac:dyDescent="0.25">
      <c r="A156" t="s">
        <v>2325</v>
      </c>
      <c r="B156" t="s">
        <v>2326</v>
      </c>
      <c r="C156" s="22">
        <v>43203</v>
      </c>
      <c r="D156" t="s">
        <v>2014</v>
      </c>
      <c r="E156" t="s">
        <v>2019</v>
      </c>
      <c r="F156" t="s">
        <v>2016</v>
      </c>
      <c r="G156">
        <v>319</v>
      </c>
      <c r="H156">
        <v>110374</v>
      </c>
      <c r="I156">
        <v>657</v>
      </c>
      <c r="J156">
        <v>257544</v>
      </c>
      <c r="K156">
        <v>210</v>
      </c>
      <c r="L156">
        <v>76230</v>
      </c>
      <c r="M156">
        <v>291</v>
      </c>
      <c r="N156">
        <v>95448</v>
      </c>
      <c r="O156">
        <v>473</v>
      </c>
      <c r="P156">
        <v>191092</v>
      </c>
      <c r="Q156">
        <v>263</v>
      </c>
      <c r="R156">
        <v>83371</v>
      </c>
      <c r="S156">
        <v>601</v>
      </c>
      <c r="T156">
        <v>254824</v>
      </c>
      <c r="U156">
        <v>637</v>
      </c>
      <c r="V156">
        <v>224861</v>
      </c>
      <c r="W156">
        <v>298</v>
      </c>
      <c r="X156">
        <v>108770</v>
      </c>
      <c r="Y156" s="26">
        <f t="shared" si="2"/>
        <v>3749</v>
      </c>
    </row>
    <row r="157" spans="1:25" x14ac:dyDescent="0.25">
      <c r="A157" t="s">
        <v>2327</v>
      </c>
      <c r="B157" t="s">
        <v>2328</v>
      </c>
      <c r="C157" s="22">
        <v>44139</v>
      </c>
      <c r="D157" t="s">
        <v>2026</v>
      </c>
      <c r="E157" t="s">
        <v>2027</v>
      </c>
      <c r="F157" t="s">
        <v>2016</v>
      </c>
      <c r="G157">
        <v>397</v>
      </c>
      <c r="H157">
        <v>124658</v>
      </c>
      <c r="I157">
        <v>499</v>
      </c>
      <c r="J157">
        <v>213572</v>
      </c>
      <c r="K157">
        <v>729</v>
      </c>
      <c r="L157">
        <v>310554</v>
      </c>
      <c r="M157">
        <v>786</v>
      </c>
      <c r="N157">
        <v>279816</v>
      </c>
      <c r="O157">
        <v>106</v>
      </c>
      <c r="P157">
        <v>36994</v>
      </c>
      <c r="Q157">
        <v>708</v>
      </c>
      <c r="R157">
        <v>273288</v>
      </c>
      <c r="S157">
        <v>640</v>
      </c>
      <c r="T157">
        <v>273280</v>
      </c>
      <c r="U157">
        <v>312</v>
      </c>
      <c r="V157">
        <v>110136</v>
      </c>
      <c r="W157">
        <v>519</v>
      </c>
      <c r="X157">
        <v>228360</v>
      </c>
      <c r="Y157" s="26">
        <f t="shared" si="2"/>
        <v>4696</v>
      </c>
    </row>
    <row r="158" spans="1:25" x14ac:dyDescent="0.25">
      <c r="A158" t="s">
        <v>2329</v>
      </c>
      <c r="B158" t="s">
        <v>2330</v>
      </c>
      <c r="C158" s="22">
        <v>42213</v>
      </c>
      <c r="D158" t="s">
        <v>2014</v>
      </c>
      <c r="E158" t="s">
        <v>2019</v>
      </c>
      <c r="F158" t="s">
        <v>2016</v>
      </c>
      <c r="G158">
        <v>299</v>
      </c>
      <c r="H158">
        <v>113321</v>
      </c>
      <c r="I158">
        <v>347</v>
      </c>
      <c r="J158">
        <v>124920</v>
      </c>
      <c r="K158">
        <v>548</v>
      </c>
      <c r="L158">
        <v>187964</v>
      </c>
      <c r="M158">
        <v>359</v>
      </c>
      <c r="N158">
        <v>123137</v>
      </c>
      <c r="O158">
        <v>354</v>
      </c>
      <c r="P158">
        <v>124962</v>
      </c>
      <c r="Q158">
        <v>726</v>
      </c>
      <c r="R158">
        <v>222882</v>
      </c>
      <c r="S158">
        <v>293</v>
      </c>
      <c r="T158">
        <v>93760</v>
      </c>
      <c r="U158">
        <v>614</v>
      </c>
      <c r="V158">
        <v>200164</v>
      </c>
      <c r="W158">
        <v>174</v>
      </c>
      <c r="X158">
        <v>72732</v>
      </c>
      <c r="Y158" s="26">
        <f t="shared" si="2"/>
        <v>3714</v>
      </c>
    </row>
    <row r="159" spans="1:25" x14ac:dyDescent="0.25">
      <c r="A159" t="s">
        <v>2331</v>
      </c>
      <c r="B159" t="s">
        <v>2332</v>
      </c>
      <c r="C159" s="22">
        <v>43331</v>
      </c>
      <c r="D159" t="s">
        <v>2014</v>
      </c>
      <c r="E159" t="s">
        <v>2019</v>
      </c>
      <c r="F159" t="s">
        <v>2016</v>
      </c>
      <c r="G159">
        <v>792</v>
      </c>
      <c r="H159">
        <v>306504</v>
      </c>
      <c r="I159">
        <v>690</v>
      </c>
      <c r="J159">
        <v>302220</v>
      </c>
      <c r="K159">
        <v>651</v>
      </c>
      <c r="L159">
        <v>274071</v>
      </c>
      <c r="M159">
        <v>259</v>
      </c>
      <c r="N159">
        <v>103859</v>
      </c>
      <c r="O159">
        <v>189</v>
      </c>
      <c r="P159">
        <v>58023</v>
      </c>
      <c r="Q159">
        <v>514</v>
      </c>
      <c r="R159">
        <v>193778</v>
      </c>
      <c r="S159">
        <v>292</v>
      </c>
      <c r="T159">
        <v>94608</v>
      </c>
      <c r="U159">
        <v>278</v>
      </c>
      <c r="V159">
        <v>88682</v>
      </c>
      <c r="W159">
        <v>280</v>
      </c>
      <c r="X159">
        <v>112560</v>
      </c>
      <c r="Y159" s="26">
        <f t="shared" si="2"/>
        <v>3945</v>
      </c>
    </row>
    <row r="160" spans="1:25" x14ac:dyDescent="0.25">
      <c r="A160" t="s">
        <v>2333</v>
      </c>
      <c r="B160" t="s">
        <v>2334</v>
      </c>
      <c r="C160" s="22">
        <v>43767</v>
      </c>
      <c r="D160" t="s">
        <v>2026</v>
      </c>
      <c r="E160" t="s">
        <v>2015</v>
      </c>
      <c r="F160" t="s">
        <v>2016</v>
      </c>
      <c r="G160">
        <v>363</v>
      </c>
      <c r="H160">
        <v>143748</v>
      </c>
      <c r="I160">
        <v>572</v>
      </c>
      <c r="J160">
        <v>220792</v>
      </c>
      <c r="K160">
        <v>467</v>
      </c>
      <c r="L160">
        <v>190536</v>
      </c>
      <c r="M160">
        <v>592</v>
      </c>
      <c r="N160">
        <v>193584</v>
      </c>
      <c r="O160">
        <v>547</v>
      </c>
      <c r="P160">
        <v>190356</v>
      </c>
      <c r="Q160">
        <v>627</v>
      </c>
      <c r="R160">
        <v>213807</v>
      </c>
      <c r="S160">
        <v>277</v>
      </c>
      <c r="T160">
        <v>94457</v>
      </c>
      <c r="U160">
        <v>126</v>
      </c>
      <c r="V160">
        <v>38682</v>
      </c>
      <c r="W160">
        <v>284</v>
      </c>
      <c r="X160">
        <v>118428</v>
      </c>
      <c r="Y160" s="26">
        <f t="shared" si="2"/>
        <v>3855</v>
      </c>
    </row>
    <row r="161" spans="1:25" x14ac:dyDescent="0.25">
      <c r="A161" t="s">
        <v>2335</v>
      </c>
      <c r="B161" t="s">
        <v>2336</v>
      </c>
      <c r="C161" s="22">
        <v>42380</v>
      </c>
      <c r="D161" t="s">
        <v>2014</v>
      </c>
      <c r="E161" t="s">
        <v>2015</v>
      </c>
      <c r="F161" t="s">
        <v>2016</v>
      </c>
      <c r="G161">
        <v>382</v>
      </c>
      <c r="H161">
        <v>123004</v>
      </c>
      <c r="I161">
        <v>640</v>
      </c>
      <c r="J161">
        <v>240640</v>
      </c>
      <c r="K161">
        <v>641</v>
      </c>
      <c r="L161">
        <v>282681</v>
      </c>
      <c r="M161">
        <v>438</v>
      </c>
      <c r="N161">
        <v>179580</v>
      </c>
      <c r="O161">
        <v>510</v>
      </c>
      <c r="P161">
        <v>189210</v>
      </c>
      <c r="Q161">
        <v>319</v>
      </c>
      <c r="R161">
        <v>105908</v>
      </c>
      <c r="S161">
        <v>653</v>
      </c>
      <c r="T161">
        <v>252058</v>
      </c>
      <c r="U161">
        <v>168</v>
      </c>
      <c r="V161">
        <v>59808</v>
      </c>
      <c r="W161">
        <v>314</v>
      </c>
      <c r="X161">
        <v>95142</v>
      </c>
      <c r="Y161" s="26">
        <f t="shared" si="2"/>
        <v>4065</v>
      </c>
    </row>
    <row r="162" spans="1:25" x14ac:dyDescent="0.25">
      <c r="A162" t="s">
        <v>2337</v>
      </c>
      <c r="B162" t="s">
        <v>2338</v>
      </c>
      <c r="C162" s="22">
        <v>42091</v>
      </c>
      <c r="D162" t="s">
        <v>2014</v>
      </c>
      <c r="E162" t="s">
        <v>2019</v>
      </c>
      <c r="F162" t="s">
        <v>2016</v>
      </c>
      <c r="G162">
        <v>121</v>
      </c>
      <c r="H162">
        <v>39204</v>
      </c>
      <c r="I162">
        <v>231</v>
      </c>
      <c r="J162">
        <v>71379</v>
      </c>
      <c r="K162">
        <v>122</v>
      </c>
      <c r="L162">
        <v>51240</v>
      </c>
      <c r="M162">
        <v>378</v>
      </c>
      <c r="N162">
        <v>132678</v>
      </c>
      <c r="O162">
        <v>145</v>
      </c>
      <c r="P162">
        <v>47270</v>
      </c>
      <c r="Q162">
        <v>210</v>
      </c>
      <c r="R162">
        <v>90300</v>
      </c>
      <c r="S162">
        <v>572</v>
      </c>
      <c r="T162">
        <v>215072</v>
      </c>
      <c r="U162">
        <v>247</v>
      </c>
      <c r="V162">
        <v>86203</v>
      </c>
      <c r="W162">
        <v>262</v>
      </c>
      <c r="X162">
        <v>107944</v>
      </c>
      <c r="Y162" s="26">
        <f t="shared" si="2"/>
        <v>2288</v>
      </c>
    </row>
    <row r="163" spans="1:25" x14ac:dyDescent="0.25">
      <c r="A163" t="s">
        <v>2339</v>
      </c>
      <c r="B163" t="s">
        <v>2340</v>
      </c>
      <c r="C163" s="22">
        <v>43035</v>
      </c>
      <c r="D163" t="s">
        <v>2014</v>
      </c>
      <c r="E163" t="s">
        <v>2019</v>
      </c>
      <c r="F163" t="s">
        <v>2016</v>
      </c>
      <c r="G163">
        <v>374</v>
      </c>
      <c r="H163">
        <v>149226</v>
      </c>
      <c r="I163">
        <v>235</v>
      </c>
      <c r="J163">
        <v>81310</v>
      </c>
      <c r="K163">
        <v>660</v>
      </c>
      <c r="L163">
        <v>231000</v>
      </c>
      <c r="M163">
        <v>552</v>
      </c>
      <c r="N163">
        <v>190992</v>
      </c>
      <c r="O163">
        <v>443</v>
      </c>
      <c r="P163">
        <v>175428</v>
      </c>
      <c r="Q163">
        <v>772</v>
      </c>
      <c r="R163">
        <v>312660</v>
      </c>
      <c r="S163">
        <v>740</v>
      </c>
      <c r="T163">
        <v>244940</v>
      </c>
      <c r="U163">
        <v>351</v>
      </c>
      <c r="V163">
        <v>130221</v>
      </c>
      <c r="W163">
        <v>374</v>
      </c>
      <c r="X163">
        <v>126038</v>
      </c>
      <c r="Y163" s="26">
        <f t="shared" si="2"/>
        <v>4501</v>
      </c>
    </row>
    <row r="164" spans="1:25" x14ac:dyDescent="0.25">
      <c r="A164" t="s">
        <v>2341</v>
      </c>
      <c r="B164" t="s">
        <v>2342</v>
      </c>
      <c r="C164" s="22">
        <v>42968</v>
      </c>
      <c r="D164" t="s">
        <v>2014</v>
      </c>
      <c r="E164" t="s">
        <v>2027</v>
      </c>
      <c r="F164" t="s">
        <v>2016</v>
      </c>
      <c r="G164">
        <v>293</v>
      </c>
      <c r="H164">
        <v>91123</v>
      </c>
      <c r="I164">
        <v>333</v>
      </c>
      <c r="J164">
        <v>130869</v>
      </c>
      <c r="K164">
        <v>420</v>
      </c>
      <c r="L164">
        <v>169680</v>
      </c>
      <c r="M164">
        <v>548</v>
      </c>
      <c r="N164">
        <v>226872</v>
      </c>
      <c r="O164">
        <v>114</v>
      </c>
      <c r="P164">
        <v>43890</v>
      </c>
      <c r="Q164">
        <v>369</v>
      </c>
      <c r="R164">
        <v>114759</v>
      </c>
      <c r="S164">
        <v>254</v>
      </c>
      <c r="T164">
        <v>85598</v>
      </c>
      <c r="U164">
        <v>508</v>
      </c>
      <c r="V164">
        <v>201168</v>
      </c>
      <c r="W164">
        <v>175</v>
      </c>
      <c r="X164">
        <v>57050</v>
      </c>
      <c r="Y164" s="26">
        <f t="shared" si="2"/>
        <v>3014</v>
      </c>
    </row>
    <row r="165" spans="1:25" x14ac:dyDescent="0.25">
      <c r="A165" t="s">
        <v>2343</v>
      </c>
      <c r="B165" t="s">
        <v>2344</v>
      </c>
      <c r="C165" s="22">
        <v>42183</v>
      </c>
      <c r="D165" t="s">
        <v>2014</v>
      </c>
      <c r="E165" t="s">
        <v>2015</v>
      </c>
      <c r="F165" t="s">
        <v>2016</v>
      </c>
      <c r="G165">
        <v>584</v>
      </c>
      <c r="H165">
        <v>230096</v>
      </c>
      <c r="I165">
        <v>519</v>
      </c>
      <c r="J165">
        <v>181650</v>
      </c>
      <c r="K165">
        <v>115</v>
      </c>
      <c r="L165">
        <v>47725</v>
      </c>
      <c r="M165">
        <v>370</v>
      </c>
      <c r="N165">
        <v>151330</v>
      </c>
      <c r="O165">
        <v>297</v>
      </c>
      <c r="P165">
        <v>112563</v>
      </c>
      <c r="Q165">
        <v>434</v>
      </c>
      <c r="R165">
        <v>152768</v>
      </c>
      <c r="S165">
        <v>569</v>
      </c>
      <c r="T165">
        <v>253205</v>
      </c>
      <c r="U165">
        <v>228</v>
      </c>
      <c r="V165">
        <v>70452</v>
      </c>
      <c r="W165">
        <v>698</v>
      </c>
      <c r="X165">
        <v>298744</v>
      </c>
      <c r="Y165" s="26">
        <f t="shared" si="2"/>
        <v>3814</v>
      </c>
    </row>
    <row r="166" spans="1:25" x14ac:dyDescent="0.25">
      <c r="A166" t="s">
        <v>2345</v>
      </c>
      <c r="B166" t="s">
        <v>2346</v>
      </c>
      <c r="C166" s="22">
        <v>43346</v>
      </c>
      <c r="D166" t="s">
        <v>2026</v>
      </c>
      <c r="E166" t="s">
        <v>2027</v>
      </c>
      <c r="F166" t="s">
        <v>2016</v>
      </c>
      <c r="G166">
        <v>286</v>
      </c>
      <c r="H166">
        <v>110968</v>
      </c>
      <c r="I166">
        <v>246</v>
      </c>
      <c r="J166">
        <v>83148</v>
      </c>
      <c r="K166">
        <v>687</v>
      </c>
      <c r="L166">
        <v>252129</v>
      </c>
      <c r="M166">
        <v>309</v>
      </c>
      <c r="N166">
        <v>115875</v>
      </c>
      <c r="O166">
        <v>640</v>
      </c>
      <c r="P166">
        <v>216320</v>
      </c>
      <c r="Q166">
        <v>756</v>
      </c>
      <c r="R166">
        <v>337932</v>
      </c>
      <c r="S166">
        <v>219</v>
      </c>
      <c r="T166">
        <v>80811</v>
      </c>
      <c r="U166">
        <v>799</v>
      </c>
      <c r="V166">
        <v>251685</v>
      </c>
      <c r="W166">
        <v>669</v>
      </c>
      <c r="X166">
        <v>267600</v>
      </c>
      <c r="Y166" s="26">
        <f t="shared" si="2"/>
        <v>4611</v>
      </c>
    </row>
    <row r="167" spans="1:25" x14ac:dyDescent="0.25">
      <c r="A167" t="s">
        <v>2347</v>
      </c>
      <c r="B167" t="s">
        <v>2348</v>
      </c>
      <c r="C167" s="22">
        <v>42331</v>
      </c>
      <c r="D167" t="s">
        <v>2014</v>
      </c>
      <c r="E167" t="s">
        <v>2027</v>
      </c>
      <c r="F167" t="s">
        <v>2016</v>
      </c>
      <c r="G167">
        <v>244</v>
      </c>
      <c r="H167">
        <v>84424</v>
      </c>
      <c r="I167">
        <v>298</v>
      </c>
      <c r="J167">
        <v>108770</v>
      </c>
      <c r="K167">
        <v>637</v>
      </c>
      <c r="L167">
        <v>243334</v>
      </c>
      <c r="M167">
        <v>748</v>
      </c>
      <c r="N167">
        <v>232628</v>
      </c>
      <c r="O167">
        <v>128</v>
      </c>
      <c r="P167">
        <v>42240</v>
      </c>
      <c r="Q167">
        <v>149</v>
      </c>
      <c r="R167">
        <v>49170</v>
      </c>
      <c r="S167">
        <v>273</v>
      </c>
      <c r="T167">
        <v>118209</v>
      </c>
      <c r="U167">
        <v>112</v>
      </c>
      <c r="V167">
        <v>39872</v>
      </c>
      <c r="W167">
        <v>485</v>
      </c>
      <c r="X167">
        <v>212430</v>
      </c>
      <c r="Y167" s="26">
        <f t="shared" si="2"/>
        <v>3074</v>
      </c>
    </row>
    <row r="168" spans="1:25" x14ac:dyDescent="0.25">
      <c r="A168" t="s">
        <v>2349</v>
      </c>
      <c r="B168" t="s">
        <v>2350</v>
      </c>
      <c r="C168" s="22">
        <v>43971</v>
      </c>
      <c r="D168" t="s">
        <v>2026</v>
      </c>
      <c r="E168" t="s">
        <v>2027</v>
      </c>
      <c r="F168" t="s">
        <v>2016</v>
      </c>
      <c r="G168">
        <v>261</v>
      </c>
      <c r="H168">
        <v>108576</v>
      </c>
      <c r="I168">
        <v>213</v>
      </c>
      <c r="J168">
        <v>76041</v>
      </c>
      <c r="K168">
        <v>183</v>
      </c>
      <c r="L168">
        <v>60573</v>
      </c>
      <c r="M168">
        <v>388</v>
      </c>
      <c r="N168">
        <v>147052</v>
      </c>
      <c r="O168">
        <v>596</v>
      </c>
      <c r="P168">
        <v>184760</v>
      </c>
      <c r="Q168">
        <v>532</v>
      </c>
      <c r="R168">
        <v>181412</v>
      </c>
      <c r="S168">
        <v>696</v>
      </c>
      <c r="T168">
        <v>260304</v>
      </c>
      <c r="U168">
        <v>184</v>
      </c>
      <c r="V168">
        <v>75808</v>
      </c>
      <c r="W168">
        <v>109</v>
      </c>
      <c r="X168">
        <v>46979</v>
      </c>
      <c r="Y168" s="26">
        <f t="shared" si="2"/>
        <v>3162</v>
      </c>
    </row>
    <row r="169" spans="1:25" x14ac:dyDescent="0.25">
      <c r="A169" t="s">
        <v>2351</v>
      </c>
      <c r="B169" t="s">
        <v>2352</v>
      </c>
      <c r="C169" s="22">
        <v>43949</v>
      </c>
      <c r="D169" t="s">
        <v>2026</v>
      </c>
      <c r="E169" t="s">
        <v>2019</v>
      </c>
      <c r="F169" t="s">
        <v>2016</v>
      </c>
      <c r="G169">
        <v>346</v>
      </c>
      <c r="H169">
        <v>131134</v>
      </c>
      <c r="I169">
        <v>291</v>
      </c>
      <c r="J169">
        <v>123384</v>
      </c>
      <c r="K169">
        <v>372</v>
      </c>
      <c r="L169">
        <v>160332</v>
      </c>
      <c r="M169">
        <v>285</v>
      </c>
      <c r="N169">
        <v>88920</v>
      </c>
      <c r="O169">
        <v>505</v>
      </c>
      <c r="P169">
        <v>201495</v>
      </c>
      <c r="Q169">
        <v>641</v>
      </c>
      <c r="R169">
        <v>274989</v>
      </c>
      <c r="S169">
        <v>396</v>
      </c>
      <c r="T169">
        <v>123552</v>
      </c>
      <c r="U169">
        <v>315</v>
      </c>
      <c r="V169">
        <v>140490</v>
      </c>
      <c r="W169">
        <v>228</v>
      </c>
      <c r="X169">
        <v>95304</v>
      </c>
      <c r="Y169" s="26">
        <f t="shared" si="2"/>
        <v>3379</v>
      </c>
    </row>
    <row r="170" spans="1:25" x14ac:dyDescent="0.25">
      <c r="A170" t="s">
        <v>2353</v>
      </c>
      <c r="B170" t="s">
        <v>2354</v>
      </c>
      <c r="C170" s="22">
        <v>43345</v>
      </c>
      <c r="D170" t="s">
        <v>2014</v>
      </c>
      <c r="E170" t="s">
        <v>2027</v>
      </c>
      <c r="F170" t="s">
        <v>2016</v>
      </c>
      <c r="G170">
        <v>626</v>
      </c>
      <c r="H170">
        <v>210962</v>
      </c>
      <c r="I170">
        <v>120</v>
      </c>
      <c r="J170">
        <v>47160</v>
      </c>
      <c r="K170">
        <v>727</v>
      </c>
      <c r="L170">
        <v>303159</v>
      </c>
      <c r="M170">
        <v>483</v>
      </c>
      <c r="N170">
        <v>195132</v>
      </c>
      <c r="O170">
        <v>782</v>
      </c>
      <c r="P170">
        <v>334696</v>
      </c>
      <c r="Q170">
        <v>414</v>
      </c>
      <c r="R170">
        <v>178020</v>
      </c>
      <c r="S170">
        <v>800</v>
      </c>
      <c r="T170">
        <v>251200</v>
      </c>
      <c r="U170">
        <v>493</v>
      </c>
      <c r="V170">
        <v>200651</v>
      </c>
      <c r="W170">
        <v>403</v>
      </c>
      <c r="X170">
        <v>154752</v>
      </c>
      <c r="Y170" s="26">
        <f t="shared" si="2"/>
        <v>4848</v>
      </c>
    </row>
    <row r="171" spans="1:25" x14ac:dyDescent="0.25">
      <c r="A171" t="s">
        <v>2355</v>
      </c>
      <c r="B171" t="s">
        <v>2356</v>
      </c>
      <c r="C171" s="22">
        <v>42419</v>
      </c>
      <c r="D171" t="s">
        <v>2026</v>
      </c>
      <c r="E171" t="s">
        <v>2027</v>
      </c>
      <c r="F171" t="s">
        <v>2016</v>
      </c>
      <c r="G171">
        <v>724</v>
      </c>
      <c r="H171">
        <v>231680</v>
      </c>
      <c r="I171">
        <v>710</v>
      </c>
      <c r="J171">
        <v>261280</v>
      </c>
      <c r="K171">
        <v>597</v>
      </c>
      <c r="L171">
        <v>205368</v>
      </c>
      <c r="M171">
        <v>102</v>
      </c>
      <c r="N171">
        <v>42024</v>
      </c>
      <c r="O171">
        <v>714</v>
      </c>
      <c r="P171">
        <v>223482</v>
      </c>
      <c r="Q171">
        <v>392</v>
      </c>
      <c r="R171">
        <v>156800</v>
      </c>
      <c r="S171">
        <v>125</v>
      </c>
      <c r="T171">
        <v>55500</v>
      </c>
      <c r="U171">
        <v>628</v>
      </c>
      <c r="V171">
        <v>223568</v>
      </c>
      <c r="W171">
        <v>622</v>
      </c>
      <c r="X171">
        <v>229518</v>
      </c>
      <c r="Y171" s="26">
        <f t="shared" si="2"/>
        <v>4614</v>
      </c>
    </row>
    <row r="172" spans="1:25" x14ac:dyDescent="0.25">
      <c r="A172" t="s">
        <v>2357</v>
      </c>
      <c r="B172" t="s">
        <v>2358</v>
      </c>
      <c r="C172" s="22">
        <v>42458</v>
      </c>
      <c r="D172" t="s">
        <v>2026</v>
      </c>
      <c r="E172" t="s">
        <v>2027</v>
      </c>
      <c r="F172" t="s">
        <v>2016</v>
      </c>
      <c r="G172">
        <v>107</v>
      </c>
      <c r="H172">
        <v>43656</v>
      </c>
      <c r="I172">
        <v>609</v>
      </c>
      <c r="J172">
        <v>255780</v>
      </c>
      <c r="K172">
        <v>616</v>
      </c>
      <c r="L172">
        <v>276584</v>
      </c>
      <c r="M172">
        <v>198</v>
      </c>
      <c r="N172">
        <v>65934</v>
      </c>
      <c r="O172">
        <v>330</v>
      </c>
      <c r="P172">
        <v>127380</v>
      </c>
      <c r="Q172">
        <v>432</v>
      </c>
      <c r="R172">
        <v>150768</v>
      </c>
      <c r="S172">
        <v>139</v>
      </c>
      <c r="T172">
        <v>47677</v>
      </c>
      <c r="U172">
        <v>665</v>
      </c>
      <c r="V172">
        <v>244720</v>
      </c>
      <c r="W172">
        <v>268</v>
      </c>
      <c r="X172">
        <v>111756</v>
      </c>
      <c r="Y172" s="26">
        <f t="shared" si="2"/>
        <v>3364</v>
      </c>
    </row>
    <row r="173" spans="1:25" x14ac:dyDescent="0.25">
      <c r="A173" t="s">
        <v>2359</v>
      </c>
      <c r="B173" t="s">
        <v>2360</v>
      </c>
      <c r="C173" s="22">
        <v>43329</v>
      </c>
      <c r="D173" t="s">
        <v>2014</v>
      </c>
      <c r="E173" t="s">
        <v>2027</v>
      </c>
      <c r="F173" t="s">
        <v>2016</v>
      </c>
      <c r="G173">
        <v>503</v>
      </c>
      <c r="H173">
        <v>196673</v>
      </c>
      <c r="I173">
        <v>376</v>
      </c>
      <c r="J173">
        <v>122952</v>
      </c>
      <c r="K173">
        <v>770</v>
      </c>
      <c r="L173">
        <v>279510</v>
      </c>
      <c r="M173">
        <v>100</v>
      </c>
      <c r="N173">
        <v>34500</v>
      </c>
      <c r="O173">
        <v>637</v>
      </c>
      <c r="P173">
        <v>247156</v>
      </c>
      <c r="Q173">
        <v>523</v>
      </c>
      <c r="R173">
        <v>163176</v>
      </c>
      <c r="S173">
        <v>696</v>
      </c>
      <c r="T173">
        <v>217152</v>
      </c>
      <c r="U173">
        <v>120</v>
      </c>
      <c r="V173">
        <v>44280</v>
      </c>
      <c r="W173">
        <v>762</v>
      </c>
      <c r="X173">
        <v>342138</v>
      </c>
      <c r="Y173" s="26">
        <f t="shared" si="2"/>
        <v>4487</v>
      </c>
    </row>
    <row r="174" spans="1:25" x14ac:dyDescent="0.25">
      <c r="A174" t="s">
        <v>2361</v>
      </c>
      <c r="B174" t="s">
        <v>2362</v>
      </c>
      <c r="C174" s="22">
        <v>43469</v>
      </c>
      <c r="D174" t="s">
        <v>2026</v>
      </c>
      <c r="E174" t="s">
        <v>2015</v>
      </c>
      <c r="F174" t="s">
        <v>2016</v>
      </c>
      <c r="G174">
        <v>185</v>
      </c>
      <c r="H174">
        <v>60680</v>
      </c>
      <c r="I174">
        <v>500</v>
      </c>
      <c r="J174">
        <v>212000</v>
      </c>
      <c r="K174">
        <v>422</v>
      </c>
      <c r="L174">
        <v>158250</v>
      </c>
      <c r="M174">
        <v>521</v>
      </c>
      <c r="N174">
        <v>209963</v>
      </c>
      <c r="O174">
        <v>646</v>
      </c>
      <c r="P174">
        <v>231268</v>
      </c>
      <c r="Q174">
        <v>411</v>
      </c>
      <c r="R174">
        <v>132342</v>
      </c>
      <c r="S174">
        <v>533</v>
      </c>
      <c r="T174">
        <v>239317</v>
      </c>
      <c r="U174">
        <v>347</v>
      </c>
      <c r="V174">
        <v>113816</v>
      </c>
      <c r="W174">
        <v>472</v>
      </c>
      <c r="X174">
        <v>185968</v>
      </c>
      <c r="Y174" s="26">
        <f t="shared" si="2"/>
        <v>4037</v>
      </c>
    </row>
    <row r="175" spans="1:25" x14ac:dyDescent="0.25">
      <c r="A175" t="s">
        <v>2363</v>
      </c>
      <c r="B175" t="s">
        <v>2364</v>
      </c>
      <c r="C175" s="22">
        <v>43636</v>
      </c>
      <c r="D175" t="s">
        <v>2014</v>
      </c>
      <c r="E175" t="s">
        <v>2027</v>
      </c>
      <c r="F175" t="s">
        <v>2016</v>
      </c>
      <c r="G175">
        <v>679</v>
      </c>
      <c r="H175">
        <v>247835</v>
      </c>
      <c r="I175">
        <v>674</v>
      </c>
      <c r="J175">
        <v>293190</v>
      </c>
      <c r="K175">
        <v>549</v>
      </c>
      <c r="L175">
        <v>222894</v>
      </c>
      <c r="M175">
        <v>426</v>
      </c>
      <c r="N175">
        <v>169974</v>
      </c>
      <c r="O175">
        <v>800</v>
      </c>
      <c r="P175">
        <v>268800</v>
      </c>
      <c r="Q175">
        <v>663</v>
      </c>
      <c r="R175">
        <v>212823</v>
      </c>
      <c r="S175">
        <v>761</v>
      </c>
      <c r="T175">
        <v>231344</v>
      </c>
      <c r="U175">
        <v>155</v>
      </c>
      <c r="V175">
        <v>50375</v>
      </c>
      <c r="W175">
        <v>612</v>
      </c>
      <c r="X175">
        <v>187272</v>
      </c>
      <c r="Y175" s="26">
        <f t="shared" si="2"/>
        <v>5319</v>
      </c>
    </row>
    <row r="176" spans="1:25" x14ac:dyDescent="0.25">
      <c r="A176" t="s">
        <v>2365</v>
      </c>
      <c r="B176" t="s">
        <v>2366</v>
      </c>
      <c r="C176" s="22">
        <v>43721</v>
      </c>
      <c r="D176" t="s">
        <v>2014</v>
      </c>
      <c r="E176" t="s">
        <v>2015</v>
      </c>
      <c r="F176" t="s">
        <v>2016</v>
      </c>
      <c r="G176">
        <v>159</v>
      </c>
      <c r="H176">
        <v>51516</v>
      </c>
      <c r="I176">
        <v>485</v>
      </c>
      <c r="J176">
        <v>152290</v>
      </c>
      <c r="K176">
        <v>593</v>
      </c>
      <c r="L176">
        <v>249060</v>
      </c>
      <c r="M176">
        <v>796</v>
      </c>
      <c r="N176">
        <v>264272</v>
      </c>
      <c r="O176">
        <v>643</v>
      </c>
      <c r="P176">
        <v>196115</v>
      </c>
      <c r="Q176">
        <v>122</v>
      </c>
      <c r="R176">
        <v>51850</v>
      </c>
      <c r="S176">
        <v>545</v>
      </c>
      <c r="T176">
        <v>188025</v>
      </c>
      <c r="U176">
        <v>503</v>
      </c>
      <c r="V176">
        <v>174541</v>
      </c>
      <c r="W176">
        <v>726</v>
      </c>
      <c r="X176">
        <v>260634</v>
      </c>
      <c r="Y176" s="26">
        <f t="shared" si="2"/>
        <v>4572</v>
      </c>
    </row>
    <row r="177" spans="1:25" x14ac:dyDescent="0.25">
      <c r="A177" t="s">
        <v>2367</v>
      </c>
      <c r="B177" t="s">
        <v>2368</v>
      </c>
      <c r="C177" s="22">
        <v>43140</v>
      </c>
      <c r="D177" t="s">
        <v>2014</v>
      </c>
      <c r="E177" t="s">
        <v>2027</v>
      </c>
      <c r="F177" t="s">
        <v>2016</v>
      </c>
      <c r="G177">
        <v>142</v>
      </c>
      <c r="H177">
        <v>48564</v>
      </c>
      <c r="I177">
        <v>773</v>
      </c>
      <c r="J177">
        <v>279826</v>
      </c>
      <c r="K177">
        <v>351</v>
      </c>
      <c r="L177">
        <v>133029</v>
      </c>
      <c r="M177">
        <v>297</v>
      </c>
      <c r="N177">
        <v>122661</v>
      </c>
      <c r="O177">
        <v>324</v>
      </c>
      <c r="P177">
        <v>104328</v>
      </c>
      <c r="Q177">
        <v>561</v>
      </c>
      <c r="R177">
        <v>186252</v>
      </c>
      <c r="S177">
        <v>465</v>
      </c>
      <c r="T177">
        <v>202740</v>
      </c>
      <c r="U177">
        <v>333</v>
      </c>
      <c r="V177">
        <v>125874</v>
      </c>
      <c r="W177">
        <v>410</v>
      </c>
      <c r="X177">
        <v>149650</v>
      </c>
      <c r="Y177" s="26">
        <f t="shared" si="2"/>
        <v>3656</v>
      </c>
    </row>
    <row r="178" spans="1:25" x14ac:dyDescent="0.25">
      <c r="A178" t="s">
        <v>2357</v>
      </c>
      <c r="B178" t="s">
        <v>2369</v>
      </c>
      <c r="C178" s="22">
        <v>42642</v>
      </c>
      <c r="D178" t="s">
        <v>2026</v>
      </c>
      <c r="E178" t="s">
        <v>2015</v>
      </c>
      <c r="F178" t="s">
        <v>2016</v>
      </c>
      <c r="G178">
        <v>457</v>
      </c>
      <c r="H178">
        <v>167262</v>
      </c>
      <c r="I178">
        <v>756</v>
      </c>
      <c r="J178">
        <v>270648</v>
      </c>
      <c r="K178">
        <v>606</v>
      </c>
      <c r="L178">
        <v>199374</v>
      </c>
      <c r="M178">
        <v>316</v>
      </c>
      <c r="N178">
        <v>120712</v>
      </c>
      <c r="O178">
        <v>422</v>
      </c>
      <c r="P178">
        <v>159516</v>
      </c>
      <c r="Q178">
        <v>685</v>
      </c>
      <c r="R178">
        <v>207555</v>
      </c>
      <c r="S178">
        <v>349</v>
      </c>
      <c r="T178">
        <v>124244</v>
      </c>
      <c r="U178">
        <v>665</v>
      </c>
      <c r="V178">
        <v>226100</v>
      </c>
      <c r="W178">
        <v>239</v>
      </c>
      <c r="X178">
        <v>85084</v>
      </c>
      <c r="Y178" s="26">
        <f t="shared" si="2"/>
        <v>4495</v>
      </c>
    </row>
    <row r="179" spans="1:25" x14ac:dyDescent="0.25">
      <c r="A179" t="s">
        <v>2370</v>
      </c>
      <c r="B179" t="s">
        <v>2371</v>
      </c>
      <c r="C179" s="22">
        <v>43020</v>
      </c>
      <c r="D179" t="s">
        <v>2026</v>
      </c>
      <c r="E179" t="s">
        <v>2019</v>
      </c>
      <c r="F179" t="s">
        <v>2016</v>
      </c>
      <c r="G179">
        <v>502</v>
      </c>
      <c r="H179">
        <v>195278</v>
      </c>
      <c r="I179">
        <v>264</v>
      </c>
      <c r="J179">
        <v>118800</v>
      </c>
      <c r="K179">
        <v>128</v>
      </c>
      <c r="L179">
        <v>45568</v>
      </c>
      <c r="M179">
        <v>108</v>
      </c>
      <c r="N179">
        <v>32508</v>
      </c>
      <c r="O179">
        <v>115</v>
      </c>
      <c r="P179">
        <v>44505</v>
      </c>
      <c r="Q179">
        <v>267</v>
      </c>
      <c r="R179">
        <v>105198</v>
      </c>
      <c r="S179">
        <v>707</v>
      </c>
      <c r="T179">
        <v>315322</v>
      </c>
      <c r="U179">
        <v>259</v>
      </c>
      <c r="V179">
        <v>87283</v>
      </c>
      <c r="W179">
        <v>672</v>
      </c>
      <c r="X179">
        <v>293664</v>
      </c>
      <c r="Y179" s="26">
        <f t="shared" si="2"/>
        <v>3022</v>
      </c>
    </row>
    <row r="180" spans="1:25" x14ac:dyDescent="0.25">
      <c r="A180" t="s">
        <v>2372</v>
      </c>
      <c r="B180" t="s">
        <v>2373</v>
      </c>
      <c r="C180" s="22">
        <v>42235</v>
      </c>
      <c r="D180" t="s">
        <v>2014</v>
      </c>
      <c r="E180" t="s">
        <v>2019</v>
      </c>
      <c r="F180" t="s">
        <v>2016</v>
      </c>
      <c r="G180">
        <v>120</v>
      </c>
      <c r="H180">
        <v>52440</v>
      </c>
      <c r="I180">
        <v>347</v>
      </c>
      <c r="J180">
        <v>141229</v>
      </c>
      <c r="K180">
        <v>749</v>
      </c>
      <c r="L180">
        <v>289114</v>
      </c>
      <c r="M180">
        <v>674</v>
      </c>
      <c r="N180">
        <v>256794</v>
      </c>
      <c r="O180">
        <v>399</v>
      </c>
      <c r="P180">
        <v>132468</v>
      </c>
      <c r="Q180">
        <v>389</v>
      </c>
      <c r="R180">
        <v>146653</v>
      </c>
      <c r="S180">
        <v>272</v>
      </c>
      <c r="T180">
        <v>121312</v>
      </c>
      <c r="U180">
        <v>360</v>
      </c>
      <c r="V180">
        <v>126360</v>
      </c>
      <c r="W180">
        <v>675</v>
      </c>
      <c r="X180">
        <v>245025</v>
      </c>
      <c r="Y180" s="26">
        <f t="shared" si="2"/>
        <v>3985</v>
      </c>
    </row>
    <row r="181" spans="1:25" x14ac:dyDescent="0.25">
      <c r="A181" t="s">
        <v>2374</v>
      </c>
      <c r="B181" t="s">
        <v>2375</v>
      </c>
      <c r="C181" s="22">
        <v>42217</v>
      </c>
      <c r="D181" t="s">
        <v>2014</v>
      </c>
      <c r="E181" t="s">
        <v>2019</v>
      </c>
      <c r="F181" t="s">
        <v>2016</v>
      </c>
      <c r="G181">
        <v>701</v>
      </c>
      <c r="H181">
        <v>293719</v>
      </c>
      <c r="I181">
        <v>133</v>
      </c>
      <c r="J181">
        <v>53998</v>
      </c>
      <c r="K181">
        <v>318</v>
      </c>
      <c r="L181">
        <v>103668</v>
      </c>
      <c r="M181">
        <v>759</v>
      </c>
      <c r="N181">
        <v>260337</v>
      </c>
      <c r="O181">
        <v>408</v>
      </c>
      <c r="P181">
        <v>176256</v>
      </c>
      <c r="Q181">
        <v>438</v>
      </c>
      <c r="R181">
        <v>159432</v>
      </c>
      <c r="S181">
        <v>176</v>
      </c>
      <c r="T181">
        <v>55264</v>
      </c>
      <c r="U181">
        <v>154</v>
      </c>
      <c r="V181">
        <v>55594</v>
      </c>
      <c r="W181">
        <v>786</v>
      </c>
      <c r="X181">
        <v>304182</v>
      </c>
      <c r="Y181" s="26">
        <f t="shared" si="2"/>
        <v>3873</v>
      </c>
    </row>
    <row r="182" spans="1:25" x14ac:dyDescent="0.25">
      <c r="A182" t="s">
        <v>2376</v>
      </c>
      <c r="B182" t="s">
        <v>2377</v>
      </c>
      <c r="C182" s="22">
        <v>42728</v>
      </c>
      <c r="D182" t="s">
        <v>2014</v>
      </c>
      <c r="E182" t="s">
        <v>2027</v>
      </c>
      <c r="F182" t="s">
        <v>2016</v>
      </c>
      <c r="G182">
        <v>318</v>
      </c>
      <c r="H182">
        <v>110664</v>
      </c>
      <c r="I182">
        <v>370</v>
      </c>
      <c r="J182">
        <v>119140</v>
      </c>
      <c r="K182">
        <v>773</v>
      </c>
      <c r="L182">
        <v>330844</v>
      </c>
      <c r="M182">
        <v>590</v>
      </c>
      <c r="N182">
        <v>210040</v>
      </c>
      <c r="O182">
        <v>294</v>
      </c>
      <c r="P182">
        <v>131712</v>
      </c>
      <c r="Q182">
        <v>565</v>
      </c>
      <c r="R182">
        <v>237865</v>
      </c>
      <c r="S182">
        <v>208</v>
      </c>
      <c r="T182">
        <v>85280</v>
      </c>
      <c r="U182">
        <v>437</v>
      </c>
      <c r="V182">
        <v>161690</v>
      </c>
      <c r="W182">
        <v>432</v>
      </c>
      <c r="X182">
        <v>138672</v>
      </c>
      <c r="Y182" s="26">
        <f t="shared" si="2"/>
        <v>3987</v>
      </c>
    </row>
    <row r="183" spans="1:25" x14ac:dyDescent="0.25">
      <c r="A183" t="s">
        <v>2378</v>
      </c>
      <c r="B183" t="s">
        <v>2379</v>
      </c>
      <c r="C183" s="22">
        <v>42908</v>
      </c>
      <c r="D183" t="s">
        <v>2026</v>
      </c>
      <c r="E183" t="s">
        <v>2027</v>
      </c>
      <c r="F183" t="s">
        <v>2016</v>
      </c>
      <c r="G183">
        <v>795</v>
      </c>
      <c r="H183">
        <v>249630</v>
      </c>
      <c r="I183">
        <v>338</v>
      </c>
      <c r="J183">
        <v>135876</v>
      </c>
      <c r="K183">
        <v>563</v>
      </c>
      <c r="L183">
        <v>238712</v>
      </c>
      <c r="M183">
        <v>562</v>
      </c>
      <c r="N183">
        <v>237726</v>
      </c>
      <c r="O183">
        <v>548</v>
      </c>
      <c r="P183">
        <v>243312</v>
      </c>
      <c r="Q183">
        <v>506</v>
      </c>
      <c r="R183">
        <v>154836</v>
      </c>
      <c r="S183">
        <v>782</v>
      </c>
      <c r="T183">
        <v>311236</v>
      </c>
      <c r="U183">
        <v>473</v>
      </c>
      <c r="V183">
        <v>162239</v>
      </c>
      <c r="W183">
        <v>129</v>
      </c>
      <c r="X183">
        <v>46311</v>
      </c>
      <c r="Y183" s="26">
        <f t="shared" si="2"/>
        <v>4696</v>
      </c>
    </row>
    <row r="184" spans="1:25" x14ac:dyDescent="0.25">
      <c r="A184" t="s">
        <v>2380</v>
      </c>
      <c r="B184" t="s">
        <v>2381</v>
      </c>
      <c r="C184" s="22">
        <v>43503</v>
      </c>
      <c r="D184" t="s">
        <v>2026</v>
      </c>
      <c r="E184" t="s">
        <v>2015</v>
      </c>
      <c r="F184" t="s">
        <v>2016</v>
      </c>
      <c r="G184">
        <v>713</v>
      </c>
      <c r="H184">
        <v>290191</v>
      </c>
      <c r="I184">
        <v>556</v>
      </c>
      <c r="J184">
        <v>189596</v>
      </c>
      <c r="K184">
        <v>630</v>
      </c>
      <c r="L184">
        <v>206640</v>
      </c>
      <c r="M184">
        <v>196</v>
      </c>
      <c r="N184">
        <v>84868</v>
      </c>
      <c r="O184">
        <v>317</v>
      </c>
      <c r="P184">
        <v>127117</v>
      </c>
      <c r="Q184">
        <v>275</v>
      </c>
      <c r="R184">
        <v>91025</v>
      </c>
      <c r="S184">
        <v>281</v>
      </c>
      <c r="T184">
        <v>119144</v>
      </c>
      <c r="U184">
        <v>590</v>
      </c>
      <c r="V184">
        <v>253700</v>
      </c>
      <c r="W184">
        <v>330</v>
      </c>
      <c r="X184">
        <v>112200</v>
      </c>
      <c r="Y184" s="26">
        <f t="shared" si="2"/>
        <v>3888</v>
      </c>
    </row>
    <row r="185" spans="1:25" x14ac:dyDescent="0.25">
      <c r="A185" t="s">
        <v>2382</v>
      </c>
      <c r="B185" t="s">
        <v>2383</v>
      </c>
      <c r="C185" s="22">
        <v>42614</v>
      </c>
      <c r="D185" t="s">
        <v>2026</v>
      </c>
      <c r="E185" t="s">
        <v>2027</v>
      </c>
      <c r="F185" t="s">
        <v>2016</v>
      </c>
      <c r="G185">
        <v>235</v>
      </c>
      <c r="H185">
        <v>86010</v>
      </c>
      <c r="I185">
        <v>469</v>
      </c>
      <c r="J185">
        <v>142576</v>
      </c>
      <c r="K185">
        <v>430</v>
      </c>
      <c r="L185">
        <v>169850</v>
      </c>
      <c r="M185">
        <v>780</v>
      </c>
      <c r="N185">
        <v>342420</v>
      </c>
      <c r="O185">
        <v>519</v>
      </c>
      <c r="P185">
        <v>189954</v>
      </c>
      <c r="Q185">
        <v>651</v>
      </c>
      <c r="R185">
        <v>276024</v>
      </c>
      <c r="S185">
        <v>489</v>
      </c>
      <c r="T185">
        <v>155013</v>
      </c>
      <c r="U185">
        <v>505</v>
      </c>
      <c r="V185">
        <v>165640</v>
      </c>
      <c r="W185">
        <v>442</v>
      </c>
      <c r="X185">
        <v>180336</v>
      </c>
      <c r="Y185" s="26">
        <f t="shared" si="2"/>
        <v>4520</v>
      </c>
    </row>
    <row r="186" spans="1:25" x14ac:dyDescent="0.25">
      <c r="A186" t="s">
        <v>2384</v>
      </c>
      <c r="B186" t="s">
        <v>2385</v>
      </c>
      <c r="C186" s="22">
        <v>43874</v>
      </c>
      <c r="D186" t="s">
        <v>2014</v>
      </c>
      <c r="E186" t="s">
        <v>2015</v>
      </c>
      <c r="F186" t="s">
        <v>2016</v>
      </c>
      <c r="G186">
        <v>543</v>
      </c>
      <c r="H186">
        <v>211227</v>
      </c>
      <c r="I186">
        <v>706</v>
      </c>
      <c r="J186">
        <v>304286</v>
      </c>
      <c r="K186">
        <v>506</v>
      </c>
      <c r="L186">
        <v>171534</v>
      </c>
      <c r="M186">
        <v>128</v>
      </c>
      <c r="N186">
        <v>51072</v>
      </c>
      <c r="O186">
        <v>299</v>
      </c>
      <c r="P186">
        <v>125281</v>
      </c>
      <c r="Q186">
        <v>329</v>
      </c>
      <c r="R186">
        <v>116137</v>
      </c>
      <c r="S186">
        <v>396</v>
      </c>
      <c r="T186">
        <v>147708</v>
      </c>
      <c r="U186">
        <v>269</v>
      </c>
      <c r="V186">
        <v>100068</v>
      </c>
      <c r="W186">
        <v>664</v>
      </c>
      <c r="X186">
        <v>200528</v>
      </c>
      <c r="Y186" s="26">
        <f t="shared" si="2"/>
        <v>3840</v>
      </c>
    </row>
    <row r="187" spans="1:25" x14ac:dyDescent="0.25">
      <c r="A187" t="s">
        <v>2386</v>
      </c>
      <c r="B187" t="s">
        <v>2387</v>
      </c>
      <c r="C187" s="22">
        <v>44148</v>
      </c>
      <c r="D187" t="s">
        <v>2026</v>
      </c>
      <c r="E187" t="s">
        <v>2019</v>
      </c>
      <c r="F187" t="s">
        <v>2016</v>
      </c>
      <c r="G187">
        <v>442</v>
      </c>
      <c r="H187">
        <v>155584</v>
      </c>
      <c r="I187">
        <v>601</v>
      </c>
      <c r="J187">
        <v>256026</v>
      </c>
      <c r="K187">
        <v>358</v>
      </c>
      <c r="L187">
        <v>154298</v>
      </c>
      <c r="M187">
        <v>177</v>
      </c>
      <c r="N187">
        <v>66375</v>
      </c>
      <c r="O187">
        <v>479</v>
      </c>
      <c r="P187">
        <v>144179</v>
      </c>
      <c r="Q187">
        <v>181</v>
      </c>
      <c r="R187">
        <v>57920</v>
      </c>
      <c r="S187">
        <v>432</v>
      </c>
      <c r="T187">
        <v>129600</v>
      </c>
      <c r="U187">
        <v>193</v>
      </c>
      <c r="V187">
        <v>64462</v>
      </c>
      <c r="W187">
        <v>601</v>
      </c>
      <c r="X187">
        <v>222971</v>
      </c>
      <c r="Y187" s="26">
        <f t="shared" si="2"/>
        <v>3464</v>
      </c>
    </row>
    <row r="188" spans="1:25" x14ac:dyDescent="0.25">
      <c r="A188" t="s">
        <v>2388</v>
      </c>
      <c r="B188" t="s">
        <v>2389</v>
      </c>
      <c r="C188" s="22">
        <v>42254</v>
      </c>
      <c r="D188" t="s">
        <v>2014</v>
      </c>
      <c r="E188" t="s">
        <v>2027</v>
      </c>
      <c r="F188" t="s">
        <v>2016</v>
      </c>
      <c r="G188">
        <v>131</v>
      </c>
      <c r="H188">
        <v>49387</v>
      </c>
      <c r="I188">
        <v>716</v>
      </c>
      <c r="J188">
        <v>279240</v>
      </c>
      <c r="K188">
        <v>457</v>
      </c>
      <c r="L188">
        <v>199709</v>
      </c>
      <c r="M188">
        <v>691</v>
      </c>
      <c r="N188">
        <v>249451</v>
      </c>
      <c r="O188">
        <v>309</v>
      </c>
      <c r="P188">
        <v>92700</v>
      </c>
      <c r="Q188">
        <v>344</v>
      </c>
      <c r="R188">
        <v>137944</v>
      </c>
      <c r="S188">
        <v>497</v>
      </c>
      <c r="T188">
        <v>182896</v>
      </c>
      <c r="U188">
        <v>328</v>
      </c>
      <c r="V188">
        <v>110864</v>
      </c>
      <c r="W188">
        <v>146</v>
      </c>
      <c r="X188">
        <v>65554</v>
      </c>
      <c r="Y188" s="26">
        <f t="shared" si="2"/>
        <v>3619</v>
      </c>
    </row>
    <row r="189" spans="1:25" x14ac:dyDescent="0.25">
      <c r="A189" t="s">
        <v>2390</v>
      </c>
      <c r="B189" t="s">
        <v>2391</v>
      </c>
      <c r="C189" s="22">
        <v>42229</v>
      </c>
      <c r="D189" t="s">
        <v>2014</v>
      </c>
      <c r="E189" t="s">
        <v>2027</v>
      </c>
      <c r="F189" t="s">
        <v>2016</v>
      </c>
      <c r="G189">
        <v>551</v>
      </c>
      <c r="H189">
        <v>203870</v>
      </c>
      <c r="I189">
        <v>323</v>
      </c>
      <c r="J189">
        <v>143412</v>
      </c>
      <c r="K189">
        <v>745</v>
      </c>
      <c r="L189">
        <v>256280</v>
      </c>
      <c r="M189">
        <v>353</v>
      </c>
      <c r="N189">
        <v>108724</v>
      </c>
      <c r="O189">
        <v>375</v>
      </c>
      <c r="P189">
        <v>167625</v>
      </c>
      <c r="Q189">
        <v>485</v>
      </c>
      <c r="R189">
        <v>161990</v>
      </c>
      <c r="S189">
        <v>641</v>
      </c>
      <c r="T189">
        <v>280758</v>
      </c>
      <c r="U189">
        <v>516</v>
      </c>
      <c r="V189">
        <v>154800</v>
      </c>
      <c r="W189">
        <v>769</v>
      </c>
      <c r="X189">
        <v>312214</v>
      </c>
      <c r="Y189" s="26">
        <f t="shared" si="2"/>
        <v>4758</v>
      </c>
    </row>
    <row r="190" spans="1:25" x14ac:dyDescent="0.25">
      <c r="A190" t="s">
        <v>2392</v>
      </c>
      <c r="B190" t="s">
        <v>2393</v>
      </c>
      <c r="C190" s="22">
        <v>43074</v>
      </c>
      <c r="D190" t="s">
        <v>2026</v>
      </c>
      <c r="E190" t="s">
        <v>2019</v>
      </c>
      <c r="F190" t="s">
        <v>2016</v>
      </c>
      <c r="G190">
        <v>422</v>
      </c>
      <c r="H190">
        <v>166690</v>
      </c>
      <c r="I190">
        <v>456</v>
      </c>
      <c r="J190">
        <v>169632</v>
      </c>
      <c r="K190">
        <v>415</v>
      </c>
      <c r="L190">
        <v>167660</v>
      </c>
      <c r="M190">
        <v>309</v>
      </c>
      <c r="N190">
        <v>138432</v>
      </c>
      <c r="O190">
        <v>290</v>
      </c>
      <c r="P190">
        <v>101500</v>
      </c>
      <c r="Q190">
        <v>264</v>
      </c>
      <c r="R190">
        <v>106656</v>
      </c>
      <c r="S190">
        <v>487</v>
      </c>
      <c r="T190">
        <v>194313</v>
      </c>
      <c r="U190">
        <v>606</v>
      </c>
      <c r="V190">
        <v>194526</v>
      </c>
      <c r="W190">
        <v>316</v>
      </c>
      <c r="X190">
        <v>130508</v>
      </c>
      <c r="Y190" s="26">
        <f t="shared" si="2"/>
        <v>3565</v>
      </c>
    </row>
    <row r="191" spans="1:25" x14ac:dyDescent="0.25">
      <c r="A191" t="s">
        <v>2394</v>
      </c>
      <c r="B191" t="s">
        <v>2395</v>
      </c>
      <c r="C191" s="22">
        <v>43492</v>
      </c>
      <c r="D191" t="s">
        <v>2026</v>
      </c>
      <c r="E191" t="s">
        <v>2027</v>
      </c>
      <c r="F191" t="s">
        <v>2016</v>
      </c>
      <c r="G191">
        <v>709</v>
      </c>
      <c r="H191">
        <v>304870</v>
      </c>
      <c r="I191">
        <v>726</v>
      </c>
      <c r="J191">
        <v>322344</v>
      </c>
      <c r="K191">
        <v>154</v>
      </c>
      <c r="L191">
        <v>59290</v>
      </c>
      <c r="M191">
        <v>468</v>
      </c>
      <c r="N191">
        <v>153972</v>
      </c>
      <c r="O191">
        <v>136</v>
      </c>
      <c r="P191">
        <v>57936</v>
      </c>
      <c r="Q191">
        <v>529</v>
      </c>
      <c r="R191">
        <v>161874</v>
      </c>
      <c r="S191">
        <v>100</v>
      </c>
      <c r="T191">
        <v>39800</v>
      </c>
      <c r="U191">
        <v>124</v>
      </c>
      <c r="V191">
        <v>48856</v>
      </c>
      <c r="W191">
        <v>106</v>
      </c>
      <c r="X191">
        <v>45368</v>
      </c>
      <c r="Y191" s="26">
        <f t="shared" si="2"/>
        <v>3052</v>
      </c>
    </row>
    <row r="192" spans="1:25" x14ac:dyDescent="0.25">
      <c r="A192" t="s">
        <v>2396</v>
      </c>
      <c r="B192" t="s">
        <v>2397</v>
      </c>
      <c r="C192" s="22">
        <v>42648</v>
      </c>
      <c r="D192" t="s">
        <v>2026</v>
      </c>
      <c r="E192" t="s">
        <v>2027</v>
      </c>
      <c r="F192" t="s">
        <v>2016</v>
      </c>
      <c r="G192">
        <v>734</v>
      </c>
      <c r="H192">
        <v>292866</v>
      </c>
      <c r="I192">
        <v>153</v>
      </c>
      <c r="J192">
        <v>62577</v>
      </c>
      <c r="K192">
        <v>306</v>
      </c>
      <c r="L192">
        <v>117810</v>
      </c>
      <c r="M192">
        <v>234</v>
      </c>
      <c r="N192">
        <v>75114</v>
      </c>
      <c r="O192">
        <v>580</v>
      </c>
      <c r="P192">
        <v>192560</v>
      </c>
      <c r="Q192">
        <v>362</v>
      </c>
      <c r="R192">
        <v>156746</v>
      </c>
      <c r="S192">
        <v>341</v>
      </c>
      <c r="T192">
        <v>153450</v>
      </c>
      <c r="U192">
        <v>698</v>
      </c>
      <c r="V192">
        <v>267334</v>
      </c>
      <c r="W192">
        <v>596</v>
      </c>
      <c r="X192">
        <v>240784</v>
      </c>
      <c r="Y192" s="26">
        <f t="shared" si="2"/>
        <v>4004</v>
      </c>
    </row>
    <row r="193" spans="1:25" x14ac:dyDescent="0.25">
      <c r="A193" t="s">
        <v>2398</v>
      </c>
      <c r="B193" t="s">
        <v>2399</v>
      </c>
      <c r="C193" s="22">
        <v>42048</v>
      </c>
      <c r="D193" t="s">
        <v>2014</v>
      </c>
      <c r="E193" t="s">
        <v>2015</v>
      </c>
      <c r="F193" t="s">
        <v>2016</v>
      </c>
      <c r="G193">
        <v>320</v>
      </c>
      <c r="H193">
        <v>106560</v>
      </c>
      <c r="I193">
        <v>541</v>
      </c>
      <c r="J193">
        <v>221269</v>
      </c>
      <c r="K193">
        <v>431</v>
      </c>
      <c r="L193">
        <v>189640</v>
      </c>
      <c r="M193">
        <v>465</v>
      </c>
      <c r="N193">
        <v>198090</v>
      </c>
      <c r="O193">
        <v>400</v>
      </c>
      <c r="P193">
        <v>175200</v>
      </c>
      <c r="Q193">
        <v>740</v>
      </c>
      <c r="R193">
        <v>283420</v>
      </c>
      <c r="S193">
        <v>635</v>
      </c>
      <c r="T193">
        <v>214630</v>
      </c>
      <c r="U193">
        <v>144</v>
      </c>
      <c r="V193">
        <v>49104</v>
      </c>
      <c r="W193">
        <v>161</v>
      </c>
      <c r="X193">
        <v>54096</v>
      </c>
      <c r="Y193" s="26">
        <f t="shared" si="2"/>
        <v>3837</v>
      </c>
    </row>
    <row r="194" spans="1:25" x14ac:dyDescent="0.25">
      <c r="A194" t="s">
        <v>2400</v>
      </c>
      <c r="B194" t="s">
        <v>2401</v>
      </c>
      <c r="C194" s="22">
        <v>43155</v>
      </c>
      <c r="D194" t="s">
        <v>2026</v>
      </c>
      <c r="E194" t="s">
        <v>2015</v>
      </c>
      <c r="F194" t="s">
        <v>2016</v>
      </c>
      <c r="G194">
        <v>440</v>
      </c>
      <c r="H194">
        <v>154000</v>
      </c>
      <c r="I194">
        <v>712</v>
      </c>
      <c r="J194">
        <v>311144</v>
      </c>
      <c r="K194">
        <v>311</v>
      </c>
      <c r="L194">
        <v>102008</v>
      </c>
      <c r="M194">
        <v>125</v>
      </c>
      <c r="N194">
        <v>52125</v>
      </c>
      <c r="O194">
        <v>673</v>
      </c>
      <c r="P194">
        <v>278622</v>
      </c>
      <c r="Q194">
        <v>332</v>
      </c>
      <c r="R194">
        <v>128484</v>
      </c>
      <c r="S194">
        <v>259</v>
      </c>
      <c r="T194">
        <v>112147</v>
      </c>
      <c r="U194">
        <v>247</v>
      </c>
      <c r="V194">
        <v>110656</v>
      </c>
      <c r="W194">
        <v>670</v>
      </c>
      <c r="X194">
        <v>221100</v>
      </c>
      <c r="Y194" s="26">
        <f t="shared" si="2"/>
        <v>3769</v>
      </c>
    </row>
    <row r="195" spans="1:25" x14ac:dyDescent="0.25">
      <c r="A195" t="s">
        <v>2402</v>
      </c>
      <c r="B195" t="s">
        <v>2403</v>
      </c>
      <c r="C195" s="22">
        <v>43041</v>
      </c>
      <c r="D195" t="s">
        <v>2026</v>
      </c>
      <c r="E195" t="s">
        <v>2027</v>
      </c>
      <c r="F195" t="s">
        <v>2016</v>
      </c>
      <c r="G195">
        <v>378</v>
      </c>
      <c r="H195">
        <v>149310</v>
      </c>
      <c r="I195">
        <v>667</v>
      </c>
      <c r="J195">
        <v>234784</v>
      </c>
      <c r="K195">
        <v>425</v>
      </c>
      <c r="L195">
        <v>176800</v>
      </c>
      <c r="M195">
        <v>253</v>
      </c>
      <c r="N195">
        <v>98417</v>
      </c>
      <c r="O195">
        <v>731</v>
      </c>
      <c r="P195">
        <v>259505</v>
      </c>
      <c r="Q195">
        <v>329</v>
      </c>
      <c r="R195">
        <v>135548</v>
      </c>
      <c r="S195">
        <v>663</v>
      </c>
      <c r="T195">
        <v>228735</v>
      </c>
      <c r="U195">
        <v>679</v>
      </c>
      <c r="V195">
        <v>209811</v>
      </c>
      <c r="W195">
        <v>486</v>
      </c>
      <c r="X195">
        <v>193914</v>
      </c>
      <c r="Y195" s="26">
        <f t="shared" ref="Y195:Y258" si="3">SUMIF($G$1:$X$1,"Количество*",G195:X195)</f>
        <v>4611</v>
      </c>
    </row>
    <row r="196" spans="1:25" x14ac:dyDescent="0.25">
      <c r="A196" t="s">
        <v>2404</v>
      </c>
      <c r="B196" t="s">
        <v>2405</v>
      </c>
      <c r="C196" s="22">
        <v>42412</v>
      </c>
      <c r="D196" t="s">
        <v>2014</v>
      </c>
      <c r="E196" t="s">
        <v>2027</v>
      </c>
      <c r="F196" t="s">
        <v>2016</v>
      </c>
      <c r="G196">
        <v>601</v>
      </c>
      <c r="H196">
        <v>234991</v>
      </c>
      <c r="I196">
        <v>155</v>
      </c>
      <c r="J196">
        <v>63860</v>
      </c>
      <c r="K196">
        <v>364</v>
      </c>
      <c r="L196">
        <v>132496</v>
      </c>
      <c r="M196">
        <v>709</v>
      </c>
      <c r="N196">
        <v>255240</v>
      </c>
      <c r="O196">
        <v>394</v>
      </c>
      <c r="P196">
        <v>118200</v>
      </c>
      <c r="Q196">
        <v>528</v>
      </c>
      <c r="R196">
        <v>174240</v>
      </c>
      <c r="S196">
        <v>256</v>
      </c>
      <c r="T196">
        <v>114688</v>
      </c>
      <c r="U196">
        <v>635</v>
      </c>
      <c r="V196">
        <v>198120</v>
      </c>
      <c r="W196">
        <v>108</v>
      </c>
      <c r="X196">
        <v>35856</v>
      </c>
      <c r="Y196" s="26">
        <f t="shared" si="3"/>
        <v>3750</v>
      </c>
    </row>
    <row r="197" spans="1:25" x14ac:dyDescent="0.25">
      <c r="A197" t="s">
        <v>2406</v>
      </c>
      <c r="B197" t="s">
        <v>2407</v>
      </c>
      <c r="C197" s="22">
        <v>44010</v>
      </c>
      <c r="D197" t="s">
        <v>2026</v>
      </c>
      <c r="E197" t="s">
        <v>2019</v>
      </c>
      <c r="F197" t="s">
        <v>2016</v>
      </c>
      <c r="G197">
        <v>295</v>
      </c>
      <c r="H197">
        <v>91450</v>
      </c>
      <c r="I197">
        <v>300</v>
      </c>
      <c r="J197">
        <v>132900</v>
      </c>
      <c r="K197">
        <v>601</v>
      </c>
      <c r="L197">
        <v>200734</v>
      </c>
      <c r="M197">
        <v>656</v>
      </c>
      <c r="N197">
        <v>261744</v>
      </c>
      <c r="O197">
        <v>186</v>
      </c>
      <c r="P197">
        <v>81096</v>
      </c>
      <c r="Q197">
        <v>713</v>
      </c>
      <c r="R197">
        <v>312294</v>
      </c>
      <c r="S197">
        <v>583</v>
      </c>
      <c r="T197">
        <v>241945</v>
      </c>
      <c r="U197">
        <v>764</v>
      </c>
      <c r="V197">
        <v>243716</v>
      </c>
      <c r="W197">
        <v>348</v>
      </c>
      <c r="X197">
        <v>126672</v>
      </c>
      <c r="Y197" s="26">
        <f t="shared" si="3"/>
        <v>4446</v>
      </c>
    </row>
    <row r="198" spans="1:25" x14ac:dyDescent="0.25">
      <c r="A198" t="s">
        <v>2408</v>
      </c>
      <c r="B198" t="s">
        <v>2409</v>
      </c>
      <c r="C198" s="22">
        <v>44131</v>
      </c>
      <c r="D198" t="s">
        <v>2026</v>
      </c>
      <c r="E198" t="s">
        <v>2019</v>
      </c>
      <c r="F198" t="s">
        <v>2016</v>
      </c>
      <c r="G198">
        <v>688</v>
      </c>
      <c r="H198">
        <v>247680</v>
      </c>
      <c r="I198">
        <v>619</v>
      </c>
      <c r="J198">
        <v>227173</v>
      </c>
      <c r="K198">
        <v>274</v>
      </c>
      <c r="L198">
        <v>84666</v>
      </c>
      <c r="M198">
        <v>112</v>
      </c>
      <c r="N198">
        <v>48720</v>
      </c>
      <c r="O198">
        <v>675</v>
      </c>
      <c r="P198">
        <v>220050</v>
      </c>
      <c r="Q198">
        <v>131</v>
      </c>
      <c r="R198">
        <v>48470</v>
      </c>
      <c r="S198">
        <v>194</v>
      </c>
      <c r="T198">
        <v>59170</v>
      </c>
      <c r="U198">
        <v>110</v>
      </c>
      <c r="V198">
        <v>37510</v>
      </c>
      <c r="W198">
        <v>767</v>
      </c>
      <c r="X198">
        <v>252343</v>
      </c>
      <c r="Y198" s="26">
        <f t="shared" si="3"/>
        <v>3570</v>
      </c>
    </row>
    <row r="199" spans="1:25" x14ac:dyDescent="0.25">
      <c r="A199" t="s">
        <v>2410</v>
      </c>
      <c r="B199" t="s">
        <v>2411</v>
      </c>
      <c r="C199" s="22">
        <v>42869</v>
      </c>
      <c r="D199" t="s">
        <v>2014</v>
      </c>
      <c r="E199" t="s">
        <v>2027</v>
      </c>
      <c r="F199" t="s">
        <v>2016</v>
      </c>
      <c r="G199">
        <v>311</v>
      </c>
      <c r="H199">
        <v>111649</v>
      </c>
      <c r="I199">
        <v>210</v>
      </c>
      <c r="J199">
        <v>63000</v>
      </c>
      <c r="K199">
        <v>497</v>
      </c>
      <c r="L199">
        <v>216195</v>
      </c>
      <c r="M199">
        <v>465</v>
      </c>
      <c r="N199">
        <v>205065</v>
      </c>
      <c r="O199">
        <v>527</v>
      </c>
      <c r="P199">
        <v>199206</v>
      </c>
      <c r="Q199">
        <v>130</v>
      </c>
      <c r="R199">
        <v>54080</v>
      </c>
      <c r="S199">
        <v>426</v>
      </c>
      <c r="T199">
        <v>172104</v>
      </c>
      <c r="U199">
        <v>664</v>
      </c>
      <c r="V199">
        <v>223104</v>
      </c>
      <c r="W199">
        <v>289</v>
      </c>
      <c r="X199">
        <v>103462</v>
      </c>
      <c r="Y199" s="26">
        <f t="shared" si="3"/>
        <v>3519</v>
      </c>
    </row>
    <row r="200" spans="1:25" x14ac:dyDescent="0.25">
      <c r="A200" t="s">
        <v>2412</v>
      </c>
      <c r="B200" t="s">
        <v>2413</v>
      </c>
      <c r="C200" s="22">
        <v>42923</v>
      </c>
      <c r="D200" t="s">
        <v>2014</v>
      </c>
      <c r="E200" t="s">
        <v>2027</v>
      </c>
      <c r="F200" t="s">
        <v>2016</v>
      </c>
      <c r="G200">
        <v>788</v>
      </c>
      <c r="H200">
        <v>294712</v>
      </c>
      <c r="I200">
        <v>612</v>
      </c>
      <c r="J200">
        <v>274176</v>
      </c>
      <c r="K200">
        <v>164</v>
      </c>
      <c r="L200">
        <v>58548</v>
      </c>
      <c r="M200">
        <v>566</v>
      </c>
      <c r="N200">
        <v>192440</v>
      </c>
      <c r="O200">
        <v>206</v>
      </c>
      <c r="P200">
        <v>92288</v>
      </c>
      <c r="Q200">
        <v>113</v>
      </c>
      <c r="R200">
        <v>48025</v>
      </c>
      <c r="S200">
        <v>205</v>
      </c>
      <c r="T200">
        <v>83640</v>
      </c>
      <c r="U200">
        <v>726</v>
      </c>
      <c r="V200">
        <v>278784</v>
      </c>
      <c r="W200">
        <v>128</v>
      </c>
      <c r="X200">
        <v>54528</v>
      </c>
      <c r="Y200" s="26">
        <f t="shared" si="3"/>
        <v>3508</v>
      </c>
    </row>
    <row r="201" spans="1:25" x14ac:dyDescent="0.25">
      <c r="A201" t="s">
        <v>2414</v>
      </c>
      <c r="B201" t="s">
        <v>2415</v>
      </c>
      <c r="C201" s="22">
        <v>43312</v>
      </c>
      <c r="D201" t="s">
        <v>2026</v>
      </c>
      <c r="E201" t="s">
        <v>2015</v>
      </c>
      <c r="F201" t="s">
        <v>2016</v>
      </c>
      <c r="G201">
        <v>401</v>
      </c>
      <c r="H201">
        <v>177242</v>
      </c>
      <c r="I201">
        <v>123</v>
      </c>
      <c r="J201">
        <v>54243</v>
      </c>
      <c r="K201">
        <v>603</v>
      </c>
      <c r="L201">
        <v>230949</v>
      </c>
      <c r="M201">
        <v>376</v>
      </c>
      <c r="N201">
        <v>145512</v>
      </c>
      <c r="O201">
        <v>797</v>
      </c>
      <c r="P201">
        <v>266198</v>
      </c>
      <c r="Q201">
        <v>578</v>
      </c>
      <c r="R201">
        <v>216172</v>
      </c>
      <c r="S201">
        <v>478</v>
      </c>
      <c r="T201">
        <v>159652</v>
      </c>
      <c r="U201">
        <v>585</v>
      </c>
      <c r="V201">
        <v>260910</v>
      </c>
      <c r="W201">
        <v>720</v>
      </c>
      <c r="X201">
        <v>237600</v>
      </c>
      <c r="Y201" s="26">
        <f t="shared" si="3"/>
        <v>4661</v>
      </c>
    </row>
    <row r="202" spans="1:25" x14ac:dyDescent="0.25">
      <c r="A202" t="s">
        <v>2012</v>
      </c>
      <c r="B202" t="s">
        <v>2013</v>
      </c>
      <c r="C202" s="22">
        <v>42484</v>
      </c>
      <c r="D202" t="s">
        <v>2014</v>
      </c>
      <c r="E202" t="s">
        <v>2015</v>
      </c>
      <c r="F202" t="s">
        <v>2416</v>
      </c>
      <c r="G202">
        <v>45</v>
      </c>
      <c r="H202">
        <v>18945</v>
      </c>
      <c r="I202">
        <v>41</v>
      </c>
      <c r="J202">
        <v>19311</v>
      </c>
      <c r="K202">
        <v>31</v>
      </c>
      <c r="L202">
        <v>12803</v>
      </c>
      <c r="M202">
        <v>29</v>
      </c>
      <c r="N202">
        <v>12760</v>
      </c>
      <c r="O202">
        <v>36</v>
      </c>
      <c r="P202">
        <v>18648</v>
      </c>
      <c r="Q202">
        <v>32</v>
      </c>
      <c r="R202">
        <v>15488</v>
      </c>
      <c r="S202">
        <v>758</v>
      </c>
      <c r="T202">
        <v>274396</v>
      </c>
      <c r="U202">
        <v>619</v>
      </c>
      <c r="V202">
        <v>232744</v>
      </c>
      <c r="W202">
        <v>356</v>
      </c>
      <c r="X202">
        <v>134212</v>
      </c>
      <c r="Y202" s="26">
        <f t="shared" si="3"/>
        <v>1947</v>
      </c>
    </row>
    <row r="203" spans="1:25" x14ac:dyDescent="0.25">
      <c r="A203" t="s">
        <v>2017</v>
      </c>
      <c r="B203" t="s">
        <v>2018</v>
      </c>
      <c r="C203" s="22">
        <v>42609</v>
      </c>
      <c r="D203" t="s">
        <v>2014</v>
      </c>
      <c r="E203" t="s">
        <v>2019</v>
      </c>
      <c r="F203" t="s">
        <v>2416</v>
      </c>
      <c r="G203">
        <v>67</v>
      </c>
      <c r="H203">
        <v>27403</v>
      </c>
      <c r="I203">
        <v>9</v>
      </c>
      <c r="J203">
        <v>3699</v>
      </c>
      <c r="K203">
        <v>19</v>
      </c>
      <c r="L203">
        <v>10393</v>
      </c>
      <c r="M203">
        <v>56</v>
      </c>
      <c r="N203">
        <v>23072</v>
      </c>
      <c r="O203">
        <v>32</v>
      </c>
      <c r="P203">
        <v>14400</v>
      </c>
      <c r="Q203">
        <v>24</v>
      </c>
      <c r="R203">
        <v>12744</v>
      </c>
      <c r="S203">
        <v>659</v>
      </c>
      <c r="T203">
        <v>250420</v>
      </c>
      <c r="U203">
        <v>672</v>
      </c>
      <c r="V203">
        <v>245280</v>
      </c>
      <c r="W203">
        <v>343</v>
      </c>
      <c r="X203">
        <v>112161</v>
      </c>
      <c r="Y203" s="26">
        <f t="shared" si="3"/>
        <v>1881</v>
      </c>
    </row>
    <row r="204" spans="1:25" x14ac:dyDescent="0.25">
      <c r="A204" t="s">
        <v>2020</v>
      </c>
      <c r="B204" t="s">
        <v>2021</v>
      </c>
      <c r="C204" s="22">
        <v>43385</v>
      </c>
      <c r="D204" t="s">
        <v>2014</v>
      </c>
      <c r="E204" t="s">
        <v>2015</v>
      </c>
      <c r="F204" t="s">
        <v>2416</v>
      </c>
      <c r="G204">
        <v>44</v>
      </c>
      <c r="H204">
        <v>17820</v>
      </c>
      <c r="I204">
        <v>65</v>
      </c>
      <c r="J204">
        <v>26325</v>
      </c>
      <c r="K204">
        <v>69</v>
      </c>
      <c r="L204">
        <v>29394</v>
      </c>
      <c r="M204">
        <v>39</v>
      </c>
      <c r="N204">
        <v>17394</v>
      </c>
      <c r="O204">
        <v>18</v>
      </c>
      <c r="P204">
        <v>9054</v>
      </c>
      <c r="Q204">
        <v>55</v>
      </c>
      <c r="R204">
        <v>25355</v>
      </c>
      <c r="S204">
        <v>154</v>
      </c>
      <c r="T204">
        <v>52206</v>
      </c>
      <c r="U204">
        <v>732</v>
      </c>
      <c r="V204">
        <v>271572</v>
      </c>
      <c r="W204">
        <v>103</v>
      </c>
      <c r="X204">
        <v>39758</v>
      </c>
      <c r="Y204" s="26">
        <f t="shared" si="3"/>
        <v>1279</v>
      </c>
    </row>
    <row r="205" spans="1:25" x14ac:dyDescent="0.25">
      <c r="A205" t="s">
        <v>2022</v>
      </c>
      <c r="B205" t="s">
        <v>2023</v>
      </c>
      <c r="C205" s="22">
        <v>42908</v>
      </c>
      <c r="D205" t="s">
        <v>2014</v>
      </c>
      <c r="E205" t="s">
        <v>2019</v>
      </c>
      <c r="F205" t="s">
        <v>2416</v>
      </c>
      <c r="G205">
        <v>66</v>
      </c>
      <c r="H205">
        <v>30228</v>
      </c>
      <c r="I205">
        <v>69</v>
      </c>
      <c r="J205">
        <v>29256</v>
      </c>
      <c r="K205">
        <v>65</v>
      </c>
      <c r="L205">
        <v>29640</v>
      </c>
      <c r="M205">
        <v>40</v>
      </c>
      <c r="N205">
        <v>18000</v>
      </c>
      <c r="O205">
        <v>0</v>
      </c>
      <c r="P205">
        <v>0</v>
      </c>
      <c r="Q205">
        <v>17</v>
      </c>
      <c r="R205">
        <v>7361</v>
      </c>
      <c r="S205">
        <v>25</v>
      </c>
      <c r="T205">
        <v>11325</v>
      </c>
      <c r="U205">
        <v>22</v>
      </c>
      <c r="V205">
        <v>10252</v>
      </c>
      <c r="W205">
        <v>60</v>
      </c>
      <c r="X205">
        <v>28320</v>
      </c>
      <c r="Y205" s="26">
        <f t="shared" si="3"/>
        <v>364</v>
      </c>
    </row>
    <row r="206" spans="1:25" x14ac:dyDescent="0.25">
      <c r="A206" t="s">
        <v>2024</v>
      </c>
      <c r="B206" t="s">
        <v>2025</v>
      </c>
      <c r="C206" s="22">
        <v>42104</v>
      </c>
      <c r="D206" t="s">
        <v>2026</v>
      </c>
      <c r="E206" t="s">
        <v>2027</v>
      </c>
      <c r="F206" t="s">
        <v>2416</v>
      </c>
      <c r="G206">
        <v>19</v>
      </c>
      <c r="H206">
        <v>7980</v>
      </c>
      <c r="I206">
        <v>59</v>
      </c>
      <c r="J206">
        <v>23836</v>
      </c>
      <c r="K206">
        <v>66</v>
      </c>
      <c r="L206">
        <v>28974</v>
      </c>
      <c r="M206">
        <v>67</v>
      </c>
      <c r="N206">
        <v>29011</v>
      </c>
      <c r="O206">
        <v>27</v>
      </c>
      <c r="P206">
        <v>12960</v>
      </c>
      <c r="Q206">
        <v>60</v>
      </c>
      <c r="R206">
        <v>27360</v>
      </c>
      <c r="S206">
        <v>10</v>
      </c>
      <c r="T206">
        <v>5230</v>
      </c>
      <c r="U206">
        <v>48</v>
      </c>
      <c r="V206">
        <v>24768</v>
      </c>
      <c r="W206">
        <v>21</v>
      </c>
      <c r="X206">
        <v>9576</v>
      </c>
      <c r="Y206" s="26">
        <f t="shared" si="3"/>
        <v>377</v>
      </c>
    </row>
    <row r="207" spans="1:25" x14ac:dyDescent="0.25">
      <c r="A207" t="s">
        <v>2028</v>
      </c>
      <c r="B207" t="s">
        <v>2029</v>
      </c>
      <c r="C207" s="22">
        <v>44108</v>
      </c>
      <c r="D207" t="s">
        <v>2026</v>
      </c>
      <c r="E207" t="s">
        <v>2027</v>
      </c>
      <c r="F207" t="s">
        <v>2416</v>
      </c>
      <c r="G207">
        <v>49</v>
      </c>
      <c r="H207">
        <v>21756</v>
      </c>
      <c r="I207">
        <v>42</v>
      </c>
      <c r="J207">
        <v>22848</v>
      </c>
      <c r="K207">
        <v>13</v>
      </c>
      <c r="L207">
        <v>6201</v>
      </c>
      <c r="M207">
        <v>64</v>
      </c>
      <c r="N207">
        <v>33216</v>
      </c>
      <c r="O207">
        <v>40</v>
      </c>
      <c r="P207">
        <v>16040</v>
      </c>
      <c r="Q207">
        <v>58</v>
      </c>
      <c r="R207">
        <v>25056</v>
      </c>
      <c r="S207">
        <v>17</v>
      </c>
      <c r="T207">
        <v>7072</v>
      </c>
      <c r="U207">
        <v>64</v>
      </c>
      <c r="V207">
        <v>28032</v>
      </c>
      <c r="W207">
        <v>33</v>
      </c>
      <c r="X207">
        <v>17325</v>
      </c>
      <c r="Y207" s="26">
        <f t="shared" si="3"/>
        <v>380</v>
      </c>
    </row>
    <row r="208" spans="1:25" x14ac:dyDescent="0.25">
      <c r="A208" t="s">
        <v>2030</v>
      </c>
      <c r="B208" t="s">
        <v>2031</v>
      </c>
      <c r="C208" s="22">
        <v>42806</v>
      </c>
      <c r="D208" t="s">
        <v>2026</v>
      </c>
      <c r="E208" t="s">
        <v>2027</v>
      </c>
      <c r="F208" t="s">
        <v>2416</v>
      </c>
      <c r="G208">
        <v>73</v>
      </c>
      <c r="H208">
        <v>29930</v>
      </c>
      <c r="I208">
        <v>70</v>
      </c>
      <c r="J208">
        <v>29960</v>
      </c>
      <c r="K208">
        <v>72</v>
      </c>
      <c r="L208">
        <v>39312</v>
      </c>
      <c r="M208">
        <v>75</v>
      </c>
      <c r="N208">
        <v>38700</v>
      </c>
      <c r="O208">
        <v>50</v>
      </c>
      <c r="P208">
        <v>23950</v>
      </c>
      <c r="Q208">
        <v>51</v>
      </c>
      <c r="R208">
        <v>24786</v>
      </c>
      <c r="S208">
        <v>43</v>
      </c>
      <c r="T208">
        <v>20984</v>
      </c>
      <c r="U208">
        <v>76</v>
      </c>
      <c r="V208">
        <v>37392</v>
      </c>
      <c r="W208">
        <v>17</v>
      </c>
      <c r="X208">
        <v>7973</v>
      </c>
      <c r="Y208" s="26">
        <f t="shared" si="3"/>
        <v>527</v>
      </c>
    </row>
    <row r="209" spans="1:25" x14ac:dyDescent="0.25">
      <c r="A209" t="s">
        <v>2032</v>
      </c>
      <c r="B209" t="s">
        <v>2033</v>
      </c>
      <c r="C209" s="22">
        <v>42736</v>
      </c>
      <c r="D209" t="s">
        <v>2014</v>
      </c>
      <c r="E209" t="s">
        <v>2015</v>
      </c>
      <c r="F209" t="s">
        <v>2416</v>
      </c>
      <c r="G209">
        <v>29</v>
      </c>
      <c r="H209">
        <v>14007</v>
      </c>
      <c r="I209">
        <v>48</v>
      </c>
      <c r="J209">
        <v>22080</v>
      </c>
      <c r="K209">
        <v>18</v>
      </c>
      <c r="L209">
        <v>9522</v>
      </c>
      <c r="M209">
        <v>63</v>
      </c>
      <c r="N209">
        <v>25452</v>
      </c>
      <c r="O209">
        <v>17</v>
      </c>
      <c r="P209">
        <v>9197</v>
      </c>
      <c r="Q209">
        <v>69</v>
      </c>
      <c r="R209">
        <v>31947</v>
      </c>
      <c r="S209">
        <v>29</v>
      </c>
      <c r="T209">
        <v>13978</v>
      </c>
      <c r="U209">
        <v>32</v>
      </c>
      <c r="V209">
        <v>15680</v>
      </c>
      <c r="W209">
        <v>28</v>
      </c>
      <c r="X209">
        <v>12684</v>
      </c>
      <c r="Y209" s="26">
        <f t="shared" si="3"/>
        <v>333</v>
      </c>
    </row>
    <row r="210" spans="1:25" x14ac:dyDescent="0.25">
      <c r="A210" t="s">
        <v>2034</v>
      </c>
      <c r="B210" t="s">
        <v>2035</v>
      </c>
      <c r="C210" s="22">
        <v>43556</v>
      </c>
      <c r="D210" t="s">
        <v>2014</v>
      </c>
      <c r="E210" t="s">
        <v>2019</v>
      </c>
      <c r="F210" t="s">
        <v>2416</v>
      </c>
      <c r="G210">
        <v>64</v>
      </c>
      <c r="H210">
        <v>26880</v>
      </c>
      <c r="I210">
        <v>56</v>
      </c>
      <c r="J210">
        <v>26040</v>
      </c>
      <c r="K210">
        <v>46</v>
      </c>
      <c r="L210">
        <v>18860</v>
      </c>
      <c r="M210">
        <v>46</v>
      </c>
      <c r="N210">
        <v>23736</v>
      </c>
      <c r="O210">
        <v>28</v>
      </c>
      <c r="P210">
        <v>13356</v>
      </c>
      <c r="Q210">
        <v>58</v>
      </c>
      <c r="R210">
        <v>27260</v>
      </c>
      <c r="S210">
        <v>53</v>
      </c>
      <c r="T210">
        <v>27984</v>
      </c>
      <c r="U210">
        <v>66</v>
      </c>
      <c r="V210">
        <v>34914</v>
      </c>
      <c r="W210">
        <v>63</v>
      </c>
      <c r="X210">
        <v>32508</v>
      </c>
      <c r="Y210" s="26">
        <f t="shared" si="3"/>
        <v>480</v>
      </c>
    </row>
    <row r="211" spans="1:25" x14ac:dyDescent="0.25">
      <c r="A211" t="s">
        <v>2036</v>
      </c>
      <c r="B211" t="s">
        <v>2037</v>
      </c>
      <c r="C211" s="22">
        <v>43747</v>
      </c>
      <c r="D211" t="s">
        <v>2026</v>
      </c>
      <c r="E211" t="s">
        <v>2015</v>
      </c>
      <c r="F211" t="s">
        <v>2416</v>
      </c>
      <c r="G211">
        <v>2</v>
      </c>
      <c r="H211">
        <v>938</v>
      </c>
      <c r="I211">
        <v>2</v>
      </c>
      <c r="J211">
        <v>1030</v>
      </c>
      <c r="K211">
        <v>65</v>
      </c>
      <c r="L211">
        <v>33605</v>
      </c>
      <c r="M211">
        <v>16</v>
      </c>
      <c r="N211">
        <v>8368</v>
      </c>
      <c r="O211">
        <v>25</v>
      </c>
      <c r="P211">
        <v>12525</v>
      </c>
      <c r="Q211">
        <v>68</v>
      </c>
      <c r="R211">
        <v>35496</v>
      </c>
      <c r="S211">
        <v>62</v>
      </c>
      <c r="T211">
        <v>32736</v>
      </c>
      <c r="U211">
        <v>52</v>
      </c>
      <c r="V211">
        <v>21996</v>
      </c>
      <c r="W211">
        <v>7</v>
      </c>
      <c r="X211">
        <v>2807</v>
      </c>
      <c r="Y211" s="26">
        <f t="shared" si="3"/>
        <v>299</v>
      </c>
    </row>
    <row r="212" spans="1:25" x14ac:dyDescent="0.25">
      <c r="A212" t="s">
        <v>2038</v>
      </c>
      <c r="B212" t="s">
        <v>2039</v>
      </c>
      <c r="C212" s="22">
        <v>44073</v>
      </c>
      <c r="D212" t="s">
        <v>2026</v>
      </c>
      <c r="E212" t="s">
        <v>2015</v>
      </c>
      <c r="F212" t="s">
        <v>2416</v>
      </c>
      <c r="G212">
        <v>26</v>
      </c>
      <c r="H212">
        <v>14118</v>
      </c>
      <c r="I212">
        <v>72</v>
      </c>
      <c r="J212">
        <v>29592</v>
      </c>
      <c r="K212">
        <v>4</v>
      </c>
      <c r="L212">
        <v>1672</v>
      </c>
      <c r="M212">
        <v>39</v>
      </c>
      <c r="N212">
        <v>20397</v>
      </c>
      <c r="O212">
        <v>27</v>
      </c>
      <c r="P212">
        <v>14283</v>
      </c>
      <c r="Q212">
        <v>5</v>
      </c>
      <c r="R212">
        <v>2395</v>
      </c>
      <c r="S212">
        <v>8</v>
      </c>
      <c r="T212">
        <v>4352</v>
      </c>
      <c r="U212">
        <v>72</v>
      </c>
      <c r="V212">
        <v>32904</v>
      </c>
      <c r="W212">
        <v>69</v>
      </c>
      <c r="X212">
        <v>30153</v>
      </c>
      <c r="Y212" s="26">
        <f t="shared" si="3"/>
        <v>322</v>
      </c>
    </row>
    <row r="213" spans="1:25" x14ac:dyDescent="0.25">
      <c r="A213" t="s">
        <v>2040</v>
      </c>
      <c r="B213" t="s">
        <v>2041</v>
      </c>
      <c r="C213" s="22">
        <v>43435</v>
      </c>
      <c r="D213" t="s">
        <v>2026</v>
      </c>
      <c r="E213" t="s">
        <v>2015</v>
      </c>
      <c r="F213" t="s">
        <v>2416</v>
      </c>
      <c r="G213">
        <v>0</v>
      </c>
      <c r="H213">
        <v>0</v>
      </c>
      <c r="I213">
        <v>23</v>
      </c>
      <c r="J213">
        <v>10833</v>
      </c>
      <c r="K213">
        <v>19</v>
      </c>
      <c r="L213">
        <v>8227</v>
      </c>
      <c r="M213">
        <v>33</v>
      </c>
      <c r="N213">
        <v>16995</v>
      </c>
      <c r="O213">
        <v>67</v>
      </c>
      <c r="P213">
        <v>35041</v>
      </c>
      <c r="Q213">
        <v>15</v>
      </c>
      <c r="R213">
        <v>7170</v>
      </c>
      <c r="S213">
        <v>45</v>
      </c>
      <c r="T213">
        <v>20385</v>
      </c>
      <c r="U213">
        <v>8</v>
      </c>
      <c r="V213">
        <v>4216</v>
      </c>
      <c r="W213">
        <v>53</v>
      </c>
      <c r="X213">
        <v>28991</v>
      </c>
      <c r="Y213" s="26">
        <f t="shared" si="3"/>
        <v>263</v>
      </c>
    </row>
    <row r="214" spans="1:25" x14ac:dyDescent="0.25">
      <c r="A214" t="s">
        <v>2042</v>
      </c>
      <c r="B214" t="s">
        <v>2043</v>
      </c>
      <c r="C214" s="22">
        <v>42229</v>
      </c>
      <c r="D214" t="s">
        <v>2014</v>
      </c>
      <c r="E214" t="s">
        <v>2027</v>
      </c>
      <c r="F214" t="s">
        <v>2416</v>
      </c>
      <c r="G214">
        <v>60</v>
      </c>
      <c r="H214">
        <v>27960</v>
      </c>
      <c r="I214">
        <v>22</v>
      </c>
      <c r="J214">
        <v>11264</v>
      </c>
      <c r="K214">
        <v>61</v>
      </c>
      <c r="L214">
        <v>29951</v>
      </c>
      <c r="M214">
        <v>2</v>
      </c>
      <c r="N214">
        <v>808</v>
      </c>
      <c r="O214">
        <v>28</v>
      </c>
      <c r="P214">
        <v>11900</v>
      </c>
      <c r="Q214">
        <v>69</v>
      </c>
      <c r="R214">
        <v>32430</v>
      </c>
      <c r="S214">
        <v>52</v>
      </c>
      <c r="T214">
        <v>23036</v>
      </c>
      <c r="U214">
        <v>68</v>
      </c>
      <c r="V214">
        <v>27268</v>
      </c>
      <c r="W214">
        <v>48</v>
      </c>
      <c r="X214">
        <v>21792</v>
      </c>
      <c r="Y214" s="26">
        <f t="shared" si="3"/>
        <v>410</v>
      </c>
    </row>
    <row r="215" spans="1:25" x14ac:dyDescent="0.25">
      <c r="A215" t="s">
        <v>2044</v>
      </c>
      <c r="B215" t="s">
        <v>2045</v>
      </c>
      <c r="C215" s="22">
        <v>43695</v>
      </c>
      <c r="D215" t="s">
        <v>2026</v>
      </c>
      <c r="E215" t="s">
        <v>2015</v>
      </c>
      <c r="F215" t="s">
        <v>2416</v>
      </c>
      <c r="G215">
        <v>15</v>
      </c>
      <c r="H215">
        <v>7680</v>
      </c>
      <c r="I215">
        <v>25</v>
      </c>
      <c r="J215">
        <v>13550</v>
      </c>
      <c r="K215">
        <v>18</v>
      </c>
      <c r="L215">
        <v>8208</v>
      </c>
      <c r="M215">
        <v>54</v>
      </c>
      <c r="N215">
        <v>27648</v>
      </c>
      <c r="O215">
        <v>71</v>
      </c>
      <c r="P215">
        <v>29607</v>
      </c>
      <c r="Q215">
        <v>25</v>
      </c>
      <c r="R215">
        <v>12400</v>
      </c>
      <c r="S215">
        <v>30</v>
      </c>
      <c r="T215">
        <v>14880</v>
      </c>
      <c r="U215">
        <v>57</v>
      </c>
      <c r="V215">
        <v>23484</v>
      </c>
      <c r="W215">
        <v>38</v>
      </c>
      <c r="X215">
        <v>16986</v>
      </c>
      <c r="Y215" s="26">
        <f t="shared" si="3"/>
        <v>333</v>
      </c>
    </row>
    <row r="216" spans="1:25" x14ac:dyDescent="0.25">
      <c r="A216" t="s">
        <v>2046</v>
      </c>
      <c r="B216" t="s">
        <v>2047</v>
      </c>
      <c r="C216" s="22">
        <v>42241</v>
      </c>
      <c r="D216" t="s">
        <v>2014</v>
      </c>
      <c r="E216" t="s">
        <v>2015</v>
      </c>
      <c r="F216" t="s">
        <v>2416</v>
      </c>
      <c r="G216">
        <v>17</v>
      </c>
      <c r="H216">
        <v>9248</v>
      </c>
      <c r="I216">
        <v>12</v>
      </c>
      <c r="J216">
        <v>6240</v>
      </c>
      <c r="K216">
        <v>52</v>
      </c>
      <c r="L216">
        <v>24180</v>
      </c>
      <c r="M216">
        <v>48</v>
      </c>
      <c r="N216">
        <v>24048</v>
      </c>
      <c r="O216">
        <v>54</v>
      </c>
      <c r="P216">
        <v>29646</v>
      </c>
      <c r="Q216">
        <v>38</v>
      </c>
      <c r="R216">
        <v>16036</v>
      </c>
      <c r="S216">
        <v>17</v>
      </c>
      <c r="T216">
        <v>6919</v>
      </c>
      <c r="U216">
        <v>35</v>
      </c>
      <c r="V216">
        <v>18830</v>
      </c>
      <c r="W216">
        <v>72</v>
      </c>
      <c r="X216">
        <v>32112</v>
      </c>
      <c r="Y216" s="26">
        <f t="shared" si="3"/>
        <v>345</v>
      </c>
    </row>
    <row r="217" spans="1:25" x14ac:dyDescent="0.25">
      <c r="A217" t="s">
        <v>2048</v>
      </c>
      <c r="B217" t="s">
        <v>2049</v>
      </c>
      <c r="C217" s="22">
        <v>42700</v>
      </c>
      <c r="D217" t="s">
        <v>2014</v>
      </c>
      <c r="E217" t="s">
        <v>2015</v>
      </c>
      <c r="F217" t="s">
        <v>2416</v>
      </c>
      <c r="G217">
        <v>6</v>
      </c>
      <c r="H217">
        <v>2898</v>
      </c>
      <c r="I217">
        <v>49</v>
      </c>
      <c r="J217">
        <v>23275</v>
      </c>
      <c r="K217">
        <v>32</v>
      </c>
      <c r="L217">
        <v>14144</v>
      </c>
      <c r="M217">
        <v>0</v>
      </c>
      <c r="N217">
        <v>0</v>
      </c>
      <c r="O217">
        <v>76</v>
      </c>
      <c r="P217">
        <v>32908</v>
      </c>
      <c r="Q217">
        <v>13</v>
      </c>
      <c r="R217">
        <v>5694</v>
      </c>
      <c r="S217">
        <v>76</v>
      </c>
      <c r="T217">
        <v>41268</v>
      </c>
      <c r="U217">
        <v>29</v>
      </c>
      <c r="V217">
        <v>13195</v>
      </c>
      <c r="W217">
        <v>68</v>
      </c>
      <c r="X217">
        <v>29988</v>
      </c>
      <c r="Y217" s="26">
        <f t="shared" si="3"/>
        <v>349</v>
      </c>
    </row>
    <row r="218" spans="1:25" x14ac:dyDescent="0.25">
      <c r="A218" t="s">
        <v>2050</v>
      </c>
      <c r="B218" t="s">
        <v>2051</v>
      </c>
      <c r="C218" s="22">
        <v>43442</v>
      </c>
      <c r="D218" t="s">
        <v>2014</v>
      </c>
      <c r="E218" t="s">
        <v>2019</v>
      </c>
      <c r="F218" t="s">
        <v>2416</v>
      </c>
      <c r="G218">
        <v>68</v>
      </c>
      <c r="H218">
        <v>28696</v>
      </c>
      <c r="I218">
        <v>34</v>
      </c>
      <c r="J218">
        <v>15300</v>
      </c>
      <c r="K218">
        <v>57</v>
      </c>
      <c r="L218">
        <v>29868</v>
      </c>
      <c r="M218">
        <v>18</v>
      </c>
      <c r="N218">
        <v>8064</v>
      </c>
      <c r="O218">
        <v>33</v>
      </c>
      <c r="P218">
        <v>13266</v>
      </c>
      <c r="Q218">
        <v>67</v>
      </c>
      <c r="R218">
        <v>27671</v>
      </c>
      <c r="S218">
        <v>73</v>
      </c>
      <c r="T218">
        <v>35332</v>
      </c>
      <c r="U218">
        <v>22</v>
      </c>
      <c r="V218">
        <v>10054</v>
      </c>
      <c r="W218">
        <v>32</v>
      </c>
      <c r="X218">
        <v>13568</v>
      </c>
      <c r="Y218" s="26">
        <f t="shared" si="3"/>
        <v>404</v>
      </c>
    </row>
    <row r="219" spans="1:25" x14ac:dyDescent="0.25">
      <c r="A219" t="s">
        <v>2052</v>
      </c>
      <c r="B219" t="s">
        <v>2053</v>
      </c>
      <c r="C219" s="22">
        <v>44110</v>
      </c>
      <c r="D219" t="s">
        <v>2026</v>
      </c>
      <c r="E219" t="s">
        <v>2019</v>
      </c>
      <c r="F219" t="s">
        <v>2416</v>
      </c>
      <c r="G219">
        <v>70</v>
      </c>
      <c r="H219">
        <v>30870</v>
      </c>
      <c r="I219">
        <v>32</v>
      </c>
      <c r="J219">
        <v>17440</v>
      </c>
      <c r="K219">
        <v>7</v>
      </c>
      <c r="L219">
        <v>3276</v>
      </c>
      <c r="M219">
        <v>69</v>
      </c>
      <c r="N219">
        <v>34086</v>
      </c>
      <c r="O219">
        <v>25</v>
      </c>
      <c r="P219">
        <v>11225</v>
      </c>
      <c r="Q219">
        <v>14</v>
      </c>
      <c r="R219">
        <v>6426</v>
      </c>
      <c r="S219">
        <v>32</v>
      </c>
      <c r="T219">
        <v>14912</v>
      </c>
      <c r="U219">
        <v>13</v>
      </c>
      <c r="V219">
        <v>6409</v>
      </c>
      <c r="W219">
        <v>71</v>
      </c>
      <c r="X219">
        <v>28471</v>
      </c>
      <c r="Y219" s="26">
        <f t="shared" si="3"/>
        <v>333</v>
      </c>
    </row>
    <row r="220" spans="1:25" x14ac:dyDescent="0.25">
      <c r="A220" t="s">
        <v>2054</v>
      </c>
      <c r="B220" t="s">
        <v>2055</v>
      </c>
      <c r="C220" s="22">
        <v>43417</v>
      </c>
      <c r="D220" t="s">
        <v>2014</v>
      </c>
      <c r="E220" t="s">
        <v>2019</v>
      </c>
      <c r="F220" t="s">
        <v>2416</v>
      </c>
      <c r="G220">
        <v>30</v>
      </c>
      <c r="H220">
        <v>15090</v>
      </c>
      <c r="I220">
        <v>7</v>
      </c>
      <c r="J220">
        <v>2891</v>
      </c>
      <c r="K220">
        <v>64</v>
      </c>
      <c r="L220">
        <v>30080</v>
      </c>
      <c r="M220">
        <v>68</v>
      </c>
      <c r="N220">
        <v>29988</v>
      </c>
      <c r="O220">
        <v>28</v>
      </c>
      <c r="P220">
        <v>13524</v>
      </c>
      <c r="Q220">
        <v>42</v>
      </c>
      <c r="R220">
        <v>17598</v>
      </c>
      <c r="S220">
        <v>52</v>
      </c>
      <c r="T220">
        <v>21944</v>
      </c>
      <c r="U220">
        <v>73</v>
      </c>
      <c r="V220">
        <v>30879</v>
      </c>
      <c r="W220">
        <v>6</v>
      </c>
      <c r="X220">
        <v>2490</v>
      </c>
      <c r="Y220" s="26">
        <f t="shared" si="3"/>
        <v>370</v>
      </c>
    </row>
    <row r="221" spans="1:25" x14ac:dyDescent="0.25">
      <c r="A221" t="s">
        <v>2056</v>
      </c>
      <c r="B221" t="s">
        <v>2057</v>
      </c>
      <c r="C221" s="22">
        <v>42169</v>
      </c>
      <c r="D221" t="s">
        <v>2026</v>
      </c>
      <c r="E221" t="s">
        <v>2019</v>
      </c>
      <c r="F221" t="s">
        <v>2416</v>
      </c>
      <c r="G221">
        <v>51</v>
      </c>
      <c r="H221">
        <v>21063</v>
      </c>
      <c r="I221">
        <v>45</v>
      </c>
      <c r="J221">
        <v>19395</v>
      </c>
      <c r="K221">
        <v>11</v>
      </c>
      <c r="L221">
        <v>5830</v>
      </c>
      <c r="M221">
        <v>24</v>
      </c>
      <c r="N221">
        <v>12504</v>
      </c>
      <c r="O221">
        <v>35</v>
      </c>
      <c r="P221">
        <v>17500</v>
      </c>
      <c r="Q221">
        <v>71</v>
      </c>
      <c r="R221">
        <v>32944</v>
      </c>
      <c r="S221">
        <v>7</v>
      </c>
      <c r="T221">
        <v>2933</v>
      </c>
      <c r="U221">
        <v>48</v>
      </c>
      <c r="V221">
        <v>20304</v>
      </c>
      <c r="W221">
        <v>23</v>
      </c>
      <c r="X221">
        <v>9821</v>
      </c>
      <c r="Y221" s="26">
        <f t="shared" si="3"/>
        <v>315</v>
      </c>
    </row>
    <row r="222" spans="1:25" x14ac:dyDescent="0.25">
      <c r="A222" t="s">
        <v>2058</v>
      </c>
      <c r="B222" t="s">
        <v>2059</v>
      </c>
      <c r="C222" s="22">
        <v>43086</v>
      </c>
      <c r="D222" t="s">
        <v>2026</v>
      </c>
      <c r="E222" t="s">
        <v>2027</v>
      </c>
      <c r="F222" t="s">
        <v>2416</v>
      </c>
      <c r="G222">
        <v>49</v>
      </c>
      <c r="H222">
        <v>25529</v>
      </c>
      <c r="I222">
        <v>56</v>
      </c>
      <c r="J222">
        <v>28056</v>
      </c>
      <c r="K222">
        <v>74</v>
      </c>
      <c r="L222">
        <v>40478</v>
      </c>
      <c r="M222">
        <v>76</v>
      </c>
      <c r="N222">
        <v>32300</v>
      </c>
      <c r="O222">
        <v>28</v>
      </c>
      <c r="P222">
        <v>12264</v>
      </c>
      <c r="Q222">
        <v>28</v>
      </c>
      <c r="R222">
        <v>12572</v>
      </c>
      <c r="S222">
        <v>25</v>
      </c>
      <c r="T222">
        <v>12825</v>
      </c>
      <c r="U222">
        <v>57</v>
      </c>
      <c r="V222">
        <v>25593</v>
      </c>
      <c r="W222">
        <v>33</v>
      </c>
      <c r="X222">
        <v>14685</v>
      </c>
      <c r="Y222" s="26">
        <f t="shared" si="3"/>
        <v>426</v>
      </c>
    </row>
    <row r="223" spans="1:25" x14ac:dyDescent="0.25">
      <c r="A223" t="s">
        <v>2060</v>
      </c>
      <c r="B223" t="s">
        <v>2061</v>
      </c>
      <c r="C223" s="22">
        <v>42569</v>
      </c>
      <c r="D223" t="s">
        <v>2026</v>
      </c>
      <c r="E223" t="s">
        <v>2015</v>
      </c>
      <c r="F223" t="s">
        <v>2416</v>
      </c>
      <c r="G223">
        <v>62</v>
      </c>
      <c r="H223">
        <v>31248</v>
      </c>
      <c r="I223">
        <v>2</v>
      </c>
      <c r="J223">
        <v>848</v>
      </c>
      <c r="K223">
        <v>58</v>
      </c>
      <c r="L223">
        <v>24534</v>
      </c>
      <c r="M223">
        <v>50</v>
      </c>
      <c r="N223">
        <v>26300</v>
      </c>
      <c r="O223">
        <v>10</v>
      </c>
      <c r="P223">
        <v>5300</v>
      </c>
      <c r="Q223">
        <v>23</v>
      </c>
      <c r="R223">
        <v>12650</v>
      </c>
      <c r="S223">
        <v>39</v>
      </c>
      <c r="T223">
        <v>20553</v>
      </c>
      <c r="U223">
        <v>64</v>
      </c>
      <c r="V223">
        <v>32512</v>
      </c>
      <c r="W223">
        <v>63</v>
      </c>
      <c r="X223">
        <v>34461</v>
      </c>
      <c r="Y223" s="26">
        <f t="shared" si="3"/>
        <v>371</v>
      </c>
    </row>
    <row r="224" spans="1:25" x14ac:dyDescent="0.25">
      <c r="A224" t="s">
        <v>2062</v>
      </c>
      <c r="B224" t="s">
        <v>2063</v>
      </c>
      <c r="C224" s="22">
        <v>43238</v>
      </c>
      <c r="D224" t="s">
        <v>2026</v>
      </c>
      <c r="E224" t="s">
        <v>2019</v>
      </c>
      <c r="F224" t="s">
        <v>2416</v>
      </c>
      <c r="G224">
        <v>30</v>
      </c>
      <c r="H224">
        <v>12960</v>
      </c>
      <c r="I224">
        <v>21</v>
      </c>
      <c r="J224">
        <v>11466</v>
      </c>
      <c r="K224">
        <v>4</v>
      </c>
      <c r="L224">
        <v>2048</v>
      </c>
      <c r="M224">
        <v>16</v>
      </c>
      <c r="N224">
        <v>7312</v>
      </c>
      <c r="O224">
        <v>11</v>
      </c>
      <c r="P224">
        <v>4840</v>
      </c>
      <c r="Q224">
        <v>70</v>
      </c>
      <c r="R224">
        <v>37940</v>
      </c>
      <c r="S224">
        <v>49</v>
      </c>
      <c r="T224">
        <v>23471</v>
      </c>
      <c r="U224">
        <v>24</v>
      </c>
      <c r="V224">
        <v>11352</v>
      </c>
      <c r="W224">
        <v>29</v>
      </c>
      <c r="X224">
        <v>12557</v>
      </c>
      <c r="Y224" s="26">
        <f t="shared" si="3"/>
        <v>254</v>
      </c>
    </row>
    <row r="225" spans="1:25" x14ac:dyDescent="0.25">
      <c r="A225" t="s">
        <v>2064</v>
      </c>
      <c r="B225" t="s">
        <v>2065</v>
      </c>
      <c r="C225" s="22">
        <v>42218</v>
      </c>
      <c r="D225" t="s">
        <v>2014</v>
      </c>
      <c r="E225" t="s">
        <v>2019</v>
      </c>
      <c r="F225" t="s">
        <v>2416</v>
      </c>
      <c r="G225">
        <v>33</v>
      </c>
      <c r="H225">
        <v>18150</v>
      </c>
      <c r="I225">
        <v>36</v>
      </c>
      <c r="J225">
        <v>19512</v>
      </c>
      <c r="K225">
        <v>17</v>
      </c>
      <c r="L225">
        <v>8041</v>
      </c>
      <c r="M225">
        <v>24</v>
      </c>
      <c r="N225">
        <v>11304</v>
      </c>
      <c r="O225">
        <v>52</v>
      </c>
      <c r="P225">
        <v>22672</v>
      </c>
      <c r="Q225">
        <v>31</v>
      </c>
      <c r="R225">
        <v>16895</v>
      </c>
      <c r="S225">
        <v>51</v>
      </c>
      <c r="T225">
        <v>21828</v>
      </c>
      <c r="U225">
        <v>62</v>
      </c>
      <c r="V225">
        <v>29078</v>
      </c>
      <c r="W225">
        <v>34</v>
      </c>
      <c r="X225">
        <v>18054</v>
      </c>
      <c r="Y225" s="26">
        <f t="shared" si="3"/>
        <v>340</v>
      </c>
    </row>
    <row r="226" spans="1:25" x14ac:dyDescent="0.25">
      <c r="A226" t="s">
        <v>2066</v>
      </c>
      <c r="B226" t="s">
        <v>2067</v>
      </c>
      <c r="C226" s="22">
        <v>43565</v>
      </c>
      <c r="D226" t="s">
        <v>2014</v>
      </c>
      <c r="E226" t="s">
        <v>2019</v>
      </c>
      <c r="F226" t="s">
        <v>2416</v>
      </c>
      <c r="G226">
        <v>1</v>
      </c>
      <c r="H226">
        <v>412</v>
      </c>
      <c r="I226">
        <v>23</v>
      </c>
      <c r="J226">
        <v>12558</v>
      </c>
      <c r="K226">
        <v>56</v>
      </c>
      <c r="L226">
        <v>24808</v>
      </c>
      <c r="M226">
        <v>48</v>
      </c>
      <c r="N226">
        <v>19440</v>
      </c>
      <c r="O226">
        <v>42</v>
      </c>
      <c r="P226">
        <v>18564</v>
      </c>
      <c r="Q226">
        <v>35</v>
      </c>
      <c r="R226">
        <v>14910</v>
      </c>
      <c r="S226">
        <v>35</v>
      </c>
      <c r="T226">
        <v>18480</v>
      </c>
      <c r="U226">
        <v>9</v>
      </c>
      <c r="V226">
        <v>4680</v>
      </c>
      <c r="W226">
        <v>15</v>
      </c>
      <c r="X226">
        <v>6150</v>
      </c>
      <c r="Y226" s="26">
        <f t="shared" si="3"/>
        <v>264</v>
      </c>
    </row>
    <row r="227" spans="1:25" x14ac:dyDescent="0.25">
      <c r="A227" t="s">
        <v>2068</v>
      </c>
      <c r="B227" t="s">
        <v>2069</v>
      </c>
      <c r="C227" s="22">
        <v>42643</v>
      </c>
      <c r="D227" t="s">
        <v>2026</v>
      </c>
      <c r="E227" t="s">
        <v>2019</v>
      </c>
      <c r="F227" t="s">
        <v>2416</v>
      </c>
      <c r="G227">
        <v>16</v>
      </c>
      <c r="H227">
        <v>6672</v>
      </c>
      <c r="I227">
        <v>46</v>
      </c>
      <c r="J227">
        <v>19918</v>
      </c>
      <c r="K227">
        <v>54</v>
      </c>
      <c r="L227">
        <v>25218</v>
      </c>
      <c r="M227">
        <v>3</v>
      </c>
      <c r="N227">
        <v>1260</v>
      </c>
      <c r="O227">
        <v>74</v>
      </c>
      <c r="P227">
        <v>37888</v>
      </c>
      <c r="Q227">
        <v>61</v>
      </c>
      <c r="R227">
        <v>32330</v>
      </c>
      <c r="S227">
        <v>37</v>
      </c>
      <c r="T227">
        <v>16946</v>
      </c>
      <c r="U227">
        <v>33</v>
      </c>
      <c r="V227">
        <v>14487</v>
      </c>
      <c r="W227">
        <v>22</v>
      </c>
      <c r="X227">
        <v>11132</v>
      </c>
      <c r="Y227" s="26">
        <f t="shared" si="3"/>
        <v>346</v>
      </c>
    </row>
    <row r="228" spans="1:25" x14ac:dyDescent="0.25">
      <c r="A228" t="s">
        <v>2070</v>
      </c>
      <c r="B228" t="s">
        <v>2071</v>
      </c>
      <c r="C228" s="22">
        <v>43025</v>
      </c>
      <c r="D228" t="s">
        <v>2014</v>
      </c>
      <c r="E228" t="s">
        <v>2015</v>
      </c>
      <c r="F228" t="s">
        <v>2416</v>
      </c>
      <c r="G228">
        <v>62</v>
      </c>
      <c r="H228">
        <v>31620</v>
      </c>
      <c r="I228">
        <v>68</v>
      </c>
      <c r="J228">
        <v>34884</v>
      </c>
      <c r="K228">
        <v>13</v>
      </c>
      <c r="L228">
        <v>5863</v>
      </c>
      <c r="M228">
        <v>41</v>
      </c>
      <c r="N228">
        <v>20951</v>
      </c>
      <c r="O228">
        <v>40</v>
      </c>
      <c r="P228">
        <v>20840</v>
      </c>
      <c r="Q228">
        <v>20</v>
      </c>
      <c r="R228">
        <v>8640</v>
      </c>
      <c r="S228">
        <v>35</v>
      </c>
      <c r="T228">
        <v>19110</v>
      </c>
      <c r="U228">
        <v>42</v>
      </c>
      <c r="V228">
        <v>22008</v>
      </c>
      <c r="W228">
        <v>4</v>
      </c>
      <c r="X228">
        <v>1820</v>
      </c>
      <c r="Y228" s="26">
        <f t="shared" si="3"/>
        <v>325</v>
      </c>
    </row>
    <row r="229" spans="1:25" x14ac:dyDescent="0.25">
      <c r="A229" t="s">
        <v>2072</v>
      </c>
      <c r="B229" t="s">
        <v>2073</v>
      </c>
      <c r="C229" s="22">
        <v>42917</v>
      </c>
      <c r="D229" t="s">
        <v>2026</v>
      </c>
      <c r="E229" t="s">
        <v>2015</v>
      </c>
      <c r="F229" t="s">
        <v>2416</v>
      </c>
      <c r="G229">
        <v>37</v>
      </c>
      <c r="H229">
        <v>16872</v>
      </c>
      <c r="I229">
        <v>64</v>
      </c>
      <c r="J229">
        <v>31168</v>
      </c>
      <c r="K229">
        <v>37</v>
      </c>
      <c r="L229">
        <v>16169</v>
      </c>
      <c r="M229">
        <v>73</v>
      </c>
      <c r="N229">
        <v>38763</v>
      </c>
      <c r="O229">
        <v>71</v>
      </c>
      <c r="P229">
        <v>35642</v>
      </c>
      <c r="Q229">
        <v>26</v>
      </c>
      <c r="R229">
        <v>10920</v>
      </c>
      <c r="S229">
        <v>42</v>
      </c>
      <c r="T229">
        <v>18900</v>
      </c>
      <c r="U229">
        <v>65</v>
      </c>
      <c r="V229">
        <v>30875</v>
      </c>
      <c r="W229">
        <v>58</v>
      </c>
      <c r="X229">
        <v>29696</v>
      </c>
      <c r="Y229" s="26">
        <f t="shared" si="3"/>
        <v>473</v>
      </c>
    </row>
    <row r="230" spans="1:25" x14ac:dyDescent="0.25">
      <c r="A230" t="s">
        <v>2074</v>
      </c>
      <c r="B230" t="s">
        <v>2075</v>
      </c>
      <c r="C230" s="22">
        <v>42638</v>
      </c>
      <c r="D230" t="s">
        <v>2014</v>
      </c>
      <c r="E230" t="s">
        <v>2015</v>
      </c>
      <c r="F230" t="s">
        <v>2416</v>
      </c>
      <c r="G230">
        <v>20</v>
      </c>
      <c r="H230">
        <v>10800</v>
      </c>
      <c r="I230">
        <v>1</v>
      </c>
      <c r="J230">
        <v>482</v>
      </c>
      <c r="K230">
        <v>5</v>
      </c>
      <c r="L230">
        <v>2175</v>
      </c>
      <c r="M230">
        <v>35</v>
      </c>
      <c r="N230">
        <v>16170</v>
      </c>
      <c r="O230">
        <v>30</v>
      </c>
      <c r="P230">
        <v>12330</v>
      </c>
      <c r="Q230">
        <v>32</v>
      </c>
      <c r="R230">
        <v>13152</v>
      </c>
      <c r="S230">
        <v>38</v>
      </c>
      <c r="T230">
        <v>17176</v>
      </c>
      <c r="U230">
        <v>72</v>
      </c>
      <c r="V230">
        <v>29520</v>
      </c>
      <c r="W230">
        <v>45</v>
      </c>
      <c r="X230">
        <v>23220</v>
      </c>
      <c r="Y230" s="26">
        <f t="shared" si="3"/>
        <v>278</v>
      </c>
    </row>
    <row r="231" spans="1:25" x14ac:dyDescent="0.25">
      <c r="A231" t="s">
        <v>2076</v>
      </c>
      <c r="B231" t="s">
        <v>2077</v>
      </c>
      <c r="C231" s="22">
        <v>42306</v>
      </c>
      <c r="D231" t="s">
        <v>2014</v>
      </c>
      <c r="E231" t="s">
        <v>2019</v>
      </c>
      <c r="F231" t="s">
        <v>2416</v>
      </c>
      <c r="G231">
        <v>39</v>
      </c>
      <c r="H231">
        <v>17550</v>
      </c>
      <c r="I231">
        <v>31</v>
      </c>
      <c r="J231">
        <v>16554</v>
      </c>
      <c r="K231">
        <v>13</v>
      </c>
      <c r="L231">
        <v>6500</v>
      </c>
      <c r="M231">
        <v>53</v>
      </c>
      <c r="N231">
        <v>28037</v>
      </c>
      <c r="O231">
        <v>22</v>
      </c>
      <c r="P231">
        <v>8800</v>
      </c>
      <c r="Q231">
        <v>21</v>
      </c>
      <c r="R231">
        <v>9534</v>
      </c>
      <c r="S231">
        <v>58</v>
      </c>
      <c r="T231">
        <v>25114</v>
      </c>
      <c r="U231">
        <v>46</v>
      </c>
      <c r="V231">
        <v>20470</v>
      </c>
      <c r="W231">
        <v>8</v>
      </c>
      <c r="X231">
        <v>4168</v>
      </c>
      <c r="Y231" s="26">
        <f t="shared" si="3"/>
        <v>291</v>
      </c>
    </row>
    <row r="232" spans="1:25" x14ac:dyDescent="0.25">
      <c r="A232" t="s">
        <v>2078</v>
      </c>
      <c r="B232" t="s">
        <v>2079</v>
      </c>
      <c r="C232" s="22">
        <v>43821</v>
      </c>
      <c r="D232" t="s">
        <v>2014</v>
      </c>
      <c r="E232" t="s">
        <v>2015</v>
      </c>
      <c r="F232" t="s">
        <v>2416</v>
      </c>
      <c r="G232">
        <v>53</v>
      </c>
      <c r="H232">
        <v>24804</v>
      </c>
      <c r="I232">
        <v>22</v>
      </c>
      <c r="J232">
        <v>9460</v>
      </c>
      <c r="K232">
        <v>58</v>
      </c>
      <c r="L232">
        <v>29000</v>
      </c>
      <c r="M232">
        <v>18</v>
      </c>
      <c r="N232">
        <v>7956</v>
      </c>
      <c r="O232">
        <v>64</v>
      </c>
      <c r="P232">
        <v>32320</v>
      </c>
      <c r="Q232">
        <v>6</v>
      </c>
      <c r="R232">
        <v>2718</v>
      </c>
      <c r="S232">
        <v>63</v>
      </c>
      <c r="T232">
        <v>34524</v>
      </c>
      <c r="U232">
        <v>60</v>
      </c>
      <c r="V232">
        <v>24600</v>
      </c>
      <c r="W232">
        <v>34</v>
      </c>
      <c r="X232">
        <v>17034</v>
      </c>
      <c r="Y232" s="26">
        <f t="shared" si="3"/>
        <v>378</v>
      </c>
    </row>
    <row r="233" spans="1:25" x14ac:dyDescent="0.25">
      <c r="A233" t="s">
        <v>2080</v>
      </c>
      <c r="B233" t="s">
        <v>2081</v>
      </c>
      <c r="C233" s="22">
        <v>42767</v>
      </c>
      <c r="D233" t="s">
        <v>2026</v>
      </c>
      <c r="E233" t="s">
        <v>2019</v>
      </c>
      <c r="F233" t="s">
        <v>2416</v>
      </c>
      <c r="G233">
        <v>24</v>
      </c>
      <c r="H233">
        <v>10584</v>
      </c>
      <c r="I233">
        <v>21</v>
      </c>
      <c r="J233">
        <v>8484</v>
      </c>
      <c r="K233">
        <v>60</v>
      </c>
      <c r="L233">
        <v>27960</v>
      </c>
      <c r="M233">
        <v>64</v>
      </c>
      <c r="N233">
        <v>26432</v>
      </c>
      <c r="O233">
        <v>38</v>
      </c>
      <c r="P233">
        <v>18734</v>
      </c>
      <c r="Q233">
        <v>61</v>
      </c>
      <c r="R233">
        <v>27023</v>
      </c>
      <c r="S233">
        <v>64</v>
      </c>
      <c r="T233">
        <v>33792</v>
      </c>
      <c r="U233">
        <v>7</v>
      </c>
      <c r="V233">
        <v>3682</v>
      </c>
      <c r="W233">
        <v>66</v>
      </c>
      <c r="X233">
        <v>29634</v>
      </c>
      <c r="Y233" s="26">
        <f t="shared" si="3"/>
        <v>405</v>
      </c>
    </row>
    <row r="234" spans="1:25" x14ac:dyDescent="0.25">
      <c r="A234" t="s">
        <v>2082</v>
      </c>
      <c r="B234" t="s">
        <v>2083</v>
      </c>
      <c r="C234" s="22">
        <v>43203</v>
      </c>
      <c r="D234" t="s">
        <v>2014</v>
      </c>
      <c r="E234" t="s">
        <v>2027</v>
      </c>
      <c r="F234" t="s">
        <v>2416</v>
      </c>
      <c r="G234">
        <v>55</v>
      </c>
      <c r="H234">
        <v>23045</v>
      </c>
      <c r="I234">
        <v>0</v>
      </c>
      <c r="J234">
        <v>0</v>
      </c>
      <c r="K234">
        <v>22</v>
      </c>
      <c r="L234">
        <v>9460</v>
      </c>
      <c r="M234">
        <v>60</v>
      </c>
      <c r="N234">
        <v>25200</v>
      </c>
      <c r="O234">
        <v>34</v>
      </c>
      <c r="P234">
        <v>15368</v>
      </c>
      <c r="Q234">
        <v>14</v>
      </c>
      <c r="R234">
        <v>6888</v>
      </c>
      <c r="S234">
        <v>67</v>
      </c>
      <c r="T234">
        <v>31758</v>
      </c>
      <c r="U234">
        <v>56</v>
      </c>
      <c r="V234">
        <v>30800</v>
      </c>
      <c r="W234">
        <v>52</v>
      </c>
      <c r="X234">
        <v>25272</v>
      </c>
      <c r="Y234" s="26">
        <f t="shared" si="3"/>
        <v>360</v>
      </c>
    </row>
    <row r="235" spans="1:25" x14ac:dyDescent="0.25">
      <c r="A235" t="s">
        <v>2084</v>
      </c>
      <c r="B235" t="s">
        <v>2085</v>
      </c>
      <c r="C235" s="22">
        <v>43598</v>
      </c>
      <c r="D235" t="s">
        <v>2014</v>
      </c>
      <c r="E235" t="s">
        <v>2027</v>
      </c>
      <c r="F235" t="s">
        <v>2416</v>
      </c>
      <c r="G235">
        <v>13</v>
      </c>
      <c r="H235">
        <v>6682</v>
      </c>
      <c r="I235">
        <v>54</v>
      </c>
      <c r="J235">
        <v>27594</v>
      </c>
      <c r="K235">
        <v>61</v>
      </c>
      <c r="L235">
        <v>26474</v>
      </c>
      <c r="M235">
        <v>36</v>
      </c>
      <c r="N235">
        <v>18540</v>
      </c>
      <c r="O235">
        <v>12</v>
      </c>
      <c r="P235">
        <v>5412</v>
      </c>
      <c r="Q235">
        <v>47</v>
      </c>
      <c r="R235">
        <v>20821</v>
      </c>
      <c r="S235">
        <v>15</v>
      </c>
      <c r="T235">
        <v>6690</v>
      </c>
      <c r="U235">
        <v>26</v>
      </c>
      <c r="V235">
        <v>13208</v>
      </c>
      <c r="W235">
        <v>76</v>
      </c>
      <c r="X235">
        <v>33972</v>
      </c>
      <c r="Y235" s="26">
        <f t="shared" si="3"/>
        <v>340</v>
      </c>
    </row>
    <row r="236" spans="1:25" x14ac:dyDescent="0.25">
      <c r="A236" t="s">
        <v>2086</v>
      </c>
      <c r="B236" t="s">
        <v>2087</v>
      </c>
      <c r="C236" s="22">
        <v>43374</v>
      </c>
      <c r="D236" t="s">
        <v>2014</v>
      </c>
      <c r="E236" t="s">
        <v>2027</v>
      </c>
      <c r="F236" t="s">
        <v>2416</v>
      </c>
      <c r="G236">
        <v>8</v>
      </c>
      <c r="H236">
        <v>3336</v>
      </c>
      <c r="I236">
        <v>71</v>
      </c>
      <c r="J236">
        <v>29181</v>
      </c>
      <c r="K236">
        <v>75</v>
      </c>
      <c r="L236">
        <v>31200</v>
      </c>
      <c r="M236">
        <v>54</v>
      </c>
      <c r="N236">
        <v>29700</v>
      </c>
      <c r="O236">
        <v>51</v>
      </c>
      <c r="P236">
        <v>27387</v>
      </c>
      <c r="Q236">
        <v>57</v>
      </c>
      <c r="R236">
        <v>27987</v>
      </c>
      <c r="S236">
        <v>3</v>
      </c>
      <c r="T236">
        <v>1623</v>
      </c>
      <c r="U236">
        <v>6</v>
      </c>
      <c r="V236">
        <v>2610</v>
      </c>
      <c r="W236">
        <v>27</v>
      </c>
      <c r="X236">
        <v>12825</v>
      </c>
      <c r="Y236" s="26">
        <f t="shared" si="3"/>
        <v>352</v>
      </c>
    </row>
    <row r="237" spans="1:25" x14ac:dyDescent="0.25">
      <c r="A237" t="s">
        <v>2088</v>
      </c>
      <c r="B237" t="s">
        <v>2089</v>
      </c>
      <c r="C237" s="22">
        <v>42503</v>
      </c>
      <c r="D237" t="s">
        <v>2026</v>
      </c>
      <c r="E237" t="s">
        <v>2019</v>
      </c>
      <c r="F237" t="s">
        <v>2416</v>
      </c>
      <c r="G237">
        <v>19</v>
      </c>
      <c r="H237">
        <v>8645</v>
      </c>
      <c r="I237">
        <v>39</v>
      </c>
      <c r="J237">
        <v>19890</v>
      </c>
      <c r="K237">
        <v>43</v>
      </c>
      <c r="L237">
        <v>17372</v>
      </c>
      <c r="M237">
        <v>66</v>
      </c>
      <c r="N237">
        <v>34848</v>
      </c>
      <c r="O237">
        <v>26</v>
      </c>
      <c r="P237">
        <v>13234</v>
      </c>
      <c r="Q237">
        <v>65</v>
      </c>
      <c r="R237">
        <v>31980</v>
      </c>
      <c r="S237">
        <v>66</v>
      </c>
      <c r="T237">
        <v>36234</v>
      </c>
      <c r="U237">
        <v>58</v>
      </c>
      <c r="V237">
        <v>30276</v>
      </c>
      <c r="W237">
        <v>36</v>
      </c>
      <c r="X237">
        <v>18180</v>
      </c>
      <c r="Y237" s="26">
        <f t="shared" si="3"/>
        <v>418</v>
      </c>
    </row>
    <row r="238" spans="1:25" x14ac:dyDescent="0.25">
      <c r="A238" t="s">
        <v>2090</v>
      </c>
      <c r="B238" t="s">
        <v>2091</v>
      </c>
      <c r="C238" s="22">
        <v>44147</v>
      </c>
      <c r="D238" t="s">
        <v>2014</v>
      </c>
      <c r="E238" t="s">
        <v>2015</v>
      </c>
      <c r="F238" t="s">
        <v>2416</v>
      </c>
      <c r="G238">
        <v>11</v>
      </c>
      <c r="H238">
        <v>5291</v>
      </c>
      <c r="I238">
        <v>0</v>
      </c>
      <c r="J238">
        <v>0</v>
      </c>
      <c r="K238">
        <v>69</v>
      </c>
      <c r="L238">
        <v>32016</v>
      </c>
      <c r="M238">
        <v>37</v>
      </c>
      <c r="N238">
        <v>19092</v>
      </c>
      <c r="O238">
        <v>23</v>
      </c>
      <c r="P238">
        <v>11707</v>
      </c>
      <c r="Q238">
        <v>19</v>
      </c>
      <c r="R238">
        <v>7771</v>
      </c>
      <c r="S238">
        <v>15</v>
      </c>
      <c r="T238">
        <v>6975</v>
      </c>
      <c r="U238">
        <v>18</v>
      </c>
      <c r="V238">
        <v>9684</v>
      </c>
      <c r="W238">
        <v>72</v>
      </c>
      <c r="X238">
        <v>30816</v>
      </c>
      <c r="Y238" s="26">
        <f t="shared" si="3"/>
        <v>264</v>
      </c>
    </row>
    <row r="239" spans="1:25" x14ac:dyDescent="0.25">
      <c r="A239" t="s">
        <v>2092</v>
      </c>
      <c r="B239" t="s">
        <v>2093</v>
      </c>
      <c r="C239" s="22">
        <v>42510</v>
      </c>
      <c r="D239" t="s">
        <v>2026</v>
      </c>
      <c r="E239" t="s">
        <v>2027</v>
      </c>
      <c r="F239" t="s">
        <v>2416</v>
      </c>
      <c r="G239">
        <v>63</v>
      </c>
      <c r="H239">
        <v>26586</v>
      </c>
      <c r="I239">
        <v>29</v>
      </c>
      <c r="J239">
        <v>15573</v>
      </c>
      <c r="K239">
        <v>19</v>
      </c>
      <c r="L239">
        <v>7619</v>
      </c>
      <c r="M239">
        <v>12</v>
      </c>
      <c r="N239">
        <v>5724</v>
      </c>
      <c r="O239">
        <v>15</v>
      </c>
      <c r="P239">
        <v>7275</v>
      </c>
      <c r="Q239">
        <v>32</v>
      </c>
      <c r="R239">
        <v>16256</v>
      </c>
      <c r="S239">
        <v>53</v>
      </c>
      <c r="T239">
        <v>25069</v>
      </c>
      <c r="U239">
        <v>31</v>
      </c>
      <c r="V239">
        <v>15097</v>
      </c>
      <c r="W239">
        <v>39</v>
      </c>
      <c r="X239">
        <v>19929</v>
      </c>
      <c r="Y239" s="26">
        <f t="shared" si="3"/>
        <v>293</v>
      </c>
    </row>
    <row r="240" spans="1:25" x14ac:dyDescent="0.25">
      <c r="A240" t="s">
        <v>2094</v>
      </c>
      <c r="B240" t="s">
        <v>2095</v>
      </c>
      <c r="C240" s="22">
        <v>42211</v>
      </c>
      <c r="D240" t="s">
        <v>2026</v>
      </c>
      <c r="E240" t="s">
        <v>2019</v>
      </c>
      <c r="F240" t="s">
        <v>2416</v>
      </c>
      <c r="G240">
        <v>0</v>
      </c>
      <c r="H240">
        <v>0</v>
      </c>
      <c r="I240">
        <v>63</v>
      </c>
      <c r="J240">
        <v>31185</v>
      </c>
      <c r="K240">
        <v>8</v>
      </c>
      <c r="L240">
        <v>3352</v>
      </c>
      <c r="M240">
        <v>51</v>
      </c>
      <c r="N240">
        <v>23511</v>
      </c>
      <c r="O240">
        <v>63</v>
      </c>
      <c r="P240">
        <v>33075</v>
      </c>
      <c r="Q240">
        <v>8</v>
      </c>
      <c r="R240">
        <v>3216</v>
      </c>
      <c r="S240">
        <v>5</v>
      </c>
      <c r="T240">
        <v>2665</v>
      </c>
      <c r="U240">
        <v>9</v>
      </c>
      <c r="V240">
        <v>4275</v>
      </c>
      <c r="W240">
        <v>74</v>
      </c>
      <c r="X240">
        <v>29600</v>
      </c>
      <c r="Y240" s="26">
        <f t="shared" si="3"/>
        <v>281</v>
      </c>
    </row>
    <row r="241" spans="1:25" x14ac:dyDescent="0.25">
      <c r="A241" t="s">
        <v>2096</v>
      </c>
      <c r="B241" t="s">
        <v>2097</v>
      </c>
      <c r="C241" s="22">
        <v>44048</v>
      </c>
      <c r="D241" t="s">
        <v>2014</v>
      </c>
      <c r="E241" t="s">
        <v>2019</v>
      </c>
      <c r="F241" t="s">
        <v>2416</v>
      </c>
      <c r="G241">
        <v>13</v>
      </c>
      <c r="H241">
        <v>6253</v>
      </c>
      <c r="I241">
        <v>73</v>
      </c>
      <c r="J241">
        <v>34237</v>
      </c>
      <c r="K241">
        <v>73</v>
      </c>
      <c r="L241">
        <v>36427</v>
      </c>
      <c r="M241">
        <v>1</v>
      </c>
      <c r="N241">
        <v>425</v>
      </c>
      <c r="O241">
        <v>42</v>
      </c>
      <c r="P241">
        <v>18270</v>
      </c>
      <c r="Q241">
        <v>28</v>
      </c>
      <c r="R241">
        <v>15036</v>
      </c>
      <c r="S241">
        <v>40</v>
      </c>
      <c r="T241">
        <v>20240</v>
      </c>
      <c r="U241">
        <v>66</v>
      </c>
      <c r="V241">
        <v>27258</v>
      </c>
      <c r="W241">
        <v>12</v>
      </c>
      <c r="X241">
        <v>4968</v>
      </c>
      <c r="Y241" s="26">
        <f t="shared" si="3"/>
        <v>348</v>
      </c>
    </row>
    <row r="242" spans="1:25" x14ac:dyDescent="0.25">
      <c r="A242" t="s">
        <v>2098</v>
      </c>
      <c r="B242" t="s">
        <v>2099</v>
      </c>
      <c r="C242" s="22">
        <v>44039</v>
      </c>
      <c r="D242" t="s">
        <v>2026</v>
      </c>
      <c r="E242" t="s">
        <v>2019</v>
      </c>
      <c r="F242" t="s">
        <v>2416</v>
      </c>
      <c r="G242">
        <v>68</v>
      </c>
      <c r="H242">
        <v>35632</v>
      </c>
      <c r="I242">
        <v>32</v>
      </c>
      <c r="J242">
        <v>15488</v>
      </c>
      <c r="K242">
        <v>56</v>
      </c>
      <c r="L242">
        <v>29960</v>
      </c>
      <c r="M242">
        <v>21</v>
      </c>
      <c r="N242">
        <v>10542</v>
      </c>
      <c r="O242">
        <v>24</v>
      </c>
      <c r="P242">
        <v>12216</v>
      </c>
      <c r="Q242">
        <v>74</v>
      </c>
      <c r="R242">
        <v>39146</v>
      </c>
      <c r="S242">
        <v>50</v>
      </c>
      <c r="T242">
        <v>20450</v>
      </c>
      <c r="U242">
        <v>29</v>
      </c>
      <c r="V242">
        <v>13282</v>
      </c>
      <c r="W242">
        <v>9</v>
      </c>
      <c r="X242">
        <v>4023</v>
      </c>
      <c r="Y242" s="26">
        <f t="shared" si="3"/>
        <v>363</v>
      </c>
    </row>
    <row r="243" spans="1:25" x14ac:dyDescent="0.25">
      <c r="A243" t="s">
        <v>2100</v>
      </c>
      <c r="B243" t="s">
        <v>2101</v>
      </c>
      <c r="C243" s="22">
        <v>42360</v>
      </c>
      <c r="D243" t="s">
        <v>2026</v>
      </c>
      <c r="E243" t="s">
        <v>2015</v>
      </c>
      <c r="F243" t="s">
        <v>2416</v>
      </c>
      <c r="G243">
        <v>52</v>
      </c>
      <c r="H243">
        <v>26052</v>
      </c>
      <c r="I243">
        <v>71</v>
      </c>
      <c r="J243">
        <v>38766</v>
      </c>
      <c r="K243">
        <v>52</v>
      </c>
      <c r="L243">
        <v>22724</v>
      </c>
      <c r="M243">
        <v>11</v>
      </c>
      <c r="N243">
        <v>5544</v>
      </c>
      <c r="O243">
        <v>20</v>
      </c>
      <c r="P243">
        <v>10480</v>
      </c>
      <c r="Q243">
        <v>42</v>
      </c>
      <c r="R243">
        <v>16884</v>
      </c>
      <c r="S243">
        <v>43</v>
      </c>
      <c r="T243">
        <v>18877</v>
      </c>
      <c r="U243">
        <v>16</v>
      </c>
      <c r="V243">
        <v>8304</v>
      </c>
      <c r="W243">
        <v>13</v>
      </c>
      <c r="X243">
        <v>5941</v>
      </c>
      <c r="Y243" s="26">
        <f t="shared" si="3"/>
        <v>320</v>
      </c>
    </row>
    <row r="244" spans="1:25" x14ac:dyDescent="0.25">
      <c r="A244" t="s">
        <v>2102</v>
      </c>
      <c r="B244" t="s">
        <v>2103</v>
      </c>
      <c r="C244" s="22">
        <v>43940</v>
      </c>
      <c r="D244" t="s">
        <v>2014</v>
      </c>
      <c r="E244" t="s">
        <v>2019</v>
      </c>
      <c r="F244" t="s">
        <v>2416</v>
      </c>
      <c r="G244">
        <v>59</v>
      </c>
      <c r="H244">
        <v>26550</v>
      </c>
      <c r="I244">
        <v>72</v>
      </c>
      <c r="J244">
        <v>30816</v>
      </c>
      <c r="K244">
        <v>70</v>
      </c>
      <c r="L244">
        <v>30380</v>
      </c>
      <c r="M244">
        <v>12</v>
      </c>
      <c r="N244">
        <v>6372</v>
      </c>
      <c r="O244">
        <v>44</v>
      </c>
      <c r="P244">
        <v>23320</v>
      </c>
      <c r="Q244">
        <v>42</v>
      </c>
      <c r="R244">
        <v>19110</v>
      </c>
      <c r="S244">
        <v>38</v>
      </c>
      <c r="T244">
        <v>18088</v>
      </c>
      <c r="U244">
        <v>29</v>
      </c>
      <c r="V244">
        <v>14558</v>
      </c>
      <c r="W244">
        <v>76</v>
      </c>
      <c r="X244">
        <v>31312</v>
      </c>
      <c r="Y244" s="26">
        <f t="shared" si="3"/>
        <v>442</v>
      </c>
    </row>
    <row r="245" spans="1:25" x14ac:dyDescent="0.25">
      <c r="A245" t="s">
        <v>2104</v>
      </c>
      <c r="B245" t="s">
        <v>2105</v>
      </c>
      <c r="C245" s="22">
        <v>43521</v>
      </c>
      <c r="D245" t="s">
        <v>2014</v>
      </c>
      <c r="E245" t="s">
        <v>2027</v>
      </c>
      <c r="F245" t="s">
        <v>2416</v>
      </c>
      <c r="G245">
        <v>6</v>
      </c>
      <c r="H245">
        <v>3096</v>
      </c>
      <c r="I245">
        <v>62</v>
      </c>
      <c r="J245">
        <v>29760</v>
      </c>
      <c r="K245">
        <v>0</v>
      </c>
      <c r="L245">
        <v>0</v>
      </c>
      <c r="M245">
        <v>14</v>
      </c>
      <c r="N245">
        <v>6776</v>
      </c>
      <c r="O245">
        <v>74</v>
      </c>
      <c r="P245">
        <v>35224</v>
      </c>
      <c r="Q245">
        <v>18</v>
      </c>
      <c r="R245">
        <v>7740</v>
      </c>
      <c r="S245">
        <v>61</v>
      </c>
      <c r="T245">
        <v>32147</v>
      </c>
      <c r="U245">
        <v>42</v>
      </c>
      <c r="V245">
        <v>17682</v>
      </c>
      <c r="W245">
        <v>68</v>
      </c>
      <c r="X245">
        <v>28016</v>
      </c>
      <c r="Y245" s="26">
        <f t="shared" si="3"/>
        <v>345</v>
      </c>
    </row>
    <row r="246" spans="1:25" x14ac:dyDescent="0.25">
      <c r="A246" t="s">
        <v>2106</v>
      </c>
      <c r="B246" t="s">
        <v>2107</v>
      </c>
      <c r="C246" s="22">
        <v>43639</v>
      </c>
      <c r="D246" t="s">
        <v>2026</v>
      </c>
      <c r="E246" t="s">
        <v>2019</v>
      </c>
      <c r="F246" t="s">
        <v>2416</v>
      </c>
      <c r="G246">
        <v>15</v>
      </c>
      <c r="H246">
        <v>7110</v>
      </c>
      <c r="I246">
        <v>66</v>
      </c>
      <c r="J246">
        <v>33330</v>
      </c>
      <c r="K246">
        <v>8</v>
      </c>
      <c r="L246">
        <v>3856</v>
      </c>
      <c r="M246">
        <v>23</v>
      </c>
      <c r="N246">
        <v>11730</v>
      </c>
      <c r="O246">
        <v>15</v>
      </c>
      <c r="P246">
        <v>6135</v>
      </c>
      <c r="Q246">
        <v>9</v>
      </c>
      <c r="R246">
        <v>4158</v>
      </c>
      <c r="S246">
        <v>63</v>
      </c>
      <c r="T246">
        <v>34083</v>
      </c>
      <c r="U246">
        <v>60</v>
      </c>
      <c r="V246">
        <v>28860</v>
      </c>
      <c r="W246">
        <v>50</v>
      </c>
      <c r="X246">
        <v>27400</v>
      </c>
      <c r="Y246" s="26">
        <f t="shared" si="3"/>
        <v>309</v>
      </c>
    </row>
    <row r="247" spans="1:25" x14ac:dyDescent="0.25">
      <c r="A247" t="s">
        <v>2108</v>
      </c>
      <c r="B247" t="s">
        <v>2109</v>
      </c>
      <c r="C247" s="22">
        <v>43727</v>
      </c>
      <c r="D247" t="s">
        <v>2014</v>
      </c>
      <c r="E247" t="s">
        <v>2015</v>
      </c>
      <c r="F247" t="s">
        <v>2416</v>
      </c>
      <c r="G247">
        <v>23</v>
      </c>
      <c r="H247">
        <v>10189</v>
      </c>
      <c r="I247">
        <v>17</v>
      </c>
      <c r="J247">
        <v>7854</v>
      </c>
      <c r="K247">
        <v>67</v>
      </c>
      <c r="L247">
        <v>34237</v>
      </c>
      <c r="M247">
        <v>33</v>
      </c>
      <c r="N247">
        <v>15609</v>
      </c>
      <c r="O247">
        <v>0</v>
      </c>
      <c r="P247">
        <v>0</v>
      </c>
      <c r="Q247">
        <v>71</v>
      </c>
      <c r="R247">
        <v>29607</v>
      </c>
      <c r="S247">
        <v>72</v>
      </c>
      <c r="T247">
        <v>29376</v>
      </c>
      <c r="U247">
        <v>43</v>
      </c>
      <c r="V247">
        <v>19737</v>
      </c>
      <c r="W247">
        <v>18</v>
      </c>
      <c r="X247">
        <v>7632</v>
      </c>
      <c r="Y247" s="26">
        <f t="shared" si="3"/>
        <v>344</v>
      </c>
    </row>
    <row r="248" spans="1:25" x14ac:dyDescent="0.25">
      <c r="A248" t="s">
        <v>2110</v>
      </c>
      <c r="B248" t="s">
        <v>2111</v>
      </c>
      <c r="C248" s="22">
        <v>43584</v>
      </c>
      <c r="D248" t="s">
        <v>2014</v>
      </c>
      <c r="E248" t="s">
        <v>2015</v>
      </c>
      <c r="F248" t="s">
        <v>2416</v>
      </c>
      <c r="G248">
        <v>27</v>
      </c>
      <c r="H248">
        <v>13311</v>
      </c>
      <c r="I248">
        <v>62</v>
      </c>
      <c r="J248">
        <v>26164</v>
      </c>
      <c r="K248">
        <v>34</v>
      </c>
      <c r="L248">
        <v>16728</v>
      </c>
      <c r="M248">
        <v>11</v>
      </c>
      <c r="N248">
        <v>4609</v>
      </c>
      <c r="O248">
        <v>39</v>
      </c>
      <c r="P248">
        <v>19227</v>
      </c>
      <c r="Q248">
        <v>74</v>
      </c>
      <c r="R248">
        <v>39960</v>
      </c>
      <c r="S248">
        <v>33</v>
      </c>
      <c r="T248">
        <v>16269</v>
      </c>
      <c r="U248">
        <v>36</v>
      </c>
      <c r="V248">
        <v>18792</v>
      </c>
      <c r="W248">
        <v>11</v>
      </c>
      <c r="X248">
        <v>5533</v>
      </c>
      <c r="Y248" s="26">
        <f t="shared" si="3"/>
        <v>327</v>
      </c>
    </row>
    <row r="249" spans="1:25" x14ac:dyDescent="0.25">
      <c r="A249" t="s">
        <v>2112</v>
      </c>
      <c r="B249" t="s">
        <v>2113</v>
      </c>
      <c r="C249" s="22">
        <v>43217</v>
      </c>
      <c r="D249" t="s">
        <v>2014</v>
      </c>
      <c r="E249" t="s">
        <v>2027</v>
      </c>
      <c r="F249" t="s">
        <v>2416</v>
      </c>
      <c r="G249">
        <v>62</v>
      </c>
      <c r="H249">
        <v>33108</v>
      </c>
      <c r="I249">
        <v>72</v>
      </c>
      <c r="J249">
        <v>37368</v>
      </c>
      <c r="K249">
        <v>44</v>
      </c>
      <c r="L249">
        <v>21120</v>
      </c>
      <c r="M249">
        <v>56</v>
      </c>
      <c r="N249">
        <v>29344</v>
      </c>
      <c r="O249">
        <v>24</v>
      </c>
      <c r="P249">
        <v>12504</v>
      </c>
      <c r="Q249">
        <v>11</v>
      </c>
      <c r="R249">
        <v>5951</v>
      </c>
      <c r="S249">
        <v>58</v>
      </c>
      <c r="T249">
        <v>25868</v>
      </c>
      <c r="U249">
        <v>12</v>
      </c>
      <c r="V249">
        <v>6012</v>
      </c>
      <c r="W249">
        <v>41</v>
      </c>
      <c r="X249">
        <v>19270</v>
      </c>
      <c r="Y249" s="26">
        <f t="shared" si="3"/>
        <v>380</v>
      </c>
    </row>
    <row r="250" spans="1:25" x14ac:dyDescent="0.25">
      <c r="A250" t="s">
        <v>2114</v>
      </c>
      <c r="B250" t="s">
        <v>2115</v>
      </c>
      <c r="C250" s="22">
        <v>43245</v>
      </c>
      <c r="D250" t="s">
        <v>2014</v>
      </c>
      <c r="E250" t="s">
        <v>2027</v>
      </c>
      <c r="F250" t="s">
        <v>2416</v>
      </c>
      <c r="G250">
        <v>34</v>
      </c>
      <c r="H250">
        <v>15572</v>
      </c>
      <c r="I250">
        <v>51</v>
      </c>
      <c r="J250">
        <v>25653</v>
      </c>
      <c r="K250">
        <v>20</v>
      </c>
      <c r="L250">
        <v>10100</v>
      </c>
      <c r="M250">
        <v>32</v>
      </c>
      <c r="N250">
        <v>15808</v>
      </c>
      <c r="O250">
        <v>67</v>
      </c>
      <c r="P250">
        <v>27135</v>
      </c>
      <c r="Q250">
        <v>45</v>
      </c>
      <c r="R250">
        <v>24615</v>
      </c>
      <c r="S250">
        <v>2</v>
      </c>
      <c r="T250">
        <v>1060</v>
      </c>
      <c r="U250">
        <v>55</v>
      </c>
      <c r="V250">
        <v>27720</v>
      </c>
      <c r="W250">
        <v>69</v>
      </c>
      <c r="X250">
        <v>29877</v>
      </c>
      <c r="Y250" s="26">
        <f t="shared" si="3"/>
        <v>375</v>
      </c>
    </row>
    <row r="251" spans="1:25" x14ac:dyDescent="0.25">
      <c r="A251" t="s">
        <v>2116</v>
      </c>
      <c r="B251" t="s">
        <v>2117</v>
      </c>
      <c r="C251" s="22">
        <v>42464</v>
      </c>
      <c r="D251" t="s">
        <v>2026</v>
      </c>
      <c r="E251" t="s">
        <v>2019</v>
      </c>
      <c r="F251" t="s">
        <v>2416</v>
      </c>
      <c r="G251">
        <v>45</v>
      </c>
      <c r="H251">
        <v>23445</v>
      </c>
      <c r="I251">
        <v>54</v>
      </c>
      <c r="J251">
        <v>25110</v>
      </c>
      <c r="K251">
        <v>52</v>
      </c>
      <c r="L251">
        <v>23348</v>
      </c>
      <c r="M251">
        <v>44</v>
      </c>
      <c r="N251">
        <v>17952</v>
      </c>
      <c r="O251">
        <v>13</v>
      </c>
      <c r="P251">
        <v>5525</v>
      </c>
      <c r="Q251">
        <v>44</v>
      </c>
      <c r="R251">
        <v>19888</v>
      </c>
      <c r="S251">
        <v>71</v>
      </c>
      <c r="T251">
        <v>32589</v>
      </c>
      <c r="U251">
        <v>67</v>
      </c>
      <c r="V251">
        <v>35108</v>
      </c>
      <c r="W251">
        <v>39</v>
      </c>
      <c r="X251">
        <v>20748</v>
      </c>
      <c r="Y251" s="26">
        <f t="shared" si="3"/>
        <v>429</v>
      </c>
    </row>
    <row r="252" spans="1:25" x14ac:dyDescent="0.25">
      <c r="A252" t="s">
        <v>2118</v>
      </c>
      <c r="B252" t="s">
        <v>2119</v>
      </c>
      <c r="C252" s="22">
        <v>43940</v>
      </c>
      <c r="D252" t="s">
        <v>2026</v>
      </c>
      <c r="E252" t="s">
        <v>2027</v>
      </c>
      <c r="F252" t="s">
        <v>2416</v>
      </c>
      <c r="G252">
        <v>57</v>
      </c>
      <c r="H252">
        <v>30267</v>
      </c>
      <c r="I252">
        <v>29</v>
      </c>
      <c r="J252">
        <v>14587</v>
      </c>
      <c r="K252">
        <v>51</v>
      </c>
      <c r="L252">
        <v>25857</v>
      </c>
      <c r="M252">
        <v>0</v>
      </c>
      <c r="N252">
        <v>0</v>
      </c>
      <c r="O252">
        <v>48</v>
      </c>
      <c r="P252">
        <v>20544</v>
      </c>
      <c r="Q252">
        <v>18</v>
      </c>
      <c r="R252">
        <v>8280</v>
      </c>
      <c r="S252">
        <v>41</v>
      </c>
      <c r="T252">
        <v>19803</v>
      </c>
      <c r="U252">
        <v>35</v>
      </c>
      <c r="V252">
        <v>17570</v>
      </c>
      <c r="W252">
        <v>33</v>
      </c>
      <c r="X252">
        <v>13530</v>
      </c>
      <c r="Y252" s="26">
        <f t="shared" si="3"/>
        <v>312</v>
      </c>
    </row>
    <row r="253" spans="1:25" x14ac:dyDescent="0.25">
      <c r="A253" t="s">
        <v>2120</v>
      </c>
      <c r="B253" t="s">
        <v>2121</v>
      </c>
      <c r="C253" s="22">
        <v>42641</v>
      </c>
      <c r="D253" t="s">
        <v>2014</v>
      </c>
      <c r="E253" t="s">
        <v>2015</v>
      </c>
      <c r="F253" t="s">
        <v>2416</v>
      </c>
      <c r="G253">
        <v>5</v>
      </c>
      <c r="H253">
        <v>2285</v>
      </c>
      <c r="I253">
        <v>64</v>
      </c>
      <c r="J253">
        <v>34880</v>
      </c>
      <c r="K253">
        <v>54</v>
      </c>
      <c r="L253">
        <v>26082</v>
      </c>
      <c r="M253">
        <v>23</v>
      </c>
      <c r="N253">
        <v>10327</v>
      </c>
      <c r="O253">
        <v>60</v>
      </c>
      <c r="P253">
        <v>24060</v>
      </c>
      <c r="Q253">
        <v>4</v>
      </c>
      <c r="R253">
        <v>1872</v>
      </c>
      <c r="S253">
        <v>47</v>
      </c>
      <c r="T253">
        <v>22513</v>
      </c>
      <c r="U253">
        <v>0</v>
      </c>
      <c r="V253">
        <v>0</v>
      </c>
      <c r="W253">
        <v>47</v>
      </c>
      <c r="X253">
        <v>22701</v>
      </c>
      <c r="Y253" s="26">
        <f t="shared" si="3"/>
        <v>304</v>
      </c>
    </row>
    <row r="254" spans="1:25" x14ac:dyDescent="0.25">
      <c r="A254" t="s">
        <v>2122</v>
      </c>
      <c r="B254" t="s">
        <v>2123</v>
      </c>
      <c r="C254" s="22">
        <v>42083</v>
      </c>
      <c r="D254" t="s">
        <v>2014</v>
      </c>
      <c r="E254" t="s">
        <v>2019</v>
      </c>
      <c r="F254" t="s">
        <v>2416</v>
      </c>
      <c r="G254">
        <v>8</v>
      </c>
      <c r="H254">
        <v>4040</v>
      </c>
      <c r="I254">
        <v>20</v>
      </c>
      <c r="J254">
        <v>8560</v>
      </c>
      <c r="K254">
        <v>51</v>
      </c>
      <c r="L254">
        <v>20808</v>
      </c>
      <c r="M254">
        <v>57</v>
      </c>
      <c r="N254">
        <v>31008</v>
      </c>
      <c r="O254">
        <v>4</v>
      </c>
      <c r="P254">
        <v>1728</v>
      </c>
      <c r="Q254">
        <v>1</v>
      </c>
      <c r="R254">
        <v>505</v>
      </c>
      <c r="S254">
        <v>61</v>
      </c>
      <c r="T254">
        <v>30195</v>
      </c>
      <c r="U254">
        <v>74</v>
      </c>
      <c r="V254">
        <v>39664</v>
      </c>
      <c r="W254">
        <v>27</v>
      </c>
      <c r="X254">
        <v>14310</v>
      </c>
      <c r="Y254" s="26">
        <f t="shared" si="3"/>
        <v>303</v>
      </c>
    </row>
    <row r="255" spans="1:25" x14ac:dyDescent="0.25">
      <c r="A255" t="s">
        <v>2124</v>
      </c>
      <c r="B255" t="s">
        <v>2125</v>
      </c>
      <c r="C255" s="22">
        <v>43777</v>
      </c>
      <c r="D255" t="s">
        <v>2026</v>
      </c>
      <c r="E255" t="s">
        <v>2019</v>
      </c>
      <c r="F255" t="s">
        <v>2416</v>
      </c>
      <c r="G255">
        <v>64</v>
      </c>
      <c r="H255">
        <v>32576</v>
      </c>
      <c r="I255">
        <v>39</v>
      </c>
      <c r="J255">
        <v>21177</v>
      </c>
      <c r="K255">
        <v>0</v>
      </c>
      <c r="L255">
        <v>0</v>
      </c>
      <c r="M255">
        <v>7</v>
      </c>
      <c r="N255">
        <v>2912</v>
      </c>
      <c r="O255">
        <v>66</v>
      </c>
      <c r="P255">
        <v>30690</v>
      </c>
      <c r="Q255">
        <v>6</v>
      </c>
      <c r="R255">
        <v>2952</v>
      </c>
      <c r="S255">
        <v>59</v>
      </c>
      <c r="T255">
        <v>24603</v>
      </c>
      <c r="U255">
        <v>16</v>
      </c>
      <c r="V255">
        <v>6464</v>
      </c>
      <c r="W255">
        <v>36</v>
      </c>
      <c r="X255">
        <v>17028</v>
      </c>
      <c r="Y255" s="26">
        <f t="shared" si="3"/>
        <v>293</v>
      </c>
    </row>
    <row r="256" spans="1:25" x14ac:dyDescent="0.25">
      <c r="A256" t="s">
        <v>2126</v>
      </c>
      <c r="B256" t="s">
        <v>2127</v>
      </c>
      <c r="C256" s="22">
        <v>43919</v>
      </c>
      <c r="D256" t="s">
        <v>2014</v>
      </c>
      <c r="E256" t="s">
        <v>2027</v>
      </c>
      <c r="F256" t="s">
        <v>2416</v>
      </c>
      <c r="G256">
        <v>8</v>
      </c>
      <c r="H256">
        <v>3664</v>
      </c>
      <c r="I256">
        <v>55</v>
      </c>
      <c r="J256">
        <v>24915</v>
      </c>
      <c r="K256">
        <v>17</v>
      </c>
      <c r="L256">
        <v>8466</v>
      </c>
      <c r="M256">
        <v>45</v>
      </c>
      <c r="N256">
        <v>18675</v>
      </c>
      <c r="O256">
        <v>26</v>
      </c>
      <c r="P256">
        <v>11180</v>
      </c>
      <c r="Q256">
        <v>76</v>
      </c>
      <c r="R256">
        <v>31312</v>
      </c>
      <c r="S256">
        <v>69</v>
      </c>
      <c r="T256">
        <v>30774</v>
      </c>
      <c r="U256">
        <v>43</v>
      </c>
      <c r="V256">
        <v>22188</v>
      </c>
      <c r="W256">
        <v>37</v>
      </c>
      <c r="X256">
        <v>18611</v>
      </c>
      <c r="Y256" s="26">
        <f t="shared" si="3"/>
        <v>376</v>
      </c>
    </row>
    <row r="257" spans="1:25" x14ac:dyDescent="0.25">
      <c r="A257" t="s">
        <v>2128</v>
      </c>
      <c r="B257" t="s">
        <v>2129</v>
      </c>
      <c r="C257" s="22">
        <v>42879</v>
      </c>
      <c r="D257" t="s">
        <v>2026</v>
      </c>
      <c r="E257" t="s">
        <v>2015</v>
      </c>
      <c r="F257" t="s">
        <v>2416</v>
      </c>
      <c r="G257">
        <v>20</v>
      </c>
      <c r="H257">
        <v>8680</v>
      </c>
      <c r="I257">
        <v>34</v>
      </c>
      <c r="J257">
        <v>15368</v>
      </c>
      <c r="K257">
        <v>56</v>
      </c>
      <c r="L257">
        <v>30800</v>
      </c>
      <c r="M257">
        <v>18</v>
      </c>
      <c r="N257">
        <v>8424</v>
      </c>
      <c r="O257">
        <v>17</v>
      </c>
      <c r="P257">
        <v>7293</v>
      </c>
      <c r="Q257">
        <v>63</v>
      </c>
      <c r="R257">
        <v>29799</v>
      </c>
      <c r="S257">
        <v>70</v>
      </c>
      <c r="T257">
        <v>37030</v>
      </c>
      <c r="U257">
        <v>49</v>
      </c>
      <c r="V257">
        <v>26852</v>
      </c>
      <c r="W257">
        <v>45</v>
      </c>
      <c r="X257">
        <v>18945</v>
      </c>
      <c r="Y257" s="26">
        <f t="shared" si="3"/>
        <v>372</v>
      </c>
    </row>
    <row r="258" spans="1:25" x14ac:dyDescent="0.25">
      <c r="A258" t="s">
        <v>2130</v>
      </c>
      <c r="B258" t="s">
        <v>2131</v>
      </c>
      <c r="C258" s="22">
        <v>43746</v>
      </c>
      <c r="D258" t="s">
        <v>2014</v>
      </c>
      <c r="E258" t="s">
        <v>2019</v>
      </c>
      <c r="F258" t="s">
        <v>2416</v>
      </c>
      <c r="G258">
        <v>2</v>
      </c>
      <c r="H258">
        <v>1028</v>
      </c>
      <c r="I258">
        <v>54</v>
      </c>
      <c r="J258">
        <v>22626</v>
      </c>
      <c r="K258">
        <v>60</v>
      </c>
      <c r="L258">
        <v>27540</v>
      </c>
      <c r="M258">
        <v>21</v>
      </c>
      <c r="N258">
        <v>8547</v>
      </c>
      <c r="O258">
        <v>22</v>
      </c>
      <c r="P258">
        <v>10142</v>
      </c>
      <c r="Q258">
        <v>74</v>
      </c>
      <c r="R258">
        <v>39516</v>
      </c>
      <c r="S258">
        <v>64</v>
      </c>
      <c r="T258">
        <v>30976</v>
      </c>
      <c r="U258">
        <v>69</v>
      </c>
      <c r="V258">
        <v>31188</v>
      </c>
      <c r="W258">
        <v>34</v>
      </c>
      <c r="X258">
        <v>17170</v>
      </c>
      <c r="Y258" s="26">
        <f t="shared" si="3"/>
        <v>400</v>
      </c>
    </row>
    <row r="259" spans="1:25" x14ac:dyDescent="0.25">
      <c r="A259" t="s">
        <v>2132</v>
      </c>
      <c r="B259" t="s">
        <v>2133</v>
      </c>
      <c r="C259" s="22">
        <v>42571</v>
      </c>
      <c r="D259" t="s">
        <v>2014</v>
      </c>
      <c r="E259" t="s">
        <v>2019</v>
      </c>
      <c r="F259" t="s">
        <v>2416</v>
      </c>
      <c r="G259">
        <v>67</v>
      </c>
      <c r="H259">
        <v>28877</v>
      </c>
      <c r="I259">
        <v>53</v>
      </c>
      <c r="J259">
        <v>27772</v>
      </c>
      <c r="K259">
        <v>50</v>
      </c>
      <c r="L259">
        <v>26350</v>
      </c>
      <c r="M259">
        <v>19</v>
      </c>
      <c r="N259">
        <v>9614</v>
      </c>
      <c r="O259">
        <v>71</v>
      </c>
      <c r="P259">
        <v>37630</v>
      </c>
      <c r="Q259">
        <v>1</v>
      </c>
      <c r="R259">
        <v>410</v>
      </c>
      <c r="S259">
        <v>76</v>
      </c>
      <c r="T259">
        <v>32072</v>
      </c>
      <c r="U259">
        <v>39</v>
      </c>
      <c r="V259">
        <v>17316</v>
      </c>
      <c r="W259">
        <v>59</v>
      </c>
      <c r="X259">
        <v>31565</v>
      </c>
      <c r="Y259" s="26">
        <f t="shared" ref="Y259:Y322" si="4">SUMIF($G$1:$X$1,"Количество*",G259:X259)</f>
        <v>435</v>
      </c>
    </row>
    <row r="260" spans="1:25" x14ac:dyDescent="0.25">
      <c r="A260" t="s">
        <v>2134</v>
      </c>
      <c r="B260" t="s">
        <v>2135</v>
      </c>
      <c r="C260" s="22">
        <v>44019</v>
      </c>
      <c r="D260" t="s">
        <v>2014</v>
      </c>
      <c r="E260" t="s">
        <v>2019</v>
      </c>
      <c r="F260" t="s">
        <v>2416</v>
      </c>
      <c r="G260">
        <v>58</v>
      </c>
      <c r="H260">
        <v>23548</v>
      </c>
      <c r="I260">
        <v>47</v>
      </c>
      <c r="J260">
        <v>24816</v>
      </c>
      <c r="K260">
        <v>22</v>
      </c>
      <c r="L260">
        <v>11506</v>
      </c>
      <c r="M260">
        <v>72</v>
      </c>
      <c r="N260">
        <v>36432</v>
      </c>
      <c r="O260">
        <v>48</v>
      </c>
      <c r="P260">
        <v>21888</v>
      </c>
      <c r="Q260">
        <v>38</v>
      </c>
      <c r="R260">
        <v>20824</v>
      </c>
      <c r="S260">
        <v>13</v>
      </c>
      <c r="T260">
        <v>5304</v>
      </c>
      <c r="U260">
        <v>48</v>
      </c>
      <c r="V260">
        <v>23136</v>
      </c>
      <c r="W260">
        <v>70</v>
      </c>
      <c r="X260">
        <v>31500</v>
      </c>
      <c r="Y260" s="26">
        <f t="shared" si="4"/>
        <v>416</v>
      </c>
    </row>
    <row r="261" spans="1:25" x14ac:dyDescent="0.25">
      <c r="A261" t="s">
        <v>2136</v>
      </c>
      <c r="B261" t="s">
        <v>2137</v>
      </c>
      <c r="C261" s="22">
        <v>43098</v>
      </c>
      <c r="D261" t="s">
        <v>2014</v>
      </c>
      <c r="E261" t="s">
        <v>2015</v>
      </c>
      <c r="F261" t="s">
        <v>2416</v>
      </c>
      <c r="G261">
        <v>41</v>
      </c>
      <c r="H261">
        <v>16687</v>
      </c>
      <c r="I261">
        <v>45</v>
      </c>
      <c r="J261">
        <v>23400</v>
      </c>
      <c r="K261">
        <v>21</v>
      </c>
      <c r="L261">
        <v>8841</v>
      </c>
      <c r="M261">
        <v>13</v>
      </c>
      <c r="N261">
        <v>5928</v>
      </c>
      <c r="O261">
        <v>18</v>
      </c>
      <c r="P261">
        <v>9234</v>
      </c>
      <c r="Q261">
        <v>72</v>
      </c>
      <c r="R261">
        <v>38088</v>
      </c>
      <c r="S261">
        <v>71</v>
      </c>
      <c r="T261">
        <v>38127</v>
      </c>
      <c r="U261">
        <v>21</v>
      </c>
      <c r="V261">
        <v>9534</v>
      </c>
      <c r="W261">
        <v>25</v>
      </c>
      <c r="X261">
        <v>13025</v>
      </c>
      <c r="Y261" s="26">
        <f t="shared" si="4"/>
        <v>327</v>
      </c>
    </row>
    <row r="262" spans="1:25" x14ac:dyDescent="0.25">
      <c r="A262" t="s">
        <v>2138</v>
      </c>
      <c r="B262" t="s">
        <v>2139</v>
      </c>
      <c r="C262" s="22">
        <v>43766</v>
      </c>
      <c r="D262" t="s">
        <v>2026</v>
      </c>
      <c r="E262" t="s">
        <v>2027</v>
      </c>
      <c r="F262" t="s">
        <v>2416</v>
      </c>
      <c r="G262">
        <v>70</v>
      </c>
      <c r="H262">
        <v>30310</v>
      </c>
      <c r="I262">
        <v>47</v>
      </c>
      <c r="J262">
        <v>20116</v>
      </c>
      <c r="K262">
        <v>76</v>
      </c>
      <c r="L262">
        <v>37620</v>
      </c>
      <c r="M262">
        <v>20</v>
      </c>
      <c r="N262">
        <v>10180</v>
      </c>
      <c r="O262">
        <v>9</v>
      </c>
      <c r="P262">
        <v>4374</v>
      </c>
      <c r="Q262">
        <v>14</v>
      </c>
      <c r="R262">
        <v>5880</v>
      </c>
      <c r="S262">
        <v>72</v>
      </c>
      <c r="T262">
        <v>30888</v>
      </c>
      <c r="U262">
        <v>4</v>
      </c>
      <c r="V262">
        <v>1988</v>
      </c>
      <c r="W262">
        <v>29</v>
      </c>
      <c r="X262">
        <v>14790</v>
      </c>
      <c r="Y262" s="26">
        <f t="shared" si="4"/>
        <v>341</v>
      </c>
    </row>
    <row r="263" spans="1:25" x14ac:dyDescent="0.25">
      <c r="A263" t="s">
        <v>2140</v>
      </c>
      <c r="B263" t="s">
        <v>2141</v>
      </c>
      <c r="C263" s="22">
        <v>43330</v>
      </c>
      <c r="D263" t="s">
        <v>2014</v>
      </c>
      <c r="E263" t="s">
        <v>2027</v>
      </c>
      <c r="F263" t="s">
        <v>2416</v>
      </c>
      <c r="G263">
        <v>13</v>
      </c>
      <c r="H263">
        <v>5486</v>
      </c>
      <c r="I263">
        <v>36</v>
      </c>
      <c r="J263">
        <v>15804</v>
      </c>
      <c r="K263">
        <v>13</v>
      </c>
      <c r="L263">
        <v>6578</v>
      </c>
      <c r="M263">
        <v>56</v>
      </c>
      <c r="N263">
        <v>24808</v>
      </c>
      <c r="O263">
        <v>10</v>
      </c>
      <c r="P263">
        <v>4080</v>
      </c>
      <c r="Q263">
        <v>55</v>
      </c>
      <c r="R263">
        <v>22275</v>
      </c>
      <c r="S263">
        <v>13</v>
      </c>
      <c r="T263">
        <v>6812</v>
      </c>
      <c r="U263">
        <v>53</v>
      </c>
      <c r="V263">
        <v>23426</v>
      </c>
      <c r="W263">
        <v>48</v>
      </c>
      <c r="X263">
        <v>19824</v>
      </c>
      <c r="Y263" s="26">
        <f t="shared" si="4"/>
        <v>297</v>
      </c>
    </row>
    <row r="264" spans="1:25" x14ac:dyDescent="0.25">
      <c r="A264" t="s">
        <v>2142</v>
      </c>
      <c r="B264" t="s">
        <v>2143</v>
      </c>
      <c r="C264" s="22">
        <v>42717</v>
      </c>
      <c r="D264" t="s">
        <v>2014</v>
      </c>
      <c r="E264" t="s">
        <v>2019</v>
      </c>
      <c r="F264" t="s">
        <v>2416</v>
      </c>
      <c r="G264">
        <v>71</v>
      </c>
      <c r="H264">
        <v>30317</v>
      </c>
      <c r="I264">
        <v>3</v>
      </c>
      <c r="J264">
        <v>1482</v>
      </c>
      <c r="K264">
        <v>50</v>
      </c>
      <c r="L264">
        <v>21000</v>
      </c>
      <c r="M264">
        <v>53</v>
      </c>
      <c r="N264">
        <v>21465</v>
      </c>
      <c r="O264">
        <v>49</v>
      </c>
      <c r="P264">
        <v>21658</v>
      </c>
      <c r="Q264">
        <v>57</v>
      </c>
      <c r="R264">
        <v>26733</v>
      </c>
      <c r="S264">
        <v>59</v>
      </c>
      <c r="T264">
        <v>30857</v>
      </c>
      <c r="U264">
        <v>5</v>
      </c>
      <c r="V264">
        <v>2265</v>
      </c>
      <c r="W264">
        <v>18</v>
      </c>
      <c r="X264">
        <v>9504</v>
      </c>
      <c r="Y264" s="26">
        <f t="shared" si="4"/>
        <v>365</v>
      </c>
    </row>
    <row r="265" spans="1:25" x14ac:dyDescent="0.25">
      <c r="A265" t="s">
        <v>2144</v>
      </c>
      <c r="B265" t="s">
        <v>2145</v>
      </c>
      <c r="C265" s="22">
        <v>42436</v>
      </c>
      <c r="D265" t="s">
        <v>2026</v>
      </c>
      <c r="E265" t="s">
        <v>2019</v>
      </c>
      <c r="F265" t="s">
        <v>2416</v>
      </c>
      <c r="G265">
        <v>41</v>
      </c>
      <c r="H265">
        <v>21689</v>
      </c>
      <c r="I265">
        <v>34</v>
      </c>
      <c r="J265">
        <v>15674</v>
      </c>
      <c r="K265">
        <v>60</v>
      </c>
      <c r="L265">
        <v>31800</v>
      </c>
      <c r="M265">
        <v>37</v>
      </c>
      <c r="N265">
        <v>15207</v>
      </c>
      <c r="O265">
        <v>73</v>
      </c>
      <c r="P265">
        <v>35186</v>
      </c>
      <c r="Q265">
        <v>55</v>
      </c>
      <c r="R265">
        <v>25190</v>
      </c>
      <c r="S265">
        <v>5</v>
      </c>
      <c r="T265">
        <v>2685</v>
      </c>
      <c r="U265">
        <v>51</v>
      </c>
      <c r="V265">
        <v>21063</v>
      </c>
      <c r="W265">
        <v>14</v>
      </c>
      <c r="X265">
        <v>7210</v>
      </c>
      <c r="Y265" s="26">
        <f t="shared" si="4"/>
        <v>370</v>
      </c>
    </row>
    <row r="266" spans="1:25" x14ac:dyDescent="0.25">
      <c r="A266" t="s">
        <v>2146</v>
      </c>
      <c r="B266" t="s">
        <v>2147</v>
      </c>
      <c r="C266" s="22">
        <v>42724</v>
      </c>
      <c r="D266" t="s">
        <v>2026</v>
      </c>
      <c r="E266" t="s">
        <v>2015</v>
      </c>
      <c r="F266" t="s">
        <v>2416</v>
      </c>
      <c r="G266">
        <v>12</v>
      </c>
      <c r="H266">
        <v>5892</v>
      </c>
      <c r="I266">
        <v>3</v>
      </c>
      <c r="J266">
        <v>1485</v>
      </c>
      <c r="K266">
        <v>28</v>
      </c>
      <c r="L266">
        <v>14392</v>
      </c>
      <c r="M266">
        <v>64</v>
      </c>
      <c r="N266">
        <v>34752</v>
      </c>
      <c r="O266">
        <v>15</v>
      </c>
      <c r="P266">
        <v>7425</v>
      </c>
      <c r="Q266">
        <v>64</v>
      </c>
      <c r="R266">
        <v>31232</v>
      </c>
      <c r="S266">
        <v>44</v>
      </c>
      <c r="T266">
        <v>17908</v>
      </c>
      <c r="U266">
        <v>41</v>
      </c>
      <c r="V266">
        <v>22263</v>
      </c>
      <c r="W266">
        <v>45</v>
      </c>
      <c r="X266">
        <v>20655</v>
      </c>
      <c r="Y266" s="26">
        <f t="shared" si="4"/>
        <v>316</v>
      </c>
    </row>
    <row r="267" spans="1:25" x14ac:dyDescent="0.25">
      <c r="A267" t="s">
        <v>2148</v>
      </c>
      <c r="B267" t="s">
        <v>2149</v>
      </c>
      <c r="C267" s="22">
        <v>44050</v>
      </c>
      <c r="D267" t="s">
        <v>2014</v>
      </c>
      <c r="E267" t="s">
        <v>2015</v>
      </c>
      <c r="F267" t="s">
        <v>2416</v>
      </c>
      <c r="G267">
        <v>69</v>
      </c>
      <c r="H267">
        <v>32844</v>
      </c>
      <c r="I267">
        <v>55</v>
      </c>
      <c r="J267">
        <v>29370</v>
      </c>
      <c r="K267">
        <v>31</v>
      </c>
      <c r="L267">
        <v>15097</v>
      </c>
      <c r="M267">
        <v>45</v>
      </c>
      <c r="N267">
        <v>22815</v>
      </c>
      <c r="O267">
        <v>45</v>
      </c>
      <c r="P267">
        <v>24660</v>
      </c>
      <c r="Q267">
        <v>41</v>
      </c>
      <c r="R267">
        <v>17794</v>
      </c>
      <c r="S267">
        <v>69</v>
      </c>
      <c r="T267">
        <v>37812</v>
      </c>
      <c r="U267">
        <v>54</v>
      </c>
      <c r="V267">
        <v>21924</v>
      </c>
      <c r="W267">
        <v>48</v>
      </c>
      <c r="X267">
        <v>19440</v>
      </c>
      <c r="Y267" s="26">
        <f t="shared" si="4"/>
        <v>457</v>
      </c>
    </row>
    <row r="268" spans="1:25" x14ac:dyDescent="0.25">
      <c r="A268" t="s">
        <v>2150</v>
      </c>
      <c r="B268" t="s">
        <v>2151</v>
      </c>
      <c r="C268" s="22">
        <v>42244</v>
      </c>
      <c r="D268" t="s">
        <v>2014</v>
      </c>
      <c r="E268" t="s">
        <v>2015</v>
      </c>
      <c r="F268" t="s">
        <v>2416</v>
      </c>
      <c r="G268">
        <v>27</v>
      </c>
      <c r="H268">
        <v>13959</v>
      </c>
      <c r="I268">
        <v>50</v>
      </c>
      <c r="J268">
        <v>23700</v>
      </c>
      <c r="K268">
        <v>14</v>
      </c>
      <c r="L268">
        <v>6776</v>
      </c>
      <c r="M268">
        <v>33</v>
      </c>
      <c r="N268">
        <v>15972</v>
      </c>
      <c r="O268">
        <v>2</v>
      </c>
      <c r="P268">
        <v>864</v>
      </c>
      <c r="Q268">
        <v>73</v>
      </c>
      <c r="R268">
        <v>29784</v>
      </c>
      <c r="S268">
        <v>25</v>
      </c>
      <c r="T268">
        <v>11500</v>
      </c>
      <c r="U268">
        <v>1</v>
      </c>
      <c r="V268">
        <v>550</v>
      </c>
      <c r="W268">
        <v>12</v>
      </c>
      <c r="X268">
        <v>5196</v>
      </c>
      <c r="Y268" s="26">
        <f t="shared" si="4"/>
        <v>237</v>
      </c>
    </row>
    <row r="269" spans="1:25" x14ac:dyDescent="0.25">
      <c r="A269" t="s">
        <v>2152</v>
      </c>
      <c r="B269" t="s">
        <v>2153</v>
      </c>
      <c r="C269" s="22">
        <v>42356</v>
      </c>
      <c r="D269" t="s">
        <v>2026</v>
      </c>
      <c r="E269" t="s">
        <v>2019</v>
      </c>
      <c r="F269" t="s">
        <v>2416</v>
      </c>
      <c r="G269">
        <v>14</v>
      </c>
      <c r="H269">
        <v>5950</v>
      </c>
      <c r="I269">
        <v>65</v>
      </c>
      <c r="J269">
        <v>26520</v>
      </c>
      <c r="K269">
        <v>24</v>
      </c>
      <c r="L269">
        <v>11496</v>
      </c>
      <c r="M269">
        <v>60</v>
      </c>
      <c r="N269">
        <v>27480</v>
      </c>
      <c r="O269">
        <v>13</v>
      </c>
      <c r="P269">
        <v>6851</v>
      </c>
      <c r="Q269">
        <v>73</v>
      </c>
      <c r="R269">
        <v>33653</v>
      </c>
      <c r="S269">
        <v>4</v>
      </c>
      <c r="T269">
        <v>1676</v>
      </c>
      <c r="U269">
        <v>47</v>
      </c>
      <c r="V269">
        <v>24816</v>
      </c>
      <c r="W269">
        <v>51</v>
      </c>
      <c r="X269">
        <v>25398</v>
      </c>
      <c r="Y269" s="26">
        <f t="shared" si="4"/>
        <v>351</v>
      </c>
    </row>
    <row r="270" spans="1:25" x14ac:dyDescent="0.25">
      <c r="A270" t="s">
        <v>2154</v>
      </c>
      <c r="B270" t="s">
        <v>2155</v>
      </c>
      <c r="C270" s="22">
        <v>42647</v>
      </c>
      <c r="D270" t="s">
        <v>2026</v>
      </c>
      <c r="E270" t="s">
        <v>2019</v>
      </c>
      <c r="F270" t="s">
        <v>2416</v>
      </c>
      <c r="G270">
        <v>33</v>
      </c>
      <c r="H270">
        <v>15840</v>
      </c>
      <c r="I270">
        <v>2</v>
      </c>
      <c r="J270">
        <v>944</v>
      </c>
      <c r="K270">
        <v>63</v>
      </c>
      <c r="L270">
        <v>28476</v>
      </c>
      <c r="M270">
        <v>17</v>
      </c>
      <c r="N270">
        <v>7174</v>
      </c>
      <c r="O270">
        <v>38</v>
      </c>
      <c r="P270">
        <v>18924</v>
      </c>
      <c r="Q270">
        <v>35</v>
      </c>
      <c r="R270">
        <v>17045</v>
      </c>
      <c r="S270">
        <v>35</v>
      </c>
      <c r="T270">
        <v>19180</v>
      </c>
      <c r="U270">
        <v>14</v>
      </c>
      <c r="V270">
        <v>6678</v>
      </c>
      <c r="W270">
        <v>58</v>
      </c>
      <c r="X270">
        <v>28420</v>
      </c>
      <c r="Y270" s="26">
        <f t="shared" si="4"/>
        <v>295</v>
      </c>
    </row>
    <row r="271" spans="1:25" x14ac:dyDescent="0.25">
      <c r="A271" t="s">
        <v>2156</v>
      </c>
      <c r="B271" t="s">
        <v>2157</v>
      </c>
      <c r="C271" s="22">
        <v>42754</v>
      </c>
      <c r="D271" t="s">
        <v>2026</v>
      </c>
      <c r="E271" t="s">
        <v>2019</v>
      </c>
      <c r="F271" t="s">
        <v>2416</v>
      </c>
      <c r="G271">
        <v>20</v>
      </c>
      <c r="H271">
        <v>9300</v>
      </c>
      <c r="I271">
        <v>18</v>
      </c>
      <c r="J271">
        <v>9234</v>
      </c>
      <c r="K271">
        <v>50</v>
      </c>
      <c r="L271">
        <v>20350</v>
      </c>
      <c r="M271">
        <v>57</v>
      </c>
      <c r="N271">
        <v>25536</v>
      </c>
      <c r="O271">
        <v>12</v>
      </c>
      <c r="P271">
        <v>5904</v>
      </c>
      <c r="Q271">
        <v>70</v>
      </c>
      <c r="R271">
        <v>30240</v>
      </c>
      <c r="S271">
        <v>72</v>
      </c>
      <c r="T271">
        <v>36504</v>
      </c>
      <c r="U271">
        <v>16</v>
      </c>
      <c r="V271">
        <v>6480</v>
      </c>
      <c r="W271">
        <v>46</v>
      </c>
      <c r="X271">
        <v>25024</v>
      </c>
      <c r="Y271" s="26">
        <f t="shared" si="4"/>
        <v>361</v>
      </c>
    </row>
    <row r="272" spans="1:25" x14ac:dyDescent="0.25">
      <c r="A272" t="s">
        <v>2158</v>
      </c>
      <c r="B272" t="s">
        <v>2159</v>
      </c>
      <c r="C272" s="22">
        <v>42790</v>
      </c>
      <c r="D272" t="s">
        <v>2026</v>
      </c>
      <c r="E272" t="s">
        <v>2027</v>
      </c>
      <c r="F272" t="s">
        <v>2416</v>
      </c>
      <c r="G272">
        <v>27</v>
      </c>
      <c r="H272">
        <v>12906</v>
      </c>
      <c r="I272">
        <v>71</v>
      </c>
      <c r="J272">
        <v>36849</v>
      </c>
      <c r="K272">
        <v>67</v>
      </c>
      <c r="L272">
        <v>29413</v>
      </c>
      <c r="M272">
        <v>72</v>
      </c>
      <c r="N272">
        <v>29448</v>
      </c>
      <c r="O272">
        <v>1</v>
      </c>
      <c r="P272">
        <v>490</v>
      </c>
      <c r="Q272">
        <v>39</v>
      </c>
      <c r="R272">
        <v>17628</v>
      </c>
      <c r="S272">
        <v>49</v>
      </c>
      <c r="T272">
        <v>21462</v>
      </c>
      <c r="U272">
        <v>31</v>
      </c>
      <c r="V272">
        <v>15624</v>
      </c>
      <c r="W272">
        <v>64</v>
      </c>
      <c r="X272">
        <v>27520</v>
      </c>
      <c r="Y272" s="26">
        <f t="shared" si="4"/>
        <v>421</v>
      </c>
    </row>
    <row r="273" spans="1:25" x14ac:dyDescent="0.25">
      <c r="A273" t="s">
        <v>2160</v>
      </c>
      <c r="B273" t="s">
        <v>2161</v>
      </c>
      <c r="C273" s="22">
        <v>42526</v>
      </c>
      <c r="D273" t="s">
        <v>2014</v>
      </c>
      <c r="E273" t="s">
        <v>2019</v>
      </c>
      <c r="F273" t="s">
        <v>2416</v>
      </c>
      <c r="G273">
        <v>34</v>
      </c>
      <c r="H273">
        <v>17306</v>
      </c>
      <c r="I273">
        <v>22</v>
      </c>
      <c r="J273">
        <v>10274</v>
      </c>
      <c r="K273">
        <v>68</v>
      </c>
      <c r="L273">
        <v>32096</v>
      </c>
      <c r="M273">
        <v>8</v>
      </c>
      <c r="N273">
        <v>4296</v>
      </c>
      <c r="O273">
        <v>44</v>
      </c>
      <c r="P273">
        <v>18612</v>
      </c>
      <c r="Q273">
        <v>39</v>
      </c>
      <c r="R273">
        <v>19266</v>
      </c>
      <c r="S273">
        <v>18</v>
      </c>
      <c r="T273">
        <v>8460</v>
      </c>
      <c r="U273">
        <v>30</v>
      </c>
      <c r="V273">
        <v>13530</v>
      </c>
      <c r="W273">
        <v>73</v>
      </c>
      <c r="X273">
        <v>30806</v>
      </c>
      <c r="Y273" s="26">
        <f t="shared" si="4"/>
        <v>336</v>
      </c>
    </row>
    <row r="274" spans="1:25" x14ac:dyDescent="0.25">
      <c r="A274" t="s">
        <v>2162</v>
      </c>
      <c r="B274" t="s">
        <v>2163</v>
      </c>
      <c r="C274" s="22">
        <v>42594</v>
      </c>
      <c r="D274" t="s">
        <v>2014</v>
      </c>
      <c r="E274" t="s">
        <v>2015</v>
      </c>
      <c r="F274" t="s">
        <v>2416</v>
      </c>
      <c r="G274">
        <v>23</v>
      </c>
      <c r="H274">
        <v>10879</v>
      </c>
      <c r="I274">
        <v>41</v>
      </c>
      <c r="J274">
        <v>20705</v>
      </c>
      <c r="K274">
        <v>71</v>
      </c>
      <c r="L274">
        <v>30814</v>
      </c>
      <c r="M274">
        <v>26</v>
      </c>
      <c r="N274">
        <v>11518</v>
      </c>
      <c r="O274">
        <v>26</v>
      </c>
      <c r="P274">
        <v>13078</v>
      </c>
      <c r="Q274">
        <v>44</v>
      </c>
      <c r="R274">
        <v>21560</v>
      </c>
      <c r="S274">
        <v>19</v>
      </c>
      <c r="T274">
        <v>10241</v>
      </c>
      <c r="U274">
        <v>32</v>
      </c>
      <c r="V274">
        <v>15296</v>
      </c>
      <c r="W274">
        <v>3</v>
      </c>
      <c r="X274">
        <v>1233</v>
      </c>
      <c r="Y274" s="26">
        <f t="shared" si="4"/>
        <v>285</v>
      </c>
    </row>
    <row r="275" spans="1:25" x14ac:dyDescent="0.25">
      <c r="A275" t="s">
        <v>2164</v>
      </c>
      <c r="B275" t="s">
        <v>2165</v>
      </c>
      <c r="C275" s="22">
        <v>42340</v>
      </c>
      <c r="D275" t="s">
        <v>2014</v>
      </c>
      <c r="E275" t="s">
        <v>2015</v>
      </c>
      <c r="F275" t="s">
        <v>2416</v>
      </c>
      <c r="G275">
        <v>47</v>
      </c>
      <c r="H275">
        <v>21479</v>
      </c>
      <c r="I275">
        <v>29</v>
      </c>
      <c r="J275">
        <v>13659</v>
      </c>
      <c r="K275">
        <v>69</v>
      </c>
      <c r="L275">
        <v>31878</v>
      </c>
      <c r="M275">
        <v>38</v>
      </c>
      <c r="N275">
        <v>18164</v>
      </c>
      <c r="O275">
        <v>35</v>
      </c>
      <c r="P275">
        <v>15855</v>
      </c>
      <c r="Q275">
        <v>39</v>
      </c>
      <c r="R275">
        <v>17277</v>
      </c>
      <c r="S275">
        <v>68</v>
      </c>
      <c r="T275">
        <v>33524</v>
      </c>
      <c r="U275">
        <v>20</v>
      </c>
      <c r="V275">
        <v>10020</v>
      </c>
      <c r="W275">
        <v>66</v>
      </c>
      <c r="X275">
        <v>30096</v>
      </c>
      <c r="Y275" s="26">
        <f t="shared" si="4"/>
        <v>411</v>
      </c>
    </row>
    <row r="276" spans="1:25" x14ac:dyDescent="0.25">
      <c r="A276" t="s">
        <v>2166</v>
      </c>
      <c r="B276" t="s">
        <v>2167</v>
      </c>
      <c r="C276" s="22">
        <v>43226</v>
      </c>
      <c r="D276" t="s">
        <v>2026</v>
      </c>
      <c r="E276" t="s">
        <v>2019</v>
      </c>
      <c r="F276" t="s">
        <v>2416</v>
      </c>
      <c r="G276">
        <v>36</v>
      </c>
      <c r="H276">
        <v>17388</v>
      </c>
      <c r="I276">
        <v>30</v>
      </c>
      <c r="J276">
        <v>12090</v>
      </c>
      <c r="K276">
        <v>37</v>
      </c>
      <c r="L276">
        <v>18537</v>
      </c>
      <c r="M276">
        <v>70</v>
      </c>
      <c r="N276">
        <v>32760</v>
      </c>
      <c r="O276">
        <v>52</v>
      </c>
      <c r="P276">
        <v>28340</v>
      </c>
      <c r="Q276">
        <v>36</v>
      </c>
      <c r="R276">
        <v>19080</v>
      </c>
      <c r="S276">
        <v>32</v>
      </c>
      <c r="T276">
        <v>14016</v>
      </c>
      <c r="U276">
        <v>63</v>
      </c>
      <c r="V276">
        <v>26082</v>
      </c>
      <c r="W276">
        <v>73</v>
      </c>
      <c r="X276">
        <v>32047</v>
      </c>
      <c r="Y276" s="26">
        <f t="shared" si="4"/>
        <v>429</v>
      </c>
    </row>
    <row r="277" spans="1:25" x14ac:dyDescent="0.25">
      <c r="A277" t="s">
        <v>2168</v>
      </c>
      <c r="B277" t="s">
        <v>2169</v>
      </c>
      <c r="C277" s="22">
        <v>43852</v>
      </c>
      <c r="D277" t="s">
        <v>2026</v>
      </c>
      <c r="E277" t="s">
        <v>2027</v>
      </c>
      <c r="F277" t="s">
        <v>2416</v>
      </c>
      <c r="G277">
        <v>7</v>
      </c>
      <c r="H277">
        <v>3262</v>
      </c>
      <c r="I277">
        <v>12</v>
      </c>
      <c r="J277">
        <v>5280</v>
      </c>
      <c r="K277">
        <v>8</v>
      </c>
      <c r="L277">
        <v>3320</v>
      </c>
      <c r="M277">
        <v>16</v>
      </c>
      <c r="N277">
        <v>7056</v>
      </c>
      <c r="O277">
        <v>55</v>
      </c>
      <c r="P277">
        <v>26895</v>
      </c>
      <c r="Q277">
        <v>12</v>
      </c>
      <c r="R277">
        <v>6060</v>
      </c>
      <c r="S277">
        <v>41</v>
      </c>
      <c r="T277">
        <v>16728</v>
      </c>
      <c r="U277">
        <v>4</v>
      </c>
      <c r="V277">
        <v>1624</v>
      </c>
      <c r="W277">
        <v>40</v>
      </c>
      <c r="X277">
        <v>19680</v>
      </c>
      <c r="Y277" s="26">
        <f t="shared" si="4"/>
        <v>195</v>
      </c>
    </row>
    <row r="278" spans="1:25" x14ac:dyDescent="0.25">
      <c r="A278" t="s">
        <v>2170</v>
      </c>
      <c r="B278" t="s">
        <v>2171</v>
      </c>
      <c r="C278" s="22">
        <v>43650</v>
      </c>
      <c r="D278" t="s">
        <v>2014</v>
      </c>
      <c r="E278" t="s">
        <v>2019</v>
      </c>
      <c r="F278" t="s">
        <v>2416</v>
      </c>
      <c r="G278">
        <v>50</v>
      </c>
      <c r="H278">
        <v>24000</v>
      </c>
      <c r="I278">
        <v>54</v>
      </c>
      <c r="J278">
        <v>27324</v>
      </c>
      <c r="K278">
        <v>67</v>
      </c>
      <c r="L278">
        <v>26867</v>
      </c>
      <c r="M278">
        <v>31</v>
      </c>
      <c r="N278">
        <v>16554</v>
      </c>
      <c r="O278">
        <v>21</v>
      </c>
      <c r="P278">
        <v>9534</v>
      </c>
      <c r="Q278">
        <v>39</v>
      </c>
      <c r="R278">
        <v>20007</v>
      </c>
      <c r="S278">
        <v>63</v>
      </c>
      <c r="T278">
        <v>29610</v>
      </c>
      <c r="U278">
        <v>16</v>
      </c>
      <c r="V278">
        <v>6816</v>
      </c>
      <c r="W278">
        <v>40</v>
      </c>
      <c r="X278">
        <v>16120</v>
      </c>
      <c r="Y278" s="26">
        <f t="shared" si="4"/>
        <v>381</v>
      </c>
    </row>
    <row r="279" spans="1:25" x14ac:dyDescent="0.25">
      <c r="A279" t="s">
        <v>2172</v>
      </c>
      <c r="B279" t="s">
        <v>2173</v>
      </c>
      <c r="C279" s="22">
        <v>43537</v>
      </c>
      <c r="D279" t="s">
        <v>2026</v>
      </c>
      <c r="E279" t="s">
        <v>2015</v>
      </c>
      <c r="F279" t="s">
        <v>2416</v>
      </c>
      <c r="G279">
        <v>75</v>
      </c>
      <c r="H279">
        <v>39825</v>
      </c>
      <c r="I279">
        <v>35</v>
      </c>
      <c r="J279">
        <v>16135</v>
      </c>
      <c r="K279">
        <v>52</v>
      </c>
      <c r="L279">
        <v>25532</v>
      </c>
      <c r="M279">
        <v>43</v>
      </c>
      <c r="N279">
        <v>22876</v>
      </c>
      <c r="O279">
        <v>6</v>
      </c>
      <c r="P279">
        <v>2802</v>
      </c>
      <c r="Q279">
        <v>47</v>
      </c>
      <c r="R279">
        <v>25615</v>
      </c>
      <c r="S279">
        <v>58</v>
      </c>
      <c r="T279">
        <v>30102</v>
      </c>
      <c r="U279">
        <v>32</v>
      </c>
      <c r="V279">
        <v>17440</v>
      </c>
      <c r="W279">
        <v>75</v>
      </c>
      <c r="X279">
        <v>37500</v>
      </c>
      <c r="Y279" s="26">
        <f t="shared" si="4"/>
        <v>423</v>
      </c>
    </row>
    <row r="280" spans="1:25" x14ac:dyDescent="0.25">
      <c r="A280" t="s">
        <v>2174</v>
      </c>
      <c r="B280" t="s">
        <v>2175</v>
      </c>
      <c r="C280" s="22">
        <v>43726</v>
      </c>
      <c r="D280" t="s">
        <v>2014</v>
      </c>
      <c r="E280" t="s">
        <v>2027</v>
      </c>
      <c r="F280" t="s">
        <v>2416</v>
      </c>
      <c r="G280">
        <v>59</v>
      </c>
      <c r="H280">
        <v>24662</v>
      </c>
      <c r="I280">
        <v>3</v>
      </c>
      <c r="J280">
        <v>1389</v>
      </c>
      <c r="K280">
        <v>39</v>
      </c>
      <c r="L280">
        <v>17121</v>
      </c>
      <c r="M280">
        <v>10</v>
      </c>
      <c r="N280">
        <v>5110</v>
      </c>
      <c r="O280">
        <v>26</v>
      </c>
      <c r="P280">
        <v>11336</v>
      </c>
      <c r="Q280">
        <v>56</v>
      </c>
      <c r="R280">
        <v>29344</v>
      </c>
      <c r="S280">
        <v>35</v>
      </c>
      <c r="T280">
        <v>17360</v>
      </c>
      <c r="U280">
        <v>21</v>
      </c>
      <c r="V280">
        <v>10206</v>
      </c>
      <c r="W280">
        <v>21</v>
      </c>
      <c r="X280">
        <v>11172</v>
      </c>
      <c r="Y280" s="26">
        <f t="shared" si="4"/>
        <v>270</v>
      </c>
    </row>
    <row r="281" spans="1:25" x14ac:dyDescent="0.25">
      <c r="A281" t="s">
        <v>2176</v>
      </c>
      <c r="B281" t="s">
        <v>2177</v>
      </c>
      <c r="C281" s="22">
        <v>43937</v>
      </c>
      <c r="D281" t="s">
        <v>2014</v>
      </c>
      <c r="E281" t="s">
        <v>2015</v>
      </c>
      <c r="F281" t="s">
        <v>2416</v>
      </c>
      <c r="G281">
        <v>38</v>
      </c>
      <c r="H281">
        <v>18696</v>
      </c>
      <c r="I281">
        <v>70</v>
      </c>
      <c r="J281">
        <v>36610</v>
      </c>
      <c r="K281">
        <v>51</v>
      </c>
      <c r="L281">
        <v>23715</v>
      </c>
      <c r="M281">
        <v>10</v>
      </c>
      <c r="N281">
        <v>4310</v>
      </c>
      <c r="O281">
        <v>57</v>
      </c>
      <c r="P281">
        <v>27759</v>
      </c>
      <c r="Q281">
        <v>69</v>
      </c>
      <c r="R281">
        <v>29670</v>
      </c>
      <c r="S281">
        <v>50</v>
      </c>
      <c r="T281">
        <v>22900</v>
      </c>
      <c r="U281">
        <v>33</v>
      </c>
      <c r="V281">
        <v>13299</v>
      </c>
      <c r="W281">
        <v>22</v>
      </c>
      <c r="X281">
        <v>8954</v>
      </c>
      <c r="Y281" s="26">
        <f t="shared" si="4"/>
        <v>400</v>
      </c>
    </row>
    <row r="282" spans="1:25" x14ac:dyDescent="0.25">
      <c r="A282" t="s">
        <v>2178</v>
      </c>
      <c r="B282" t="s">
        <v>2179</v>
      </c>
      <c r="C282" s="22">
        <v>43005</v>
      </c>
      <c r="D282" t="s">
        <v>2026</v>
      </c>
      <c r="E282" t="s">
        <v>2019</v>
      </c>
      <c r="F282" t="s">
        <v>2416</v>
      </c>
      <c r="G282">
        <v>24</v>
      </c>
      <c r="H282">
        <v>9840</v>
      </c>
      <c r="I282">
        <v>17</v>
      </c>
      <c r="J282">
        <v>8551</v>
      </c>
      <c r="K282">
        <v>52</v>
      </c>
      <c r="L282">
        <v>24596</v>
      </c>
      <c r="M282">
        <v>17</v>
      </c>
      <c r="N282">
        <v>8857</v>
      </c>
      <c r="O282">
        <v>67</v>
      </c>
      <c r="P282">
        <v>34304</v>
      </c>
      <c r="Q282">
        <v>74</v>
      </c>
      <c r="R282">
        <v>34558</v>
      </c>
      <c r="S282">
        <v>46</v>
      </c>
      <c r="T282">
        <v>18998</v>
      </c>
      <c r="U282">
        <v>5</v>
      </c>
      <c r="V282">
        <v>2745</v>
      </c>
      <c r="W282">
        <v>31</v>
      </c>
      <c r="X282">
        <v>16399</v>
      </c>
      <c r="Y282" s="26">
        <f t="shared" si="4"/>
        <v>333</v>
      </c>
    </row>
    <row r="283" spans="1:25" x14ac:dyDescent="0.25">
      <c r="A283" t="s">
        <v>2180</v>
      </c>
      <c r="B283" t="s">
        <v>2181</v>
      </c>
      <c r="C283" s="22">
        <v>44155</v>
      </c>
      <c r="D283" t="s">
        <v>2026</v>
      </c>
      <c r="E283" t="s">
        <v>2015</v>
      </c>
      <c r="F283" t="s">
        <v>2416</v>
      </c>
      <c r="G283">
        <v>17</v>
      </c>
      <c r="H283">
        <v>7395</v>
      </c>
      <c r="I283">
        <v>28</v>
      </c>
      <c r="J283">
        <v>13916</v>
      </c>
      <c r="K283">
        <v>57</v>
      </c>
      <c r="L283">
        <v>31065</v>
      </c>
      <c r="M283">
        <v>19</v>
      </c>
      <c r="N283">
        <v>9557</v>
      </c>
      <c r="O283">
        <v>63</v>
      </c>
      <c r="P283">
        <v>26901</v>
      </c>
      <c r="Q283">
        <v>25</v>
      </c>
      <c r="R283">
        <v>13525</v>
      </c>
      <c r="S283">
        <v>20</v>
      </c>
      <c r="T283">
        <v>9060</v>
      </c>
      <c r="U283">
        <v>2</v>
      </c>
      <c r="V283">
        <v>904</v>
      </c>
      <c r="W283">
        <v>46</v>
      </c>
      <c r="X283">
        <v>21850</v>
      </c>
      <c r="Y283" s="26">
        <f t="shared" si="4"/>
        <v>277</v>
      </c>
    </row>
    <row r="284" spans="1:25" x14ac:dyDescent="0.25">
      <c r="A284" t="s">
        <v>2182</v>
      </c>
      <c r="B284" t="s">
        <v>2183</v>
      </c>
      <c r="C284" s="22">
        <v>42759</v>
      </c>
      <c r="D284" t="s">
        <v>2014</v>
      </c>
      <c r="E284" t="s">
        <v>2027</v>
      </c>
      <c r="F284" t="s">
        <v>2416</v>
      </c>
      <c r="G284">
        <v>54</v>
      </c>
      <c r="H284">
        <v>24840</v>
      </c>
      <c r="I284">
        <v>60</v>
      </c>
      <c r="J284">
        <v>25380</v>
      </c>
      <c r="K284">
        <v>5</v>
      </c>
      <c r="L284">
        <v>2440</v>
      </c>
      <c r="M284">
        <v>16</v>
      </c>
      <c r="N284">
        <v>8672</v>
      </c>
      <c r="O284">
        <v>9</v>
      </c>
      <c r="P284">
        <v>4806</v>
      </c>
      <c r="Q284">
        <v>11</v>
      </c>
      <c r="R284">
        <v>5522</v>
      </c>
      <c r="S284">
        <v>50</v>
      </c>
      <c r="T284">
        <v>22900</v>
      </c>
      <c r="U284">
        <v>23</v>
      </c>
      <c r="V284">
        <v>9453</v>
      </c>
      <c r="W284">
        <v>58</v>
      </c>
      <c r="X284">
        <v>23548</v>
      </c>
      <c r="Y284" s="26">
        <f t="shared" si="4"/>
        <v>286</v>
      </c>
    </row>
    <row r="285" spans="1:25" x14ac:dyDescent="0.25">
      <c r="A285" t="s">
        <v>2184</v>
      </c>
      <c r="B285" t="s">
        <v>2185</v>
      </c>
      <c r="C285" s="22">
        <v>43807</v>
      </c>
      <c r="D285" t="s">
        <v>2014</v>
      </c>
      <c r="E285" t="s">
        <v>2027</v>
      </c>
      <c r="F285" t="s">
        <v>2416</v>
      </c>
      <c r="G285">
        <v>44</v>
      </c>
      <c r="H285">
        <v>22924</v>
      </c>
      <c r="I285">
        <v>67</v>
      </c>
      <c r="J285">
        <v>29346</v>
      </c>
      <c r="K285">
        <v>10</v>
      </c>
      <c r="L285">
        <v>4130</v>
      </c>
      <c r="M285">
        <v>8</v>
      </c>
      <c r="N285">
        <v>4088</v>
      </c>
      <c r="O285">
        <v>67</v>
      </c>
      <c r="P285">
        <v>28743</v>
      </c>
      <c r="Q285">
        <v>72</v>
      </c>
      <c r="R285">
        <v>35640</v>
      </c>
      <c r="S285">
        <v>3</v>
      </c>
      <c r="T285">
        <v>1503</v>
      </c>
      <c r="U285">
        <v>42</v>
      </c>
      <c r="V285">
        <v>22890</v>
      </c>
      <c r="W285">
        <v>1</v>
      </c>
      <c r="X285">
        <v>527</v>
      </c>
      <c r="Y285" s="26">
        <f t="shared" si="4"/>
        <v>314</v>
      </c>
    </row>
    <row r="286" spans="1:25" x14ac:dyDescent="0.25">
      <c r="A286" t="s">
        <v>2186</v>
      </c>
      <c r="B286" t="s">
        <v>2187</v>
      </c>
      <c r="C286" s="22">
        <v>43126</v>
      </c>
      <c r="D286" t="s">
        <v>2014</v>
      </c>
      <c r="E286" t="s">
        <v>2027</v>
      </c>
      <c r="F286" t="s">
        <v>2416</v>
      </c>
      <c r="G286">
        <v>71</v>
      </c>
      <c r="H286">
        <v>36565</v>
      </c>
      <c r="I286">
        <v>54</v>
      </c>
      <c r="J286">
        <v>28404</v>
      </c>
      <c r="K286">
        <v>11</v>
      </c>
      <c r="L286">
        <v>5720</v>
      </c>
      <c r="M286">
        <v>19</v>
      </c>
      <c r="N286">
        <v>7714</v>
      </c>
      <c r="O286">
        <v>63</v>
      </c>
      <c r="P286">
        <v>31563</v>
      </c>
      <c r="Q286">
        <v>32</v>
      </c>
      <c r="R286">
        <v>12960</v>
      </c>
      <c r="S286">
        <v>53</v>
      </c>
      <c r="T286">
        <v>27613</v>
      </c>
      <c r="U286">
        <v>34</v>
      </c>
      <c r="V286">
        <v>17884</v>
      </c>
      <c r="W286">
        <v>47</v>
      </c>
      <c r="X286">
        <v>21620</v>
      </c>
      <c r="Y286" s="26">
        <f t="shared" si="4"/>
        <v>384</v>
      </c>
    </row>
    <row r="287" spans="1:25" x14ac:dyDescent="0.25">
      <c r="A287" t="s">
        <v>2188</v>
      </c>
      <c r="B287" t="s">
        <v>2189</v>
      </c>
      <c r="C287" s="22">
        <v>43126</v>
      </c>
      <c r="D287" t="s">
        <v>2014</v>
      </c>
      <c r="E287" t="s">
        <v>2015</v>
      </c>
      <c r="F287" t="s">
        <v>2416</v>
      </c>
      <c r="G287">
        <v>13</v>
      </c>
      <c r="H287">
        <v>6279</v>
      </c>
      <c r="I287">
        <v>1</v>
      </c>
      <c r="J287">
        <v>479</v>
      </c>
      <c r="K287">
        <v>26</v>
      </c>
      <c r="L287">
        <v>13078</v>
      </c>
      <c r="M287">
        <v>38</v>
      </c>
      <c r="N287">
        <v>15314</v>
      </c>
      <c r="O287">
        <v>11</v>
      </c>
      <c r="P287">
        <v>5357</v>
      </c>
      <c r="Q287">
        <v>19</v>
      </c>
      <c r="R287">
        <v>9025</v>
      </c>
      <c r="S287">
        <v>37</v>
      </c>
      <c r="T287">
        <v>17945</v>
      </c>
      <c r="U287">
        <v>46</v>
      </c>
      <c r="V287">
        <v>18814</v>
      </c>
      <c r="W287">
        <v>7</v>
      </c>
      <c r="X287">
        <v>2884</v>
      </c>
      <c r="Y287" s="26">
        <f t="shared" si="4"/>
        <v>198</v>
      </c>
    </row>
    <row r="288" spans="1:25" x14ac:dyDescent="0.25">
      <c r="A288" t="s">
        <v>2190</v>
      </c>
      <c r="B288" t="s">
        <v>2191</v>
      </c>
      <c r="C288" s="22">
        <v>44068</v>
      </c>
      <c r="D288" t="s">
        <v>2014</v>
      </c>
      <c r="E288" t="s">
        <v>2027</v>
      </c>
      <c r="F288" t="s">
        <v>2416</v>
      </c>
      <c r="G288">
        <v>21</v>
      </c>
      <c r="H288">
        <v>10143</v>
      </c>
      <c r="I288">
        <v>2</v>
      </c>
      <c r="J288">
        <v>1098</v>
      </c>
      <c r="K288">
        <v>37</v>
      </c>
      <c r="L288">
        <v>19203</v>
      </c>
      <c r="M288">
        <v>19</v>
      </c>
      <c r="N288">
        <v>10146</v>
      </c>
      <c r="O288">
        <v>33</v>
      </c>
      <c r="P288">
        <v>17820</v>
      </c>
      <c r="Q288">
        <v>49</v>
      </c>
      <c r="R288">
        <v>21952</v>
      </c>
      <c r="S288">
        <v>48</v>
      </c>
      <c r="T288">
        <v>21120</v>
      </c>
      <c r="U288">
        <v>0</v>
      </c>
      <c r="V288">
        <v>0</v>
      </c>
      <c r="W288">
        <v>35</v>
      </c>
      <c r="X288">
        <v>16205</v>
      </c>
      <c r="Y288" s="26">
        <f t="shared" si="4"/>
        <v>244</v>
      </c>
    </row>
    <row r="289" spans="1:25" x14ac:dyDescent="0.25">
      <c r="A289" t="s">
        <v>2192</v>
      </c>
      <c r="B289" t="s">
        <v>2193</v>
      </c>
      <c r="C289" s="22">
        <v>43227</v>
      </c>
      <c r="D289" t="s">
        <v>2026</v>
      </c>
      <c r="E289" t="s">
        <v>2019</v>
      </c>
      <c r="F289" t="s">
        <v>2416</v>
      </c>
      <c r="G289">
        <v>6</v>
      </c>
      <c r="H289">
        <v>2616</v>
      </c>
      <c r="I289">
        <v>64</v>
      </c>
      <c r="J289">
        <v>30208</v>
      </c>
      <c r="K289">
        <v>31</v>
      </c>
      <c r="L289">
        <v>13237</v>
      </c>
      <c r="M289">
        <v>42</v>
      </c>
      <c r="N289">
        <v>21546</v>
      </c>
      <c r="O289">
        <v>62</v>
      </c>
      <c r="P289">
        <v>27342</v>
      </c>
      <c r="Q289">
        <v>69</v>
      </c>
      <c r="R289">
        <v>27945</v>
      </c>
      <c r="S289">
        <v>64</v>
      </c>
      <c r="T289">
        <v>31488</v>
      </c>
      <c r="U289">
        <v>42</v>
      </c>
      <c r="V289">
        <v>20496</v>
      </c>
      <c r="W289">
        <v>12</v>
      </c>
      <c r="X289">
        <v>5340</v>
      </c>
      <c r="Y289" s="26">
        <f t="shared" si="4"/>
        <v>392</v>
      </c>
    </row>
    <row r="290" spans="1:25" x14ac:dyDescent="0.25">
      <c r="A290" t="s">
        <v>2194</v>
      </c>
      <c r="B290" t="s">
        <v>2195</v>
      </c>
      <c r="C290" s="22">
        <v>42125</v>
      </c>
      <c r="D290" t="s">
        <v>2026</v>
      </c>
      <c r="E290" t="s">
        <v>2027</v>
      </c>
      <c r="F290" t="s">
        <v>2416</v>
      </c>
      <c r="G290">
        <v>13</v>
      </c>
      <c r="H290">
        <v>5200</v>
      </c>
      <c r="I290">
        <v>1</v>
      </c>
      <c r="J290">
        <v>495</v>
      </c>
      <c r="K290">
        <v>46</v>
      </c>
      <c r="L290">
        <v>22172</v>
      </c>
      <c r="M290">
        <v>7</v>
      </c>
      <c r="N290">
        <v>3402</v>
      </c>
      <c r="O290">
        <v>71</v>
      </c>
      <c r="P290">
        <v>34577</v>
      </c>
      <c r="Q290">
        <v>76</v>
      </c>
      <c r="R290">
        <v>33972</v>
      </c>
      <c r="S290">
        <v>43</v>
      </c>
      <c r="T290">
        <v>17286</v>
      </c>
      <c r="U290">
        <v>44</v>
      </c>
      <c r="V290">
        <v>19448</v>
      </c>
      <c r="W290">
        <v>7</v>
      </c>
      <c r="X290">
        <v>3164</v>
      </c>
      <c r="Y290" s="26">
        <f t="shared" si="4"/>
        <v>308</v>
      </c>
    </row>
    <row r="291" spans="1:25" x14ac:dyDescent="0.25">
      <c r="A291" t="s">
        <v>2196</v>
      </c>
      <c r="B291" t="s">
        <v>2197</v>
      </c>
      <c r="C291" s="22">
        <v>42784</v>
      </c>
      <c r="D291" t="s">
        <v>2014</v>
      </c>
      <c r="E291" t="s">
        <v>2027</v>
      </c>
      <c r="F291" t="s">
        <v>2416</v>
      </c>
      <c r="G291">
        <v>46</v>
      </c>
      <c r="H291">
        <v>22816</v>
      </c>
      <c r="I291">
        <v>2</v>
      </c>
      <c r="J291">
        <v>994</v>
      </c>
      <c r="K291">
        <v>51</v>
      </c>
      <c r="L291">
        <v>22542</v>
      </c>
      <c r="M291">
        <v>18</v>
      </c>
      <c r="N291">
        <v>8856</v>
      </c>
      <c r="O291">
        <v>36</v>
      </c>
      <c r="P291">
        <v>18144</v>
      </c>
      <c r="Q291">
        <v>23</v>
      </c>
      <c r="R291">
        <v>11408</v>
      </c>
      <c r="S291">
        <v>51</v>
      </c>
      <c r="T291">
        <v>23409</v>
      </c>
      <c r="U291">
        <v>53</v>
      </c>
      <c r="V291">
        <v>26394</v>
      </c>
      <c r="W291">
        <v>39</v>
      </c>
      <c r="X291">
        <v>18720</v>
      </c>
      <c r="Y291" s="26">
        <f t="shared" si="4"/>
        <v>319</v>
      </c>
    </row>
    <row r="292" spans="1:25" x14ac:dyDescent="0.25">
      <c r="A292" t="s">
        <v>2198</v>
      </c>
      <c r="B292" t="s">
        <v>2199</v>
      </c>
      <c r="C292" s="22">
        <v>44046</v>
      </c>
      <c r="D292" t="s">
        <v>2014</v>
      </c>
      <c r="E292" t="s">
        <v>2019</v>
      </c>
      <c r="F292" t="s">
        <v>2416</v>
      </c>
      <c r="G292">
        <v>63</v>
      </c>
      <c r="H292">
        <v>32886</v>
      </c>
      <c r="I292">
        <v>22</v>
      </c>
      <c r="J292">
        <v>12034</v>
      </c>
      <c r="K292">
        <v>21</v>
      </c>
      <c r="L292">
        <v>8862</v>
      </c>
      <c r="M292">
        <v>5</v>
      </c>
      <c r="N292">
        <v>2225</v>
      </c>
      <c r="O292">
        <v>57</v>
      </c>
      <c r="P292">
        <v>27816</v>
      </c>
      <c r="Q292">
        <v>2</v>
      </c>
      <c r="R292">
        <v>802</v>
      </c>
      <c r="S292">
        <v>35</v>
      </c>
      <c r="T292">
        <v>14560</v>
      </c>
      <c r="U292">
        <v>7</v>
      </c>
      <c r="V292">
        <v>3297</v>
      </c>
      <c r="W292">
        <v>61</v>
      </c>
      <c r="X292">
        <v>29097</v>
      </c>
      <c r="Y292" s="26">
        <f t="shared" si="4"/>
        <v>273</v>
      </c>
    </row>
    <row r="293" spans="1:25" x14ac:dyDescent="0.25">
      <c r="A293" t="s">
        <v>2200</v>
      </c>
      <c r="B293" t="s">
        <v>2201</v>
      </c>
      <c r="C293" s="22">
        <v>42040</v>
      </c>
      <c r="D293" t="s">
        <v>2014</v>
      </c>
      <c r="E293" t="s">
        <v>2027</v>
      </c>
      <c r="F293" t="s">
        <v>2416</v>
      </c>
      <c r="G293">
        <v>32</v>
      </c>
      <c r="H293">
        <v>13504</v>
      </c>
      <c r="I293">
        <v>15</v>
      </c>
      <c r="J293">
        <v>7920</v>
      </c>
      <c r="K293">
        <v>57</v>
      </c>
      <c r="L293">
        <v>30210</v>
      </c>
      <c r="M293">
        <v>53</v>
      </c>
      <c r="N293">
        <v>25175</v>
      </c>
      <c r="O293">
        <v>19</v>
      </c>
      <c r="P293">
        <v>8341</v>
      </c>
      <c r="Q293">
        <v>24</v>
      </c>
      <c r="R293">
        <v>13008</v>
      </c>
      <c r="S293">
        <v>18</v>
      </c>
      <c r="T293">
        <v>9594</v>
      </c>
      <c r="U293">
        <v>47</v>
      </c>
      <c r="V293">
        <v>25709</v>
      </c>
      <c r="W293">
        <v>18</v>
      </c>
      <c r="X293">
        <v>9288</v>
      </c>
      <c r="Y293" s="26">
        <f t="shared" si="4"/>
        <v>283</v>
      </c>
    </row>
    <row r="294" spans="1:25" x14ac:dyDescent="0.25">
      <c r="A294" t="s">
        <v>2202</v>
      </c>
      <c r="B294" t="s">
        <v>2203</v>
      </c>
      <c r="C294" s="22">
        <v>43043</v>
      </c>
      <c r="D294" t="s">
        <v>2014</v>
      </c>
      <c r="E294" t="s">
        <v>2027</v>
      </c>
      <c r="F294" t="s">
        <v>2416</v>
      </c>
      <c r="G294">
        <v>57</v>
      </c>
      <c r="H294">
        <v>24681</v>
      </c>
      <c r="I294">
        <v>11</v>
      </c>
      <c r="J294">
        <v>5621</v>
      </c>
      <c r="K294">
        <v>66</v>
      </c>
      <c r="L294">
        <v>31746</v>
      </c>
      <c r="M294">
        <v>44</v>
      </c>
      <c r="N294">
        <v>18480</v>
      </c>
      <c r="O294">
        <v>15</v>
      </c>
      <c r="P294">
        <v>6390</v>
      </c>
      <c r="Q294">
        <v>74</v>
      </c>
      <c r="R294">
        <v>30266</v>
      </c>
      <c r="S294">
        <v>23</v>
      </c>
      <c r="T294">
        <v>11316</v>
      </c>
      <c r="U294">
        <v>27</v>
      </c>
      <c r="V294">
        <v>13797</v>
      </c>
      <c r="W294">
        <v>1</v>
      </c>
      <c r="X294">
        <v>413</v>
      </c>
      <c r="Y294" s="26">
        <f t="shared" si="4"/>
        <v>318</v>
      </c>
    </row>
    <row r="295" spans="1:25" x14ac:dyDescent="0.25">
      <c r="A295" t="s">
        <v>2204</v>
      </c>
      <c r="B295" t="s">
        <v>2205</v>
      </c>
      <c r="C295" s="22">
        <v>42865</v>
      </c>
      <c r="D295" t="s">
        <v>2026</v>
      </c>
      <c r="E295" t="s">
        <v>2015</v>
      </c>
      <c r="F295" t="s">
        <v>2416</v>
      </c>
      <c r="G295">
        <v>44</v>
      </c>
      <c r="H295">
        <v>17820</v>
      </c>
      <c r="I295">
        <v>76</v>
      </c>
      <c r="J295">
        <v>30552</v>
      </c>
      <c r="K295">
        <v>11</v>
      </c>
      <c r="L295">
        <v>5467</v>
      </c>
      <c r="M295">
        <v>61</v>
      </c>
      <c r="N295">
        <v>29219</v>
      </c>
      <c r="O295">
        <v>13</v>
      </c>
      <c r="P295">
        <v>6864</v>
      </c>
      <c r="Q295">
        <v>42</v>
      </c>
      <c r="R295">
        <v>21588</v>
      </c>
      <c r="S295">
        <v>4</v>
      </c>
      <c r="T295">
        <v>2032</v>
      </c>
      <c r="U295">
        <v>75</v>
      </c>
      <c r="V295">
        <v>32100</v>
      </c>
      <c r="W295">
        <v>6</v>
      </c>
      <c r="X295">
        <v>3018</v>
      </c>
      <c r="Y295" s="26">
        <f t="shared" si="4"/>
        <v>332</v>
      </c>
    </row>
    <row r="296" spans="1:25" x14ac:dyDescent="0.25">
      <c r="A296" t="s">
        <v>2206</v>
      </c>
      <c r="B296" t="s">
        <v>2207</v>
      </c>
      <c r="C296" s="22">
        <v>42963</v>
      </c>
      <c r="D296" t="s">
        <v>2014</v>
      </c>
      <c r="E296" t="s">
        <v>2027</v>
      </c>
      <c r="F296" t="s">
        <v>2416</v>
      </c>
      <c r="G296">
        <v>19</v>
      </c>
      <c r="H296">
        <v>9937</v>
      </c>
      <c r="I296">
        <v>73</v>
      </c>
      <c r="J296">
        <v>34310</v>
      </c>
      <c r="K296">
        <v>25</v>
      </c>
      <c r="L296">
        <v>13500</v>
      </c>
      <c r="M296">
        <v>2</v>
      </c>
      <c r="N296">
        <v>1092</v>
      </c>
      <c r="O296">
        <v>57</v>
      </c>
      <c r="P296">
        <v>25935</v>
      </c>
      <c r="Q296">
        <v>51</v>
      </c>
      <c r="R296">
        <v>26010</v>
      </c>
      <c r="S296">
        <v>34</v>
      </c>
      <c r="T296">
        <v>15232</v>
      </c>
      <c r="U296">
        <v>4</v>
      </c>
      <c r="V296">
        <v>1800</v>
      </c>
      <c r="W296">
        <v>33</v>
      </c>
      <c r="X296">
        <v>14949</v>
      </c>
      <c r="Y296" s="26">
        <f t="shared" si="4"/>
        <v>298</v>
      </c>
    </row>
    <row r="297" spans="1:25" x14ac:dyDescent="0.25">
      <c r="A297" t="s">
        <v>2208</v>
      </c>
      <c r="B297" t="s">
        <v>2209</v>
      </c>
      <c r="C297" s="22">
        <v>43385</v>
      </c>
      <c r="D297" t="s">
        <v>2026</v>
      </c>
      <c r="E297" t="s">
        <v>2015</v>
      </c>
      <c r="F297" t="s">
        <v>2416</v>
      </c>
      <c r="G297">
        <v>18</v>
      </c>
      <c r="H297">
        <v>7308</v>
      </c>
      <c r="I297">
        <v>7</v>
      </c>
      <c r="J297">
        <v>3654</v>
      </c>
      <c r="K297">
        <v>14</v>
      </c>
      <c r="L297">
        <v>7280</v>
      </c>
      <c r="M297">
        <v>4</v>
      </c>
      <c r="N297">
        <v>1720</v>
      </c>
      <c r="O297">
        <v>21</v>
      </c>
      <c r="P297">
        <v>8652</v>
      </c>
      <c r="Q297">
        <v>62</v>
      </c>
      <c r="R297">
        <v>26970</v>
      </c>
      <c r="S297">
        <v>59</v>
      </c>
      <c r="T297">
        <v>27140</v>
      </c>
      <c r="U297">
        <v>4</v>
      </c>
      <c r="V297">
        <v>2060</v>
      </c>
      <c r="W297">
        <v>55</v>
      </c>
      <c r="X297">
        <v>29260</v>
      </c>
      <c r="Y297" s="26">
        <f t="shared" si="4"/>
        <v>244</v>
      </c>
    </row>
    <row r="298" spans="1:25" x14ac:dyDescent="0.25">
      <c r="A298" t="s">
        <v>2210</v>
      </c>
      <c r="B298" t="s">
        <v>2211</v>
      </c>
      <c r="C298" s="22">
        <v>42320</v>
      </c>
      <c r="D298" t="s">
        <v>2014</v>
      </c>
      <c r="E298" t="s">
        <v>2015</v>
      </c>
      <c r="F298" t="s">
        <v>2416</v>
      </c>
      <c r="G298">
        <v>58</v>
      </c>
      <c r="H298">
        <v>28246</v>
      </c>
      <c r="I298">
        <v>6</v>
      </c>
      <c r="J298">
        <v>2736</v>
      </c>
      <c r="K298">
        <v>71</v>
      </c>
      <c r="L298">
        <v>34506</v>
      </c>
      <c r="M298">
        <v>51</v>
      </c>
      <c r="N298">
        <v>24072</v>
      </c>
      <c r="O298">
        <v>7</v>
      </c>
      <c r="P298">
        <v>3297</v>
      </c>
      <c r="Q298">
        <v>18</v>
      </c>
      <c r="R298">
        <v>7452</v>
      </c>
      <c r="S298">
        <v>70</v>
      </c>
      <c r="T298">
        <v>35070</v>
      </c>
      <c r="U298">
        <v>67</v>
      </c>
      <c r="V298">
        <v>27470</v>
      </c>
      <c r="W298">
        <v>32</v>
      </c>
      <c r="X298">
        <v>14784</v>
      </c>
      <c r="Y298" s="26">
        <f t="shared" si="4"/>
        <v>380</v>
      </c>
    </row>
    <row r="299" spans="1:25" x14ac:dyDescent="0.25">
      <c r="A299" t="s">
        <v>2212</v>
      </c>
      <c r="B299" t="s">
        <v>2213</v>
      </c>
      <c r="C299" s="22">
        <v>43200</v>
      </c>
      <c r="D299" t="s">
        <v>2014</v>
      </c>
      <c r="E299" t="s">
        <v>2019</v>
      </c>
      <c r="F299" t="s">
        <v>2416</v>
      </c>
      <c r="G299">
        <v>21</v>
      </c>
      <c r="H299">
        <v>9114</v>
      </c>
      <c r="I299">
        <v>14</v>
      </c>
      <c r="J299">
        <v>7112</v>
      </c>
      <c r="K299">
        <v>74</v>
      </c>
      <c r="L299">
        <v>40552</v>
      </c>
      <c r="M299">
        <v>76</v>
      </c>
      <c r="N299">
        <v>40888</v>
      </c>
      <c r="O299">
        <v>22</v>
      </c>
      <c r="P299">
        <v>8932</v>
      </c>
      <c r="Q299">
        <v>55</v>
      </c>
      <c r="R299">
        <v>24585</v>
      </c>
      <c r="S299">
        <v>40</v>
      </c>
      <c r="T299">
        <v>18440</v>
      </c>
      <c r="U299">
        <v>15</v>
      </c>
      <c r="V299">
        <v>6780</v>
      </c>
      <c r="W299">
        <v>37</v>
      </c>
      <c r="X299">
        <v>15873</v>
      </c>
      <c r="Y299" s="26">
        <f t="shared" si="4"/>
        <v>354</v>
      </c>
    </row>
    <row r="300" spans="1:25" x14ac:dyDescent="0.25">
      <c r="A300" t="s">
        <v>2214</v>
      </c>
      <c r="B300" t="s">
        <v>2215</v>
      </c>
      <c r="C300" s="22">
        <v>43936</v>
      </c>
      <c r="D300" t="s">
        <v>2026</v>
      </c>
      <c r="E300" t="s">
        <v>2019</v>
      </c>
      <c r="F300" t="s">
        <v>2416</v>
      </c>
      <c r="G300">
        <v>70</v>
      </c>
      <c r="H300">
        <v>32130</v>
      </c>
      <c r="I300">
        <v>55</v>
      </c>
      <c r="J300">
        <v>26950</v>
      </c>
      <c r="K300">
        <v>72</v>
      </c>
      <c r="L300">
        <v>35784</v>
      </c>
      <c r="M300">
        <v>20</v>
      </c>
      <c r="N300">
        <v>10020</v>
      </c>
      <c r="O300">
        <v>14</v>
      </c>
      <c r="P300">
        <v>7462</v>
      </c>
      <c r="Q300">
        <v>15</v>
      </c>
      <c r="R300">
        <v>6570</v>
      </c>
      <c r="S300">
        <v>11</v>
      </c>
      <c r="T300">
        <v>4961</v>
      </c>
      <c r="U300">
        <v>10</v>
      </c>
      <c r="V300">
        <v>5100</v>
      </c>
      <c r="W300">
        <v>70</v>
      </c>
      <c r="X300">
        <v>33670</v>
      </c>
      <c r="Y300" s="26">
        <f t="shared" si="4"/>
        <v>337</v>
      </c>
    </row>
    <row r="301" spans="1:25" x14ac:dyDescent="0.25">
      <c r="A301" t="s">
        <v>2216</v>
      </c>
      <c r="B301" t="s">
        <v>2217</v>
      </c>
      <c r="C301" s="22">
        <v>43667</v>
      </c>
      <c r="D301" t="s">
        <v>2026</v>
      </c>
      <c r="E301" t="s">
        <v>2015</v>
      </c>
      <c r="F301" t="s">
        <v>2416</v>
      </c>
      <c r="G301">
        <v>12</v>
      </c>
      <c r="H301">
        <v>5124</v>
      </c>
      <c r="I301">
        <v>35</v>
      </c>
      <c r="J301">
        <v>16345</v>
      </c>
      <c r="K301">
        <v>3</v>
      </c>
      <c r="L301">
        <v>1341</v>
      </c>
      <c r="M301">
        <v>62</v>
      </c>
      <c r="N301">
        <v>26474</v>
      </c>
      <c r="O301">
        <v>0</v>
      </c>
      <c r="P301">
        <v>0</v>
      </c>
      <c r="Q301">
        <v>61</v>
      </c>
      <c r="R301">
        <v>31293</v>
      </c>
      <c r="S301">
        <v>52</v>
      </c>
      <c r="T301">
        <v>21684</v>
      </c>
      <c r="U301">
        <v>13</v>
      </c>
      <c r="V301">
        <v>5291</v>
      </c>
      <c r="W301">
        <v>72</v>
      </c>
      <c r="X301">
        <v>39240</v>
      </c>
      <c r="Y301" s="26">
        <f t="shared" si="4"/>
        <v>310</v>
      </c>
    </row>
    <row r="302" spans="1:25" x14ac:dyDescent="0.25">
      <c r="A302" t="s">
        <v>2218</v>
      </c>
      <c r="B302" t="s">
        <v>2219</v>
      </c>
      <c r="C302" s="22">
        <v>42332</v>
      </c>
      <c r="D302" t="s">
        <v>2026</v>
      </c>
      <c r="E302" t="s">
        <v>2019</v>
      </c>
      <c r="F302" t="s">
        <v>2416</v>
      </c>
      <c r="G302">
        <v>36</v>
      </c>
      <c r="H302">
        <v>16956</v>
      </c>
      <c r="I302">
        <v>16</v>
      </c>
      <c r="J302">
        <v>6640</v>
      </c>
      <c r="K302">
        <v>17</v>
      </c>
      <c r="L302">
        <v>9146</v>
      </c>
      <c r="M302">
        <v>22</v>
      </c>
      <c r="N302">
        <v>11308</v>
      </c>
      <c r="O302">
        <v>1</v>
      </c>
      <c r="P302">
        <v>541</v>
      </c>
      <c r="Q302">
        <v>5</v>
      </c>
      <c r="R302">
        <v>2665</v>
      </c>
      <c r="S302">
        <v>36</v>
      </c>
      <c r="T302">
        <v>19224</v>
      </c>
      <c r="U302">
        <v>26</v>
      </c>
      <c r="V302">
        <v>13000</v>
      </c>
      <c r="W302">
        <v>66</v>
      </c>
      <c r="X302">
        <v>36168</v>
      </c>
      <c r="Y302" s="26">
        <f t="shared" si="4"/>
        <v>225</v>
      </c>
    </row>
    <row r="303" spans="1:25" x14ac:dyDescent="0.25">
      <c r="A303" t="s">
        <v>2220</v>
      </c>
      <c r="B303" t="s">
        <v>2221</v>
      </c>
      <c r="C303" s="22">
        <v>43796</v>
      </c>
      <c r="D303" t="s">
        <v>2014</v>
      </c>
      <c r="E303" t="s">
        <v>2019</v>
      </c>
      <c r="F303" t="s">
        <v>2416</v>
      </c>
      <c r="G303">
        <v>0</v>
      </c>
      <c r="H303">
        <v>0</v>
      </c>
      <c r="I303">
        <v>9</v>
      </c>
      <c r="J303">
        <v>4284</v>
      </c>
      <c r="K303">
        <v>45</v>
      </c>
      <c r="L303">
        <v>20610</v>
      </c>
      <c r="M303">
        <v>25</v>
      </c>
      <c r="N303">
        <v>12800</v>
      </c>
      <c r="O303">
        <v>42</v>
      </c>
      <c r="P303">
        <v>22050</v>
      </c>
      <c r="Q303">
        <v>35</v>
      </c>
      <c r="R303">
        <v>15050</v>
      </c>
      <c r="S303">
        <v>47</v>
      </c>
      <c r="T303">
        <v>24111</v>
      </c>
      <c r="U303">
        <v>40</v>
      </c>
      <c r="V303">
        <v>16680</v>
      </c>
      <c r="W303">
        <v>10</v>
      </c>
      <c r="X303">
        <v>5220</v>
      </c>
      <c r="Y303" s="26">
        <f t="shared" si="4"/>
        <v>253</v>
      </c>
    </row>
    <row r="304" spans="1:25" x14ac:dyDescent="0.25">
      <c r="A304" t="s">
        <v>2222</v>
      </c>
      <c r="B304" t="s">
        <v>2223</v>
      </c>
      <c r="C304" s="22">
        <v>42879</v>
      </c>
      <c r="D304" t="s">
        <v>2014</v>
      </c>
      <c r="E304" t="s">
        <v>2027</v>
      </c>
      <c r="F304" t="s">
        <v>2416</v>
      </c>
      <c r="G304">
        <v>17</v>
      </c>
      <c r="H304">
        <v>6970</v>
      </c>
      <c r="I304">
        <v>50</v>
      </c>
      <c r="J304">
        <v>20000</v>
      </c>
      <c r="K304">
        <v>17</v>
      </c>
      <c r="L304">
        <v>9010</v>
      </c>
      <c r="M304">
        <v>14</v>
      </c>
      <c r="N304">
        <v>6650</v>
      </c>
      <c r="O304">
        <v>70</v>
      </c>
      <c r="P304">
        <v>35980</v>
      </c>
      <c r="Q304">
        <v>39</v>
      </c>
      <c r="R304">
        <v>20631</v>
      </c>
      <c r="S304">
        <v>15</v>
      </c>
      <c r="T304">
        <v>7755</v>
      </c>
      <c r="U304">
        <v>56</v>
      </c>
      <c r="V304">
        <v>23464</v>
      </c>
      <c r="W304">
        <v>59</v>
      </c>
      <c r="X304">
        <v>29382</v>
      </c>
      <c r="Y304" s="26">
        <f t="shared" si="4"/>
        <v>337</v>
      </c>
    </row>
    <row r="305" spans="1:25" x14ac:dyDescent="0.25">
      <c r="A305" t="s">
        <v>2224</v>
      </c>
      <c r="B305" t="s">
        <v>2225</v>
      </c>
      <c r="C305" s="22">
        <v>42481</v>
      </c>
      <c r="D305" t="s">
        <v>2026</v>
      </c>
      <c r="E305" t="s">
        <v>2027</v>
      </c>
      <c r="F305" t="s">
        <v>2416</v>
      </c>
      <c r="G305">
        <v>0</v>
      </c>
      <c r="H305">
        <v>0</v>
      </c>
      <c r="I305">
        <v>30</v>
      </c>
      <c r="J305">
        <v>12630</v>
      </c>
      <c r="K305">
        <v>36</v>
      </c>
      <c r="L305">
        <v>15156</v>
      </c>
      <c r="M305">
        <v>1</v>
      </c>
      <c r="N305">
        <v>424</v>
      </c>
      <c r="O305">
        <v>63</v>
      </c>
      <c r="P305">
        <v>31563</v>
      </c>
      <c r="Q305">
        <v>44</v>
      </c>
      <c r="R305">
        <v>18436</v>
      </c>
      <c r="S305">
        <v>10</v>
      </c>
      <c r="T305">
        <v>4240</v>
      </c>
      <c r="U305">
        <v>40</v>
      </c>
      <c r="V305">
        <v>18040</v>
      </c>
      <c r="W305">
        <v>46</v>
      </c>
      <c r="X305">
        <v>21022</v>
      </c>
      <c r="Y305" s="26">
        <f t="shared" si="4"/>
        <v>270</v>
      </c>
    </row>
    <row r="306" spans="1:25" x14ac:dyDescent="0.25">
      <c r="A306" t="s">
        <v>2226</v>
      </c>
      <c r="B306" t="s">
        <v>2227</v>
      </c>
      <c r="C306" s="22">
        <v>42645</v>
      </c>
      <c r="D306" t="s">
        <v>2014</v>
      </c>
      <c r="E306" t="s">
        <v>2019</v>
      </c>
      <c r="F306" t="s">
        <v>2416</v>
      </c>
      <c r="G306">
        <v>66</v>
      </c>
      <c r="H306">
        <v>30624</v>
      </c>
      <c r="I306">
        <v>58</v>
      </c>
      <c r="J306">
        <v>31378</v>
      </c>
      <c r="K306">
        <v>3</v>
      </c>
      <c r="L306">
        <v>1602</v>
      </c>
      <c r="M306">
        <v>46</v>
      </c>
      <c r="N306">
        <v>23828</v>
      </c>
      <c r="O306">
        <v>47</v>
      </c>
      <c r="P306">
        <v>24252</v>
      </c>
      <c r="Q306">
        <v>50</v>
      </c>
      <c r="R306">
        <v>26250</v>
      </c>
      <c r="S306">
        <v>4</v>
      </c>
      <c r="T306">
        <v>1812</v>
      </c>
      <c r="U306">
        <v>53</v>
      </c>
      <c r="V306">
        <v>27507</v>
      </c>
      <c r="W306">
        <v>19</v>
      </c>
      <c r="X306">
        <v>7714</v>
      </c>
      <c r="Y306" s="26">
        <f t="shared" si="4"/>
        <v>346</v>
      </c>
    </row>
    <row r="307" spans="1:25" x14ac:dyDescent="0.25">
      <c r="A307" t="s">
        <v>2228</v>
      </c>
      <c r="B307" t="s">
        <v>2229</v>
      </c>
      <c r="C307" s="22">
        <v>43935</v>
      </c>
      <c r="D307" t="s">
        <v>2026</v>
      </c>
      <c r="E307" t="s">
        <v>2027</v>
      </c>
      <c r="F307" t="s">
        <v>2416</v>
      </c>
      <c r="G307">
        <v>67</v>
      </c>
      <c r="H307">
        <v>30217</v>
      </c>
      <c r="I307">
        <v>17</v>
      </c>
      <c r="J307">
        <v>9112</v>
      </c>
      <c r="K307">
        <v>26</v>
      </c>
      <c r="L307">
        <v>13988</v>
      </c>
      <c r="M307">
        <v>72</v>
      </c>
      <c r="N307">
        <v>38232</v>
      </c>
      <c r="O307">
        <v>11</v>
      </c>
      <c r="P307">
        <v>5764</v>
      </c>
      <c r="Q307">
        <v>48</v>
      </c>
      <c r="R307">
        <v>21264</v>
      </c>
      <c r="S307">
        <v>42</v>
      </c>
      <c r="T307">
        <v>22260</v>
      </c>
      <c r="U307">
        <v>26</v>
      </c>
      <c r="V307">
        <v>12220</v>
      </c>
      <c r="W307">
        <v>23</v>
      </c>
      <c r="X307">
        <v>11914</v>
      </c>
      <c r="Y307" s="26">
        <f t="shared" si="4"/>
        <v>332</v>
      </c>
    </row>
    <row r="308" spans="1:25" x14ac:dyDescent="0.25">
      <c r="A308" t="s">
        <v>2230</v>
      </c>
      <c r="B308" t="s">
        <v>2231</v>
      </c>
      <c r="C308" s="22">
        <v>43245</v>
      </c>
      <c r="D308" t="s">
        <v>2014</v>
      </c>
      <c r="E308" t="s">
        <v>2015</v>
      </c>
      <c r="F308" t="s">
        <v>2416</v>
      </c>
      <c r="G308">
        <v>51</v>
      </c>
      <c r="H308">
        <v>21063</v>
      </c>
      <c r="I308">
        <v>57</v>
      </c>
      <c r="J308">
        <v>26733</v>
      </c>
      <c r="K308">
        <v>10</v>
      </c>
      <c r="L308">
        <v>4140</v>
      </c>
      <c r="M308">
        <v>17</v>
      </c>
      <c r="N308">
        <v>7769</v>
      </c>
      <c r="O308">
        <v>51</v>
      </c>
      <c r="P308">
        <v>26214</v>
      </c>
      <c r="Q308">
        <v>46</v>
      </c>
      <c r="R308">
        <v>23598</v>
      </c>
      <c r="S308">
        <v>52</v>
      </c>
      <c r="T308">
        <v>22048</v>
      </c>
      <c r="U308">
        <v>57</v>
      </c>
      <c r="V308">
        <v>25308</v>
      </c>
      <c r="W308">
        <v>33</v>
      </c>
      <c r="X308">
        <v>13398</v>
      </c>
      <c r="Y308" s="26">
        <f t="shared" si="4"/>
        <v>374</v>
      </c>
    </row>
    <row r="309" spans="1:25" x14ac:dyDescent="0.25">
      <c r="A309" t="s">
        <v>2232</v>
      </c>
      <c r="B309" t="s">
        <v>2233</v>
      </c>
      <c r="C309" s="22">
        <v>43834</v>
      </c>
      <c r="D309" t="s">
        <v>2014</v>
      </c>
      <c r="E309" t="s">
        <v>2015</v>
      </c>
      <c r="F309" t="s">
        <v>2416</v>
      </c>
      <c r="G309">
        <v>38</v>
      </c>
      <c r="H309">
        <v>16758</v>
      </c>
      <c r="I309">
        <v>61</v>
      </c>
      <c r="J309">
        <v>33245</v>
      </c>
      <c r="K309">
        <v>56</v>
      </c>
      <c r="L309">
        <v>27384</v>
      </c>
      <c r="M309">
        <v>36</v>
      </c>
      <c r="N309">
        <v>14796</v>
      </c>
      <c r="O309">
        <v>44</v>
      </c>
      <c r="P309">
        <v>17820</v>
      </c>
      <c r="Q309">
        <v>61</v>
      </c>
      <c r="R309">
        <v>24888</v>
      </c>
      <c r="S309">
        <v>69</v>
      </c>
      <c r="T309">
        <v>28152</v>
      </c>
      <c r="U309">
        <v>0</v>
      </c>
      <c r="V309">
        <v>0</v>
      </c>
      <c r="W309">
        <v>68</v>
      </c>
      <c r="X309">
        <v>30124</v>
      </c>
      <c r="Y309" s="26">
        <f t="shared" si="4"/>
        <v>433</v>
      </c>
    </row>
    <row r="310" spans="1:25" x14ac:dyDescent="0.25">
      <c r="A310" t="s">
        <v>2234</v>
      </c>
      <c r="B310" t="s">
        <v>2235</v>
      </c>
      <c r="C310" s="22">
        <v>42683</v>
      </c>
      <c r="D310" t="s">
        <v>2026</v>
      </c>
      <c r="E310" t="s">
        <v>2015</v>
      </c>
      <c r="F310" t="s">
        <v>2416</v>
      </c>
      <c r="G310">
        <v>72</v>
      </c>
      <c r="H310">
        <v>32616</v>
      </c>
      <c r="I310">
        <v>7</v>
      </c>
      <c r="J310">
        <v>2863</v>
      </c>
      <c r="K310">
        <v>51</v>
      </c>
      <c r="L310">
        <v>24378</v>
      </c>
      <c r="M310">
        <v>36</v>
      </c>
      <c r="N310">
        <v>17316</v>
      </c>
      <c r="O310">
        <v>72</v>
      </c>
      <c r="P310">
        <v>29376</v>
      </c>
      <c r="Q310">
        <v>71</v>
      </c>
      <c r="R310">
        <v>37630</v>
      </c>
      <c r="S310">
        <v>33</v>
      </c>
      <c r="T310">
        <v>15081</v>
      </c>
      <c r="U310">
        <v>16</v>
      </c>
      <c r="V310">
        <v>6704</v>
      </c>
      <c r="W310">
        <v>54</v>
      </c>
      <c r="X310">
        <v>26838</v>
      </c>
      <c r="Y310" s="26">
        <f t="shared" si="4"/>
        <v>412</v>
      </c>
    </row>
    <row r="311" spans="1:25" x14ac:dyDescent="0.25">
      <c r="A311" t="s">
        <v>2236</v>
      </c>
      <c r="B311" t="s">
        <v>2237</v>
      </c>
      <c r="C311" s="22">
        <v>42329</v>
      </c>
      <c r="D311" t="s">
        <v>2026</v>
      </c>
      <c r="E311" t="s">
        <v>2019</v>
      </c>
      <c r="F311" t="s">
        <v>2416</v>
      </c>
      <c r="G311">
        <v>23</v>
      </c>
      <c r="H311">
        <v>10028</v>
      </c>
      <c r="I311">
        <v>67</v>
      </c>
      <c r="J311">
        <v>35175</v>
      </c>
      <c r="K311">
        <v>49</v>
      </c>
      <c r="L311">
        <v>25774</v>
      </c>
      <c r="M311">
        <v>47</v>
      </c>
      <c r="N311">
        <v>22325</v>
      </c>
      <c r="O311">
        <v>42</v>
      </c>
      <c r="P311">
        <v>18228</v>
      </c>
      <c r="Q311">
        <v>48</v>
      </c>
      <c r="R311">
        <v>24912</v>
      </c>
      <c r="S311">
        <v>46</v>
      </c>
      <c r="T311">
        <v>23322</v>
      </c>
      <c r="U311">
        <v>13</v>
      </c>
      <c r="V311">
        <v>6253</v>
      </c>
      <c r="W311">
        <v>59</v>
      </c>
      <c r="X311">
        <v>27907</v>
      </c>
      <c r="Y311" s="26">
        <f t="shared" si="4"/>
        <v>394</v>
      </c>
    </row>
    <row r="312" spans="1:25" x14ac:dyDescent="0.25">
      <c r="A312" t="s">
        <v>2238</v>
      </c>
      <c r="B312" t="s">
        <v>2239</v>
      </c>
      <c r="C312" s="22">
        <v>42553</v>
      </c>
      <c r="D312" t="s">
        <v>2014</v>
      </c>
      <c r="E312" t="s">
        <v>2015</v>
      </c>
      <c r="F312" t="s">
        <v>2416</v>
      </c>
      <c r="G312">
        <v>75</v>
      </c>
      <c r="H312">
        <v>37575</v>
      </c>
      <c r="I312">
        <v>31</v>
      </c>
      <c r="J312">
        <v>14477</v>
      </c>
      <c r="K312">
        <v>37</v>
      </c>
      <c r="L312">
        <v>16613</v>
      </c>
      <c r="M312">
        <v>61</v>
      </c>
      <c r="N312">
        <v>32879</v>
      </c>
      <c r="O312">
        <v>48</v>
      </c>
      <c r="P312">
        <v>26352</v>
      </c>
      <c r="Q312">
        <v>34</v>
      </c>
      <c r="R312">
        <v>16150</v>
      </c>
      <c r="S312">
        <v>0</v>
      </c>
      <c r="T312">
        <v>0</v>
      </c>
      <c r="U312">
        <v>65</v>
      </c>
      <c r="V312">
        <v>26065</v>
      </c>
      <c r="W312">
        <v>54</v>
      </c>
      <c r="X312">
        <v>29214</v>
      </c>
      <c r="Y312" s="26">
        <f t="shared" si="4"/>
        <v>405</v>
      </c>
    </row>
    <row r="313" spans="1:25" x14ac:dyDescent="0.25">
      <c r="A313" t="s">
        <v>2240</v>
      </c>
      <c r="B313" t="s">
        <v>2241</v>
      </c>
      <c r="C313" s="22">
        <v>43359</v>
      </c>
      <c r="D313" t="s">
        <v>2014</v>
      </c>
      <c r="E313" t="s">
        <v>2015</v>
      </c>
      <c r="F313" t="s">
        <v>2416</v>
      </c>
      <c r="G313">
        <v>9</v>
      </c>
      <c r="H313">
        <v>4176</v>
      </c>
      <c r="I313">
        <v>3</v>
      </c>
      <c r="J313">
        <v>1629</v>
      </c>
      <c r="K313">
        <v>1</v>
      </c>
      <c r="L313">
        <v>452</v>
      </c>
      <c r="M313">
        <v>30</v>
      </c>
      <c r="N313">
        <v>12090</v>
      </c>
      <c r="O313">
        <v>47</v>
      </c>
      <c r="P313">
        <v>22654</v>
      </c>
      <c r="Q313">
        <v>75</v>
      </c>
      <c r="R313">
        <v>31950</v>
      </c>
      <c r="S313">
        <v>1</v>
      </c>
      <c r="T313">
        <v>470</v>
      </c>
      <c r="U313">
        <v>71</v>
      </c>
      <c r="V313">
        <v>33086</v>
      </c>
      <c r="W313">
        <v>61</v>
      </c>
      <c r="X313">
        <v>29402</v>
      </c>
      <c r="Y313" s="26">
        <f t="shared" si="4"/>
        <v>298</v>
      </c>
    </row>
    <row r="314" spans="1:25" x14ac:dyDescent="0.25">
      <c r="A314" t="s">
        <v>2242</v>
      </c>
      <c r="B314" t="s">
        <v>2243</v>
      </c>
      <c r="C314" s="22">
        <v>43879</v>
      </c>
      <c r="D314" t="s">
        <v>2026</v>
      </c>
      <c r="E314" t="s">
        <v>2027</v>
      </c>
      <c r="F314" t="s">
        <v>2416</v>
      </c>
      <c r="G314">
        <v>14</v>
      </c>
      <c r="H314">
        <v>7644</v>
      </c>
      <c r="I314">
        <v>27</v>
      </c>
      <c r="J314">
        <v>13311</v>
      </c>
      <c r="K314">
        <v>44</v>
      </c>
      <c r="L314">
        <v>23188</v>
      </c>
      <c r="M314">
        <v>71</v>
      </c>
      <c r="N314">
        <v>30317</v>
      </c>
      <c r="O314">
        <v>2</v>
      </c>
      <c r="P314">
        <v>816</v>
      </c>
      <c r="Q314">
        <v>41</v>
      </c>
      <c r="R314">
        <v>17466</v>
      </c>
      <c r="S314">
        <v>57</v>
      </c>
      <c r="T314">
        <v>26961</v>
      </c>
      <c r="U314">
        <v>35</v>
      </c>
      <c r="V314">
        <v>17500</v>
      </c>
      <c r="W314">
        <v>35</v>
      </c>
      <c r="X314">
        <v>15120</v>
      </c>
      <c r="Y314" s="26">
        <f t="shared" si="4"/>
        <v>326</v>
      </c>
    </row>
    <row r="315" spans="1:25" x14ac:dyDescent="0.25">
      <c r="A315" t="s">
        <v>2244</v>
      </c>
      <c r="B315" t="s">
        <v>2245</v>
      </c>
      <c r="C315" s="22">
        <v>44018</v>
      </c>
      <c r="D315" t="s">
        <v>2014</v>
      </c>
      <c r="E315" t="s">
        <v>2019</v>
      </c>
      <c r="F315" t="s">
        <v>2416</v>
      </c>
      <c r="G315">
        <v>63</v>
      </c>
      <c r="H315">
        <v>27027</v>
      </c>
      <c r="I315">
        <v>63</v>
      </c>
      <c r="J315">
        <v>34209</v>
      </c>
      <c r="K315">
        <v>16</v>
      </c>
      <c r="L315">
        <v>8368</v>
      </c>
      <c r="M315">
        <v>29</v>
      </c>
      <c r="N315">
        <v>12064</v>
      </c>
      <c r="O315">
        <v>70</v>
      </c>
      <c r="P315">
        <v>36680</v>
      </c>
      <c r="Q315">
        <v>54</v>
      </c>
      <c r="R315">
        <v>27378</v>
      </c>
      <c r="S315">
        <v>26</v>
      </c>
      <c r="T315">
        <v>11778</v>
      </c>
      <c r="U315">
        <v>73</v>
      </c>
      <c r="V315">
        <v>36208</v>
      </c>
      <c r="W315">
        <v>35</v>
      </c>
      <c r="X315">
        <v>18515</v>
      </c>
      <c r="Y315" s="26">
        <f t="shared" si="4"/>
        <v>429</v>
      </c>
    </row>
    <row r="316" spans="1:25" x14ac:dyDescent="0.25">
      <c r="A316" t="s">
        <v>2246</v>
      </c>
      <c r="B316" t="s">
        <v>2247</v>
      </c>
      <c r="C316" s="22">
        <v>44056</v>
      </c>
      <c r="D316" t="s">
        <v>2026</v>
      </c>
      <c r="E316" t="s">
        <v>2027</v>
      </c>
      <c r="F316" t="s">
        <v>2416</v>
      </c>
      <c r="G316">
        <v>21</v>
      </c>
      <c r="H316">
        <v>10542</v>
      </c>
      <c r="I316">
        <v>15</v>
      </c>
      <c r="J316">
        <v>7470</v>
      </c>
      <c r="K316">
        <v>41</v>
      </c>
      <c r="L316">
        <v>21730</v>
      </c>
      <c r="M316">
        <v>53</v>
      </c>
      <c r="N316">
        <v>28567</v>
      </c>
      <c r="O316">
        <v>21</v>
      </c>
      <c r="P316">
        <v>9009</v>
      </c>
      <c r="Q316">
        <v>35</v>
      </c>
      <c r="R316">
        <v>18725</v>
      </c>
      <c r="S316">
        <v>27</v>
      </c>
      <c r="T316">
        <v>13797</v>
      </c>
      <c r="U316">
        <v>3</v>
      </c>
      <c r="V316">
        <v>1200</v>
      </c>
      <c r="W316">
        <v>57</v>
      </c>
      <c r="X316">
        <v>25593</v>
      </c>
      <c r="Y316" s="26">
        <f t="shared" si="4"/>
        <v>273</v>
      </c>
    </row>
    <row r="317" spans="1:25" x14ac:dyDescent="0.25">
      <c r="A317" t="s">
        <v>2248</v>
      </c>
      <c r="B317" t="s">
        <v>2249</v>
      </c>
      <c r="C317" s="22">
        <v>42962</v>
      </c>
      <c r="D317" t="s">
        <v>2026</v>
      </c>
      <c r="E317" t="s">
        <v>2019</v>
      </c>
      <c r="F317" t="s">
        <v>2416</v>
      </c>
      <c r="G317">
        <v>71</v>
      </c>
      <c r="H317">
        <v>29252</v>
      </c>
      <c r="I317">
        <v>27</v>
      </c>
      <c r="J317">
        <v>11259</v>
      </c>
      <c r="K317">
        <v>63</v>
      </c>
      <c r="L317">
        <v>26586</v>
      </c>
      <c r="M317">
        <v>72</v>
      </c>
      <c r="N317">
        <v>32256</v>
      </c>
      <c r="O317">
        <v>33</v>
      </c>
      <c r="P317">
        <v>15774</v>
      </c>
      <c r="Q317">
        <v>54</v>
      </c>
      <c r="R317">
        <v>23328</v>
      </c>
      <c r="S317">
        <v>20</v>
      </c>
      <c r="T317">
        <v>10280</v>
      </c>
      <c r="U317">
        <v>25</v>
      </c>
      <c r="V317">
        <v>10300</v>
      </c>
      <c r="W317">
        <v>66</v>
      </c>
      <c r="X317">
        <v>27324</v>
      </c>
      <c r="Y317" s="26">
        <f t="shared" si="4"/>
        <v>431</v>
      </c>
    </row>
    <row r="318" spans="1:25" x14ac:dyDescent="0.25">
      <c r="A318" t="s">
        <v>2250</v>
      </c>
      <c r="B318" t="s">
        <v>2251</v>
      </c>
      <c r="C318" s="22">
        <v>43538</v>
      </c>
      <c r="D318" t="s">
        <v>2026</v>
      </c>
      <c r="E318" t="s">
        <v>2015</v>
      </c>
      <c r="F318" t="s">
        <v>2416</v>
      </c>
      <c r="G318">
        <v>11</v>
      </c>
      <c r="H318">
        <v>5104</v>
      </c>
      <c r="I318">
        <v>30</v>
      </c>
      <c r="J318">
        <v>13320</v>
      </c>
      <c r="K318">
        <v>25</v>
      </c>
      <c r="L318">
        <v>13000</v>
      </c>
      <c r="M318">
        <v>17</v>
      </c>
      <c r="N318">
        <v>6936</v>
      </c>
      <c r="O318">
        <v>54</v>
      </c>
      <c r="P318">
        <v>24138</v>
      </c>
      <c r="Q318">
        <v>48</v>
      </c>
      <c r="R318">
        <v>25392</v>
      </c>
      <c r="S318">
        <v>23</v>
      </c>
      <c r="T318">
        <v>9246</v>
      </c>
      <c r="U318">
        <v>3</v>
      </c>
      <c r="V318">
        <v>1497</v>
      </c>
      <c r="W318">
        <v>9</v>
      </c>
      <c r="X318">
        <v>4311</v>
      </c>
      <c r="Y318" s="26">
        <f t="shared" si="4"/>
        <v>220</v>
      </c>
    </row>
    <row r="319" spans="1:25" x14ac:dyDescent="0.25">
      <c r="A319" t="s">
        <v>2252</v>
      </c>
      <c r="B319" t="s">
        <v>2253</v>
      </c>
      <c r="C319" s="22">
        <v>42005</v>
      </c>
      <c r="D319" t="s">
        <v>2014</v>
      </c>
      <c r="E319" t="s">
        <v>2019</v>
      </c>
      <c r="F319" t="s">
        <v>2416</v>
      </c>
      <c r="G319">
        <v>59</v>
      </c>
      <c r="H319">
        <v>25488</v>
      </c>
      <c r="I319">
        <v>23</v>
      </c>
      <c r="J319">
        <v>10258</v>
      </c>
      <c r="K319">
        <v>35</v>
      </c>
      <c r="L319">
        <v>16765</v>
      </c>
      <c r="M319">
        <v>40</v>
      </c>
      <c r="N319">
        <v>19040</v>
      </c>
      <c r="O319">
        <v>2</v>
      </c>
      <c r="P319">
        <v>956</v>
      </c>
      <c r="Q319">
        <v>63</v>
      </c>
      <c r="R319">
        <v>32130</v>
      </c>
      <c r="S319">
        <v>32</v>
      </c>
      <c r="T319">
        <v>16480</v>
      </c>
      <c r="U319">
        <v>61</v>
      </c>
      <c r="V319">
        <v>27206</v>
      </c>
      <c r="W319">
        <v>8</v>
      </c>
      <c r="X319">
        <v>3520</v>
      </c>
      <c r="Y319" s="26">
        <f t="shared" si="4"/>
        <v>323</v>
      </c>
    </row>
    <row r="320" spans="1:25" x14ac:dyDescent="0.25">
      <c r="A320" t="s">
        <v>2254</v>
      </c>
      <c r="B320" t="s">
        <v>2255</v>
      </c>
      <c r="C320" s="22">
        <v>42093</v>
      </c>
      <c r="D320" t="s">
        <v>2026</v>
      </c>
      <c r="E320" t="s">
        <v>2027</v>
      </c>
      <c r="F320" t="s">
        <v>2416</v>
      </c>
      <c r="G320">
        <v>25</v>
      </c>
      <c r="H320">
        <v>11125</v>
      </c>
      <c r="I320">
        <v>15</v>
      </c>
      <c r="J320">
        <v>7230</v>
      </c>
      <c r="K320">
        <v>48</v>
      </c>
      <c r="L320">
        <v>20208</v>
      </c>
      <c r="M320">
        <v>18</v>
      </c>
      <c r="N320">
        <v>7632</v>
      </c>
      <c r="O320">
        <v>23</v>
      </c>
      <c r="P320">
        <v>9959</v>
      </c>
      <c r="Q320">
        <v>19</v>
      </c>
      <c r="R320">
        <v>9025</v>
      </c>
      <c r="S320">
        <v>55</v>
      </c>
      <c r="T320">
        <v>22000</v>
      </c>
      <c r="U320">
        <v>36</v>
      </c>
      <c r="V320">
        <v>16236</v>
      </c>
      <c r="W320">
        <v>42</v>
      </c>
      <c r="X320">
        <v>22302</v>
      </c>
      <c r="Y320" s="26">
        <f t="shared" si="4"/>
        <v>281</v>
      </c>
    </row>
    <row r="321" spans="1:25" x14ac:dyDescent="0.25">
      <c r="A321" t="s">
        <v>2256</v>
      </c>
      <c r="B321" t="s">
        <v>2257</v>
      </c>
      <c r="C321" s="22">
        <v>42182</v>
      </c>
      <c r="D321" t="s">
        <v>2014</v>
      </c>
      <c r="E321" t="s">
        <v>2015</v>
      </c>
      <c r="F321" t="s">
        <v>2416</v>
      </c>
      <c r="G321">
        <v>2</v>
      </c>
      <c r="H321">
        <v>826</v>
      </c>
      <c r="I321">
        <v>70</v>
      </c>
      <c r="J321">
        <v>37240</v>
      </c>
      <c r="K321">
        <v>5</v>
      </c>
      <c r="L321">
        <v>2015</v>
      </c>
      <c r="M321">
        <v>52</v>
      </c>
      <c r="N321">
        <v>22412</v>
      </c>
      <c r="O321">
        <v>46</v>
      </c>
      <c r="P321">
        <v>24334</v>
      </c>
      <c r="Q321">
        <v>1</v>
      </c>
      <c r="R321">
        <v>433</v>
      </c>
      <c r="S321">
        <v>32</v>
      </c>
      <c r="T321">
        <v>16896</v>
      </c>
      <c r="U321">
        <v>60</v>
      </c>
      <c r="V321">
        <v>30840</v>
      </c>
      <c r="W321">
        <v>44</v>
      </c>
      <c r="X321">
        <v>23276</v>
      </c>
      <c r="Y321" s="26">
        <f t="shared" si="4"/>
        <v>312</v>
      </c>
    </row>
    <row r="322" spans="1:25" x14ac:dyDescent="0.25">
      <c r="A322" t="s">
        <v>2258</v>
      </c>
      <c r="B322" t="s">
        <v>2259</v>
      </c>
      <c r="C322" s="22">
        <v>43955</v>
      </c>
      <c r="D322" t="s">
        <v>2014</v>
      </c>
      <c r="E322" t="s">
        <v>2015</v>
      </c>
      <c r="F322" t="s">
        <v>2416</v>
      </c>
      <c r="G322">
        <v>50</v>
      </c>
      <c r="H322">
        <v>21550</v>
      </c>
      <c r="I322">
        <v>15</v>
      </c>
      <c r="J322">
        <v>7995</v>
      </c>
      <c r="K322">
        <v>39</v>
      </c>
      <c r="L322">
        <v>16068</v>
      </c>
      <c r="M322">
        <v>58</v>
      </c>
      <c r="N322">
        <v>23664</v>
      </c>
      <c r="O322">
        <v>42</v>
      </c>
      <c r="P322">
        <v>22302</v>
      </c>
      <c r="Q322">
        <v>60</v>
      </c>
      <c r="R322">
        <v>28260</v>
      </c>
      <c r="S322">
        <v>29</v>
      </c>
      <c r="T322">
        <v>15689</v>
      </c>
      <c r="U322">
        <v>59</v>
      </c>
      <c r="V322">
        <v>24426</v>
      </c>
      <c r="W322">
        <v>53</v>
      </c>
      <c r="X322">
        <v>26129</v>
      </c>
      <c r="Y322" s="26">
        <f t="shared" si="4"/>
        <v>405</v>
      </c>
    </row>
    <row r="323" spans="1:25" x14ac:dyDescent="0.25">
      <c r="A323" t="s">
        <v>2260</v>
      </c>
      <c r="B323" t="s">
        <v>2261</v>
      </c>
      <c r="C323" s="22">
        <v>43309</v>
      </c>
      <c r="D323" t="s">
        <v>2026</v>
      </c>
      <c r="E323" t="s">
        <v>2019</v>
      </c>
      <c r="F323" t="s">
        <v>2416</v>
      </c>
      <c r="G323">
        <v>7</v>
      </c>
      <c r="H323">
        <v>3304</v>
      </c>
      <c r="I323">
        <v>14</v>
      </c>
      <c r="J323">
        <v>5810</v>
      </c>
      <c r="K323">
        <v>31</v>
      </c>
      <c r="L323">
        <v>15159</v>
      </c>
      <c r="M323">
        <v>52</v>
      </c>
      <c r="N323">
        <v>22776</v>
      </c>
      <c r="O323">
        <v>14</v>
      </c>
      <c r="P323">
        <v>7000</v>
      </c>
      <c r="Q323">
        <v>3</v>
      </c>
      <c r="R323">
        <v>1602</v>
      </c>
      <c r="S323">
        <v>4</v>
      </c>
      <c r="T323">
        <v>1948</v>
      </c>
      <c r="U323">
        <v>58</v>
      </c>
      <c r="V323">
        <v>25172</v>
      </c>
      <c r="W323">
        <v>74</v>
      </c>
      <c r="X323">
        <v>38036</v>
      </c>
      <c r="Y323" s="26">
        <f t="shared" ref="Y323:Y386" si="5">SUMIF($G$1:$X$1,"Количество*",G323:X323)</f>
        <v>257</v>
      </c>
    </row>
    <row r="324" spans="1:25" x14ac:dyDescent="0.25">
      <c r="A324" t="s">
        <v>2262</v>
      </c>
      <c r="B324" t="s">
        <v>2263</v>
      </c>
      <c r="C324" s="22">
        <v>44005</v>
      </c>
      <c r="D324" t="s">
        <v>2014</v>
      </c>
      <c r="E324" t="s">
        <v>2027</v>
      </c>
      <c r="F324" t="s">
        <v>2416</v>
      </c>
      <c r="G324">
        <v>25</v>
      </c>
      <c r="H324">
        <v>13375</v>
      </c>
      <c r="I324">
        <v>17</v>
      </c>
      <c r="J324">
        <v>9095</v>
      </c>
      <c r="K324">
        <v>74</v>
      </c>
      <c r="L324">
        <v>33374</v>
      </c>
      <c r="M324">
        <v>13</v>
      </c>
      <c r="N324">
        <v>6279</v>
      </c>
      <c r="O324">
        <v>57</v>
      </c>
      <c r="P324">
        <v>27702</v>
      </c>
      <c r="Q324">
        <v>68</v>
      </c>
      <c r="R324">
        <v>32572</v>
      </c>
      <c r="S324">
        <v>27</v>
      </c>
      <c r="T324">
        <v>11772</v>
      </c>
      <c r="U324">
        <v>25</v>
      </c>
      <c r="V324">
        <v>13100</v>
      </c>
      <c r="W324">
        <v>26</v>
      </c>
      <c r="X324">
        <v>10790</v>
      </c>
      <c r="Y324" s="26">
        <f t="shared" si="5"/>
        <v>332</v>
      </c>
    </row>
    <row r="325" spans="1:25" x14ac:dyDescent="0.25">
      <c r="A325" t="s">
        <v>2264</v>
      </c>
      <c r="B325" t="s">
        <v>2265</v>
      </c>
      <c r="C325" s="22">
        <v>42540</v>
      </c>
      <c r="D325" t="s">
        <v>2014</v>
      </c>
      <c r="E325" t="s">
        <v>2019</v>
      </c>
      <c r="F325" t="s">
        <v>2416</v>
      </c>
      <c r="G325">
        <v>75</v>
      </c>
      <c r="H325">
        <v>30075</v>
      </c>
      <c r="I325">
        <v>45</v>
      </c>
      <c r="J325">
        <v>21420</v>
      </c>
      <c r="K325">
        <v>61</v>
      </c>
      <c r="L325">
        <v>26657</v>
      </c>
      <c r="M325">
        <v>57</v>
      </c>
      <c r="N325">
        <v>24909</v>
      </c>
      <c r="O325">
        <v>27</v>
      </c>
      <c r="P325">
        <v>13176</v>
      </c>
      <c r="Q325">
        <v>46</v>
      </c>
      <c r="R325">
        <v>20976</v>
      </c>
      <c r="S325">
        <v>27</v>
      </c>
      <c r="T325">
        <v>13500</v>
      </c>
      <c r="U325">
        <v>67</v>
      </c>
      <c r="V325">
        <v>33567</v>
      </c>
      <c r="W325">
        <v>42</v>
      </c>
      <c r="X325">
        <v>18354</v>
      </c>
      <c r="Y325" s="26">
        <f t="shared" si="5"/>
        <v>447</v>
      </c>
    </row>
    <row r="326" spans="1:25" x14ac:dyDescent="0.25">
      <c r="A326" t="s">
        <v>2266</v>
      </c>
      <c r="B326" t="s">
        <v>2267</v>
      </c>
      <c r="C326" s="22">
        <v>42758</v>
      </c>
      <c r="D326" t="s">
        <v>2026</v>
      </c>
      <c r="E326" t="s">
        <v>2027</v>
      </c>
      <c r="F326" t="s">
        <v>2416</v>
      </c>
      <c r="G326">
        <v>33</v>
      </c>
      <c r="H326">
        <v>14289</v>
      </c>
      <c r="I326">
        <v>3</v>
      </c>
      <c r="J326">
        <v>1635</v>
      </c>
      <c r="K326">
        <v>50</v>
      </c>
      <c r="L326">
        <v>27300</v>
      </c>
      <c r="M326">
        <v>65</v>
      </c>
      <c r="N326">
        <v>28405</v>
      </c>
      <c r="O326">
        <v>10</v>
      </c>
      <c r="P326">
        <v>4140</v>
      </c>
      <c r="Q326">
        <v>15</v>
      </c>
      <c r="R326">
        <v>6510</v>
      </c>
      <c r="S326">
        <v>73</v>
      </c>
      <c r="T326">
        <v>33580</v>
      </c>
      <c r="U326">
        <v>50</v>
      </c>
      <c r="V326">
        <v>25700</v>
      </c>
      <c r="W326">
        <v>26</v>
      </c>
      <c r="X326">
        <v>12012</v>
      </c>
      <c r="Y326" s="26">
        <f t="shared" si="5"/>
        <v>325</v>
      </c>
    </row>
    <row r="327" spans="1:25" x14ac:dyDescent="0.25">
      <c r="A327" t="s">
        <v>2260</v>
      </c>
      <c r="B327" t="s">
        <v>2268</v>
      </c>
      <c r="C327" s="22">
        <v>43339</v>
      </c>
      <c r="D327" t="s">
        <v>2014</v>
      </c>
      <c r="E327" t="s">
        <v>2019</v>
      </c>
      <c r="F327" t="s">
        <v>2416</v>
      </c>
      <c r="G327">
        <v>36</v>
      </c>
      <c r="H327">
        <v>17136</v>
      </c>
      <c r="I327">
        <v>67</v>
      </c>
      <c r="J327">
        <v>29748</v>
      </c>
      <c r="K327">
        <v>9</v>
      </c>
      <c r="L327">
        <v>3825</v>
      </c>
      <c r="M327">
        <v>10</v>
      </c>
      <c r="N327">
        <v>5190</v>
      </c>
      <c r="O327">
        <v>37</v>
      </c>
      <c r="P327">
        <v>19684</v>
      </c>
      <c r="Q327">
        <v>59</v>
      </c>
      <c r="R327">
        <v>28615</v>
      </c>
      <c r="S327">
        <v>55</v>
      </c>
      <c r="T327">
        <v>24970</v>
      </c>
      <c r="U327">
        <v>61</v>
      </c>
      <c r="V327">
        <v>29951</v>
      </c>
      <c r="W327">
        <v>42</v>
      </c>
      <c r="X327">
        <v>22344</v>
      </c>
      <c r="Y327" s="26">
        <f t="shared" si="5"/>
        <v>376</v>
      </c>
    </row>
    <row r="328" spans="1:25" x14ac:dyDescent="0.25">
      <c r="A328" t="s">
        <v>2269</v>
      </c>
      <c r="B328" t="s">
        <v>2270</v>
      </c>
      <c r="C328" s="22">
        <v>42514</v>
      </c>
      <c r="D328" t="s">
        <v>2026</v>
      </c>
      <c r="E328" t="s">
        <v>2015</v>
      </c>
      <c r="F328" t="s">
        <v>2416</v>
      </c>
      <c r="G328">
        <v>3</v>
      </c>
      <c r="H328">
        <v>1578</v>
      </c>
      <c r="I328">
        <v>40</v>
      </c>
      <c r="J328">
        <v>16520</v>
      </c>
      <c r="K328">
        <v>60</v>
      </c>
      <c r="L328">
        <v>24240</v>
      </c>
      <c r="M328">
        <v>71</v>
      </c>
      <c r="N328">
        <v>30601</v>
      </c>
      <c r="O328">
        <v>46</v>
      </c>
      <c r="P328">
        <v>20562</v>
      </c>
      <c r="Q328">
        <v>76</v>
      </c>
      <c r="R328">
        <v>41116</v>
      </c>
      <c r="S328">
        <v>12</v>
      </c>
      <c r="T328">
        <v>5568</v>
      </c>
      <c r="U328">
        <v>13</v>
      </c>
      <c r="V328">
        <v>5265</v>
      </c>
      <c r="W328">
        <v>45</v>
      </c>
      <c r="X328">
        <v>23040</v>
      </c>
      <c r="Y328" s="26">
        <f t="shared" si="5"/>
        <v>366</v>
      </c>
    </row>
    <row r="329" spans="1:25" x14ac:dyDescent="0.25">
      <c r="A329" t="s">
        <v>2271</v>
      </c>
      <c r="B329" t="s">
        <v>2272</v>
      </c>
      <c r="C329" s="22">
        <v>43058</v>
      </c>
      <c r="D329" t="s">
        <v>2026</v>
      </c>
      <c r="E329" t="s">
        <v>2015</v>
      </c>
      <c r="F329" t="s">
        <v>2416</v>
      </c>
      <c r="G329">
        <v>40</v>
      </c>
      <c r="H329">
        <v>18960</v>
      </c>
      <c r="I329">
        <v>41</v>
      </c>
      <c r="J329">
        <v>21976</v>
      </c>
      <c r="K329">
        <v>76</v>
      </c>
      <c r="L329">
        <v>30400</v>
      </c>
      <c r="M329">
        <v>10</v>
      </c>
      <c r="N329">
        <v>4510</v>
      </c>
      <c r="O329">
        <v>22</v>
      </c>
      <c r="P329">
        <v>11440</v>
      </c>
      <c r="Q329">
        <v>70</v>
      </c>
      <c r="R329">
        <v>34230</v>
      </c>
      <c r="S329">
        <v>16</v>
      </c>
      <c r="T329">
        <v>7136</v>
      </c>
      <c r="U329">
        <v>50</v>
      </c>
      <c r="V329">
        <v>20350</v>
      </c>
      <c r="W329">
        <v>72</v>
      </c>
      <c r="X329">
        <v>38304</v>
      </c>
      <c r="Y329" s="26">
        <f t="shared" si="5"/>
        <v>397</v>
      </c>
    </row>
    <row r="330" spans="1:25" x14ac:dyDescent="0.25">
      <c r="A330" t="s">
        <v>2273</v>
      </c>
      <c r="B330" t="s">
        <v>2274</v>
      </c>
      <c r="C330" s="22">
        <v>42690</v>
      </c>
      <c r="D330" t="s">
        <v>2026</v>
      </c>
      <c r="E330" t="s">
        <v>2027</v>
      </c>
      <c r="F330" t="s">
        <v>2416</v>
      </c>
      <c r="G330">
        <v>2</v>
      </c>
      <c r="H330">
        <v>922</v>
      </c>
      <c r="I330">
        <v>56</v>
      </c>
      <c r="J330">
        <v>26152</v>
      </c>
      <c r="K330">
        <v>9</v>
      </c>
      <c r="L330">
        <v>3708</v>
      </c>
      <c r="M330">
        <v>62</v>
      </c>
      <c r="N330">
        <v>27838</v>
      </c>
      <c r="O330">
        <v>64</v>
      </c>
      <c r="P330">
        <v>28288</v>
      </c>
      <c r="Q330">
        <v>41</v>
      </c>
      <c r="R330">
        <v>21894</v>
      </c>
      <c r="S330">
        <v>38</v>
      </c>
      <c r="T330">
        <v>19836</v>
      </c>
      <c r="U330">
        <v>73</v>
      </c>
      <c r="V330">
        <v>31828</v>
      </c>
      <c r="W330">
        <v>30</v>
      </c>
      <c r="X330">
        <v>15090</v>
      </c>
      <c r="Y330" s="26">
        <f t="shared" si="5"/>
        <v>375</v>
      </c>
    </row>
    <row r="331" spans="1:25" x14ac:dyDescent="0.25">
      <c r="A331" t="s">
        <v>2275</v>
      </c>
      <c r="B331" t="s">
        <v>2276</v>
      </c>
      <c r="C331" s="22">
        <v>43307</v>
      </c>
      <c r="D331" t="s">
        <v>2014</v>
      </c>
      <c r="E331" t="s">
        <v>2019</v>
      </c>
      <c r="F331" t="s">
        <v>2416</v>
      </c>
      <c r="G331">
        <v>15</v>
      </c>
      <c r="H331">
        <v>8205</v>
      </c>
      <c r="I331">
        <v>12</v>
      </c>
      <c r="J331">
        <v>6504</v>
      </c>
      <c r="K331">
        <v>4</v>
      </c>
      <c r="L331">
        <v>2148</v>
      </c>
      <c r="M331">
        <v>26</v>
      </c>
      <c r="N331">
        <v>11466</v>
      </c>
      <c r="O331">
        <v>48</v>
      </c>
      <c r="P331">
        <v>23040</v>
      </c>
      <c r="Q331">
        <v>76</v>
      </c>
      <c r="R331">
        <v>31616</v>
      </c>
      <c r="S331">
        <v>6</v>
      </c>
      <c r="T331">
        <v>2448</v>
      </c>
      <c r="U331">
        <v>7</v>
      </c>
      <c r="V331">
        <v>3255</v>
      </c>
      <c r="W331">
        <v>15</v>
      </c>
      <c r="X331">
        <v>7590</v>
      </c>
      <c r="Y331" s="26">
        <f t="shared" si="5"/>
        <v>209</v>
      </c>
    </row>
    <row r="332" spans="1:25" x14ac:dyDescent="0.25">
      <c r="A332" t="s">
        <v>2277</v>
      </c>
      <c r="B332" t="s">
        <v>2278</v>
      </c>
      <c r="C332" s="22">
        <v>42368</v>
      </c>
      <c r="D332" t="s">
        <v>2026</v>
      </c>
      <c r="E332" t="s">
        <v>2027</v>
      </c>
      <c r="F332" t="s">
        <v>2416</v>
      </c>
      <c r="G332">
        <v>55</v>
      </c>
      <c r="H332">
        <v>24090</v>
      </c>
      <c r="I332">
        <v>70</v>
      </c>
      <c r="J332">
        <v>34580</v>
      </c>
      <c r="K332">
        <v>67</v>
      </c>
      <c r="L332">
        <v>30820</v>
      </c>
      <c r="M332">
        <v>70</v>
      </c>
      <c r="N332">
        <v>36470</v>
      </c>
      <c r="O332">
        <v>70</v>
      </c>
      <c r="P332">
        <v>28490</v>
      </c>
      <c r="Q332">
        <v>33</v>
      </c>
      <c r="R332">
        <v>16731</v>
      </c>
      <c r="S332">
        <v>67</v>
      </c>
      <c r="T332">
        <v>29279</v>
      </c>
      <c r="U332">
        <v>46</v>
      </c>
      <c r="V332">
        <v>22908</v>
      </c>
      <c r="W332">
        <v>36</v>
      </c>
      <c r="X332">
        <v>15264</v>
      </c>
      <c r="Y332" s="26">
        <f t="shared" si="5"/>
        <v>514</v>
      </c>
    </row>
    <row r="333" spans="1:25" x14ac:dyDescent="0.25">
      <c r="A333" t="s">
        <v>2279</v>
      </c>
      <c r="B333" t="s">
        <v>2280</v>
      </c>
      <c r="C333" s="22">
        <v>43666</v>
      </c>
      <c r="D333" t="s">
        <v>2026</v>
      </c>
      <c r="E333" t="s">
        <v>2015</v>
      </c>
      <c r="F333" t="s">
        <v>2416</v>
      </c>
      <c r="G333">
        <v>71</v>
      </c>
      <c r="H333">
        <v>36778</v>
      </c>
      <c r="I333">
        <v>21</v>
      </c>
      <c r="J333">
        <v>9807</v>
      </c>
      <c r="K333">
        <v>34</v>
      </c>
      <c r="L333">
        <v>15096</v>
      </c>
      <c r="M333">
        <v>5</v>
      </c>
      <c r="N333">
        <v>2090</v>
      </c>
      <c r="O333">
        <v>37</v>
      </c>
      <c r="P333">
        <v>16650</v>
      </c>
      <c r="Q333">
        <v>58</v>
      </c>
      <c r="R333">
        <v>24360</v>
      </c>
      <c r="S333">
        <v>23</v>
      </c>
      <c r="T333">
        <v>11477</v>
      </c>
      <c r="U333">
        <v>22</v>
      </c>
      <c r="V333">
        <v>10846</v>
      </c>
      <c r="W333">
        <v>13</v>
      </c>
      <c r="X333">
        <v>6760</v>
      </c>
      <c r="Y333" s="26">
        <f t="shared" si="5"/>
        <v>284</v>
      </c>
    </row>
    <row r="334" spans="1:25" x14ac:dyDescent="0.25">
      <c r="A334" t="s">
        <v>2281</v>
      </c>
      <c r="B334" t="s">
        <v>2282</v>
      </c>
      <c r="C334" s="22">
        <v>42369</v>
      </c>
      <c r="D334" t="s">
        <v>2014</v>
      </c>
      <c r="E334" t="s">
        <v>2019</v>
      </c>
      <c r="F334" t="s">
        <v>2416</v>
      </c>
      <c r="G334">
        <v>65</v>
      </c>
      <c r="H334">
        <v>35750</v>
      </c>
      <c r="I334">
        <v>74</v>
      </c>
      <c r="J334">
        <v>37222</v>
      </c>
      <c r="K334">
        <v>59</v>
      </c>
      <c r="L334">
        <v>25665</v>
      </c>
      <c r="M334">
        <v>16</v>
      </c>
      <c r="N334">
        <v>7344</v>
      </c>
      <c r="O334">
        <v>8</v>
      </c>
      <c r="P334">
        <v>3656</v>
      </c>
      <c r="Q334">
        <v>37</v>
      </c>
      <c r="R334">
        <v>16095</v>
      </c>
      <c r="S334">
        <v>27</v>
      </c>
      <c r="T334">
        <v>13203</v>
      </c>
      <c r="U334">
        <v>19</v>
      </c>
      <c r="V334">
        <v>8645</v>
      </c>
      <c r="W334">
        <v>20</v>
      </c>
      <c r="X334">
        <v>8540</v>
      </c>
      <c r="Y334" s="26">
        <f t="shared" si="5"/>
        <v>325</v>
      </c>
    </row>
    <row r="335" spans="1:25" x14ac:dyDescent="0.25">
      <c r="A335" t="s">
        <v>2283</v>
      </c>
      <c r="B335" t="s">
        <v>2284</v>
      </c>
      <c r="C335" s="22">
        <v>43639</v>
      </c>
      <c r="D335" t="s">
        <v>2014</v>
      </c>
      <c r="E335" t="s">
        <v>2027</v>
      </c>
      <c r="F335" t="s">
        <v>2416</v>
      </c>
      <c r="G335">
        <v>23</v>
      </c>
      <c r="H335">
        <v>11569</v>
      </c>
      <c r="I335">
        <v>58</v>
      </c>
      <c r="J335">
        <v>24940</v>
      </c>
      <c r="K335">
        <v>72</v>
      </c>
      <c r="L335">
        <v>36504</v>
      </c>
      <c r="M335">
        <v>16</v>
      </c>
      <c r="N335">
        <v>8496</v>
      </c>
      <c r="O335">
        <v>67</v>
      </c>
      <c r="P335">
        <v>30217</v>
      </c>
      <c r="Q335">
        <v>25</v>
      </c>
      <c r="R335">
        <v>10200</v>
      </c>
      <c r="S335">
        <v>64</v>
      </c>
      <c r="T335">
        <v>34112</v>
      </c>
      <c r="U335">
        <v>21</v>
      </c>
      <c r="V335">
        <v>9072</v>
      </c>
      <c r="W335">
        <v>17</v>
      </c>
      <c r="X335">
        <v>7055</v>
      </c>
      <c r="Y335" s="26">
        <f t="shared" si="5"/>
        <v>363</v>
      </c>
    </row>
    <row r="336" spans="1:25" x14ac:dyDescent="0.25">
      <c r="A336" t="s">
        <v>2285</v>
      </c>
      <c r="B336" t="s">
        <v>2286</v>
      </c>
      <c r="C336" s="22">
        <v>42269</v>
      </c>
      <c r="D336" t="s">
        <v>2014</v>
      </c>
      <c r="E336" t="s">
        <v>2027</v>
      </c>
      <c r="F336" t="s">
        <v>2416</v>
      </c>
      <c r="G336">
        <v>70</v>
      </c>
      <c r="H336">
        <v>35630</v>
      </c>
      <c r="I336">
        <v>25</v>
      </c>
      <c r="J336">
        <v>10050</v>
      </c>
      <c r="K336">
        <v>69</v>
      </c>
      <c r="L336">
        <v>34569</v>
      </c>
      <c r="M336">
        <v>19</v>
      </c>
      <c r="N336">
        <v>8189</v>
      </c>
      <c r="O336">
        <v>72</v>
      </c>
      <c r="P336">
        <v>37224</v>
      </c>
      <c r="Q336">
        <v>23</v>
      </c>
      <c r="R336">
        <v>9200</v>
      </c>
      <c r="S336">
        <v>76</v>
      </c>
      <c r="T336">
        <v>38380</v>
      </c>
      <c r="U336">
        <v>41</v>
      </c>
      <c r="V336">
        <v>19352</v>
      </c>
      <c r="W336">
        <v>42</v>
      </c>
      <c r="X336">
        <v>20706</v>
      </c>
      <c r="Y336" s="26">
        <f t="shared" si="5"/>
        <v>437</v>
      </c>
    </row>
    <row r="337" spans="1:25" x14ac:dyDescent="0.25">
      <c r="A337" t="s">
        <v>2287</v>
      </c>
      <c r="B337" t="s">
        <v>2288</v>
      </c>
      <c r="C337" s="22">
        <v>43429</v>
      </c>
      <c r="D337" t="s">
        <v>2026</v>
      </c>
      <c r="E337" t="s">
        <v>2027</v>
      </c>
      <c r="F337" t="s">
        <v>2416</v>
      </c>
      <c r="G337">
        <v>22</v>
      </c>
      <c r="H337">
        <v>9768</v>
      </c>
      <c r="I337">
        <v>17</v>
      </c>
      <c r="J337">
        <v>8874</v>
      </c>
      <c r="K337">
        <v>35</v>
      </c>
      <c r="L337">
        <v>17010</v>
      </c>
      <c r="M337">
        <v>2</v>
      </c>
      <c r="N337">
        <v>1024</v>
      </c>
      <c r="O337">
        <v>13</v>
      </c>
      <c r="P337">
        <v>5434</v>
      </c>
      <c r="Q337">
        <v>39</v>
      </c>
      <c r="R337">
        <v>21294</v>
      </c>
      <c r="S337">
        <v>49</v>
      </c>
      <c r="T337">
        <v>26019</v>
      </c>
      <c r="U337">
        <v>57</v>
      </c>
      <c r="V337">
        <v>26220</v>
      </c>
      <c r="W337">
        <v>23</v>
      </c>
      <c r="X337">
        <v>9545</v>
      </c>
      <c r="Y337" s="26">
        <f t="shared" si="5"/>
        <v>257</v>
      </c>
    </row>
    <row r="338" spans="1:25" x14ac:dyDescent="0.25">
      <c r="A338" t="s">
        <v>2289</v>
      </c>
      <c r="B338" t="s">
        <v>2290</v>
      </c>
      <c r="C338" s="22">
        <v>43883</v>
      </c>
      <c r="D338" t="s">
        <v>2026</v>
      </c>
      <c r="E338" t="s">
        <v>2019</v>
      </c>
      <c r="F338" t="s">
        <v>2416</v>
      </c>
      <c r="G338">
        <v>42</v>
      </c>
      <c r="H338">
        <v>18312</v>
      </c>
      <c r="I338">
        <v>69</v>
      </c>
      <c r="J338">
        <v>35604</v>
      </c>
      <c r="K338">
        <v>47</v>
      </c>
      <c r="L338">
        <v>25051</v>
      </c>
      <c r="M338">
        <v>5</v>
      </c>
      <c r="N338">
        <v>2365</v>
      </c>
      <c r="O338">
        <v>13</v>
      </c>
      <c r="P338">
        <v>5954</v>
      </c>
      <c r="Q338">
        <v>17</v>
      </c>
      <c r="R338">
        <v>7531</v>
      </c>
      <c r="S338">
        <v>49</v>
      </c>
      <c r="T338">
        <v>23177</v>
      </c>
      <c r="U338">
        <v>3</v>
      </c>
      <c r="V338">
        <v>1521</v>
      </c>
      <c r="W338">
        <v>30</v>
      </c>
      <c r="X338">
        <v>13740</v>
      </c>
      <c r="Y338" s="26">
        <f t="shared" si="5"/>
        <v>275</v>
      </c>
    </row>
    <row r="339" spans="1:25" x14ac:dyDescent="0.25">
      <c r="A339" t="s">
        <v>2291</v>
      </c>
      <c r="B339" t="s">
        <v>2292</v>
      </c>
      <c r="C339" s="22">
        <v>42999</v>
      </c>
      <c r="D339" t="s">
        <v>2014</v>
      </c>
      <c r="E339" t="s">
        <v>2027</v>
      </c>
      <c r="F339" t="s">
        <v>2416</v>
      </c>
      <c r="G339">
        <v>9</v>
      </c>
      <c r="H339">
        <v>4545</v>
      </c>
      <c r="I339">
        <v>43</v>
      </c>
      <c r="J339">
        <v>20941</v>
      </c>
      <c r="K339">
        <v>6</v>
      </c>
      <c r="L339">
        <v>2832</v>
      </c>
      <c r="M339">
        <v>50</v>
      </c>
      <c r="N339">
        <v>23250</v>
      </c>
      <c r="O339">
        <v>31</v>
      </c>
      <c r="P339">
        <v>15469</v>
      </c>
      <c r="Q339">
        <v>15</v>
      </c>
      <c r="R339">
        <v>8145</v>
      </c>
      <c r="S339">
        <v>40</v>
      </c>
      <c r="T339">
        <v>16320</v>
      </c>
      <c r="U339">
        <v>6</v>
      </c>
      <c r="V339">
        <v>2490</v>
      </c>
      <c r="W339">
        <v>33</v>
      </c>
      <c r="X339">
        <v>18018</v>
      </c>
      <c r="Y339" s="26">
        <f t="shared" si="5"/>
        <v>233</v>
      </c>
    </row>
    <row r="340" spans="1:25" x14ac:dyDescent="0.25">
      <c r="A340" t="s">
        <v>2293</v>
      </c>
      <c r="B340" t="s">
        <v>2294</v>
      </c>
      <c r="C340" s="22">
        <v>43479</v>
      </c>
      <c r="D340" t="s">
        <v>2026</v>
      </c>
      <c r="E340" t="s">
        <v>2027</v>
      </c>
      <c r="F340" t="s">
        <v>2416</v>
      </c>
      <c r="G340">
        <v>8</v>
      </c>
      <c r="H340">
        <v>3256</v>
      </c>
      <c r="I340">
        <v>75</v>
      </c>
      <c r="J340">
        <v>38625</v>
      </c>
      <c r="K340">
        <v>61</v>
      </c>
      <c r="L340">
        <v>25315</v>
      </c>
      <c r="M340">
        <v>1</v>
      </c>
      <c r="N340">
        <v>404</v>
      </c>
      <c r="O340">
        <v>46</v>
      </c>
      <c r="P340">
        <v>21206</v>
      </c>
      <c r="Q340">
        <v>46</v>
      </c>
      <c r="R340">
        <v>21896</v>
      </c>
      <c r="S340">
        <v>9</v>
      </c>
      <c r="T340">
        <v>3699</v>
      </c>
      <c r="U340">
        <v>68</v>
      </c>
      <c r="V340">
        <v>34408</v>
      </c>
      <c r="W340">
        <v>29</v>
      </c>
      <c r="X340">
        <v>12238</v>
      </c>
      <c r="Y340" s="26">
        <f t="shared" si="5"/>
        <v>343</v>
      </c>
    </row>
    <row r="341" spans="1:25" x14ac:dyDescent="0.25">
      <c r="A341" t="s">
        <v>2295</v>
      </c>
      <c r="B341" t="s">
        <v>2296</v>
      </c>
      <c r="C341" s="22">
        <v>42654</v>
      </c>
      <c r="D341" t="s">
        <v>2014</v>
      </c>
      <c r="E341" t="s">
        <v>2015</v>
      </c>
      <c r="F341" t="s">
        <v>2416</v>
      </c>
      <c r="G341">
        <v>28</v>
      </c>
      <c r="H341">
        <v>15036</v>
      </c>
      <c r="I341">
        <v>19</v>
      </c>
      <c r="J341">
        <v>9861</v>
      </c>
      <c r="K341">
        <v>53</v>
      </c>
      <c r="L341">
        <v>23055</v>
      </c>
      <c r="M341">
        <v>51</v>
      </c>
      <c r="N341">
        <v>21165</v>
      </c>
      <c r="O341">
        <v>62</v>
      </c>
      <c r="P341">
        <v>29512</v>
      </c>
      <c r="Q341">
        <v>61</v>
      </c>
      <c r="R341">
        <v>30988</v>
      </c>
      <c r="S341">
        <v>1</v>
      </c>
      <c r="T341">
        <v>506</v>
      </c>
      <c r="U341">
        <v>4</v>
      </c>
      <c r="V341">
        <v>1656</v>
      </c>
      <c r="W341">
        <v>61</v>
      </c>
      <c r="X341">
        <v>32147</v>
      </c>
      <c r="Y341" s="26">
        <f t="shared" si="5"/>
        <v>340</v>
      </c>
    </row>
    <row r="342" spans="1:25" x14ac:dyDescent="0.25">
      <c r="A342" t="s">
        <v>2297</v>
      </c>
      <c r="B342" t="s">
        <v>2298</v>
      </c>
      <c r="C342" s="22">
        <v>42315</v>
      </c>
      <c r="D342" t="s">
        <v>2014</v>
      </c>
      <c r="E342" t="s">
        <v>2027</v>
      </c>
      <c r="F342" t="s">
        <v>2416</v>
      </c>
      <c r="G342">
        <v>21</v>
      </c>
      <c r="H342">
        <v>8757</v>
      </c>
      <c r="I342">
        <v>21</v>
      </c>
      <c r="J342">
        <v>9345</v>
      </c>
      <c r="K342">
        <v>19</v>
      </c>
      <c r="L342">
        <v>7638</v>
      </c>
      <c r="M342">
        <v>29</v>
      </c>
      <c r="N342">
        <v>14384</v>
      </c>
      <c r="O342">
        <v>23</v>
      </c>
      <c r="P342">
        <v>12259</v>
      </c>
      <c r="Q342">
        <v>56</v>
      </c>
      <c r="R342">
        <v>27888</v>
      </c>
      <c r="S342">
        <v>16</v>
      </c>
      <c r="T342">
        <v>6704</v>
      </c>
      <c r="U342">
        <v>64</v>
      </c>
      <c r="V342">
        <v>33920</v>
      </c>
      <c r="W342">
        <v>29</v>
      </c>
      <c r="X342">
        <v>15631</v>
      </c>
      <c r="Y342" s="26">
        <f t="shared" si="5"/>
        <v>278</v>
      </c>
    </row>
    <row r="343" spans="1:25" x14ac:dyDescent="0.25">
      <c r="A343" t="s">
        <v>2299</v>
      </c>
      <c r="B343" t="s">
        <v>2300</v>
      </c>
      <c r="C343" s="22">
        <v>44029</v>
      </c>
      <c r="D343" t="s">
        <v>2014</v>
      </c>
      <c r="E343" t="s">
        <v>2027</v>
      </c>
      <c r="F343" t="s">
        <v>2416</v>
      </c>
      <c r="G343">
        <v>22</v>
      </c>
      <c r="H343">
        <v>9966</v>
      </c>
      <c r="I343">
        <v>35</v>
      </c>
      <c r="J343">
        <v>18760</v>
      </c>
      <c r="K343">
        <v>23</v>
      </c>
      <c r="L343">
        <v>9430</v>
      </c>
      <c r="M343">
        <v>72</v>
      </c>
      <c r="N343">
        <v>37872</v>
      </c>
      <c r="O343">
        <v>75</v>
      </c>
      <c r="P343">
        <v>36150</v>
      </c>
      <c r="Q343">
        <v>70</v>
      </c>
      <c r="R343">
        <v>33670</v>
      </c>
      <c r="S343">
        <v>18</v>
      </c>
      <c r="T343">
        <v>8262</v>
      </c>
      <c r="U343">
        <v>69</v>
      </c>
      <c r="V343">
        <v>35949</v>
      </c>
      <c r="W343">
        <v>19</v>
      </c>
      <c r="X343">
        <v>10013</v>
      </c>
      <c r="Y343" s="26">
        <f t="shared" si="5"/>
        <v>403</v>
      </c>
    </row>
    <row r="344" spans="1:25" x14ac:dyDescent="0.25">
      <c r="A344" t="s">
        <v>2301</v>
      </c>
      <c r="B344" t="s">
        <v>2302</v>
      </c>
      <c r="C344" s="22">
        <v>43260</v>
      </c>
      <c r="D344" t="s">
        <v>2026</v>
      </c>
      <c r="E344" t="s">
        <v>2015</v>
      </c>
      <c r="F344" t="s">
        <v>2416</v>
      </c>
      <c r="G344">
        <v>42</v>
      </c>
      <c r="H344">
        <v>19614</v>
      </c>
      <c r="I344">
        <v>5</v>
      </c>
      <c r="J344">
        <v>2165</v>
      </c>
      <c r="K344">
        <v>5</v>
      </c>
      <c r="L344">
        <v>2415</v>
      </c>
      <c r="M344">
        <v>48</v>
      </c>
      <c r="N344">
        <v>20016</v>
      </c>
      <c r="O344">
        <v>39</v>
      </c>
      <c r="P344">
        <v>18915</v>
      </c>
      <c r="Q344">
        <v>10</v>
      </c>
      <c r="R344">
        <v>5020</v>
      </c>
      <c r="S344">
        <v>10</v>
      </c>
      <c r="T344">
        <v>4370</v>
      </c>
      <c r="U344">
        <v>37</v>
      </c>
      <c r="V344">
        <v>19018</v>
      </c>
      <c r="W344">
        <v>75</v>
      </c>
      <c r="X344">
        <v>38475</v>
      </c>
      <c r="Y344" s="26">
        <f t="shared" si="5"/>
        <v>271</v>
      </c>
    </row>
    <row r="345" spans="1:25" x14ac:dyDescent="0.25">
      <c r="A345" t="s">
        <v>2303</v>
      </c>
      <c r="B345" t="s">
        <v>2304</v>
      </c>
      <c r="C345" s="22">
        <v>43715</v>
      </c>
      <c r="D345" t="s">
        <v>2026</v>
      </c>
      <c r="E345" t="s">
        <v>2019</v>
      </c>
      <c r="F345" t="s">
        <v>2416</v>
      </c>
      <c r="G345">
        <v>19</v>
      </c>
      <c r="H345">
        <v>8626</v>
      </c>
      <c r="I345">
        <v>57</v>
      </c>
      <c r="J345">
        <v>24054</v>
      </c>
      <c r="K345">
        <v>54</v>
      </c>
      <c r="L345">
        <v>25812</v>
      </c>
      <c r="M345">
        <v>61</v>
      </c>
      <c r="N345">
        <v>30012</v>
      </c>
      <c r="O345">
        <v>25</v>
      </c>
      <c r="P345">
        <v>12200</v>
      </c>
      <c r="Q345">
        <v>1</v>
      </c>
      <c r="R345">
        <v>544</v>
      </c>
      <c r="S345">
        <v>63</v>
      </c>
      <c r="T345">
        <v>25326</v>
      </c>
      <c r="U345">
        <v>18</v>
      </c>
      <c r="V345">
        <v>8442</v>
      </c>
      <c r="W345">
        <v>43</v>
      </c>
      <c r="X345">
        <v>17974</v>
      </c>
      <c r="Y345" s="26">
        <f t="shared" si="5"/>
        <v>341</v>
      </c>
    </row>
    <row r="346" spans="1:25" x14ac:dyDescent="0.25">
      <c r="A346" t="s">
        <v>2305</v>
      </c>
      <c r="B346" t="s">
        <v>2306</v>
      </c>
      <c r="C346" s="22">
        <v>42423</v>
      </c>
      <c r="D346" t="s">
        <v>2026</v>
      </c>
      <c r="E346" t="s">
        <v>2027</v>
      </c>
      <c r="F346" t="s">
        <v>2416</v>
      </c>
      <c r="G346">
        <v>44</v>
      </c>
      <c r="H346">
        <v>18788</v>
      </c>
      <c r="I346">
        <v>71</v>
      </c>
      <c r="J346">
        <v>36991</v>
      </c>
      <c r="K346">
        <v>68</v>
      </c>
      <c r="L346">
        <v>29172</v>
      </c>
      <c r="M346">
        <v>26</v>
      </c>
      <c r="N346">
        <v>11128</v>
      </c>
      <c r="O346">
        <v>21</v>
      </c>
      <c r="P346">
        <v>9072</v>
      </c>
      <c r="Q346">
        <v>63</v>
      </c>
      <c r="R346">
        <v>31563</v>
      </c>
      <c r="S346">
        <v>65</v>
      </c>
      <c r="T346">
        <v>30550</v>
      </c>
      <c r="U346">
        <v>52</v>
      </c>
      <c r="V346">
        <v>25688</v>
      </c>
      <c r="W346">
        <v>72</v>
      </c>
      <c r="X346">
        <v>31536</v>
      </c>
      <c r="Y346" s="26">
        <f t="shared" si="5"/>
        <v>482</v>
      </c>
    </row>
    <row r="347" spans="1:25" x14ac:dyDescent="0.25">
      <c r="A347" t="s">
        <v>2307</v>
      </c>
      <c r="B347" t="s">
        <v>2308</v>
      </c>
      <c r="C347" s="22">
        <v>43472</v>
      </c>
      <c r="D347" t="s">
        <v>2014</v>
      </c>
      <c r="E347" t="s">
        <v>2015</v>
      </c>
      <c r="F347" t="s">
        <v>2416</v>
      </c>
      <c r="G347">
        <v>10</v>
      </c>
      <c r="H347">
        <v>4580</v>
      </c>
      <c r="I347">
        <v>20</v>
      </c>
      <c r="J347">
        <v>9640</v>
      </c>
      <c r="K347">
        <v>72</v>
      </c>
      <c r="L347">
        <v>31464</v>
      </c>
      <c r="M347">
        <v>60</v>
      </c>
      <c r="N347">
        <v>29400</v>
      </c>
      <c r="O347">
        <v>74</v>
      </c>
      <c r="P347">
        <v>33004</v>
      </c>
      <c r="Q347">
        <v>36</v>
      </c>
      <c r="R347">
        <v>17784</v>
      </c>
      <c r="S347">
        <v>63</v>
      </c>
      <c r="T347">
        <v>27405</v>
      </c>
      <c r="U347">
        <v>12</v>
      </c>
      <c r="V347">
        <v>6348</v>
      </c>
      <c r="W347">
        <v>24</v>
      </c>
      <c r="X347">
        <v>11640</v>
      </c>
      <c r="Y347" s="26">
        <f t="shared" si="5"/>
        <v>371</v>
      </c>
    </row>
    <row r="348" spans="1:25" x14ac:dyDescent="0.25">
      <c r="A348" t="s">
        <v>2309</v>
      </c>
      <c r="B348" t="s">
        <v>2310</v>
      </c>
      <c r="C348" s="22">
        <v>43828</v>
      </c>
      <c r="D348" t="s">
        <v>2026</v>
      </c>
      <c r="E348" t="s">
        <v>2027</v>
      </c>
      <c r="F348" t="s">
        <v>2416</v>
      </c>
      <c r="G348">
        <v>70</v>
      </c>
      <c r="H348">
        <v>30030</v>
      </c>
      <c r="I348">
        <v>7</v>
      </c>
      <c r="J348">
        <v>3353</v>
      </c>
      <c r="K348">
        <v>55</v>
      </c>
      <c r="L348">
        <v>24420</v>
      </c>
      <c r="M348">
        <v>72</v>
      </c>
      <c r="N348">
        <v>30960</v>
      </c>
      <c r="O348">
        <v>12</v>
      </c>
      <c r="P348">
        <v>4800</v>
      </c>
      <c r="Q348">
        <v>63</v>
      </c>
      <c r="R348">
        <v>31248</v>
      </c>
      <c r="S348">
        <v>51</v>
      </c>
      <c r="T348">
        <v>20604</v>
      </c>
      <c r="U348">
        <v>56</v>
      </c>
      <c r="V348">
        <v>24528</v>
      </c>
      <c r="W348">
        <v>0</v>
      </c>
      <c r="X348">
        <v>0</v>
      </c>
      <c r="Y348" s="26">
        <f t="shared" si="5"/>
        <v>386</v>
      </c>
    </row>
    <row r="349" spans="1:25" x14ac:dyDescent="0.25">
      <c r="A349" t="s">
        <v>2311</v>
      </c>
      <c r="B349" t="s">
        <v>2312</v>
      </c>
      <c r="C349" s="22">
        <v>44021</v>
      </c>
      <c r="D349" t="s">
        <v>2014</v>
      </c>
      <c r="E349" t="s">
        <v>2027</v>
      </c>
      <c r="F349" t="s">
        <v>2416</v>
      </c>
      <c r="G349">
        <v>72</v>
      </c>
      <c r="H349">
        <v>33552</v>
      </c>
      <c r="I349">
        <v>72</v>
      </c>
      <c r="J349">
        <v>37656</v>
      </c>
      <c r="K349">
        <v>56</v>
      </c>
      <c r="L349">
        <v>22904</v>
      </c>
      <c r="M349">
        <v>47</v>
      </c>
      <c r="N349">
        <v>23265</v>
      </c>
      <c r="O349">
        <v>24</v>
      </c>
      <c r="P349">
        <v>10800</v>
      </c>
      <c r="Q349">
        <v>27</v>
      </c>
      <c r="R349">
        <v>13095</v>
      </c>
      <c r="S349">
        <v>32</v>
      </c>
      <c r="T349">
        <v>14592</v>
      </c>
      <c r="U349">
        <v>20</v>
      </c>
      <c r="V349">
        <v>8080</v>
      </c>
      <c r="W349">
        <v>47</v>
      </c>
      <c r="X349">
        <v>24769</v>
      </c>
      <c r="Y349" s="26">
        <f t="shared" si="5"/>
        <v>397</v>
      </c>
    </row>
    <row r="350" spans="1:25" x14ac:dyDescent="0.25">
      <c r="A350" t="s">
        <v>2313</v>
      </c>
      <c r="B350" t="s">
        <v>2314</v>
      </c>
      <c r="C350" s="22">
        <v>43224</v>
      </c>
      <c r="D350" t="s">
        <v>2026</v>
      </c>
      <c r="E350" t="s">
        <v>2027</v>
      </c>
      <c r="F350" t="s">
        <v>2416</v>
      </c>
      <c r="G350">
        <v>74</v>
      </c>
      <c r="H350">
        <v>39294</v>
      </c>
      <c r="I350">
        <v>65</v>
      </c>
      <c r="J350">
        <v>30810</v>
      </c>
      <c r="K350">
        <v>10</v>
      </c>
      <c r="L350">
        <v>4070</v>
      </c>
      <c r="M350">
        <v>70</v>
      </c>
      <c r="N350">
        <v>32340</v>
      </c>
      <c r="O350">
        <v>5</v>
      </c>
      <c r="P350">
        <v>2520</v>
      </c>
      <c r="Q350">
        <v>4</v>
      </c>
      <c r="R350">
        <v>1792</v>
      </c>
      <c r="S350">
        <v>16</v>
      </c>
      <c r="T350">
        <v>6400</v>
      </c>
      <c r="U350">
        <v>59</v>
      </c>
      <c r="V350">
        <v>25960</v>
      </c>
      <c r="W350">
        <v>67</v>
      </c>
      <c r="X350">
        <v>33299</v>
      </c>
      <c r="Y350" s="26">
        <f t="shared" si="5"/>
        <v>370</v>
      </c>
    </row>
    <row r="351" spans="1:25" x14ac:dyDescent="0.25">
      <c r="A351" t="s">
        <v>2315</v>
      </c>
      <c r="B351" t="s">
        <v>2316</v>
      </c>
      <c r="C351" s="22">
        <v>43376</v>
      </c>
      <c r="D351" t="s">
        <v>2026</v>
      </c>
      <c r="E351" t="s">
        <v>2027</v>
      </c>
      <c r="F351" t="s">
        <v>2416</v>
      </c>
      <c r="G351">
        <v>32</v>
      </c>
      <c r="H351">
        <v>13760</v>
      </c>
      <c r="I351">
        <v>44</v>
      </c>
      <c r="J351">
        <v>20196</v>
      </c>
      <c r="K351">
        <v>27</v>
      </c>
      <c r="L351">
        <v>14472</v>
      </c>
      <c r="M351">
        <v>38</v>
      </c>
      <c r="N351">
        <v>17290</v>
      </c>
      <c r="O351">
        <v>14</v>
      </c>
      <c r="P351">
        <v>6286</v>
      </c>
      <c r="Q351">
        <v>64</v>
      </c>
      <c r="R351">
        <v>33024</v>
      </c>
      <c r="S351">
        <v>71</v>
      </c>
      <c r="T351">
        <v>38624</v>
      </c>
      <c r="U351">
        <v>68</v>
      </c>
      <c r="V351">
        <v>34816</v>
      </c>
      <c r="W351">
        <v>20</v>
      </c>
      <c r="X351">
        <v>9580</v>
      </c>
      <c r="Y351" s="26">
        <f t="shared" si="5"/>
        <v>378</v>
      </c>
    </row>
    <row r="352" spans="1:25" x14ac:dyDescent="0.25">
      <c r="A352" t="s">
        <v>2317</v>
      </c>
      <c r="B352" t="s">
        <v>2318</v>
      </c>
      <c r="C352" s="22">
        <v>42831</v>
      </c>
      <c r="D352" t="s">
        <v>2026</v>
      </c>
      <c r="E352" t="s">
        <v>2027</v>
      </c>
      <c r="F352" t="s">
        <v>2416</v>
      </c>
      <c r="G352">
        <v>59</v>
      </c>
      <c r="H352">
        <v>29205</v>
      </c>
      <c r="I352">
        <v>32</v>
      </c>
      <c r="J352">
        <v>16864</v>
      </c>
      <c r="K352">
        <v>32</v>
      </c>
      <c r="L352">
        <v>13984</v>
      </c>
      <c r="M352">
        <v>16</v>
      </c>
      <c r="N352">
        <v>8304</v>
      </c>
      <c r="O352">
        <v>42</v>
      </c>
      <c r="P352">
        <v>20496</v>
      </c>
      <c r="Q352">
        <v>9</v>
      </c>
      <c r="R352">
        <v>4455</v>
      </c>
      <c r="S352">
        <v>48</v>
      </c>
      <c r="T352">
        <v>22944</v>
      </c>
      <c r="U352">
        <v>13</v>
      </c>
      <c r="V352">
        <v>6825</v>
      </c>
      <c r="W352">
        <v>57</v>
      </c>
      <c r="X352">
        <v>27588</v>
      </c>
      <c r="Y352" s="26">
        <f t="shared" si="5"/>
        <v>308</v>
      </c>
    </row>
    <row r="353" spans="1:25" x14ac:dyDescent="0.25">
      <c r="A353" t="s">
        <v>2319</v>
      </c>
      <c r="B353" t="s">
        <v>2320</v>
      </c>
      <c r="C353" s="22">
        <v>44108</v>
      </c>
      <c r="D353" t="s">
        <v>2014</v>
      </c>
      <c r="E353" t="s">
        <v>2015</v>
      </c>
      <c r="F353" t="s">
        <v>2416</v>
      </c>
      <c r="G353">
        <v>10</v>
      </c>
      <c r="H353">
        <v>4260</v>
      </c>
      <c r="I353">
        <v>61</v>
      </c>
      <c r="J353">
        <v>29463</v>
      </c>
      <c r="K353">
        <v>58</v>
      </c>
      <c r="L353">
        <v>30798</v>
      </c>
      <c r="M353">
        <v>57</v>
      </c>
      <c r="N353">
        <v>23826</v>
      </c>
      <c r="O353">
        <v>61</v>
      </c>
      <c r="P353">
        <v>25864</v>
      </c>
      <c r="Q353">
        <v>25</v>
      </c>
      <c r="R353">
        <v>12625</v>
      </c>
      <c r="S353">
        <v>14</v>
      </c>
      <c r="T353">
        <v>6776</v>
      </c>
      <c r="U353">
        <v>52</v>
      </c>
      <c r="V353">
        <v>23348</v>
      </c>
      <c r="W353">
        <v>39</v>
      </c>
      <c r="X353">
        <v>18096</v>
      </c>
      <c r="Y353" s="26">
        <f t="shared" si="5"/>
        <v>377</v>
      </c>
    </row>
    <row r="354" spans="1:25" x14ac:dyDescent="0.25">
      <c r="A354" t="s">
        <v>2321</v>
      </c>
      <c r="B354" t="s">
        <v>2322</v>
      </c>
      <c r="C354" s="22">
        <v>42964</v>
      </c>
      <c r="D354" t="s">
        <v>2014</v>
      </c>
      <c r="E354" t="s">
        <v>2019</v>
      </c>
      <c r="F354" t="s">
        <v>2416</v>
      </c>
      <c r="G354">
        <v>28</v>
      </c>
      <c r="H354">
        <v>11844</v>
      </c>
      <c r="I354">
        <v>46</v>
      </c>
      <c r="J354">
        <v>20148</v>
      </c>
      <c r="K354">
        <v>17</v>
      </c>
      <c r="L354">
        <v>8092</v>
      </c>
      <c r="M354">
        <v>26</v>
      </c>
      <c r="N354">
        <v>13780</v>
      </c>
      <c r="O354">
        <v>40</v>
      </c>
      <c r="P354">
        <v>20800</v>
      </c>
      <c r="Q354">
        <v>38</v>
      </c>
      <c r="R354">
        <v>15504</v>
      </c>
      <c r="S354">
        <v>33</v>
      </c>
      <c r="T354">
        <v>15279</v>
      </c>
      <c r="U354">
        <v>45</v>
      </c>
      <c r="V354">
        <v>20790</v>
      </c>
      <c r="W354">
        <v>39</v>
      </c>
      <c r="X354">
        <v>20202</v>
      </c>
      <c r="Y354" s="26">
        <f t="shared" si="5"/>
        <v>312</v>
      </c>
    </row>
    <row r="355" spans="1:25" x14ac:dyDescent="0.25">
      <c r="A355" t="s">
        <v>2323</v>
      </c>
      <c r="B355" t="s">
        <v>2324</v>
      </c>
      <c r="C355" s="22">
        <v>43429</v>
      </c>
      <c r="D355" t="s">
        <v>2014</v>
      </c>
      <c r="E355" t="s">
        <v>2019</v>
      </c>
      <c r="F355" t="s">
        <v>2416</v>
      </c>
      <c r="G355">
        <v>71</v>
      </c>
      <c r="H355">
        <v>29891</v>
      </c>
      <c r="I355">
        <v>69</v>
      </c>
      <c r="J355">
        <v>37053</v>
      </c>
      <c r="K355">
        <v>20</v>
      </c>
      <c r="L355">
        <v>8620</v>
      </c>
      <c r="M355">
        <v>34</v>
      </c>
      <c r="N355">
        <v>14246</v>
      </c>
      <c r="O355">
        <v>18</v>
      </c>
      <c r="P355">
        <v>8028</v>
      </c>
      <c r="Q355">
        <v>43</v>
      </c>
      <c r="R355">
        <v>23435</v>
      </c>
      <c r="S355">
        <v>75</v>
      </c>
      <c r="T355">
        <v>40125</v>
      </c>
      <c r="U355">
        <v>49</v>
      </c>
      <c r="V355">
        <v>22883</v>
      </c>
      <c r="W355">
        <v>56</v>
      </c>
      <c r="X355">
        <v>24696</v>
      </c>
      <c r="Y355" s="26">
        <f t="shared" si="5"/>
        <v>435</v>
      </c>
    </row>
    <row r="356" spans="1:25" x14ac:dyDescent="0.25">
      <c r="A356" t="s">
        <v>2325</v>
      </c>
      <c r="B356" t="s">
        <v>2326</v>
      </c>
      <c r="C356" s="22">
        <v>43203</v>
      </c>
      <c r="D356" t="s">
        <v>2014</v>
      </c>
      <c r="E356" t="s">
        <v>2019</v>
      </c>
      <c r="F356" t="s">
        <v>2416</v>
      </c>
      <c r="G356">
        <v>18</v>
      </c>
      <c r="H356">
        <v>8874</v>
      </c>
      <c r="I356">
        <v>11</v>
      </c>
      <c r="J356">
        <v>5753</v>
      </c>
      <c r="K356">
        <v>24</v>
      </c>
      <c r="L356">
        <v>12336</v>
      </c>
      <c r="M356">
        <v>51</v>
      </c>
      <c r="N356">
        <v>28050</v>
      </c>
      <c r="O356">
        <v>59</v>
      </c>
      <c r="P356">
        <v>30739</v>
      </c>
      <c r="Q356">
        <v>11</v>
      </c>
      <c r="R356">
        <v>5951</v>
      </c>
      <c r="S356">
        <v>59</v>
      </c>
      <c r="T356">
        <v>30267</v>
      </c>
      <c r="U356">
        <v>59</v>
      </c>
      <c r="V356">
        <v>29500</v>
      </c>
      <c r="W356">
        <v>22</v>
      </c>
      <c r="X356">
        <v>11110</v>
      </c>
      <c r="Y356" s="26">
        <f t="shared" si="5"/>
        <v>314</v>
      </c>
    </row>
    <row r="357" spans="1:25" x14ac:dyDescent="0.25">
      <c r="A357" t="s">
        <v>2327</v>
      </c>
      <c r="B357" t="s">
        <v>2328</v>
      </c>
      <c r="C357" s="22">
        <v>44139</v>
      </c>
      <c r="D357" t="s">
        <v>2026</v>
      </c>
      <c r="E357" t="s">
        <v>2027</v>
      </c>
      <c r="F357" t="s">
        <v>2416</v>
      </c>
      <c r="G357">
        <v>2</v>
      </c>
      <c r="H357">
        <v>902</v>
      </c>
      <c r="I357">
        <v>75</v>
      </c>
      <c r="J357">
        <v>37275</v>
      </c>
      <c r="K357">
        <v>59</v>
      </c>
      <c r="L357">
        <v>28851</v>
      </c>
      <c r="M357">
        <v>23</v>
      </c>
      <c r="N357">
        <v>10856</v>
      </c>
      <c r="O357">
        <v>36</v>
      </c>
      <c r="P357">
        <v>19296</v>
      </c>
      <c r="Q357">
        <v>13</v>
      </c>
      <c r="R357">
        <v>6292</v>
      </c>
      <c r="S357">
        <v>74</v>
      </c>
      <c r="T357">
        <v>38702</v>
      </c>
      <c r="U357">
        <v>60</v>
      </c>
      <c r="V357">
        <v>32580</v>
      </c>
      <c r="W357">
        <v>72</v>
      </c>
      <c r="X357">
        <v>36144</v>
      </c>
      <c r="Y357" s="26">
        <f t="shared" si="5"/>
        <v>414</v>
      </c>
    </row>
    <row r="358" spans="1:25" x14ac:dyDescent="0.25">
      <c r="A358" t="s">
        <v>2329</v>
      </c>
      <c r="B358" t="s">
        <v>2330</v>
      </c>
      <c r="C358" s="22">
        <v>42213</v>
      </c>
      <c r="D358" t="s">
        <v>2014</v>
      </c>
      <c r="E358" t="s">
        <v>2019</v>
      </c>
      <c r="F358" t="s">
        <v>2416</v>
      </c>
      <c r="G358">
        <v>21</v>
      </c>
      <c r="H358">
        <v>8988</v>
      </c>
      <c r="I358">
        <v>33</v>
      </c>
      <c r="J358">
        <v>17028</v>
      </c>
      <c r="K358">
        <v>55</v>
      </c>
      <c r="L358">
        <v>29095</v>
      </c>
      <c r="M358">
        <v>4</v>
      </c>
      <c r="N358">
        <v>1836</v>
      </c>
      <c r="O358">
        <v>70</v>
      </c>
      <c r="P358">
        <v>36190</v>
      </c>
      <c r="Q358">
        <v>6</v>
      </c>
      <c r="R358">
        <v>3084</v>
      </c>
      <c r="S358">
        <v>50</v>
      </c>
      <c r="T358">
        <v>24100</v>
      </c>
      <c r="U358">
        <v>13</v>
      </c>
      <c r="V358">
        <v>6864</v>
      </c>
      <c r="W358">
        <v>8</v>
      </c>
      <c r="X358">
        <v>3936</v>
      </c>
      <c r="Y358" s="26">
        <f t="shared" si="5"/>
        <v>260</v>
      </c>
    </row>
    <row r="359" spans="1:25" x14ac:dyDescent="0.25">
      <c r="A359" t="s">
        <v>2331</v>
      </c>
      <c r="B359" t="s">
        <v>2332</v>
      </c>
      <c r="C359" s="22">
        <v>43331</v>
      </c>
      <c r="D359" t="s">
        <v>2014</v>
      </c>
      <c r="E359" t="s">
        <v>2019</v>
      </c>
      <c r="F359" t="s">
        <v>2416</v>
      </c>
      <c r="G359">
        <v>21</v>
      </c>
      <c r="H359">
        <v>9618</v>
      </c>
      <c r="I359">
        <v>71</v>
      </c>
      <c r="J359">
        <v>31950</v>
      </c>
      <c r="K359">
        <v>63</v>
      </c>
      <c r="L359">
        <v>30492</v>
      </c>
      <c r="M359">
        <v>33</v>
      </c>
      <c r="N359">
        <v>17820</v>
      </c>
      <c r="O359">
        <v>63</v>
      </c>
      <c r="P359">
        <v>32319</v>
      </c>
      <c r="Q359">
        <v>57</v>
      </c>
      <c r="R359">
        <v>27474</v>
      </c>
      <c r="S359">
        <v>38</v>
      </c>
      <c r="T359">
        <v>18126</v>
      </c>
      <c r="U359">
        <v>9</v>
      </c>
      <c r="V359">
        <v>4005</v>
      </c>
      <c r="W359">
        <v>48</v>
      </c>
      <c r="X359">
        <v>25248</v>
      </c>
      <c r="Y359" s="26">
        <f t="shared" si="5"/>
        <v>403</v>
      </c>
    </row>
    <row r="360" spans="1:25" x14ac:dyDescent="0.25">
      <c r="A360" t="s">
        <v>2333</v>
      </c>
      <c r="B360" t="s">
        <v>2334</v>
      </c>
      <c r="C360" s="22">
        <v>43767</v>
      </c>
      <c r="D360" t="s">
        <v>2026</v>
      </c>
      <c r="E360" t="s">
        <v>2015</v>
      </c>
      <c r="F360" t="s">
        <v>2416</v>
      </c>
      <c r="G360">
        <v>33</v>
      </c>
      <c r="H360">
        <v>14289</v>
      </c>
      <c r="I360">
        <v>59</v>
      </c>
      <c r="J360">
        <v>30326</v>
      </c>
      <c r="K360">
        <v>11</v>
      </c>
      <c r="L360">
        <v>5753</v>
      </c>
      <c r="M360">
        <v>11</v>
      </c>
      <c r="N360">
        <v>5577</v>
      </c>
      <c r="O360">
        <v>21</v>
      </c>
      <c r="P360">
        <v>11151</v>
      </c>
      <c r="Q360">
        <v>31</v>
      </c>
      <c r="R360">
        <v>13144</v>
      </c>
      <c r="S360">
        <v>28</v>
      </c>
      <c r="T360">
        <v>14952</v>
      </c>
      <c r="U360">
        <v>62</v>
      </c>
      <c r="V360">
        <v>30256</v>
      </c>
      <c r="W360">
        <v>4</v>
      </c>
      <c r="X360">
        <v>1632</v>
      </c>
      <c r="Y360" s="26">
        <f t="shared" si="5"/>
        <v>260</v>
      </c>
    </row>
    <row r="361" spans="1:25" x14ac:dyDescent="0.25">
      <c r="A361" t="s">
        <v>2335</v>
      </c>
      <c r="B361" t="s">
        <v>2336</v>
      </c>
      <c r="C361" s="22">
        <v>42380</v>
      </c>
      <c r="D361" t="s">
        <v>2014</v>
      </c>
      <c r="E361" t="s">
        <v>2015</v>
      </c>
      <c r="F361" t="s">
        <v>2416</v>
      </c>
      <c r="G361">
        <v>59</v>
      </c>
      <c r="H361">
        <v>25724</v>
      </c>
      <c r="I361">
        <v>8</v>
      </c>
      <c r="J361">
        <v>3240</v>
      </c>
      <c r="K361">
        <v>32</v>
      </c>
      <c r="L361">
        <v>17344</v>
      </c>
      <c r="M361">
        <v>44</v>
      </c>
      <c r="N361">
        <v>17644</v>
      </c>
      <c r="O361">
        <v>71</v>
      </c>
      <c r="P361">
        <v>33867</v>
      </c>
      <c r="Q361">
        <v>47</v>
      </c>
      <c r="R361">
        <v>25004</v>
      </c>
      <c r="S361">
        <v>0</v>
      </c>
      <c r="T361">
        <v>0</v>
      </c>
      <c r="U361">
        <v>21</v>
      </c>
      <c r="V361">
        <v>9723</v>
      </c>
      <c r="W361">
        <v>65</v>
      </c>
      <c r="X361">
        <v>33670</v>
      </c>
      <c r="Y361" s="26">
        <f t="shared" si="5"/>
        <v>347</v>
      </c>
    </row>
    <row r="362" spans="1:25" x14ac:dyDescent="0.25">
      <c r="A362" t="s">
        <v>2337</v>
      </c>
      <c r="B362" t="s">
        <v>2338</v>
      </c>
      <c r="C362" s="22">
        <v>42091</v>
      </c>
      <c r="D362" t="s">
        <v>2014</v>
      </c>
      <c r="E362" t="s">
        <v>2019</v>
      </c>
      <c r="F362" t="s">
        <v>2416</v>
      </c>
      <c r="G362">
        <v>10</v>
      </c>
      <c r="H362">
        <v>5020</v>
      </c>
      <c r="I362">
        <v>27</v>
      </c>
      <c r="J362">
        <v>11637</v>
      </c>
      <c r="K362">
        <v>67</v>
      </c>
      <c r="L362">
        <v>30485</v>
      </c>
      <c r="M362">
        <v>65</v>
      </c>
      <c r="N362">
        <v>27365</v>
      </c>
      <c r="O362">
        <v>72</v>
      </c>
      <c r="P362">
        <v>32544</v>
      </c>
      <c r="Q362">
        <v>69</v>
      </c>
      <c r="R362">
        <v>30429</v>
      </c>
      <c r="S362">
        <v>39</v>
      </c>
      <c r="T362">
        <v>17979</v>
      </c>
      <c r="U362">
        <v>26</v>
      </c>
      <c r="V362">
        <v>11388</v>
      </c>
      <c r="W362">
        <v>1</v>
      </c>
      <c r="X362">
        <v>536</v>
      </c>
      <c r="Y362" s="26">
        <f t="shared" si="5"/>
        <v>376</v>
      </c>
    </row>
    <row r="363" spans="1:25" x14ac:dyDescent="0.25">
      <c r="A363" t="s">
        <v>2339</v>
      </c>
      <c r="B363" t="s">
        <v>2340</v>
      </c>
      <c r="C363" s="22">
        <v>43035</v>
      </c>
      <c r="D363" t="s">
        <v>2014</v>
      </c>
      <c r="E363" t="s">
        <v>2019</v>
      </c>
      <c r="F363" t="s">
        <v>2416</v>
      </c>
      <c r="G363">
        <v>74</v>
      </c>
      <c r="H363">
        <v>38184</v>
      </c>
      <c r="I363">
        <v>0</v>
      </c>
      <c r="J363">
        <v>0</v>
      </c>
      <c r="K363">
        <v>0</v>
      </c>
      <c r="L363">
        <v>0</v>
      </c>
      <c r="M363">
        <v>46</v>
      </c>
      <c r="N363">
        <v>21298</v>
      </c>
      <c r="O363">
        <v>32</v>
      </c>
      <c r="P363">
        <v>15968</v>
      </c>
      <c r="Q363">
        <v>64</v>
      </c>
      <c r="R363">
        <v>33792</v>
      </c>
      <c r="S363">
        <v>46</v>
      </c>
      <c r="T363">
        <v>23322</v>
      </c>
      <c r="U363">
        <v>40</v>
      </c>
      <c r="V363">
        <v>20320</v>
      </c>
      <c r="W363">
        <v>48</v>
      </c>
      <c r="X363">
        <v>24624</v>
      </c>
      <c r="Y363" s="26">
        <f t="shared" si="5"/>
        <v>350</v>
      </c>
    </row>
    <row r="364" spans="1:25" x14ac:dyDescent="0.25">
      <c r="A364" t="s">
        <v>2341</v>
      </c>
      <c r="B364" t="s">
        <v>2342</v>
      </c>
      <c r="C364" s="22">
        <v>42968</v>
      </c>
      <c r="D364" t="s">
        <v>2014</v>
      </c>
      <c r="E364" t="s">
        <v>2027</v>
      </c>
      <c r="F364" t="s">
        <v>2416</v>
      </c>
      <c r="G364">
        <v>35</v>
      </c>
      <c r="H364">
        <v>15015</v>
      </c>
      <c r="I364">
        <v>56</v>
      </c>
      <c r="J364">
        <v>28560</v>
      </c>
      <c r="K364">
        <v>2</v>
      </c>
      <c r="L364">
        <v>1000</v>
      </c>
      <c r="M364">
        <v>12</v>
      </c>
      <c r="N364">
        <v>5148</v>
      </c>
      <c r="O364">
        <v>63</v>
      </c>
      <c r="P364">
        <v>27279</v>
      </c>
      <c r="Q364">
        <v>6</v>
      </c>
      <c r="R364">
        <v>3198</v>
      </c>
      <c r="S364">
        <v>43</v>
      </c>
      <c r="T364">
        <v>17243</v>
      </c>
      <c r="U364">
        <v>74</v>
      </c>
      <c r="V364">
        <v>29674</v>
      </c>
      <c r="W364">
        <v>15</v>
      </c>
      <c r="X364">
        <v>6705</v>
      </c>
      <c r="Y364" s="26">
        <f t="shared" si="5"/>
        <v>306</v>
      </c>
    </row>
    <row r="365" spans="1:25" x14ac:dyDescent="0.25">
      <c r="A365" t="s">
        <v>2343</v>
      </c>
      <c r="B365" t="s">
        <v>2344</v>
      </c>
      <c r="C365" s="22">
        <v>42183</v>
      </c>
      <c r="D365" t="s">
        <v>2014</v>
      </c>
      <c r="E365" t="s">
        <v>2015</v>
      </c>
      <c r="F365" t="s">
        <v>2416</v>
      </c>
      <c r="G365">
        <v>60</v>
      </c>
      <c r="H365">
        <v>27000</v>
      </c>
      <c r="I365">
        <v>17</v>
      </c>
      <c r="J365">
        <v>8364</v>
      </c>
      <c r="K365">
        <v>37</v>
      </c>
      <c r="L365">
        <v>17686</v>
      </c>
      <c r="M365">
        <v>62</v>
      </c>
      <c r="N365">
        <v>26226</v>
      </c>
      <c r="O365">
        <v>74</v>
      </c>
      <c r="P365">
        <v>40034</v>
      </c>
      <c r="Q365">
        <v>66</v>
      </c>
      <c r="R365">
        <v>29370</v>
      </c>
      <c r="S365">
        <v>52</v>
      </c>
      <c r="T365">
        <v>27092</v>
      </c>
      <c r="U365">
        <v>15</v>
      </c>
      <c r="V365">
        <v>6735</v>
      </c>
      <c r="W365">
        <v>38</v>
      </c>
      <c r="X365">
        <v>18164</v>
      </c>
      <c r="Y365" s="26">
        <f t="shared" si="5"/>
        <v>421</v>
      </c>
    </row>
    <row r="366" spans="1:25" x14ac:dyDescent="0.25">
      <c r="A366" t="s">
        <v>2345</v>
      </c>
      <c r="B366" t="s">
        <v>2346</v>
      </c>
      <c r="C366" s="22">
        <v>43346</v>
      </c>
      <c r="D366" t="s">
        <v>2026</v>
      </c>
      <c r="E366" t="s">
        <v>2027</v>
      </c>
      <c r="F366" t="s">
        <v>2416</v>
      </c>
      <c r="G366">
        <v>25</v>
      </c>
      <c r="H366">
        <v>10500</v>
      </c>
      <c r="I366">
        <v>6</v>
      </c>
      <c r="J366">
        <v>2820</v>
      </c>
      <c r="K366">
        <v>20</v>
      </c>
      <c r="L366">
        <v>8500</v>
      </c>
      <c r="M366">
        <v>30</v>
      </c>
      <c r="N366">
        <v>16260</v>
      </c>
      <c r="O366">
        <v>72</v>
      </c>
      <c r="P366">
        <v>33408</v>
      </c>
      <c r="Q366">
        <v>3</v>
      </c>
      <c r="R366">
        <v>1410</v>
      </c>
      <c r="S366">
        <v>51</v>
      </c>
      <c r="T366">
        <v>26214</v>
      </c>
      <c r="U366">
        <v>49</v>
      </c>
      <c r="V366">
        <v>23667</v>
      </c>
      <c r="W366">
        <v>58</v>
      </c>
      <c r="X366">
        <v>26448</v>
      </c>
      <c r="Y366" s="26">
        <f t="shared" si="5"/>
        <v>314</v>
      </c>
    </row>
    <row r="367" spans="1:25" x14ac:dyDescent="0.25">
      <c r="A367" t="s">
        <v>2347</v>
      </c>
      <c r="B367" t="s">
        <v>2348</v>
      </c>
      <c r="C367" s="22">
        <v>42331</v>
      </c>
      <c r="D367" t="s">
        <v>2014</v>
      </c>
      <c r="E367" t="s">
        <v>2027</v>
      </c>
      <c r="F367" t="s">
        <v>2416</v>
      </c>
      <c r="G367">
        <v>66</v>
      </c>
      <c r="H367">
        <v>28050</v>
      </c>
      <c r="I367">
        <v>40</v>
      </c>
      <c r="J367">
        <v>21160</v>
      </c>
      <c r="K367">
        <v>12</v>
      </c>
      <c r="L367">
        <v>5532</v>
      </c>
      <c r="M367">
        <v>21</v>
      </c>
      <c r="N367">
        <v>9177</v>
      </c>
      <c r="O367">
        <v>6</v>
      </c>
      <c r="P367">
        <v>2778</v>
      </c>
      <c r="Q367">
        <v>66</v>
      </c>
      <c r="R367">
        <v>33198</v>
      </c>
      <c r="S367">
        <v>20</v>
      </c>
      <c r="T367">
        <v>10500</v>
      </c>
      <c r="U367">
        <v>45</v>
      </c>
      <c r="V367">
        <v>18315</v>
      </c>
      <c r="W367">
        <v>66</v>
      </c>
      <c r="X367">
        <v>33000</v>
      </c>
      <c r="Y367" s="26">
        <f t="shared" si="5"/>
        <v>342</v>
      </c>
    </row>
    <row r="368" spans="1:25" x14ac:dyDescent="0.25">
      <c r="A368" t="s">
        <v>2349</v>
      </c>
      <c r="B368" t="s">
        <v>2350</v>
      </c>
      <c r="C368" s="22">
        <v>43971</v>
      </c>
      <c r="D368" t="s">
        <v>2026</v>
      </c>
      <c r="E368" t="s">
        <v>2027</v>
      </c>
      <c r="F368" t="s">
        <v>2416</v>
      </c>
      <c r="G368">
        <v>25</v>
      </c>
      <c r="H368">
        <v>11900</v>
      </c>
      <c r="I368">
        <v>49</v>
      </c>
      <c r="J368">
        <v>26901</v>
      </c>
      <c r="K368">
        <v>10</v>
      </c>
      <c r="L368">
        <v>5470</v>
      </c>
      <c r="M368">
        <v>72</v>
      </c>
      <c r="N368">
        <v>38736</v>
      </c>
      <c r="O368">
        <v>42</v>
      </c>
      <c r="P368">
        <v>22470</v>
      </c>
      <c r="Q368">
        <v>32</v>
      </c>
      <c r="R368">
        <v>15296</v>
      </c>
      <c r="S368">
        <v>58</v>
      </c>
      <c r="T368">
        <v>26912</v>
      </c>
      <c r="U368">
        <v>50</v>
      </c>
      <c r="V368">
        <v>23500</v>
      </c>
      <c r="W368">
        <v>25</v>
      </c>
      <c r="X368">
        <v>11275</v>
      </c>
      <c r="Y368" s="26">
        <f t="shared" si="5"/>
        <v>363</v>
      </c>
    </row>
    <row r="369" spans="1:25" x14ac:dyDescent="0.25">
      <c r="A369" t="s">
        <v>2351</v>
      </c>
      <c r="B369" t="s">
        <v>2352</v>
      </c>
      <c r="C369" s="22">
        <v>43949</v>
      </c>
      <c r="D369" t="s">
        <v>2026</v>
      </c>
      <c r="E369" t="s">
        <v>2019</v>
      </c>
      <c r="F369" t="s">
        <v>2416</v>
      </c>
      <c r="G369">
        <v>52</v>
      </c>
      <c r="H369">
        <v>26624</v>
      </c>
      <c r="I369">
        <v>1</v>
      </c>
      <c r="J369">
        <v>475</v>
      </c>
      <c r="K369">
        <v>24</v>
      </c>
      <c r="L369">
        <v>11616</v>
      </c>
      <c r="M369">
        <v>11</v>
      </c>
      <c r="N369">
        <v>5819</v>
      </c>
      <c r="O369">
        <v>23</v>
      </c>
      <c r="P369">
        <v>12604</v>
      </c>
      <c r="Q369">
        <v>52</v>
      </c>
      <c r="R369">
        <v>25740</v>
      </c>
      <c r="S369">
        <v>62</v>
      </c>
      <c r="T369">
        <v>32116</v>
      </c>
      <c r="U369">
        <v>10</v>
      </c>
      <c r="V369">
        <v>4000</v>
      </c>
      <c r="W369">
        <v>71</v>
      </c>
      <c r="X369">
        <v>35855</v>
      </c>
      <c r="Y369" s="26">
        <f t="shared" si="5"/>
        <v>306</v>
      </c>
    </row>
    <row r="370" spans="1:25" x14ac:dyDescent="0.25">
      <c r="A370" t="s">
        <v>2353</v>
      </c>
      <c r="B370" t="s">
        <v>2354</v>
      </c>
      <c r="C370" s="22">
        <v>43345</v>
      </c>
      <c r="D370" t="s">
        <v>2014</v>
      </c>
      <c r="E370" t="s">
        <v>2027</v>
      </c>
      <c r="F370" t="s">
        <v>2416</v>
      </c>
      <c r="G370">
        <v>43</v>
      </c>
      <c r="H370">
        <v>18963</v>
      </c>
      <c r="I370">
        <v>50</v>
      </c>
      <c r="J370">
        <v>26850</v>
      </c>
      <c r="K370">
        <v>61</v>
      </c>
      <c r="L370">
        <v>31903</v>
      </c>
      <c r="M370">
        <v>21</v>
      </c>
      <c r="N370">
        <v>11214</v>
      </c>
      <c r="O370">
        <v>64</v>
      </c>
      <c r="P370">
        <v>26240</v>
      </c>
      <c r="Q370">
        <v>48</v>
      </c>
      <c r="R370">
        <v>19440</v>
      </c>
      <c r="S370">
        <v>12</v>
      </c>
      <c r="T370">
        <v>6084</v>
      </c>
      <c r="U370">
        <v>1</v>
      </c>
      <c r="V370">
        <v>549</v>
      </c>
      <c r="W370">
        <v>61</v>
      </c>
      <c r="X370">
        <v>29585</v>
      </c>
      <c r="Y370" s="26">
        <f t="shared" si="5"/>
        <v>361</v>
      </c>
    </row>
    <row r="371" spans="1:25" x14ac:dyDescent="0.25">
      <c r="A371" t="s">
        <v>2355</v>
      </c>
      <c r="B371" t="s">
        <v>2356</v>
      </c>
      <c r="C371" s="22">
        <v>42419</v>
      </c>
      <c r="D371" t="s">
        <v>2026</v>
      </c>
      <c r="E371" t="s">
        <v>2027</v>
      </c>
      <c r="F371" t="s">
        <v>2416</v>
      </c>
      <c r="G371">
        <v>30</v>
      </c>
      <c r="H371">
        <v>12510</v>
      </c>
      <c r="I371">
        <v>35</v>
      </c>
      <c r="J371">
        <v>18095</v>
      </c>
      <c r="K371">
        <v>14</v>
      </c>
      <c r="L371">
        <v>7504</v>
      </c>
      <c r="M371">
        <v>71</v>
      </c>
      <c r="N371">
        <v>31453</v>
      </c>
      <c r="O371">
        <v>33</v>
      </c>
      <c r="P371">
        <v>17457</v>
      </c>
      <c r="Q371">
        <v>70</v>
      </c>
      <c r="R371">
        <v>31780</v>
      </c>
      <c r="S371">
        <v>41</v>
      </c>
      <c r="T371">
        <v>19352</v>
      </c>
      <c r="U371">
        <v>62</v>
      </c>
      <c r="V371">
        <v>32674</v>
      </c>
      <c r="W371">
        <v>72</v>
      </c>
      <c r="X371">
        <v>36648</v>
      </c>
      <c r="Y371" s="26">
        <f t="shared" si="5"/>
        <v>428</v>
      </c>
    </row>
    <row r="372" spans="1:25" x14ac:dyDescent="0.25">
      <c r="A372" t="s">
        <v>2357</v>
      </c>
      <c r="B372" t="s">
        <v>2358</v>
      </c>
      <c r="C372" s="22">
        <v>42458</v>
      </c>
      <c r="D372" t="s">
        <v>2026</v>
      </c>
      <c r="E372" t="s">
        <v>2027</v>
      </c>
      <c r="F372" t="s">
        <v>2416</v>
      </c>
      <c r="G372">
        <v>18</v>
      </c>
      <c r="H372">
        <v>7956</v>
      </c>
      <c r="I372">
        <v>24</v>
      </c>
      <c r="J372">
        <v>10944</v>
      </c>
      <c r="K372">
        <v>10</v>
      </c>
      <c r="L372">
        <v>4300</v>
      </c>
      <c r="M372">
        <v>22</v>
      </c>
      <c r="N372">
        <v>11550</v>
      </c>
      <c r="O372">
        <v>63</v>
      </c>
      <c r="P372">
        <v>26271</v>
      </c>
      <c r="Q372">
        <v>28</v>
      </c>
      <c r="R372">
        <v>12712</v>
      </c>
      <c r="S372">
        <v>75</v>
      </c>
      <c r="T372">
        <v>39975</v>
      </c>
      <c r="U372">
        <v>0</v>
      </c>
      <c r="V372">
        <v>0</v>
      </c>
      <c r="W372">
        <v>20</v>
      </c>
      <c r="X372">
        <v>8260</v>
      </c>
      <c r="Y372" s="26">
        <f t="shared" si="5"/>
        <v>260</v>
      </c>
    </row>
    <row r="373" spans="1:25" x14ac:dyDescent="0.25">
      <c r="A373" t="s">
        <v>2359</v>
      </c>
      <c r="B373" t="s">
        <v>2360</v>
      </c>
      <c r="C373" s="22">
        <v>43329</v>
      </c>
      <c r="D373" t="s">
        <v>2014</v>
      </c>
      <c r="E373" t="s">
        <v>2027</v>
      </c>
      <c r="F373" t="s">
        <v>2416</v>
      </c>
      <c r="G373">
        <v>44</v>
      </c>
      <c r="H373">
        <v>23540</v>
      </c>
      <c r="I373">
        <v>26</v>
      </c>
      <c r="J373">
        <v>13910</v>
      </c>
      <c r="K373">
        <v>12</v>
      </c>
      <c r="L373">
        <v>6204</v>
      </c>
      <c r="M373">
        <v>73</v>
      </c>
      <c r="N373">
        <v>36646</v>
      </c>
      <c r="O373">
        <v>2</v>
      </c>
      <c r="P373">
        <v>900</v>
      </c>
      <c r="Q373">
        <v>49</v>
      </c>
      <c r="R373">
        <v>23716</v>
      </c>
      <c r="S373">
        <v>69</v>
      </c>
      <c r="T373">
        <v>28980</v>
      </c>
      <c r="U373">
        <v>68</v>
      </c>
      <c r="V373">
        <v>29648</v>
      </c>
      <c r="W373">
        <v>72</v>
      </c>
      <c r="X373">
        <v>33552</v>
      </c>
      <c r="Y373" s="26">
        <f t="shared" si="5"/>
        <v>415</v>
      </c>
    </row>
    <row r="374" spans="1:25" x14ac:dyDescent="0.25">
      <c r="A374" t="s">
        <v>2361</v>
      </c>
      <c r="B374" t="s">
        <v>2362</v>
      </c>
      <c r="C374" s="22">
        <v>43469</v>
      </c>
      <c r="D374" t="s">
        <v>2026</v>
      </c>
      <c r="E374" t="s">
        <v>2015</v>
      </c>
      <c r="F374" t="s">
        <v>2416</v>
      </c>
      <c r="G374">
        <v>51</v>
      </c>
      <c r="H374">
        <v>22899</v>
      </c>
      <c r="I374">
        <v>7</v>
      </c>
      <c r="J374">
        <v>3360</v>
      </c>
      <c r="K374">
        <v>52</v>
      </c>
      <c r="L374">
        <v>22152</v>
      </c>
      <c r="M374">
        <v>5</v>
      </c>
      <c r="N374">
        <v>2255</v>
      </c>
      <c r="O374">
        <v>59</v>
      </c>
      <c r="P374">
        <v>24249</v>
      </c>
      <c r="Q374">
        <v>42</v>
      </c>
      <c r="R374">
        <v>19656</v>
      </c>
      <c r="S374">
        <v>2</v>
      </c>
      <c r="T374">
        <v>988</v>
      </c>
      <c r="U374">
        <v>0</v>
      </c>
      <c r="V374">
        <v>0</v>
      </c>
      <c r="W374">
        <v>5</v>
      </c>
      <c r="X374">
        <v>2200</v>
      </c>
      <c r="Y374" s="26">
        <f t="shared" si="5"/>
        <v>223</v>
      </c>
    </row>
    <row r="375" spans="1:25" x14ac:dyDescent="0.25">
      <c r="A375" t="s">
        <v>2363</v>
      </c>
      <c r="B375" t="s">
        <v>2364</v>
      </c>
      <c r="C375" s="22">
        <v>43636</v>
      </c>
      <c r="D375" t="s">
        <v>2014</v>
      </c>
      <c r="E375" t="s">
        <v>2027</v>
      </c>
      <c r="F375" t="s">
        <v>2416</v>
      </c>
      <c r="G375">
        <v>35</v>
      </c>
      <c r="H375">
        <v>18970</v>
      </c>
      <c r="I375">
        <v>40</v>
      </c>
      <c r="J375">
        <v>17160</v>
      </c>
      <c r="K375">
        <v>28</v>
      </c>
      <c r="L375">
        <v>13104</v>
      </c>
      <c r="M375">
        <v>49</v>
      </c>
      <c r="N375">
        <v>25627</v>
      </c>
      <c r="O375">
        <v>61</v>
      </c>
      <c r="P375">
        <v>29524</v>
      </c>
      <c r="Q375">
        <v>62</v>
      </c>
      <c r="R375">
        <v>30380</v>
      </c>
      <c r="S375">
        <v>0</v>
      </c>
      <c r="T375">
        <v>0</v>
      </c>
      <c r="U375">
        <v>42</v>
      </c>
      <c r="V375">
        <v>20370</v>
      </c>
      <c r="W375">
        <v>63</v>
      </c>
      <c r="X375">
        <v>33012</v>
      </c>
      <c r="Y375" s="26">
        <f t="shared" si="5"/>
        <v>380</v>
      </c>
    </row>
    <row r="376" spans="1:25" x14ac:dyDescent="0.25">
      <c r="A376" t="s">
        <v>2365</v>
      </c>
      <c r="B376" t="s">
        <v>2366</v>
      </c>
      <c r="C376" s="22">
        <v>43721</v>
      </c>
      <c r="D376" t="s">
        <v>2014</v>
      </c>
      <c r="E376" t="s">
        <v>2015</v>
      </c>
      <c r="F376" t="s">
        <v>2416</v>
      </c>
      <c r="G376">
        <v>22</v>
      </c>
      <c r="H376">
        <v>9306</v>
      </c>
      <c r="I376">
        <v>14</v>
      </c>
      <c r="J376">
        <v>6342</v>
      </c>
      <c r="K376">
        <v>19</v>
      </c>
      <c r="L376">
        <v>8835</v>
      </c>
      <c r="M376">
        <v>48</v>
      </c>
      <c r="N376">
        <v>21312</v>
      </c>
      <c r="O376">
        <v>51</v>
      </c>
      <c r="P376">
        <v>22389</v>
      </c>
      <c r="Q376">
        <v>65</v>
      </c>
      <c r="R376">
        <v>30225</v>
      </c>
      <c r="S376">
        <v>71</v>
      </c>
      <c r="T376">
        <v>35287</v>
      </c>
      <c r="U376">
        <v>14</v>
      </c>
      <c r="V376">
        <v>6622</v>
      </c>
      <c r="W376">
        <v>0</v>
      </c>
      <c r="X376">
        <v>0</v>
      </c>
      <c r="Y376" s="26">
        <f t="shared" si="5"/>
        <v>304</v>
      </c>
    </row>
    <row r="377" spans="1:25" x14ac:dyDescent="0.25">
      <c r="A377" t="s">
        <v>2367</v>
      </c>
      <c r="B377" t="s">
        <v>2368</v>
      </c>
      <c r="C377" s="22">
        <v>43140</v>
      </c>
      <c r="D377" t="s">
        <v>2014</v>
      </c>
      <c r="E377" t="s">
        <v>2027</v>
      </c>
      <c r="F377" t="s">
        <v>2416</v>
      </c>
      <c r="G377">
        <v>62</v>
      </c>
      <c r="H377">
        <v>28396</v>
      </c>
      <c r="I377">
        <v>15</v>
      </c>
      <c r="J377">
        <v>6960</v>
      </c>
      <c r="K377">
        <v>56</v>
      </c>
      <c r="L377">
        <v>23184</v>
      </c>
      <c r="M377">
        <v>62</v>
      </c>
      <c r="N377">
        <v>26412</v>
      </c>
      <c r="O377">
        <v>20</v>
      </c>
      <c r="P377">
        <v>9060</v>
      </c>
      <c r="Q377">
        <v>14</v>
      </c>
      <c r="R377">
        <v>6384</v>
      </c>
      <c r="S377">
        <v>33</v>
      </c>
      <c r="T377">
        <v>17688</v>
      </c>
      <c r="U377">
        <v>63</v>
      </c>
      <c r="V377">
        <v>28035</v>
      </c>
      <c r="W377">
        <v>74</v>
      </c>
      <c r="X377">
        <v>35520</v>
      </c>
      <c r="Y377" s="26">
        <f t="shared" si="5"/>
        <v>399</v>
      </c>
    </row>
    <row r="378" spans="1:25" x14ac:dyDescent="0.25">
      <c r="A378" t="s">
        <v>2357</v>
      </c>
      <c r="B378" t="s">
        <v>2369</v>
      </c>
      <c r="C378" s="22">
        <v>42642</v>
      </c>
      <c r="D378" t="s">
        <v>2026</v>
      </c>
      <c r="E378" t="s">
        <v>2015</v>
      </c>
      <c r="F378" t="s">
        <v>2416</v>
      </c>
      <c r="G378">
        <v>1</v>
      </c>
      <c r="H378">
        <v>427</v>
      </c>
      <c r="I378">
        <v>22</v>
      </c>
      <c r="J378">
        <v>8998</v>
      </c>
      <c r="K378">
        <v>58</v>
      </c>
      <c r="L378">
        <v>26390</v>
      </c>
      <c r="M378">
        <v>12</v>
      </c>
      <c r="N378">
        <v>6156</v>
      </c>
      <c r="O378">
        <v>4</v>
      </c>
      <c r="P378">
        <v>2100</v>
      </c>
      <c r="Q378">
        <v>27</v>
      </c>
      <c r="R378">
        <v>12879</v>
      </c>
      <c r="S378">
        <v>30</v>
      </c>
      <c r="T378">
        <v>12330</v>
      </c>
      <c r="U378">
        <v>44</v>
      </c>
      <c r="V378">
        <v>20724</v>
      </c>
      <c r="W378">
        <v>27</v>
      </c>
      <c r="X378">
        <v>14175</v>
      </c>
      <c r="Y378" s="26">
        <f t="shared" si="5"/>
        <v>225</v>
      </c>
    </row>
    <row r="379" spans="1:25" x14ac:dyDescent="0.25">
      <c r="A379" t="s">
        <v>2370</v>
      </c>
      <c r="B379" t="s">
        <v>2371</v>
      </c>
      <c r="C379" s="22">
        <v>43020</v>
      </c>
      <c r="D379" t="s">
        <v>2026</v>
      </c>
      <c r="E379" t="s">
        <v>2019</v>
      </c>
      <c r="F379" t="s">
        <v>2416</v>
      </c>
      <c r="G379">
        <v>9</v>
      </c>
      <c r="H379">
        <v>4311</v>
      </c>
      <c r="I379">
        <v>2</v>
      </c>
      <c r="J379">
        <v>824</v>
      </c>
      <c r="K379">
        <v>58</v>
      </c>
      <c r="L379">
        <v>27086</v>
      </c>
      <c r="M379">
        <v>46</v>
      </c>
      <c r="N379">
        <v>20470</v>
      </c>
      <c r="O379">
        <v>25</v>
      </c>
      <c r="P379">
        <v>12750</v>
      </c>
      <c r="Q379">
        <v>63</v>
      </c>
      <c r="R379">
        <v>32067</v>
      </c>
      <c r="S379">
        <v>57</v>
      </c>
      <c r="T379">
        <v>26562</v>
      </c>
      <c r="U379">
        <v>41</v>
      </c>
      <c r="V379">
        <v>19803</v>
      </c>
      <c r="W379">
        <v>31</v>
      </c>
      <c r="X379">
        <v>13485</v>
      </c>
      <c r="Y379" s="26">
        <f t="shared" si="5"/>
        <v>332</v>
      </c>
    </row>
    <row r="380" spans="1:25" x14ac:dyDescent="0.25">
      <c r="A380" t="s">
        <v>2372</v>
      </c>
      <c r="B380" t="s">
        <v>2373</v>
      </c>
      <c r="C380" s="22">
        <v>42235</v>
      </c>
      <c r="D380" t="s">
        <v>2014</v>
      </c>
      <c r="E380" t="s">
        <v>2019</v>
      </c>
      <c r="F380" t="s">
        <v>2416</v>
      </c>
      <c r="G380">
        <v>44</v>
      </c>
      <c r="H380">
        <v>21032</v>
      </c>
      <c r="I380">
        <v>31</v>
      </c>
      <c r="J380">
        <v>13609</v>
      </c>
      <c r="K380">
        <v>4</v>
      </c>
      <c r="L380">
        <v>2040</v>
      </c>
      <c r="M380">
        <v>4</v>
      </c>
      <c r="N380">
        <v>2072</v>
      </c>
      <c r="O380">
        <v>61</v>
      </c>
      <c r="P380">
        <v>28548</v>
      </c>
      <c r="Q380">
        <v>32</v>
      </c>
      <c r="R380">
        <v>16704</v>
      </c>
      <c r="S380">
        <v>24</v>
      </c>
      <c r="T380">
        <v>11472</v>
      </c>
      <c r="U380">
        <v>18</v>
      </c>
      <c r="V380">
        <v>9198</v>
      </c>
      <c r="W380">
        <v>10</v>
      </c>
      <c r="X380">
        <v>4200</v>
      </c>
      <c r="Y380" s="26">
        <f t="shared" si="5"/>
        <v>228</v>
      </c>
    </row>
    <row r="381" spans="1:25" x14ac:dyDescent="0.25">
      <c r="A381" t="s">
        <v>2374</v>
      </c>
      <c r="B381" t="s">
        <v>2375</v>
      </c>
      <c r="C381" s="22">
        <v>42217</v>
      </c>
      <c r="D381" t="s">
        <v>2014</v>
      </c>
      <c r="E381" t="s">
        <v>2019</v>
      </c>
      <c r="F381" t="s">
        <v>2416</v>
      </c>
      <c r="G381">
        <v>14</v>
      </c>
      <c r="H381">
        <v>6006</v>
      </c>
      <c r="I381">
        <v>65</v>
      </c>
      <c r="J381">
        <v>26325</v>
      </c>
      <c r="K381">
        <v>8</v>
      </c>
      <c r="L381">
        <v>3752</v>
      </c>
      <c r="M381">
        <v>22</v>
      </c>
      <c r="N381">
        <v>11396</v>
      </c>
      <c r="O381">
        <v>41</v>
      </c>
      <c r="P381">
        <v>18163</v>
      </c>
      <c r="Q381">
        <v>21</v>
      </c>
      <c r="R381">
        <v>11214</v>
      </c>
      <c r="S381">
        <v>56</v>
      </c>
      <c r="T381">
        <v>29064</v>
      </c>
      <c r="U381">
        <v>39</v>
      </c>
      <c r="V381">
        <v>18135</v>
      </c>
      <c r="W381">
        <v>11</v>
      </c>
      <c r="X381">
        <v>4433</v>
      </c>
      <c r="Y381" s="26">
        <f t="shared" si="5"/>
        <v>277</v>
      </c>
    </row>
    <row r="382" spans="1:25" x14ac:dyDescent="0.25">
      <c r="A382" t="s">
        <v>2376</v>
      </c>
      <c r="B382" t="s">
        <v>2377</v>
      </c>
      <c r="C382" s="22">
        <v>42728</v>
      </c>
      <c r="D382" t="s">
        <v>2014</v>
      </c>
      <c r="E382" t="s">
        <v>2027</v>
      </c>
      <c r="F382" t="s">
        <v>2416</v>
      </c>
      <c r="G382">
        <v>11</v>
      </c>
      <c r="H382">
        <v>5269</v>
      </c>
      <c r="I382">
        <v>64</v>
      </c>
      <c r="J382">
        <v>34496</v>
      </c>
      <c r="K382">
        <v>7</v>
      </c>
      <c r="L382">
        <v>3325</v>
      </c>
      <c r="M382">
        <v>32</v>
      </c>
      <c r="N382">
        <v>16992</v>
      </c>
      <c r="O382">
        <v>73</v>
      </c>
      <c r="P382">
        <v>33945</v>
      </c>
      <c r="Q382">
        <v>35</v>
      </c>
      <c r="R382">
        <v>16940</v>
      </c>
      <c r="S382">
        <v>8</v>
      </c>
      <c r="T382">
        <v>3992</v>
      </c>
      <c r="U382">
        <v>21</v>
      </c>
      <c r="V382">
        <v>11109</v>
      </c>
      <c r="W382">
        <v>0</v>
      </c>
      <c r="X382">
        <v>0</v>
      </c>
      <c r="Y382" s="26">
        <f t="shared" si="5"/>
        <v>251</v>
      </c>
    </row>
    <row r="383" spans="1:25" x14ac:dyDescent="0.25">
      <c r="A383" t="s">
        <v>2378</v>
      </c>
      <c r="B383" t="s">
        <v>2379</v>
      </c>
      <c r="C383" s="22">
        <v>42908</v>
      </c>
      <c r="D383" t="s">
        <v>2026</v>
      </c>
      <c r="E383" t="s">
        <v>2027</v>
      </c>
      <c r="F383" t="s">
        <v>2416</v>
      </c>
      <c r="G383">
        <v>74</v>
      </c>
      <c r="H383">
        <v>33522</v>
      </c>
      <c r="I383">
        <v>1</v>
      </c>
      <c r="J383">
        <v>459</v>
      </c>
      <c r="K383">
        <v>21</v>
      </c>
      <c r="L383">
        <v>10164</v>
      </c>
      <c r="M383">
        <v>1</v>
      </c>
      <c r="N383">
        <v>416</v>
      </c>
      <c r="O383">
        <v>12</v>
      </c>
      <c r="P383">
        <v>5496</v>
      </c>
      <c r="Q383">
        <v>74</v>
      </c>
      <c r="R383">
        <v>39146</v>
      </c>
      <c r="S383">
        <v>51</v>
      </c>
      <c r="T383">
        <v>24939</v>
      </c>
      <c r="U383">
        <v>0</v>
      </c>
      <c r="V383">
        <v>0</v>
      </c>
      <c r="W383">
        <v>23</v>
      </c>
      <c r="X383">
        <v>11983</v>
      </c>
      <c r="Y383" s="26">
        <f t="shared" si="5"/>
        <v>257</v>
      </c>
    </row>
    <row r="384" spans="1:25" x14ac:dyDescent="0.25">
      <c r="A384" t="s">
        <v>2380</v>
      </c>
      <c r="B384" t="s">
        <v>2381</v>
      </c>
      <c r="C384" s="22">
        <v>43503</v>
      </c>
      <c r="D384" t="s">
        <v>2026</v>
      </c>
      <c r="E384" t="s">
        <v>2015</v>
      </c>
      <c r="F384" t="s">
        <v>2416</v>
      </c>
      <c r="G384">
        <v>56</v>
      </c>
      <c r="H384">
        <v>22736</v>
      </c>
      <c r="I384">
        <v>31</v>
      </c>
      <c r="J384">
        <v>16089</v>
      </c>
      <c r="K384">
        <v>6</v>
      </c>
      <c r="L384">
        <v>2976</v>
      </c>
      <c r="M384">
        <v>63</v>
      </c>
      <c r="N384">
        <v>27720</v>
      </c>
      <c r="O384">
        <v>66</v>
      </c>
      <c r="P384">
        <v>27324</v>
      </c>
      <c r="Q384">
        <v>20</v>
      </c>
      <c r="R384">
        <v>10200</v>
      </c>
      <c r="S384">
        <v>71</v>
      </c>
      <c r="T384">
        <v>34719</v>
      </c>
      <c r="U384">
        <v>17</v>
      </c>
      <c r="V384">
        <v>7276</v>
      </c>
      <c r="W384">
        <v>1</v>
      </c>
      <c r="X384">
        <v>483</v>
      </c>
      <c r="Y384" s="26">
        <f t="shared" si="5"/>
        <v>331</v>
      </c>
    </row>
    <row r="385" spans="1:25" x14ac:dyDescent="0.25">
      <c r="A385" t="s">
        <v>2382</v>
      </c>
      <c r="B385" t="s">
        <v>2383</v>
      </c>
      <c r="C385" s="22">
        <v>42614</v>
      </c>
      <c r="D385" t="s">
        <v>2026</v>
      </c>
      <c r="E385" t="s">
        <v>2027</v>
      </c>
      <c r="F385" t="s">
        <v>2416</v>
      </c>
      <c r="G385">
        <v>68</v>
      </c>
      <c r="H385">
        <v>34340</v>
      </c>
      <c r="I385">
        <v>76</v>
      </c>
      <c r="J385">
        <v>38000</v>
      </c>
      <c r="K385">
        <v>13</v>
      </c>
      <c r="L385">
        <v>6357</v>
      </c>
      <c r="M385">
        <v>7</v>
      </c>
      <c r="N385">
        <v>2947</v>
      </c>
      <c r="O385">
        <v>23</v>
      </c>
      <c r="P385">
        <v>12374</v>
      </c>
      <c r="Q385">
        <v>59</v>
      </c>
      <c r="R385">
        <v>31447</v>
      </c>
      <c r="S385">
        <v>27</v>
      </c>
      <c r="T385">
        <v>12852</v>
      </c>
      <c r="U385">
        <v>55</v>
      </c>
      <c r="V385">
        <v>25300</v>
      </c>
      <c r="W385">
        <v>8</v>
      </c>
      <c r="X385">
        <v>3952</v>
      </c>
      <c r="Y385" s="26">
        <f t="shared" si="5"/>
        <v>336</v>
      </c>
    </row>
    <row r="386" spans="1:25" x14ac:dyDescent="0.25">
      <c r="A386" t="s">
        <v>2384</v>
      </c>
      <c r="B386" t="s">
        <v>2385</v>
      </c>
      <c r="C386" s="22">
        <v>43874</v>
      </c>
      <c r="D386" t="s">
        <v>2014</v>
      </c>
      <c r="E386" t="s">
        <v>2015</v>
      </c>
      <c r="F386" t="s">
        <v>2416</v>
      </c>
      <c r="G386">
        <v>46</v>
      </c>
      <c r="H386">
        <v>22908</v>
      </c>
      <c r="I386">
        <v>22</v>
      </c>
      <c r="J386">
        <v>10494</v>
      </c>
      <c r="K386">
        <v>17</v>
      </c>
      <c r="L386">
        <v>7055</v>
      </c>
      <c r="M386">
        <v>12</v>
      </c>
      <c r="N386">
        <v>5652</v>
      </c>
      <c r="O386">
        <v>34</v>
      </c>
      <c r="P386">
        <v>14416</v>
      </c>
      <c r="Q386">
        <v>74</v>
      </c>
      <c r="R386">
        <v>39072</v>
      </c>
      <c r="S386">
        <v>65</v>
      </c>
      <c r="T386">
        <v>31070</v>
      </c>
      <c r="U386">
        <v>66</v>
      </c>
      <c r="V386">
        <v>32340</v>
      </c>
      <c r="W386">
        <v>22</v>
      </c>
      <c r="X386">
        <v>8976</v>
      </c>
      <c r="Y386" s="26">
        <f t="shared" si="5"/>
        <v>358</v>
      </c>
    </row>
    <row r="387" spans="1:25" x14ac:dyDescent="0.25">
      <c r="A387" t="s">
        <v>2386</v>
      </c>
      <c r="B387" t="s">
        <v>2387</v>
      </c>
      <c r="C387" s="22">
        <v>44148</v>
      </c>
      <c r="D387" t="s">
        <v>2026</v>
      </c>
      <c r="E387" t="s">
        <v>2019</v>
      </c>
      <c r="F387" t="s">
        <v>2416</v>
      </c>
      <c r="G387">
        <v>68</v>
      </c>
      <c r="H387">
        <v>34408</v>
      </c>
      <c r="I387">
        <v>64</v>
      </c>
      <c r="J387">
        <v>34816</v>
      </c>
      <c r="K387">
        <v>48</v>
      </c>
      <c r="L387">
        <v>23184</v>
      </c>
      <c r="M387">
        <v>76</v>
      </c>
      <c r="N387">
        <v>38380</v>
      </c>
      <c r="O387">
        <v>5</v>
      </c>
      <c r="P387">
        <v>2635</v>
      </c>
      <c r="Q387">
        <v>44</v>
      </c>
      <c r="R387">
        <v>17732</v>
      </c>
      <c r="S387">
        <v>25</v>
      </c>
      <c r="T387">
        <v>12575</v>
      </c>
      <c r="U387">
        <v>41</v>
      </c>
      <c r="V387">
        <v>19188</v>
      </c>
      <c r="W387">
        <v>72</v>
      </c>
      <c r="X387">
        <v>37728</v>
      </c>
      <c r="Y387" s="26">
        <f t="shared" ref="Y387:Y450" si="6">SUMIF($G$1:$X$1,"Количество*",G387:X387)</f>
        <v>443</v>
      </c>
    </row>
    <row r="388" spans="1:25" x14ac:dyDescent="0.25">
      <c r="A388" t="s">
        <v>2388</v>
      </c>
      <c r="B388" t="s">
        <v>2389</v>
      </c>
      <c r="C388" s="22">
        <v>42254</v>
      </c>
      <c r="D388" t="s">
        <v>2014</v>
      </c>
      <c r="E388" t="s">
        <v>2027</v>
      </c>
      <c r="F388" t="s">
        <v>2416</v>
      </c>
      <c r="G388">
        <v>9</v>
      </c>
      <c r="H388">
        <v>3708</v>
      </c>
      <c r="I388">
        <v>49</v>
      </c>
      <c r="J388">
        <v>25137</v>
      </c>
      <c r="K388">
        <v>65</v>
      </c>
      <c r="L388">
        <v>28925</v>
      </c>
      <c r="M388">
        <v>23</v>
      </c>
      <c r="N388">
        <v>11270</v>
      </c>
      <c r="O388">
        <v>74</v>
      </c>
      <c r="P388">
        <v>33744</v>
      </c>
      <c r="Q388">
        <v>20</v>
      </c>
      <c r="R388">
        <v>10000</v>
      </c>
      <c r="S388">
        <v>64</v>
      </c>
      <c r="T388">
        <v>27648</v>
      </c>
      <c r="U388">
        <v>39</v>
      </c>
      <c r="V388">
        <v>19656</v>
      </c>
      <c r="W388">
        <v>56</v>
      </c>
      <c r="X388">
        <v>30464</v>
      </c>
      <c r="Y388" s="26">
        <f t="shared" si="6"/>
        <v>399</v>
      </c>
    </row>
    <row r="389" spans="1:25" x14ac:dyDescent="0.25">
      <c r="A389" t="s">
        <v>2390</v>
      </c>
      <c r="B389" t="s">
        <v>2391</v>
      </c>
      <c r="C389" s="22">
        <v>42229</v>
      </c>
      <c r="D389" t="s">
        <v>2014</v>
      </c>
      <c r="E389" t="s">
        <v>2027</v>
      </c>
      <c r="F389" t="s">
        <v>2416</v>
      </c>
      <c r="G389">
        <v>76</v>
      </c>
      <c r="H389">
        <v>33516</v>
      </c>
      <c r="I389">
        <v>29</v>
      </c>
      <c r="J389">
        <v>13949</v>
      </c>
      <c r="K389">
        <v>39</v>
      </c>
      <c r="L389">
        <v>20124</v>
      </c>
      <c r="M389">
        <v>70</v>
      </c>
      <c r="N389">
        <v>34440</v>
      </c>
      <c r="O389">
        <v>7</v>
      </c>
      <c r="P389">
        <v>3066</v>
      </c>
      <c r="Q389">
        <v>50</v>
      </c>
      <c r="R389">
        <v>23800</v>
      </c>
      <c r="S389">
        <v>13</v>
      </c>
      <c r="T389">
        <v>6019</v>
      </c>
      <c r="U389">
        <v>25</v>
      </c>
      <c r="V389">
        <v>10400</v>
      </c>
      <c r="W389">
        <v>75</v>
      </c>
      <c r="X389">
        <v>39750</v>
      </c>
      <c r="Y389" s="26">
        <f t="shared" si="6"/>
        <v>384</v>
      </c>
    </row>
    <row r="390" spans="1:25" x14ac:dyDescent="0.25">
      <c r="A390" t="s">
        <v>2392</v>
      </c>
      <c r="B390" t="s">
        <v>2393</v>
      </c>
      <c r="C390" s="22">
        <v>43074</v>
      </c>
      <c r="D390" t="s">
        <v>2026</v>
      </c>
      <c r="E390" t="s">
        <v>2019</v>
      </c>
      <c r="F390" t="s">
        <v>2416</v>
      </c>
      <c r="G390">
        <v>40</v>
      </c>
      <c r="H390">
        <v>21920</v>
      </c>
      <c r="I390">
        <v>34</v>
      </c>
      <c r="J390">
        <v>17612</v>
      </c>
      <c r="K390">
        <v>50</v>
      </c>
      <c r="L390">
        <v>23200</v>
      </c>
      <c r="M390">
        <v>5</v>
      </c>
      <c r="N390">
        <v>2480</v>
      </c>
      <c r="O390">
        <v>62</v>
      </c>
      <c r="P390">
        <v>30690</v>
      </c>
      <c r="Q390">
        <v>25</v>
      </c>
      <c r="R390">
        <v>10450</v>
      </c>
      <c r="S390">
        <v>61</v>
      </c>
      <c r="T390">
        <v>27572</v>
      </c>
      <c r="U390">
        <v>35</v>
      </c>
      <c r="V390">
        <v>16590</v>
      </c>
      <c r="W390">
        <v>59</v>
      </c>
      <c r="X390">
        <v>26727</v>
      </c>
      <c r="Y390" s="26">
        <f t="shared" si="6"/>
        <v>371</v>
      </c>
    </row>
    <row r="391" spans="1:25" x14ac:dyDescent="0.25">
      <c r="A391" t="s">
        <v>2394</v>
      </c>
      <c r="B391" t="s">
        <v>2395</v>
      </c>
      <c r="C391" s="22">
        <v>43492</v>
      </c>
      <c r="D391" t="s">
        <v>2026</v>
      </c>
      <c r="E391" t="s">
        <v>2027</v>
      </c>
      <c r="F391" t="s">
        <v>2416</v>
      </c>
      <c r="G391">
        <v>51</v>
      </c>
      <c r="H391">
        <v>22032</v>
      </c>
      <c r="I391">
        <v>20</v>
      </c>
      <c r="J391">
        <v>9040</v>
      </c>
      <c r="K391">
        <v>16</v>
      </c>
      <c r="L391">
        <v>8112</v>
      </c>
      <c r="M391">
        <v>26</v>
      </c>
      <c r="N391">
        <v>10946</v>
      </c>
      <c r="O391">
        <v>24</v>
      </c>
      <c r="P391">
        <v>10776</v>
      </c>
      <c r="Q391">
        <v>53</v>
      </c>
      <c r="R391">
        <v>24115</v>
      </c>
      <c r="S391">
        <v>9</v>
      </c>
      <c r="T391">
        <v>4482</v>
      </c>
      <c r="U391">
        <v>45</v>
      </c>
      <c r="V391">
        <v>22320</v>
      </c>
      <c r="W391">
        <v>70</v>
      </c>
      <c r="X391">
        <v>33460</v>
      </c>
      <c r="Y391" s="26">
        <f t="shared" si="6"/>
        <v>314</v>
      </c>
    </row>
    <row r="392" spans="1:25" x14ac:dyDescent="0.25">
      <c r="A392" t="s">
        <v>2396</v>
      </c>
      <c r="B392" t="s">
        <v>2397</v>
      </c>
      <c r="C392" s="22">
        <v>42648</v>
      </c>
      <c r="D392" t="s">
        <v>2026</v>
      </c>
      <c r="E392" t="s">
        <v>2027</v>
      </c>
      <c r="F392" t="s">
        <v>2416</v>
      </c>
      <c r="G392">
        <v>37</v>
      </c>
      <c r="H392">
        <v>15429</v>
      </c>
      <c r="I392">
        <v>48</v>
      </c>
      <c r="J392">
        <v>21360</v>
      </c>
      <c r="K392">
        <v>24</v>
      </c>
      <c r="L392">
        <v>12216</v>
      </c>
      <c r="M392">
        <v>45</v>
      </c>
      <c r="N392">
        <v>18000</v>
      </c>
      <c r="O392">
        <v>24</v>
      </c>
      <c r="P392">
        <v>10296</v>
      </c>
      <c r="Q392">
        <v>67</v>
      </c>
      <c r="R392">
        <v>36113</v>
      </c>
      <c r="S392">
        <v>58</v>
      </c>
      <c r="T392">
        <v>29406</v>
      </c>
      <c r="U392">
        <v>72</v>
      </c>
      <c r="V392">
        <v>38520</v>
      </c>
      <c r="W392">
        <v>56</v>
      </c>
      <c r="X392">
        <v>24696</v>
      </c>
      <c r="Y392" s="26">
        <f t="shared" si="6"/>
        <v>431</v>
      </c>
    </row>
    <row r="393" spans="1:25" x14ac:dyDescent="0.25">
      <c r="A393" t="s">
        <v>2398</v>
      </c>
      <c r="B393" t="s">
        <v>2399</v>
      </c>
      <c r="C393" s="22">
        <v>42048</v>
      </c>
      <c r="D393" t="s">
        <v>2014</v>
      </c>
      <c r="E393" t="s">
        <v>2015</v>
      </c>
      <c r="F393" t="s">
        <v>2416</v>
      </c>
      <c r="G393">
        <v>20</v>
      </c>
      <c r="H393">
        <v>10940</v>
      </c>
      <c r="I393">
        <v>58</v>
      </c>
      <c r="J393">
        <v>29174</v>
      </c>
      <c r="K393">
        <v>30</v>
      </c>
      <c r="L393">
        <v>12330</v>
      </c>
      <c r="M393">
        <v>29</v>
      </c>
      <c r="N393">
        <v>14500</v>
      </c>
      <c r="O393">
        <v>4</v>
      </c>
      <c r="P393">
        <v>2164</v>
      </c>
      <c r="Q393">
        <v>58</v>
      </c>
      <c r="R393">
        <v>25346</v>
      </c>
      <c r="S393">
        <v>55</v>
      </c>
      <c r="T393">
        <v>27170</v>
      </c>
      <c r="U393">
        <v>8</v>
      </c>
      <c r="V393">
        <v>3936</v>
      </c>
      <c r="W393">
        <v>19</v>
      </c>
      <c r="X393">
        <v>7980</v>
      </c>
      <c r="Y393" s="26">
        <f t="shared" si="6"/>
        <v>281</v>
      </c>
    </row>
    <row r="394" spans="1:25" x14ac:dyDescent="0.25">
      <c r="A394" t="s">
        <v>2400</v>
      </c>
      <c r="B394" t="s">
        <v>2401</v>
      </c>
      <c r="C394" s="22">
        <v>43155</v>
      </c>
      <c r="D394" t="s">
        <v>2026</v>
      </c>
      <c r="E394" t="s">
        <v>2015</v>
      </c>
      <c r="F394" t="s">
        <v>2416</v>
      </c>
      <c r="G394">
        <v>29</v>
      </c>
      <c r="H394">
        <v>13427</v>
      </c>
      <c r="I394">
        <v>1</v>
      </c>
      <c r="J394">
        <v>473</v>
      </c>
      <c r="K394">
        <v>43</v>
      </c>
      <c r="L394">
        <v>23392</v>
      </c>
      <c r="M394">
        <v>70</v>
      </c>
      <c r="N394">
        <v>34860</v>
      </c>
      <c r="O394">
        <v>37</v>
      </c>
      <c r="P394">
        <v>18352</v>
      </c>
      <c r="Q394">
        <v>65</v>
      </c>
      <c r="R394">
        <v>34580</v>
      </c>
      <c r="S394">
        <v>54</v>
      </c>
      <c r="T394">
        <v>29646</v>
      </c>
      <c r="U394">
        <v>38</v>
      </c>
      <c r="V394">
        <v>17746</v>
      </c>
      <c r="W394">
        <v>45</v>
      </c>
      <c r="X394">
        <v>20835</v>
      </c>
      <c r="Y394" s="26">
        <f t="shared" si="6"/>
        <v>382</v>
      </c>
    </row>
    <row r="395" spans="1:25" x14ac:dyDescent="0.25">
      <c r="A395" t="s">
        <v>2402</v>
      </c>
      <c r="B395" t="s">
        <v>2403</v>
      </c>
      <c r="C395" s="22">
        <v>43041</v>
      </c>
      <c r="D395" t="s">
        <v>2026</v>
      </c>
      <c r="E395" t="s">
        <v>2027</v>
      </c>
      <c r="F395" t="s">
        <v>2416</v>
      </c>
      <c r="G395">
        <v>42</v>
      </c>
      <c r="H395">
        <v>17178</v>
      </c>
      <c r="I395">
        <v>63</v>
      </c>
      <c r="J395">
        <v>26964</v>
      </c>
      <c r="K395">
        <v>3</v>
      </c>
      <c r="L395">
        <v>1401</v>
      </c>
      <c r="M395">
        <v>9</v>
      </c>
      <c r="N395">
        <v>4365</v>
      </c>
      <c r="O395">
        <v>65</v>
      </c>
      <c r="P395">
        <v>28535</v>
      </c>
      <c r="Q395">
        <v>46</v>
      </c>
      <c r="R395">
        <v>20516</v>
      </c>
      <c r="S395">
        <v>10</v>
      </c>
      <c r="T395">
        <v>4510</v>
      </c>
      <c r="U395">
        <v>74</v>
      </c>
      <c r="V395">
        <v>34928</v>
      </c>
      <c r="W395">
        <v>19</v>
      </c>
      <c r="X395">
        <v>7695</v>
      </c>
      <c r="Y395" s="26">
        <f t="shared" si="6"/>
        <v>331</v>
      </c>
    </row>
    <row r="396" spans="1:25" x14ac:dyDescent="0.25">
      <c r="A396" t="s">
        <v>2404</v>
      </c>
      <c r="B396" t="s">
        <v>2405</v>
      </c>
      <c r="C396" s="22">
        <v>42412</v>
      </c>
      <c r="D396" t="s">
        <v>2014</v>
      </c>
      <c r="E396" t="s">
        <v>2027</v>
      </c>
      <c r="F396" t="s">
        <v>2416</v>
      </c>
      <c r="G396">
        <v>18</v>
      </c>
      <c r="H396">
        <v>8442</v>
      </c>
      <c r="I396">
        <v>69</v>
      </c>
      <c r="J396">
        <v>35949</v>
      </c>
      <c r="K396">
        <v>12</v>
      </c>
      <c r="L396">
        <v>6540</v>
      </c>
      <c r="M396">
        <v>23</v>
      </c>
      <c r="N396">
        <v>11592</v>
      </c>
      <c r="O396">
        <v>70</v>
      </c>
      <c r="P396">
        <v>33040</v>
      </c>
      <c r="Q396">
        <v>24</v>
      </c>
      <c r="R396">
        <v>9600</v>
      </c>
      <c r="S396">
        <v>58</v>
      </c>
      <c r="T396">
        <v>25694</v>
      </c>
      <c r="U396">
        <v>3</v>
      </c>
      <c r="V396">
        <v>1299</v>
      </c>
      <c r="W396">
        <v>67</v>
      </c>
      <c r="X396">
        <v>35979</v>
      </c>
      <c r="Y396" s="26">
        <f t="shared" si="6"/>
        <v>344</v>
      </c>
    </row>
    <row r="397" spans="1:25" x14ac:dyDescent="0.25">
      <c r="A397" t="s">
        <v>2406</v>
      </c>
      <c r="B397" t="s">
        <v>2407</v>
      </c>
      <c r="C397" s="22">
        <v>44010</v>
      </c>
      <c r="D397" t="s">
        <v>2026</v>
      </c>
      <c r="E397" t="s">
        <v>2019</v>
      </c>
      <c r="F397" t="s">
        <v>2416</v>
      </c>
      <c r="G397">
        <v>53</v>
      </c>
      <c r="H397">
        <v>21836</v>
      </c>
      <c r="I397">
        <v>61</v>
      </c>
      <c r="J397">
        <v>26291</v>
      </c>
      <c r="K397">
        <v>0</v>
      </c>
      <c r="L397">
        <v>0</v>
      </c>
      <c r="M397">
        <v>1</v>
      </c>
      <c r="N397">
        <v>469</v>
      </c>
      <c r="O397">
        <v>50</v>
      </c>
      <c r="P397">
        <v>26900</v>
      </c>
      <c r="Q397">
        <v>65</v>
      </c>
      <c r="R397">
        <v>29380</v>
      </c>
      <c r="S397">
        <v>28</v>
      </c>
      <c r="T397">
        <v>12936</v>
      </c>
      <c r="U397">
        <v>26</v>
      </c>
      <c r="V397">
        <v>12610</v>
      </c>
      <c r="W397">
        <v>18</v>
      </c>
      <c r="X397">
        <v>7992</v>
      </c>
      <c r="Y397" s="26">
        <f t="shared" si="6"/>
        <v>302</v>
      </c>
    </row>
    <row r="398" spans="1:25" x14ac:dyDescent="0.25">
      <c r="A398" t="s">
        <v>2408</v>
      </c>
      <c r="B398" t="s">
        <v>2409</v>
      </c>
      <c r="C398" s="22">
        <v>44131</v>
      </c>
      <c r="D398" t="s">
        <v>2026</v>
      </c>
      <c r="E398" t="s">
        <v>2019</v>
      </c>
      <c r="F398" t="s">
        <v>2416</v>
      </c>
      <c r="G398">
        <v>65</v>
      </c>
      <c r="H398">
        <v>32630</v>
      </c>
      <c r="I398">
        <v>65</v>
      </c>
      <c r="J398">
        <v>33345</v>
      </c>
      <c r="K398">
        <v>69</v>
      </c>
      <c r="L398">
        <v>30360</v>
      </c>
      <c r="M398">
        <v>44</v>
      </c>
      <c r="N398">
        <v>20856</v>
      </c>
      <c r="O398">
        <v>69</v>
      </c>
      <c r="P398">
        <v>36777</v>
      </c>
      <c r="Q398">
        <v>53</v>
      </c>
      <c r="R398">
        <v>24645</v>
      </c>
      <c r="S398">
        <v>33</v>
      </c>
      <c r="T398">
        <v>16302</v>
      </c>
      <c r="U398">
        <v>9</v>
      </c>
      <c r="V398">
        <v>3888</v>
      </c>
      <c r="W398">
        <v>36</v>
      </c>
      <c r="X398">
        <v>16776</v>
      </c>
      <c r="Y398" s="26">
        <f t="shared" si="6"/>
        <v>443</v>
      </c>
    </row>
    <row r="399" spans="1:25" x14ac:dyDescent="0.25">
      <c r="A399" t="s">
        <v>2410</v>
      </c>
      <c r="B399" t="s">
        <v>2411</v>
      </c>
      <c r="C399" s="22">
        <v>42869</v>
      </c>
      <c r="D399" t="s">
        <v>2014</v>
      </c>
      <c r="E399" t="s">
        <v>2027</v>
      </c>
      <c r="F399" t="s">
        <v>2416</v>
      </c>
      <c r="G399">
        <v>21</v>
      </c>
      <c r="H399">
        <v>10290</v>
      </c>
      <c r="I399">
        <v>33</v>
      </c>
      <c r="J399">
        <v>13992</v>
      </c>
      <c r="K399">
        <v>76</v>
      </c>
      <c r="L399">
        <v>40888</v>
      </c>
      <c r="M399">
        <v>22</v>
      </c>
      <c r="N399">
        <v>9636</v>
      </c>
      <c r="O399">
        <v>66</v>
      </c>
      <c r="P399">
        <v>33660</v>
      </c>
      <c r="Q399">
        <v>51</v>
      </c>
      <c r="R399">
        <v>24582</v>
      </c>
      <c r="S399">
        <v>67</v>
      </c>
      <c r="T399">
        <v>33969</v>
      </c>
      <c r="U399">
        <v>30</v>
      </c>
      <c r="V399">
        <v>14820</v>
      </c>
      <c r="W399">
        <v>3</v>
      </c>
      <c r="X399">
        <v>1344</v>
      </c>
      <c r="Y399" s="26">
        <f t="shared" si="6"/>
        <v>369</v>
      </c>
    </row>
    <row r="400" spans="1:25" x14ac:dyDescent="0.25">
      <c r="A400" t="s">
        <v>2412</v>
      </c>
      <c r="B400" t="s">
        <v>2413</v>
      </c>
      <c r="C400" s="22">
        <v>42923</v>
      </c>
      <c r="D400" t="s">
        <v>2014</v>
      </c>
      <c r="E400" t="s">
        <v>2027</v>
      </c>
      <c r="F400" t="s">
        <v>2416</v>
      </c>
      <c r="G400">
        <v>3</v>
      </c>
      <c r="H400">
        <v>1506</v>
      </c>
      <c r="I400">
        <v>57</v>
      </c>
      <c r="J400">
        <v>25023</v>
      </c>
      <c r="K400">
        <v>55</v>
      </c>
      <c r="L400">
        <v>25135</v>
      </c>
      <c r="M400">
        <v>35</v>
      </c>
      <c r="N400">
        <v>17115</v>
      </c>
      <c r="O400">
        <v>2</v>
      </c>
      <c r="P400">
        <v>994</v>
      </c>
      <c r="Q400">
        <v>13</v>
      </c>
      <c r="R400">
        <v>6734</v>
      </c>
      <c r="S400">
        <v>23</v>
      </c>
      <c r="T400">
        <v>12121</v>
      </c>
      <c r="U400">
        <v>53</v>
      </c>
      <c r="V400">
        <v>29044</v>
      </c>
      <c r="W400">
        <v>59</v>
      </c>
      <c r="X400">
        <v>32214</v>
      </c>
      <c r="Y400" s="26">
        <f t="shared" si="6"/>
        <v>300</v>
      </c>
    </row>
    <row r="401" spans="1:25" x14ac:dyDescent="0.25">
      <c r="A401" t="s">
        <v>2414</v>
      </c>
      <c r="B401" t="s">
        <v>2415</v>
      </c>
      <c r="C401" s="22">
        <v>43312</v>
      </c>
      <c r="D401" t="s">
        <v>2026</v>
      </c>
      <c r="E401" t="s">
        <v>2015</v>
      </c>
      <c r="F401" t="s">
        <v>2416</v>
      </c>
      <c r="G401">
        <v>55</v>
      </c>
      <c r="H401">
        <v>27665</v>
      </c>
      <c r="I401">
        <v>55</v>
      </c>
      <c r="J401">
        <v>25300</v>
      </c>
      <c r="K401">
        <v>39</v>
      </c>
      <c r="L401">
        <v>16614</v>
      </c>
      <c r="M401">
        <v>70</v>
      </c>
      <c r="N401">
        <v>33810</v>
      </c>
      <c r="O401">
        <v>28</v>
      </c>
      <c r="P401">
        <v>13244</v>
      </c>
      <c r="Q401">
        <v>13</v>
      </c>
      <c r="R401">
        <v>5252</v>
      </c>
      <c r="S401">
        <v>76</v>
      </c>
      <c r="T401">
        <v>33288</v>
      </c>
      <c r="U401">
        <v>14</v>
      </c>
      <c r="V401">
        <v>6300</v>
      </c>
      <c r="W401">
        <v>4</v>
      </c>
      <c r="X401">
        <v>1916</v>
      </c>
      <c r="Y401" s="26">
        <f t="shared" si="6"/>
        <v>354</v>
      </c>
    </row>
    <row r="402" spans="1:25" x14ac:dyDescent="0.25">
      <c r="A402" t="s">
        <v>2012</v>
      </c>
      <c r="B402" t="s">
        <v>2013</v>
      </c>
      <c r="C402" s="22">
        <v>42484</v>
      </c>
      <c r="D402" t="s">
        <v>2014</v>
      </c>
      <c r="E402" t="s">
        <v>2015</v>
      </c>
      <c r="F402" t="s">
        <v>2417</v>
      </c>
      <c r="G402">
        <v>28</v>
      </c>
      <c r="H402">
        <v>16660</v>
      </c>
      <c r="I402">
        <v>0</v>
      </c>
      <c r="J402">
        <v>0</v>
      </c>
      <c r="K402">
        <v>0</v>
      </c>
      <c r="L402">
        <v>0</v>
      </c>
      <c r="M402">
        <v>3</v>
      </c>
      <c r="N402">
        <v>1383</v>
      </c>
      <c r="O402">
        <v>10</v>
      </c>
      <c r="P402">
        <v>6040</v>
      </c>
      <c r="Q402">
        <v>19</v>
      </c>
      <c r="R402">
        <v>10640</v>
      </c>
      <c r="S402">
        <v>53</v>
      </c>
      <c r="T402">
        <v>21677</v>
      </c>
      <c r="U402">
        <v>28</v>
      </c>
      <c r="V402">
        <v>15316</v>
      </c>
      <c r="W402">
        <v>75</v>
      </c>
      <c r="X402">
        <v>32550</v>
      </c>
      <c r="Y402" s="26">
        <f t="shared" si="6"/>
        <v>216</v>
      </c>
    </row>
    <row r="403" spans="1:25" x14ac:dyDescent="0.25">
      <c r="A403" t="s">
        <v>2017</v>
      </c>
      <c r="B403" t="s">
        <v>2018</v>
      </c>
      <c r="C403" s="22">
        <v>42609</v>
      </c>
      <c r="D403" t="s">
        <v>2014</v>
      </c>
      <c r="E403" t="s">
        <v>2019</v>
      </c>
      <c r="F403" t="s">
        <v>2417</v>
      </c>
      <c r="G403">
        <v>38</v>
      </c>
      <c r="H403">
        <v>21736</v>
      </c>
      <c r="I403">
        <v>4</v>
      </c>
      <c r="J403">
        <v>2372</v>
      </c>
      <c r="K403">
        <v>4</v>
      </c>
      <c r="L403">
        <v>2588</v>
      </c>
      <c r="M403">
        <v>6</v>
      </c>
      <c r="N403">
        <v>3144</v>
      </c>
      <c r="O403">
        <v>0</v>
      </c>
      <c r="P403">
        <v>0</v>
      </c>
      <c r="Q403">
        <v>7</v>
      </c>
      <c r="R403">
        <v>3717</v>
      </c>
      <c r="S403">
        <v>38</v>
      </c>
      <c r="T403">
        <v>16910</v>
      </c>
      <c r="U403">
        <v>39</v>
      </c>
      <c r="V403">
        <v>17004</v>
      </c>
      <c r="W403">
        <v>75</v>
      </c>
      <c r="X403">
        <v>31875</v>
      </c>
      <c r="Y403" s="26">
        <f t="shared" si="6"/>
        <v>211</v>
      </c>
    </row>
    <row r="404" spans="1:25" x14ac:dyDescent="0.25">
      <c r="A404" t="s">
        <v>2020</v>
      </c>
      <c r="B404" t="s">
        <v>2021</v>
      </c>
      <c r="C404" s="22">
        <v>43385</v>
      </c>
      <c r="D404" t="s">
        <v>2014</v>
      </c>
      <c r="E404" t="s">
        <v>2015</v>
      </c>
      <c r="F404" t="s">
        <v>2417</v>
      </c>
      <c r="G404">
        <v>10</v>
      </c>
      <c r="H404">
        <v>5220</v>
      </c>
      <c r="I404">
        <v>4</v>
      </c>
      <c r="J404">
        <v>2536</v>
      </c>
      <c r="K404">
        <v>7</v>
      </c>
      <c r="L404">
        <v>4046</v>
      </c>
      <c r="M404">
        <v>17</v>
      </c>
      <c r="N404">
        <v>10795</v>
      </c>
      <c r="O404">
        <v>5</v>
      </c>
      <c r="P404">
        <v>2545</v>
      </c>
      <c r="Q404">
        <v>0</v>
      </c>
      <c r="R404">
        <v>0</v>
      </c>
      <c r="S404">
        <v>24</v>
      </c>
      <c r="T404">
        <v>10704</v>
      </c>
      <c r="U404">
        <v>47</v>
      </c>
      <c r="V404">
        <v>22795</v>
      </c>
      <c r="W404">
        <v>23</v>
      </c>
      <c r="X404">
        <v>11293</v>
      </c>
      <c r="Y404" s="26">
        <f t="shared" si="6"/>
        <v>137</v>
      </c>
    </row>
    <row r="405" spans="1:25" x14ac:dyDescent="0.25">
      <c r="A405" t="s">
        <v>2022</v>
      </c>
      <c r="B405" t="s">
        <v>2023</v>
      </c>
      <c r="C405" s="22">
        <v>42908</v>
      </c>
      <c r="D405" t="s">
        <v>2014</v>
      </c>
      <c r="E405" t="s">
        <v>2019</v>
      </c>
      <c r="F405" t="s">
        <v>2417</v>
      </c>
      <c r="G405">
        <v>30</v>
      </c>
      <c r="H405">
        <v>17220</v>
      </c>
      <c r="I405">
        <v>13</v>
      </c>
      <c r="J405">
        <v>6760</v>
      </c>
      <c r="K405">
        <v>11</v>
      </c>
      <c r="L405">
        <v>6204</v>
      </c>
      <c r="M405">
        <v>24</v>
      </c>
      <c r="N405">
        <v>11112</v>
      </c>
      <c r="O405">
        <v>33</v>
      </c>
      <c r="P405">
        <v>15180</v>
      </c>
      <c r="Q405">
        <v>46</v>
      </c>
      <c r="R405">
        <v>27968</v>
      </c>
      <c r="S405">
        <v>23</v>
      </c>
      <c r="T405">
        <v>10488</v>
      </c>
      <c r="U405">
        <v>3</v>
      </c>
      <c r="V405">
        <v>1464</v>
      </c>
      <c r="W405">
        <v>0</v>
      </c>
      <c r="X405">
        <v>0</v>
      </c>
      <c r="Y405" s="26">
        <f t="shared" si="6"/>
        <v>183</v>
      </c>
    </row>
    <row r="406" spans="1:25" x14ac:dyDescent="0.25">
      <c r="A406" t="s">
        <v>2024</v>
      </c>
      <c r="B406" t="s">
        <v>2025</v>
      </c>
      <c r="C406" s="22">
        <v>42104</v>
      </c>
      <c r="D406" t="s">
        <v>2026</v>
      </c>
      <c r="E406" t="s">
        <v>2027</v>
      </c>
      <c r="F406" t="s">
        <v>2417</v>
      </c>
      <c r="G406">
        <v>1</v>
      </c>
      <c r="H406">
        <v>590</v>
      </c>
      <c r="I406">
        <v>12</v>
      </c>
      <c r="J406">
        <v>6408</v>
      </c>
      <c r="K406">
        <v>0</v>
      </c>
      <c r="L406">
        <v>0</v>
      </c>
      <c r="M406">
        <v>15</v>
      </c>
      <c r="N406">
        <v>8985</v>
      </c>
      <c r="O406">
        <v>10</v>
      </c>
      <c r="P406">
        <v>5890</v>
      </c>
      <c r="Q406">
        <v>32</v>
      </c>
      <c r="R406">
        <v>17568</v>
      </c>
      <c r="S406">
        <v>6</v>
      </c>
      <c r="T406">
        <v>3090</v>
      </c>
      <c r="U406">
        <v>21</v>
      </c>
      <c r="V406">
        <v>12432</v>
      </c>
      <c r="W406">
        <v>1</v>
      </c>
      <c r="X406">
        <v>602</v>
      </c>
      <c r="Y406" s="26">
        <f t="shared" si="6"/>
        <v>98</v>
      </c>
    </row>
    <row r="407" spans="1:25" x14ac:dyDescent="0.25">
      <c r="A407" t="s">
        <v>2028</v>
      </c>
      <c r="B407" t="s">
        <v>2029</v>
      </c>
      <c r="C407" s="22">
        <v>44108</v>
      </c>
      <c r="D407" t="s">
        <v>2026</v>
      </c>
      <c r="E407" t="s">
        <v>2027</v>
      </c>
      <c r="F407" t="s">
        <v>2417</v>
      </c>
      <c r="G407">
        <v>23</v>
      </c>
      <c r="H407">
        <v>13271</v>
      </c>
      <c r="I407">
        <v>48</v>
      </c>
      <c r="J407">
        <v>30000</v>
      </c>
      <c r="K407">
        <v>4</v>
      </c>
      <c r="L407">
        <v>1904</v>
      </c>
      <c r="M407">
        <v>41</v>
      </c>
      <c r="N407">
        <v>19639</v>
      </c>
      <c r="O407">
        <v>1</v>
      </c>
      <c r="P407">
        <v>616</v>
      </c>
      <c r="Q407">
        <v>1</v>
      </c>
      <c r="R407">
        <v>513</v>
      </c>
      <c r="S407">
        <v>31</v>
      </c>
      <c r="T407">
        <v>16709</v>
      </c>
      <c r="U407">
        <v>7</v>
      </c>
      <c r="V407">
        <v>4018</v>
      </c>
      <c r="W407">
        <v>11</v>
      </c>
      <c r="X407">
        <v>5610</v>
      </c>
      <c r="Y407" s="26">
        <f t="shared" si="6"/>
        <v>167</v>
      </c>
    </row>
    <row r="408" spans="1:25" x14ac:dyDescent="0.25">
      <c r="A408" t="s">
        <v>2030</v>
      </c>
      <c r="B408" t="s">
        <v>2031</v>
      </c>
      <c r="C408" s="22">
        <v>42806</v>
      </c>
      <c r="D408" t="s">
        <v>2026</v>
      </c>
      <c r="E408" t="s">
        <v>2027</v>
      </c>
      <c r="F408" t="s">
        <v>2417</v>
      </c>
      <c r="G408">
        <v>4</v>
      </c>
      <c r="H408">
        <v>2300</v>
      </c>
      <c r="I408">
        <v>4</v>
      </c>
      <c r="J408">
        <v>2332</v>
      </c>
      <c r="K408">
        <v>14</v>
      </c>
      <c r="L408">
        <v>6622</v>
      </c>
      <c r="M408">
        <v>11</v>
      </c>
      <c r="N408">
        <v>5181</v>
      </c>
      <c r="O408">
        <v>3</v>
      </c>
      <c r="P408">
        <v>1689</v>
      </c>
      <c r="Q408">
        <v>1</v>
      </c>
      <c r="R408">
        <v>552</v>
      </c>
      <c r="S408">
        <v>8</v>
      </c>
      <c r="T408">
        <v>4536</v>
      </c>
      <c r="U408">
        <v>0</v>
      </c>
      <c r="V408">
        <v>0</v>
      </c>
      <c r="W408">
        <v>3</v>
      </c>
      <c r="X408">
        <v>1896</v>
      </c>
      <c r="Y408" s="26">
        <f t="shared" si="6"/>
        <v>48</v>
      </c>
    </row>
    <row r="409" spans="1:25" x14ac:dyDescent="0.25">
      <c r="A409" t="s">
        <v>2032</v>
      </c>
      <c r="B409" t="s">
        <v>2033</v>
      </c>
      <c r="C409" s="22">
        <v>42736</v>
      </c>
      <c r="D409" t="s">
        <v>2014</v>
      </c>
      <c r="E409" t="s">
        <v>2015</v>
      </c>
      <c r="F409" t="s">
        <v>2417</v>
      </c>
      <c r="G409">
        <v>1</v>
      </c>
      <c r="H409">
        <v>529</v>
      </c>
      <c r="I409">
        <v>52</v>
      </c>
      <c r="J409">
        <v>26364</v>
      </c>
      <c r="K409">
        <v>10</v>
      </c>
      <c r="L409">
        <v>4730</v>
      </c>
      <c r="M409">
        <v>2</v>
      </c>
      <c r="N409">
        <v>1282</v>
      </c>
      <c r="O409">
        <v>10</v>
      </c>
      <c r="P409">
        <v>6090</v>
      </c>
      <c r="Q409">
        <v>52</v>
      </c>
      <c r="R409">
        <v>28288</v>
      </c>
      <c r="S409">
        <v>22</v>
      </c>
      <c r="T409">
        <v>13838</v>
      </c>
      <c r="U409">
        <v>90</v>
      </c>
      <c r="V409">
        <v>42840</v>
      </c>
      <c r="W409">
        <v>7</v>
      </c>
      <c r="X409">
        <v>3948</v>
      </c>
      <c r="Y409" s="26">
        <f t="shared" si="6"/>
        <v>246</v>
      </c>
    </row>
    <row r="410" spans="1:25" x14ac:dyDescent="0.25">
      <c r="A410" t="s">
        <v>2034</v>
      </c>
      <c r="B410" t="s">
        <v>2035</v>
      </c>
      <c r="C410" s="22">
        <v>43556</v>
      </c>
      <c r="D410" t="s">
        <v>2014</v>
      </c>
      <c r="E410" t="s">
        <v>2019</v>
      </c>
      <c r="F410" t="s">
        <v>2417</v>
      </c>
      <c r="G410">
        <v>3</v>
      </c>
      <c r="H410">
        <v>1407</v>
      </c>
      <c r="I410">
        <v>15</v>
      </c>
      <c r="J410">
        <v>8235</v>
      </c>
      <c r="K410">
        <v>13</v>
      </c>
      <c r="L410">
        <v>7930</v>
      </c>
      <c r="M410">
        <v>6</v>
      </c>
      <c r="N410">
        <v>3228</v>
      </c>
      <c r="O410">
        <v>6</v>
      </c>
      <c r="P410">
        <v>3270</v>
      </c>
      <c r="Q410">
        <v>6</v>
      </c>
      <c r="R410">
        <v>3828</v>
      </c>
      <c r="S410">
        <v>4</v>
      </c>
      <c r="T410">
        <v>1820</v>
      </c>
      <c r="U410">
        <v>16</v>
      </c>
      <c r="V410">
        <v>7632</v>
      </c>
      <c r="W410">
        <v>17</v>
      </c>
      <c r="X410">
        <v>8534</v>
      </c>
      <c r="Y410" s="26">
        <f t="shared" si="6"/>
        <v>86</v>
      </c>
    </row>
    <row r="411" spans="1:25" x14ac:dyDescent="0.25">
      <c r="A411" t="s">
        <v>2036</v>
      </c>
      <c r="B411" t="s">
        <v>2037</v>
      </c>
      <c r="C411" s="22">
        <v>43747</v>
      </c>
      <c r="D411" t="s">
        <v>2026</v>
      </c>
      <c r="E411" t="s">
        <v>2015</v>
      </c>
      <c r="F411" t="s">
        <v>2417</v>
      </c>
      <c r="G411">
        <v>9</v>
      </c>
      <c r="H411">
        <v>4176</v>
      </c>
      <c r="I411">
        <v>13</v>
      </c>
      <c r="J411">
        <v>6136</v>
      </c>
      <c r="K411">
        <v>19</v>
      </c>
      <c r="L411">
        <v>9500</v>
      </c>
      <c r="M411">
        <v>7</v>
      </c>
      <c r="N411">
        <v>4060</v>
      </c>
      <c r="O411">
        <v>9</v>
      </c>
      <c r="P411">
        <v>5364</v>
      </c>
      <c r="Q411">
        <v>5</v>
      </c>
      <c r="R411">
        <v>2545</v>
      </c>
      <c r="S411">
        <v>45</v>
      </c>
      <c r="T411">
        <v>25875</v>
      </c>
      <c r="U411">
        <v>17</v>
      </c>
      <c r="V411">
        <v>8296</v>
      </c>
      <c r="W411">
        <v>15</v>
      </c>
      <c r="X411">
        <v>9600</v>
      </c>
      <c r="Y411" s="26">
        <f t="shared" si="6"/>
        <v>139</v>
      </c>
    </row>
    <row r="412" spans="1:25" x14ac:dyDescent="0.25">
      <c r="A412" t="s">
        <v>2038</v>
      </c>
      <c r="B412" t="s">
        <v>2039</v>
      </c>
      <c r="C412" s="22">
        <v>44073</v>
      </c>
      <c r="D412" t="s">
        <v>2026</v>
      </c>
      <c r="E412" t="s">
        <v>2015</v>
      </c>
      <c r="F412" t="s">
        <v>2417</v>
      </c>
      <c r="G412">
        <v>3</v>
      </c>
      <c r="H412">
        <v>1731</v>
      </c>
      <c r="I412">
        <v>15</v>
      </c>
      <c r="J412">
        <v>8835</v>
      </c>
      <c r="K412">
        <v>2</v>
      </c>
      <c r="L412">
        <v>904</v>
      </c>
      <c r="M412">
        <v>0</v>
      </c>
      <c r="N412">
        <v>0</v>
      </c>
      <c r="O412">
        <v>6</v>
      </c>
      <c r="P412">
        <v>3372</v>
      </c>
      <c r="Q412">
        <v>36</v>
      </c>
      <c r="R412">
        <v>16524</v>
      </c>
      <c r="S412">
        <v>50</v>
      </c>
      <c r="T412">
        <v>26050</v>
      </c>
      <c r="U412">
        <v>54</v>
      </c>
      <c r="V412">
        <v>30672</v>
      </c>
      <c r="W412">
        <v>7</v>
      </c>
      <c r="X412">
        <v>3479</v>
      </c>
      <c r="Y412" s="26">
        <f t="shared" si="6"/>
        <v>173</v>
      </c>
    </row>
    <row r="413" spans="1:25" x14ac:dyDescent="0.25">
      <c r="A413" t="s">
        <v>2040</v>
      </c>
      <c r="B413" t="s">
        <v>2041</v>
      </c>
      <c r="C413" s="22">
        <v>43435</v>
      </c>
      <c r="D413" t="s">
        <v>2026</v>
      </c>
      <c r="E413" t="s">
        <v>2015</v>
      </c>
      <c r="F413" t="s">
        <v>2417</v>
      </c>
      <c r="G413">
        <v>8</v>
      </c>
      <c r="H413">
        <v>4792</v>
      </c>
      <c r="I413">
        <v>2</v>
      </c>
      <c r="J413">
        <v>1236</v>
      </c>
      <c r="K413">
        <v>4</v>
      </c>
      <c r="L413">
        <v>2296</v>
      </c>
      <c r="M413">
        <v>1</v>
      </c>
      <c r="N413">
        <v>470</v>
      </c>
      <c r="O413">
        <v>0</v>
      </c>
      <c r="P413">
        <v>0</v>
      </c>
      <c r="Q413">
        <v>11</v>
      </c>
      <c r="R413">
        <v>6633</v>
      </c>
      <c r="S413">
        <v>12</v>
      </c>
      <c r="T413">
        <v>7044</v>
      </c>
      <c r="U413">
        <v>13</v>
      </c>
      <c r="V413">
        <v>7384</v>
      </c>
      <c r="W413">
        <v>1</v>
      </c>
      <c r="X413">
        <v>641</v>
      </c>
      <c r="Y413" s="26">
        <f t="shared" si="6"/>
        <v>52</v>
      </c>
    </row>
    <row r="414" spans="1:25" x14ac:dyDescent="0.25">
      <c r="A414" t="s">
        <v>2042</v>
      </c>
      <c r="B414" t="s">
        <v>2043</v>
      </c>
      <c r="C414" s="22">
        <v>42229</v>
      </c>
      <c r="D414" t="s">
        <v>2014</v>
      </c>
      <c r="E414" t="s">
        <v>2027</v>
      </c>
      <c r="F414" t="s">
        <v>2417</v>
      </c>
      <c r="G414">
        <v>55</v>
      </c>
      <c r="H414">
        <v>34705</v>
      </c>
      <c r="I414">
        <v>8</v>
      </c>
      <c r="J414">
        <v>3952</v>
      </c>
      <c r="K414">
        <v>0</v>
      </c>
      <c r="L414">
        <v>0</v>
      </c>
      <c r="M414">
        <v>5</v>
      </c>
      <c r="N414">
        <v>3150</v>
      </c>
      <c r="O414">
        <v>4</v>
      </c>
      <c r="P414">
        <v>2568</v>
      </c>
      <c r="Q414">
        <v>3</v>
      </c>
      <c r="R414">
        <v>1803</v>
      </c>
      <c r="S414">
        <v>11</v>
      </c>
      <c r="T414">
        <v>6666</v>
      </c>
      <c r="U414">
        <v>12</v>
      </c>
      <c r="V414">
        <v>5760</v>
      </c>
      <c r="W414">
        <v>13</v>
      </c>
      <c r="X414">
        <v>7618</v>
      </c>
      <c r="Y414" s="26">
        <f t="shared" si="6"/>
        <v>111</v>
      </c>
    </row>
    <row r="415" spans="1:25" x14ac:dyDescent="0.25">
      <c r="A415" t="s">
        <v>2044</v>
      </c>
      <c r="B415" t="s">
        <v>2045</v>
      </c>
      <c r="C415" s="22">
        <v>43695</v>
      </c>
      <c r="D415" t="s">
        <v>2026</v>
      </c>
      <c r="E415" t="s">
        <v>2015</v>
      </c>
      <c r="F415" t="s">
        <v>2417</v>
      </c>
      <c r="G415">
        <v>3</v>
      </c>
      <c r="H415">
        <v>1686</v>
      </c>
      <c r="I415">
        <v>42</v>
      </c>
      <c r="J415">
        <v>26040</v>
      </c>
      <c r="K415">
        <v>17</v>
      </c>
      <c r="L415">
        <v>8109</v>
      </c>
      <c r="M415">
        <v>4</v>
      </c>
      <c r="N415">
        <v>1868</v>
      </c>
      <c r="O415">
        <v>29</v>
      </c>
      <c r="P415">
        <v>13949</v>
      </c>
      <c r="Q415">
        <v>5</v>
      </c>
      <c r="R415">
        <v>3020</v>
      </c>
      <c r="S415">
        <v>5</v>
      </c>
      <c r="T415">
        <v>2875</v>
      </c>
      <c r="U415">
        <v>1</v>
      </c>
      <c r="V415">
        <v>543</v>
      </c>
      <c r="W415">
        <v>8</v>
      </c>
      <c r="X415">
        <v>4832</v>
      </c>
      <c r="Y415" s="26">
        <f t="shared" si="6"/>
        <v>114</v>
      </c>
    </row>
    <row r="416" spans="1:25" x14ac:dyDescent="0.25">
      <c r="A416" t="s">
        <v>2046</v>
      </c>
      <c r="B416" t="s">
        <v>2047</v>
      </c>
      <c r="C416" s="22">
        <v>42241</v>
      </c>
      <c r="D416" t="s">
        <v>2014</v>
      </c>
      <c r="E416" t="s">
        <v>2015</v>
      </c>
      <c r="F416" t="s">
        <v>2417</v>
      </c>
      <c r="G416">
        <v>38</v>
      </c>
      <c r="H416">
        <v>22306</v>
      </c>
      <c r="I416">
        <v>1</v>
      </c>
      <c r="J416">
        <v>585</v>
      </c>
      <c r="K416">
        <v>8</v>
      </c>
      <c r="L416">
        <v>4136</v>
      </c>
      <c r="M416">
        <v>7</v>
      </c>
      <c r="N416">
        <v>3577</v>
      </c>
      <c r="O416">
        <v>26</v>
      </c>
      <c r="P416">
        <v>16510</v>
      </c>
      <c r="Q416">
        <v>5</v>
      </c>
      <c r="R416">
        <v>2665</v>
      </c>
      <c r="S416">
        <v>9</v>
      </c>
      <c r="T416">
        <v>5787</v>
      </c>
      <c r="U416">
        <v>1</v>
      </c>
      <c r="V416">
        <v>533</v>
      </c>
      <c r="W416">
        <v>2</v>
      </c>
      <c r="X416">
        <v>1300</v>
      </c>
      <c r="Y416" s="26">
        <f t="shared" si="6"/>
        <v>97</v>
      </c>
    </row>
    <row r="417" spans="1:25" x14ac:dyDescent="0.25">
      <c r="A417" t="s">
        <v>2048</v>
      </c>
      <c r="B417" t="s">
        <v>2049</v>
      </c>
      <c r="C417" s="22">
        <v>42700</v>
      </c>
      <c r="D417" t="s">
        <v>2014</v>
      </c>
      <c r="E417" t="s">
        <v>2015</v>
      </c>
      <c r="F417" t="s">
        <v>2417</v>
      </c>
      <c r="G417">
        <v>3</v>
      </c>
      <c r="H417">
        <v>1728</v>
      </c>
      <c r="I417">
        <v>29</v>
      </c>
      <c r="J417">
        <v>13601</v>
      </c>
      <c r="K417">
        <v>10</v>
      </c>
      <c r="L417">
        <v>4530</v>
      </c>
      <c r="M417">
        <v>0</v>
      </c>
      <c r="N417">
        <v>0</v>
      </c>
      <c r="O417">
        <v>4</v>
      </c>
      <c r="P417">
        <v>2380</v>
      </c>
      <c r="Q417">
        <v>4</v>
      </c>
      <c r="R417">
        <v>1960</v>
      </c>
      <c r="S417">
        <v>64</v>
      </c>
      <c r="T417">
        <v>29568</v>
      </c>
      <c r="U417">
        <v>1</v>
      </c>
      <c r="V417">
        <v>611</v>
      </c>
      <c r="W417">
        <v>0</v>
      </c>
      <c r="X417">
        <v>0</v>
      </c>
      <c r="Y417" s="26">
        <f t="shared" si="6"/>
        <v>115</v>
      </c>
    </row>
    <row r="418" spans="1:25" x14ac:dyDescent="0.25">
      <c r="A418" t="s">
        <v>2050</v>
      </c>
      <c r="B418" t="s">
        <v>2051</v>
      </c>
      <c r="C418" s="22">
        <v>43442</v>
      </c>
      <c r="D418" t="s">
        <v>2014</v>
      </c>
      <c r="E418" t="s">
        <v>2019</v>
      </c>
      <c r="F418" t="s">
        <v>2417</v>
      </c>
      <c r="G418">
        <v>17</v>
      </c>
      <c r="H418">
        <v>9248</v>
      </c>
      <c r="I418">
        <v>47</v>
      </c>
      <c r="J418">
        <v>25286</v>
      </c>
      <c r="K418">
        <v>8</v>
      </c>
      <c r="L418">
        <v>4056</v>
      </c>
      <c r="M418">
        <v>36</v>
      </c>
      <c r="N418">
        <v>20736</v>
      </c>
      <c r="O418">
        <v>41</v>
      </c>
      <c r="P418">
        <v>21689</v>
      </c>
      <c r="Q418">
        <v>11</v>
      </c>
      <c r="R418">
        <v>5566</v>
      </c>
      <c r="S418">
        <v>0</v>
      </c>
      <c r="T418">
        <v>0</v>
      </c>
      <c r="U418">
        <v>13</v>
      </c>
      <c r="V418">
        <v>8112</v>
      </c>
      <c r="W418">
        <v>7</v>
      </c>
      <c r="X418">
        <v>3444</v>
      </c>
      <c r="Y418" s="26">
        <f t="shared" si="6"/>
        <v>180</v>
      </c>
    </row>
    <row r="419" spans="1:25" x14ac:dyDescent="0.25">
      <c r="A419" t="s">
        <v>2052</v>
      </c>
      <c r="B419" t="s">
        <v>2053</v>
      </c>
      <c r="C419" s="22">
        <v>44110</v>
      </c>
      <c r="D419" t="s">
        <v>2026</v>
      </c>
      <c r="E419" t="s">
        <v>2019</v>
      </c>
      <c r="F419" t="s">
        <v>2417</v>
      </c>
      <c r="G419">
        <v>18</v>
      </c>
      <c r="H419">
        <v>10512</v>
      </c>
      <c r="I419">
        <v>0</v>
      </c>
      <c r="J419">
        <v>0</v>
      </c>
      <c r="K419">
        <v>8</v>
      </c>
      <c r="L419">
        <v>4352</v>
      </c>
      <c r="M419">
        <v>9</v>
      </c>
      <c r="N419">
        <v>4212</v>
      </c>
      <c r="O419">
        <v>30</v>
      </c>
      <c r="P419">
        <v>19200</v>
      </c>
      <c r="Q419">
        <v>11</v>
      </c>
      <c r="R419">
        <v>5676</v>
      </c>
      <c r="S419">
        <v>7</v>
      </c>
      <c r="T419">
        <v>4116</v>
      </c>
      <c r="U419">
        <v>5</v>
      </c>
      <c r="V419">
        <v>2630</v>
      </c>
      <c r="W419">
        <v>0</v>
      </c>
      <c r="X419">
        <v>0</v>
      </c>
      <c r="Y419" s="26">
        <f t="shared" si="6"/>
        <v>88</v>
      </c>
    </row>
    <row r="420" spans="1:25" x14ac:dyDescent="0.25">
      <c r="A420" t="s">
        <v>2054</v>
      </c>
      <c r="B420" t="s">
        <v>2055</v>
      </c>
      <c r="C420" s="22">
        <v>43417</v>
      </c>
      <c r="D420" t="s">
        <v>2014</v>
      </c>
      <c r="E420" t="s">
        <v>2019</v>
      </c>
      <c r="F420" t="s">
        <v>2417</v>
      </c>
      <c r="G420">
        <v>3</v>
      </c>
      <c r="H420">
        <v>1773</v>
      </c>
      <c r="I420">
        <v>13</v>
      </c>
      <c r="J420">
        <v>7215</v>
      </c>
      <c r="K420">
        <v>10</v>
      </c>
      <c r="L420">
        <v>5990</v>
      </c>
      <c r="M420">
        <v>16</v>
      </c>
      <c r="N420">
        <v>8144</v>
      </c>
      <c r="O420">
        <v>34</v>
      </c>
      <c r="P420">
        <v>21556</v>
      </c>
      <c r="Q420">
        <v>1</v>
      </c>
      <c r="R420">
        <v>552</v>
      </c>
      <c r="S420">
        <v>45</v>
      </c>
      <c r="T420">
        <v>25380</v>
      </c>
      <c r="U420">
        <v>12</v>
      </c>
      <c r="V420">
        <v>5460</v>
      </c>
      <c r="W420">
        <v>48</v>
      </c>
      <c r="X420">
        <v>21936</v>
      </c>
      <c r="Y420" s="26">
        <f t="shared" si="6"/>
        <v>182</v>
      </c>
    </row>
    <row r="421" spans="1:25" x14ac:dyDescent="0.25">
      <c r="A421" t="s">
        <v>2056</v>
      </c>
      <c r="B421" t="s">
        <v>2057</v>
      </c>
      <c r="C421" s="22">
        <v>42169</v>
      </c>
      <c r="D421" t="s">
        <v>2026</v>
      </c>
      <c r="E421" t="s">
        <v>2019</v>
      </c>
      <c r="F421" t="s">
        <v>2417</v>
      </c>
      <c r="G421">
        <v>35</v>
      </c>
      <c r="H421">
        <v>16310</v>
      </c>
      <c r="I421">
        <v>21</v>
      </c>
      <c r="J421">
        <v>10584</v>
      </c>
      <c r="K421">
        <v>14</v>
      </c>
      <c r="L421">
        <v>7014</v>
      </c>
      <c r="M421">
        <v>0</v>
      </c>
      <c r="N421">
        <v>0</v>
      </c>
      <c r="O421">
        <v>3</v>
      </c>
      <c r="P421">
        <v>1599</v>
      </c>
      <c r="Q421">
        <v>36</v>
      </c>
      <c r="R421">
        <v>20304</v>
      </c>
      <c r="S421">
        <v>3</v>
      </c>
      <c r="T421">
        <v>1515</v>
      </c>
      <c r="U421">
        <v>9</v>
      </c>
      <c r="V421">
        <v>5301</v>
      </c>
      <c r="W421">
        <v>10</v>
      </c>
      <c r="X421">
        <v>6420</v>
      </c>
      <c r="Y421" s="26">
        <f t="shared" si="6"/>
        <v>131</v>
      </c>
    </row>
    <row r="422" spans="1:25" x14ac:dyDescent="0.25">
      <c r="A422" t="s">
        <v>2058</v>
      </c>
      <c r="B422" t="s">
        <v>2059</v>
      </c>
      <c r="C422" s="22">
        <v>43086</v>
      </c>
      <c r="D422" t="s">
        <v>2026</v>
      </c>
      <c r="E422" t="s">
        <v>2027</v>
      </c>
      <c r="F422" t="s">
        <v>2417</v>
      </c>
      <c r="G422">
        <v>5</v>
      </c>
      <c r="H422">
        <v>2425</v>
      </c>
      <c r="I422">
        <v>15</v>
      </c>
      <c r="J422">
        <v>8115</v>
      </c>
      <c r="K422">
        <v>12</v>
      </c>
      <c r="L422">
        <v>7320</v>
      </c>
      <c r="M422">
        <v>12</v>
      </c>
      <c r="N422">
        <v>7500</v>
      </c>
      <c r="O422">
        <v>0</v>
      </c>
      <c r="P422">
        <v>0</v>
      </c>
      <c r="Q422">
        <v>3</v>
      </c>
      <c r="R422">
        <v>1890</v>
      </c>
      <c r="S422">
        <v>12</v>
      </c>
      <c r="T422">
        <v>5748</v>
      </c>
      <c r="U422">
        <v>13</v>
      </c>
      <c r="V422">
        <v>8047</v>
      </c>
      <c r="W422">
        <v>22</v>
      </c>
      <c r="X422">
        <v>12496</v>
      </c>
      <c r="Y422" s="26">
        <f t="shared" si="6"/>
        <v>94</v>
      </c>
    </row>
    <row r="423" spans="1:25" x14ac:dyDescent="0.25">
      <c r="A423" t="s">
        <v>2060</v>
      </c>
      <c r="B423" t="s">
        <v>2061</v>
      </c>
      <c r="C423" s="22">
        <v>42569</v>
      </c>
      <c r="D423" t="s">
        <v>2026</v>
      </c>
      <c r="E423" t="s">
        <v>2015</v>
      </c>
      <c r="F423" t="s">
        <v>2417</v>
      </c>
      <c r="G423">
        <v>0</v>
      </c>
      <c r="H423">
        <v>0</v>
      </c>
      <c r="I423">
        <v>41</v>
      </c>
      <c r="J423">
        <v>20172</v>
      </c>
      <c r="K423">
        <v>27</v>
      </c>
      <c r="L423">
        <v>17199</v>
      </c>
      <c r="M423">
        <v>3</v>
      </c>
      <c r="N423">
        <v>1593</v>
      </c>
      <c r="O423">
        <v>16</v>
      </c>
      <c r="P423">
        <v>10048</v>
      </c>
      <c r="Q423">
        <v>57</v>
      </c>
      <c r="R423">
        <v>27246</v>
      </c>
      <c r="S423">
        <v>19</v>
      </c>
      <c r="T423">
        <v>12274</v>
      </c>
      <c r="U423">
        <v>2</v>
      </c>
      <c r="V423">
        <v>974</v>
      </c>
      <c r="W423">
        <v>1</v>
      </c>
      <c r="X423">
        <v>501</v>
      </c>
      <c r="Y423" s="26">
        <f t="shared" si="6"/>
        <v>166</v>
      </c>
    </row>
    <row r="424" spans="1:25" x14ac:dyDescent="0.25">
      <c r="A424" t="s">
        <v>2062</v>
      </c>
      <c r="B424" t="s">
        <v>2063</v>
      </c>
      <c r="C424" s="22">
        <v>43238</v>
      </c>
      <c r="D424" t="s">
        <v>2026</v>
      </c>
      <c r="E424" t="s">
        <v>2019</v>
      </c>
      <c r="F424" t="s">
        <v>2417</v>
      </c>
      <c r="G424">
        <v>4</v>
      </c>
      <c r="H424">
        <v>1884</v>
      </c>
      <c r="I424">
        <v>4</v>
      </c>
      <c r="J424">
        <v>2024</v>
      </c>
      <c r="K424">
        <v>11</v>
      </c>
      <c r="L424">
        <v>6424</v>
      </c>
      <c r="M424">
        <v>1</v>
      </c>
      <c r="N424">
        <v>647</v>
      </c>
      <c r="O424">
        <v>1</v>
      </c>
      <c r="P424">
        <v>642</v>
      </c>
      <c r="Q424">
        <v>13</v>
      </c>
      <c r="R424">
        <v>8307</v>
      </c>
      <c r="S424">
        <v>9</v>
      </c>
      <c r="T424">
        <v>5598</v>
      </c>
      <c r="U424">
        <v>68</v>
      </c>
      <c r="V424">
        <v>33524</v>
      </c>
      <c r="W424">
        <v>0</v>
      </c>
      <c r="X424">
        <v>0</v>
      </c>
      <c r="Y424" s="26">
        <f t="shared" si="6"/>
        <v>111</v>
      </c>
    </row>
    <row r="425" spans="1:25" x14ac:dyDescent="0.25">
      <c r="A425" t="s">
        <v>2064</v>
      </c>
      <c r="B425" t="s">
        <v>2065</v>
      </c>
      <c r="C425" s="22">
        <v>42218</v>
      </c>
      <c r="D425" t="s">
        <v>2014</v>
      </c>
      <c r="E425" t="s">
        <v>2019</v>
      </c>
      <c r="F425" t="s">
        <v>2417</v>
      </c>
      <c r="G425">
        <v>19</v>
      </c>
      <c r="H425">
        <v>9785</v>
      </c>
      <c r="I425">
        <v>68</v>
      </c>
      <c r="J425">
        <v>34884</v>
      </c>
      <c r="K425">
        <v>16</v>
      </c>
      <c r="L425">
        <v>7648</v>
      </c>
      <c r="M425">
        <v>18</v>
      </c>
      <c r="N425">
        <v>10800</v>
      </c>
      <c r="O425">
        <v>4</v>
      </c>
      <c r="P425">
        <v>2436</v>
      </c>
      <c r="Q425">
        <v>19</v>
      </c>
      <c r="R425">
        <v>9082</v>
      </c>
      <c r="S425">
        <v>26</v>
      </c>
      <c r="T425">
        <v>14976</v>
      </c>
      <c r="U425">
        <v>2</v>
      </c>
      <c r="V425">
        <v>992</v>
      </c>
      <c r="W425">
        <v>2</v>
      </c>
      <c r="X425">
        <v>990</v>
      </c>
      <c r="Y425" s="26">
        <f t="shared" si="6"/>
        <v>174</v>
      </c>
    </row>
    <row r="426" spans="1:25" x14ac:dyDescent="0.25">
      <c r="A426" t="s">
        <v>2066</v>
      </c>
      <c r="B426" t="s">
        <v>2067</v>
      </c>
      <c r="C426" s="22">
        <v>43565</v>
      </c>
      <c r="D426" t="s">
        <v>2014</v>
      </c>
      <c r="E426" t="s">
        <v>2019</v>
      </c>
      <c r="F426" t="s">
        <v>2417</v>
      </c>
      <c r="G426">
        <v>46</v>
      </c>
      <c r="H426">
        <v>28428</v>
      </c>
      <c r="I426">
        <v>73</v>
      </c>
      <c r="J426">
        <v>46282</v>
      </c>
      <c r="K426">
        <v>0</v>
      </c>
      <c r="L426">
        <v>0</v>
      </c>
      <c r="M426">
        <v>4</v>
      </c>
      <c r="N426">
        <v>2180</v>
      </c>
      <c r="O426">
        <v>26</v>
      </c>
      <c r="P426">
        <v>12272</v>
      </c>
      <c r="Q426">
        <v>15</v>
      </c>
      <c r="R426">
        <v>9660</v>
      </c>
      <c r="S426">
        <v>24</v>
      </c>
      <c r="T426">
        <v>14664</v>
      </c>
      <c r="U426">
        <v>10</v>
      </c>
      <c r="V426">
        <v>4660</v>
      </c>
      <c r="W426">
        <v>9</v>
      </c>
      <c r="X426">
        <v>5517</v>
      </c>
      <c r="Y426" s="26">
        <f t="shared" si="6"/>
        <v>207</v>
      </c>
    </row>
    <row r="427" spans="1:25" x14ac:dyDescent="0.25">
      <c r="A427" t="s">
        <v>2068</v>
      </c>
      <c r="B427" t="s">
        <v>2069</v>
      </c>
      <c r="C427" s="22">
        <v>42643</v>
      </c>
      <c r="D427" t="s">
        <v>2026</v>
      </c>
      <c r="E427" t="s">
        <v>2019</v>
      </c>
      <c r="F427" t="s">
        <v>2417</v>
      </c>
      <c r="G427">
        <v>34</v>
      </c>
      <c r="H427">
        <v>19244</v>
      </c>
      <c r="I427">
        <v>2</v>
      </c>
      <c r="J427">
        <v>940</v>
      </c>
      <c r="K427">
        <v>1</v>
      </c>
      <c r="L427">
        <v>554</v>
      </c>
      <c r="M427">
        <v>15</v>
      </c>
      <c r="N427">
        <v>7695</v>
      </c>
      <c r="O427">
        <v>55</v>
      </c>
      <c r="P427">
        <v>32890</v>
      </c>
      <c r="Q427">
        <v>3</v>
      </c>
      <c r="R427">
        <v>1746</v>
      </c>
      <c r="S427">
        <v>6</v>
      </c>
      <c r="T427">
        <v>3138</v>
      </c>
      <c r="U427">
        <v>6</v>
      </c>
      <c r="V427">
        <v>2760</v>
      </c>
      <c r="W427">
        <v>5</v>
      </c>
      <c r="X427">
        <v>2505</v>
      </c>
      <c r="Y427" s="26">
        <f t="shared" si="6"/>
        <v>127</v>
      </c>
    </row>
    <row r="428" spans="1:25" x14ac:dyDescent="0.25">
      <c r="A428" t="s">
        <v>2070</v>
      </c>
      <c r="B428" t="s">
        <v>2071</v>
      </c>
      <c r="C428" s="22">
        <v>43025</v>
      </c>
      <c r="D428" t="s">
        <v>2014</v>
      </c>
      <c r="E428" t="s">
        <v>2015</v>
      </c>
      <c r="F428" t="s">
        <v>2417</v>
      </c>
      <c r="G428">
        <v>18</v>
      </c>
      <c r="H428">
        <v>8370</v>
      </c>
      <c r="I428">
        <v>2</v>
      </c>
      <c r="J428">
        <v>1170</v>
      </c>
      <c r="K428">
        <v>6</v>
      </c>
      <c r="L428">
        <v>3564</v>
      </c>
      <c r="M428">
        <v>3</v>
      </c>
      <c r="N428">
        <v>1482</v>
      </c>
      <c r="O428">
        <v>6</v>
      </c>
      <c r="P428">
        <v>3138</v>
      </c>
      <c r="Q428">
        <v>22</v>
      </c>
      <c r="R428">
        <v>13640</v>
      </c>
      <c r="S428">
        <v>19</v>
      </c>
      <c r="T428">
        <v>11210</v>
      </c>
      <c r="U428">
        <v>5</v>
      </c>
      <c r="V428">
        <v>2670</v>
      </c>
      <c r="W428">
        <v>15</v>
      </c>
      <c r="X428">
        <v>6885</v>
      </c>
      <c r="Y428" s="26">
        <f t="shared" si="6"/>
        <v>96</v>
      </c>
    </row>
    <row r="429" spans="1:25" x14ac:dyDescent="0.25">
      <c r="A429" t="s">
        <v>2072</v>
      </c>
      <c r="B429" t="s">
        <v>2073</v>
      </c>
      <c r="C429" s="22">
        <v>42917</v>
      </c>
      <c r="D429" t="s">
        <v>2026</v>
      </c>
      <c r="E429" t="s">
        <v>2015</v>
      </c>
      <c r="F429" t="s">
        <v>2417</v>
      </c>
      <c r="G429">
        <v>8</v>
      </c>
      <c r="H429">
        <v>4408</v>
      </c>
      <c r="I429">
        <v>14</v>
      </c>
      <c r="J429">
        <v>7462</v>
      </c>
      <c r="K429">
        <v>14</v>
      </c>
      <c r="L429">
        <v>6636</v>
      </c>
      <c r="M429">
        <v>0</v>
      </c>
      <c r="N429">
        <v>0</v>
      </c>
      <c r="O429">
        <v>11</v>
      </c>
      <c r="P429">
        <v>6380</v>
      </c>
      <c r="Q429">
        <v>8</v>
      </c>
      <c r="R429">
        <v>4808</v>
      </c>
      <c r="S429">
        <v>6</v>
      </c>
      <c r="T429">
        <v>3690</v>
      </c>
      <c r="U429">
        <v>3</v>
      </c>
      <c r="V429">
        <v>1893</v>
      </c>
      <c r="W429">
        <v>16</v>
      </c>
      <c r="X429">
        <v>8064</v>
      </c>
      <c r="Y429" s="26">
        <f t="shared" si="6"/>
        <v>80</v>
      </c>
    </row>
    <row r="430" spans="1:25" x14ac:dyDescent="0.25">
      <c r="A430" t="s">
        <v>2074</v>
      </c>
      <c r="B430" t="s">
        <v>2075</v>
      </c>
      <c r="C430" s="22">
        <v>42638</v>
      </c>
      <c r="D430" t="s">
        <v>2014</v>
      </c>
      <c r="E430" t="s">
        <v>2015</v>
      </c>
      <c r="F430" t="s">
        <v>2417</v>
      </c>
      <c r="G430">
        <v>23</v>
      </c>
      <c r="H430">
        <v>11937</v>
      </c>
      <c r="I430">
        <v>1</v>
      </c>
      <c r="J430">
        <v>554</v>
      </c>
      <c r="K430">
        <v>14</v>
      </c>
      <c r="L430">
        <v>6916</v>
      </c>
      <c r="M430">
        <v>29</v>
      </c>
      <c r="N430">
        <v>16646</v>
      </c>
      <c r="O430">
        <v>1</v>
      </c>
      <c r="P430">
        <v>468</v>
      </c>
      <c r="Q430">
        <v>11</v>
      </c>
      <c r="R430">
        <v>6105</v>
      </c>
      <c r="S430">
        <v>0</v>
      </c>
      <c r="T430">
        <v>0</v>
      </c>
      <c r="U430">
        <v>0</v>
      </c>
      <c r="V430">
        <v>0</v>
      </c>
      <c r="W430">
        <v>28</v>
      </c>
      <c r="X430">
        <v>16156</v>
      </c>
      <c r="Y430" s="26">
        <f t="shared" si="6"/>
        <v>107</v>
      </c>
    </row>
    <row r="431" spans="1:25" x14ac:dyDescent="0.25">
      <c r="A431" t="s">
        <v>2076</v>
      </c>
      <c r="B431" t="s">
        <v>2077</v>
      </c>
      <c r="C431" s="22">
        <v>42306</v>
      </c>
      <c r="D431" t="s">
        <v>2014</v>
      </c>
      <c r="E431" t="s">
        <v>2019</v>
      </c>
      <c r="F431" t="s">
        <v>2417</v>
      </c>
      <c r="G431">
        <v>18</v>
      </c>
      <c r="H431">
        <v>10836</v>
      </c>
      <c r="I431">
        <v>1</v>
      </c>
      <c r="J431">
        <v>642</v>
      </c>
      <c r="K431">
        <v>4</v>
      </c>
      <c r="L431">
        <v>2140</v>
      </c>
      <c r="M431">
        <v>2</v>
      </c>
      <c r="N431">
        <v>1266</v>
      </c>
      <c r="O431">
        <v>47</v>
      </c>
      <c r="P431">
        <v>24628</v>
      </c>
      <c r="Q431">
        <v>4</v>
      </c>
      <c r="R431">
        <v>1896</v>
      </c>
      <c r="S431">
        <v>11</v>
      </c>
      <c r="T431">
        <v>5555</v>
      </c>
      <c r="U431">
        <v>8</v>
      </c>
      <c r="V431">
        <v>4160</v>
      </c>
      <c r="W431">
        <v>0</v>
      </c>
      <c r="X431">
        <v>0</v>
      </c>
      <c r="Y431" s="26">
        <f t="shared" si="6"/>
        <v>95</v>
      </c>
    </row>
    <row r="432" spans="1:25" x14ac:dyDescent="0.25">
      <c r="A432" t="s">
        <v>2078</v>
      </c>
      <c r="B432" t="s">
        <v>2079</v>
      </c>
      <c r="C432" s="22">
        <v>43821</v>
      </c>
      <c r="D432" t="s">
        <v>2014</v>
      </c>
      <c r="E432" t="s">
        <v>2015</v>
      </c>
      <c r="F432" t="s">
        <v>2417</v>
      </c>
      <c r="G432">
        <v>8</v>
      </c>
      <c r="H432">
        <v>4696</v>
      </c>
      <c r="I432">
        <v>4</v>
      </c>
      <c r="J432">
        <v>2060</v>
      </c>
      <c r="K432">
        <v>7</v>
      </c>
      <c r="L432">
        <v>3388</v>
      </c>
      <c r="M432">
        <v>2</v>
      </c>
      <c r="N432">
        <v>1130</v>
      </c>
      <c r="O432">
        <v>57</v>
      </c>
      <c r="P432">
        <v>36423</v>
      </c>
      <c r="Q432">
        <v>0</v>
      </c>
      <c r="R432">
        <v>0</v>
      </c>
      <c r="S432">
        <v>4</v>
      </c>
      <c r="T432">
        <v>2364</v>
      </c>
      <c r="U432">
        <v>25</v>
      </c>
      <c r="V432">
        <v>14975</v>
      </c>
      <c r="W432">
        <v>23</v>
      </c>
      <c r="X432">
        <v>10626</v>
      </c>
      <c r="Y432" s="26">
        <f t="shared" si="6"/>
        <v>130</v>
      </c>
    </row>
    <row r="433" spans="1:25" x14ac:dyDescent="0.25">
      <c r="A433" t="s">
        <v>2080</v>
      </c>
      <c r="B433" t="s">
        <v>2081</v>
      </c>
      <c r="C433" s="22">
        <v>42767</v>
      </c>
      <c r="D433" t="s">
        <v>2026</v>
      </c>
      <c r="E433" t="s">
        <v>2019</v>
      </c>
      <c r="F433" t="s">
        <v>2417</v>
      </c>
      <c r="G433">
        <v>14</v>
      </c>
      <c r="H433">
        <v>6916</v>
      </c>
      <c r="I433">
        <v>1</v>
      </c>
      <c r="J433">
        <v>557</v>
      </c>
      <c r="K433">
        <v>11</v>
      </c>
      <c r="L433">
        <v>5797</v>
      </c>
      <c r="M433">
        <v>17</v>
      </c>
      <c r="N433">
        <v>9486</v>
      </c>
      <c r="O433">
        <v>45</v>
      </c>
      <c r="P433">
        <v>24435</v>
      </c>
      <c r="Q433">
        <v>6</v>
      </c>
      <c r="R433">
        <v>3702</v>
      </c>
      <c r="S433">
        <v>14</v>
      </c>
      <c r="T433">
        <v>6356</v>
      </c>
      <c r="U433">
        <v>8</v>
      </c>
      <c r="V433">
        <v>4192</v>
      </c>
      <c r="W433">
        <v>3</v>
      </c>
      <c r="X433">
        <v>1554</v>
      </c>
      <c r="Y433" s="26">
        <f t="shared" si="6"/>
        <v>119</v>
      </c>
    </row>
    <row r="434" spans="1:25" x14ac:dyDescent="0.25">
      <c r="A434" t="s">
        <v>2082</v>
      </c>
      <c r="B434" t="s">
        <v>2083</v>
      </c>
      <c r="C434" s="22">
        <v>43203</v>
      </c>
      <c r="D434" t="s">
        <v>2014</v>
      </c>
      <c r="E434" t="s">
        <v>2027</v>
      </c>
      <c r="F434" t="s">
        <v>2417</v>
      </c>
      <c r="G434">
        <v>30</v>
      </c>
      <c r="H434">
        <v>15090</v>
      </c>
      <c r="I434">
        <v>2</v>
      </c>
      <c r="J434">
        <v>1170</v>
      </c>
      <c r="K434">
        <v>9</v>
      </c>
      <c r="L434">
        <v>5022</v>
      </c>
      <c r="M434">
        <v>37</v>
      </c>
      <c r="N434">
        <v>20313</v>
      </c>
      <c r="O434">
        <v>40</v>
      </c>
      <c r="P434">
        <v>24520</v>
      </c>
      <c r="Q434">
        <v>21</v>
      </c>
      <c r="R434">
        <v>13188</v>
      </c>
      <c r="S434">
        <v>38</v>
      </c>
      <c r="T434">
        <v>21622</v>
      </c>
      <c r="U434">
        <v>10</v>
      </c>
      <c r="V434">
        <v>5860</v>
      </c>
      <c r="W434">
        <v>11</v>
      </c>
      <c r="X434">
        <v>5071</v>
      </c>
      <c r="Y434" s="26">
        <f t="shared" si="6"/>
        <v>198</v>
      </c>
    </row>
    <row r="435" spans="1:25" x14ac:dyDescent="0.25">
      <c r="A435" t="s">
        <v>2084</v>
      </c>
      <c r="B435" t="s">
        <v>2085</v>
      </c>
      <c r="C435" s="22">
        <v>43598</v>
      </c>
      <c r="D435" t="s">
        <v>2014</v>
      </c>
      <c r="E435" t="s">
        <v>2027</v>
      </c>
      <c r="F435" t="s">
        <v>2417</v>
      </c>
      <c r="G435">
        <v>6</v>
      </c>
      <c r="H435">
        <v>3234</v>
      </c>
      <c r="I435">
        <v>22</v>
      </c>
      <c r="J435">
        <v>11836</v>
      </c>
      <c r="K435">
        <v>77</v>
      </c>
      <c r="L435">
        <v>37730</v>
      </c>
      <c r="M435">
        <v>25</v>
      </c>
      <c r="N435">
        <v>12850</v>
      </c>
      <c r="O435">
        <v>21</v>
      </c>
      <c r="P435">
        <v>10563</v>
      </c>
      <c r="Q435">
        <v>7</v>
      </c>
      <c r="R435">
        <v>3220</v>
      </c>
      <c r="S435">
        <v>3</v>
      </c>
      <c r="T435">
        <v>1608</v>
      </c>
      <c r="U435">
        <v>0</v>
      </c>
      <c r="V435">
        <v>0</v>
      </c>
      <c r="W435">
        <v>0</v>
      </c>
      <c r="X435">
        <v>0</v>
      </c>
      <c r="Y435" s="26">
        <f t="shared" si="6"/>
        <v>161</v>
      </c>
    </row>
    <row r="436" spans="1:25" x14ac:dyDescent="0.25">
      <c r="A436" t="s">
        <v>2086</v>
      </c>
      <c r="B436" t="s">
        <v>2087</v>
      </c>
      <c r="C436" s="22">
        <v>43374</v>
      </c>
      <c r="D436" t="s">
        <v>2014</v>
      </c>
      <c r="E436" t="s">
        <v>2027</v>
      </c>
      <c r="F436" t="s">
        <v>2417</v>
      </c>
      <c r="G436">
        <v>48</v>
      </c>
      <c r="H436">
        <v>21648</v>
      </c>
      <c r="I436">
        <v>7</v>
      </c>
      <c r="J436">
        <v>4340</v>
      </c>
      <c r="K436">
        <v>24</v>
      </c>
      <c r="L436">
        <v>12168</v>
      </c>
      <c r="M436">
        <v>10</v>
      </c>
      <c r="N436">
        <v>6360</v>
      </c>
      <c r="O436">
        <v>4</v>
      </c>
      <c r="P436">
        <v>2596</v>
      </c>
      <c r="Q436">
        <v>24</v>
      </c>
      <c r="R436">
        <v>15264</v>
      </c>
      <c r="S436">
        <v>10</v>
      </c>
      <c r="T436">
        <v>5460</v>
      </c>
      <c r="U436">
        <v>14</v>
      </c>
      <c r="V436">
        <v>8722</v>
      </c>
      <c r="W436">
        <v>18</v>
      </c>
      <c r="X436">
        <v>8928</v>
      </c>
      <c r="Y436" s="26">
        <f t="shared" si="6"/>
        <v>159</v>
      </c>
    </row>
    <row r="437" spans="1:25" x14ac:dyDescent="0.25">
      <c r="A437" t="s">
        <v>2088</v>
      </c>
      <c r="B437" t="s">
        <v>2089</v>
      </c>
      <c r="C437" s="22">
        <v>42503</v>
      </c>
      <c r="D437" t="s">
        <v>2026</v>
      </c>
      <c r="E437" t="s">
        <v>2019</v>
      </c>
      <c r="F437" t="s">
        <v>2417</v>
      </c>
      <c r="G437">
        <v>48</v>
      </c>
      <c r="H437">
        <v>27696</v>
      </c>
      <c r="I437">
        <v>5</v>
      </c>
      <c r="J437">
        <v>2725</v>
      </c>
      <c r="K437">
        <v>3</v>
      </c>
      <c r="L437">
        <v>1350</v>
      </c>
      <c r="M437">
        <v>14</v>
      </c>
      <c r="N437">
        <v>6944</v>
      </c>
      <c r="O437">
        <v>8</v>
      </c>
      <c r="P437">
        <v>4488</v>
      </c>
      <c r="Q437">
        <v>19</v>
      </c>
      <c r="R437">
        <v>9367</v>
      </c>
      <c r="S437">
        <v>39</v>
      </c>
      <c r="T437">
        <v>22542</v>
      </c>
      <c r="U437">
        <v>7</v>
      </c>
      <c r="V437">
        <v>3402</v>
      </c>
      <c r="W437">
        <v>0</v>
      </c>
      <c r="X437">
        <v>0</v>
      </c>
      <c r="Y437" s="26">
        <f t="shared" si="6"/>
        <v>143</v>
      </c>
    </row>
    <row r="438" spans="1:25" x14ac:dyDescent="0.25">
      <c r="A438" t="s">
        <v>2090</v>
      </c>
      <c r="B438" t="s">
        <v>2091</v>
      </c>
      <c r="C438" s="22">
        <v>44147</v>
      </c>
      <c r="D438" t="s">
        <v>2014</v>
      </c>
      <c r="E438" t="s">
        <v>2015</v>
      </c>
      <c r="F438" t="s">
        <v>2417</v>
      </c>
      <c r="G438">
        <v>6</v>
      </c>
      <c r="H438">
        <v>3660</v>
      </c>
      <c r="I438">
        <v>56</v>
      </c>
      <c r="J438">
        <v>36064</v>
      </c>
      <c r="K438">
        <v>7</v>
      </c>
      <c r="L438">
        <v>3472</v>
      </c>
      <c r="M438">
        <v>37</v>
      </c>
      <c r="N438">
        <v>21053</v>
      </c>
      <c r="O438">
        <v>10</v>
      </c>
      <c r="P438">
        <v>5840</v>
      </c>
      <c r="Q438">
        <v>17</v>
      </c>
      <c r="R438">
        <v>9095</v>
      </c>
      <c r="S438">
        <v>14</v>
      </c>
      <c r="T438">
        <v>9100</v>
      </c>
      <c r="U438">
        <v>25</v>
      </c>
      <c r="V438">
        <v>15750</v>
      </c>
      <c r="W438">
        <v>0</v>
      </c>
      <c r="X438">
        <v>0</v>
      </c>
      <c r="Y438" s="26">
        <f t="shared" si="6"/>
        <v>172</v>
      </c>
    </row>
    <row r="439" spans="1:25" x14ac:dyDescent="0.25">
      <c r="A439" t="s">
        <v>2092</v>
      </c>
      <c r="B439" t="s">
        <v>2093</v>
      </c>
      <c r="C439" s="22">
        <v>42510</v>
      </c>
      <c r="D439" t="s">
        <v>2026</v>
      </c>
      <c r="E439" t="s">
        <v>2027</v>
      </c>
      <c r="F439" t="s">
        <v>2417</v>
      </c>
      <c r="G439">
        <v>21</v>
      </c>
      <c r="H439">
        <v>10332</v>
      </c>
      <c r="I439">
        <v>0</v>
      </c>
      <c r="J439">
        <v>0</v>
      </c>
      <c r="K439">
        <v>25</v>
      </c>
      <c r="L439">
        <v>15225</v>
      </c>
      <c r="M439">
        <v>4</v>
      </c>
      <c r="N439">
        <v>2196</v>
      </c>
      <c r="O439">
        <v>3</v>
      </c>
      <c r="P439">
        <v>1866</v>
      </c>
      <c r="Q439">
        <v>4</v>
      </c>
      <c r="R439">
        <v>2140</v>
      </c>
      <c r="S439">
        <v>8</v>
      </c>
      <c r="T439">
        <v>4368</v>
      </c>
      <c r="U439">
        <v>5</v>
      </c>
      <c r="V439">
        <v>2490</v>
      </c>
      <c r="W439">
        <v>46</v>
      </c>
      <c r="X439">
        <v>27830</v>
      </c>
      <c r="Y439" s="26">
        <f t="shared" si="6"/>
        <v>116</v>
      </c>
    </row>
    <row r="440" spans="1:25" x14ac:dyDescent="0.25">
      <c r="A440" t="s">
        <v>2094</v>
      </c>
      <c r="B440" t="s">
        <v>2095</v>
      </c>
      <c r="C440" s="22">
        <v>42211</v>
      </c>
      <c r="D440" t="s">
        <v>2026</v>
      </c>
      <c r="E440" t="s">
        <v>2019</v>
      </c>
      <c r="F440" t="s">
        <v>2417</v>
      </c>
      <c r="G440">
        <v>5</v>
      </c>
      <c r="H440">
        <v>2485</v>
      </c>
      <c r="I440">
        <v>14</v>
      </c>
      <c r="J440">
        <v>9030</v>
      </c>
      <c r="K440">
        <v>0</v>
      </c>
      <c r="L440">
        <v>0</v>
      </c>
      <c r="M440">
        <v>3</v>
      </c>
      <c r="N440">
        <v>1740</v>
      </c>
      <c r="O440">
        <v>4</v>
      </c>
      <c r="P440">
        <v>2588</v>
      </c>
      <c r="Q440">
        <v>9</v>
      </c>
      <c r="R440">
        <v>4788</v>
      </c>
      <c r="S440">
        <v>13</v>
      </c>
      <c r="T440">
        <v>6435</v>
      </c>
      <c r="U440">
        <v>4</v>
      </c>
      <c r="V440">
        <v>2096</v>
      </c>
      <c r="W440">
        <v>26</v>
      </c>
      <c r="X440">
        <v>13754</v>
      </c>
      <c r="Y440" s="26">
        <f t="shared" si="6"/>
        <v>78</v>
      </c>
    </row>
    <row r="441" spans="1:25" x14ac:dyDescent="0.25">
      <c r="A441" t="s">
        <v>2096</v>
      </c>
      <c r="B441" t="s">
        <v>2097</v>
      </c>
      <c r="C441" s="22">
        <v>44048</v>
      </c>
      <c r="D441" t="s">
        <v>2014</v>
      </c>
      <c r="E441" t="s">
        <v>2019</v>
      </c>
      <c r="F441" t="s">
        <v>2417</v>
      </c>
      <c r="G441">
        <v>30</v>
      </c>
      <c r="H441">
        <v>17220</v>
      </c>
      <c r="I441">
        <v>28</v>
      </c>
      <c r="J441">
        <v>17472</v>
      </c>
      <c r="K441">
        <v>5</v>
      </c>
      <c r="L441">
        <v>2385</v>
      </c>
      <c r="M441">
        <v>1</v>
      </c>
      <c r="N441">
        <v>548</v>
      </c>
      <c r="O441">
        <v>5</v>
      </c>
      <c r="P441">
        <v>2900</v>
      </c>
      <c r="Q441">
        <v>19</v>
      </c>
      <c r="R441">
        <v>11533</v>
      </c>
      <c r="S441">
        <v>0</v>
      </c>
      <c r="T441">
        <v>0</v>
      </c>
      <c r="U441">
        <v>5</v>
      </c>
      <c r="V441">
        <v>3130</v>
      </c>
      <c r="W441">
        <v>0</v>
      </c>
      <c r="X441">
        <v>0</v>
      </c>
      <c r="Y441" s="26">
        <f t="shared" si="6"/>
        <v>93</v>
      </c>
    </row>
    <row r="442" spans="1:25" x14ac:dyDescent="0.25">
      <c r="A442" t="s">
        <v>2098</v>
      </c>
      <c r="B442" t="s">
        <v>2099</v>
      </c>
      <c r="C442" s="22">
        <v>44039</v>
      </c>
      <c r="D442" t="s">
        <v>2026</v>
      </c>
      <c r="E442" t="s">
        <v>2019</v>
      </c>
      <c r="F442" t="s">
        <v>2417</v>
      </c>
      <c r="G442">
        <v>4</v>
      </c>
      <c r="H442">
        <v>1860</v>
      </c>
      <c r="I442">
        <v>0</v>
      </c>
      <c r="J442">
        <v>0</v>
      </c>
      <c r="K442">
        <v>2</v>
      </c>
      <c r="L442">
        <v>1106</v>
      </c>
      <c r="M442">
        <v>18</v>
      </c>
      <c r="N442">
        <v>9702</v>
      </c>
      <c r="O442">
        <v>19</v>
      </c>
      <c r="P442">
        <v>8930</v>
      </c>
      <c r="Q442">
        <v>6</v>
      </c>
      <c r="R442">
        <v>3696</v>
      </c>
      <c r="S442">
        <v>2</v>
      </c>
      <c r="T442">
        <v>1042</v>
      </c>
      <c r="U442">
        <v>22</v>
      </c>
      <c r="V442">
        <v>12012</v>
      </c>
      <c r="W442">
        <v>0</v>
      </c>
      <c r="X442">
        <v>0</v>
      </c>
      <c r="Y442" s="26">
        <f t="shared" si="6"/>
        <v>73</v>
      </c>
    </row>
    <row r="443" spans="1:25" x14ac:dyDescent="0.25">
      <c r="A443" t="s">
        <v>2100</v>
      </c>
      <c r="B443" t="s">
        <v>2101</v>
      </c>
      <c r="C443" s="22">
        <v>42360</v>
      </c>
      <c r="D443" t="s">
        <v>2026</v>
      </c>
      <c r="E443" t="s">
        <v>2015</v>
      </c>
      <c r="F443" t="s">
        <v>2417</v>
      </c>
      <c r="G443">
        <v>0</v>
      </c>
      <c r="H443">
        <v>0</v>
      </c>
      <c r="I443">
        <v>22</v>
      </c>
      <c r="J443">
        <v>10472</v>
      </c>
      <c r="K443">
        <v>10</v>
      </c>
      <c r="L443">
        <v>5050</v>
      </c>
      <c r="M443">
        <v>13</v>
      </c>
      <c r="N443">
        <v>6838</v>
      </c>
      <c r="O443">
        <v>8</v>
      </c>
      <c r="P443">
        <v>3760</v>
      </c>
      <c r="Q443">
        <v>11</v>
      </c>
      <c r="R443">
        <v>7084</v>
      </c>
      <c r="S443">
        <v>13</v>
      </c>
      <c r="T443">
        <v>8177</v>
      </c>
      <c r="U443">
        <v>2</v>
      </c>
      <c r="V443">
        <v>1184</v>
      </c>
      <c r="W443">
        <v>16</v>
      </c>
      <c r="X443">
        <v>10224</v>
      </c>
      <c r="Y443" s="26">
        <f t="shared" si="6"/>
        <v>95</v>
      </c>
    </row>
    <row r="444" spans="1:25" x14ac:dyDescent="0.25">
      <c r="A444" t="s">
        <v>2102</v>
      </c>
      <c r="B444" t="s">
        <v>2103</v>
      </c>
      <c r="C444" s="22">
        <v>43940</v>
      </c>
      <c r="D444" t="s">
        <v>2014</v>
      </c>
      <c r="E444" t="s">
        <v>2019</v>
      </c>
      <c r="F444" t="s">
        <v>2417</v>
      </c>
      <c r="G444">
        <v>8</v>
      </c>
      <c r="H444">
        <v>5072</v>
      </c>
      <c r="I444">
        <v>14</v>
      </c>
      <c r="J444">
        <v>8988</v>
      </c>
      <c r="K444">
        <v>0</v>
      </c>
      <c r="L444">
        <v>0</v>
      </c>
      <c r="M444">
        <v>0</v>
      </c>
      <c r="N444">
        <v>0</v>
      </c>
      <c r="O444">
        <v>18</v>
      </c>
      <c r="P444">
        <v>9090</v>
      </c>
      <c r="Q444">
        <v>15</v>
      </c>
      <c r="R444">
        <v>6915</v>
      </c>
      <c r="S444">
        <v>1</v>
      </c>
      <c r="T444">
        <v>554</v>
      </c>
      <c r="U444">
        <v>1</v>
      </c>
      <c r="V444">
        <v>622</v>
      </c>
      <c r="W444">
        <v>19</v>
      </c>
      <c r="X444">
        <v>11324</v>
      </c>
      <c r="Y444" s="26">
        <f t="shared" si="6"/>
        <v>76</v>
      </c>
    </row>
    <row r="445" spans="1:25" x14ac:dyDescent="0.25">
      <c r="A445" t="s">
        <v>2104</v>
      </c>
      <c r="B445" t="s">
        <v>2105</v>
      </c>
      <c r="C445" s="22">
        <v>43521</v>
      </c>
      <c r="D445" t="s">
        <v>2014</v>
      </c>
      <c r="E445" t="s">
        <v>2027</v>
      </c>
      <c r="F445" t="s">
        <v>2417</v>
      </c>
      <c r="G445">
        <v>28</v>
      </c>
      <c r="H445">
        <v>17556</v>
      </c>
      <c r="I445">
        <v>52</v>
      </c>
      <c r="J445">
        <v>27456</v>
      </c>
      <c r="K445">
        <v>27</v>
      </c>
      <c r="L445">
        <v>17145</v>
      </c>
      <c r="M445">
        <v>31</v>
      </c>
      <c r="N445">
        <v>17329</v>
      </c>
      <c r="O445">
        <v>57</v>
      </c>
      <c r="P445">
        <v>29013</v>
      </c>
      <c r="Q445">
        <v>6</v>
      </c>
      <c r="R445">
        <v>2724</v>
      </c>
      <c r="S445">
        <v>4</v>
      </c>
      <c r="T445">
        <v>2164</v>
      </c>
      <c r="U445">
        <v>10</v>
      </c>
      <c r="V445">
        <v>5110</v>
      </c>
      <c r="W445">
        <v>8</v>
      </c>
      <c r="X445">
        <v>4928</v>
      </c>
      <c r="Y445" s="26">
        <f t="shared" si="6"/>
        <v>223</v>
      </c>
    </row>
    <row r="446" spans="1:25" x14ac:dyDescent="0.25">
      <c r="A446" t="s">
        <v>2106</v>
      </c>
      <c r="B446" t="s">
        <v>2107</v>
      </c>
      <c r="C446" s="22">
        <v>43639</v>
      </c>
      <c r="D446" t="s">
        <v>2026</v>
      </c>
      <c r="E446" t="s">
        <v>2019</v>
      </c>
      <c r="F446" t="s">
        <v>2417</v>
      </c>
      <c r="G446">
        <v>17</v>
      </c>
      <c r="H446">
        <v>10115</v>
      </c>
      <c r="I446">
        <v>7</v>
      </c>
      <c r="J446">
        <v>3234</v>
      </c>
      <c r="K446">
        <v>0</v>
      </c>
      <c r="L446">
        <v>0</v>
      </c>
      <c r="M446">
        <v>47</v>
      </c>
      <c r="N446">
        <v>21808</v>
      </c>
      <c r="O446">
        <v>5</v>
      </c>
      <c r="P446">
        <v>3065</v>
      </c>
      <c r="Q446">
        <v>25</v>
      </c>
      <c r="R446">
        <v>14125</v>
      </c>
      <c r="S446">
        <v>2</v>
      </c>
      <c r="T446">
        <v>902</v>
      </c>
      <c r="U446">
        <v>19</v>
      </c>
      <c r="V446">
        <v>10374</v>
      </c>
      <c r="W446">
        <v>18</v>
      </c>
      <c r="X446">
        <v>10602</v>
      </c>
      <c r="Y446" s="26">
        <f t="shared" si="6"/>
        <v>140</v>
      </c>
    </row>
    <row r="447" spans="1:25" x14ac:dyDescent="0.25">
      <c r="A447" t="s">
        <v>2108</v>
      </c>
      <c r="B447" t="s">
        <v>2109</v>
      </c>
      <c r="C447" s="22">
        <v>43727</v>
      </c>
      <c r="D447" t="s">
        <v>2014</v>
      </c>
      <c r="E447" t="s">
        <v>2015</v>
      </c>
      <c r="F447" t="s">
        <v>2417</v>
      </c>
      <c r="G447">
        <v>21</v>
      </c>
      <c r="H447">
        <v>9534</v>
      </c>
      <c r="I447">
        <v>10</v>
      </c>
      <c r="J447">
        <v>5580</v>
      </c>
      <c r="K447">
        <v>7</v>
      </c>
      <c r="L447">
        <v>3451</v>
      </c>
      <c r="M447">
        <v>10</v>
      </c>
      <c r="N447">
        <v>5600</v>
      </c>
      <c r="O447">
        <v>11</v>
      </c>
      <c r="P447">
        <v>6919</v>
      </c>
      <c r="Q447">
        <v>25</v>
      </c>
      <c r="R447">
        <v>13425</v>
      </c>
      <c r="S447">
        <v>21</v>
      </c>
      <c r="T447">
        <v>12663</v>
      </c>
      <c r="U447">
        <v>0</v>
      </c>
      <c r="V447">
        <v>0</v>
      </c>
      <c r="W447">
        <v>13</v>
      </c>
      <c r="X447">
        <v>6812</v>
      </c>
      <c r="Y447" s="26">
        <f t="shared" si="6"/>
        <v>118</v>
      </c>
    </row>
    <row r="448" spans="1:25" x14ac:dyDescent="0.25">
      <c r="A448" t="s">
        <v>2110</v>
      </c>
      <c r="B448" t="s">
        <v>2111</v>
      </c>
      <c r="C448" s="22">
        <v>43584</v>
      </c>
      <c r="D448" t="s">
        <v>2014</v>
      </c>
      <c r="E448" t="s">
        <v>2015</v>
      </c>
      <c r="F448" t="s">
        <v>2417</v>
      </c>
      <c r="G448">
        <v>10</v>
      </c>
      <c r="H448">
        <v>4640</v>
      </c>
      <c r="I448">
        <v>26</v>
      </c>
      <c r="J448">
        <v>13884</v>
      </c>
      <c r="K448">
        <v>1</v>
      </c>
      <c r="L448">
        <v>470</v>
      </c>
      <c r="M448">
        <v>4</v>
      </c>
      <c r="N448">
        <v>2412</v>
      </c>
      <c r="O448">
        <v>12</v>
      </c>
      <c r="P448">
        <v>7212</v>
      </c>
      <c r="Q448">
        <v>23</v>
      </c>
      <c r="R448">
        <v>10465</v>
      </c>
      <c r="S448">
        <v>0</v>
      </c>
      <c r="T448">
        <v>0</v>
      </c>
      <c r="U448">
        <v>0</v>
      </c>
      <c r="V448">
        <v>0</v>
      </c>
      <c r="W448">
        <v>35</v>
      </c>
      <c r="X448">
        <v>18410</v>
      </c>
      <c r="Y448" s="26">
        <f t="shared" si="6"/>
        <v>111</v>
      </c>
    </row>
    <row r="449" spans="1:25" x14ac:dyDescent="0.25">
      <c r="A449" t="s">
        <v>2112</v>
      </c>
      <c r="B449" t="s">
        <v>2113</v>
      </c>
      <c r="C449" s="22">
        <v>43217</v>
      </c>
      <c r="D449" t="s">
        <v>2014</v>
      </c>
      <c r="E449" t="s">
        <v>2027</v>
      </c>
      <c r="F449" t="s">
        <v>2417</v>
      </c>
      <c r="G449">
        <v>13</v>
      </c>
      <c r="H449">
        <v>7995</v>
      </c>
      <c r="I449">
        <v>25</v>
      </c>
      <c r="J449">
        <v>13750</v>
      </c>
      <c r="K449">
        <v>14</v>
      </c>
      <c r="L449">
        <v>7840</v>
      </c>
      <c r="M449">
        <v>1</v>
      </c>
      <c r="N449">
        <v>642</v>
      </c>
      <c r="O449">
        <v>20</v>
      </c>
      <c r="P449">
        <v>11220</v>
      </c>
      <c r="Q449">
        <v>65</v>
      </c>
      <c r="R449">
        <v>38935</v>
      </c>
      <c r="S449">
        <v>35</v>
      </c>
      <c r="T449">
        <v>17220</v>
      </c>
      <c r="U449">
        <v>17</v>
      </c>
      <c r="V449">
        <v>8075</v>
      </c>
      <c r="W449">
        <v>2</v>
      </c>
      <c r="X449">
        <v>1284</v>
      </c>
      <c r="Y449" s="26">
        <f t="shared" si="6"/>
        <v>192</v>
      </c>
    </row>
    <row r="450" spans="1:25" x14ac:dyDescent="0.25">
      <c r="A450" t="s">
        <v>2114</v>
      </c>
      <c r="B450" t="s">
        <v>2115</v>
      </c>
      <c r="C450" s="22">
        <v>43245</v>
      </c>
      <c r="D450" t="s">
        <v>2014</v>
      </c>
      <c r="E450" t="s">
        <v>2027</v>
      </c>
      <c r="F450" t="s">
        <v>2417</v>
      </c>
      <c r="G450">
        <v>8</v>
      </c>
      <c r="H450">
        <v>4928</v>
      </c>
      <c r="I450">
        <v>3</v>
      </c>
      <c r="J450">
        <v>1737</v>
      </c>
      <c r="K450">
        <v>4</v>
      </c>
      <c r="L450">
        <v>2136</v>
      </c>
      <c r="M450">
        <v>3</v>
      </c>
      <c r="N450">
        <v>1923</v>
      </c>
      <c r="O450">
        <v>1</v>
      </c>
      <c r="P450">
        <v>606</v>
      </c>
      <c r="Q450">
        <v>43</v>
      </c>
      <c r="R450">
        <v>23951</v>
      </c>
      <c r="S450">
        <v>4</v>
      </c>
      <c r="T450">
        <v>2432</v>
      </c>
      <c r="U450">
        <v>6</v>
      </c>
      <c r="V450">
        <v>3252</v>
      </c>
      <c r="W450">
        <v>9</v>
      </c>
      <c r="X450">
        <v>4770</v>
      </c>
      <c r="Y450" s="26">
        <f t="shared" si="6"/>
        <v>81</v>
      </c>
    </row>
    <row r="451" spans="1:25" x14ac:dyDescent="0.25">
      <c r="A451" t="s">
        <v>2116</v>
      </c>
      <c r="B451" t="s">
        <v>2117</v>
      </c>
      <c r="C451" s="22">
        <v>42464</v>
      </c>
      <c r="D451" t="s">
        <v>2026</v>
      </c>
      <c r="E451" t="s">
        <v>2019</v>
      </c>
      <c r="F451" t="s">
        <v>2417</v>
      </c>
      <c r="G451">
        <v>5</v>
      </c>
      <c r="H451">
        <v>2860</v>
      </c>
      <c r="I451">
        <v>4</v>
      </c>
      <c r="J451">
        <v>2508</v>
      </c>
      <c r="K451">
        <v>17</v>
      </c>
      <c r="L451">
        <v>7803</v>
      </c>
      <c r="M451">
        <v>2</v>
      </c>
      <c r="N451">
        <v>1076</v>
      </c>
      <c r="O451">
        <v>38</v>
      </c>
      <c r="P451">
        <v>17138</v>
      </c>
      <c r="Q451">
        <v>34</v>
      </c>
      <c r="R451">
        <v>21454</v>
      </c>
      <c r="S451">
        <v>0</v>
      </c>
      <c r="T451">
        <v>0</v>
      </c>
      <c r="U451">
        <v>12</v>
      </c>
      <c r="V451">
        <v>5700</v>
      </c>
      <c r="W451">
        <v>1</v>
      </c>
      <c r="X451">
        <v>570</v>
      </c>
      <c r="Y451" s="26">
        <f t="shared" ref="Y451:Y514" si="7">SUMIF($G$1:$X$1,"Количество*",G451:X451)</f>
        <v>113</v>
      </c>
    </row>
    <row r="452" spans="1:25" x14ac:dyDescent="0.25">
      <c r="A452" t="s">
        <v>2118</v>
      </c>
      <c r="B452" t="s">
        <v>2119</v>
      </c>
      <c r="C452" s="22">
        <v>43940</v>
      </c>
      <c r="D452" t="s">
        <v>2026</v>
      </c>
      <c r="E452" t="s">
        <v>2027</v>
      </c>
      <c r="F452" t="s">
        <v>2417</v>
      </c>
      <c r="G452">
        <v>11</v>
      </c>
      <c r="H452">
        <v>5918</v>
      </c>
      <c r="I452">
        <v>13</v>
      </c>
      <c r="J452">
        <v>8242</v>
      </c>
      <c r="K452">
        <v>1</v>
      </c>
      <c r="L452">
        <v>580</v>
      </c>
      <c r="M452">
        <v>18</v>
      </c>
      <c r="N452">
        <v>10800</v>
      </c>
      <c r="O452">
        <v>0</v>
      </c>
      <c r="P452">
        <v>0</v>
      </c>
      <c r="Q452">
        <v>6</v>
      </c>
      <c r="R452">
        <v>3846</v>
      </c>
      <c r="S452">
        <v>9</v>
      </c>
      <c r="T452">
        <v>5787</v>
      </c>
      <c r="U452">
        <v>23</v>
      </c>
      <c r="V452">
        <v>13938</v>
      </c>
      <c r="W452">
        <v>11</v>
      </c>
      <c r="X452">
        <v>6886</v>
      </c>
      <c r="Y452" s="26">
        <f t="shared" si="7"/>
        <v>92</v>
      </c>
    </row>
    <row r="453" spans="1:25" x14ac:dyDescent="0.25">
      <c r="A453" t="s">
        <v>2120</v>
      </c>
      <c r="B453" t="s">
        <v>2121</v>
      </c>
      <c r="C453" s="22">
        <v>42641</v>
      </c>
      <c r="D453" t="s">
        <v>2014</v>
      </c>
      <c r="E453" t="s">
        <v>2015</v>
      </c>
      <c r="F453" t="s">
        <v>2417</v>
      </c>
      <c r="G453">
        <v>11</v>
      </c>
      <c r="H453">
        <v>5929</v>
      </c>
      <c r="I453">
        <v>0</v>
      </c>
      <c r="J453">
        <v>0</v>
      </c>
      <c r="K453">
        <v>2</v>
      </c>
      <c r="L453">
        <v>1298</v>
      </c>
      <c r="M453">
        <v>21</v>
      </c>
      <c r="N453">
        <v>13461</v>
      </c>
      <c r="O453">
        <v>32</v>
      </c>
      <c r="P453">
        <v>14912</v>
      </c>
      <c r="Q453">
        <v>2</v>
      </c>
      <c r="R453">
        <v>1218</v>
      </c>
      <c r="S453">
        <v>7</v>
      </c>
      <c r="T453">
        <v>3871</v>
      </c>
      <c r="U453">
        <v>6</v>
      </c>
      <c r="V453">
        <v>2808</v>
      </c>
      <c r="W453">
        <v>0</v>
      </c>
      <c r="X453">
        <v>0</v>
      </c>
      <c r="Y453" s="26">
        <f t="shared" si="7"/>
        <v>81</v>
      </c>
    </row>
    <row r="454" spans="1:25" x14ac:dyDescent="0.25">
      <c r="A454" t="s">
        <v>2122</v>
      </c>
      <c r="B454" t="s">
        <v>2123</v>
      </c>
      <c r="C454" s="22">
        <v>42083</v>
      </c>
      <c r="D454" t="s">
        <v>2014</v>
      </c>
      <c r="E454" t="s">
        <v>2019</v>
      </c>
      <c r="F454" t="s">
        <v>2417</v>
      </c>
      <c r="G454">
        <v>28</v>
      </c>
      <c r="H454">
        <v>15512</v>
      </c>
      <c r="I454">
        <v>32</v>
      </c>
      <c r="J454">
        <v>14944</v>
      </c>
      <c r="K454">
        <v>0</v>
      </c>
      <c r="L454">
        <v>0</v>
      </c>
      <c r="M454">
        <v>7</v>
      </c>
      <c r="N454">
        <v>3213</v>
      </c>
      <c r="O454">
        <v>9</v>
      </c>
      <c r="P454">
        <v>4743</v>
      </c>
      <c r="Q454">
        <v>14</v>
      </c>
      <c r="R454">
        <v>8596</v>
      </c>
      <c r="S454">
        <v>7</v>
      </c>
      <c r="T454">
        <v>4200</v>
      </c>
      <c r="U454">
        <v>14</v>
      </c>
      <c r="V454">
        <v>6916</v>
      </c>
      <c r="W454">
        <v>47</v>
      </c>
      <c r="X454">
        <v>23923</v>
      </c>
      <c r="Y454" s="26">
        <f t="shared" si="7"/>
        <v>158</v>
      </c>
    </row>
    <row r="455" spans="1:25" x14ac:dyDescent="0.25">
      <c r="A455" t="s">
        <v>2124</v>
      </c>
      <c r="B455" t="s">
        <v>2125</v>
      </c>
      <c r="C455" s="22">
        <v>43777</v>
      </c>
      <c r="D455" t="s">
        <v>2026</v>
      </c>
      <c r="E455" t="s">
        <v>2019</v>
      </c>
      <c r="F455" t="s">
        <v>2417</v>
      </c>
      <c r="G455">
        <v>4</v>
      </c>
      <c r="H455">
        <v>1960</v>
      </c>
      <c r="I455">
        <v>2</v>
      </c>
      <c r="J455">
        <v>1262</v>
      </c>
      <c r="K455">
        <v>10</v>
      </c>
      <c r="L455">
        <v>6130</v>
      </c>
      <c r="M455">
        <v>24</v>
      </c>
      <c r="N455">
        <v>10872</v>
      </c>
      <c r="O455">
        <v>31</v>
      </c>
      <c r="P455">
        <v>19592</v>
      </c>
      <c r="Q455">
        <v>4</v>
      </c>
      <c r="R455">
        <v>1936</v>
      </c>
      <c r="S455">
        <v>0</v>
      </c>
      <c r="T455">
        <v>0</v>
      </c>
      <c r="U455">
        <v>17</v>
      </c>
      <c r="V455">
        <v>8313</v>
      </c>
      <c r="W455">
        <v>11</v>
      </c>
      <c r="X455">
        <v>6952</v>
      </c>
      <c r="Y455" s="26">
        <f t="shared" si="7"/>
        <v>103</v>
      </c>
    </row>
    <row r="456" spans="1:25" x14ac:dyDescent="0.25">
      <c r="A456" t="s">
        <v>2126</v>
      </c>
      <c r="B456" t="s">
        <v>2127</v>
      </c>
      <c r="C456" s="22">
        <v>43919</v>
      </c>
      <c r="D456" t="s">
        <v>2014</v>
      </c>
      <c r="E456" t="s">
        <v>2027</v>
      </c>
      <c r="F456" t="s">
        <v>2417</v>
      </c>
      <c r="G456">
        <v>12</v>
      </c>
      <c r="H456">
        <v>6324</v>
      </c>
      <c r="I456">
        <v>28</v>
      </c>
      <c r="J456">
        <v>13664</v>
      </c>
      <c r="K456">
        <v>35</v>
      </c>
      <c r="L456">
        <v>17045</v>
      </c>
      <c r="M456">
        <v>4</v>
      </c>
      <c r="N456">
        <v>2124</v>
      </c>
      <c r="O456">
        <v>0</v>
      </c>
      <c r="P456">
        <v>0</v>
      </c>
      <c r="Q456">
        <v>18</v>
      </c>
      <c r="R456">
        <v>10746</v>
      </c>
      <c r="S456">
        <v>13</v>
      </c>
      <c r="T456">
        <v>6110</v>
      </c>
      <c r="U456">
        <v>16</v>
      </c>
      <c r="V456">
        <v>9184</v>
      </c>
      <c r="W456">
        <v>34</v>
      </c>
      <c r="X456">
        <v>19244</v>
      </c>
      <c r="Y456" s="26">
        <f t="shared" si="7"/>
        <v>160</v>
      </c>
    </row>
    <row r="457" spans="1:25" x14ac:dyDescent="0.25">
      <c r="A457" t="s">
        <v>2128</v>
      </c>
      <c r="B457" t="s">
        <v>2129</v>
      </c>
      <c r="C457" s="22">
        <v>42879</v>
      </c>
      <c r="D457" t="s">
        <v>2026</v>
      </c>
      <c r="E457" t="s">
        <v>2015</v>
      </c>
      <c r="F457" t="s">
        <v>2417</v>
      </c>
      <c r="G457">
        <v>17</v>
      </c>
      <c r="H457">
        <v>10336</v>
      </c>
      <c r="I457">
        <v>2</v>
      </c>
      <c r="J457">
        <v>972</v>
      </c>
      <c r="K457">
        <v>5</v>
      </c>
      <c r="L457">
        <v>2725</v>
      </c>
      <c r="M457">
        <v>2</v>
      </c>
      <c r="N457">
        <v>1162</v>
      </c>
      <c r="O457">
        <v>1</v>
      </c>
      <c r="P457">
        <v>503</v>
      </c>
      <c r="Q457">
        <v>6</v>
      </c>
      <c r="R457">
        <v>3276</v>
      </c>
      <c r="S457">
        <v>9</v>
      </c>
      <c r="T457">
        <v>5382</v>
      </c>
      <c r="U457">
        <v>6</v>
      </c>
      <c r="V457">
        <v>3594</v>
      </c>
      <c r="W457">
        <v>0</v>
      </c>
      <c r="X457">
        <v>0</v>
      </c>
      <c r="Y457" s="26">
        <f t="shared" si="7"/>
        <v>48</v>
      </c>
    </row>
    <row r="458" spans="1:25" x14ac:dyDescent="0.25">
      <c r="A458" t="s">
        <v>2130</v>
      </c>
      <c r="B458" t="s">
        <v>2131</v>
      </c>
      <c r="C458" s="22">
        <v>43746</v>
      </c>
      <c r="D458" t="s">
        <v>2014</v>
      </c>
      <c r="E458" t="s">
        <v>2019</v>
      </c>
      <c r="F458" t="s">
        <v>2417</v>
      </c>
      <c r="G458">
        <v>3</v>
      </c>
      <c r="H458">
        <v>1398</v>
      </c>
      <c r="I458">
        <v>31</v>
      </c>
      <c r="J458">
        <v>14818</v>
      </c>
      <c r="K458">
        <v>1</v>
      </c>
      <c r="L458">
        <v>626</v>
      </c>
      <c r="M458">
        <v>16</v>
      </c>
      <c r="N458">
        <v>8896</v>
      </c>
      <c r="O458">
        <v>17</v>
      </c>
      <c r="P458">
        <v>9418</v>
      </c>
      <c r="Q458">
        <v>5</v>
      </c>
      <c r="R458">
        <v>2650</v>
      </c>
      <c r="S458">
        <v>3</v>
      </c>
      <c r="T458">
        <v>1800</v>
      </c>
      <c r="U458">
        <v>4</v>
      </c>
      <c r="V458">
        <v>2248</v>
      </c>
      <c r="W458">
        <v>23</v>
      </c>
      <c r="X458">
        <v>10626</v>
      </c>
      <c r="Y458" s="26">
        <f t="shared" si="7"/>
        <v>103</v>
      </c>
    </row>
    <row r="459" spans="1:25" x14ac:dyDescent="0.25">
      <c r="A459" t="s">
        <v>2132</v>
      </c>
      <c r="B459" t="s">
        <v>2133</v>
      </c>
      <c r="C459" s="22">
        <v>42571</v>
      </c>
      <c r="D459" t="s">
        <v>2014</v>
      </c>
      <c r="E459" t="s">
        <v>2019</v>
      </c>
      <c r="F459" t="s">
        <v>2417</v>
      </c>
      <c r="G459">
        <v>16</v>
      </c>
      <c r="H459">
        <v>9504</v>
      </c>
      <c r="I459">
        <v>2</v>
      </c>
      <c r="J459">
        <v>1234</v>
      </c>
      <c r="K459">
        <v>6</v>
      </c>
      <c r="L459">
        <v>3420</v>
      </c>
      <c r="M459">
        <v>9</v>
      </c>
      <c r="N459">
        <v>4365</v>
      </c>
      <c r="O459">
        <v>20</v>
      </c>
      <c r="P459">
        <v>9560</v>
      </c>
      <c r="Q459">
        <v>3</v>
      </c>
      <c r="R459">
        <v>1743</v>
      </c>
      <c r="S459">
        <v>26</v>
      </c>
      <c r="T459">
        <v>14326</v>
      </c>
      <c r="U459">
        <v>19</v>
      </c>
      <c r="V459">
        <v>10678</v>
      </c>
      <c r="W459">
        <v>66</v>
      </c>
      <c r="X459">
        <v>39270</v>
      </c>
      <c r="Y459" s="26">
        <f t="shared" si="7"/>
        <v>167</v>
      </c>
    </row>
    <row r="460" spans="1:25" x14ac:dyDescent="0.25">
      <c r="A460" t="s">
        <v>2134</v>
      </c>
      <c r="B460" t="s">
        <v>2135</v>
      </c>
      <c r="C460" s="22">
        <v>44019</v>
      </c>
      <c r="D460" t="s">
        <v>2014</v>
      </c>
      <c r="E460" t="s">
        <v>2019</v>
      </c>
      <c r="F460" t="s">
        <v>2417</v>
      </c>
      <c r="G460">
        <v>19</v>
      </c>
      <c r="H460">
        <v>12141</v>
      </c>
      <c r="I460">
        <v>1</v>
      </c>
      <c r="J460">
        <v>497</v>
      </c>
      <c r="K460">
        <v>34</v>
      </c>
      <c r="L460">
        <v>17510</v>
      </c>
      <c r="M460">
        <v>2</v>
      </c>
      <c r="N460">
        <v>1286</v>
      </c>
      <c r="O460">
        <v>11</v>
      </c>
      <c r="P460">
        <v>5566</v>
      </c>
      <c r="Q460">
        <v>7</v>
      </c>
      <c r="R460">
        <v>3395</v>
      </c>
      <c r="S460">
        <v>20</v>
      </c>
      <c r="T460">
        <v>11220</v>
      </c>
      <c r="U460">
        <v>24</v>
      </c>
      <c r="V460">
        <v>13440</v>
      </c>
      <c r="W460">
        <v>10</v>
      </c>
      <c r="X460">
        <v>5060</v>
      </c>
      <c r="Y460" s="26">
        <f t="shared" si="7"/>
        <v>128</v>
      </c>
    </row>
    <row r="461" spans="1:25" x14ac:dyDescent="0.25">
      <c r="A461" t="s">
        <v>2136</v>
      </c>
      <c r="B461" t="s">
        <v>2137</v>
      </c>
      <c r="C461" s="22">
        <v>43098</v>
      </c>
      <c r="D461" t="s">
        <v>2014</v>
      </c>
      <c r="E461" t="s">
        <v>2015</v>
      </c>
      <c r="F461" t="s">
        <v>2417</v>
      </c>
      <c r="G461">
        <v>26</v>
      </c>
      <c r="H461">
        <v>13052</v>
      </c>
      <c r="I461">
        <v>12</v>
      </c>
      <c r="J461">
        <v>6516</v>
      </c>
      <c r="K461">
        <v>9</v>
      </c>
      <c r="L461">
        <v>4266</v>
      </c>
      <c r="M461">
        <v>11</v>
      </c>
      <c r="N461">
        <v>5434</v>
      </c>
      <c r="O461">
        <v>17</v>
      </c>
      <c r="P461">
        <v>8687</v>
      </c>
      <c r="Q461">
        <v>30</v>
      </c>
      <c r="R461">
        <v>18210</v>
      </c>
      <c r="S461">
        <v>10</v>
      </c>
      <c r="T461">
        <v>5640</v>
      </c>
      <c r="U461">
        <v>54</v>
      </c>
      <c r="V461">
        <v>25164</v>
      </c>
      <c r="W461">
        <v>10</v>
      </c>
      <c r="X461">
        <v>5200</v>
      </c>
      <c r="Y461" s="26">
        <f t="shared" si="7"/>
        <v>179</v>
      </c>
    </row>
    <row r="462" spans="1:25" x14ac:dyDescent="0.25">
      <c r="A462" t="s">
        <v>2138</v>
      </c>
      <c r="B462" t="s">
        <v>2139</v>
      </c>
      <c r="C462" s="22">
        <v>43766</v>
      </c>
      <c r="D462" t="s">
        <v>2026</v>
      </c>
      <c r="E462" t="s">
        <v>2027</v>
      </c>
      <c r="F462" t="s">
        <v>2417</v>
      </c>
      <c r="G462">
        <v>24</v>
      </c>
      <c r="H462">
        <v>12936</v>
      </c>
      <c r="I462">
        <v>0</v>
      </c>
      <c r="J462">
        <v>0</v>
      </c>
      <c r="K462">
        <v>4</v>
      </c>
      <c r="L462">
        <v>1980</v>
      </c>
      <c r="M462">
        <v>12</v>
      </c>
      <c r="N462">
        <v>6672</v>
      </c>
      <c r="O462">
        <v>20</v>
      </c>
      <c r="P462">
        <v>9160</v>
      </c>
      <c r="Q462">
        <v>1</v>
      </c>
      <c r="R462">
        <v>605</v>
      </c>
      <c r="S462">
        <v>24</v>
      </c>
      <c r="T462">
        <v>12744</v>
      </c>
      <c r="U462">
        <v>1</v>
      </c>
      <c r="V462">
        <v>482</v>
      </c>
      <c r="W462">
        <v>8</v>
      </c>
      <c r="X462">
        <v>3872</v>
      </c>
      <c r="Y462" s="26">
        <f t="shared" si="7"/>
        <v>94</v>
      </c>
    </row>
    <row r="463" spans="1:25" x14ac:dyDescent="0.25">
      <c r="A463" t="s">
        <v>2140</v>
      </c>
      <c r="B463" t="s">
        <v>2141</v>
      </c>
      <c r="C463" s="22">
        <v>43330</v>
      </c>
      <c r="D463" t="s">
        <v>2014</v>
      </c>
      <c r="E463" t="s">
        <v>2027</v>
      </c>
      <c r="F463" t="s">
        <v>2417</v>
      </c>
      <c r="G463">
        <v>8</v>
      </c>
      <c r="H463">
        <v>4264</v>
      </c>
      <c r="I463">
        <v>16</v>
      </c>
      <c r="J463">
        <v>8272</v>
      </c>
      <c r="K463">
        <v>11</v>
      </c>
      <c r="L463">
        <v>6248</v>
      </c>
      <c r="M463">
        <v>2</v>
      </c>
      <c r="N463">
        <v>1096</v>
      </c>
      <c r="O463">
        <v>3</v>
      </c>
      <c r="P463">
        <v>1716</v>
      </c>
      <c r="Q463">
        <v>0</v>
      </c>
      <c r="R463">
        <v>0</v>
      </c>
      <c r="S463">
        <v>3</v>
      </c>
      <c r="T463">
        <v>1506</v>
      </c>
      <c r="U463">
        <v>29</v>
      </c>
      <c r="V463">
        <v>16791</v>
      </c>
      <c r="W463">
        <v>7</v>
      </c>
      <c r="X463">
        <v>3479</v>
      </c>
      <c r="Y463" s="26">
        <f t="shared" si="7"/>
        <v>79</v>
      </c>
    </row>
    <row r="464" spans="1:25" x14ac:dyDescent="0.25">
      <c r="A464" t="s">
        <v>2142</v>
      </c>
      <c r="B464" t="s">
        <v>2143</v>
      </c>
      <c r="C464" s="22">
        <v>42717</v>
      </c>
      <c r="D464" t="s">
        <v>2014</v>
      </c>
      <c r="E464" t="s">
        <v>2019</v>
      </c>
      <c r="F464" t="s">
        <v>2417</v>
      </c>
      <c r="G464">
        <v>29</v>
      </c>
      <c r="H464">
        <v>16588</v>
      </c>
      <c r="I464">
        <v>4</v>
      </c>
      <c r="J464">
        <v>1804</v>
      </c>
      <c r="K464">
        <v>4</v>
      </c>
      <c r="L464">
        <v>2408</v>
      </c>
      <c r="M464">
        <v>38</v>
      </c>
      <c r="N464">
        <v>17480</v>
      </c>
      <c r="O464">
        <v>14</v>
      </c>
      <c r="P464">
        <v>6594</v>
      </c>
      <c r="Q464">
        <v>13</v>
      </c>
      <c r="R464">
        <v>6422</v>
      </c>
      <c r="S464">
        <v>3</v>
      </c>
      <c r="T464">
        <v>1431</v>
      </c>
      <c r="U464">
        <v>13</v>
      </c>
      <c r="V464">
        <v>7033</v>
      </c>
      <c r="W464">
        <v>22</v>
      </c>
      <c r="X464">
        <v>14058</v>
      </c>
      <c r="Y464" s="26">
        <f t="shared" si="7"/>
        <v>140</v>
      </c>
    </row>
    <row r="465" spans="1:25" x14ac:dyDescent="0.25">
      <c r="A465" t="s">
        <v>2144</v>
      </c>
      <c r="B465" t="s">
        <v>2145</v>
      </c>
      <c r="C465" s="22">
        <v>42436</v>
      </c>
      <c r="D465" t="s">
        <v>2026</v>
      </c>
      <c r="E465" t="s">
        <v>2019</v>
      </c>
      <c r="F465" t="s">
        <v>2417</v>
      </c>
      <c r="G465">
        <v>3</v>
      </c>
      <c r="H465">
        <v>1857</v>
      </c>
      <c r="I465">
        <v>2</v>
      </c>
      <c r="J465">
        <v>1288</v>
      </c>
      <c r="K465">
        <v>46</v>
      </c>
      <c r="L465">
        <v>24196</v>
      </c>
      <c r="M465">
        <v>1</v>
      </c>
      <c r="N465">
        <v>537</v>
      </c>
      <c r="O465">
        <v>6</v>
      </c>
      <c r="P465">
        <v>3270</v>
      </c>
      <c r="Q465">
        <v>23</v>
      </c>
      <c r="R465">
        <v>12374</v>
      </c>
      <c r="S465">
        <v>14</v>
      </c>
      <c r="T465">
        <v>6482</v>
      </c>
      <c r="U465">
        <v>30</v>
      </c>
      <c r="V465">
        <v>13590</v>
      </c>
      <c r="W465">
        <v>9</v>
      </c>
      <c r="X465">
        <v>4311</v>
      </c>
      <c r="Y465" s="26">
        <f t="shared" si="7"/>
        <v>134</v>
      </c>
    </row>
    <row r="466" spans="1:25" x14ac:dyDescent="0.25">
      <c r="A466" t="s">
        <v>2146</v>
      </c>
      <c r="B466" t="s">
        <v>2147</v>
      </c>
      <c r="C466" s="22">
        <v>42724</v>
      </c>
      <c r="D466" t="s">
        <v>2026</v>
      </c>
      <c r="E466" t="s">
        <v>2015</v>
      </c>
      <c r="F466" t="s">
        <v>2417</v>
      </c>
      <c r="G466">
        <v>40</v>
      </c>
      <c r="H466">
        <v>20480</v>
      </c>
      <c r="I466">
        <v>5</v>
      </c>
      <c r="J466">
        <v>2475</v>
      </c>
      <c r="K466">
        <v>19</v>
      </c>
      <c r="L466">
        <v>9044</v>
      </c>
      <c r="M466">
        <v>7</v>
      </c>
      <c r="N466">
        <v>4550</v>
      </c>
      <c r="O466">
        <v>5</v>
      </c>
      <c r="P466">
        <v>3190</v>
      </c>
      <c r="Q466">
        <v>7</v>
      </c>
      <c r="R466">
        <v>3150</v>
      </c>
      <c r="S466">
        <v>6</v>
      </c>
      <c r="T466">
        <v>2862</v>
      </c>
      <c r="U466">
        <v>4</v>
      </c>
      <c r="V466">
        <v>2148</v>
      </c>
      <c r="W466">
        <v>1</v>
      </c>
      <c r="X466">
        <v>613</v>
      </c>
      <c r="Y466" s="26">
        <f t="shared" si="7"/>
        <v>94</v>
      </c>
    </row>
    <row r="467" spans="1:25" x14ac:dyDescent="0.25">
      <c r="A467" t="s">
        <v>2148</v>
      </c>
      <c r="B467" t="s">
        <v>2149</v>
      </c>
      <c r="C467" s="22">
        <v>44050</v>
      </c>
      <c r="D467" t="s">
        <v>2014</v>
      </c>
      <c r="E467" t="s">
        <v>2015</v>
      </c>
      <c r="F467" t="s">
        <v>2417</v>
      </c>
      <c r="G467">
        <v>24</v>
      </c>
      <c r="H467">
        <v>12192</v>
      </c>
      <c r="I467">
        <v>70</v>
      </c>
      <c r="J467">
        <v>35910</v>
      </c>
      <c r="K467">
        <v>8</v>
      </c>
      <c r="L467">
        <v>4832</v>
      </c>
      <c r="M467">
        <v>25</v>
      </c>
      <c r="N467">
        <v>12225</v>
      </c>
      <c r="O467">
        <v>2</v>
      </c>
      <c r="P467">
        <v>1220</v>
      </c>
      <c r="Q467">
        <v>0</v>
      </c>
      <c r="R467">
        <v>0</v>
      </c>
      <c r="S467">
        <v>6</v>
      </c>
      <c r="T467">
        <v>3426</v>
      </c>
      <c r="U467">
        <v>10</v>
      </c>
      <c r="V467">
        <v>5660</v>
      </c>
      <c r="W467">
        <v>13</v>
      </c>
      <c r="X467">
        <v>7852</v>
      </c>
      <c r="Y467" s="26">
        <f t="shared" si="7"/>
        <v>158</v>
      </c>
    </row>
    <row r="468" spans="1:25" x14ac:dyDescent="0.25">
      <c r="A468" t="s">
        <v>2150</v>
      </c>
      <c r="B468" t="s">
        <v>2151</v>
      </c>
      <c r="C468" s="22">
        <v>42244</v>
      </c>
      <c r="D468" t="s">
        <v>2014</v>
      </c>
      <c r="E468" t="s">
        <v>2015</v>
      </c>
      <c r="F468" t="s">
        <v>2417</v>
      </c>
      <c r="G468">
        <v>2</v>
      </c>
      <c r="H468">
        <v>988</v>
      </c>
      <c r="I468">
        <v>12</v>
      </c>
      <c r="J468">
        <v>6504</v>
      </c>
      <c r="K468">
        <v>66</v>
      </c>
      <c r="L468">
        <v>29832</v>
      </c>
      <c r="M468">
        <v>0</v>
      </c>
      <c r="N468">
        <v>0</v>
      </c>
      <c r="O468">
        <v>1</v>
      </c>
      <c r="P468">
        <v>588</v>
      </c>
      <c r="Q468">
        <v>1</v>
      </c>
      <c r="R468">
        <v>490</v>
      </c>
      <c r="S468">
        <v>10</v>
      </c>
      <c r="T468">
        <v>5230</v>
      </c>
      <c r="U468">
        <v>1</v>
      </c>
      <c r="V468">
        <v>648</v>
      </c>
      <c r="W468">
        <v>52</v>
      </c>
      <c r="X468">
        <v>28444</v>
      </c>
      <c r="Y468" s="26">
        <f t="shared" si="7"/>
        <v>145</v>
      </c>
    </row>
    <row r="469" spans="1:25" x14ac:dyDescent="0.25">
      <c r="A469" t="s">
        <v>2152</v>
      </c>
      <c r="B469" t="s">
        <v>2153</v>
      </c>
      <c r="C469" s="22">
        <v>42356</v>
      </c>
      <c r="D469" t="s">
        <v>2026</v>
      </c>
      <c r="E469" t="s">
        <v>2019</v>
      </c>
      <c r="F469" t="s">
        <v>2417</v>
      </c>
      <c r="G469">
        <v>9</v>
      </c>
      <c r="H469">
        <v>4212</v>
      </c>
      <c r="I469">
        <v>11</v>
      </c>
      <c r="J469">
        <v>6776</v>
      </c>
      <c r="K469">
        <v>1</v>
      </c>
      <c r="L469">
        <v>569</v>
      </c>
      <c r="M469">
        <v>18</v>
      </c>
      <c r="N469">
        <v>10764</v>
      </c>
      <c r="O469">
        <v>3</v>
      </c>
      <c r="P469">
        <v>1848</v>
      </c>
      <c r="Q469">
        <v>17</v>
      </c>
      <c r="R469">
        <v>8568</v>
      </c>
      <c r="S469">
        <v>22</v>
      </c>
      <c r="T469">
        <v>11946</v>
      </c>
      <c r="U469">
        <v>4</v>
      </c>
      <c r="V469">
        <v>1912</v>
      </c>
      <c r="W469">
        <v>30</v>
      </c>
      <c r="X469">
        <v>18450</v>
      </c>
      <c r="Y469" s="26">
        <f t="shared" si="7"/>
        <v>115</v>
      </c>
    </row>
    <row r="470" spans="1:25" x14ac:dyDescent="0.25">
      <c r="A470" t="s">
        <v>2154</v>
      </c>
      <c r="B470" t="s">
        <v>2155</v>
      </c>
      <c r="C470" s="22">
        <v>42647</v>
      </c>
      <c r="D470" t="s">
        <v>2026</v>
      </c>
      <c r="E470" t="s">
        <v>2019</v>
      </c>
      <c r="F470" t="s">
        <v>2417</v>
      </c>
      <c r="G470">
        <v>1</v>
      </c>
      <c r="H470">
        <v>536</v>
      </c>
      <c r="I470">
        <v>4</v>
      </c>
      <c r="J470">
        <v>2212</v>
      </c>
      <c r="K470">
        <v>5</v>
      </c>
      <c r="L470">
        <v>2350</v>
      </c>
      <c r="M470">
        <v>1</v>
      </c>
      <c r="N470">
        <v>628</v>
      </c>
      <c r="O470">
        <v>3</v>
      </c>
      <c r="P470">
        <v>1770</v>
      </c>
      <c r="Q470">
        <v>10</v>
      </c>
      <c r="R470">
        <v>5850</v>
      </c>
      <c r="S470">
        <v>3</v>
      </c>
      <c r="T470">
        <v>1467</v>
      </c>
      <c r="U470">
        <v>5</v>
      </c>
      <c r="V470">
        <v>2610</v>
      </c>
      <c r="W470">
        <v>20</v>
      </c>
      <c r="X470">
        <v>10800</v>
      </c>
      <c r="Y470" s="26">
        <f t="shared" si="7"/>
        <v>52</v>
      </c>
    </row>
    <row r="471" spans="1:25" x14ac:dyDescent="0.25">
      <c r="A471" t="s">
        <v>2156</v>
      </c>
      <c r="B471" t="s">
        <v>2157</v>
      </c>
      <c r="C471" s="22">
        <v>42754</v>
      </c>
      <c r="D471" t="s">
        <v>2026</v>
      </c>
      <c r="E471" t="s">
        <v>2019</v>
      </c>
      <c r="F471" t="s">
        <v>2417</v>
      </c>
      <c r="G471">
        <v>18</v>
      </c>
      <c r="H471">
        <v>8658</v>
      </c>
      <c r="I471">
        <v>3</v>
      </c>
      <c r="J471">
        <v>1446</v>
      </c>
      <c r="K471">
        <v>9</v>
      </c>
      <c r="L471">
        <v>5562</v>
      </c>
      <c r="M471">
        <v>10</v>
      </c>
      <c r="N471">
        <v>6430</v>
      </c>
      <c r="O471">
        <v>4</v>
      </c>
      <c r="P471">
        <v>2088</v>
      </c>
      <c r="Q471">
        <v>9</v>
      </c>
      <c r="R471">
        <v>5499</v>
      </c>
      <c r="S471">
        <v>1</v>
      </c>
      <c r="T471">
        <v>600</v>
      </c>
      <c r="U471">
        <v>11</v>
      </c>
      <c r="V471">
        <v>6930</v>
      </c>
      <c r="W471">
        <v>39</v>
      </c>
      <c r="X471">
        <v>24297</v>
      </c>
      <c r="Y471" s="26">
        <f t="shared" si="7"/>
        <v>104</v>
      </c>
    </row>
    <row r="472" spans="1:25" x14ac:dyDescent="0.25">
      <c r="A472" t="s">
        <v>2158</v>
      </c>
      <c r="B472" t="s">
        <v>2159</v>
      </c>
      <c r="C472" s="22">
        <v>42790</v>
      </c>
      <c r="D472" t="s">
        <v>2026</v>
      </c>
      <c r="E472" t="s">
        <v>2027</v>
      </c>
      <c r="F472" t="s">
        <v>2417</v>
      </c>
      <c r="G472">
        <v>3</v>
      </c>
      <c r="H472">
        <v>1377</v>
      </c>
      <c r="I472">
        <v>1</v>
      </c>
      <c r="J472">
        <v>548</v>
      </c>
      <c r="K472">
        <v>2</v>
      </c>
      <c r="L472">
        <v>986</v>
      </c>
      <c r="M472">
        <v>1</v>
      </c>
      <c r="N472">
        <v>548</v>
      </c>
      <c r="O472">
        <v>6</v>
      </c>
      <c r="P472">
        <v>2844</v>
      </c>
      <c r="Q472">
        <v>0</v>
      </c>
      <c r="R472">
        <v>0</v>
      </c>
      <c r="S472">
        <v>13</v>
      </c>
      <c r="T472">
        <v>5928</v>
      </c>
      <c r="U472">
        <v>4</v>
      </c>
      <c r="V472">
        <v>2140</v>
      </c>
      <c r="W472">
        <v>8</v>
      </c>
      <c r="X472">
        <v>4720</v>
      </c>
      <c r="Y472" s="26">
        <f t="shared" si="7"/>
        <v>38</v>
      </c>
    </row>
    <row r="473" spans="1:25" x14ac:dyDescent="0.25">
      <c r="A473" t="s">
        <v>2160</v>
      </c>
      <c r="B473" t="s">
        <v>2161</v>
      </c>
      <c r="C473" s="22">
        <v>42526</v>
      </c>
      <c r="D473" t="s">
        <v>2014</v>
      </c>
      <c r="E473" t="s">
        <v>2019</v>
      </c>
      <c r="F473" t="s">
        <v>2417</v>
      </c>
      <c r="G473">
        <v>3</v>
      </c>
      <c r="H473">
        <v>1404</v>
      </c>
      <c r="I473">
        <v>8</v>
      </c>
      <c r="J473">
        <v>5088</v>
      </c>
      <c r="K473">
        <v>12</v>
      </c>
      <c r="L473">
        <v>7332</v>
      </c>
      <c r="M473">
        <v>10</v>
      </c>
      <c r="N473">
        <v>4730</v>
      </c>
      <c r="O473">
        <v>29</v>
      </c>
      <c r="P473">
        <v>14152</v>
      </c>
      <c r="Q473">
        <v>30</v>
      </c>
      <c r="R473">
        <v>15300</v>
      </c>
      <c r="S473">
        <v>15</v>
      </c>
      <c r="T473">
        <v>8535</v>
      </c>
      <c r="U473">
        <v>32</v>
      </c>
      <c r="V473">
        <v>20064</v>
      </c>
      <c r="W473">
        <v>33</v>
      </c>
      <c r="X473">
        <v>16236</v>
      </c>
      <c r="Y473" s="26">
        <f t="shared" si="7"/>
        <v>172</v>
      </c>
    </row>
    <row r="474" spans="1:25" x14ac:dyDescent="0.25">
      <c r="A474" t="s">
        <v>2162</v>
      </c>
      <c r="B474" t="s">
        <v>2163</v>
      </c>
      <c r="C474" s="22">
        <v>42594</v>
      </c>
      <c r="D474" t="s">
        <v>2014</v>
      </c>
      <c r="E474" t="s">
        <v>2015</v>
      </c>
      <c r="F474" t="s">
        <v>2417</v>
      </c>
      <c r="G474">
        <v>30</v>
      </c>
      <c r="H474">
        <v>18540</v>
      </c>
      <c r="I474">
        <v>0</v>
      </c>
      <c r="J474">
        <v>0</v>
      </c>
      <c r="K474">
        <v>27</v>
      </c>
      <c r="L474">
        <v>15228</v>
      </c>
      <c r="M474">
        <v>0</v>
      </c>
      <c r="N474">
        <v>0</v>
      </c>
      <c r="O474">
        <v>2</v>
      </c>
      <c r="P474">
        <v>946</v>
      </c>
      <c r="Q474">
        <v>2</v>
      </c>
      <c r="R474">
        <v>1156</v>
      </c>
      <c r="S474">
        <v>12</v>
      </c>
      <c r="T474">
        <v>7800</v>
      </c>
      <c r="U474">
        <v>23</v>
      </c>
      <c r="V474">
        <v>13708</v>
      </c>
      <c r="W474">
        <v>21</v>
      </c>
      <c r="X474">
        <v>12873</v>
      </c>
      <c r="Y474" s="26">
        <f t="shared" si="7"/>
        <v>117</v>
      </c>
    </row>
    <row r="475" spans="1:25" x14ac:dyDescent="0.25">
      <c r="A475" t="s">
        <v>2164</v>
      </c>
      <c r="B475" t="s">
        <v>2165</v>
      </c>
      <c r="C475" s="22">
        <v>42340</v>
      </c>
      <c r="D475" t="s">
        <v>2014</v>
      </c>
      <c r="E475" t="s">
        <v>2015</v>
      </c>
      <c r="F475" t="s">
        <v>2417</v>
      </c>
      <c r="G475">
        <v>15</v>
      </c>
      <c r="H475">
        <v>7890</v>
      </c>
      <c r="I475">
        <v>2</v>
      </c>
      <c r="J475">
        <v>1032</v>
      </c>
      <c r="K475">
        <v>20</v>
      </c>
      <c r="L475">
        <v>11640</v>
      </c>
      <c r="M475">
        <v>14</v>
      </c>
      <c r="N475">
        <v>7434</v>
      </c>
      <c r="O475">
        <v>2</v>
      </c>
      <c r="P475">
        <v>974</v>
      </c>
      <c r="Q475">
        <v>66</v>
      </c>
      <c r="R475">
        <v>32010</v>
      </c>
      <c r="S475">
        <v>32</v>
      </c>
      <c r="T475">
        <v>15904</v>
      </c>
      <c r="U475">
        <v>20</v>
      </c>
      <c r="V475">
        <v>11800</v>
      </c>
      <c r="W475">
        <v>2</v>
      </c>
      <c r="X475">
        <v>1106</v>
      </c>
      <c r="Y475" s="26">
        <f t="shared" si="7"/>
        <v>173</v>
      </c>
    </row>
    <row r="476" spans="1:25" x14ac:dyDescent="0.25">
      <c r="A476" t="s">
        <v>2166</v>
      </c>
      <c r="B476" t="s">
        <v>2167</v>
      </c>
      <c r="C476" s="22">
        <v>43226</v>
      </c>
      <c r="D476" t="s">
        <v>2026</v>
      </c>
      <c r="E476" t="s">
        <v>2019</v>
      </c>
      <c r="F476" t="s">
        <v>2417</v>
      </c>
      <c r="G476">
        <v>1</v>
      </c>
      <c r="H476">
        <v>593</v>
      </c>
      <c r="I476">
        <v>3</v>
      </c>
      <c r="J476">
        <v>1641</v>
      </c>
      <c r="K476">
        <v>28</v>
      </c>
      <c r="L476">
        <v>17164</v>
      </c>
      <c r="M476">
        <v>5</v>
      </c>
      <c r="N476">
        <v>3095</v>
      </c>
      <c r="O476">
        <v>32</v>
      </c>
      <c r="P476">
        <v>16800</v>
      </c>
      <c r="Q476">
        <v>10</v>
      </c>
      <c r="R476">
        <v>5910</v>
      </c>
      <c r="S476">
        <v>0</v>
      </c>
      <c r="T476">
        <v>0</v>
      </c>
      <c r="U476">
        <v>6</v>
      </c>
      <c r="V476">
        <v>2838</v>
      </c>
      <c r="W476">
        <v>8</v>
      </c>
      <c r="X476">
        <v>4920</v>
      </c>
      <c r="Y476" s="26">
        <f t="shared" si="7"/>
        <v>93</v>
      </c>
    </row>
    <row r="477" spans="1:25" x14ac:dyDescent="0.25">
      <c r="A477" t="s">
        <v>2168</v>
      </c>
      <c r="B477" t="s">
        <v>2169</v>
      </c>
      <c r="C477" s="22">
        <v>43852</v>
      </c>
      <c r="D477" t="s">
        <v>2026</v>
      </c>
      <c r="E477" t="s">
        <v>2027</v>
      </c>
      <c r="F477" t="s">
        <v>2417</v>
      </c>
      <c r="G477">
        <v>8</v>
      </c>
      <c r="H477">
        <v>4632</v>
      </c>
      <c r="I477">
        <v>9</v>
      </c>
      <c r="J477">
        <v>4185</v>
      </c>
      <c r="K477">
        <v>34</v>
      </c>
      <c r="L477">
        <v>15708</v>
      </c>
      <c r="M477">
        <v>6</v>
      </c>
      <c r="N477">
        <v>2784</v>
      </c>
      <c r="O477">
        <v>13</v>
      </c>
      <c r="P477">
        <v>7072</v>
      </c>
      <c r="Q477">
        <v>6</v>
      </c>
      <c r="R477">
        <v>3666</v>
      </c>
      <c r="S477">
        <v>41</v>
      </c>
      <c r="T477">
        <v>22673</v>
      </c>
      <c r="U477">
        <v>2</v>
      </c>
      <c r="V477">
        <v>1162</v>
      </c>
      <c r="W477">
        <v>19</v>
      </c>
      <c r="X477">
        <v>11419</v>
      </c>
      <c r="Y477" s="26">
        <f t="shared" si="7"/>
        <v>138</v>
      </c>
    </row>
    <row r="478" spans="1:25" x14ac:dyDescent="0.25">
      <c r="A478" t="s">
        <v>2170</v>
      </c>
      <c r="B478" t="s">
        <v>2171</v>
      </c>
      <c r="C478" s="22">
        <v>43650</v>
      </c>
      <c r="D478" t="s">
        <v>2014</v>
      </c>
      <c r="E478" t="s">
        <v>2019</v>
      </c>
      <c r="F478" t="s">
        <v>2417</v>
      </c>
      <c r="G478">
        <v>36</v>
      </c>
      <c r="H478">
        <v>18900</v>
      </c>
      <c r="I478">
        <v>1</v>
      </c>
      <c r="J478">
        <v>626</v>
      </c>
      <c r="K478">
        <v>18</v>
      </c>
      <c r="L478">
        <v>10620</v>
      </c>
      <c r="M478">
        <v>3</v>
      </c>
      <c r="N478">
        <v>1641</v>
      </c>
      <c r="O478">
        <v>3</v>
      </c>
      <c r="P478">
        <v>1599</v>
      </c>
      <c r="Q478">
        <v>10</v>
      </c>
      <c r="R478">
        <v>5430</v>
      </c>
      <c r="S478">
        <v>33</v>
      </c>
      <c r="T478">
        <v>18414</v>
      </c>
      <c r="U478">
        <v>22</v>
      </c>
      <c r="V478">
        <v>13442</v>
      </c>
      <c r="W478">
        <v>34</v>
      </c>
      <c r="X478">
        <v>21352</v>
      </c>
      <c r="Y478" s="26">
        <f t="shared" si="7"/>
        <v>160</v>
      </c>
    </row>
    <row r="479" spans="1:25" x14ac:dyDescent="0.25">
      <c r="A479" t="s">
        <v>2172</v>
      </c>
      <c r="B479" t="s">
        <v>2173</v>
      </c>
      <c r="C479" s="22">
        <v>43537</v>
      </c>
      <c r="D479" t="s">
        <v>2026</v>
      </c>
      <c r="E479" t="s">
        <v>2015</v>
      </c>
      <c r="F479" t="s">
        <v>2417</v>
      </c>
      <c r="G479">
        <v>4</v>
      </c>
      <c r="H479">
        <v>2088</v>
      </c>
      <c r="I479">
        <v>3</v>
      </c>
      <c r="J479">
        <v>1719</v>
      </c>
      <c r="K479">
        <v>9</v>
      </c>
      <c r="L479">
        <v>4230</v>
      </c>
      <c r="M479">
        <v>28</v>
      </c>
      <c r="N479">
        <v>12600</v>
      </c>
      <c r="O479">
        <v>1</v>
      </c>
      <c r="P479">
        <v>500</v>
      </c>
      <c r="Q479">
        <v>4</v>
      </c>
      <c r="R479">
        <v>2000</v>
      </c>
      <c r="S479">
        <v>13</v>
      </c>
      <c r="T479">
        <v>6123</v>
      </c>
      <c r="U479">
        <v>8</v>
      </c>
      <c r="V479">
        <v>4736</v>
      </c>
      <c r="W479">
        <v>1</v>
      </c>
      <c r="X479">
        <v>614</v>
      </c>
      <c r="Y479" s="26">
        <f t="shared" si="7"/>
        <v>71</v>
      </c>
    </row>
    <row r="480" spans="1:25" x14ac:dyDescent="0.25">
      <c r="A480" t="s">
        <v>2174</v>
      </c>
      <c r="B480" t="s">
        <v>2175</v>
      </c>
      <c r="C480" s="22">
        <v>43726</v>
      </c>
      <c r="D480" t="s">
        <v>2014</v>
      </c>
      <c r="E480" t="s">
        <v>2027</v>
      </c>
      <c r="F480" t="s">
        <v>2417</v>
      </c>
      <c r="G480">
        <v>34</v>
      </c>
      <c r="H480">
        <v>15878</v>
      </c>
      <c r="I480">
        <v>1</v>
      </c>
      <c r="J480">
        <v>460</v>
      </c>
      <c r="K480">
        <v>5</v>
      </c>
      <c r="L480">
        <v>2505</v>
      </c>
      <c r="M480">
        <v>6</v>
      </c>
      <c r="N480">
        <v>3708</v>
      </c>
      <c r="O480">
        <v>0</v>
      </c>
      <c r="P480">
        <v>0</v>
      </c>
      <c r="Q480">
        <v>6</v>
      </c>
      <c r="R480">
        <v>3012</v>
      </c>
      <c r="S480">
        <v>0</v>
      </c>
      <c r="T480">
        <v>0</v>
      </c>
      <c r="U480">
        <v>4</v>
      </c>
      <c r="V480">
        <v>2576</v>
      </c>
      <c r="W480">
        <v>12</v>
      </c>
      <c r="X480">
        <v>6432</v>
      </c>
      <c r="Y480" s="26">
        <f t="shared" si="7"/>
        <v>68</v>
      </c>
    </row>
    <row r="481" spans="1:25" x14ac:dyDescent="0.25">
      <c r="A481" t="s">
        <v>2176</v>
      </c>
      <c r="B481" t="s">
        <v>2177</v>
      </c>
      <c r="C481" s="22">
        <v>43937</v>
      </c>
      <c r="D481" t="s">
        <v>2014</v>
      </c>
      <c r="E481" t="s">
        <v>2015</v>
      </c>
      <c r="F481" t="s">
        <v>2417</v>
      </c>
      <c r="G481">
        <v>30</v>
      </c>
      <c r="H481">
        <v>17670</v>
      </c>
      <c r="I481">
        <v>11</v>
      </c>
      <c r="J481">
        <v>6083</v>
      </c>
      <c r="K481">
        <v>6</v>
      </c>
      <c r="L481">
        <v>3522</v>
      </c>
      <c r="M481">
        <v>20</v>
      </c>
      <c r="N481">
        <v>12160</v>
      </c>
      <c r="O481">
        <v>1</v>
      </c>
      <c r="P481">
        <v>481</v>
      </c>
      <c r="Q481">
        <v>0</v>
      </c>
      <c r="R481">
        <v>0</v>
      </c>
      <c r="S481">
        <v>8</v>
      </c>
      <c r="T481">
        <v>4968</v>
      </c>
      <c r="U481">
        <v>26</v>
      </c>
      <c r="V481">
        <v>16432</v>
      </c>
      <c r="W481">
        <v>8</v>
      </c>
      <c r="X481">
        <v>5184</v>
      </c>
      <c r="Y481" s="26">
        <f t="shared" si="7"/>
        <v>110</v>
      </c>
    </row>
    <row r="482" spans="1:25" x14ac:dyDescent="0.25">
      <c r="A482" t="s">
        <v>2178</v>
      </c>
      <c r="B482" t="s">
        <v>2179</v>
      </c>
      <c r="C482" s="22">
        <v>43005</v>
      </c>
      <c r="D482" t="s">
        <v>2026</v>
      </c>
      <c r="E482" t="s">
        <v>2019</v>
      </c>
      <c r="F482" t="s">
        <v>2417</v>
      </c>
      <c r="G482">
        <v>2</v>
      </c>
      <c r="H482">
        <v>1136</v>
      </c>
      <c r="I482">
        <v>4</v>
      </c>
      <c r="J482">
        <v>1980</v>
      </c>
      <c r="K482">
        <v>5</v>
      </c>
      <c r="L482">
        <v>2830</v>
      </c>
      <c r="M482">
        <v>0</v>
      </c>
      <c r="N482">
        <v>0</v>
      </c>
      <c r="O482">
        <v>3</v>
      </c>
      <c r="P482">
        <v>1635</v>
      </c>
      <c r="Q482">
        <v>1</v>
      </c>
      <c r="R482">
        <v>626</v>
      </c>
      <c r="S482">
        <v>1</v>
      </c>
      <c r="T482">
        <v>462</v>
      </c>
      <c r="U482">
        <v>72</v>
      </c>
      <c r="V482">
        <v>33336</v>
      </c>
      <c r="W482">
        <v>9</v>
      </c>
      <c r="X482">
        <v>5121</v>
      </c>
      <c r="Y482" s="26">
        <f t="shared" si="7"/>
        <v>97</v>
      </c>
    </row>
    <row r="483" spans="1:25" x14ac:dyDescent="0.25">
      <c r="A483" t="s">
        <v>2180</v>
      </c>
      <c r="B483" t="s">
        <v>2181</v>
      </c>
      <c r="C483" s="22">
        <v>44155</v>
      </c>
      <c r="D483" t="s">
        <v>2026</v>
      </c>
      <c r="E483" t="s">
        <v>2015</v>
      </c>
      <c r="F483" t="s">
        <v>2417</v>
      </c>
      <c r="G483">
        <v>13</v>
      </c>
      <c r="H483">
        <v>7605</v>
      </c>
      <c r="I483">
        <v>1</v>
      </c>
      <c r="J483">
        <v>589</v>
      </c>
      <c r="K483">
        <v>14</v>
      </c>
      <c r="L483">
        <v>8540</v>
      </c>
      <c r="M483">
        <v>2</v>
      </c>
      <c r="N483">
        <v>1258</v>
      </c>
      <c r="O483">
        <v>11</v>
      </c>
      <c r="P483">
        <v>5533</v>
      </c>
      <c r="Q483">
        <v>29</v>
      </c>
      <c r="R483">
        <v>15225</v>
      </c>
      <c r="S483">
        <v>17</v>
      </c>
      <c r="T483">
        <v>10183</v>
      </c>
      <c r="U483">
        <v>2</v>
      </c>
      <c r="V483">
        <v>1262</v>
      </c>
      <c r="W483">
        <v>0</v>
      </c>
      <c r="X483">
        <v>0</v>
      </c>
      <c r="Y483" s="26">
        <f t="shared" si="7"/>
        <v>89</v>
      </c>
    </row>
    <row r="484" spans="1:25" x14ac:dyDescent="0.25">
      <c r="A484" t="s">
        <v>2182</v>
      </c>
      <c r="B484" t="s">
        <v>2183</v>
      </c>
      <c r="C484" s="22">
        <v>42759</v>
      </c>
      <c r="D484" t="s">
        <v>2014</v>
      </c>
      <c r="E484" t="s">
        <v>2027</v>
      </c>
      <c r="F484" t="s">
        <v>2417</v>
      </c>
      <c r="G484">
        <v>4</v>
      </c>
      <c r="H484">
        <v>2408</v>
      </c>
      <c r="I484">
        <v>6</v>
      </c>
      <c r="J484">
        <v>3534</v>
      </c>
      <c r="K484">
        <v>64</v>
      </c>
      <c r="L484">
        <v>32448</v>
      </c>
      <c r="M484">
        <v>6</v>
      </c>
      <c r="N484">
        <v>2946</v>
      </c>
      <c r="O484">
        <v>0</v>
      </c>
      <c r="P484">
        <v>0</v>
      </c>
      <c r="Q484">
        <v>2</v>
      </c>
      <c r="R484">
        <v>1024</v>
      </c>
      <c r="S484">
        <v>9</v>
      </c>
      <c r="T484">
        <v>5760</v>
      </c>
      <c r="U484">
        <v>1</v>
      </c>
      <c r="V484">
        <v>576</v>
      </c>
      <c r="W484">
        <v>62</v>
      </c>
      <c r="X484">
        <v>29326</v>
      </c>
      <c r="Y484" s="26">
        <f t="shared" si="7"/>
        <v>154</v>
      </c>
    </row>
    <row r="485" spans="1:25" x14ac:dyDescent="0.25">
      <c r="A485" t="s">
        <v>2184</v>
      </c>
      <c r="B485" t="s">
        <v>2185</v>
      </c>
      <c r="C485" s="22">
        <v>43807</v>
      </c>
      <c r="D485" t="s">
        <v>2014</v>
      </c>
      <c r="E485" t="s">
        <v>2027</v>
      </c>
      <c r="F485" t="s">
        <v>2417</v>
      </c>
      <c r="G485">
        <v>0</v>
      </c>
      <c r="H485">
        <v>0</v>
      </c>
      <c r="I485">
        <v>8</v>
      </c>
      <c r="J485">
        <v>5040</v>
      </c>
      <c r="K485">
        <v>11</v>
      </c>
      <c r="L485">
        <v>6259</v>
      </c>
      <c r="M485">
        <v>7</v>
      </c>
      <c r="N485">
        <v>3598</v>
      </c>
      <c r="O485">
        <v>20</v>
      </c>
      <c r="P485">
        <v>10440</v>
      </c>
      <c r="Q485">
        <v>3</v>
      </c>
      <c r="R485">
        <v>1653</v>
      </c>
      <c r="S485">
        <v>4</v>
      </c>
      <c r="T485">
        <v>1828</v>
      </c>
      <c r="U485">
        <v>10</v>
      </c>
      <c r="V485">
        <v>5420</v>
      </c>
      <c r="W485">
        <v>5</v>
      </c>
      <c r="X485">
        <v>3200</v>
      </c>
      <c r="Y485" s="26">
        <f t="shared" si="7"/>
        <v>68</v>
      </c>
    </row>
    <row r="486" spans="1:25" x14ac:dyDescent="0.25">
      <c r="A486" t="s">
        <v>2186</v>
      </c>
      <c r="B486" t="s">
        <v>2187</v>
      </c>
      <c r="C486" s="22">
        <v>43126</v>
      </c>
      <c r="D486" t="s">
        <v>2014</v>
      </c>
      <c r="E486" t="s">
        <v>2027</v>
      </c>
      <c r="F486" t="s">
        <v>2417</v>
      </c>
      <c r="G486">
        <v>0</v>
      </c>
      <c r="H486">
        <v>0</v>
      </c>
      <c r="I486">
        <v>30</v>
      </c>
      <c r="J486">
        <v>18900</v>
      </c>
      <c r="K486">
        <v>7</v>
      </c>
      <c r="L486">
        <v>3654</v>
      </c>
      <c r="M486">
        <v>15</v>
      </c>
      <c r="N486">
        <v>9570</v>
      </c>
      <c r="O486">
        <v>4</v>
      </c>
      <c r="P486">
        <v>1812</v>
      </c>
      <c r="Q486">
        <v>4</v>
      </c>
      <c r="R486">
        <v>2092</v>
      </c>
      <c r="S486">
        <v>2</v>
      </c>
      <c r="T486">
        <v>1286</v>
      </c>
      <c r="U486">
        <v>36</v>
      </c>
      <c r="V486">
        <v>17424</v>
      </c>
      <c r="W486">
        <v>5</v>
      </c>
      <c r="X486">
        <v>2465</v>
      </c>
      <c r="Y486" s="26">
        <f t="shared" si="7"/>
        <v>103</v>
      </c>
    </row>
    <row r="487" spans="1:25" x14ac:dyDescent="0.25">
      <c r="A487" t="s">
        <v>2188</v>
      </c>
      <c r="B487" t="s">
        <v>2189</v>
      </c>
      <c r="C487" s="22">
        <v>43126</v>
      </c>
      <c r="D487" t="s">
        <v>2014</v>
      </c>
      <c r="E487" t="s">
        <v>2015</v>
      </c>
      <c r="F487" t="s">
        <v>2417</v>
      </c>
      <c r="G487">
        <v>25</v>
      </c>
      <c r="H487">
        <v>12525</v>
      </c>
      <c r="I487">
        <v>19</v>
      </c>
      <c r="J487">
        <v>10203</v>
      </c>
      <c r="K487">
        <v>1</v>
      </c>
      <c r="L487">
        <v>473</v>
      </c>
      <c r="M487">
        <v>14</v>
      </c>
      <c r="N487">
        <v>8260</v>
      </c>
      <c r="O487">
        <v>31</v>
      </c>
      <c r="P487">
        <v>18197</v>
      </c>
      <c r="Q487">
        <v>3</v>
      </c>
      <c r="R487">
        <v>1575</v>
      </c>
      <c r="S487">
        <v>18</v>
      </c>
      <c r="T487">
        <v>8604</v>
      </c>
      <c r="U487">
        <v>10</v>
      </c>
      <c r="V487">
        <v>6090</v>
      </c>
      <c r="W487">
        <v>16</v>
      </c>
      <c r="X487">
        <v>9888</v>
      </c>
      <c r="Y487" s="26">
        <f t="shared" si="7"/>
        <v>137</v>
      </c>
    </row>
    <row r="488" spans="1:25" x14ac:dyDescent="0.25">
      <c r="A488" t="s">
        <v>2190</v>
      </c>
      <c r="B488" t="s">
        <v>2191</v>
      </c>
      <c r="C488" s="22">
        <v>44068</v>
      </c>
      <c r="D488" t="s">
        <v>2014</v>
      </c>
      <c r="E488" t="s">
        <v>2027</v>
      </c>
      <c r="F488" t="s">
        <v>2417</v>
      </c>
      <c r="G488">
        <v>12</v>
      </c>
      <c r="H488">
        <v>7044</v>
      </c>
      <c r="I488">
        <v>2</v>
      </c>
      <c r="J488">
        <v>988</v>
      </c>
      <c r="K488">
        <v>4</v>
      </c>
      <c r="L488">
        <v>2416</v>
      </c>
      <c r="M488">
        <v>11</v>
      </c>
      <c r="N488">
        <v>6699</v>
      </c>
      <c r="O488">
        <v>11</v>
      </c>
      <c r="P488">
        <v>6303</v>
      </c>
      <c r="Q488">
        <v>11</v>
      </c>
      <c r="R488">
        <v>4983</v>
      </c>
      <c r="S488">
        <v>2</v>
      </c>
      <c r="T488">
        <v>1272</v>
      </c>
      <c r="U488">
        <v>0</v>
      </c>
      <c r="V488">
        <v>0</v>
      </c>
      <c r="W488">
        <v>19</v>
      </c>
      <c r="X488">
        <v>11780</v>
      </c>
      <c r="Y488" s="26">
        <f t="shared" si="7"/>
        <v>72</v>
      </c>
    </row>
    <row r="489" spans="1:25" x14ac:dyDescent="0.25">
      <c r="A489" t="s">
        <v>2192</v>
      </c>
      <c r="B489" t="s">
        <v>2193</v>
      </c>
      <c r="C489" s="22">
        <v>43227</v>
      </c>
      <c r="D489" t="s">
        <v>2026</v>
      </c>
      <c r="E489" t="s">
        <v>2019</v>
      </c>
      <c r="F489" t="s">
        <v>2417</v>
      </c>
      <c r="G489">
        <v>3</v>
      </c>
      <c r="H489">
        <v>1446</v>
      </c>
      <c r="I489">
        <v>26</v>
      </c>
      <c r="J489">
        <v>16328</v>
      </c>
      <c r="K489">
        <v>54</v>
      </c>
      <c r="L489">
        <v>34992</v>
      </c>
      <c r="M489">
        <v>44</v>
      </c>
      <c r="N489">
        <v>21912</v>
      </c>
      <c r="O489">
        <v>2</v>
      </c>
      <c r="P489">
        <v>1186</v>
      </c>
      <c r="Q489">
        <v>0</v>
      </c>
      <c r="R489">
        <v>0</v>
      </c>
      <c r="S489">
        <v>13</v>
      </c>
      <c r="T489">
        <v>6383</v>
      </c>
      <c r="U489">
        <v>0</v>
      </c>
      <c r="V489">
        <v>0</v>
      </c>
      <c r="W489">
        <v>29</v>
      </c>
      <c r="X489">
        <v>17661</v>
      </c>
      <c r="Y489" s="26">
        <f t="shared" si="7"/>
        <v>171</v>
      </c>
    </row>
    <row r="490" spans="1:25" x14ac:dyDescent="0.25">
      <c r="A490" t="s">
        <v>2194</v>
      </c>
      <c r="B490" t="s">
        <v>2195</v>
      </c>
      <c r="C490" s="22">
        <v>42125</v>
      </c>
      <c r="D490" t="s">
        <v>2026</v>
      </c>
      <c r="E490" t="s">
        <v>2027</v>
      </c>
      <c r="F490" t="s">
        <v>2417</v>
      </c>
      <c r="G490">
        <v>23</v>
      </c>
      <c r="H490">
        <v>13202</v>
      </c>
      <c r="I490">
        <v>1</v>
      </c>
      <c r="J490">
        <v>451</v>
      </c>
      <c r="K490">
        <v>65</v>
      </c>
      <c r="L490">
        <v>37505</v>
      </c>
      <c r="M490">
        <v>1</v>
      </c>
      <c r="N490">
        <v>505</v>
      </c>
      <c r="O490">
        <v>5</v>
      </c>
      <c r="P490">
        <v>2310</v>
      </c>
      <c r="Q490">
        <v>0</v>
      </c>
      <c r="R490">
        <v>0</v>
      </c>
      <c r="S490">
        <v>0</v>
      </c>
      <c r="T490">
        <v>0</v>
      </c>
      <c r="U490">
        <v>48</v>
      </c>
      <c r="V490">
        <v>23616</v>
      </c>
      <c r="W490">
        <v>1</v>
      </c>
      <c r="X490">
        <v>633</v>
      </c>
      <c r="Y490" s="26">
        <f t="shared" si="7"/>
        <v>144</v>
      </c>
    </row>
    <row r="491" spans="1:25" x14ac:dyDescent="0.25">
      <c r="A491" t="s">
        <v>2196</v>
      </c>
      <c r="B491" t="s">
        <v>2197</v>
      </c>
      <c r="C491" s="22">
        <v>42784</v>
      </c>
      <c r="D491" t="s">
        <v>2014</v>
      </c>
      <c r="E491" t="s">
        <v>2027</v>
      </c>
      <c r="F491" t="s">
        <v>2417</v>
      </c>
      <c r="G491">
        <v>3</v>
      </c>
      <c r="H491">
        <v>1728</v>
      </c>
      <c r="I491">
        <v>4</v>
      </c>
      <c r="J491">
        <v>2396</v>
      </c>
      <c r="K491">
        <v>36</v>
      </c>
      <c r="L491">
        <v>21204</v>
      </c>
      <c r="M491">
        <v>4</v>
      </c>
      <c r="N491">
        <v>2028</v>
      </c>
      <c r="O491">
        <v>23</v>
      </c>
      <c r="P491">
        <v>12765</v>
      </c>
      <c r="Q491">
        <v>24</v>
      </c>
      <c r="R491">
        <v>15600</v>
      </c>
      <c r="S491">
        <v>1</v>
      </c>
      <c r="T491">
        <v>557</v>
      </c>
      <c r="U491">
        <v>22</v>
      </c>
      <c r="V491">
        <v>13794</v>
      </c>
      <c r="W491">
        <v>16</v>
      </c>
      <c r="X491">
        <v>9984</v>
      </c>
      <c r="Y491" s="26">
        <f t="shared" si="7"/>
        <v>133</v>
      </c>
    </row>
    <row r="492" spans="1:25" x14ac:dyDescent="0.25">
      <c r="A492" t="s">
        <v>2198</v>
      </c>
      <c r="B492" t="s">
        <v>2199</v>
      </c>
      <c r="C492" s="22">
        <v>44046</v>
      </c>
      <c r="D492" t="s">
        <v>2014</v>
      </c>
      <c r="E492" t="s">
        <v>2019</v>
      </c>
      <c r="F492" t="s">
        <v>2417</v>
      </c>
      <c r="G492">
        <v>5</v>
      </c>
      <c r="H492">
        <v>3245</v>
      </c>
      <c r="I492">
        <v>2</v>
      </c>
      <c r="J492">
        <v>1044</v>
      </c>
      <c r="K492">
        <v>22</v>
      </c>
      <c r="L492">
        <v>12254</v>
      </c>
      <c r="M492">
        <v>13</v>
      </c>
      <c r="N492">
        <v>7267</v>
      </c>
      <c r="O492">
        <v>0</v>
      </c>
      <c r="P492">
        <v>0</v>
      </c>
      <c r="Q492">
        <v>21</v>
      </c>
      <c r="R492">
        <v>10101</v>
      </c>
      <c r="S492">
        <v>16</v>
      </c>
      <c r="T492">
        <v>9744</v>
      </c>
      <c r="U492">
        <v>67</v>
      </c>
      <c r="V492">
        <v>35443</v>
      </c>
      <c r="W492">
        <v>4</v>
      </c>
      <c r="X492">
        <v>2008</v>
      </c>
      <c r="Y492" s="26">
        <f t="shared" si="7"/>
        <v>150</v>
      </c>
    </row>
    <row r="493" spans="1:25" x14ac:dyDescent="0.25">
      <c r="A493" t="s">
        <v>2200</v>
      </c>
      <c r="B493" t="s">
        <v>2201</v>
      </c>
      <c r="C493" s="22">
        <v>42040</v>
      </c>
      <c r="D493" t="s">
        <v>2014</v>
      </c>
      <c r="E493" t="s">
        <v>2027</v>
      </c>
      <c r="F493" t="s">
        <v>2417</v>
      </c>
      <c r="G493">
        <v>19</v>
      </c>
      <c r="H493">
        <v>11799</v>
      </c>
      <c r="I493">
        <v>2</v>
      </c>
      <c r="J493">
        <v>1056</v>
      </c>
      <c r="K493">
        <v>4</v>
      </c>
      <c r="L493">
        <v>2552</v>
      </c>
      <c r="M493">
        <v>2</v>
      </c>
      <c r="N493">
        <v>906</v>
      </c>
      <c r="O493">
        <v>29</v>
      </c>
      <c r="P493">
        <v>17922</v>
      </c>
      <c r="Q493">
        <v>1</v>
      </c>
      <c r="R493">
        <v>622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26">
        <f t="shared" si="7"/>
        <v>57</v>
      </c>
    </row>
    <row r="494" spans="1:25" x14ac:dyDescent="0.25">
      <c r="A494" t="s">
        <v>2202</v>
      </c>
      <c r="B494" t="s">
        <v>2203</v>
      </c>
      <c r="C494" s="22">
        <v>43043</v>
      </c>
      <c r="D494" t="s">
        <v>2014</v>
      </c>
      <c r="E494" t="s">
        <v>2027</v>
      </c>
      <c r="F494" t="s">
        <v>2417</v>
      </c>
      <c r="G494">
        <v>8</v>
      </c>
      <c r="H494">
        <v>4992</v>
      </c>
      <c r="I494">
        <v>0</v>
      </c>
      <c r="J494">
        <v>0</v>
      </c>
      <c r="K494">
        <v>16</v>
      </c>
      <c r="L494">
        <v>9120</v>
      </c>
      <c r="M494">
        <v>24</v>
      </c>
      <c r="N494">
        <v>12336</v>
      </c>
      <c r="O494">
        <v>22</v>
      </c>
      <c r="P494">
        <v>12892</v>
      </c>
      <c r="Q494">
        <v>84</v>
      </c>
      <c r="R494">
        <v>39816</v>
      </c>
      <c r="S494">
        <v>7</v>
      </c>
      <c r="T494">
        <v>4151</v>
      </c>
      <c r="U494">
        <v>1</v>
      </c>
      <c r="V494">
        <v>582</v>
      </c>
      <c r="W494">
        <v>13</v>
      </c>
      <c r="X494">
        <v>7722</v>
      </c>
      <c r="Y494" s="26">
        <f t="shared" si="7"/>
        <v>175</v>
      </c>
    </row>
    <row r="495" spans="1:25" x14ac:dyDescent="0.25">
      <c r="A495" t="s">
        <v>2204</v>
      </c>
      <c r="B495" t="s">
        <v>2205</v>
      </c>
      <c r="C495" s="22">
        <v>42865</v>
      </c>
      <c r="D495" t="s">
        <v>2026</v>
      </c>
      <c r="E495" t="s">
        <v>2015</v>
      </c>
      <c r="F495" t="s">
        <v>2417</v>
      </c>
      <c r="G495">
        <v>45</v>
      </c>
      <c r="H495">
        <v>27180</v>
      </c>
      <c r="I495">
        <v>34</v>
      </c>
      <c r="J495">
        <v>18190</v>
      </c>
      <c r="K495">
        <v>10</v>
      </c>
      <c r="L495">
        <v>5910</v>
      </c>
      <c r="M495">
        <v>22</v>
      </c>
      <c r="N495">
        <v>10692</v>
      </c>
      <c r="O495">
        <v>70</v>
      </c>
      <c r="P495">
        <v>31990</v>
      </c>
      <c r="Q495">
        <v>24</v>
      </c>
      <c r="R495">
        <v>13104</v>
      </c>
      <c r="S495">
        <v>2</v>
      </c>
      <c r="T495">
        <v>1020</v>
      </c>
      <c r="U495">
        <v>31</v>
      </c>
      <c r="V495">
        <v>16213</v>
      </c>
      <c r="W495">
        <v>3</v>
      </c>
      <c r="X495">
        <v>1785</v>
      </c>
      <c r="Y495" s="26">
        <f t="shared" si="7"/>
        <v>241</v>
      </c>
    </row>
    <row r="496" spans="1:25" x14ac:dyDescent="0.25">
      <c r="A496" t="s">
        <v>2206</v>
      </c>
      <c r="B496" t="s">
        <v>2207</v>
      </c>
      <c r="C496" s="22">
        <v>42963</v>
      </c>
      <c r="D496" t="s">
        <v>2014</v>
      </c>
      <c r="E496" t="s">
        <v>2027</v>
      </c>
      <c r="F496" t="s">
        <v>2417</v>
      </c>
      <c r="G496">
        <v>13</v>
      </c>
      <c r="H496">
        <v>6513</v>
      </c>
      <c r="I496">
        <v>37</v>
      </c>
      <c r="J496">
        <v>18204</v>
      </c>
      <c r="K496">
        <v>34</v>
      </c>
      <c r="L496">
        <v>20910</v>
      </c>
      <c r="M496">
        <v>34</v>
      </c>
      <c r="N496">
        <v>16728</v>
      </c>
      <c r="O496">
        <v>7</v>
      </c>
      <c r="P496">
        <v>4025</v>
      </c>
      <c r="Q496">
        <v>41</v>
      </c>
      <c r="R496">
        <v>22222</v>
      </c>
      <c r="S496">
        <v>12</v>
      </c>
      <c r="T496">
        <v>6240</v>
      </c>
      <c r="U496">
        <v>4</v>
      </c>
      <c r="V496">
        <v>2008</v>
      </c>
      <c r="W496">
        <v>5</v>
      </c>
      <c r="X496">
        <v>2970</v>
      </c>
      <c r="Y496" s="26">
        <f t="shared" si="7"/>
        <v>187</v>
      </c>
    </row>
    <row r="497" spans="1:25" x14ac:dyDescent="0.25">
      <c r="A497" t="s">
        <v>2208</v>
      </c>
      <c r="B497" t="s">
        <v>2209</v>
      </c>
      <c r="C497" s="22">
        <v>43385</v>
      </c>
      <c r="D497" t="s">
        <v>2026</v>
      </c>
      <c r="E497" t="s">
        <v>2015</v>
      </c>
      <c r="F497" t="s">
        <v>2417</v>
      </c>
      <c r="G497">
        <v>16</v>
      </c>
      <c r="H497">
        <v>9440</v>
      </c>
      <c r="I497">
        <v>7</v>
      </c>
      <c r="J497">
        <v>3787</v>
      </c>
      <c r="K497">
        <v>10</v>
      </c>
      <c r="L497">
        <v>4970</v>
      </c>
      <c r="M497">
        <v>3</v>
      </c>
      <c r="N497">
        <v>1431</v>
      </c>
      <c r="O497">
        <v>5</v>
      </c>
      <c r="P497">
        <v>2300</v>
      </c>
      <c r="Q497">
        <v>6</v>
      </c>
      <c r="R497">
        <v>2790</v>
      </c>
      <c r="S497">
        <v>7</v>
      </c>
      <c r="T497">
        <v>3703</v>
      </c>
      <c r="U497">
        <v>1</v>
      </c>
      <c r="V497">
        <v>634</v>
      </c>
      <c r="W497">
        <v>2</v>
      </c>
      <c r="X497">
        <v>1046</v>
      </c>
      <c r="Y497" s="26">
        <f t="shared" si="7"/>
        <v>57</v>
      </c>
    </row>
    <row r="498" spans="1:25" x14ac:dyDescent="0.25">
      <c r="A498" t="s">
        <v>2210</v>
      </c>
      <c r="B498" t="s">
        <v>2211</v>
      </c>
      <c r="C498" s="22">
        <v>42320</v>
      </c>
      <c r="D498" t="s">
        <v>2014</v>
      </c>
      <c r="E498" t="s">
        <v>2015</v>
      </c>
      <c r="F498" t="s">
        <v>2417</v>
      </c>
      <c r="G498">
        <v>0</v>
      </c>
      <c r="H498">
        <v>0</v>
      </c>
      <c r="I498">
        <v>4</v>
      </c>
      <c r="J498">
        <v>1944</v>
      </c>
      <c r="K498">
        <v>1</v>
      </c>
      <c r="L498">
        <v>610</v>
      </c>
      <c r="M498">
        <v>46</v>
      </c>
      <c r="N498">
        <v>23506</v>
      </c>
      <c r="O498">
        <v>3</v>
      </c>
      <c r="P498">
        <v>1401</v>
      </c>
      <c r="Q498">
        <v>0</v>
      </c>
      <c r="R498">
        <v>0</v>
      </c>
      <c r="S498">
        <v>0</v>
      </c>
      <c r="T498">
        <v>0</v>
      </c>
      <c r="U498">
        <v>5</v>
      </c>
      <c r="V498">
        <v>2435</v>
      </c>
      <c r="W498">
        <v>15</v>
      </c>
      <c r="X498">
        <v>8610</v>
      </c>
      <c r="Y498" s="26">
        <f t="shared" si="7"/>
        <v>74</v>
      </c>
    </row>
    <row r="499" spans="1:25" x14ac:dyDescent="0.25">
      <c r="A499" t="s">
        <v>2212</v>
      </c>
      <c r="B499" t="s">
        <v>2213</v>
      </c>
      <c r="C499" s="22">
        <v>43200</v>
      </c>
      <c r="D499" t="s">
        <v>2014</v>
      </c>
      <c r="E499" t="s">
        <v>2019</v>
      </c>
      <c r="F499" t="s">
        <v>2417</v>
      </c>
      <c r="G499">
        <v>13</v>
      </c>
      <c r="H499">
        <v>6981</v>
      </c>
      <c r="I499">
        <v>12</v>
      </c>
      <c r="J499">
        <v>5928</v>
      </c>
      <c r="K499">
        <v>10</v>
      </c>
      <c r="L499">
        <v>6050</v>
      </c>
      <c r="M499">
        <v>10</v>
      </c>
      <c r="N499">
        <v>5450</v>
      </c>
      <c r="O499">
        <v>43</v>
      </c>
      <c r="P499">
        <v>25800</v>
      </c>
      <c r="Q499">
        <v>0</v>
      </c>
      <c r="R499">
        <v>0</v>
      </c>
      <c r="S499">
        <v>2</v>
      </c>
      <c r="T499">
        <v>1038</v>
      </c>
      <c r="U499">
        <v>6</v>
      </c>
      <c r="V499">
        <v>3744</v>
      </c>
      <c r="W499">
        <v>11</v>
      </c>
      <c r="X499">
        <v>6963</v>
      </c>
      <c r="Y499" s="26">
        <f t="shared" si="7"/>
        <v>107</v>
      </c>
    </row>
    <row r="500" spans="1:25" x14ac:dyDescent="0.25">
      <c r="A500" t="s">
        <v>2214</v>
      </c>
      <c r="B500" t="s">
        <v>2215</v>
      </c>
      <c r="C500" s="22">
        <v>43936</v>
      </c>
      <c r="D500" t="s">
        <v>2026</v>
      </c>
      <c r="E500" t="s">
        <v>2019</v>
      </c>
      <c r="F500" t="s">
        <v>2417</v>
      </c>
      <c r="G500">
        <v>16</v>
      </c>
      <c r="H500">
        <v>8160</v>
      </c>
      <c r="I500">
        <v>5</v>
      </c>
      <c r="J500">
        <v>2355</v>
      </c>
      <c r="K500">
        <v>59</v>
      </c>
      <c r="L500">
        <v>36580</v>
      </c>
      <c r="M500">
        <v>10</v>
      </c>
      <c r="N500">
        <v>4870</v>
      </c>
      <c r="O500">
        <v>3</v>
      </c>
      <c r="P500">
        <v>1638</v>
      </c>
      <c r="Q500">
        <v>4</v>
      </c>
      <c r="R500">
        <v>2600</v>
      </c>
      <c r="S500">
        <v>0</v>
      </c>
      <c r="T500">
        <v>0</v>
      </c>
      <c r="U500">
        <v>3</v>
      </c>
      <c r="V500">
        <v>1698</v>
      </c>
      <c r="W500">
        <v>42</v>
      </c>
      <c r="X500">
        <v>22470</v>
      </c>
      <c r="Y500" s="26">
        <f t="shared" si="7"/>
        <v>142</v>
      </c>
    </row>
    <row r="501" spans="1:25" x14ac:dyDescent="0.25">
      <c r="A501" t="s">
        <v>2216</v>
      </c>
      <c r="B501" t="s">
        <v>2217</v>
      </c>
      <c r="C501" s="22">
        <v>43667</v>
      </c>
      <c r="D501" t="s">
        <v>2026</v>
      </c>
      <c r="E501" t="s">
        <v>2015</v>
      </c>
      <c r="F501" t="s">
        <v>2417</v>
      </c>
      <c r="G501">
        <v>1</v>
      </c>
      <c r="H501">
        <v>591</v>
      </c>
      <c r="I501">
        <v>24</v>
      </c>
      <c r="J501">
        <v>11736</v>
      </c>
      <c r="K501">
        <v>17</v>
      </c>
      <c r="L501">
        <v>10897</v>
      </c>
      <c r="M501">
        <v>11</v>
      </c>
      <c r="N501">
        <v>6710</v>
      </c>
      <c r="O501">
        <v>16</v>
      </c>
      <c r="P501">
        <v>7232</v>
      </c>
      <c r="Q501">
        <v>33</v>
      </c>
      <c r="R501">
        <v>15444</v>
      </c>
      <c r="S501">
        <v>19</v>
      </c>
      <c r="T501">
        <v>8892</v>
      </c>
      <c r="U501">
        <v>0</v>
      </c>
      <c r="V501">
        <v>0</v>
      </c>
      <c r="W501">
        <v>3</v>
      </c>
      <c r="X501">
        <v>1929</v>
      </c>
      <c r="Y501" s="26">
        <f t="shared" si="7"/>
        <v>124</v>
      </c>
    </row>
    <row r="502" spans="1:25" x14ac:dyDescent="0.25">
      <c r="A502" t="s">
        <v>2218</v>
      </c>
      <c r="B502" t="s">
        <v>2219</v>
      </c>
      <c r="C502" s="22">
        <v>42332</v>
      </c>
      <c r="D502" t="s">
        <v>2026</v>
      </c>
      <c r="E502" t="s">
        <v>2019</v>
      </c>
      <c r="F502" t="s">
        <v>2417</v>
      </c>
      <c r="G502">
        <v>22</v>
      </c>
      <c r="H502">
        <v>12056</v>
      </c>
      <c r="I502">
        <v>6</v>
      </c>
      <c r="J502">
        <v>2718</v>
      </c>
      <c r="K502">
        <v>0</v>
      </c>
      <c r="L502">
        <v>0</v>
      </c>
      <c r="M502">
        <v>48</v>
      </c>
      <c r="N502">
        <v>28848</v>
      </c>
      <c r="O502">
        <v>2</v>
      </c>
      <c r="P502">
        <v>1094</v>
      </c>
      <c r="Q502">
        <v>18</v>
      </c>
      <c r="R502">
        <v>11142</v>
      </c>
      <c r="S502">
        <v>17</v>
      </c>
      <c r="T502">
        <v>10251</v>
      </c>
      <c r="U502">
        <v>1</v>
      </c>
      <c r="V502">
        <v>508</v>
      </c>
      <c r="W502">
        <v>5</v>
      </c>
      <c r="X502">
        <v>3150</v>
      </c>
      <c r="Y502" s="26">
        <f t="shared" si="7"/>
        <v>119</v>
      </c>
    </row>
    <row r="503" spans="1:25" x14ac:dyDescent="0.25">
      <c r="A503" t="s">
        <v>2220</v>
      </c>
      <c r="B503" t="s">
        <v>2221</v>
      </c>
      <c r="C503" s="22">
        <v>43796</v>
      </c>
      <c r="D503" t="s">
        <v>2014</v>
      </c>
      <c r="E503" t="s">
        <v>2019</v>
      </c>
      <c r="F503" t="s">
        <v>2417</v>
      </c>
      <c r="G503">
        <v>5</v>
      </c>
      <c r="H503">
        <v>2730</v>
      </c>
      <c r="I503">
        <v>0</v>
      </c>
      <c r="J503">
        <v>0</v>
      </c>
      <c r="K503">
        <v>17</v>
      </c>
      <c r="L503">
        <v>9367</v>
      </c>
      <c r="M503">
        <v>16</v>
      </c>
      <c r="N503">
        <v>8192</v>
      </c>
      <c r="O503">
        <v>0</v>
      </c>
      <c r="P503">
        <v>0</v>
      </c>
      <c r="Q503">
        <v>8</v>
      </c>
      <c r="R503">
        <v>4336</v>
      </c>
      <c r="S503">
        <v>28</v>
      </c>
      <c r="T503">
        <v>17080</v>
      </c>
      <c r="U503">
        <v>1</v>
      </c>
      <c r="V503">
        <v>647</v>
      </c>
      <c r="W503">
        <v>8</v>
      </c>
      <c r="X503">
        <v>4416</v>
      </c>
      <c r="Y503" s="26">
        <f t="shared" si="7"/>
        <v>83</v>
      </c>
    </row>
    <row r="504" spans="1:25" x14ac:dyDescent="0.25">
      <c r="A504" t="s">
        <v>2222</v>
      </c>
      <c r="B504" t="s">
        <v>2223</v>
      </c>
      <c r="C504" s="22">
        <v>42879</v>
      </c>
      <c r="D504" t="s">
        <v>2014</v>
      </c>
      <c r="E504" t="s">
        <v>2027</v>
      </c>
      <c r="F504" t="s">
        <v>2417</v>
      </c>
      <c r="G504">
        <v>2</v>
      </c>
      <c r="H504">
        <v>1226</v>
      </c>
      <c r="I504">
        <v>2</v>
      </c>
      <c r="J504">
        <v>1174</v>
      </c>
      <c r="K504">
        <v>24</v>
      </c>
      <c r="L504">
        <v>11280</v>
      </c>
      <c r="M504">
        <v>11</v>
      </c>
      <c r="N504">
        <v>5885</v>
      </c>
      <c r="O504">
        <v>10</v>
      </c>
      <c r="P504">
        <v>4620</v>
      </c>
      <c r="Q504">
        <v>15</v>
      </c>
      <c r="R504">
        <v>7845</v>
      </c>
      <c r="S504">
        <v>30</v>
      </c>
      <c r="T504">
        <v>17580</v>
      </c>
      <c r="U504">
        <v>0</v>
      </c>
      <c r="V504">
        <v>0</v>
      </c>
      <c r="W504">
        <v>1</v>
      </c>
      <c r="X504">
        <v>519</v>
      </c>
      <c r="Y504" s="26">
        <f t="shared" si="7"/>
        <v>95</v>
      </c>
    </row>
    <row r="505" spans="1:25" x14ac:dyDescent="0.25">
      <c r="A505" t="s">
        <v>2224</v>
      </c>
      <c r="B505" t="s">
        <v>2225</v>
      </c>
      <c r="C505" s="22">
        <v>42481</v>
      </c>
      <c r="D505" t="s">
        <v>2026</v>
      </c>
      <c r="E505" t="s">
        <v>2027</v>
      </c>
      <c r="F505" t="s">
        <v>2417</v>
      </c>
      <c r="G505">
        <v>3</v>
      </c>
      <c r="H505">
        <v>1761</v>
      </c>
      <c r="I505">
        <v>10</v>
      </c>
      <c r="J505">
        <v>6200</v>
      </c>
      <c r="K505">
        <v>0</v>
      </c>
      <c r="L505">
        <v>0</v>
      </c>
      <c r="M505">
        <v>0</v>
      </c>
      <c r="N505">
        <v>0</v>
      </c>
      <c r="O505">
        <v>26</v>
      </c>
      <c r="P505">
        <v>15132</v>
      </c>
      <c r="Q505">
        <v>2</v>
      </c>
      <c r="R505">
        <v>1180</v>
      </c>
      <c r="S505">
        <v>16</v>
      </c>
      <c r="T505">
        <v>10096</v>
      </c>
      <c r="U505">
        <v>6</v>
      </c>
      <c r="V505">
        <v>3744</v>
      </c>
      <c r="W505">
        <v>4</v>
      </c>
      <c r="X505">
        <v>2396</v>
      </c>
      <c r="Y505" s="26">
        <f t="shared" si="7"/>
        <v>67</v>
      </c>
    </row>
    <row r="506" spans="1:25" x14ac:dyDescent="0.25">
      <c r="A506" t="s">
        <v>2226</v>
      </c>
      <c r="B506" t="s">
        <v>2227</v>
      </c>
      <c r="C506" s="22">
        <v>42645</v>
      </c>
      <c r="D506" t="s">
        <v>2014</v>
      </c>
      <c r="E506" t="s">
        <v>2019</v>
      </c>
      <c r="F506" t="s">
        <v>2417</v>
      </c>
      <c r="G506">
        <v>9</v>
      </c>
      <c r="H506">
        <v>4860</v>
      </c>
      <c r="I506">
        <v>4</v>
      </c>
      <c r="J506">
        <v>2572</v>
      </c>
      <c r="K506">
        <v>16</v>
      </c>
      <c r="L506">
        <v>7216</v>
      </c>
      <c r="M506">
        <v>0</v>
      </c>
      <c r="N506">
        <v>0</v>
      </c>
      <c r="O506">
        <v>15</v>
      </c>
      <c r="P506">
        <v>9345</v>
      </c>
      <c r="Q506">
        <v>11</v>
      </c>
      <c r="R506">
        <v>6259</v>
      </c>
      <c r="S506">
        <v>0</v>
      </c>
      <c r="T506">
        <v>0</v>
      </c>
      <c r="U506">
        <v>16</v>
      </c>
      <c r="V506">
        <v>8800</v>
      </c>
      <c r="W506">
        <v>67</v>
      </c>
      <c r="X506">
        <v>36247</v>
      </c>
      <c r="Y506" s="26">
        <f t="shared" si="7"/>
        <v>138</v>
      </c>
    </row>
    <row r="507" spans="1:25" x14ac:dyDescent="0.25">
      <c r="A507" t="s">
        <v>2228</v>
      </c>
      <c r="B507" t="s">
        <v>2229</v>
      </c>
      <c r="C507" s="22">
        <v>43935</v>
      </c>
      <c r="D507" t="s">
        <v>2026</v>
      </c>
      <c r="E507" t="s">
        <v>2027</v>
      </c>
      <c r="F507" t="s">
        <v>2417</v>
      </c>
      <c r="G507">
        <v>0</v>
      </c>
      <c r="H507">
        <v>0</v>
      </c>
      <c r="I507">
        <v>7</v>
      </c>
      <c r="J507">
        <v>4228</v>
      </c>
      <c r="K507">
        <v>18</v>
      </c>
      <c r="L507">
        <v>11628</v>
      </c>
      <c r="M507">
        <v>1</v>
      </c>
      <c r="N507">
        <v>545</v>
      </c>
      <c r="O507">
        <v>8</v>
      </c>
      <c r="P507">
        <v>5192</v>
      </c>
      <c r="Q507">
        <v>26</v>
      </c>
      <c r="R507">
        <v>15990</v>
      </c>
      <c r="S507">
        <v>0</v>
      </c>
      <c r="T507">
        <v>0</v>
      </c>
      <c r="U507">
        <v>10</v>
      </c>
      <c r="V507">
        <v>4690</v>
      </c>
      <c r="W507">
        <v>13</v>
      </c>
      <c r="X507">
        <v>6942</v>
      </c>
      <c r="Y507" s="26">
        <f t="shared" si="7"/>
        <v>83</v>
      </c>
    </row>
    <row r="508" spans="1:25" x14ac:dyDescent="0.25">
      <c r="A508" t="s">
        <v>2230</v>
      </c>
      <c r="B508" t="s">
        <v>2231</v>
      </c>
      <c r="C508" s="22">
        <v>43245</v>
      </c>
      <c r="D508" t="s">
        <v>2014</v>
      </c>
      <c r="E508" t="s">
        <v>2015</v>
      </c>
      <c r="F508" t="s">
        <v>2417</v>
      </c>
      <c r="G508">
        <v>13</v>
      </c>
      <c r="H508">
        <v>7839</v>
      </c>
      <c r="I508">
        <v>4</v>
      </c>
      <c r="J508">
        <v>2344</v>
      </c>
      <c r="K508">
        <v>2</v>
      </c>
      <c r="L508">
        <v>1194</v>
      </c>
      <c r="M508">
        <v>1</v>
      </c>
      <c r="N508">
        <v>539</v>
      </c>
      <c r="O508">
        <v>7</v>
      </c>
      <c r="P508">
        <v>3941</v>
      </c>
      <c r="Q508">
        <v>13</v>
      </c>
      <c r="R508">
        <v>7878</v>
      </c>
      <c r="S508">
        <v>0</v>
      </c>
      <c r="T508">
        <v>0</v>
      </c>
      <c r="U508">
        <v>9</v>
      </c>
      <c r="V508">
        <v>5031</v>
      </c>
      <c r="W508">
        <v>4</v>
      </c>
      <c r="X508">
        <v>2304</v>
      </c>
      <c r="Y508" s="26">
        <f t="shared" si="7"/>
        <v>53</v>
      </c>
    </row>
    <row r="509" spans="1:25" x14ac:dyDescent="0.25">
      <c r="A509" t="s">
        <v>2232</v>
      </c>
      <c r="B509" t="s">
        <v>2233</v>
      </c>
      <c r="C509" s="22">
        <v>43834</v>
      </c>
      <c r="D509" t="s">
        <v>2014</v>
      </c>
      <c r="E509" t="s">
        <v>2015</v>
      </c>
      <c r="F509" t="s">
        <v>2417</v>
      </c>
      <c r="G509">
        <v>0</v>
      </c>
      <c r="H509">
        <v>0</v>
      </c>
      <c r="I509">
        <v>0</v>
      </c>
      <c r="J509">
        <v>0</v>
      </c>
      <c r="K509">
        <v>3</v>
      </c>
      <c r="L509">
        <v>1770</v>
      </c>
      <c r="M509">
        <v>26</v>
      </c>
      <c r="N509">
        <v>15184</v>
      </c>
      <c r="O509">
        <v>0</v>
      </c>
      <c r="P509">
        <v>0</v>
      </c>
      <c r="Q509">
        <v>35</v>
      </c>
      <c r="R509">
        <v>19600</v>
      </c>
      <c r="S509">
        <v>2</v>
      </c>
      <c r="T509">
        <v>1000</v>
      </c>
      <c r="U509">
        <v>29</v>
      </c>
      <c r="V509">
        <v>14297</v>
      </c>
      <c r="W509">
        <v>5</v>
      </c>
      <c r="X509">
        <v>2610</v>
      </c>
      <c r="Y509" s="26">
        <f t="shared" si="7"/>
        <v>100</v>
      </c>
    </row>
    <row r="510" spans="1:25" x14ac:dyDescent="0.25">
      <c r="A510" t="s">
        <v>2234</v>
      </c>
      <c r="B510" t="s">
        <v>2235</v>
      </c>
      <c r="C510" s="22">
        <v>42683</v>
      </c>
      <c r="D510" t="s">
        <v>2026</v>
      </c>
      <c r="E510" t="s">
        <v>2015</v>
      </c>
      <c r="F510" t="s">
        <v>2417</v>
      </c>
      <c r="G510">
        <v>1</v>
      </c>
      <c r="H510">
        <v>518</v>
      </c>
      <c r="I510">
        <v>44</v>
      </c>
      <c r="J510">
        <v>26048</v>
      </c>
      <c r="K510">
        <v>3</v>
      </c>
      <c r="L510">
        <v>1371</v>
      </c>
      <c r="M510">
        <v>28</v>
      </c>
      <c r="N510">
        <v>17864</v>
      </c>
      <c r="O510">
        <v>0</v>
      </c>
      <c r="P510">
        <v>0</v>
      </c>
      <c r="Q510">
        <v>12</v>
      </c>
      <c r="R510">
        <v>6060</v>
      </c>
      <c r="S510">
        <v>42</v>
      </c>
      <c r="T510">
        <v>20832</v>
      </c>
      <c r="U510">
        <v>29</v>
      </c>
      <c r="V510">
        <v>14297</v>
      </c>
      <c r="W510">
        <v>11</v>
      </c>
      <c r="X510">
        <v>6017</v>
      </c>
      <c r="Y510" s="26">
        <f t="shared" si="7"/>
        <v>170</v>
      </c>
    </row>
    <row r="511" spans="1:25" x14ac:dyDescent="0.25">
      <c r="A511" t="s">
        <v>2236</v>
      </c>
      <c r="B511" t="s">
        <v>2237</v>
      </c>
      <c r="C511" s="22">
        <v>42329</v>
      </c>
      <c r="D511" t="s">
        <v>2026</v>
      </c>
      <c r="E511" t="s">
        <v>2019</v>
      </c>
      <c r="F511" t="s">
        <v>2417</v>
      </c>
      <c r="G511">
        <v>2</v>
      </c>
      <c r="H511">
        <v>1234</v>
      </c>
      <c r="I511">
        <v>13</v>
      </c>
      <c r="J511">
        <v>6981</v>
      </c>
      <c r="K511">
        <v>18</v>
      </c>
      <c r="L511">
        <v>9414</v>
      </c>
      <c r="M511">
        <v>3</v>
      </c>
      <c r="N511">
        <v>1647</v>
      </c>
      <c r="O511">
        <v>15</v>
      </c>
      <c r="P511">
        <v>8880</v>
      </c>
      <c r="Q511">
        <v>3</v>
      </c>
      <c r="R511">
        <v>1773</v>
      </c>
      <c r="S511">
        <v>0</v>
      </c>
      <c r="T511">
        <v>0</v>
      </c>
      <c r="U511">
        <v>0</v>
      </c>
      <c r="V511">
        <v>0</v>
      </c>
      <c r="W511">
        <v>5</v>
      </c>
      <c r="X511">
        <v>2535</v>
      </c>
      <c r="Y511" s="26">
        <f t="shared" si="7"/>
        <v>59</v>
      </c>
    </row>
    <row r="512" spans="1:25" x14ac:dyDescent="0.25">
      <c r="A512" t="s">
        <v>2238</v>
      </c>
      <c r="B512" t="s">
        <v>2239</v>
      </c>
      <c r="C512" s="22">
        <v>42553</v>
      </c>
      <c r="D512" t="s">
        <v>2014</v>
      </c>
      <c r="E512" t="s">
        <v>2015</v>
      </c>
      <c r="F512" t="s">
        <v>2417</v>
      </c>
      <c r="G512">
        <v>5</v>
      </c>
      <c r="H512">
        <v>3215</v>
      </c>
      <c r="I512">
        <v>16</v>
      </c>
      <c r="J512">
        <v>9952</v>
      </c>
      <c r="K512">
        <v>3</v>
      </c>
      <c r="L512">
        <v>1602</v>
      </c>
      <c r="M512">
        <v>10</v>
      </c>
      <c r="N512">
        <v>5960</v>
      </c>
      <c r="O512">
        <v>0</v>
      </c>
      <c r="P512">
        <v>0</v>
      </c>
      <c r="Q512">
        <v>42</v>
      </c>
      <c r="R512">
        <v>26838</v>
      </c>
      <c r="S512">
        <v>20</v>
      </c>
      <c r="T512">
        <v>10120</v>
      </c>
      <c r="U512">
        <v>3</v>
      </c>
      <c r="V512">
        <v>1563</v>
      </c>
      <c r="W512">
        <v>7</v>
      </c>
      <c r="X512">
        <v>3605</v>
      </c>
      <c r="Y512" s="26">
        <f t="shared" si="7"/>
        <v>106</v>
      </c>
    </row>
    <row r="513" spans="1:25" x14ac:dyDescent="0.25">
      <c r="A513" t="s">
        <v>2240</v>
      </c>
      <c r="B513" t="s">
        <v>2241</v>
      </c>
      <c r="C513" s="22">
        <v>43359</v>
      </c>
      <c r="D513" t="s">
        <v>2014</v>
      </c>
      <c r="E513" t="s">
        <v>2015</v>
      </c>
      <c r="F513" t="s">
        <v>2417</v>
      </c>
      <c r="G513">
        <v>13</v>
      </c>
      <c r="H513">
        <v>6955</v>
      </c>
      <c r="I513">
        <v>12</v>
      </c>
      <c r="J513">
        <v>7224</v>
      </c>
      <c r="K513">
        <v>9</v>
      </c>
      <c r="L513">
        <v>5562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1088</v>
      </c>
      <c r="S513">
        <v>0</v>
      </c>
      <c r="T513">
        <v>0</v>
      </c>
      <c r="U513">
        <v>2</v>
      </c>
      <c r="V513">
        <v>990</v>
      </c>
      <c r="W513">
        <v>0</v>
      </c>
      <c r="X513">
        <v>0</v>
      </c>
      <c r="Y513" s="26">
        <f t="shared" si="7"/>
        <v>38</v>
      </c>
    </row>
    <row r="514" spans="1:25" x14ac:dyDescent="0.25">
      <c r="A514" t="s">
        <v>2242</v>
      </c>
      <c r="B514" t="s">
        <v>2243</v>
      </c>
      <c r="C514" s="22">
        <v>43879</v>
      </c>
      <c r="D514" t="s">
        <v>2026</v>
      </c>
      <c r="E514" t="s">
        <v>2027</v>
      </c>
      <c r="F514" t="s">
        <v>2417</v>
      </c>
      <c r="G514">
        <v>27</v>
      </c>
      <c r="H514">
        <v>16929</v>
      </c>
      <c r="I514">
        <v>10</v>
      </c>
      <c r="J514">
        <v>5180</v>
      </c>
      <c r="K514">
        <v>1</v>
      </c>
      <c r="L514">
        <v>582</v>
      </c>
      <c r="M514">
        <v>6</v>
      </c>
      <c r="N514">
        <v>3672</v>
      </c>
      <c r="O514">
        <v>5</v>
      </c>
      <c r="P514">
        <v>2630</v>
      </c>
      <c r="Q514">
        <v>3</v>
      </c>
      <c r="R514">
        <v>1836</v>
      </c>
      <c r="S514">
        <v>35</v>
      </c>
      <c r="T514">
        <v>17640</v>
      </c>
      <c r="U514">
        <v>11</v>
      </c>
      <c r="V514">
        <v>6259</v>
      </c>
      <c r="W514">
        <v>2</v>
      </c>
      <c r="X514">
        <v>1170</v>
      </c>
      <c r="Y514" s="26">
        <f t="shared" si="7"/>
        <v>100</v>
      </c>
    </row>
    <row r="515" spans="1:25" x14ac:dyDescent="0.25">
      <c r="A515" t="s">
        <v>2244</v>
      </c>
      <c r="B515" t="s">
        <v>2245</v>
      </c>
      <c r="C515" s="22">
        <v>44018</v>
      </c>
      <c r="D515" t="s">
        <v>2014</v>
      </c>
      <c r="E515" t="s">
        <v>2019</v>
      </c>
      <c r="F515" t="s">
        <v>2417</v>
      </c>
      <c r="G515">
        <v>18</v>
      </c>
      <c r="H515">
        <v>8172</v>
      </c>
      <c r="I515">
        <v>16</v>
      </c>
      <c r="J515">
        <v>8768</v>
      </c>
      <c r="K515">
        <v>27</v>
      </c>
      <c r="L515">
        <v>12393</v>
      </c>
      <c r="M515">
        <v>10</v>
      </c>
      <c r="N515">
        <v>4730</v>
      </c>
      <c r="O515">
        <v>1</v>
      </c>
      <c r="P515">
        <v>588</v>
      </c>
      <c r="Q515">
        <v>7</v>
      </c>
      <c r="R515">
        <v>3458</v>
      </c>
      <c r="S515">
        <v>9</v>
      </c>
      <c r="T515">
        <v>5589</v>
      </c>
      <c r="U515">
        <v>9</v>
      </c>
      <c r="V515">
        <v>4554</v>
      </c>
      <c r="W515">
        <v>5</v>
      </c>
      <c r="X515">
        <v>3160</v>
      </c>
      <c r="Y515" s="26">
        <f t="shared" ref="Y515:Y578" si="8">SUMIF($G$1:$X$1,"Количество*",G515:X515)</f>
        <v>102</v>
      </c>
    </row>
    <row r="516" spans="1:25" x14ac:dyDescent="0.25">
      <c r="A516" t="s">
        <v>2246</v>
      </c>
      <c r="B516" t="s">
        <v>2247</v>
      </c>
      <c r="C516" s="22">
        <v>44056</v>
      </c>
      <c r="D516" t="s">
        <v>2026</v>
      </c>
      <c r="E516" t="s">
        <v>2027</v>
      </c>
      <c r="F516" t="s">
        <v>2417</v>
      </c>
      <c r="G516">
        <v>5</v>
      </c>
      <c r="H516">
        <v>2735</v>
      </c>
      <c r="I516">
        <v>3</v>
      </c>
      <c r="J516">
        <v>1533</v>
      </c>
      <c r="K516">
        <v>1</v>
      </c>
      <c r="L516">
        <v>634</v>
      </c>
      <c r="M516">
        <v>1</v>
      </c>
      <c r="N516">
        <v>451</v>
      </c>
      <c r="O516">
        <v>4</v>
      </c>
      <c r="P516">
        <v>2324</v>
      </c>
      <c r="Q516">
        <v>35</v>
      </c>
      <c r="R516">
        <v>20510</v>
      </c>
      <c r="S516">
        <v>11</v>
      </c>
      <c r="T516">
        <v>5423</v>
      </c>
      <c r="U516">
        <v>0</v>
      </c>
      <c r="V516">
        <v>0</v>
      </c>
      <c r="W516">
        <v>7</v>
      </c>
      <c r="X516">
        <v>4039</v>
      </c>
      <c r="Y516" s="26">
        <f t="shared" si="8"/>
        <v>67</v>
      </c>
    </row>
    <row r="517" spans="1:25" x14ac:dyDescent="0.25">
      <c r="A517" t="s">
        <v>2248</v>
      </c>
      <c r="B517" t="s">
        <v>2249</v>
      </c>
      <c r="C517" s="22">
        <v>42962</v>
      </c>
      <c r="D517" t="s">
        <v>2026</v>
      </c>
      <c r="E517" t="s">
        <v>2019</v>
      </c>
      <c r="F517" t="s">
        <v>2417</v>
      </c>
      <c r="G517">
        <v>48</v>
      </c>
      <c r="H517">
        <v>25392</v>
      </c>
      <c r="I517">
        <v>5</v>
      </c>
      <c r="J517">
        <v>2780</v>
      </c>
      <c r="K517">
        <v>1</v>
      </c>
      <c r="L517">
        <v>578</v>
      </c>
      <c r="M517">
        <v>0</v>
      </c>
      <c r="N517">
        <v>0</v>
      </c>
      <c r="O517">
        <v>18</v>
      </c>
      <c r="P517">
        <v>8586</v>
      </c>
      <c r="Q517">
        <v>14</v>
      </c>
      <c r="R517">
        <v>6860</v>
      </c>
      <c r="S517">
        <v>28</v>
      </c>
      <c r="T517">
        <v>15764</v>
      </c>
      <c r="U517">
        <v>11</v>
      </c>
      <c r="V517">
        <v>5137</v>
      </c>
      <c r="W517">
        <v>8</v>
      </c>
      <c r="X517">
        <v>3888</v>
      </c>
      <c r="Y517" s="26">
        <f t="shared" si="8"/>
        <v>133</v>
      </c>
    </row>
    <row r="518" spans="1:25" x14ac:dyDescent="0.25">
      <c r="A518" t="s">
        <v>2250</v>
      </c>
      <c r="B518" t="s">
        <v>2251</v>
      </c>
      <c r="C518" s="22">
        <v>43538</v>
      </c>
      <c r="D518" t="s">
        <v>2026</v>
      </c>
      <c r="E518" t="s">
        <v>2015</v>
      </c>
      <c r="F518" t="s">
        <v>2417</v>
      </c>
      <c r="G518">
        <v>3</v>
      </c>
      <c r="H518">
        <v>1662</v>
      </c>
      <c r="I518">
        <v>7</v>
      </c>
      <c r="J518">
        <v>3360</v>
      </c>
      <c r="K518">
        <v>14</v>
      </c>
      <c r="L518">
        <v>8806</v>
      </c>
      <c r="M518">
        <v>11</v>
      </c>
      <c r="N518">
        <v>6776</v>
      </c>
      <c r="O518">
        <v>7</v>
      </c>
      <c r="P518">
        <v>3213</v>
      </c>
      <c r="Q518">
        <v>5</v>
      </c>
      <c r="R518">
        <v>2625</v>
      </c>
      <c r="S518">
        <v>32</v>
      </c>
      <c r="T518">
        <v>16448</v>
      </c>
      <c r="U518">
        <v>0</v>
      </c>
      <c r="V518">
        <v>0</v>
      </c>
      <c r="W518">
        <v>1</v>
      </c>
      <c r="X518">
        <v>451</v>
      </c>
      <c r="Y518" s="26">
        <f t="shared" si="8"/>
        <v>80</v>
      </c>
    </row>
    <row r="519" spans="1:25" x14ac:dyDescent="0.25">
      <c r="A519" t="s">
        <v>2252</v>
      </c>
      <c r="B519" t="s">
        <v>2253</v>
      </c>
      <c r="C519" s="22">
        <v>42005</v>
      </c>
      <c r="D519" t="s">
        <v>2014</v>
      </c>
      <c r="E519" t="s">
        <v>2019</v>
      </c>
      <c r="F519" t="s">
        <v>2417</v>
      </c>
      <c r="G519">
        <v>23</v>
      </c>
      <c r="H519">
        <v>11592</v>
      </c>
      <c r="I519">
        <v>9</v>
      </c>
      <c r="J519">
        <v>4293</v>
      </c>
      <c r="K519">
        <v>5</v>
      </c>
      <c r="L519">
        <v>2610</v>
      </c>
      <c r="M519">
        <v>12</v>
      </c>
      <c r="N519">
        <v>5856</v>
      </c>
      <c r="O519">
        <v>0</v>
      </c>
      <c r="P519">
        <v>0</v>
      </c>
      <c r="Q519">
        <v>9</v>
      </c>
      <c r="R519">
        <v>5166</v>
      </c>
      <c r="S519">
        <v>50</v>
      </c>
      <c r="T519">
        <v>23950</v>
      </c>
      <c r="U519">
        <v>17</v>
      </c>
      <c r="V519">
        <v>9061</v>
      </c>
      <c r="W519">
        <v>26</v>
      </c>
      <c r="X519">
        <v>12974</v>
      </c>
      <c r="Y519" s="26">
        <f t="shared" si="8"/>
        <v>151</v>
      </c>
    </row>
    <row r="520" spans="1:25" x14ac:dyDescent="0.25">
      <c r="A520" t="s">
        <v>2254</v>
      </c>
      <c r="B520" t="s">
        <v>2255</v>
      </c>
      <c r="C520" s="22">
        <v>42093</v>
      </c>
      <c r="D520" t="s">
        <v>2026</v>
      </c>
      <c r="E520" t="s">
        <v>2027</v>
      </c>
      <c r="F520" t="s">
        <v>2417</v>
      </c>
      <c r="G520">
        <v>23</v>
      </c>
      <c r="H520">
        <v>12006</v>
      </c>
      <c r="I520">
        <v>5</v>
      </c>
      <c r="J520">
        <v>3190</v>
      </c>
      <c r="K520">
        <v>9</v>
      </c>
      <c r="L520">
        <v>4500</v>
      </c>
      <c r="M520">
        <v>7</v>
      </c>
      <c r="N520">
        <v>3983</v>
      </c>
      <c r="O520">
        <v>17</v>
      </c>
      <c r="P520">
        <v>9962</v>
      </c>
      <c r="Q520">
        <v>27</v>
      </c>
      <c r="R520">
        <v>16038</v>
      </c>
      <c r="S520">
        <v>15</v>
      </c>
      <c r="T520">
        <v>9180</v>
      </c>
      <c r="U520">
        <v>58</v>
      </c>
      <c r="V520">
        <v>31146</v>
      </c>
      <c r="W520">
        <v>40</v>
      </c>
      <c r="X520">
        <v>20400</v>
      </c>
      <c r="Y520" s="26">
        <f t="shared" si="8"/>
        <v>201</v>
      </c>
    </row>
    <row r="521" spans="1:25" x14ac:dyDescent="0.25">
      <c r="A521" t="s">
        <v>2256</v>
      </c>
      <c r="B521" t="s">
        <v>2257</v>
      </c>
      <c r="C521" s="22">
        <v>42182</v>
      </c>
      <c r="D521" t="s">
        <v>2014</v>
      </c>
      <c r="E521" t="s">
        <v>2015</v>
      </c>
      <c r="F521" t="s">
        <v>2417</v>
      </c>
      <c r="G521">
        <v>1</v>
      </c>
      <c r="H521">
        <v>528</v>
      </c>
      <c r="I521">
        <v>8</v>
      </c>
      <c r="J521">
        <v>4368</v>
      </c>
      <c r="K521">
        <v>9</v>
      </c>
      <c r="L521">
        <v>5427</v>
      </c>
      <c r="M521">
        <v>1</v>
      </c>
      <c r="N521">
        <v>502</v>
      </c>
      <c r="O521">
        <v>86</v>
      </c>
      <c r="P521">
        <v>49450</v>
      </c>
      <c r="Q521">
        <v>1</v>
      </c>
      <c r="R521">
        <v>572</v>
      </c>
      <c r="S521">
        <v>15</v>
      </c>
      <c r="T521">
        <v>9750</v>
      </c>
      <c r="U521">
        <v>12</v>
      </c>
      <c r="V521">
        <v>6960</v>
      </c>
      <c r="W521">
        <v>2</v>
      </c>
      <c r="X521">
        <v>920</v>
      </c>
      <c r="Y521" s="26">
        <f t="shared" si="8"/>
        <v>135</v>
      </c>
    </row>
    <row r="522" spans="1:25" x14ac:dyDescent="0.25">
      <c r="A522" t="s">
        <v>2258</v>
      </c>
      <c r="B522" t="s">
        <v>2259</v>
      </c>
      <c r="C522" s="22">
        <v>43955</v>
      </c>
      <c r="D522" t="s">
        <v>2014</v>
      </c>
      <c r="E522" t="s">
        <v>2015</v>
      </c>
      <c r="F522" t="s">
        <v>2417</v>
      </c>
      <c r="G522">
        <v>10</v>
      </c>
      <c r="H522">
        <v>5140</v>
      </c>
      <c r="I522">
        <v>28</v>
      </c>
      <c r="J522">
        <v>18060</v>
      </c>
      <c r="K522">
        <v>29</v>
      </c>
      <c r="L522">
        <v>15080</v>
      </c>
      <c r="M522">
        <v>22</v>
      </c>
      <c r="N522">
        <v>11924</v>
      </c>
      <c r="O522">
        <v>6</v>
      </c>
      <c r="P522">
        <v>3438</v>
      </c>
      <c r="Q522">
        <v>8</v>
      </c>
      <c r="R522">
        <v>4912</v>
      </c>
      <c r="S522">
        <v>19</v>
      </c>
      <c r="T522">
        <v>9291</v>
      </c>
      <c r="U522">
        <v>1</v>
      </c>
      <c r="V522">
        <v>584</v>
      </c>
      <c r="W522">
        <v>82</v>
      </c>
      <c r="X522">
        <v>38868</v>
      </c>
      <c r="Y522" s="26">
        <f t="shared" si="8"/>
        <v>205</v>
      </c>
    </row>
    <row r="523" spans="1:25" x14ac:dyDescent="0.25">
      <c r="A523" t="s">
        <v>2260</v>
      </c>
      <c r="B523" t="s">
        <v>2261</v>
      </c>
      <c r="C523" s="22">
        <v>43309</v>
      </c>
      <c r="D523" t="s">
        <v>2026</v>
      </c>
      <c r="E523" t="s">
        <v>2019</v>
      </c>
      <c r="F523" t="s">
        <v>2417</v>
      </c>
      <c r="G523">
        <v>63</v>
      </c>
      <c r="H523">
        <v>29043</v>
      </c>
      <c r="I523">
        <v>0</v>
      </c>
      <c r="J523">
        <v>0</v>
      </c>
      <c r="K523">
        <v>16</v>
      </c>
      <c r="L523">
        <v>9232</v>
      </c>
      <c r="M523">
        <v>17</v>
      </c>
      <c r="N523">
        <v>9401</v>
      </c>
      <c r="O523">
        <v>2</v>
      </c>
      <c r="P523">
        <v>1298</v>
      </c>
      <c r="Q523">
        <v>4</v>
      </c>
      <c r="R523">
        <v>2080</v>
      </c>
      <c r="S523">
        <v>2</v>
      </c>
      <c r="T523">
        <v>988</v>
      </c>
      <c r="U523">
        <v>81</v>
      </c>
      <c r="V523">
        <v>38880</v>
      </c>
      <c r="W523">
        <v>2</v>
      </c>
      <c r="X523">
        <v>1076</v>
      </c>
      <c r="Y523" s="26">
        <f t="shared" si="8"/>
        <v>187</v>
      </c>
    </row>
    <row r="524" spans="1:25" x14ac:dyDescent="0.25">
      <c r="A524" t="s">
        <v>2262</v>
      </c>
      <c r="B524" t="s">
        <v>2263</v>
      </c>
      <c r="C524" s="22">
        <v>44005</v>
      </c>
      <c r="D524" t="s">
        <v>2014</v>
      </c>
      <c r="E524" t="s">
        <v>2027</v>
      </c>
      <c r="F524" t="s">
        <v>2417</v>
      </c>
      <c r="G524">
        <v>4</v>
      </c>
      <c r="H524">
        <v>2060</v>
      </c>
      <c r="I524">
        <v>17</v>
      </c>
      <c r="J524">
        <v>9826</v>
      </c>
      <c r="K524">
        <v>40</v>
      </c>
      <c r="L524">
        <v>21800</v>
      </c>
      <c r="M524">
        <v>28</v>
      </c>
      <c r="N524">
        <v>14168</v>
      </c>
      <c r="O524">
        <v>12</v>
      </c>
      <c r="P524">
        <v>5472</v>
      </c>
      <c r="Q524">
        <v>13</v>
      </c>
      <c r="R524">
        <v>6669</v>
      </c>
      <c r="S524">
        <v>21</v>
      </c>
      <c r="T524">
        <v>10962</v>
      </c>
      <c r="U524">
        <v>6</v>
      </c>
      <c r="V524">
        <v>3864</v>
      </c>
      <c r="W524">
        <v>18</v>
      </c>
      <c r="X524">
        <v>8640</v>
      </c>
      <c r="Y524" s="26">
        <f t="shared" si="8"/>
        <v>159</v>
      </c>
    </row>
    <row r="525" spans="1:25" x14ac:dyDescent="0.25">
      <c r="A525" t="s">
        <v>2264</v>
      </c>
      <c r="B525" t="s">
        <v>2265</v>
      </c>
      <c r="C525" s="22">
        <v>42540</v>
      </c>
      <c r="D525" t="s">
        <v>2014</v>
      </c>
      <c r="E525" t="s">
        <v>2019</v>
      </c>
      <c r="F525" t="s">
        <v>2417</v>
      </c>
      <c r="G525">
        <v>53</v>
      </c>
      <c r="H525">
        <v>30369</v>
      </c>
      <c r="I525">
        <v>5</v>
      </c>
      <c r="J525">
        <v>2525</v>
      </c>
      <c r="K525">
        <v>7</v>
      </c>
      <c r="L525">
        <v>3780</v>
      </c>
      <c r="M525">
        <v>7</v>
      </c>
      <c r="N525">
        <v>3339</v>
      </c>
      <c r="O525">
        <v>2</v>
      </c>
      <c r="P525">
        <v>1100</v>
      </c>
      <c r="Q525">
        <v>3</v>
      </c>
      <c r="R525">
        <v>1608</v>
      </c>
      <c r="S525">
        <v>13</v>
      </c>
      <c r="T525">
        <v>6175</v>
      </c>
      <c r="U525">
        <v>13</v>
      </c>
      <c r="V525">
        <v>8385</v>
      </c>
      <c r="W525">
        <v>5</v>
      </c>
      <c r="X525">
        <v>2915</v>
      </c>
      <c r="Y525" s="26">
        <f t="shared" si="8"/>
        <v>108</v>
      </c>
    </row>
    <row r="526" spans="1:25" x14ac:dyDescent="0.25">
      <c r="A526" t="s">
        <v>2266</v>
      </c>
      <c r="B526" t="s">
        <v>2267</v>
      </c>
      <c r="C526" s="22">
        <v>42758</v>
      </c>
      <c r="D526" t="s">
        <v>2026</v>
      </c>
      <c r="E526" t="s">
        <v>2027</v>
      </c>
      <c r="F526" t="s">
        <v>2417</v>
      </c>
      <c r="G526">
        <v>20</v>
      </c>
      <c r="H526">
        <v>12000</v>
      </c>
      <c r="I526">
        <v>51</v>
      </c>
      <c r="J526">
        <v>30396</v>
      </c>
      <c r="K526">
        <v>3</v>
      </c>
      <c r="L526">
        <v>1638</v>
      </c>
      <c r="M526">
        <v>10</v>
      </c>
      <c r="N526">
        <v>4590</v>
      </c>
      <c r="O526">
        <v>3</v>
      </c>
      <c r="P526">
        <v>1920</v>
      </c>
      <c r="Q526">
        <v>64</v>
      </c>
      <c r="R526">
        <v>38528</v>
      </c>
      <c r="S526">
        <v>1</v>
      </c>
      <c r="T526">
        <v>491</v>
      </c>
      <c r="U526">
        <v>0</v>
      </c>
      <c r="V526">
        <v>0</v>
      </c>
      <c r="W526">
        <v>19</v>
      </c>
      <c r="X526">
        <v>9253</v>
      </c>
      <c r="Y526" s="26">
        <f t="shared" si="8"/>
        <v>171</v>
      </c>
    </row>
    <row r="527" spans="1:25" x14ac:dyDescent="0.25">
      <c r="A527" t="s">
        <v>2260</v>
      </c>
      <c r="B527" t="s">
        <v>2268</v>
      </c>
      <c r="C527" s="22">
        <v>43339</v>
      </c>
      <c r="D527" t="s">
        <v>2014</v>
      </c>
      <c r="E527" t="s">
        <v>2019</v>
      </c>
      <c r="F527" t="s">
        <v>2417</v>
      </c>
      <c r="G527">
        <v>13</v>
      </c>
      <c r="H527">
        <v>6006</v>
      </c>
      <c r="I527">
        <v>63</v>
      </c>
      <c r="J527">
        <v>37359</v>
      </c>
      <c r="K527">
        <v>16</v>
      </c>
      <c r="L527">
        <v>8736</v>
      </c>
      <c r="M527">
        <v>1</v>
      </c>
      <c r="N527">
        <v>598</v>
      </c>
      <c r="O527">
        <v>0</v>
      </c>
      <c r="P527">
        <v>0</v>
      </c>
      <c r="Q527">
        <v>1</v>
      </c>
      <c r="R527">
        <v>606</v>
      </c>
      <c r="S527">
        <v>0</v>
      </c>
      <c r="T527">
        <v>0</v>
      </c>
      <c r="U527">
        <v>10</v>
      </c>
      <c r="V527">
        <v>5530</v>
      </c>
      <c r="W527">
        <v>12</v>
      </c>
      <c r="X527">
        <v>5460</v>
      </c>
      <c r="Y527" s="26">
        <f t="shared" si="8"/>
        <v>116</v>
      </c>
    </row>
    <row r="528" spans="1:25" x14ac:dyDescent="0.25">
      <c r="A528" t="s">
        <v>2269</v>
      </c>
      <c r="B528" t="s">
        <v>2270</v>
      </c>
      <c r="C528" s="22">
        <v>42514</v>
      </c>
      <c r="D528" t="s">
        <v>2026</v>
      </c>
      <c r="E528" t="s">
        <v>2015</v>
      </c>
      <c r="F528" t="s">
        <v>2417</v>
      </c>
      <c r="G528">
        <v>28</v>
      </c>
      <c r="H528">
        <v>14000</v>
      </c>
      <c r="I528">
        <v>7</v>
      </c>
      <c r="J528">
        <v>3416</v>
      </c>
      <c r="K528">
        <v>6</v>
      </c>
      <c r="L528">
        <v>3426</v>
      </c>
      <c r="M528">
        <v>16</v>
      </c>
      <c r="N528">
        <v>9472</v>
      </c>
      <c r="O528">
        <v>1</v>
      </c>
      <c r="P528">
        <v>482</v>
      </c>
      <c r="Q528">
        <v>27</v>
      </c>
      <c r="R528">
        <v>14418</v>
      </c>
      <c r="S528">
        <v>13</v>
      </c>
      <c r="T528">
        <v>6643</v>
      </c>
      <c r="U528">
        <v>4</v>
      </c>
      <c r="V528">
        <v>2600</v>
      </c>
      <c r="W528">
        <v>17</v>
      </c>
      <c r="X528">
        <v>9503</v>
      </c>
      <c r="Y528" s="26">
        <f t="shared" si="8"/>
        <v>119</v>
      </c>
    </row>
    <row r="529" spans="1:25" x14ac:dyDescent="0.25">
      <c r="A529" t="s">
        <v>2271</v>
      </c>
      <c r="B529" t="s">
        <v>2272</v>
      </c>
      <c r="C529" s="22">
        <v>43058</v>
      </c>
      <c r="D529" t="s">
        <v>2026</v>
      </c>
      <c r="E529" t="s">
        <v>2015</v>
      </c>
      <c r="F529" t="s">
        <v>2417</v>
      </c>
      <c r="G529">
        <v>30</v>
      </c>
      <c r="H529">
        <v>14100</v>
      </c>
      <c r="I529">
        <v>33</v>
      </c>
      <c r="J529">
        <v>18645</v>
      </c>
      <c r="K529">
        <v>20</v>
      </c>
      <c r="L529">
        <v>9220</v>
      </c>
      <c r="M529">
        <v>43</v>
      </c>
      <c r="N529">
        <v>25198</v>
      </c>
      <c r="O529">
        <v>6</v>
      </c>
      <c r="P529">
        <v>2790</v>
      </c>
      <c r="Q529">
        <v>17</v>
      </c>
      <c r="R529">
        <v>10795</v>
      </c>
      <c r="S529">
        <v>0</v>
      </c>
      <c r="T529">
        <v>0</v>
      </c>
      <c r="U529">
        <v>2</v>
      </c>
      <c r="V529">
        <v>1164</v>
      </c>
      <c r="W529">
        <v>44</v>
      </c>
      <c r="X529">
        <v>25256</v>
      </c>
      <c r="Y529" s="26">
        <f t="shared" si="8"/>
        <v>195</v>
      </c>
    </row>
    <row r="530" spans="1:25" x14ac:dyDescent="0.25">
      <c r="A530" t="s">
        <v>2273</v>
      </c>
      <c r="B530" t="s">
        <v>2274</v>
      </c>
      <c r="C530" s="22">
        <v>42690</v>
      </c>
      <c r="D530" t="s">
        <v>2026</v>
      </c>
      <c r="E530" t="s">
        <v>2027</v>
      </c>
      <c r="F530" t="s">
        <v>2417</v>
      </c>
      <c r="G530">
        <v>23</v>
      </c>
      <c r="H530">
        <v>14122</v>
      </c>
      <c r="I530">
        <v>2</v>
      </c>
      <c r="J530">
        <v>948</v>
      </c>
      <c r="K530">
        <v>1</v>
      </c>
      <c r="L530">
        <v>618</v>
      </c>
      <c r="M530">
        <v>12</v>
      </c>
      <c r="N530">
        <v>6516</v>
      </c>
      <c r="O530">
        <v>8</v>
      </c>
      <c r="P530">
        <v>4224</v>
      </c>
      <c r="Q530">
        <v>23</v>
      </c>
      <c r="R530">
        <v>13271</v>
      </c>
      <c r="S530">
        <v>1</v>
      </c>
      <c r="T530">
        <v>477</v>
      </c>
      <c r="U530">
        <v>31</v>
      </c>
      <c r="V530">
        <v>18197</v>
      </c>
      <c r="W530">
        <v>0</v>
      </c>
      <c r="X530">
        <v>0</v>
      </c>
      <c r="Y530" s="26">
        <f t="shared" si="8"/>
        <v>101</v>
      </c>
    </row>
    <row r="531" spans="1:25" x14ac:dyDescent="0.25">
      <c r="A531" t="s">
        <v>2275</v>
      </c>
      <c r="B531" t="s">
        <v>2276</v>
      </c>
      <c r="C531" s="22">
        <v>43307</v>
      </c>
      <c r="D531" t="s">
        <v>2014</v>
      </c>
      <c r="E531" t="s">
        <v>2019</v>
      </c>
      <c r="F531" t="s">
        <v>2417</v>
      </c>
      <c r="G531">
        <v>0</v>
      </c>
      <c r="H531">
        <v>0</v>
      </c>
      <c r="I531">
        <v>4</v>
      </c>
      <c r="J531">
        <v>2140</v>
      </c>
      <c r="K531">
        <v>14</v>
      </c>
      <c r="L531">
        <v>8372</v>
      </c>
      <c r="M531">
        <v>6</v>
      </c>
      <c r="N531">
        <v>3072</v>
      </c>
      <c r="O531">
        <v>2</v>
      </c>
      <c r="P531">
        <v>1058</v>
      </c>
      <c r="Q531">
        <v>3</v>
      </c>
      <c r="R531">
        <v>1536</v>
      </c>
      <c r="S531">
        <v>14</v>
      </c>
      <c r="T531">
        <v>8722</v>
      </c>
      <c r="U531">
        <v>3</v>
      </c>
      <c r="V531">
        <v>1935</v>
      </c>
      <c r="W531">
        <v>0</v>
      </c>
      <c r="X531">
        <v>0</v>
      </c>
      <c r="Y531" s="26">
        <f t="shared" si="8"/>
        <v>46</v>
      </c>
    </row>
    <row r="532" spans="1:25" x14ac:dyDescent="0.25">
      <c r="A532" t="s">
        <v>2277</v>
      </c>
      <c r="B532" t="s">
        <v>2278</v>
      </c>
      <c r="C532" s="22">
        <v>42368</v>
      </c>
      <c r="D532" t="s">
        <v>2026</v>
      </c>
      <c r="E532" t="s">
        <v>2027</v>
      </c>
      <c r="F532" t="s">
        <v>2417</v>
      </c>
      <c r="G532">
        <v>0</v>
      </c>
      <c r="H532">
        <v>0</v>
      </c>
      <c r="I532">
        <v>27</v>
      </c>
      <c r="J532">
        <v>14526</v>
      </c>
      <c r="K532">
        <v>63</v>
      </c>
      <c r="L532">
        <v>40761</v>
      </c>
      <c r="M532">
        <v>2</v>
      </c>
      <c r="N532">
        <v>1016</v>
      </c>
      <c r="O532">
        <v>4</v>
      </c>
      <c r="P532">
        <v>2600</v>
      </c>
      <c r="Q532">
        <v>0</v>
      </c>
      <c r="R532">
        <v>0</v>
      </c>
      <c r="S532">
        <v>1</v>
      </c>
      <c r="T532">
        <v>513</v>
      </c>
      <c r="U532">
        <v>25</v>
      </c>
      <c r="V532">
        <v>11575</v>
      </c>
      <c r="W532">
        <v>8</v>
      </c>
      <c r="X532">
        <v>4264</v>
      </c>
      <c r="Y532" s="26">
        <f t="shared" si="8"/>
        <v>130</v>
      </c>
    </row>
    <row r="533" spans="1:25" x14ac:dyDescent="0.25">
      <c r="A533" t="s">
        <v>2279</v>
      </c>
      <c r="B533" t="s">
        <v>2280</v>
      </c>
      <c r="C533" s="22">
        <v>43666</v>
      </c>
      <c r="D533" t="s">
        <v>2026</v>
      </c>
      <c r="E533" t="s">
        <v>2015</v>
      </c>
      <c r="F533" t="s">
        <v>2417</v>
      </c>
      <c r="G533">
        <v>19</v>
      </c>
      <c r="H533">
        <v>8740</v>
      </c>
      <c r="I533">
        <v>1</v>
      </c>
      <c r="J533">
        <v>504</v>
      </c>
      <c r="K533">
        <v>12</v>
      </c>
      <c r="L533">
        <v>5484</v>
      </c>
      <c r="M533">
        <v>6</v>
      </c>
      <c r="N533">
        <v>2748</v>
      </c>
      <c r="O533">
        <v>16</v>
      </c>
      <c r="P533">
        <v>10160</v>
      </c>
      <c r="Q533">
        <v>1</v>
      </c>
      <c r="R533">
        <v>491</v>
      </c>
      <c r="S533">
        <v>21</v>
      </c>
      <c r="T533">
        <v>13629</v>
      </c>
      <c r="U533">
        <v>2</v>
      </c>
      <c r="V533">
        <v>954</v>
      </c>
      <c r="W533">
        <v>25</v>
      </c>
      <c r="X533">
        <v>11250</v>
      </c>
      <c r="Y533" s="26">
        <f t="shared" si="8"/>
        <v>103</v>
      </c>
    </row>
    <row r="534" spans="1:25" x14ac:dyDescent="0.25">
      <c r="A534" t="s">
        <v>2281</v>
      </c>
      <c r="B534" t="s">
        <v>2282</v>
      </c>
      <c r="C534" s="22">
        <v>42369</v>
      </c>
      <c r="D534" t="s">
        <v>2014</v>
      </c>
      <c r="E534" t="s">
        <v>2019</v>
      </c>
      <c r="F534" t="s">
        <v>2417</v>
      </c>
      <c r="G534">
        <v>68</v>
      </c>
      <c r="H534">
        <v>32300</v>
      </c>
      <c r="I534">
        <v>1</v>
      </c>
      <c r="J534">
        <v>551</v>
      </c>
      <c r="K534">
        <v>8</v>
      </c>
      <c r="L534">
        <v>4792</v>
      </c>
      <c r="M534">
        <v>2</v>
      </c>
      <c r="N534">
        <v>1186</v>
      </c>
      <c r="O534">
        <v>0</v>
      </c>
      <c r="P534">
        <v>0</v>
      </c>
      <c r="Q534">
        <v>35</v>
      </c>
      <c r="R534">
        <v>15925</v>
      </c>
      <c r="S534">
        <v>34</v>
      </c>
      <c r="T534">
        <v>15810</v>
      </c>
      <c r="U534">
        <v>15</v>
      </c>
      <c r="V534">
        <v>8250</v>
      </c>
      <c r="W534">
        <v>17</v>
      </c>
      <c r="X534">
        <v>9282</v>
      </c>
      <c r="Y534" s="26">
        <f t="shared" si="8"/>
        <v>180</v>
      </c>
    </row>
    <row r="535" spans="1:25" x14ac:dyDescent="0.25">
      <c r="A535" t="s">
        <v>2283</v>
      </c>
      <c r="B535" t="s">
        <v>2284</v>
      </c>
      <c r="C535" s="22">
        <v>43639</v>
      </c>
      <c r="D535" t="s">
        <v>2014</v>
      </c>
      <c r="E535" t="s">
        <v>2027</v>
      </c>
      <c r="F535" t="s">
        <v>2417</v>
      </c>
      <c r="G535">
        <v>52</v>
      </c>
      <c r="H535">
        <v>27976</v>
      </c>
      <c r="I535">
        <v>45</v>
      </c>
      <c r="J535">
        <v>29115</v>
      </c>
      <c r="K535">
        <v>10</v>
      </c>
      <c r="L535">
        <v>5480</v>
      </c>
      <c r="M535">
        <v>21</v>
      </c>
      <c r="N535">
        <v>11193</v>
      </c>
      <c r="O535">
        <v>34</v>
      </c>
      <c r="P535">
        <v>19380</v>
      </c>
      <c r="Q535">
        <v>28</v>
      </c>
      <c r="R535">
        <v>13048</v>
      </c>
      <c r="S535">
        <v>66</v>
      </c>
      <c r="T535">
        <v>32538</v>
      </c>
      <c r="U535">
        <v>2</v>
      </c>
      <c r="V535">
        <v>1172</v>
      </c>
      <c r="W535">
        <v>6</v>
      </c>
      <c r="X535">
        <v>3162</v>
      </c>
      <c r="Y535" s="26">
        <f t="shared" si="8"/>
        <v>264</v>
      </c>
    </row>
    <row r="536" spans="1:25" x14ac:dyDescent="0.25">
      <c r="A536" t="s">
        <v>2285</v>
      </c>
      <c r="B536" t="s">
        <v>2286</v>
      </c>
      <c r="C536" s="22">
        <v>42269</v>
      </c>
      <c r="D536" t="s">
        <v>2014</v>
      </c>
      <c r="E536" t="s">
        <v>2027</v>
      </c>
      <c r="F536" t="s">
        <v>2417</v>
      </c>
      <c r="G536">
        <v>2</v>
      </c>
      <c r="H536">
        <v>998</v>
      </c>
      <c r="I536">
        <v>30</v>
      </c>
      <c r="J536">
        <v>18180</v>
      </c>
      <c r="K536">
        <v>1</v>
      </c>
      <c r="L536">
        <v>596</v>
      </c>
      <c r="M536">
        <v>37</v>
      </c>
      <c r="N536">
        <v>23421</v>
      </c>
      <c r="O536">
        <v>0</v>
      </c>
      <c r="P536">
        <v>0</v>
      </c>
      <c r="Q536">
        <v>0</v>
      </c>
      <c r="R536">
        <v>0</v>
      </c>
      <c r="S536">
        <v>22</v>
      </c>
      <c r="T536">
        <v>12496</v>
      </c>
      <c r="U536">
        <v>31</v>
      </c>
      <c r="V536">
        <v>18135</v>
      </c>
      <c r="W536">
        <v>0</v>
      </c>
      <c r="X536">
        <v>0</v>
      </c>
      <c r="Y536" s="26">
        <f t="shared" si="8"/>
        <v>123</v>
      </c>
    </row>
    <row r="537" spans="1:25" x14ac:dyDescent="0.25">
      <c r="A537" t="s">
        <v>2287</v>
      </c>
      <c r="B537" t="s">
        <v>2288</v>
      </c>
      <c r="C537" s="22">
        <v>43429</v>
      </c>
      <c r="D537" t="s">
        <v>2026</v>
      </c>
      <c r="E537" t="s">
        <v>2027</v>
      </c>
      <c r="F537" t="s">
        <v>2417</v>
      </c>
      <c r="G537">
        <v>44</v>
      </c>
      <c r="H537">
        <v>22132</v>
      </c>
      <c r="I537">
        <v>9</v>
      </c>
      <c r="J537">
        <v>5526</v>
      </c>
      <c r="K537">
        <v>15</v>
      </c>
      <c r="L537">
        <v>9225</v>
      </c>
      <c r="M537">
        <v>4</v>
      </c>
      <c r="N537">
        <v>2512</v>
      </c>
      <c r="O537">
        <v>3</v>
      </c>
      <c r="P537">
        <v>1800</v>
      </c>
      <c r="Q537">
        <v>3</v>
      </c>
      <c r="R537">
        <v>1740</v>
      </c>
      <c r="S537">
        <v>26</v>
      </c>
      <c r="T537">
        <v>15366</v>
      </c>
      <c r="U537">
        <v>20</v>
      </c>
      <c r="V537">
        <v>9280</v>
      </c>
      <c r="W537">
        <v>9</v>
      </c>
      <c r="X537">
        <v>5301</v>
      </c>
      <c r="Y537" s="26">
        <f t="shared" si="8"/>
        <v>133</v>
      </c>
    </row>
    <row r="538" spans="1:25" x14ac:dyDescent="0.25">
      <c r="A538" t="s">
        <v>2289</v>
      </c>
      <c r="B538" t="s">
        <v>2290</v>
      </c>
      <c r="C538" s="22">
        <v>43883</v>
      </c>
      <c r="D538" t="s">
        <v>2026</v>
      </c>
      <c r="E538" t="s">
        <v>2019</v>
      </c>
      <c r="F538" t="s">
        <v>2417</v>
      </c>
      <c r="G538">
        <v>23</v>
      </c>
      <c r="H538">
        <v>10649</v>
      </c>
      <c r="I538">
        <v>11</v>
      </c>
      <c r="J538">
        <v>5588</v>
      </c>
      <c r="K538">
        <v>23</v>
      </c>
      <c r="L538">
        <v>11431</v>
      </c>
      <c r="M538">
        <v>27</v>
      </c>
      <c r="N538">
        <v>16119</v>
      </c>
      <c r="O538">
        <v>3</v>
      </c>
      <c r="P538">
        <v>1689</v>
      </c>
      <c r="Q538">
        <v>59</v>
      </c>
      <c r="R538">
        <v>28733</v>
      </c>
      <c r="S538">
        <v>69</v>
      </c>
      <c r="T538">
        <v>39399</v>
      </c>
      <c r="U538">
        <v>1</v>
      </c>
      <c r="V538">
        <v>514</v>
      </c>
      <c r="W538">
        <v>24</v>
      </c>
      <c r="X538">
        <v>11664</v>
      </c>
      <c r="Y538" s="26">
        <f t="shared" si="8"/>
        <v>240</v>
      </c>
    </row>
    <row r="539" spans="1:25" x14ac:dyDescent="0.25">
      <c r="A539" t="s">
        <v>2291</v>
      </c>
      <c r="B539" t="s">
        <v>2292</v>
      </c>
      <c r="C539" s="22">
        <v>42999</v>
      </c>
      <c r="D539" t="s">
        <v>2014</v>
      </c>
      <c r="E539" t="s">
        <v>2027</v>
      </c>
      <c r="F539" t="s">
        <v>2417</v>
      </c>
      <c r="G539">
        <v>22</v>
      </c>
      <c r="H539">
        <v>14124</v>
      </c>
      <c r="I539">
        <v>14</v>
      </c>
      <c r="J539">
        <v>7938</v>
      </c>
      <c r="K539">
        <v>9</v>
      </c>
      <c r="L539">
        <v>5463</v>
      </c>
      <c r="M539">
        <v>17</v>
      </c>
      <c r="N539">
        <v>7854</v>
      </c>
      <c r="O539">
        <v>5</v>
      </c>
      <c r="P539">
        <v>2865</v>
      </c>
      <c r="Q539">
        <v>1</v>
      </c>
      <c r="R539">
        <v>540</v>
      </c>
      <c r="S539">
        <v>1</v>
      </c>
      <c r="T539">
        <v>570</v>
      </c>
      <c r="U539">
        <v>6</v>
      </c>
      <c r="V539">
        <v>2850</v>
      </c>
      <c r="W539">
        <v>72</v>
      </c>
      <c r="X539">
        <v>33192</v>
      </c>
      <c r="Y539" s="26">
        <f t="shared" si="8"/>
        <v>147</v>
      </c>
    </row>
    <row r="540" spans="1:25" x14ac:dyDescent="0.25">
      <c r="A540" t="s">
        <v>2293</v>
      </c>
      <c r="B540" t="s">
        <v>2294</v>
      </c>
      <c r="C540" s="22">
        <v>43479</v>
      </c>
      <c r="D540" t="s">
        <v>2026</v>
      </c>
      <c r="E540" t="s">
        <v>2027</v>
      </c>
      <c r="F540" t="s">
        <v>2417</v>
      </c>
      <c r="G540">
        <v>26</v>
      </c>
      <c r="H540">
        <v>15808</v>
      </c>
      <c r="I540">
        <v>2</v>
      </c>
      <c r="J540">
        <v>960</v>
      </c>
      <c r="K540">
        <v>3</v>
      </c>
      <c r="L540">
        <v>1866</v>
      </c>
      <c r="M540">
        <v>16</v>
      </c>
      <c r="N540">
        <v>8528</v>
      </c>
      <c r="O540">
        <v>48</v>
      </c>
      <c r="P540">
        <v>30864</v>
      </c>
      <c r="Q540">
        <v>48</v>
      </c>
      <c r="R540">
        <v>24240</v>
      </c>
      <c r="S540">
        <v>6</v>
      </c>
      <c r="T540">
        <v>3120</v>
      </c>
      <c r="U540">
        <v>7</v>
      </c>
      <c r="V540">
        <v>3556</v>
      </c>
      <c r="W540">
        <v>0</v>
      </c>
      <c r="X540">
        <v>0</v>
      </c>
      <c r="Y540" s="26">
        <f t="shared" si="8"/>
        <v>156</v>
      </c>
    </row>
    <row r="541" spans="1:25" x14ac:dyDescent="0.25">
      <c r="A541" t="s">
        <v>2295</v>
      </c>
      <c r="B541" t="s">
        <v>2296</v>
      </c>
      <c r="C541" s="22">
        <v>42654</v>
      </c>
      <c r="D541" t="s">
        <v>2014</v>
      </c>
      <c r="E541" t="s">
        <v>2015</v>
      </c>
      <c r="F541" t="s">
        <v>2417</v>
      </c>
      <c r="G541">
        <v>1</v>
      </c>
      <c r="H541">
        <v>552</v>
      </c>
      <c r="I541">
        <v>1</v>
      </c>
      <c r="J541">
        <v>606</v>
      </c>
      <c r="K541">
        <v>11</v>
      </c>
      <c r="L541">
        <v>5819</v>
      </c>
      <c r="M541">
        <v>0</v>
      </c>
      <c r="N541">
        <v>0</v>
      </c>
      <c r="O541">
        <v>36</v>
      </c>
      <c r="P541">
        <v>16740</v>
      </c>
      <c r="Q541">
        <v>58</v>
      </c>
      <c r="R541">
        <v>32828</v>
      </c>
      <c r="S541">
        <v>19</v>
      </c>
      <c r="T541">
        <v>12084</v>
      </c>
      <c r="U541">
        <v>13</v>
      </c>
      <c r="V541">
        <v>8281</v>
      </c>
      <c r="W541">
        <v>38</v>
      </c>
      <c r="X541">
        <v>19076</v>
      </c>
      <c r="Y541" s="26">
        <f t="shared" si="8"/>
        <v>177</v>
      </c>
    </row>
    <row r="542" spans="1:25" x14ac:dyDescent="0.25">
      <c r="A542" t="s">
        <v>2297</v>
      </c>
      <c r="B542" t="s">
        <v>2298</v>
      </c>
      <c r="C542" s="22">
        <v>42315</v>
      </c>
      <c r="D542" t="s">
        <v>2014</v>
      </c>
      <c r="E542" t="s">
        <v>2027</v>
      </c>
      <c r="F542" t="s">
        <v>2417</v>
      </c>
      <c r="G542">
        <v>48</v>
      </c>
      <c r="H542">
        <v>26352</v>
      </c>
      <c r="I542">
        <v>41</v>
      </c>
      <c r="J542">
        <v>25133</v>
      </c>
      <c r="K542">
        <v>42</v>
      </c>
      <c r="L542">
        <v>20874</v>
      </c>
      <c r="M542">
        <v>28</v>
      </c>
      <c r="N542">
        <v>13272</v>
      </c>
      <c r="O542">
        <v>0</v>
      </c>
      <c r="P542">
        <v>0</v>
      </c>
      <c r="Q542">
        <v>2</v>
      </c>
      <c r="R542">
        <v>1244</v>
      </c>
      <c r="S542">
        <v>9</v>
      </c>
      <c r="T542">
        <v>5373</v>
      </c>
      <c r="U542">
        <v>37</v>
      </c>
      <c r="V542">
        <v>19536</v>
      </c>
      <c r="W542">
        <v>1</v>
      </c>
      <c r="X542">
        <v>631</v>
      </c>
      <c r="Y542" s="26">
        <f t="shared" si="8"/>
        <v>208</v>
      </c>
    </row>
    <row r="543" spans="1:25" x14ac:dyDescent="0.25">
      <c r="A543" t="s">
        <v>2299</v>
      </c>
      <c r="B543" t="s">
        <v>2300</v>
      </c>
      <c r="C543" s="22">
        <v>44029</v>
      </c>
      <c r="D543" t="s">
        <v>2014</v>
      </c>
      <c r="E543" t="s">
        <v>2027</v>
      </c>
      <c r="F543" t="s">
        <v>2417</v>
      </c>
      <c r="G543">
        <v>24</v>
      </c>
      <c r="H543">
        <v>14952</v>
      </c>
      <c r="I543">
        <v>34</v>
      </c>
      <c r="J543">
        <v>19312</v>
      </c>
      <c r="K543">
        <v>55</v>
      </c>
      <c r="L543">
        <v>26180</v>
      </c>
      <c r="M543">
        <v>1</v>
      </c>
      <c r="N543">
        <v>576</v>
      </c>
      <c r="O543">
        <v>3</v>
      </c>
      <c r="P543">
        <v>1413</v>
      </c>
      <c r="Q543">
        <v>1</v>
      </c>
      <c r="R543">
        <v>557</v>
      </c>
      <c r="S543">
        <v>10</v>
      </c>
      <c r="T543">
        <v>5240</v>
      </c>
      <c r="U543">
        <v>2</v>
      </c>
      <c r="V543">
        <v>960</v>
      </c>
      <c r="W543">
        <v>1</v>
      </c>
      <c r="X543">
        <v>622</v>
      </c>
      <c r="Y543" s="26">
        <f t="shared" si="8"/>
        <v>131</v>
      </c>
    </row>
    <row r="544" spans="1:25" x14ac:dyDescent="0.25">
      <c r="A544" t="s">
        <v>2301</v>
      </c>
      <c r="B544" t="s">
        <v>2302</v>
      </c>
      <c r="C544" s="22">
        <v>43260</v>
      </c>
      <c r="D544" t="s">
        <v>2026</v>
      </c>
      <c r="E544" t="s">
        <v>2015</v>
      </c>
      <c r="F544" t="s">
        <v>2417</v>
      </c>
      <c r="G544">
        <v>1</v>
      </c>
      <c r="H544">
        <v>534</v>
      </c>
      <c r="I544">
        <v>8</v>
      </c>
      <c r="J544">
        <v>4816</v>
      </c>
      <c r="K544">
        <v>20</v>
      </c>
      <c r="L544">
        <v>9400</v>
      </c>
      <c r="M544">
        <v>1</v>
      </c>
      <c r="N544">
        <v>483</v>
      </c>
      <c r="O544">
        <v>83</v>
      </c>
      <c r="P544">
        <v>42164</v>
      </c>
      <c r="Q544">
        <v>6</v>
      </c>
      <c r="R544">
        <v>3018</v>
      </c>
      <c r="S544">
        <v>17</v>
      </c>
      <c r="T544">
        <v>8262</v>
      </c>
      <c r="U544">
        <v>2</v>
      </c>
      <c r="V544">
        <v>1076</v>
      </c>
      <c r="W544">
        <v>1</v>
      </c>
      <c r="X544">
        <v>474</v>
      </c>
      <c r="Y544" s="26">
        <f t="shared" si="8"/>
        <v>139</v>
      </c>
    </row>
    <row r="545" spans="1:25" x14ac:dyDescent="0.25">
      <c r="A545" t="s">
        <v>2303</v>
      </c>
      <c r="B545" t="s">
        <v>2304</v>
      </c>
      <c r="C545" s="22">
        <v>43715</v>
      </c>
      <c r="D545" t="s">
        <v>2026</v>
      </c>
      <c r="E545" t="s">
        <v>2019</v>
      </c>
      <c r="F545" t="s">
        <v>2417</v>
      </c>
      <c r="G545">
        <v>27</v>
      </c>
      <c r="H545">
        <v>12420</v>
      </c>
      <c r="I545">
        <v>3</v>
      </c>
      <c r="J545">
        <v>1548</v>
      </c>
      <c r="K545">
        <v>2</v>
      </c>
      <c r="L545">
        <v>1000</v>
      </c>
      <c r="M545">
        <v>6</v>
      </c>
      <c r="N545">
        <v>3774</v>
      </c>
      <c r="O545">
        <v>2</v>
      </c>
      <c r="P545">
        <v>1250</v>
      </c>
      <c r="Q545">
        <v>12</v>
      </c>
      <c r="R545">
        <v>5628</v>
      </c>
      <c r="S545">
        <v>55</v>
      </c>
      <c r="T545">
        <v>27665</v>
      </c>
      <c r="U545">
        <v>16</v>
      </c>
      <c r="V545">
        <v>9392</v>
      </c>
      <c r="W545">
        <v>10</v>
      </c>
      <c r="X545">
        <v>5390</v>
      </c>
      <c r="Y545" s="26">
        <f t="shared" si="8"/>
        <v>133</v>
      </c>
    </row>
    <row r="546" spans="1:25" x14ac:dyDescent="0.25">
      <c r="A546" t="s">
        <v>2305</v>
      </c>
      <c r="B546" t="s">
        <v>2306</v>
      </c>
      <c r="C546" s="22">
        <v>42423</v>
      </c>
      <c r="D546" t="s">
        <v>2026</v>
      </c>
      <c r="E546" t="s">
        <v>2027</v>
      </c>
      <c r="F546" t="s">
        <v>2417</v>
      </c>
      <c r="G546">
        <v>0</v>
      </c>
      <c r="H546">
        <v>0</v>
      </c>
      <c r="I546">
        <v>20</v>
      </c>
      <c r="J546">
        <v>10660</v>
      </c>
      <c r="K546">
        <v>22</v>
      </c>
      <c r="L546">
        <v>13486</v>
      </c>
      <c r="M546">
        <v>31</v>
      </c>
      <c r="N546">
        <v>15655</v>
      </c>
      <c r="O546">
        <v>1</v>
      </c>
      <c r="P546">
        <v>630</v>
      </c>
      <c r="Q546">
        <v>0</v>
      </c>
      <c r="R546">
        <v>0</v>
      </c>
      <c r="S546">
        <v>16</v>
      </c>
      <c r="T546">
        <v>8032</v>
      </c>
      <c r="U546">
        <v>10</v>
      </c>
      <c r="V546">
        <v>6340</v>
      </c>
      <c r="W546">
        <v>8</v>
      </c>
      <c r="X546">
        <v>3600</v>
      </c>
      <c r="Y546" s="26">
        <f t="shared" si="8"/>
        <v>108</v>
      </c>
    </row>
    <row r="547" spans="1:25" x14ac:dyDescent="0.25">
      <c r="A547" t="s">
        <v>2307</v>
      </c>
      <c r="B547" t="s">
        <v>2308</v>
      </c>
      <c r="C547" s="22">
        <v>43472</v>
      </c>
      <c r="D547" t="s">
        <v>2014</v>
      </c>
      <c r="E547" t="s">
        <v>2015</v>
      </c>
      <c r="F547" t="s">
        <v>2417</v>
      </c>
      <c r="G547">
        <v>0</v>
      </c>
      <c r="H547">
        <v>0</v>
      </c>
      <c r="I547">
        <v>64</v>
      </c>
      <c r="J547">
        <v>35456</v>
      </c>
      <c r="K547">
        <v>22</v>
      </c>
      <c r="L547">
        <v>12430</v>
      </c>
      <c r="M547">
        <v>10</v>
      </c>
      <c r="N547">
        <v>5620</v>
      </c>
      <c r="O547">
        <v>2</v>
      </c>
      <c r="P547">
        <v>938</v>
      </c>
      <c r="Q547">
        <v>11</v>
      </c>
      <c r="R547">
        <v>5159</v>
      </c>
      <c r="S547">
        <v>65</v>
      </c>
      <c r="T547">
        <v>40690</v>
      </c>
      <c r="U547">
        <v>5</v>
      </c>
      <c r="V547">
        <v>2905</v>
      </c>
      <c r="W547">
        <v>9</v>
      </c>
      <c r="X547">
        <v>4365</v>
      </c>
      <c r="Y547" s="26">
        <f t="shared" si="8"/>
        <v>188</v>
      </c>
    </row>
    <row r="548" spans="1:25" x14ac:dyDescent="0.25">
      <c r="A548" t="s">
        <v>2309</v>
      </c>
      <c r="B548" t="s">
        <v>2310</v>
      </c>
      <c r="C548" s="22">
        <v>43828</v>
      </c>
      <c r="D548" t="s">
        <v>2026</v>
      </c>
      <c r="E548" t="s">
        <v>2027</v>
      </c>
      <c r="F548" t="s">
        <v>2417</v>
      </c>
      <c r="G548">
        <v>19</v>
      </c>
      <c r="H548">
        <v>11419</v>
      </c>
      <c r="I548">
        <v>0</v>
      </c>
      <c r="J548">
        <v>0</v>
      </c>
      <c r="K548">
        <v>39</v>
      </c>
      <c r="L548">
        <v>24648</v>
      </c>
      <c r="M548">
        <v>47</v>
      </c>
      <c r="N548">
        <v>30174</v>
      </c>
      <c r="O548">
        <v>6</v>
      </c>
      <c r="P548">
        <v>3468</v>
      </c>
      <c r="Q548">
        <v>24</v>
      </c>
      <c r="R548">
        <v>14640</v>
      </c>
      <c r="S548">
        <v>16</v>
      </c>
      <c r="T548">
        <v>9168</v>
      </c>
      <c r="U548">
        <v>40</v>
      </c>
      <c r="V548">
        <v>22560</v>
      </c>
      <c r="W548">
        <v>77</v>
      </c>
      <c r="X548">
        <v>45045</v>
      </c>
      <c r="Y548" s="26">
        <f t="shared" si="8"/>
        <v>268</v>
      </c>
    </row>
    <row r="549" spans="1:25" x14ac:dyDescent="0.25">
      <c r="A549" t="s">
        <v>2311</v>
      </c>
      <c r="B549" t="s">
        <v>2312</v>
      </c>
      <c r="C549" s="22">
        <v>44021</v>
      </c>
      <c r="D549" t="s">
        <v>2014</v>
      </c>
      <c r="E549" t="s">
        <v>2027</v>
      </c>
      <c r="F549" t="s">
        <v>2417</v>
      </c>
      <c r="G549">
        <v>1</v>
      </c>
      <c r="H549">
        <v>500</v>
      </c>
      <c r="I549">
        <v>10</v>
      </c>
      <c r="J549">
        <v>4800</v>
      </c>
      <c r="K549">
        <v>0</v>
      </c>
      <c r="L549">
        <v>0</v>
      </c>
      <c r="M549">
        <v>12</v>
      </c>
      <c r="N549">
        <v>6240</v>
      </c>
      <c r="O549">
        <v>13</v>
      </c>
      <c r="P549">
        <v>7917</v>
      </c>
      <c r="Q549">
        <v>5</v>
      </c>
      <c r="R549">
        <v>2600</v>
      </c>
      <c r="S549">
        <v>2</v>
      </c>
      <c r="T549">
        <v>1264</v>
      </c>
      <c r="U549">
        <v>1</v>
      </c>
      <c r="V549">
        <v>631</v>
      </c>
      <c r="W549">
        <v>0</v>
      </c>
      <c r="X549">
        <v>0</v>
      </c>
      <c r="Y549" s="26">
        <f t="shared" si="8"/>
        <v>44</v>
      </c>
    </row>
    <row r="550" spans="1:25" x14ac:dyDescent="0.25">
      <c r="A550" t="s">
        <v>2313</v>
      </c>
      <c r="B550" t="s">
        <v>2314</v>
      </c>
      <c r="C550" s="22">
        <v>43224</v>
      </c>
      <c r="D550" t="s">
        <v>2026</v>
      </c>
      <c r="E550" t="s">
        <v>2027</v>
      </c>
      <c r="F550" t="s">
        <v>2417</v>
      </c>
      <c r="G550">
        <v>27</v>
      </c>
      <c r="H550">
        <v>12258</v>
      </c>
      <c r="I550">
        <v>0</v>
      </c>
      <c r="J550">
        <v>0</v>
      </c>
      <c r="K550">
        <v>3</v>
      </c>
      <c r="L550">
        <v>1893</v>
      </c>
      <c r="M550">
        <v>15</v>
      </c>
      <c r="N550">
        <v>8745</v>
      </c>
      <c r="O550">
        <v>57</v>
      </c>
      <c r="P550">
        <v>26106</v>
      </c>
      <c r="Q550">
        <v>10</v>
      </c>
      <c r="R550">
        <v>5520</v>
      </c>
      <c r="S550">
        <v>20</v>
      </c>
      <c r="T550">
        <v>10400</v>
      </c>
      <c r="U550">
        <v>56</v>
      </c>
      <c r="V550">
        <v>30856</v>
      </c>
      <c r="W550">
        <v>3</v>
      </c>
      <c r="X550">
        <v>1479</v>
      </c>
      <c r="Y550" s="26">
        <f t="shared" si="8"/>
        <v>191</v>
      </c>
    </row>
    <row r="551" spans="1:25" x14ac:dyDescent="0.25">
      <c r="A551" t="s">
        <v>2315</v>
      </c>
      <c r="B551" t="s">
        <v>2316</v>
      </c>
      <c r="C551" s="22">
        <v>43376</v>
      </c>
      <c r="D551" t="s">
        <v>2026</v>
      </c>
      <c r="E551" t="s">
        <v>2027</v>
      </c>
      <c r="F551" t="s">
        <v>2417</v>
      </c>
      <c r="G551">
        <v>48</v>
      </c>
      <c r="H551">
        <v>21744</v>
      </c>
      <c r="I551">
        <v>0</v>
      </c>
      <c r="J551">
        <v>0</v>
      </c>
      <c r="K551">
        <v>54</v>
      </c>
      <c r="L551">
        <v>32940</v>
      </c>
      <c r="M551">
        <v>0</v>
      </c>
      <c r="N551">
        <v>0</v>
      </c>
      <c r="O551">
        <v>3</v>
      </c>
      <c r="P551">
        <v>1452</v>
      </c>
      <c r="Q551">
        <v>22</v>
      </c>
      <c r="R551">
        <v>13376</v>
      </c>
      <c r="S551">
        <v>18</v>
      </c>
      <c r="T551">
        <v>10116</v>
      </c>
      <c r="U551">
        <v>16</v>
      </c>
      <c r="V551">
        <v>7424</v>
      </c>
      <c r="W551">
        <v>50</v>
      </c>
      <c r="X551">
        <v>31350</v>
      </c>
      <c r="Y551" s="26">
        <f t="shared" si="8"/>
        <v>211</v>
      </c>
    </row>
    <row r="552" spans="1:25" x14ac:dyDescent="0.25">
      <c r="A552" t="s">
        <v>2317</v>
      </c>
      <c r="B552" t="s">
        <v>2318</v>
      </c>
      <c r="C552" s="22">
        <v>42831</v>
      </c>
      <c r="D552" t="s">
        <v>2026</v>
      </c>
      <c r="E552" t="s">
        <v>2027</v>
      </c>
      <c r="F552" t="s">
        <v>2417</v>
      </c>
      <c r="G552">
        <v>6</v>
      </c>
      <c r="H552">
        <v>3714</v>
      </c>
      <c r="I552">
        <v>4</v>
      </c>
      <c r="J552">
        <v>2444</v>
      </c>
      <c r="K552">
        <v>5</v>
      </c>
      <c r="L552">
        <v>3135</v>
      </c>
      <c r="M552">
        <v>21</v>
      </c>
      <c r="N552">
        <v>11445</v>
      </c>
      <c r="O552">
        <v>3</v>
      </c>
      <c r="P552">
        <v>1905</v>
      </c>
      <c r="Q552">
        <v>18</v>
      </c>
      <c r="R552">
        <v>9198</v>
      </c>
      <c r="S552">
        <v>3</v>
      </c>
      <c r="T552">
        <v>1851</v>
      </c>
      <c r="U552">
        <v>29</v>
      </c>
      <c r="V552">
        <v>14007</v>
      </c>
      <c r="W552">
        <v>15</v>
      </c>
      <c r="X552">
        <v>9585</v>
      </c>
      <c r="Y552" s="26">
        <f t="shared" si="8"/>
        <v>104</v>
      </c>
    </row>
    <row r="553" spans="1:25" x14ac:dyDescent="0.25">
      <c r="A553" t="s">
        <v>2319</v>
      </c>
      <c r="B553" t="s">
        <v>2320</v>
      </c>
      <c r="C553" s="22">
        <v>44108</v>
      </c>
      <c r="D553" t="s">
        <v>2014</v>
      </c>
      <c r="E553" t="s">
        <v>2015</v>
      </c>
      <c r="F553" t="s">
        <v>2417</v>
      </c>
      <c r="G553">
        <v>79</v>
      </c>
      <c r="H553">
        <v>44714</v>
      </c>
      <c r="I553">
        <v>4</v>
      </c>
      <c r="J553">
        <v>2004</v>
      </c>
      <c r="K553">
        <v>0</v>
      </c>
      <c r="L553">
        <v>0</v>
      </c>
      <c r="M553">
        <v>0</v>
      </c>
      <c r="N553">
        <v>0</v>
      </c>
      <c r="O553">
        <v>11</v>
      </c>
      <c r="P553">
        <v>7018</v>
      </c>
      <c r="Q553">
        <v>0</v>
      </c>
      <c r="R553">
        <v>0</v>
      </c>
      <c r="S553">
        <v>7</v>
      </c>
      <c r="T553">
        <v>3591</v>
      </c>
      <c r="U553">
        <v>49</v>
      </c>
      <c r="V553">
        <v>24206</v>
      </c>
      <c r="W553">
        <v>8</v>
      </c>
      <c r="X553">
        <v>3640</v>
      </c>
      <c r="Y553" s="26">
        <f t="shared" si="8"/>
        <v>158</v>
      </c>
    </row>
    <row r="554" spans="1:25" x14ac:dyDescent="0.25">
      <c r="A554" t="s">
        <v>2321</v>
      </c>
      <c r="B554" t="s">
        <v>2322</v>
      </c>
      <c r="C554" s="22">
        <v>42964</v>
      </c>
      <c r="D554" t="s">
        <v>2014</v>
      </c>
      <c r="E554" t="s">
        <v>2019</v>
      </c>
      <c r="F554" t="s">
        <v>2417</v>
      </c>
      <c r="G554">
        <v>1</v>
      </c>
      <c r="H554">
        <v>512</v>
      </c>
      <c r="I554">
        <v>9</v>
      </c>
      <c r="J554">
        <v>4941</v>
      </c>
      <c r="K554">
        <v>2</v>
      </c>
      <c r="L554">
        <v>1234</v>
      </c>
      <c r="M554">
        <v>5</v>
      </c>
      <c r="N554">
        <v>2585</v>
      </c>
      <c r="O554">
        <v>12</v>
      </c>
      <c r="P554">
        <v>6012</v>
      </c>
      <c r="Q554">
        <v>7</v>
      </c>
      <c r="R554">
        <v>3178</v>
      </c>
      <c r="S554">
        <v>14</v>
      </c>
      <c r="T554">
        <v>7826</v>
      </c>
      <c r="U554">
        <v>1</v>
      </c>
      <c r="V554">
        <v>586</v>
      </c>
      <c r="W554">
        <v>6</v>
      </c>
      <c r="X554">
        <v>2994</v>
      </c>
      <c r="Y554" s="26">
        <f t="shared" si="8"/>
        <v>57</v>
      </c>
    </row>
    <row r="555" spans="1:25" x14ac:dyDescent="0.25">
      <c r="A555" t="s">
        <v>2323</v>
      </c>
      <c r="B555" t="s">
        <v>2324</v>
      </c>
      <c r="C555" s="22">
        <v>43429</v>
      </c>
      <c r="D555" t="s">
        <v>2014</v>
      </c>
      <c r="E555" t="s">
        <v>2019</v>
      </c>
      <c r="F555" t="s">
        <v>2417</v>
      </c>
      <c r="G555">
        <v>41</v>
      </c>
      <c r="H555">
        <v>26650</v>
      </c>
      <c r="I555">
        <v>9</v>
      </c>
      <c r="J555">
        <v>4590</v>
      </c>
      <c r="K555">
        <v>2</v>
      </c>
      <c r="L555">
        <v>1080</v>
      </c>
      <c r="M555">
        <v>0</v>
      </c>
      <c r="N555">
        <v>0</v>
      </c>
      <c r="O555">
        <v>37</v>
      </c>
      <c r="P555">
        <v>17760</v>
      </c>
      <c r="Q555">
        <v>3</v>
      </c>
      <c r="R555">
        <v>1707</v>
      </c>
      <c r="S555">
        <v>12</v>
      </c>
      <c r="T555">
        <v>7548</v>
      </c>
      <c r="U555">
        <v>20</v>
      </c>
      <c r="V555">
        <v>11260</v>
      </c>
      <c r="W555">
        <v>0</v>
      </c>
      <c r="X555">
        <v>0</v>
      </c>
      <c r="Y555" s="26">
        <f t="shared" si="8"/>
        <v>124</v>
      </c>
    </row>
    <row r="556" spans="1:25" x14ac:dyDescent="0.25">
      <c r="A556" t="s">
        <v>2325</v>
      </c>
      <c r="B556" t="s">
        <v>2326</v>
      </c>
      <c r="C556" s="22">
        <v>43203</v>
      </c>
      <c r="D556" t="s">
        <v>2014</v>
      </c>
      <c r="E556" t="s">
        <v>2019</v>
      </c>
      <c r="F556" t="s">
        <v>2417</v>
      </c>
      <c r="G556">
        <v>5</v>
      </c>
      <c r="H556">
        <v>2505</v>
      </c>
      <c r="I556">
        <v>5</v>
      </c>
      <c r="J556">
        <v>2680</v>
      </c>
      <c r="K556">
        <v>9</v>
      </c>
      <c r="L556">
        <v>4248</v>
      </c>
      <c r="M556">
        <v>1</v>
      </c>
      <c r="N556">
        <v>542</v>
      </c>
      <c r="O556">
        <v>7</v>
      </c>
      <c r="P556">
        <v>3570</v>
      </c>
      <c r="Q556">
        <v>8</v>
      </c>
      <c r="R556">
        <v>4856</v>
      </c>
      <c r="S556">
        <v>0</v>
      </c>
      <c r="T556">
        <v>0</v>
      </c>
      <c r="U556">
        <v>28</v>
      </c>
      <c r="V556">
        <v>13748</v>
      </c>
      <c r="W556">
        <v>66</v>
      </c>
      <c r="X556">
        <v>40854</v>
      </c>
      <c r="Y556" s="26">
        <f t="shared" si="8"/>
        <v>129</v>
      </c>
    </row>
    <row r="557" spans="1:25" x14ac:dyDescent="0.25">
      <c r="A557" t="s">
        <v>2327</v>
      </c>
      <c r="B557" t="s">
        <v>2328</v>
      </c>
      <c r="C557" s="22">
        <v>44139</v>
      </c>
      <c r="D557" t="s">
        <v>2026</v>
      </c>
      <c r="E557" t="s">
        <v>2027</v>
      </c>
      <c r="F557" t="s">
        <v>2417</v>
      </c>
      <c r="G557">
        <v>1</v>
      </c>
      <c r="H557">
        <v>516</v>
      </c>
      <c r="I557">
        <v>19</v>
      </c>
      <c r="J557">
        <v>9880</v>
      </c>
      <c r="K557">
        <v>14</v>
      </c>
      <c r="L557">
        <v>7070</v>
      </c>
      <c r="M557">
        <v>14</v>
      </c>
      <c r="N557">
        <v>6804</v>
      </c>
      <c r="O557">
        <v>14</v>
      </c>
      <c r="P557">
        <v>8582</v>
      </c>
      <c r="Q557">
        <v>15</v>
      </c>
      <c r="R557">
        <v>8565</v>
      </c>
      <c r="S557">
        <v>16</v>
      </c>
      <c r="T557">
        <v>10240</v>
      </c>
      <c r="U557">
        <v>9</v>
      </c>
      <c r="V557">
        <v>5769</v>
      </c>
      <c r="W557">
        <v>9</v>
      </c>
      <c r="X557">
        <v>5202</v>
      </c>
      <c r="Y557" s="26">
        <f t="shared" si="8"/>
        <v>111</v>
      </c>
    </row>
    <row r="558" spans="1:25" x14ac:dyDescent="0.25">
      <c r="A558" t="s">
        <v>2329</v>
      </c>
      <c r="B558" t="s">
        <v>2330</v>
      </c>
      <c r="C558" s="22">
        <v>42213</v>
      </c>
      <c r="D558" t="s">
        <v>2014</v>
      </c>
      <c r="E558" t="s">
        <v>2019</v>
      </c>
      <c r="F558" t="s">
        <v>2417</v>
      </c>
      <c r="G558">
        <v>3</v>
      </c>
      <c r="H558">
        <v>1650</v>
      </c>
      <c r="I558">
        <v>1</v>
      </c>
      <c r="J558">
        <v>537</v>
      </c>
      <c r="K558">
        <v>8</v>
      </c>
      <c r="L558">
        <v>5024</v>
      </c>
      <c r="M558">
        <v>48</v>
      </c>
      <c r="N558">
        <v>30000</v>
      </c>
      <c r="O558">
        <v>9</v>
      </c>
      <c r="P558">
        <v>5193</v>
      </c>
      <c r="Q558">
        <v>5</v>
      </c>
      <c r="R558">
        <v>2945</v>
      </c>
      <c r="S558">
        <v>1</v>
      </c>
      <c r="T558">
        <v>611</v>
      </c>
      <c r="U558">
        <v>22</v>
      </c>
      <c r="V558">
        <v>12760</v>
      </c>
      <c r="W558">
        <v>19</v>
      </c>
      <c r="X558">
        <v>9329</v>
      </c>
      <c r="Y558" s="26">
        <f t="shared" si="8"/>
        <v>116</v>
      </c>
    </row>
    <row r="559" spans="1:25" x14ac:dyDescent="0.25">
      <c r="A559" t="s">
        <v>2331</v>
      </c>
      <c r="B559" t="s">
        <v>2332</v>
      </c>
      <c r="C559" s="22">
        <v>43331</v>
      </c>
      <c r="D559" t="s">
        <v>2014</v>
      </c>
      <c r="E559" t="s">
        <v>2019</v>
      </c>
      <c r="F559" t="s">
        <v>2417</v>
      </c>
      <c r="G559">
        <v>1</v>
      </c>
      <c r="H559">
        <v>634</v>
      </c>
      <c r="I559">
        <v>0</v>
      </c>
      <c r="J559">
        <v>0</v>
      </c>
      <c r="K559">
        <v>16</v>
      </c>
      <c r="L559">
        <v>9936</v>
      </c>
      <c r="M559">
        <v>6</v>
      </c>
      <c r="N559">
        <v>3702</v>
      </c>
      <c r="O559">
        <v>37</v>
      </c>
      <c r="P559">
        <v>19647</v>
      </c>
      <c r="Q559">
        <v>16</v>
      </c>
      <c r="R559">
        <v>9104</v>
      </c>
      <c r="S559">
        <v>5</v>
      </c>
      <c r="T559">
        <v>2315</v>
      </c>
      <c r="U559">
        <v>51</v>
      </c>
      <c r="V559">
        <v>31110</v>
      </c>
      <c r="W559">
        <v>9</v>
      </c>
      <c r="X559">
        <v>5283</v>
      </c>
      <c r="Y559" s="26">
        <f t="shared" si="8"/>
        <v>141</v>
      </c>
    </row>
    <row r="560" spans="1:25" x14ac:dyDescent="0.25">
      <c r="A560" t="s">
        <v>2333</v>
      </c>
      <c r="B560" t="s">
        <v>2334</v>
      </c>
      <c r="C560" s="22">
        <v>43767</v>
      </c>
      <c r="D560" t="s">
        <v>2026</v>
      </c>
      <c r="E560" t="s">
        <v>2015</v>
      </c>
      <c r="F560" t="s">
        <v>2417</v>
      </c>
      <c r="G560">
        <v>43</v>
      </c>
      <c r="H560">
        <v>26574</v>
      </c>
      <c r="I560">
        <v>34</v>
      </c>
      <c r="J560">
        <v>20638</v>
      </c>
      <c r="K560">
        <v>22</v>
      </c>
      <c r="L560">
        <v>11352</v>
      </c>
      <c r="M560">
        <v>28</v>
      </c>
      <c r="N560">
        <v>15792</v>
      </c>
      <c r="O560">
        <v>3</v>
      </c>
      <c r="P560">
        <v>1809</v>
      </c>
      <c r="Q560">
        <v>0</v>
      </c>
      <c r="R560">
        <v>0</v>
      </c>
      <c r="S560">
        <v>0</v>
      </c>
      <c r="T560">
        <v>0</v>
      </c>
      <c r="U560">
        <v>8</v>
      </c>
      <c r="V560">
        <v>4344</v>
      </c>
      <c r="W560">
        <v>2</v>
      </c>
      <c r="X560">
        <v>1142</v>
      </c>
      <c r="Y560" s="26">
        <f t="shared" si="8"/>
        <v>140</v>
      </c>
    </row>
    <row r="561" spans="1:25" x14ac:dyDescent="0.25">
      <c r="A561" t="s">
        <v>2335</v>
      </c>
      <c r="B561" t="s">
        <v>2336</v>
      </c>
      <c r="C561" s="22">
        <v>42380</v>
      </c>
      <c r="D561" t="s">
        <v>2014</v>
      </c>
      <c r="E561" t="s">
        <v>2015</v>
      </c>
      <c r="F561" t="s">
        <v>2417</v>
      </c>
      <c r="G561">
        <v>3</v>
      </c>
      <c r="H561">
        <v>1587</v>
      </c>
      <c r="I561">
        <v>4</v>
      </c>
      <c r="J561">
        <v>2124</v>
      </c>
      <c r="K561">
        <v>10</v>
      </c>
      <c r="L561">
        <v>5440</v>
      </c>
      <c r="M561">
        <v>12</v>
      </c>
      <c r="N561">
        <v>6900</v>
      </c>
      <c r="O561">
        <v>70</v>
      </c>
      <c r="P561">
        <v>32480</v>
      </c>
      <c r="Q561">
        <v>18</v>
      </c>
      <c r="R561">
        <v>9324</v>
      </c>
      <c r="S561">
        <v>16</v>
      </c>
      <c r="T561">
        <v>9776</v>
      </c>
      <c r="U561">
        <v>25</v>
      </c>
      <c r="V561">
        <v>13850</v>
      </c>
      <c r="W561">
        <v>10</v>
      </c>
      <c r="X561">
        <v>6290</v>
      </c>
      <c r="Y561" s="26">
        <f t="shared" si="8"/>
        <v>168</v>
      </c>
    </row>
    <row r="562" spans="1:25" x14ac:dyDescent="0.25">
      <c r="A562" t="s">
        <v>2337</v>
      </c>
      <c r="B562" t="s">
        <v>2338</v>
      </c>
      <c r="C562" s="22">
        <v>42091</v>
      </c>
      <c r="D562" t="s">
        <v>2014</v>
      </c>
      <c r="E562" t="s">
        <v>2019</v>
      </c>
      <c r="F562" t="s">
        <v>2417</v>
      </c>
      <c r="G562">
        <v>0</v>
      </c>
      <c r="H562">
        <v>0</v>
      </c>
      <c r="I562">
        <v>13</v>
      </c>
      <c r="J562">
        <v>7176</v>
      </c>
      <c r="K562">
        <v>3</v>
      </c>
      <c r="L562">
        <v>1482</v>
      </c>
      <c r="M562">
        <v>3</v>
      </c>
      <c r="N562">
        <v>1683</v>
      </c>
      <c r="O562">
        <v>0</v>
      </c>
      <c r="P562">
        <v>0</v>
      </c>
      <c r="Q562">
        <v>2</v>
      </c>
      <c r="R562">
        <v>1142</v>
      </c>
      <c r="S562">
        <v>2</v>
      </c>
      <c r="T562">
        <v>906</v>
      </c>
      <c r="U562">
        <v>7</v>
      </c>
      <c r="V562">
        <v>3717</v>
      </c>
      <c r="W562">
        <v>6</v>
      </c>
      <c r="X562">
        <v>2814</v>
      </c>
      <c r="Y562" s="26">
        <f t="shared" si="8"/>
        <v>36</v>
      </c>
    </row>
    <row r="563" spans="1:25" x14ac:dyDescent="0.25">
      <c r="A563" t="s">
        <v>2339</v>
      </c>
      <c r="B563" t="s">
        <v>2340</v>
      </c>
      <c r="C563" s="22">
        <v>43035</v>
      </c>
      <c r="D563" t="s">
        <v>2014</v>
      </c>
      <c r="E563" t="s">
        <v>2019</v>
      </c>
      <c r="F563" t="s">
        <v>2417</v>
      </c>
      <c r="G563">
        <v>46</v>
      </c>
      <c r="H563">
        <v>28566</v>
      </c>
      <c r="I563">
        <v>15</v>
      </c>
      <c r="J563">
        <v>9465</v>
      </c>
      <c r="K563">
        <v>9</v>
      </c>
      <c r="L563">
        <v>4500</v>
      </c>
      <c r="M563">
        <v>1</v>
      </c>
      <c r="N563">
        <v>575</v>
      </c>
      <c r="O563">
        <v>52</v>
      </c>
      <c r="P563">
        <v>26416</v>
      </c>
      <c r="Q563">
        <v>37</v>
      </c>
      <c r="R563">
        <v>23384</v>
      </c>
      <c r="S563">
        <v>43</v>
      </c>
      <c r="T563">
        <v>25069</v>
      </c>
      <c r="U563">
        <v>0</v>
      </c>
      <c r="V563">
        <v>0</v>
      </c>
      <c r="W563">
        <v>7</v>
      </c>
      <c r="X563">
        <v>3213</v>
      </c>
      <c r="Y563" s="26">
        <f t="shared" si="8"/>
        <v>210</v>
      </c>
    </row>
    <row r="564" spans="1:25" x14ac:dyDescent="0.25">
      <c r="A564" t="s">
        <v>2341</v>
      </c>
      <c r="B564" t="s">
        <v>2342</v>
      </c>
      <c r="C564" s="22">
        <v>42968</v>
      </c>
      <c r="D564" t="s">
        <v>2014</v>
      </c>
      <c r="E564" t="s">
        <v>2027</v>
      </c>
      <c r="F564" t="s">
        <v>2417</v>
      </c>
      <c r="G564">
        <v>5</v>
      </c>
      <c r="H564">
        <v>3110</v>
      </c>
      <c r="I564">
        <v>15</v>
      </c>
      <c r="J564">
        <v>7380</v>
      </c>
      <c r="K564">
        <v>6</v>
      </c>
      <c r="L564">
        <v>2724</v>
      </c>
      <c r="M564">
        <v>3</v>
      </c>
      <c r="N564">
        <v>1596</v>
      </c>
      <c r="O564">
        <v>13</v>
      </c>
      <c r="P564">
        <v>6864</v>
      </c>
      <c r="Q564">
        <v>18</v>
      </c>
      <c r="R564">
        <v>9432</v>
      </c>
      <c r="S564">
        <v>2</v>
      </c>
      <c r="T564">
        <v>1226</v>
      </c>
      <c r="U564">
        <v>28</v>
      </c>
      <c r="V564">
        <v>17584</v>
      </c>
      <c r="W564">
        <v>1</v>
      </c>
      <c r="X564">
        <v>595</v>
      </c>
      <c r="Y564" s="26">
        <f t="shared" si="8"/>
        <v>91</v>
      </c>
    </row>
    <row r="565" spans="1:25" x14ac:dyDescent="0.25">
      <c r="A565" t="s">
        <v>2343</v>
      </c>
      <c r="B565" t="s">
        <v>2344</v>
      </c>
      <c r="C565" s="22">
        <v>42183</v>
      </c>
      <c r="D565" t="s">
        <v>2014</v>
      </c>
      <c r="E565" t="s">
        <v>2015</v>
      </c>
      <c r="F565" t="s">
        <v>2417</v>
      </c>
      <c r="G565">
        <v>45</v>
      </c>
      <c r="H565">
        <v>29115</v>
      </c>
      <c r="I565">
        <v>1</v>
      </c>
      <c r="J565">
        <v>614</v>
      </c>
      <c r="K565">
        <v>5</v>
      </c>
      <c r="L565">
        <v>2490</v>
      </c>
      <c r="M565">
        <v>52</v>
      </c>
      <c r="N565">
        <v>33644</v>
      </c>
      <c r="O565">
        <v>17</v>
      </c>
      <c r="P565">
        <v>8211</v>
      </c>
      <c r="Q565">
        <v>5</v>
      </c>
      <c r="R565">
        <v>2930</v>
      </c>
      <c r="S565">
        <v>7</v>
      </c>
      <c r="T565">
        <v>3612</v>
      </c>
      <c r="U565">
        <v>14</v>
      </c>
      <c r="V565">
        <v>6594</v>
      </c>
      <c r="W565">
        <v>17</v>
      </c>
      <c r="X565">
        <v>9792</v>
      </c>
      <c r="Y565" s="26">
        <f t="shared" si="8"/>
        <v>163</v>
      </c>
    </row>
    <row r="566" spans="1:25" x14ac:dyDescent="0.25">
      <c r="A566" t="s">
        <v>2345</v>
      </c>
      <c r="B566" t="s">
        <v>2346</v>
      </c>
      <c r="C566" s="22">
        <v>43346</v>
      </c>
      <c r="D566" t="s">
        <v>2026</v>
      </c>
      <c r="E566" t="s">
        <v>2027</v>
      </c>
      <c r="F566" t="s">
        <v>2417</v>
      </c>
      <c r="G566">
        <v>23</v>
      </c>
      <c r="H566">
        <v>13846</v>
      </c>
      <c r="I566">
        <v>1</v>
      </c>
      <c r="J566">
        <v>598</v>
      </c>
      <c r="K566">
        <v>16</v>
      </c>
      <c r="L566">
        <v>9136</v>
      </c>
      <c r="M566">
        <v>11</v>
      </c>
      <c r="N566">
        <v>6501</v>
      </c>
      <c r="O566">
        <v>33</v>
      </c>
      <c r="P566">
        <v>15510</v>
      </c>
      <c r="Q566">
        <v>25</v>
      </c>
      <c r="R566">
        <v>15075</v>
      </c>
      <c r="S566">
        <v>7</v>
      </c>
      <c r="T566">
        <v>3612</v>
      </c>
      <c r="U566">
        <v>37</v>
      </c>
      <c r="V566">
        <v>23754</v>
      </c>
      <c r="W566">
        <v>18</v>
      </c>
      <c r="X566">
        <v>11106</v>
      </c>
      <c r="Y566" s="26">
        <f t="shared" si="8"/>
        <v>171</v>
      </c>
    </row>
    <row r="567" spans="1:25" x14ac:dyDescent="0.25">
      <c r="A567" t="s">
        <v>2347</v>
      </c>
      <c r="B567" t="s">
        <v>2348</v>
      </c>
      <c r="C567" s="22">
        <v>42331</v>
      </c>
      <c r="D567" t="s">
        <v>2014</v>
      </c>
      <c r="E567" t="s">
        <v>2027</v>
      </c>
      <c r="F567" t="s">
        <v>2417</v>
      </c>
      <c r="G567">
        <v>1</v>
      </c>
      <c r="H567">
        <v>569</v>
      </c>
      <c r="I567">
        <v>3</v>
      </c>
      <c r="J567">
        <v>1740</v>
      </c>
      <c r="K567">
        <v>5</v>
      </c>
      <c r="L567">
        <v>2895</v>
      </c>
      <c r="M567">
        <v>1</v>
      </c>
      <c r="N567">
        <v>589</v>
      </c>
      <c r="O567">
        <v>1</v>
      </c>
      <c r="P567">
        <v>501</v>
      </c>
      <c r="Q567">
        <v>0</v>
      </c>
      <c r="R567">
        <v>0</v>
      </c>
      <c r="S567">
        <v>6</v>
      </c>
      <c r="T567">
        <v>3348</v>
      </c>
      <c r="U567">
        <v>14</v>
      </c>
      <c r="V567">
        <v>8904</v>
      </c>
      <c r="W567">
        <v>43</v>
      </c>
      <c r="X567">
        <v>24424</v>
      </c>
      <c r="Y567" s="26">
        <f t="shared" si="8"/>
        <v>74</v>
      </c>
    </row>
    <row r="568" spans="1:25" x14ac:dyDescent="0.25">
      <c r="A568" t="s">
        <v>2349</v>
      </c>
      <c r="B568" t="s">
        <v>2350</v>
      </c>
      <c r="C568" s="22">
        <v>43971</v>
      </c>
      <c r="D568" t="s">
        <v>2026</v>
      </c>
      <c r="E568" t="s">
        <v>2027</v>
      </c>
      <c r="F568" t="s">
        <v>2417</v>
      </c>
      <c r="G568">
        <v>9</v>
      </c>
      <c r="H568">
        <v>5382</v>
      </c>
      <c r="I568">
        <v>31</v>
      </c>
      <c r="J568">
        <v>18290</v>
      </c>
      <c r="K568">
        <v>0</v>
      </c>
      <c r="L568">
        <v>0</v>
      </c>
      <c r="M568">
        <v>5</v>
      </c>
      <c r="N568">
        <v>3095</v>
      </c>
      <c r="O568">
        <v>0</v>
      </c>
      <c r="P568">
        <v>0</v>
      </c>
      <c r="Q568">
        <v>9</v>
      </c>
      <c r="R568">
        <v>4284</v>
      </c>
      <c r="S568">
        <v>22</v>
      </c>
      <c r="T568">
        <v>12298</v>
      </c>
      <c r="U568">
        <v>15</v>
      </c>
      <c r="V568">
        <v>9525</v>
      </c>
      <c r="W568">
        <v>25</v>
      </c>
      <c r="X568">
        <v>13050</v>
      </c>
      <c r="Y568" s="26">
        <f t="shared" si="8"/>
        <v>116</v>
      </c>
    </row>
    <row r="569" spans="1:25" x14ac:dyDescent="0.25">
      <c r="A569" t="s">
        <v>2351</v>
      </c>
      <c r="B569" t="s">
        <v>2352</v>
      </c>
      <c r="C569" s="22">
        <v>43949</v>
      </c>
      <c r="D569" t="s">
        <v>2026</v>
      </c>
      <c r="E569" t="s">
        <v>2019</v>
      </c>
      <c r="F569" t="s">
        <v>2417</v>
      </c>
      <c r="G569">
        <v>4</v>
      </c>
      <c r="H569">
        <v>1924</v>
      </c>
      <c r="I569">
        <v>1</v>
      </c>
      <c r="J569">
        <v>573</v>
      </c>
      <c r="K569">
        <v>1</v>
      </c>
      <c r="L569">
        <v>452</v>
      </c>
      <c r="M569">
        <v>29</v>
      </c>
      <c r="N569">
        <v>16472</v>
      </c>
      <c r="O569">
        <v>11</v>
      </c>
      <c r="P569">
        <v>6237</v>
      </c>
      <c r="Q569">
        <v>6</v>
      </c>
      <c r="R569">
        <v>3834</v>
      </c>
      <c r="S569">
        <v>0</v>
      </c>
      <c r="T569">
        <v>0</v>
      </c>
      <c r="U569">
        <v>18</v>
      </c>
      <c r="V569">
        <v>9360</v>
      </c>
      <c r="W569">
        <v>71</v>
      </c>
      <c r="X569">
        <v>37914</v>
      </c>
      <c r="Y569" s="26">
        <f t="shared" si="8"/>
        <v>141</v>
      </c>
    </row>
    <row r="570" spans="1:25" x14ac:dyDescent="0.25">
      <c r="A570" t="s">
        <v>2353</v>
      </c>
      <c r="B570" t="s">
        <v>2354</v>
      </c>
      <c r="C570" s="22">
        <v>43345</v>
      </c>
      <c r="D570" t="s">
        <v>2014</v>
      </c>
      <c r="E570" t="s">
        <v>2027</v>
      </c>
      <c r="F570" t="s">
        <v>2417</v>
      </c>
      <c r="G570">
        <v>3</v>
      </c>
      <c r="H570">
        <v>1920</v>
      </c>
      <c r="I570">
        <v>14</v>
      </c>
      <c r="J570">
        <v>8778</v>
      </c>
      <c r="K570">
        <v>11</v>
      </c>
      <c r="L570">
        <v>4961</v>
      </c>
      <c r="M570">
        <v>6</v>
      </c>
      <c r="N570">
        <v>3150</v>
      </c>
      <c r="O570">
        <v>30</v>
      </c>
      <c r="P570">
        <v>14010</v>
      </c>
      <c r="Q570">
        <v>7</v>
      </c>
      <c r="R570">
        <v>3920</v>
      </c>
      <c r="S570">
        <v>9</v>
      </c>
      <c r="T570">
        <v>4356</v>
      </c>
      <c r="U570">
        <v>2</v>
      </c>
      <c r="V570">
        <v>952</v>
      </c>
      <c r="W570">
        <v>1</v>
      </c>
      <c r="X570">
        <v>474</v>
      </c>
      <c r="Y570" s="26">
        <f t="shared" si="8"/>
        <v>83</v>
      </c>
    </row>
    <row r="571" spans="1:25" x14ac:dyDescent="0.25">
      <c r="A571" t="s">
        <v>2355</v>
      </c>
      <c r="B571" t="s">
        <v>2356</v>
      </c>
      <c r="C571" s="22">
        <v>42419</v>
      </c>
      <c r="D571" t="s">
        <v>2026</v>
      </c>
      <c r="E571" t="s">
        <v>2027</v>
      </c>
      <c r="F571" t="s">
        <v>2417</v>
      </c>
      <c r="G571">
        <v>2</v>
      </c>
      <c r="H571">
        <v>922</v>
      </c>
      <c r="I571">
        <v>11</v>
      </c>
      <c r="J571">
        <v>5456</v>
      </c>
      <c r="K571">
        <v>11</v>
      </c>
      <c r="L571">
        <v>6490</v>
      </c>
      <c r="M571">
        <v>14</v>
      </c>
      <c r="N571">
        <v>6552</v>
      </c>
      <c r="O571">
        <v>6</v>
      </c>
      <c r="P571">
        <v>3780</v>
      </c>
      <c r="Q571">
        <v>3</v>
      </c>
      <c r="R571">
        <v>1845</v>
      </c>
      <c r="S571">
        <v>7</v>
      </c>
      <c r="T571">
        <v>4515</v>
      </c>
      <c r="U571">
        <v>53</v>
      </c>
      <c r="V571">
        <v>28673</v>
      </c>
      <c r="W571">
        <v>61</v>
      </c>
      <c r="X571">
        <v>30012</v>
      </c>
      <c r="Y571" s="26">
        <f t="shared" si="8"/>
        <v>168</v>
      </c>
    </row>
    <row r="572" spans="1:25" x14ac:dyDescent="0.25">
      <c r="A572" t="s">
        <v>2357</v>
      </c>
      <c r="B572" t="s">
        <v>2358</v>
      </c>
      <c r="C572" s="22">
        <v>42458</v>
      </c>
      <c r="D572" t="s">
        <v>2026</v>
      </c>
      <c r="E572" t="s">
        <v>2027</v>
      </c>
      <c r="F572" t="s">
        <v>2417</v>
      </c>
      <c r="G572">
        <v>0</v>
      </c>
      <c r="H572">
        <v>0</v>
      </c>
      <c r="I572">
        <v>12</v>
      </c>
      <c r="J572">
        <v>6852</v>
      </c>
      <c r="K572">
        <v>11</v>
      </c>
      <c r="L572">
        <v>6545</v>
      </c>
      <c r="M572">
        <v>0</v>
      </c>
      <c r="N572">
        <v>0</v>
      </c>
      <c r="O572">
        <v>1</v>
      </c>
      <c r="P572">
        <v>450</v>
      </c>
      <c r="Q572">
        <v>23</v>
      </c>
      <c r="R572">
        <v>13593</v>
      </c>
      <c r="S572">
        <v>14</v>
      </c>
      <c r="T572">
        <v>6846</v>
      </c>
      <c r="U572">
        <v>48</v>
      </c>
      <c r="V572">
        <v>22656</v>
      </c>
      <c r="W572">
        <v>1</v>
      </c>
      <c r="X572">
        <v>639</v>
      </c>
      <c r="Y572" s="26">
        <f t="shared" si="8"/>
        <v>110</v>
      </c>
    </row>
    <row r="573" spans="1:25" x14ac:dyDescent="0.25">
      <c r="A573" t="s">
        <v>2359</v>
      </c>
      <c r="B573" t="s">
        <v>2360</v>
      </c>
      <c r="C573" s="22">
        <v>43329</v>
      </c>
      <c r="D573" t="s">
        <v>2014</v>
      </c>
      <c r="E573" t="s">
        <v>2027</v>
      </c>
      <c r="F573" t="s">
        <v>2417</v>
      </c>
      <c r="G573">
        <v>1</v>
      </c>
      <c r="H573">
        <v>607</v>
      </c>
      <c r="I573">
        <v>5</v>
      </c>
      <c r="J573">
        <v>2965</v>
      </c>
      <c r="K573">
        <v>1</v>
      </c>
      <c r="L573">
        <v>550</v>
      </c>
      <c r="M573">
        <v>10</v>
      </c>
      <c r="N573">
        <v>6290</v>
      </c>
      <c r="O573">
        <v>7</v>
      </c>
      <c r="P573">
        <v>4011</v>
      </c>
      <c r="Q573">
        <v>22</v>
      </c>
      <c r="R573">
        <v>12826</v>
      </c>
      <c r="S573">
        <v>23</v>
      </c>
      <c r="T573">
        <v>11891</v>
      </c>
      <c r="U573">
        <v>14</v>
      </c>
      <c r="V573">
        <v>8386</v>
      </c>
      <c r="W573">
        <v>2</v>
      </c>
      <c r="X573">
        <v>1274</v>
      </c>
      <c r="Y573" s="26">
        <f t="shared" si="8"/>
        <v>85</v>
      </c>
    </row>
    <row r="574" spans="1:25" x14ac:dyDescent="0.25">
      <c r="A574" t="s">
        <v>2361</v>
      </c>
      <c r="B574" t="s">
        <v>2362</v>
      </c>
      <c r="C574" s="22">
        <v>43469</v>
      </c>
      <c r="D574" t="s">
        <v>2026</v>
      </c>
      <c r="E574" t="s">
        <v>2015</v>
      </c>
      <c r="F574" t="s">
        <v>2417</v>
      </c>
      <c r="G574">
        <v>14</v>
      </c>
      <c r="H574">
        <v>7910</v>
      </c>
      <c r="I574">
        <v>17</v>
      </c>
      <c r="J574">
        <v>8075</v>
      </c>
      <c r="K574">
        <v>0</v>
      </c>
      <c r="L574">
        <v>0</v>
      </c>
      <c r="M574">
        <v>2</v>
      </c>
      <c r="N574">
        <v>1016</v>
      </c>
      <c r="O574">
        <v>15</v>
      </c>
      <c r="P574">
        <v>8145</v>
      </c>
      <c r="Q574">
        <v>2</v>
      </c>
      <c r="R574">
        <v>1192</v>
      </c>
      <c r="S574">
        <v>10</v>
      </c>
      <c r="T574">
        <v>6130</v>
      </c>
      <c r="U574">
        <v>4</v>
      </c>
      <c r="V574">
        <v>2308</v>
      </c>
      <c r="W574">
        <v>0</v>
      </c>
      <c r="X574">
        <v>0</v>
      </c>
      <c r="Y574" s="26">
        <f t="shared" si="8"/>
        <v>64</v>
      </c>
    </row>
    <row r="575" spans="1:25" x14ac:dyDescent="0.25">
      <c r="A575" t="s">
        <v>2363</v>
      </c>
      <c r="B575" t="s">
        <v>2364</v>
      </c>
      <c r="C575" s="22">
        <v>43636</v>
      </c>
      <c r="D575" t="s">
        <v>2014</v>
      </c>
      <c r="E575" t="s">
        <v>2027</v>
      </c>
      <c r="F575" t="s">
        <v>2417</v>
      </c>
      <c r="G575">
        <v>11</v>
      </c>
      <c r="H575">
        <v>5445</v>
      </c>
      <c r="I575">
        <v>14</v>
      </c>
      <c r="J575">
        <v>7546</v>
      </c>
      <c r="K575">
        <v>0</v>
      </c>
      <c r="L575">
        <v>0</v>
      </c>
      <c r="M575">
        <v>1</v>
      </c>
      <c r="N575">
        <v>605</v>
      </c>
      <c r="O575">
        <v>28</v>
      </c>
      <c r="P575">
        <v>13972</v>
      </c>
      <c r="Q575">
        <v>76</v>
      </c>
      <c r="R575">
        <v>48488</v>
      </c>
      <c r="S575">
        <v>10</v>
      </c>
      <c r="T575">
        <v>6140</v>
      </c>
      <c r="U575">
        <v>51</v>
      </c>
      <c r="V575">
        <v>30651</v>
      </c>
      <c r="W575">
        <v>2</v>
      </c>
      <c r="X575">
        <v>1220</v>
      </c>
      <c r="Y575" s="26">
        <f t="shared" si="8"/>
        <v>193</v>
      </c>
    </row>
    <row r="576" spans="1:25" x14ac:dyDescent="0.25">
      <c r="A576" t="s">
        <v>2365</v>
      </c>
      <c r="B576" t="s">
        <v>2366</v>
      </c>
      <c r="C576" s="22">
        <v>43721</v>
      </c>
      <c r="D576" t="s">
        <v>2014</v>
      </c>
      <c r="E576" t="s">
        <v>2015</v>
      </c>
      <c r="F576" t="s">
        <v>2417</v>
      </c>
      <c r="G576">
        <v>13</v>
      </c>
      <c r="H576">
        <v>5928</v>
      </c>
      <c r="I576">
        <v>0</v>
      </c>
      <c r="J576">
        <v>0</v>
      </c>
      <c r="K576">
        <v>39</v>
      </c>
      <c r="L576">
        <v>19071</v>
      </c>
      <c r="M576">
        <v>26</v>
      </c>
      <c r="N576">
        <v>12610</v>
      </c>
      <c r="O576">
        <v>9</v>
      </c>
      <c r="P576">
        <v>4635</v>
      </c>
      <c r="Q576">
        <v>0</v>
      </c>
      <c r="R576">
        <v>0</v>
      </c>
      <c r="S576">
        <v>0</v>
      </c>
      <c r="T576">
        <v>0</v>
      </c>
      <c r="U576">
        <v>15</v>
      </c>
      <c r="V576">
        <v>8850</v>
      </c>
      <c r="W576">
        <v>4</v>
      </c>
      <c r="X576">
        <v>2060</v>
      </c>
      <c r="Y576" s="26">
        <f t="shared" si="8"/>
        <v>106</v>
      </c>
    </row>
    <row r="577" spans="1:25" x14ac:dyDescent="0.25">
      <c r="A577" t="s">
        <v>2367</v>
      </c>
      <c r="B577" t="s">
        <v>2368</v>
      </c>
      <c r="C577" s="22">
        <v>43140</v>
      </c>
      <c r="D577" t="s">
        <v>2014</v>
      </c>
      <c r="E577" t="s">
        <v>2027</v>
      </c>
      <c r="F577" t="s">
        <v>2417</v>
      </c>
      <c r="G577">
        <v>8</v>
      </c>
      <c r="H577">
        <v>4776</v>
      </c>
      <c r="I577">
        <v>27</v>
      </c>
      <c r="J577">
        <v>12771</v>
      </c>
      <c r="K577">
        <v>60</v>
      </c>
      <c r="L577">
        <v>33960</v>
      </c>
      <c r="M577">
        <v>3</v>
      </c>
      <c r="N577">
        <v>1479</v>
      </c>
      <c r="O577">
        <v>9</v>
      </c>
      <c r="P577">
        <v>5706</v>
      </c>
      <c r="Q577">
        <v>17</v>
      </c>
      <c r="R577">
        <v>8687</v>
      </c>
      <c r="S577">
        <v>46</v>
      </c>
      <c r="T577">
        <v>21896</v>
      </c>
      <c r="U577">
        <v>21</v>
      </c>
      <c r="V577">
        <v>12915</v>
      </c>
      <c r="W577">
        <v>25</v>
      </c>
      <c r="X577">
        <v>11525</v>
      </c>
      <c r="Y577" s="26">
        <f t="shared" si="8"/>
        <v>216</v>
      </c>
    </row>
    <row r="578" spans="1:25" x14ac:dyDescent="0.25">
      <c r="A578" t="s">
        <v>2357</v>
      </c>
      <c r="B578" t="s">
        <v>2369</v>
      </c>
      <c r="C578" s="22">
        <v>42642</v>
      </c>
      <c r="D578" t="s">
        <v>2026</v>
      </c>
      <c r="E578" t="s">
        <v>2015</v>
      </c>
      <c r="F578" t="s">
        <v>2417</v>
      </c>
      <c r="G578">
        <v>12</v>
      </c>
      <c r="H578">
        <v>6120</v>
      </c>
      <c r="I578">
        <v>5</v>
      </c>
      <c r="J578">
        <v>3000</v>
      </c>
      <c r="K578">
        <v>0</v>
      </c>
      <c r="L578">
        <v>0</v>
      </c>
      <c r="M578">
        <v>1</v>
      </c>
      <c r="N578">
        <v>547</v>
      </c>
      <c r="O578">
        <v>23</v>
      </c>
      <c r="P578">
        <v>14605</v>
      </c>
      <c r="Q578">
        <v>1</v>
      </c>
      <c r="R578">
        <v>489</v>
      </c>
      <c r="S578">
        <v>4</v>
      </c>
      <c r="T578">
        <v>2056</v>
      </c>
      <c r="U578">
        <v>6</v>
      </c>
      <c r="V578">
        <v>3588</v>
      </c>
      <c r="W578">
        <v>16</v>
      </c>
      <c r="X578">
        <v>8080</v>
      </c>
      <c r="Y578" s="26">
        <f t="shared" si="8"/>
        <v>68</v>
      </c>
    </row>
    <row r="579" spans="1:25" x14ac:dyDescent="0.25">
      <c r="A579" t="s">
        <v>2370</v>
      </c>
      <c r="B579" t="s">
        <v>2371</v>
      </c>
      <c r="C579" s="22">
        <v>43020</v>
      </c>
      <c r="D579" t="s">
        <v>2026</v>
      </c>
      <c r="E579" t="s">
        <v>2019</v>
      </c>
      <c r="F579" t="s">
        <v>2417</v>
      </c>
      <c r="G579">
        <v>0</v>
      </c>
      <c r="H579">
        <v>0</v>
      </c>
      <c r="I579">
        <v>25</v>
      </c>
      <c r="J579">
        <v>11425</v>
      </c>
      <c r="K579">
        <v>2</v>
      </c>
      <c r="L579">
        <v>1102</v>
      </c>
      <c r="M579">
        <v>1</v>
      </c>
      <c r="N579">
        <v>515</v>
      </c>
      <c r="O579">
        <v>13</v>
      </c>
      <c r="P579">
        <v>7592</v>
      </c>
      <c r="Q579">
        <v>3</v>
      </c>
      <c r="R579">
        <v>1704</v>
      </c>
      <c r="S579">
        <v>20</v>
      </c>
      <c r="T579">
        <v>9340</v>
      </c>
      <c r="U579">
        <v>2</v>
      </c>
      <c r="V579">
        <v>1162</v>
      </c>
      <c r="W579">
        <v>7</v>
      </c>
      <c r="X579">
        <v>4431</v>
      </c>
      <c r="Y579" s="26">
        <f t="shared" ref="Y579:Y601" si="9">SUMIF($G$1:$X$1,"Количество*",G579:X579)</f>
        <v>73</v>
      </c>
    </row>
    <row r="580" spans="1:25" x14ac:dyDescent="0.25">
      <c r="A580" t="s">
        <v>2372</v>
      </c>
      <c r="B580" t="s">
        <v>2373</v>
      </c>
      <c r="C580" s="22">
        <v>42235</v>
      </c>
      <c r="D580" t="s">
        <v>2014</v>
      </c>
      <c r="E580" t="s">
        <v>2019</v>
      </c>
      <c r="F580" t="s">
        <v>2417</v>
      </c>
      <c r="G580">
        <v>3</v>
      </c>
      <c r="H580">
        <v>1893</v>
      </c>
      <c r="I580">
        <v>35</v>
      </c>
      <c r="J580">
        <v>22295</v>
      </c>
      <c r="K580">
        <v>3</v>
      </c>
      <c r="L580">
        <v>1383</v>
      </c>
      <c r="M580">
        <v>20</v>
      </c>
      <c r="N580">
        <v>11680</v>
      </c>
      <c r="O580">
        <v>6</v>
      </c>
      <c r="P580">
        <v>3018</v>
      </c>
      <c r="Q580">
        <v>1</v>
      </c>
      <c r="R580">
        <v>486</v>
      </c>
      <c r="S580">
        <v>10</v>
      </c>
      <c r="T580">
        <v>4500</v>
      </c>
      <c r="U580">
        <v>7</v>
      </c>
      <c r="V580">
        <v>4032</v>
      </c>
      <c r="W580">
        <v>10</v>
      </c>
      <c r="X580">
        <v>4900</v>
      </c>
      <c r="Y580" s="26">
        <f t="shared" si="9"/>
        <v>95</v>
      </c>
    </row>
    <row r="581" spans="1:25" x14ac:dyDescent="0.25">
      <c r="A581" t="s">
        <v>2374</v>
      </c>
      <c r="B581" t="s">
        <v>2375</v>
      </c>
      <c r="C581" s="22">
        <v>42217</v>
      </c>
      <c r="D581" t="s">
        <v>2014</v>
      </c>
      <c r="E581" t="s">
        <v>2019</v>
      </c>
      <c r="F581" t="s">
        <v>2417</v>
      </c>
      <c r="G581">
        <v>1</v>
      </c>
      <c r="H581">
        <v>513</v>
      </c>
      <c r="I581">
        <v>5</v>
      </c>
      <c r="J581">
        <v>2585</v>
      </c>
      <c r="K581">
        <v>34</v>
      </c>
      <c r="L581">
        <v>21454</v>
      </c>
      <c r="M581">
        <v>9</v>
      </c>
      <c r="N581">
        <v>4761</v>
      </c>
      <c r="O581">
        <v>27</v>
      </c>
      <c r="P581">
        <v>13176</v>
      </c>
      <c r="Q581">
        <v>38</v>
      </c>
      <c r="R581">
        <v>18924</v>
      </c>
      <c r="S581">
        <v>7</v>
      </c>
      <c r="T581">
        <v>3500</v>
      </c>
      <c r="U581">
        <v>11</v>
      </c>
      <c r="V581">
        <v>4950</v>
      </c>
      <c r="W581">
        <v>11</v>
      </c>
      <c r="X581">
        <v>6160</v>
      </c>
      <c r="Y581" s="26">
        <f t="shared" si="9"/>
        <v>143</v>
      </c>
    </row>
    <row r="582" spans="1:25" x14ac:dyDescent="0.25">
      <c r="A582" t="s">
        <v>2376</v>
      </c>
      <c r="B582" t="s">
        <v>2377</v>
      </c>
      <c r="C582" s="22">
        <v>42728</v>
      </c>
      <c r="D582" t="s">
        <v>2014</v>
      </c>
      <c r="E582" t="s">
        <v>2027</v>
      </c>
      <c r="F582" t="s">
        <v>2417</v>
      </c>
      <c r="G582">
        <v>5</v>
      </c>
      <c r="H582">
        <v>2790</v>
      </c>
      <c r="I582">
        <v>21</v>
      </c>
      <c r="J582">
        <v>11571</v>
      </c>
      <c r="K582">
        <v>31</v>
      </c>
      <c r="L582">
        <v>15066</v>
      </c>
      <c r="M582">
        <v>4</v>
      </c>
      <c r="N582">
        <v>2396</v>
      </c>
      <c r="O582">
        <v>2</v>
      </c>
      <c r="P582">
        <v>1006</v>
      </c>
      <c r="Q582">
        <v>75</v>
      </c>
      <c r="R582">
        <v>37200</v>
      </c>
      <c r="S582">
        <v>3</v>
      </c>
      <c r="T582">
        <v>1701</v>
      </c>
      <c r="U582">
        <v>56</v>
      </c>
      <c r="V582">
        <v>26544</v>
      </c>
      <c r="W582">
        <v>4</v>
      </c>
      <c r="X582">
        <v>2324</v>
      </c>
      <c r="Y582" s="26">
        <f t="shared" si="9"/>
        <v>201</v>
      </c>
    </row>
    <row r="583" spans="1:25" x14ac:dyDescent="0.25">
      <c r="A583" t="s">
        <v>2378</v>
      </c>
      <c r="B583" t="s">
        <v>2379</v>
      </c>
      <c r="C583" s="22">
        <v>42908</v>
      </c>
      <c r="D583" t="s">
        <v>2026</v>
      </c>
      <c r="E583" t="s">
        <v>2027</v>
      </c>
      <c r="F583" t="s">
        <v>2417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636</v>
      </c>
      <c r="M583">
        <v>20</v>
      </c>
      <c r="N583">
        <v>9680</v>
      </c>
      <c r="O583">
        <v>26</v>
      </c>
      <c r="P583">
        <v>12220</v>
      </c>
      <c r="Q583">
        <v>6</v>
      </c>
      <c r="R583">
        <v>3180</v>
      </c>
      <c r="S583">
        <v>10</v>
      </c>
      <c r="T583">
        <v>5670</v>
      </c>
      <c r="U583">
        <v>7</v>
      </c>
      <c r="V583">
        <v>4452</v>
      </c>
      <c r="W583">
        <v>3</v>
      </c>
      <c r="X583">
        <v>1914</v>
      </c>
      <c r="Y583" s="26">
        <f t="shared" si="9"/>
        <v>73</v>
      </c>
    </row>
    <row r="584" spans="1:25" x14ac:dyDescent="0.25">
      <c r="A584" t="s">
        <v>2380</v>
      </c>
      <c r="B584" t="s">
        <v>2381</v>
      </c>
      <c r="C584" s="22">
        <v>43503</v>
      </c>
      <c r="D584" t="s">
        <v>2026</v>
      </c>
      <c r="E584" t="s">
        <v>2015</v>
      </c>
      <c r="F584" t="s">
        <v>2417</v>
      </c>
      <c r="G584">
        <v>15</v>
      </c>
      <c r="H584">
        <v>8385</v>
      </c>
      <c r="I584">
        <v>8</v>
      </c>
      <c r="J584">
        <v>4136</v>
      </c>
      <c r="K584">
        <v>7</v>
      </c>
      <c r="L584">
        <v>4368</v>
      </c>
      <c r="M584">
        <v>0</v>
      </c>
      <c r="N584">
        <v>0</v>
      </c>
      <c r="O584">
        <v>23</v>
      </c>
      <c r="P584">
        <v>12213</v>
      </c>
      <c r="Q584">
        <v>3</v>
      </c>
      <c r="R584">
        <v>1818</v>
      </c>
      <c r="S584">
        <v>23</v>
      </c>
      <c r="T584">
        <v>10465</v>
      </c>
      <c r="U584">
        <v>6</v>
      </c>
      <c r="V584">
        <v>2724</v>
      </c>
      <c r="W584">
        <v>0</v>
      </c>
      <c r="X584">
        <v>0</v>
      </c>
      <c r="Y584" s="26">
        <f t="shared" si="9"/>
        <v>85</v>
      </c>
    </row>
    <row r="585" spans="1:25" x14ac:dyDescent="0.25">
      <c r="A585" t="s">
        <v>2382</v>
      </c>
      <c r="B585" t="s">
        <v>2383</v>
      </c>
      <c r="C585" s="22">
        <v>42614</v>
      </c>
      <c r="D585" t="s">
        <v>2026</v>
      </c>
      <c r="E585" t="s">
        <v>2027</v>
      </c>
      <c r="F585" t="s">
        <v>2417</v>
      </c>
      <c r="G585">
        <v>2</v>
      </c>
      <c r="H585">
        <v>974</v>
      </c>
      <c r="I585">
        <v>1</v>
      </c>
      <c r="J585">
        <v>495</v>
      </c>
      <c r="K585">
        <v>8</v>
      </c>
      <c r="L585">
        <v>3600</v>
      </c>
      <c r="M585">
        <v>15</v>
      </c>
      <c r="N585">
        <v>6990</v>
      </c>
      <c r="O585">
        <v>1</v>
      </c>
      <c r="P585">
        <v>542</v>
      </c>
      <c r="Q585">
        <v>41</v>
      </c>
      <c r="R585">
        <v>21361</v>
      </c>
      <c r="S585">
        <v>4</v>
      </c>
      <c r="T585">
        <v>2200</v>
      </c>
      <c r="U585">
        <v>2</v>
      </c>
      <c r="V585">
        <v>986</v>
      </c>
      <c r="W585">
        <v>59</v>
      </c>
      <c r="X585">
        <v>30503</v>
      </c>
      <c r="Y585" s="26">
        <f t="shared" si="9"/>
        <v>133</v>
      </c>
    </row>
    <row r="586" spans="1:25" x14ac:dyDescent="0.25">
      <c r="A586" t="s">
        <v>2384</v>
      </c>
      <c r="B586" t="s">
        <v>2385</v>
      </c>
      <c r="C586" s="22">
        <v>43874</v>
      </c>
      <c r="D586" t="s">
        <v>2014</v>
      </c>
      <c r="E586" t="s">
        <v>2015</v>
      </c>
      <c r="F586" t="s">
        <v>2417</v>
      </c>
      <c r="G586">
        <v>2</v>
      </c>
      <c r="H586">
        <v>1126</v>
      </c>
      <c r="I586">
        <v>1</v>
      </c>
      <c r="J586">
        <v>550</v>
      </c>
      <c r="K586">
        <v>18</v>
      </c>
      <c r="L586">
        <v>11484</v>
      </c>
      <c r="M586">
        <v>14</v>
      </c>
      <c r="N586">
        <v>6944</v>
      </c>
      <c r="O586">
        <v>23</v>
      </c>
      <c r="P586">
        <v>14375</v>
      </c>
      <c r="Q586">
        <v>9</v>
      </c>
      <c r="R586">
        <v>5499</v>
      </c>
      <c r="S586">
        <v>6</v>
      </c>
      <c r="T586">
        <v>2772</v>
      </c>
      <c r="U586">
        <v>1</v>
      </c>
      <c r="V586">
        <v>465</v>
      </c>
      <c r="W586">
        <v>2</v>
      </c>
      <c r="X586">
        <v>950</v>
      </c>
      <c r="Y586" s="26">
        <f t="shared" si="9"/>
        <v>76</v>
      </c>
    </row>
    <row r="587" spans="1:25" x14ac:dyDescent="0.25">
      <c r="A587" t="s">
        <v>2386</v>
      </c>
      <c r="B587" t="s">
        <v>2387</v>
      </c>
      <c r="C587" s="22">
        <v>44148</v>
      </c>
      <c r="D587" t="s">
        <v>2026</v>
      </c>
      <c r="E587" t="s">
        <v>2019</v>
      </c>
      <c r="F587" t="s">
        <v>2417</v>
      </c>
      <c r="G587">
        <v>3</v>
      </c>
      <c r="H587">
        <v>1440</v>
      </c>
      <c r="I587">
        <v>4</v>
      </c>
      <c r="J587">
        <v>1832</v>
      </c>
      <c r="K587">
        <v>13</v>
      </c>
      <c r="L587">
        <v>8138</v>
      </c>
      <c r="M587">
        <v>39</v>
      </c>
      <c r="N587">
        <v>21801</v>
      </c>
      <c r="O587">
        <v>7</v>
      </c>
      <c r="P587">
        <v>3675</v>
      </c>
      <c r="Q587">
        <v>7</v>
      </c>
      <c r="R587">
        <v>4466</v>
      </c>
      <c r="S587">
        <v>9</v>
      </c>
      <c r="T587">
        <v>5490</v>
      </c>
      <c r="U587">
        <v>2</v>
      </c>
      <c r="V587">
        <v>1144</v>
      </c>
      <c r="W587">
        <v>23</v>
      </c>
      <c r="X587">
        <v>14329</v>
      </c>
      <c r="Y587" s="26">
        <f t="shared" si="9"/>
        <v>107</v>
      </c>
    </row>
    <row r="588" spans="1:25" x14ac:dyDescent="0.25">
      <c r="A588" t="s">
        <v>2388</v>
      </c>
      <c r="B588" t="s">
        <v>2389</v>
      </c>
      <c r="C588" s="22">
        <v>42254</v>
      </c>
      <c r="D588" t="s">
        <v>2014</v>
      </c>
      <c r="E588" t="s">
        <v>2027</v>
      </c>
      <c r="F588" t="s">
        <v>2417</v>
      </c>
      <c r="G588">
        <v>14</v>
      </c>
      <c r="H588">
        <v>8792</v>
      </c>
      <c r="I588">
        <v>5</v>
      </c>
      <c r="J588">
        <v>2715</v>
      </c>
      <c r="K588">
        <v>1</v>
      </c>
      <c r="L588">
        <v>470</v>
      </c>
      <c r="M588">
        <v>3</v>
      </c>
      <c r="N588">
        <v>1596</v>
      </c>
      <c r="O588">
        <v>26</v>
      </c>
      <c r="P588">
        <v>14924</v>
      </c>
      <c r="Q588">
        <v>19</v>
      </c>
      <c r="R588">
        <v>8721</v>
      </c>
      <c r="S588">
        <v>26</v>
      </c>
      <c r="T588">
        <v>13728</v>
      </c>
      <c r="U588">
        <v>0</v>
      </c>
      <c r="V588">
        <v>0</v>
      </c>
      <c r="W588">
        <v>0</v>
      </c>
      <c r="X588">
        <v>0</v>
      </c>
      <c r="Y588" s="26">
        <f t="shared" si="9"/>
        <v>94</v>
      </c>
    </row>
    <row r="589" spans="1:25" x14ac:dyDescent="0.25">
      <c r="A589" t="s">
        <v>2390</v>
      </c>
      <c r="B589" t="s">
        <v>2391</v>
      </c>
      <c r="C589" s="22">
        <v>42229</v>
      </c>
      <c r="D589" t="s">
        <v>2014</v>
      </c>
      <c r="E589" t="s">
        <v>2027</v>
      </c>
      <c r="F589" t="s">
        <v>2417</v>
      </c>
      <c r="G589">
        <v>47</v>
      </c>
      <c r="H589">
        <v>30080</v>
      </c>
      <c r="I589">
        <v>70</v>
      </c>
      <c r="J589">
        <v>33950</v>
      </c>
      <c r="K589">
        <v>5</v>
      </c>
      <c r="L589">
        <v>3105</v>
      </c>
      <c r="M589">
        <v>5</v>
      </c>
      <c r="N589">
        <v>2970</v>
      </c>
      <c r="O589">
        <v>0</v>
      </c>
      <c r="P589">
        <v>0</v>
      </c>
      <c r="Q589">
        <v>17</v>
      </c>
      <c r="R589">
        <v>7667</v>
      </c>
      <c r="S589">
        <v>3</v>
      </c>
      <c r="T589">
        <v>1620</v>
      </c>
      <c r="U589">
        <v>0</v>
      </c>
      <c r="V589">
        <v>0</v>
      </c>
      <c r="W589">
        <v>0</v>
      </c>
      <c r="X589">
        <v>0</v>
      </c>
      <c r="Y589" s="26">
        <f t="shared" si="9"/>
        <v>147</v>
      </c>
    </row>
    <row r="590" spans="1:25" x14ac:dyDescent="0.25">
      <c r="A590" t="s">
        <v>2392</v>
      </c>
      <c r="B590" t="s">
        <v>2393</v>
      </c>
      <c r="C590" s="22">
        <v>43074</v>
      </c>
      <c r="D590" t="s">
        <v>2026</v>
      </c>
      <c r="E590" t="s">
        <v>2019</v>
      </c>
      <c r="F590" t="s">
        <v>2417</v>
      </c>
      <c r="G590">
        <v>8</v>
      </c>
      <c r="H590">
        <v>3936</v>
      </c>
      <c r="I590">
        <v>21</v>
      </c>
      <c r="J590">
        <v>13587</v>
      </c>
      <c r="K590">
        <v>0</v>
      </c>
      <c r="L590">
        <v>0</v>
      </c>
      <c r="M590">
        <v>30</v>
      </c>
      <c r="N590">
        <v>17400</v>
      </c>
      <c r="O590">
        <v>65</v>
      </c>
      <c r="P590">
        <v>41665</v>
      </c>
      <c r="Q590">
        <v>27</v>
      </c>
      <c r="R590">
        <v>17496</v>
      </c>
      <c r="S590">
        <v>1</v>
      </c>
      <c r="T590">
        <v>647</v>
      </c>
      <c r="U590">
        <v>10</v>
      </c>
      <c r="V590">
        <v>6030</v>
      </c>
      <c r="W590">
        <v>18</v>
      </c>
      <c r="X590">
        <v>9126</v>
      </c>
      <c r="Y590" s="26">
        <f t="shared" si="9"/>
        <v>180</v>
      </c>
    </row>
    <row r="591" spans="1:25" x14ac:dyDescent="0.25">
      <c r="A591" t="s">
        <v>2394</v>
      </c>
      <c r="B591" t="s">
        <v>2395</v>
      </c>
      <c r="C591" s="22">
        <v>43492</v>
      </c>
      <c r="D591" t="s">
        <v>2026</v>
      </c>
      <c r="E591" t="s">
        <v>2027</v>
      </c>
      <c r="F591" t="s">
        <v>2417</v>
      </c>
      <c r="G591">
        <v>2</v>
      </c>
      <c r="H591">
        <v>1162</v>
      </c>
      <c r="I591">
        <v>11</v>
      </c>
      <c r="J591">
        <v>6138</v>
      </c>
      <c r="K591">
        <v>3</v>
      </c>
      <c r="L591">
        <v>1428</v>
      </c>
      <c r="M591">
        <v>0</v>
      </c>
      <c r="N591">
        <v>0</v>
      </c>
      <c r="O591">
        <v>36</v>
      </c>
      <c r="P591">
        <v>21384</v>
      </c>
      <c r="Q591">
        <v>11</v>
      </c>
      <c r="R591">
        <v>6061</v>
      </c>
      <c r="S591">
        <v>0</v>
      </c>
      <c r="T591">
        <v>0</v>
      </c>
      <c r="U591">
        <v>69</v>
      </c>
      <c r="V591">
        <v>32016</v>
      </c>
      <c r="W591">
        <v>8</v>
      </c>
      <c r="X591">
        <v>4152</v>
      </c>
      <c r="Y591" s="26">
        <f t="shared" si="9"/>
        <v>140</v>
      </c>
    </row>
    <row r="592" spans="1:25" x14ac:dyDescent="0.25">
      <c r="A592" t="s">
        <v>2396</v>
      </c>
      <c r="B592" t="s">
        <v>2397</v>
      </c>
      <c r="C592" s="22">
        <v>42648</v>
      </c>
      <c r="D592" t="s">
        <v>2026</v>
      </c>
      <c r="E592" t="s">
        <v>2027</v>
      </c>
      <c r="F592" t="s">
        <v>2417</v>
      </c>
      <c r="G592">
        <v>17</v>
      </c>
      <c r="H592">
        <v>7871</v>
      </c>
      <c r="I592">
        <v>6</v>
      </c>
      <c r="J592">
        <v>3252</v>
      </c>
      <c r="K592">
        <v>13</v>
      </c>
      <c r="L592">
        <v>7514</v>
      </c>
      <c r="M592">
        <v>6</v>
      </c>
      <c r="N592">
        <v>3102</v>
      </c>
      <c r="O592">
        <v>4</v>
      </c>
      <c r="P592">
        <v>2584</v>
      </c>
      <c r="Q592">
        <v>0</v>
      </c>
      <c r="R592">
        <v>0</v>
      </c>
      <c r="S592">
        <v>6</v>
      </c>
      <c r="T592">
        <v>3132</v>
      </c>
      <c r="U592">
        <v>0</v>
      </c>
      <c r="V592">
        <v>0</v>
      </c>
      <c r="W592">
        <v>9</v>
      </c>
      <c r="X592">
        <v>5337</v>
      </c>
      <c r="Y592" s="26">
        <f t="shared" si="9"/>
        <v>61</v>
      </c>
    </row>
    <row r="593" spans="1:25" x14ac:dyDescent="0.25">
      <c r="A593" t="s">
        <v>2398</v>
      </c>
      <c r="B593" t="s">
        <v>2399</v>
      </c>
      <c r="C593" s="22">
        <v>42048</v>
      </c>
      <c r="D593" t="s">
        <v>2014</v>
      </c>
      <c r="E593" t="s">
        <v>2015</v>
      </c>
      <c r="F593" t="s">
        <v>2417</v>
      </c>
      <c r="G593">
        <v>10</v>
      </c>
      <c r="H593">
        <v>5640</v>
      </c>
      <c r="I593">
        <v>30</v>
      </c>
      <c r="J593">
        <v>19440</v>
      </c>
      <c r="K593">
        <v>4</v>
      </c>
      <c r="L593">
        <v>2020</v>
      </c>
      <c r="M593">
        <v>9</v>
      </c>
      <c r="N593">
        <v>4959</v>
      </c>
      <c r="O593">
        <v>1</v>
      </c>
      <c r="P593">
        <v>456</v>
      </c>
      <c r="Q593">
        <v>19</v>
      </c>
      <c r="R593">
        <v>11324</v>
      </c>
      <c r="S593">
        <v>13</v>
      </c>
      <c r="T593">
        <v>7215</v>
      </c>
      <c r="U593">
        <v>4</v>
      </c>
      <c r="V593">
        <v>1960</v>
      </c>
      <c r="W593">
        <v>9</v>
      </c>
      <c r="X593">
        <v>4563</v>
      </c>
      <c r="Y593" s="26">
        <f t="shared" si="9"/>
        <v>99</v>
      </c>
    </row>
    <row r="594" spans="1:25" x14ac:dyDescent="0.25">
      <c r="A594" t="s">
        <v>2400</v>
      </c>
      <c r="B594" t="s">
        <v>2401</v>
      </c>
      <c r="C594" s="22">
        <v>43155</v>
      </c>
      <c r="D594" t="s">
        <v>2026</v>
      </c>
      <c r="E594" t="s">
        <v>2015</v>
      </c>
      <c r="F594" t="s">
        <v>2417</v>
      </c>
      <c r="G594">
        <v>43</v>
      </c>
      <c r="H594">
        <v>26832</v>
      </c>
      <c r="I594">
        <v>6</v>
      </c>
      <c r="J594">
        <v>3480</v>
      </c>
      <c r="K594">
        <v>0</v>
      </c>
      <c r="L594">
        <v>0</v>
      </c>
      <c r="M594">
        <v>6</v>
      </c>
      <c r="N594">
        <v>2700</v>
      </c>
      <c r="O594">
        <v>3</v>
      </c>
      <c r="P594">
        <v>1476</v>
      </c>
      <c r="Q594">
        <v>1</v>
      </c>
      <c r="R594">
        <v>509</v>
      </c>
      <c r="S594">
        <v>16</v>
      </c>
      <c r="T594">
        <v>8640</v>
      </c>
      <c r="U594">
        <v>3</v>
      </c>
      <c r="V594">
        <v>1542</v>
      </c>
      <c r="W594">
        <v>1</v>
      </c>
      <c r="X594">
        <v>511</v>
      </c>
      <c r="Y594" s="26">
        <f t="shared" si="9"/>
        <v>79</v>
      </c>
    </row>
    <row r="595" spans="1:25" x14ac:dyDescent="0.25">
      <c r="A595" t="s">
        <v>2402</v>
      </c>
      <c r="B595" t="s">
        <v>2403</v>
      </c>
      <c r="C595" s="22">
        <v>43041</v>
      </c>
      <c r="D595" t="s">
        <v>2026</v>
      </c>
      <c r="E595" t="s">
        <v>2027</v>
      </c>
      <c r="F595" t="s">
        <v>2417</v>
      </c>
      <c r="G595">
        <v>31</v>
      </c>
      <c r="H595">
        <v>15345</v>
      </c>
      <c r="I595">
        <v>1</v>
      </c>
      <c r="J595">
        <v>504</v>
      </c>
      <c r="K595">
        <v>0</v>
      </c>
      <c r="L595">
        <v>0</v>
      </c>
      <c r="M595">
        <v>1</v>
      </c>
      <c r="N595">
        <v>543</v>
      </c>
      <c r="O595">
        <v>17</v>
      </c>
      <c r="P595">
        <v>8653</v>
      </c>
      <c r="Q595">
        <v>2</v>
      </c>
      <c r="R595">
        <v>1130</v>
      </c>
      <c r="S595">
        <v>14</v>
      </c>
      <c r="T595">
        <v>8456</v>
      </c>
      <c r="U595">
        <v>1</v>
      </c>
      <c r="V595">
        <v>594</v>
      </c>
      <c r="W595">
        <v>8</v>
      </c>
      <c r="X595">
        <v>4368</v>
      </c>
      <c r="Y595" s="26">
        <f t="shared" si="9"/>
        <v>75</v>
      </c>
    </row>
    <row r="596" spans="1:25" x14ac:dyDescent="0.25">
      <c r="A596" t="s">
        <v>2404</v>
      </c>
      <c r="B596" t="s">
        <v>2405</v>
      </c>
      <c r="C596" s="22">
        <v>42412</v>
      </c>
      <c r="D596" t="s">
        <v>2014</v>
      </c>
      <c r="E596" t="s">
        <v>2027</v>
      </c>
      <c r="F596" t="s">
        <v>2417</v>
      </c>
      <c r="G596">
        <v>2</v>
      </c>
      <c r="H596">
        <v>1262</v>
      </c>
      <c r="I596">
        <v>5</v>
      </c>
      <c r="J596">
        <v>3070</v>
      </c>
      <c r="K596">
        <v>0</v>
      </c>
      <c r="L596">
        <v>0</v>
      </c>
      <c r="M596">
        <v>6</v>
      </c>
      <c r="N596">
        <v>3396</v>
      </c>
      <c r="O596">
        <v>8</v>
      </c>
      <c r="P596">
        <v>4472</v>
      </c>
      <c r="Q596">
        <v>27</v>
      </c>
      <c r="R596">
        <v>14013</v>
      </c>
      <c r="S596">
        <v>70</v>
      </c>
      <c r="T596">
        <v>33180</v>
      </c>
      <c r="U596">
        <v>24</v>
      </c>
      <c r="V596">
        <v>15120</v>
      </c>
      <c r="W596">
        <v>10</v>
      </c>
      <c r="X596">
        <v>5470</v>
      </c>
      <c r="Y596" s="26">
        <f t="shared" si="9"/>
        <v>152</v>
      </c>
    </row>
    <row r="597" spans="1:25" x14ac:dyDescent="0.25">
      <c r="A597" t="s">
        <v>2406</v>
      </c>
      <c r="B597" t="s">
        <v>2407</v>
      </c>
      <c r="C597" s="22">
        <v>44010</v>
      </c>
      <c r="D597" t="s">
        <v>2026</v>
      </c>
      <c r="E597" t="s">
        <v>2019</v>
      </c>
      <c r="F597" t="s">
        <v>2417</v>
      </c>
      <c r="G597">
        <v>10</v>
      </c>
      <c r="H597">
        <v>5990</v>
      </c>
      <c r="I597">
        <v>0</v>
      </c>
      <c r="J597">
        <v>0</v>
      </c>
      <c r="K597">
        <v>5</v>
      </c>
      <c r="L597">
        <v>2780</v>
      </c>
      <c r="M597">
        <v>11</v>
      </c>
      <c r="N597">
        <v>5137</v>
      </c>
      <c r="O597">
        <v>11</v>
      </c>
      <c r="P597">
        <v>5071</v>
      </c>
      <c r="Q597">
        <v>1</v>
      </c>
      <c r="R597">
        <v>486</v>
      </c>
      <c r="S597">
        <v>12</v>
      </c>
      <c r="T597">
        <v>7644</v>
      </c>
      <c r="U597">
        <v>1</v>
      </c>
      <c r="V597">
        <v>453</v>
      </c>
      <c r="W597">
        <v>6</v>
      </c>
      <c r="X597">
        <v>3840</v>
      </c>
      <c r="Y597" s="26">
        <f t="shared" si="9"/>
        <v>57</v>
      </c>
    </row>
    <row r="598" spans="1:25" x14ac:dyDescent="0.25">
      <c r="A598" t="s">
        <v>2408</v>
      </c>
      <c r="B598" t="s">
        <v>2409</v>
      </c>
      <c r="C598" s="22">
        <v>44131</v>
      </c>
      <c r="D598" t="s">
        <v>2026</v>
      </c>
      <c r="E598" t="s">
        <v>2019</v>
      </c>
      <c r="F598" t="s">
        <v>2417</v>
      </c>
      <c r="G598">
        <v>6</v>
      </c>
      <c r="H598">
        <v>2904</v>
      </c>
      <c r="I598">
        <v>6</v>
      </c>
      <c r="J598">
        <v>3864</v>
      </c>
      <c r="K598">
        <v>3</v>
      </c>
      <c r="L598">
        <v>1410</v>
      </c>
      <c r="M598">
        <v>12</v>
      </c>
      <c r="N598">
        <v>6588</v>
      </c>
      <c r="O598">
        <v>3</v>
      </c>
      <c r="P598">
        <v>1419</v>
      </c>
      <c r="Q598">
        <v>12</v>
      </c>
      <c r="R598">
        <v>6600</v>
      </c>
      <c r="S598">
        <v>9</v>
      </c>
      <c r="T598">
        <v>5202</v>
      </c>
      <c r="U598">
        <v>4</v>
      </c>
      <c r="V598">
        <v>2424</v>
      </c>
      <c r="W598">
        <v>9</v>
      </c>
      <c r="X598">
        <v>4446</v>
      </c>
      <c r="Y598" s="26">
        <f t="shared" si="9"/>
        <v>64</v>
      </c>
    </row>
    <row r="599" spans="1:25" x14ac:dyDescent="0.25">
      <c r="A599" t="s">
        <v>2410</v>
      </c>
      <c r="B599" t="s">
        <v>2411</v>
      </c>
      <c r="C599" s="22">
        <v>42869</v>
      </c>
      <c r="D599" t="s">
        <v>2014</v>
      </c>
      <c r="E599" t="s">
        <v>2027</v>
      </c>
      <c r="F599" t="s">
        <v>2417</v>
      </c>
      <c r="G599">
        <v>6</v>
      </c>
      <c r="H599">
        <v>2922</v>
      </c>
      <c r="I599">
        <v>25</v>
      </c>
      <c r="J599">
        <v>13775</v>
      </c>
      <c r="K599">
        <v>5</v>
      </c>
      <c r="L599">
        <v>2510</v>
      </c>
      <c r="M599">
        <v>19</v>
      </c>
      <c r="N599">
        <v>11020</v>
      </c>
      <c r="O599">
        <v>61</v>
      </c>
      <c r="P599">
        <v>32452</v>
      </c>
      <c r="Q599">
        <v>0</v>
      </c>
      <c r="R599">
        <v>0</v>
      </c>
      <c r="S599">
        <v>11</v>
      </c>
      <c r="T599">
        <v>5170</v>
      </c>
      <c r="U599">
        <v>1</v>
      </c>
      <c r="V599">
        <v>482</v>
      </c>
      <c r="W599">
        <v>14</v>
      </c>
      <c r="X599">
        <v>8456</v>
      </c>
      <c r="Y599" s="26">
        <f t="shared" si="9"/>
        <v>142</v>
      </c>
    </row>
    <row r="600" spans="1:25" x14ac:dyDescent="0.25">
      <c r="A600" t="s">
        <v>2412</v>
      </c>
      <c r="B600" t="s">
        <v>2413</v>
      </c>
      <c r="C600" s="22">
        <v>42923</v>
      </c>
      <c r="D600" t="s">
        <v>2014</v>
      </c>
      <c r="E600" t="s">
        <v>2027</v>
      </c>
      <c r="F600" t="s">
        <v>2417</v>
      </c>
      <c r="G600">
        <v>21</v>
      </c>
      <c r="H600">
        <v>12306</v>
      </c>
      <c r="I600">
        <v>11</v>
      </c>
      <c r="J600">
        <v>5852</v>
      </c>
      <c r="K600">
        <v>8</v>
      </c>
      <c r="L600">
        <v>4472</v>
      </c>
      <c r="M600">
        <v>1</v>
      </c>
      <c r="N600">
        <v>486</v>
      </c>
      <c r="O600">
        <v>2</v>
      </c>
      <c r="P600">
        <v>998</v>
      </c>
      <c r="Q600">
        <v>19</v>
      </c>
      <c r="R600">
        <v>8721</v>
      </c>
      <c r="S600">
        <v>1</v>
      </c>
      <c r="T600">
        <v>518</v>
      </c>
      <c r="U600">
        <v>5</v>
      </c>
      <c r="V600">
        <v>2340</v>
      </c>
      <c r="W600">
        <v>1</v>
      </c>
      <c r="X600">
        <v>546</v>
      </c>
      <c r="Y600" s="26">
        <f t="shared" si="9"/>
        <v>69</v>
      </c>
    </row>
    <row r="601" spans="1:25" x14ac:dyDescent="0.25">
      <c r="A601" t="s">
        <v>2414</v>
      </c>
      <c r="B601" t="s">
        <v>2415</v>
      </c>
      <c r="C601" s="22">
        <v>43312</v>
      </c>
      <c r="D601" t="s">
        <v>2026</v>
      </c>
      <c r="E601" t="s">
        <v>2015</v>
      </c>
      <c r="F601" t="s">
        <v>2417</v>
      </c>
      <c r="G601">
        <v>51</v>
      </c>
      <c r="H601">
        <v>29682</v>
      </c>
      <c r="I601">
        <v>25</v>
      </c>
      <c r="J601">
        <v>13125</v>
      </c>
      <c r="K601">
        <v>13</v>
      </c>
      <c r="L601">
        <v>6162</v>
      </c>
      <c r="M601">
        <v>12</v>
      </c>
      <c r="N601">
        <v>7608</v>
      </c>
      <c r="O601">
        <v>0</v>
      </c>
      <c r="P601">
        <v>0</v>
      </c>
      <c r="Q601">
        <v>9</v>
      </c>
      <c r="R601">
        <v>5112</v>
      </c>
      <c r="S601">
        <v>14</v>
      </c>
      <c r="T601">
        <v>6762</v>
      </c>
      <c r="U601">
        <v>1</v>
      </c>
      <c r="V601">
        <v>620</v>
      </c>
      <c r="W601">
        <v>21</v>
      </c>
      <c r="X601">
        <v>10815</v>
      </c>
      <c r="Y601" s="26">
        <f t="shared" si="9"/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Функции</vt:lpstr>
      <vt:lpstr>Остатки</vt:lpstr>
      <vt:lpstr>Выгрузка из 1С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Sergey Vilkov</cp:lastModifiedBy>
  <dcterms:created xsi:type="dcterms:W3CDTF">2023-11-24T14:23:15Z</dcterms:created>
  <dcterms:modified xsi:type="dcterms:W3CDTF">2023-11-24T14:23:16Z</dcterms:modified>
</cp:coreProperties>
</file>