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8\"/>
    </mc:Choice>
  </mc:AlternateContent>
  <xr:revisionPtr revIDLastSave="0" documentId="13_ncr:1_{2F620246-583C-42C9-8C03-D383DEB8268B}" xr6:coauthVersionLast="45" xr6:coauthVersionMax="45" xr10:uidLastSave="{00000000-0000-0000-0000-000000000000}"/>
  <bookViews>
    <workbookView xWindow="-96" yWindow="-96" windowWidth="23232" windowHeight="13152" activeTab="2" xr2:uid="{00000000-000D-0000-FFFF-FFFF00000000}"/>
  </bookViews>
  <sheets>
    <sheet name="Функции" sheetId="1" r:id="rId1"/>
    <sheet name="Остатки" sheetId="3" r:id="rId2"/>
    <sheet name="Выгрузка из 1С" sheetId="4" r:id="rId3"/>
  </sheets>
  <definedNames>
    <definedName name="_xlnm._FilterDatabase" localSheetId="1" hidden="1">Остатки!$A$1:$E$2979</definedName>
    <definedName name="_xlnm._FilterDatabase" localSheetId="0" hidden="1">Функции!$A$1:$D$93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4" l="1"/>
  <c r="Y3" i="4"/>
  <c r="Y4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2" i="4"/>
  <c r="I7" i="3"/>
  <c r="I6" i="3"/>
  <c r="I5" i="3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<sst xmlns="http://schemas.openxmlformats.org/spreadsheetml/2006/main" count="12165" uniqueCount="2420">
  <si>
    <t>Тип</t>
  </si>
  <si>
    <t>Филиал</t>
  </si>
  <si>
    <t>Объем продаж</t>
  </si>
  <si>
    <t>Вопрос</t>
  </si>
  <si>
    <t>Ответ</t>
  </si>
  <si>
    <t>Екатеринбург</t>
  </si>
  <si>
    <t>Общий объем продаж</t>
  </si>
  <si>
    <t>Челябинск</t>
  </si>
  <si>
    <t>Продано в Томске</t>
  </si>
  <si>
    <t>Томск</t>
  </si>
  <si>
    <t>Сколько всего операций?</t>
  </si>
  <si>
    <t>Сколько операций в январе не в Челябинске?</t>
  </si>
  <si>
    <t>Сколько операций в Томске с объемом выше среднего?</t>
  </si>
  <si>
    <t>Товар</t>
  </si>
  <si>
    <t>Склад</t>
  </si>
  <si>
    <t>Город</t>
  </si>
  <si>
    <t>Остаток, шт.</t>
  </si>
  <si>
    <t>Из них в резерве</t>
  </si>
  <si>
    <t>Acer Aspire 3 A315-21-60DQ (NX.GNVER.074)</t>
  </si>
  <si>
    <t>Ноутбуки</t>
  </si>
  <si>
    <t>Основной склад</t>
  </si>
  <si>
    <t>Саратов</t>
  </si>
  <si>
    <t>Рязань</t>
  </si>
  <si>
    <t>Acer Aspire 3 A315-21-63FA (NX.GNVER.076)</t>
  </si>
  <si>
    <t>Магазин</t>
  </si>
  <si>
    <t>Иваново</t>
  </si>
  <si>
    <t>Брак</t>
  </si>
  <si>
    <t>Санкт-Петербург</t>
  </si>
  <si>
    <t>Калининград</t>
  </si>
  <si>
    <t>Acer Aspire 3 A315-21-66MX (NX.GNVER.068)</t>
  </si>
  <si>
    <t>Нижний Новгород</t>
  </si>
  <si>
    <t>Acer Aspire 3 A315-21-949L (NX.GNVER.075)</t>
  </si>
  <si>
    <t>Владимир</t>
  </si>
  <si>
    <t>Новосибирск</t>
  </si>
  <si>
    <t>Самара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</si>
  <si>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</si>
  <si>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</si>
  <si>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</si>
  <si>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</si>
  <si>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Казань</t>
  </si>
  <si>
    <t>Тула</t>
  </si>
  <si>
    <t>Acer Aspire 3 A315-21G-61D6 (NX.GQ4ER.083)</t>
  </si>
  <si>
    <t>Acer Aspire 3 A315-21G-61FP (NX.GQ4ER.082)</t>
  </si>
  <si>
    <t>Саранск</t>
  </si>
  <si>
    <t>Москва</t>
  </si>
  <si>
    <t>Acer Aspire 3 A315-21G-997L (NX.GQ4ER.076)</t>
  </si>
  <si>
    <t>Acer Aspire 3 A315-41G-R07E (NX.GYBER.025)</t>
  </si>
  <si>
    <t>Acer Aspire 3 A315-41G-R0AN (NX.GYBER.032)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</si>
  <si>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</si>
  <si>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</si>
  <si>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</si>
  <si>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</si>
  <si>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A315-41-R3N7 (NX.GY9ER.030)</t>
  </si>
  <si>
    <t>Смоленск</t>
  </si>
  <si>
    <t>Acer Aspire 3 A315-41-R9SC (NX.GY9ER.029)</t>
  </si>
  <si>
    <t>Acer Aspire 3 A315-51-32FV (NX.H9EER.005)</t>
  </si>
  <si>
    <t>Acer Aspire 3 A315-51-34B6 (NX.H9EER.003)</t>
  </si>
  <si>
    <t>Acer Aspire 3 A315-51-35BG (NX.GNPER.046)</t>
  </si>
  <si>
    <t>Acer Aspire 3 A315-51-382R (NX.H9EER.008)</t>
  </si>
  <si>
    <t>Acer Aspire 3 A315-51-52FB (NX.GNPER.040)</t>
  </si>
  <si>
    <t>Acer Aspire 3 A315-51-53MS (NX.GNPER.038)</t>
  </si>
  <si>
    <t>Acer Aspire 3 A315-51-541Z (NX.GNPER.039)</t>
  </si>
  <si>
    <t>Псков</t>
  </si>
  <si>
    <t>Acer Aspire 3 A315-51-54PD (NX.GS6ER.004)</t>
  </si>
  <si>
    <t>Acer Aspire 3 A315-51-57JH (NX.GNPER.041)</t>
  </si>
  <si>
    <t>Acer Aspire 3 A315-51-58YD (NX.GNPER.016)</t>
  </si>
  <si>
    <t>Липецк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</si>
  <si>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</si>
  <si>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</si>
  <si>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</si>
  <si>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</si>
  <si>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</si>
  <si>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</si>
  <si>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</si>
  <si>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</si>
  <si>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</si>
  <si>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</si>
  <si>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A315-53G-37GP (NX.H49ER.004)</t>
  </si>
  <si>
    <t>Acer Aspire 3 A315-53G-50RF (NX.H1AER.008)</t>
  </si>
  <si>
    <t>Acer Aspire 5 A517-51G-5284 (NX.GSXER.014)</t>
  </si>
  <si>
    <t>Acer Aspire 5 A517-51G-56LL (NX.GSXER.005)</t>
  </si>
  <si>
    <t>Acer Aspire 5 A517-51G-57HA (NX.GSXER.004)</t>
  </si>
  <si>
    <t>Acer Aspire 5 A517-51G-810T (NX.GSXER.006)</t>
  </si>
  <si>
    <t>Acer Aspire 5 A517-51G-89AW (NX.GSXER.016)</t>
  </si>
  <si>
    <t>Acer Aspire 7 A715-72G-77A0 (NH.GXCER.004)</t>
  </si>
  <si>
    <t>Acer Aspire 7 A715-72G-78UY (NH.GXCER.006)</t>
  </si>
  <si>
    <t>Acer Aspire 7 A717-71G-7167 (NH.GPFER.007)</t>
  </si>
  <si>
    <t>Acer Aspire 7 A717-71G-718D (NH.GPFER.005)</t>
  </si>
  <si>
    <t>Acer Aspire 7 A717-72G-54W4 (NH.GXDER.001)</t>
  </si>
  <si>
    <t>Acer Aspire 7 A717-72G-76J1 (NH.GXEER.013)</t>
  </si>
  <si>
    <t>Acer Aspire E5-576-54RA (NX.GRYER.006)</t>
  </si>
  <si>
    <t>Acer Aspire E5-576-562B (NX.GRYER.005)</t>
  </si>
  <si>
    <t>Acer Aspire E5-576G-32TN (NX.GSBER.013)</t>
  </si>
  <si>
    <t>Acer Aspire E5-576G-358M (NX.GV9ER.001)</t>
  </si>
  <si>
    <t>Acer Aspire E5-576G-53N7 (NX.GS9ER.004)</t>
  </si>
  <si>
    <t>Acer Aspire E5-576G-5479 (NX.GSBER.015)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</si>
  <si>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</si>
  <si>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</si>
  <si>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</si>
  <si>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</si>
  <si>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</si>
  <si>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EX2519-C54U (NX.EFAER.113)</t>
  </si>
  <si>
    <t>Acer Extensa EX2519-C5G3 (NX.EFAER.071)</t>
  </si>
  <si>
    <t>Acer Extensa EX2519-P47W (NX.EFAER.105)</t>
  </si>
  <si>
    <t>Acer Extensa EX2519-P5PG (NX.EFAER.026)</t>
  </si>
  <si>
    <t>Acer Extensa EX2519-P79W (NX.EFAER.025)</t>
  </si>
  <si>
    <t>Acer Extensa EX2519-P9DQ (NX.EFAER.104)</t>
  </si>
  <si>
    <t>Acer Extensa EX2540-311S (NX.EFHER.059)</t>
  </si>
  <si>
    <t>Acer Extensa EX2540-32NQ (NX.EFHER.027)</t>
  </si>
  <si>
    <t>Acer Extensa EX2540-32SV (NX.EFHER.051)</t>
  </si>
  <si>
    <t>Acer Extensa EX2540-33E9 (NX.EFHER.005)</t>
  </si>
  <si>
    <t>Тверь</t>
  </si>
  <si>
    <t>Acer Extensa EX2540-34D1 (NX.EFHER.064)</t>
  </si>
  <si>
    <t>Acer Extensa EX2540-36X9 (NX.EFHER.040)</t>
  </si>
  <si>
    <t>Acer Extensa EX2540-384Q (NX.EFHER.062)</t>
  </si>
  <si>
    <t>Acer Extensa EX2540-38MS (NX.EFHER.072)</t>
  </si>
  <si>
    <t>Acer Extensa EX2540-50DE (NX.EFHER.006)</t>
  </si>
  <si>
    <t>Acer Extensa EX2540-55HQ (NX.EFHER.016)</t>
  </si>
  <si>
    <t>Acer Extensa EX2540-578E (NX.EFHER.082)</t>
  </si>
  <si>
    <t>Acer Nitro 5 AN515-42-R0HW (NH.Q3RER.006)</t>
  </si>
  <si>
    <t>Acer Nitro 5 AN515-52-70LK (NH.Q3XER.008)</t>
  </si>
  <si>
    <t>Acer Nitro 5 AN515-52-70SL (NH.Q3XER.010)</t>
  </si>
  <si>
    <t>Acer Nitro 5 AN515-52-74NJ (NH.Q3LER.006)</t>
  </si>
  <si>
    <t>Acer Predator Helios 300 PH315-51-50FH (NH.Q3HER.006)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</si>
  <si>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</si>
  <si>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</si>
  <si>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</si>
  <si>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</si>
  <si>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</si>
  <si>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</si>
  <si>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</si>
  <si>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PH315-51-7441 (NH.Q3FER.001)</t>
  </si>
  <si>
    <t>Acer Predator Helios 300 PH315-51-761K (NH.Q3FER.002)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</si>
  <si>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</si>
  <si>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</si>
  <si>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</si>
  <si>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</si>
  <si>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</si>
  <si>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</si>
  <si>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</si>
  <si>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PH317-52-70N2 (NH.Q3DER.002)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</si>
  <si>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</si>
  <si>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</si>
  <si>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</si>
  <si>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</si>
  <si>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</si>
  <si>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PH317-52-795G (NH.Q3DER.003)</t>
  </si>
  <si>
    <t>Acer Predator Helios 500 PH517-51-706N (NH.Q3NER.005)</t>
  </si>
  <si>
    <t>Acer Predator Helios 500 PH517-51-73P1 (NH.Q3NER.013)</t>
  </si>
  <si>
    <t>Acer Predator Helios 500 PH517-61-R28C (NH.Q3GER.006)</t>
  </si>
  <si>
    <t>Acer Predator Helios 500 PH517-61-R5C9 (NH.Q3GER.003)</t>
  </si>
  <si>
    <t>Acer Predator Helios 500 PH517-61-R633 (NH.Q3GER.007)</t>
  </si>
  <si>
    <t>Acer Spin SP314-51-359S (NX.GZRER.003)</t>
  </si>
  <si>
    <t>Acer Spin SP314-51-51BY (NX.GZRER.001)</t>
  </si>
  <si>
    <t>Acer Spin SP513-53N-57K4 (NX.H62ER.003)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</si>
  <si>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</si>
  <si>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</si>
  <si>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</si>
  <si>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</si>
  <si>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</si>
  <si>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SF314-54-39E1 (NX.GYGER.009)</t>
  </si>
  <si>
    <t>Acer Swift SF314-54-55A6 (NX.GYGER.002)</t>
  </si>
  <si>
    <t>Acer Swift SF314-54-56CU (NX.GYQER.006)</t>
  </si>
  <si>
    <t>Acer Swift SF314-54-8456 (NX.GXZER.010)</t>
  </si>
  <si>
    <t>Acer Swift SF314-54-88QB (NX.GYGER.003)</t>
  </si>
  <si>
    <t>Acer Swift SF314-54G-5201 (NX.GY0ER.005)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</si>
  <si>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</si>
  <si>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</si>
  <si>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</si>
  <si>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</si>
  <si>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</si>
  <si>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</si>
  <si>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</si>
  <si>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</si>
  <si>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SF314-55-72FH (NX.H3WER.010)</t>
  </si>
  <si>
    <t>Acer Swift SF314-55-78SP (NX.H5WER.006)</t>
  </si>
  <si>
    <t>Acer Swift SF314-55G-53B0 (NX.H3UER.001)</t>
  </si>
  <si>
    <t>Acer Swift SF314-55G-70WT (NX.H3UER.002)</t>
  </si>
  <si>
    <t>Acer Swift SF314-55G-778M (NX.H5UER.002)</t>
  </si>
  <si>
    <t>Acer Swift SF314-56-5403 (NX.H4CER.004)</t>
  </si>
  <si>
    <t>Acer Swift SF314-56-57VK (NX.H4JER.005)</t>
  </si>
  <si>
    <t>Acer Swift SF314-56-59HP (NX.H4CER.008)</t>
  </si>
  <si>
    <t>Acer Swift SF314-56-72NG (NX.H4JER.003)</t>
  </si>
  <si>
    <t>Acer Swift SF314-56G-50GE (NX.H4XER.006)</t>
  </si>
  <si>
    <t>Acer Swift SF314-56G-514P (NX.H51ER.001)</t>
  </si>
  <si>
    <t>Acer Swift SF314-56G-53KG (NX.H4LER.001)</t>
  </si>
  <si>
    <t>Acer Swift SF314-56G-57HK (NX.H4LER.004)</t>
  </si>
  <si>
    <t>Acer Swift SF314-56G-704Q (NX.H4XER.005)</t>
  </si>
  <si>
    <t>Acer Swift SF314-56G-71S6 (NX.H51ER.003)</t>
  </si>
  <si>
    <t>Acer Swift SF314-56G-76FM (NX.H4LER.003)</t>
  </si>
  <si>
    <t>Acer Swift SF314-56G-78TV (NX.H4LER.005)</t>
  </si>
  <si>
    <t>Acer Swift SF314-56G-79M (NX.H4LER.006)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</si>
  <si>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</si>
  <si>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</si>
  <si>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</si>
  <si>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</si>
  <si>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</si>
  <si>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</si>
  <si>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</si>
  <si>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</si>
  <si>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</si>
  <si>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</si>
  <si>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</si>
  <si>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</si>
  <si>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</si>
  <si>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</si>
  <si>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</si>
  <si>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SF514-53T-793D (NX.H7HER.002)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</si>
  <si>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</si>
  <si>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</si>
  <si>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</si>
  <si>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</si>
  <si>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</si>
  <si>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</si>
  <si>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</si>
  <si>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</si>
  <si>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</si>
  <si>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</si>
  <si>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</si>
  <si>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</si>
  <si>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</si>
  <si>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</si>
  <si>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</si>
  <si>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P259-G2-M-33BL (NX.VEPER.041)</t>
  </si>
  <si>
    <t>Acer TravelMate P259-G2-M-35F7 (NX.VEPER.040)</t>
  </si>
  <si>
    <t>Acer TravelMate P259-G2-M-35GK (NX.VEPER.036)</t>
  </si>
  <si>
    <t>Acer TravelMate P259-G2-M-504Q (NX.VEPER.037)</t>
  </si>
  <si>
    <t>Acer TravelMate P259-G2-M-5402 (NX.VEPER.038)</t>
  </si>
  <si>
    <t>Acer TravelMate P259-MG-32CC (NX.VE2ER.049)</t>
  </si>
  <si>
    <t>Acer TravelMate P259-MG-339Z (NX.VE2ER.008)</t>
  </si>
  <si>
    <t>Acer TravelMate P259-MG-382R (NX.VE2ER.018)</t>
  </si>
  <si>
    <t>Acer TravelMate P259-MG-38LQ (NX.VE2ER.032)</t>
  </si>
  <si>
    <t>Acer TravelMate P259-MG-38SX (NX.VE2ER.042)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</si>
  <si>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</si>
  <si>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</si>
  <si>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</si>
  <si>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</si>
  <si>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</si>
  <si>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P259-MG-56TU (NX.VE2ER.014)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</si>
  <si>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</si>
  <si>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</si>
  <si>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</si>
  <si>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</si>
  <si>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</si>
  <si>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</si>
  <si>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</si>
  <si>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</si>
  <si>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</si>
  <si>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MRE92RU/A (MRE92RU/A)</t>
  </si>
  <si>
    <t>Apple MacBook Air 2018 MREA2RU/A (MREA2RU/A)</t>
  </si>
  <si>
    <t>Apple MacBook Air 2018 MREC2RU/A (MREC2RU/A)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</si>
  <si>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</si>
  <si>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</si>
  <si>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</si>
  <si>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</si>
  <si>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</si>
  <si>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</si>
  <si>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</si>
  <si>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</si>
  <si>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</si>
  <si>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</si>
  <si>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</si>
  <si>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</si>
  <si>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ASUS FX753VD-GC128 (90NB0DM3-M09520)</t>
  </si>
  <si>
    <t>ASUS FX753VD-GC128T (90NB0DM3-M09510)</t>
  </si>
  <si>
    <t>ASUS ROG CHIMERA G703GX-EV153T (90NR01B1-M02540)</t>
  </si>
  <si>
    <t>ASUS ROG HERO II Edition GL504GM-ES386 (90NR00K2-M08570)</t>
  </si>
  <si>
    <t>ASUS ROG SCAR Edition GL503GE-EN274 (90NR0081-M05480)</t>
  </si>
  <si>
    <t>ASUS ROG SCAR Edition GL703GE-GC075 (90NR00D2-M04490)</t>
  </si>
  <si>
    <t>ASUS ROG SCAR Edition GL703GM-EE225 (90NR00G1-M04520)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</si>
  <si>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</si>
  <si>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</si>
  <si>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</si>
  <si>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</si>
  <si>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</si>
  <si>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</si>
  <si>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</si>
  <si>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</si>
  <si>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GL704GM-EV060 (90NR00N1-M01220)</t>
  </si>
  <si>
    <t>ASUS ROG SCAR II Edition GL704GM-EV068T (90NR00N1-M01350)</t>
  </si>
  <si>
    <t>ASUS ROG SCAR II Edition GL704GV-EV039T (90NR01Y1-M00720)</t>
  </si>
  <si>
    <t>ASUS ROG SCAR II Edition GL704GW-EV001 (90NR00M1-M01560)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</si>
  <si>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</si>
  <si>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</si>
  <si>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</si>
  <si>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</si>
  <si>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</si>
  <si>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GX701GV-EV006T (90NR0201-M00180)</t>
  </si>
  <si>
    <t>ASUS ROG ZEPHYRUS S GX701GV-EV016T (90NR0201-M00390)</t>
  </si>
  <si>
    <t>ASUS ROG ZEPHYRUS S GX701GW-EV056T (90NR01U1-M01250)</t>
  </si>
  <si>
    <t>ASUS TUF Gaming FX504GM-E4455 (90NR00Q3-M09910)</t>
  </si>
  <si>
    <t>ASUS TUF Gaming FX505DY-BQ024T (90NR01A2-M02100)</t>
  </si>
  <si>
    <t>ASUS TUF Gaming FX505GE-BQ165 (90NR00S1-M09310)</t>
  </si>
  <si>
    <t>ASUS TUF Gaming FX505GM-BN274 (90NR0131-M05190)</t>
  </si>
  <si>
    <t>ASUS TUF Gaming FX505GM-BN275 (90NR0131-M05220)</t>
  </si>
  <si>
    <t>ASUS TUF Gaming FX705DY-AU017T (90NR0192-M01410)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</si>
  <si>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</si>
  <si>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</si>
  <si>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</si>
  <si>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</si>
  <si>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</si>
  <si>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FX705GE-EW228 (90NR00Z2-M05680)</t>
  </si>
  <si>
    <t>ASUS TUF Gaming FX705GE-EW238 (90NR00Z1-M05300)</t>
  </si>
  <si>
    <t>ASUS TUF Gaming FX705GM-EW152T (90NR0121-M03280)</t>
  </si>
  <si>
    <t>ASUS TUF Gaming FX705GM-EW181 (90NR0121-M04110)</t>
  </si>
  <si>
    <t>ASUS VivoBook 15 X505BA-EJ151T (90NB0G12-M02530)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</si>
  <si>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</si>
  <si>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</si>
  <si>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</si>
  <si>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</si>
  <si>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X540UB-DM264 (90NB0IM1-M03610)</t>
  </si>
  <si>
    <t>ASUS VivoBook 15 X542UN-DM163T (90NB0G82-M02680)</t>
  </si>
  <si>
    <t>ASUS VivoBook 17 X705MB-BX010T (90NB0IH2-M00300)</t>
  </si>
  <si>
    <t>ASUS VivoBook 17 X705UF-BX014T (90NB0IE2-M02140)</t>
  </si>
  <si>
    <t>ASUS VivoBook E403NA-GA041 (90NB0DT1-M03490)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</si>
  <si>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</si>
  <si>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</si>
  <si>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</si>
  <si>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</si>
  <si>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X541UV-DM1607T (90NB0CG1-M24120)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</si>
  <si>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</si>
  <si>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</si>
  <si>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</si>
  <si>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</si>
  <si>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</si>
  <si>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</si>
  <si>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</si>
  <si>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</si>
  <si>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</si>
  <si>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</si>
  <si>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</si>
  <si>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</si>
  <si>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</si>
  <si>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</si>
  <si>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</si>
  <si>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</si>
  <si>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</si>
  <si>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</si>
  <si>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</si>
  <si>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</si>
  <si>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</si>
  <si>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</si>
  <si>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X540MA-GQ064 (90NB0IR1-M00820)</t>
  </si>
  <si>
    <t>ASUS X540MB-GQ079 (90NB0IQ1-M01110)</t>
  </si>
  <si>
    <t>ASUS X540NV-GQ072 (90NB0HM1-M01310)</t>
  </si>
  <si>
    <t>ASUS X540YA-XO534D (90NB0CN1-M09290)</t>
  </si>
  <si>
    <t>ASUS X540YA-XO751D (90NB0CN1-M11250)</t>
  </si>
  <si>
    <t>ASUS X540YA-XO833D (90NB0CN1-M12360)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</si>
  <si>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</si>
  <si>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</si>
  <si>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</si>
  <si>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</si>
  <si>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</si>
  <si>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</si>
  <si>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</si>
  <si>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</si>
  <si>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</si>
  <si>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</si>
  <si>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</si>
  <si>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</si>
  <si>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</si>
  <si>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</si>
  <si>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</si>
  <si>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</si>
  <si>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</si>
  <si>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</si>
  <si>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</si>
  <si>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</si>
  <si>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</si>
  <si>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15 UX533FD-A8079T (90NB0JX1-M01150)</t>
  </si>
  <si>
    <t>ASUS Zenbook 15 UX533FD-A8096 (90NB0JX2-M01670)</t>
  </si>
  <si>
    <t>ASUS Zenbook 3 Deluxe UX490UA-BE054R (90NB0EI3-M07030)</t>
  </si>
  <si>
    <t>ASUS Zenbook 3 Deluxe UX490UA-BE082R (90NB0EI1-M05080)</t>
  </si>
  <si>
    <t>ASUS Zenbook Flip RX562FD-EZ066R (90NB0JS1-M01080)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</si>
  <si>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</si>
  <si>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</si>
  <si>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</si>
  <si>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</si>
  <si>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</si>
  <si>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UX561UN-BO029T (90NB0G31-M00930)</t>
  </si>
  <si>
    <t>ASUS Zenbook Pro UX550GE-BN029R (90NB0HW3-M00430)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</si>
  <si>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</si>
  <si>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</si>
  <si>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</si>
  <si>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</si>
  <si>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</si>
  <si>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</si>
  <si>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</si>
  <si>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</si>
  <si>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</si>
  <si>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</si>
  <si>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</si>
  <si>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</si>
  <si>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</si>
  <si>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UX310UA-FC1079T (90NB0CJ1-M18100)</t>
  </si>
  <si>
    <t>ASUS Zenbook UX310UA-FC1115 (90NB0CJ1-M18840)</t>
  </si>
  <si>
    <t>ASUS Zenbook UX330UA-FB316T (90NB0CW1-M08600)</t>
  </si>
  <si>
    <t>ASUS Zenbook UX410UA-GV503T (90NB0DL3-M10950)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</si>
  <si>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</si>
  <si>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</si>
  <si>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</si>
  <si>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</si>
  <si>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Dell Alienware 15 M15 (M15-5515)</t>
  </si>
  <si>
    <t>Dell Alienware 15 M15 (M15-5522)</t>
  </si>
  <si>
    <t>Dell Alienware 15 M15 (M15-5539)</t>
  </si>
  <si>
    <t>Dell Alienware 15 M15 (M15-5553)</t>
  </si>
  <si>
    <t>Dell Alienware 15 M15 (M15-5560)</t>
  </si>
  <si>
    <t>Dell Alienware 15 M15 (M15-5577)</t>
  </si>
  <si>
    <t>Dell Alienware 15 M15 (M15-5591)</t>
  </si>
  <si>
    <t>Dell Alienware 15 M15 (M15-5607)</t>
  </si>
  <si>
    <t>Dell Alienware 15 M15 (M15-5614)</t>
  </si>
  <si>
    <t>Dell Alienware 15 M15 (M15-5942)</t>
  </si>
  <si>
    <t>Dell Alienware 15 R4 (A15-7718)</t>
  </si>
  <si>
    <t>Dell Alienware 17 R5 (A17-7073)</t>
  </si>
  <si>
    <t>Dell Alienware 17 R5 (A17-7080)</t>
  </si>
  <si>
    <t>Dell Alienware 17 R5 (A17-7831)</t>
  </si>
  <si>
    <t>Dell Alienware 17 R5 (A17-7862)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</si>
  <si>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</si>
  <si>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</si>
  <si>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</si>
  <si>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</si>
  <si>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</si>
  <si>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(G315-7251)</t>
  </si>
  <si>
    <t>Dell G3 3579 (G315-7282)</t>
  </si>
  <si>
    <t>Dell G3 3779 (G317-5362)</t>
  </si>
  <si>
    <t>Dell G3 3779 (G317-7534)</t>
  </si>
  <si>
    <t>Dell G3 3779 (G317-7541)</t>
  </si>
  <si>
    <t>Dell G3 3779 (G317-7558)</t>
  </si>
  <si>
    <t>Dell G3 3779 (G317-7626)</t>
  </si>
  <si>
    <t>Dell G3 3779 (G317-7664)</t>
  </si>
  <si>
    <t>Dell G5 5587 (G515-7329)</t>
  </si>
  <si>
    <t>Dell G5 5587 (G515-7336)</t>
  </si>
  <si>
    <t>Dell G5 5587 (G515-7343)</t>
  </si>
  <si>
    <t>Dell G5 5587 (G515-7367)</t>
  </si>
  <si>
    <t>Dell G5 5587 (G515-7398)</t>
  </si>
  <si>
    <t>Dell G5 5587 (G515-7459)</t>
  </si>
  <si>
    <t>Dell G5 5587 (G515-7473)</t>
  </si>
  <si>
    <t>Dell G5 5587 (G515-7480)</t>
  </si>
  <si>
    <t>Dell G5 5587 (G515-7527)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</si>
  <si>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</si>
  <si>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</si>
  <si>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</si>
  <si>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</si>
  <si>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</si>
  <si>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</si>
  <si>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</si>
  <si>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3573 (3573-5451)</t>
  </si>
  <si>
    <t>Dell Inspiron 3573 (3573-5468)</t>
  </si>
  <si>
    <t>Dell Inspiron 3573 (3573-5475)</t>
  </si>
  <si>
    <t>Dell Inspiron 3573 (3573-6038)</t>
  </si>
  <si>
    <t>Dell Inspiron 3573 (3573-6045)</t>
  </si>
  <si>
    <t>Dell Inspiron 3573 (3573-6069)</t>
  </si>
  <si>
    <t>Dell Inspiron 3573 (3573-6106)</t>
  </si>
  <si>
    <t>Dell Inspiron 3576 (3576-5225)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</si>
  <si>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</si>
  <si>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</si>
  <si>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</si>
  <si>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</si>
  <si>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</si>
  <si>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</si>
  <si>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</si>
  <si>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</si>
  <si>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</si>
  <si>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</si>
  <si>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</si>
  <si>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</si>
  <si>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</si>
  <si>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(5482-2509)</t>
  </si>
  <si>
    <t>Dell Inspiron 5482 (5482-5430)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</si>
  <si>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</si>
  <si>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</si>
  <si>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</si>
  <si>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</si>
  <si>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</si>
  <si>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(5570-3124)</t>
  </si>
  <si>
    <t>Dell Inspiron 5570 (5570-3762)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</si>
  <si>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</si>
  <si>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</si>
  <si>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</si>
  <si>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</si>
  <si>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</si>
  <si>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</si>
  <si>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</si>
  <si>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</si>
  <si>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</si>
  <si>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</si>
  <si>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</si>
  <si>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</si>
  <si>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(5570-5294)</t>
  </si>
  <si>
    <t>Dell Inspiron 5570 (5570-5298)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</si>
  <si>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</si>
  <si>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</si>
  <si>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</si>
  <si>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</si>
  <si>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</si>
  <si>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</si>
  <si>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</si>
  <si>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</si>
  <si>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</si>
  <si>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</si>
  <si>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</si>
  <si>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</si>
  <si>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</si>
  <si>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(5570-5840)</t>
  </si>
  <si>
    <t>Dell Inspiron 5570 (5570-5857)</t>
  </si>
  <si>
    <t>Dell Inspiron 5570 (5570-6298)</t>
  </si>
  <si>
    <t>Dell Inspiron 5570 (5570-6359)</t>
  </si>
  <si>
    <t>Dell Inspiron 5570 (5570-6373)</t>
  </si>
  <si>
    <t>Dell Inspiron 5570 (5570-7772)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</si>
  <si>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</si>
  <si>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</si>
  <si>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</si>
  <si>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</si>
  <si>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(5570-7871)</t>
  </si>
  <si>
    <t>Dell Inspiron 5570 (5570-8749)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</si>
  <si>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</si>
  <si>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</si>
  <si>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</si>
  <si>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</si>
  <si>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</si>
  <si>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</si>
  <si>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</si>
  <si>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</si>
  <si>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(3490-4063)</t>
  </si>
  <si>
    <t>Dell Latitude 3490 (3490-4087)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</si>
  <si>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</si>
  <si>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</si>
  <si>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</si>
  <si>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</si>
  <si>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</si>
  <si>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5290 (5290-1443)</t>
  </si>
  <si>
    <t>Dell Latitude 5290 (5290-1467)</t>
  </si>
  <si>
    <t>Dell Latitude 5290 (5290-1474)</t>
  </si>
  <si>
    <t>Dell Latitude 5290 (5290-2332)</t>
  </si>
  <si>
    <t>Dell Latitude 5290 (5290-6771)</t>
  </si>
  <si>
    <t>Dell Latitude 5490 (5490-1504)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</si>
  <si>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</si>
  <si>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</si>
  <si>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</si>
  <si>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</si>
  <si>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</si>
  <si>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</si>
  <si>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</si>
  <si>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</si>
  <si>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</si>
  <si>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</si>
  <si>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(5590-1566)</t>
  </si>
  <si>
    <t>Dell Latitude 5590 (5590-1573)</t>
  </si>
  <si>
    <t>Dell Latitude 5590 (5590-1580)</t>
  </si>
  <si>
    <t>Dell Latitude 5590 (5590-6801)</t>
  </si>
  <si>
    <t>Dell Latitude 5590 (5590-6818)</t>
  </si>
  <si>
    <t>Dell Latitude 5591 (5591-6825)</t>
  </si>
  <si>
    <t>Dell Latitude 5591 (5591-7441)</t>
  </si>
  <si>
    <t>Dell Latitude 7290 (7290-1610)</t>
  </si>
  <si>
    <t>Dell Latitude 7390 (7390-1634)</t>
  </si>
  <si>
    <t>Dell Latitude 7390 (7390-8157)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</si>
  <si>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</si>
  <si>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</si>
  <si>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</si>
  <si>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</si>
  <si>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</si>
  <si>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(7490-4430)</t>
  </si>
  <si>
    <t>Dell Latitude 7490 (7490-5505)</t>
  </si>
  <si>
    <t>Dell Vostro 3480 (3480-4035)</t>
  </si>
  <si>
    <t>Dell Vostro 3568 (3568-0221)</t>
  </si>
  <si>
    <t>Dell Vostro 3568 (3568-0245)</t>
  </si>
  <si>
    <t>Dell Vostro 3568 (3568-5706)</t>
  </si>
  <si>
    <t>Dell Vostro 3568 (3568-5713)</t>
  </si>
  <si>
    <t>Dell Vostro 3568 (3568-5963)</t>
  </si>
  <si>
    <t>Dell Vostro 3568 (3568-5970)</t>
  </si>
  <si>
    <t>Dell Vostro 3578 (3578-2639)</t>
  </si>
  <si>
    <t>Dell Vostro 3578 (3578-4025)</t>
  </si>
  <si>
    <t>Dell Vostro 3578 (3578-5987)</t>
  </si>
  <si>
    <t>Dell Vostro 3578 (3578-5994)</t>
  </si>
  <si>
    <t>Dell Vostro 3580 (3580-4462)</t>
  </si>
  <si>
    <t>Dell Vostro 3583 (3583-4387)</t>
  </si>
  <si>
    <t>Dell Vostro 3584 (3584-4417)</t>
  </si>
  <si>
    <t>Dell Vostro 5370 (5370-4570)</t>
  </si>
  <si>
    <t>Dell Vostro 5370 (5370-4594)</t>
  </si>
  <si>
    <t>Dell Vostro 5370 (5370-4600)</t>
  </si>
  <si>
    <t>Dell Vostro 5370 (5370-7369)</t>
  </si>
  <si>
    <t>Dell Vostro 5370 (5370-7536)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</si>
  <si>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</si>
  <si>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</si>
  <si>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</si>
  <si>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</si>
  <si>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</si>
  <si>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(5471-4631)</t>
  </si>
  <si>
    <t>Dell Vostro 5471 (5471-4648)</t>
  </si>
  <si>
    <t>Dell Vostro 5471 (5471-4655)</t>
  </si>
  <si>
    <t>Dell Vostro 5471 (5471-4662)</t>
  </si>
  <si>
    <t>Dell Vostro 5471 (5471-7437)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</si>
  <si>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</si>
  <si>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</si>
  <si>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</si>
  <si>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</si>
  <si>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</si>
  <si>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</si>
  <si>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(5481-7372)</t>
  </si>
  <si>
    <t>Dell Vostro 5481 (5481-7396)</t>
  </si>
  <si>
    <t>Dell Vostro 5568 (5568-7202)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</si>
  <si>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</si>
  <si>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</si>
  <si>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</si>
  <si>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</si>
  <si>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</si>
  <si>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</si>
  <si>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(5568-9975)</t>
  </si>
  <si>
    <t>Dell Vostro 5581 (5581-7433)</t>
  </si>
  <si>
    <t>Dell Vostro 5581 (5581-7471)</t>
  </si>
  <si>
    <t>Dell Vostro 5581 (5581-7495)</t>
  </si>
  <si>
    <t>Dell Vostro 5581 (5581-7501)</t>
  </si>
  <si>
    <t>Dell Vostro 5581 (5581-7525)</t>
  </si>
  <si>
    <t>Dell XPS 13 9365 (9365-2516)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</si>
  <si>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</si>
  <si>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</si>
  <si>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</si>
  <si>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</si>
  <si>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</si>
  <si>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</si>
  <si>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</si>
  <si>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(9360-5556)</t>
  </si>
  <si>
    <t>Dell XPS 13 Ultrabook (9360-9737)</t>
  </si>
  <si>
    <t>Dell XPS 13 Ultrabook (9365-4429)</t>
  </si>
  <si>
    <t>Dell XPS 13 Ultrabook (9365-4436)</t>
  </si>
  <si>
    <t>Dell XPS 15 9570 (9570-1073)</t>
  </si>
  <si>
    <t>Dell XPS 15 9570 (9570-1080)</t>
  </si>
  <si>
    <t>Dell XPS 15 9570 (9570-5413)</t>
  </si>
  <si>
    <t>Dell XPS 15 9570 (9570-5772)</t>
  </si>
  <si>
    <t>Dell XPS 15 9570 (9570-6658)</t>
  </si>
  <si>
    <t>Dell XPS 15 9575 (9575-2530)</t>
  </si>
  <si>
    <t>Dell XPS 15 9575 (9575-3094)</t>
  </si>
  <si>
    <t>Dell XPS 15 9575 (9575-7042)</t>
  </si>
  <si>
    <t>Haier LightBook ES34 (TD0026533RU)</t>
  </si>
  <si>
    <t>Haier LightBook S428 (TD0026532RU)</t>
  </si>
  <si>
    <t>HP 14-bp014ur (1ZJ50EA)</t>
  </si>
  <si>
    <t>HP 14-cf0004ur (4KB45EA)</t>
  </si>
  <si>
    <t>HP 14-cf0006ur (4JU70EA)</t>
  </si>
  <si>
    <t>HP 14-cf0007ur (4KF55EA)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</si>
  <si>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</si>
  <si>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</si>
  <si>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</si>
  <si>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</si>
  <si>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</si>
  <si>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14-cf0016ur (4KF21EA)</t>
  </si>
  <si>
    <t>HP 14-cf0020ur (4MF90EA)</t>
  </si>
  <si>
    <t>HP 14-cf1000ur (5TA12EA)</t>
  </si>
  <si>
    <t>HP 14-cf1001ur (5TA04EA)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</si>
  <si>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</si>
  <si>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</si>
  <si>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</si>
  <si>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</si>
  <si>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</si>
  <si>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</si>
  <si>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</si>
  <si>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</si>
  <si>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</si>
  <si>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</si>
  <si>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</si>
  <si>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</si>
  <si>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</si>
  <si>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</si>
  <si>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</si>
  <si>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</si>
  <si>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14-cm0009ur (4KJ15EA)</t>
  </si>
  <si>
    <t>HP 14-cm0010ur (4KH35EA)</t>
  </si>
  <si>
    <t>HP 14-cm0012ur (4KF74EA)</t>
  </si>
  <si>
    <t>HP 14-cm0014ur (4JU85EA)</t>
  </si>
  <si>
    <t>HP 14-cm0016ur (4KJ45EA)</t>
  </si>
  <si>
    <t>HP 14-cm0017ur (4KH06EA)</t>
  </si>
  <si>
    <t>HP 15-bs156ur (3XY57EA)</t>
  </si>
  <si>
    <t>HP 15-bs158ur (3XY59EA)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</si>
  <si>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</si>
  <si>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</si>
  <si>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</si>
  <si>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</si>
  <si>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</si>
  <si>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</si>
  <si>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</si>
  <si>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</si>
  <si>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</si>
  <si>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</si>
  <si>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</si>
  <si>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</si>
  <si>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</si>
  <si>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</si>
  <si>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</si>
  <si>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</si>
  <si>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</si>
  <si>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</si>
  <si>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</si>
  <si>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</si>
  <si>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</si>
  <si>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</si>
  <si>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</si>
  <si>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</si>
  <si>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</si>
  <si>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15-bw675ur (4US83EA)</t>
  </si>
  <si>
    <t>HP 15-bw692ur (4UT02EA)</t>
  </si>
  <si>
    <t>HP 15-da0022ur (4GM27EA)</t>
  </si>
  <si>
    <t>HP 15-da0029ur (4GL82EA)</t>
  </si>
  <si>
    <t>HP 15-da0034ur (4GL89EA)</t>
  </si>
  <si>
    <t>HP 15-da0035ur (4GM72EA)</t>
  </si>
  <si>
    <t>HP 15-da0044ur (4GK37EA)</t>
  </si>
  <si>
    <t>HP 15-da0057ur (4JR09EA)</t>
  </si>
  <si>
    <t>HP 15-da0059ur (4JR07EA)</t>
  </si>
  <si>
    <t>HP 15-da0060ur (4JR05EA)</t>
  </si>
  <si>
    <t>HP 15-da0069ur (4JR80EA)</t>
  </si>
  <si>
    <t>HP 15-da0070ur (4JR90EA)</t>
  </si>
  <si>
    <t>HP 15-da0072ur (4JR87EA)</t>
  </si>
  <si>
    <t>HP 15-da0073ur (4KH12EA)</t>
  </si>
  <si>
    <t>HP 15-da0076ur (4JY28EA)</t>
  </si>
  <si>
    <t>HP 15-da0077ur (4JY26EA)</t>
  </si>
  <si>
    <t>HP 15-da0081ur (4KH65EA )</t>
  </si>
  <si>
    <t>HP 15-da0082ur (4KC85EA)</t>
  </si>
  <si>
    <t>HP 15-da0084ur (4JY54EA)</t>
  </si>
  <si>
    <t>HP 15-da0085ur (4JW63EA)</t>
  </si>
  <si>
    <t>HP 15-da0088ur (4KC93EA)</t>
  </si>
  <si>
    <t>HP 15-da0107ur (4JX44EA)</t>
  </si>
  <si>
    <t>HP 15-da0109ur (4KF92EA)</t>
  </si>
  <si>
    <t>HP 15-da0110ur (4KD14EA )</t>
  </si>
  <si>
    <t>HP 15-da0112ur (4KA20EA)</t>
  </si>
  <si>
    <t>HP 15-da0120ur (4KH38EA)</t>
  </si>
  <si>
    <t>HP 15-da0130ur (4JZ60EA)</t>
  </si>
  <si>
    <t>HP 15-da0138ur (4KF50EA)</t>
  </si>
  <si>
    <t>HP 15-da0143ur (4KG63EA)</t>
  </si>
  <si>
    <t>HP 15-da0144ur (4KG57EA)</t>
  </si>
  <si>
    <t>HP 15-da0151ur (4KG48EA)</t>
  </si>
  <si>
    <t>HP 15-da0152ur (4KF64EA)</t>
  </si>
  <si>
    <t>HP 15-da0158ur (4MJ09EA)</t>
  </si>
  <si>
    <t>HP 15-da0170ur (4MZ42EA)</t>
  </si>
  <si>
    <t>HP 15-da0171ur (4MZ19EA)</t>
  </si>
  <si>
    <t>HP 15-da0173ur (4MY55EA)</t>
  </si>
  <si>
    <t>HP 15-da0174ur (4MU61EA)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</si>
  <si>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</si>
  <si>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</si>
  <si>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</si>
  <si>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</si>
  <si>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</si>
  <si>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</si>
  <si>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</si>
  <si>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</si>
  <si>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</si>
  <si>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</si>
  <si>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</si>
  <si>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</si>
  <si>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</si>
  <si>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</si>
  <si>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</si>
  <si>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</si>
  <si>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</si>
  <si>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15-da1018ur (5SV83EA)</t>
  </si>
  <si>
    <t>HP 15-da1019ur (5SV77EA)</t>
  </si>
  <si>
    <t>HP 15-da1020ur (5SV72EA)</t>
  </si>
  <si>
    <t>HP 15-da1021ur (5SV63EA)</t>
  </si>
  <si>
    <t>HP 15-da1023ur (5SV62EA)</t>
  </si>
  <si>
    <t>HP 15-da1024ur (5SV46EA)</t>
  </si>
  <si>
    <t>HP 15-da1025ur (5SV07EA)</t>
  </si>
  <si>
    <t>HP 15-db0039ur (4HD41EA)</t>
  </si>
  <si>
    <t>HP 15-db0046ur (4GK21EA)</t>
  </si>
  <si>
    <t>HP 15-db0064ur (4JX87EA)</t>
  </si>
  <si>
    <t>HP 15-db0070ur (4JZ55EA)</t>
  </si>
  <si>
    <t>HP 15-db0075ur (4KH82EA)</t>
  </si>
  <si>
    <t>HP 15-db0096ur (4KC91EA)</t>
  </si>
  <si>
    <t>HP 15-db0097ur (4KJ50EA)</t>
  </si>
  <si>
    <t>HP 15-db0098ur (4KG98EA )</t>
  </si>
  <si>
    <t>HP 15-db0105ur (4JU22EA)</t>
  </si>
  <si>
    <t>HP 15-db0112ur (4JY11EA)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</si>
  <si>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</si>
  <si>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</si>
  <si>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</si>
  <si>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</si>
  <si>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</si>
  <si>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</si>
  <si>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15-db0143ur (4MS80EA)</t>
  </si>
  <si>
    <t>HP 15-db0144ur (4MQ40EA)</t>
  </si>
  <si>
    <t>HP 15-db0147ur (4MV22EA)</t>
  </si>
  <si>
    <t>HP 15-db0148ur (4MP46EA)</t>
  </si>
  <si>
    <t>HP 15-db0151ur (4MG69EA)</t>
  </si>
  <si>
    <t>HP 15-db0153ur (4MU70EA)</t>
  </si>
  <si>
    <t>HP 15-db0155ur (4MH72EA)</t>
  </si>
  <si>
    <t>HP 15-db0159ur (4MG41EA)</t>
  </si>
  <si>
    <t>HP 15-db0164ur (4MG50EA)</t>
  </si>
  <si>
    <t>HP 15-db0166ur (4MG47EA)</t>
  </si>
  <si>
    <t>HP 15-db0175ur (4MW65EA)</t>
  </si>
  <si>
    <t>HP 15-db0176ur (4MK72EA)</t>
  </si>
  <si>
    <t>HP 15-db0178ur (4MP01EA)</t>
  </si>
  <si>
    <t>HP 15-db0180ur (4ML07EA)</t>
  </si>
  <si>
    <t>HP 15-db0183ur (4MY71EA)</t>
  </si>
  <si>
    <t>HP 15-db0197ur (4MY28EA)</t>
  </si>
  <si>
    <t>HP 15-db0209ur (4MS45EA)</t>
  </si>
  <si>
    <t>HP 15-db0211ur (4MH73EA)</t>
  </si>
  <si>
    <t>HP 15-db0212ur (4MH71EA)</t>
  </si>
  <si>
    <t>HP 15-db0215ur (4MH67EA)</t>
  </si>
  <si>
    <t>HP 15-ra025ur (3FZ10EA)</t>
  </si>
  <si>
    <t>HP 15-ra055ur (3QT88EA)</t>
  </si>
  <si>
    <t>HP 15-ra059ur (3QU42EA)</t>
  </si>
  <si>
    <t>HP 15-ra062ur (3QU48EA)</t>
  </si>
  <si>
    <t>HP 15-ra063ur (3QU49EA)</t>
  </si>
  <si>
    <t>HP 15-rb015ur (3QU50EA)</t>
  </si>
  <si>
    <t>HP 15-rb017ur (3QU52EA)</t>
  </si>
  <si>
    <t>HP 15-rb028ur (4US49EA)</t>
  </si>
  <si>
    <t>HP 17-ak021ur (2CP35EA)</t>
  </si>
  <si>
    <t>HP 17-ak026ur (2CP40EA)</t>
  </si>
  <si>
    <t>HP 17-ak028ur (2CP42EA)</t>
  </si>
  <si>
    <t>HP 17-by0001ur (4JU38EA)</t>
  </si>
  <si>
    <t>HP 17-by0002ur (4JS65EA)</t>
  </si>
  <si>
    <t>HP 17-by0003ur (4KJ39EA)</t>
  </si>
  <si>
    <t>HP 17-by0004ur (4KH24EA)</t>
  </si>
  <si>
    <t>HP 17-by0008ur (4KF71EA)</t>
  </si>
  <si>
    <t>HP 17-by0010ur (4KF37EA)</t>
  </si>
  <si>
    <t>HP 17-by0011ur (4KF31EA)</t>
  </si>
  <si>
    <t>HP 17-by0016ur (4JY39EA)</t>
  </si>
  <si>
    <t>HP 17-by0019ur (4KH59EA)</t>
  </si>
  <si>
    <t>HP 17-by0033ur (4KA46EA)</t>
  </si>
  <si>
    <t>HP 17-by0038ur (4KH02EA)</t>
  </si>
  <si>
    <t>HP 17-by0158ur (5CT19EA)</t>
  </si>
  <si>
    <t>HP 17-by0163ur (5CS79EA)</t>
  </si>
  <si>
    <t>HP 17-by0164ur (5CT25EA)</t>
  </si>
  <si>
    <t>HP 17-by1004ur (5SX89EA)</t>
  </si>
  <si>
    <t>HP 17-by1006ur (5SX72EA)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</si>
  <si>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</si>
  <si>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</si>
  <si>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</si>
  <si>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</si>
  <si>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</si>
  <si>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17-by1017ur (5SW67EA)</t>
  </si>
  <si>
    <t>HP 17-ca0003ur (4KG58EA)</t>
  </si>
  <si>
    <t>HP 17-ca0007ur (4JS68EA)</t>
  </si>
  <si>
    <t>HP 17-ca0013ur (4JY03EA)</t>
  </si>
  <si>
    <t>HP 17-ca0014ur (4JZ36EA)</t>
  </si>
  <si>
    <t>HP 17-ca0016ur (4JW30EA)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</si>
  <si>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</si>
  <si>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</si>
  <si>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</si>
  <si>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</si>
  <si>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</si>
  <si>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</si>
  <si>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</si>
  <si>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</si>
  <si>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</si>
  <si>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</si>
  <si>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</si>
  <si>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17-ca0040ur (4KF57EA)</t>
  </si>
  <si>
    <t>HP 17-ca0043ur (4KB94EA)</t>
  </si>
  <si>
    <t>HP 17-ca0044ur (4JY64EA)</t>
  </si>
  <si>
    <t>HP 17-ca0046ur (4MG19EA)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</si>
  <si>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</si>
  <si>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</si>
  <si>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</si>
  <si>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</si>
  <si>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</si>
  <si>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</si>
  <si>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</si>
  <si>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240 G6 (4BD04EA)</t>
  </si>
  <si>
    <t>HP 240 G6 (4BD05EA)</t>
  </si>
  <si>
    <t>HP 240 G6 (4BD29EA)</t>
  </si>
  <si>
    <t>HP 240 G6 (4QX58EA)</t>
  </si>
  <si>
    <t>HP 250 G6 (1WY61EA)</t>
  </si>
  <si>
    <t>HP 250 G6 (1XN47EA)</t>
  </si>
  <si>
    <t>HP 250 G6 (1XN54ES)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</si>
  <si>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</si>
  <si>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</si>
  <si>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</si>
  <si>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</si>
  <si>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</si>
  <si>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</si>
  <si>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(2RR67EA)</t>
  </si>
  <si>
    <t>HP 250 G6 (3VK28EA)</t>
  </si>
  <si>
    <t>HP 250 G6 (4BC85EA)</t>
  </si>
  <si>
    <t>HP 250 G6 (4BD82EA)</t>
  </si>
  <si>
    <t>HP 250 G6 (4LT08EA)</t>
  </si>
  <si>
    <t>HP 250 G6 (4WV06EA)</t>
  </si>
  <si>
    <t>HP 250 G6 (4WV08EA)</t>
  </si>
  <si>
    <t>HP EliteBook 1040 G4 (1EP75EA)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</si>
  <si>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</si>
  <si>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</si>
  <si>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</si>
  <si>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</si>
  <si>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</si>
  <si>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</si>
  <si>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13-ad115ur (3QR75EA)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</si>
  <si>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</si>
  <si>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</si>
  <si>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</si>
  <si>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</si>
  <si>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</si>
  <si>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</si>
  <si>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13-ah0010ur (4HB71EA)</t>
  </si>
  <si>
    <t>HP Envy 13-ah1000ur (5CS39EA)</t>
  </si>
  <si>
    <t>HP Envy 13-ah1006ur (5CT23EA)</t>
  </si>
  <si>
    <t>HP Envy 13-ah1008ur (5CS27EA)</t>
  </si>
  <si>
    <t>HP Envy 13-ah1010ur (5CU88EA)</t>
  </si>
  <si>
    <t>HP Envy 13-ah1011ur (5CR83EA)</t>
  </si>
  <si>
    <t>HP Envy x360 13-ag0000ur (4GQ85EA)</t>
  </si>
  <si>
    <t>HP Envy x360 13-ag0004ur (4GQ74EA)</t>
  </si>
  <si>
    <t>HP Envy x360 13-ag0005ur (4GQ72EA)</t>
  </si>
  <si>
    <t>HP Envy x360 13-ag0007ur (4ML05EA)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</si>
  <si>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</si>
  <si>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</si>
  <si>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</si>
  <si>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</si>
  <si>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</si>
  <si>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</si>
  <si>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</si>
  <si>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15-cn1008ur (5TA83EA)</t>
  </si>
  <si>
    <t>HP Envy x360 15-cn1011ur (5TA69EA)</t>
  </si>
  <si>
    <t>HP Envy x360 15-cp0008ur (4TU00EA)</t>
  </si>
  <si>
    <t>HP Envy x360 15-cp0010ur (4TT99EA)</t>
  </si>
  <si>
    <t>HP Envy x360 15-cp0011ur (4TT98EA)</t>
  </si>
  <si>
    <t>HP Envy x360 15-cp0012ur (4TT96EA)</t>
  </si>
  <si>
    <t>HP Omen 15-ce015ur (2CQ41EA)</t>
  </si>
  <si>
    <t>HP Omen 15-ce022ur (2FP26EA)</t>
  </si>
  <si>
    <t>HP Omen 15-ce072ur (4US30EA)</t>
  </si>
  <si>
    <t>HP Omen 15-dc0003ur (4GX92EA)</t>
  </si>
  <si>
    <t>HP Omen 15-dc0006ur (4GV58EA)</t>
  </si>
  <si>
    <t>HP Omen 15-dc0007ur (4GT42EA)</t>
  </si>
  <si>
    <t>HP Omen 15-dc0015ur (4GW13EA)</t>
  </si>
  <si>
    <t>HP Omen 17-an105ur (4GZ83EA)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</si>
  <si>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</si>
  <si>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</si>
  <si>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</si>
  <si>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</si>
  <si>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</si>
  <si>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</si>
  <si>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13-an0041ur (5CR58EA)</t>
  </si>
  <si>
    <t>HP Pavilion 14-ce0005ur (4GY05EA)</t>
  </si>
  <si>
    <t>HP Pavilion 14-ce0007ur (4GU08EA)</t>
  </si>
  <si>
    <t>HP Pavilion 14-ce0010ur (4HB67EA)</t>
  </si>
  <si>
    <t>HP Pavilion 14-ce0011ur (4HC10EA )</t>
  </si>
  <si>
    <t>HP Pavilion 14-ce0012ur (4HE50EA)</t>
  </si>
  <si>
    <t>HP Pavilion 14-ce0016ur (4HD06EA)</t>
  </si>
  <si>
    <t>HP Pavilion 14-ce0017ur (4HA61EA)</t>
  </si>
  <si>
    <t>HP Pavilion 14-ce0022ur (4GY60EA)</t>
  </si>
  <si>
    <t>HP Pavilion 14-ce0029ur (4GU99EA)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</si>
  <si>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</si>
  <si>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</si>
  <si>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</si>
  <si>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</si>
  <si>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15-bc411ur (4HC33EA)</t>
  </si>
  <si>
    <t>HP Pavilion 15-bc412ur (4HA51EA)</t>
  </si>
  <si>
    <t>HP Pavilion 15-bc417ur (4GW67EA)</t>
  </si>
  <si>
    <t>HP Pavilion 15-bc419ur (4GS86EA)</t>
  </si>
  <si>
    <t>HP Pavilion 15-ck013ur (2PT03EA)</t>
  </si>
  <si>
    <t>HP Pavilion 15-cs0007ur (4GN97EA)</t>
  </si>
  <si>
    <t>HP Pavilion 15-cs0009ur (4GN92EA)</t>
  </si>
  <si>
    <t>HP Pavilion 15-cs0039ur (4JV22EA)</t>
  </si>
  <si>
    <t>HP Pavilion 15-cs0040ur (4MT65EA)</t>
  </si>
  <si>
    <t>HP Pavilion 15-cs0041ur (4MK24EA)</t>
  </si>
  <si>
    <t>HP Pavilion 15-cs0043ur (4MM57EA)</t>
  </si>
  <si>
    <t>HP Pavilion 15-cs0045ur (4ML59EA)</t>
  </si>
  <si>
    <t>HP Pavilion 15-cs0046ur (4MK85EA)</t>
  </si>
  <si>
    <t>HP Pavilion 15-cs1003ur (5CS92EA)</t>
  </si>
  <si>
    <t>HP Pavilion 15-cs1024ur (5VZ46EA)</t>
  </si>
  <si>
    <t>HP Pavilion 15-cw0005ur (4GZ10EA)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</si>
  <si>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</si>
  <si>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</si>
  <si>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</si>
  <si>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</si>
  <si>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</si>
  <si>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15-cw0025ur (4MU20EA)</t>
  </si>
  <si>
    <t>HP Pavilion 15-cw0026ur (4MP38EA)</t>
  </si>
  <si>
    <t>HP Pavilion 15-cw0027ur (4MW78EA)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</si>
  <si>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</si>
  <si>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</si>
  <si>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</si>
  <si>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</si>
  <si>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</si>
  <si>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14-cd0003ur (4GZ82EA)</t>
  </si>
  <si>
    <t>HP Pavilion x360 14-cd0005ur (4HA99EA)</t>
  </si>
  <si>
    <t>HP Pavilion x360 14-cd0006ur (4HE22EA)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</si>
  <si>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</si>
  <si>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</si>
  <si>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</si>
  <si>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</si>
  <si>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</si>
  <si>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</si>
  <si>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</si>
  <si>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</si>
  <si>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</si>
  <si>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14-cd1010ur (5SU80EA)</t>
  </si>
  <si>
    <t>HP Pavilion x360 14-cd1011ur (5SU77EA)</t>
  </si>
  <si>
    <t>HP Pavilion x360 14-cd1014ur (5SU65EA)</t>
  </si>
  <si>
    <t>HP Pavilion x360 14-cd1015ur (5SU62EA)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</si>
  <si>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</si>
  <si>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</si>
  <si>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</si>
  <si>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</si>
  <si>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</si>
  <si>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450 G5 (2UB70EA)</t>
  </si>
  <si>
    <t>HP Probook 450 G5 (3BZ52ES)</t>
  </si>
  <si>
    <t>HP Probook 450 G5 (4WV21EA)</t>
  </si>
  <si>
    <t>HP Probook 455 G5 (3KY25EA)</t>
  </si>
  <si>
    <t>HP Spectre 13-af003ur (2PQ01EA)</t>
  </si>
  <si>
    <t>HP Spectre 13-af004ur (2PQ02EA)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</si>
  <si>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</si>
  <si>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</si>
  <si>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</si>
  <si>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</si>
  <si>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</si>
  <si>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</si>
  <si>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</si>
  <si>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</si>
  <si>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</si>
  <si>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</si>
  <si>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</si>
  <si>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</si>
  <si>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Планшеты</t>
  </si>
  <si>
    <t>Lenovo IdeaPad 320-15 (80XH01NKRK)</t>
  </si>
  <si>
    <t>Lenovo IdeaPad 320-15 (81BT0010RK)</t>
  </si>
  <si>
    <t>Lenovo IdeaPad 320s-13 (81AK009WRU)</t>
  </si>
  <si>
    <t>Lenovo IdeaPad 330-14 (81D5000LRU)</t>
  </si>
  <si>
    <t>Lenovo IdeaPad 330-14 (81D5004ARU)</t>
  </si>
  <si>
    <t>Lenovo IdeaPad 330-14 (81D5006XRU)</t>
  </si>
  <si>
    <t>Lenovo IdeaPad 330-15 (81D1002LRU)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</si>
  <si>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</si>
  <si>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</si>
  <si>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</si>
  <si>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</si>
  <si>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</si>
  <si>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</si>
  <si>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</si>
  <si>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</si>
  <si>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</si>
  <si>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</si>
  <si>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</si>
  <si>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</si>
  <si>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</si>
  <si>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</si>
  <si>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(81D200J5RU)</t>
  </si>
  <si>
    <t>Lenovo IdeaPad 330-15 (81D200J6RU)</t>
  </si>
  <si>
    <t>Lenovo IdeaPad 330-15 (81D200KJRU)</t>
  </si>
  <si>
    <t>Lenovo IdeaPad 330-15 (81D200KLRU)</t>
  </si>
  <si>
    <t>Lenovo IdeaPad 330-15 (81D200KVRU)</t>
  </si>
  <si>
    <t>Lenovo IdeaPad 330-15 (81D200L7RU)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</si>
  <si>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</si>
  <si>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</si>
  <si>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</si>
  <si>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</si>
  <si>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</si>
  <si>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</si>
  <si>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</si>
  <si>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</si>
  <si>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</si>
  <si>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</si>
  <si>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</si>
  <si>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(81D600KFRU)</t>
  </si>
  <si>
    <t>Lenovo IdeaPad 330-15 (81D600LGRU)</t>
  </si>
  <si>
    <t>Lenovo IdeaPad 330-15 (81D600LHRU)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</si>
  <si>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</si>
  <si>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</si>
  <si>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</si>
  <si>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</si>
  <si>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</si>
  <si>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(81DC00L3RU)</t>
  </si>
  <si>
    <t>Lenovo IdeaPad 330-15 (81DC00NXRU)</t>
  </si>
  <si>
    <t>Lenovo IdeaPad 330-15 (81DC00SURU)</t>
  </si>
  <si>
    <t>Lenovo IdeaPad 330-15 (81DE005URU)</t>
  </si>
  <si>
    <t>Lenovo IdeaPad 330-15 (81DE01Y6RU)</t>
  </si>
  <si>
    <t>Lenovo IdeaPad 330-15 (81DE01YMRU)</t>
  </si>
  <si>
    <t>Lenovo IdeaPad 330-15 (81DE01YPRU)</t>
  </si>
  <si>
    <t>Lenovo IdeaPad 330-15 (81DE01YSRU)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</si>
  <si>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</si>
  <si>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</si>
  <si>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</si>
  <si>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</si>
  <si>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(81FK0010RU)</t>
  </si>
  <si>
    <t>Lenovo IdeaPad 330-15 (81FK004XRU)</t>
  </si>
  <si>
    <t>Lenovo IdeaPad 330-15 (81FK007SRU)</t>
  </si>
  <si>
    <t>Lenovo IdeaPad 330-17 (81D7001JRU)</t>
  </si>
  <si>
    <t>Lenovo IdeaPad 330-17 (81D7001KRU)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</si>
  <si>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</si>
  <si>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</si>
  <si>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</si>
  <si>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</si>
  <si>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</si>
  <si>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</si>
  <si>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(81D7004MRU)</t>
  </si>
  <si>
    <t>Lenovo IdeaPad 330-17 (81DK000DRU)</t>
  </si>
  <si>
    <t>Lenovo IdeaPad 330-17 (81DK003TRU)</t>
  </si>
  <si>
    <t>Lenovo IdeaPad 330-17 (81DK0044RU)</t>
  </si>
  <si>
    <t>Lenovo IdeaPad 330-17 (81DM005ERU)</t>
  </si>
  <si>
    <t>Lenovo IdeaPad 330-17 (81DM00C5RU)</t>
  </si>
  <si>
    <t>Lenovo IdeaPad 330-17 (81DM00D7RU)</t>
  </si>
  <si>
    <t>Lenovo IdeaPad 330-17 (81FL000SRU)</t>
  </si>
  <si>
    <t>Lenovo IdeaPad 330-17 (81FL0047RU)</t>
  </si>
  <si>
    <t>Lenovo IdeaPad 330-17 (81FL004BRU)</t>
  </si>
  <si>
    <t>Lenovo IdeaPad 330-17 (81FL007JRU)</t>
  </si>
  <si>
    <t>Lenovo IdeaPad 330-17 (81FL007PRU)</t>
  </si>
  <si>
    <t>Lenovo IdeaPad 330-17 (81FL0081RU)</t>
  </si>
  <si>
    <t>Lenovo IdeaPad 330s-14 (81F4004XRU)</t>
  </si>
  <si>
    <t>Lenovo IdeaPad 330s-14 (81F4004YRU)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</si>
  <si>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</si>
  <si>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</si>
  <si>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</si>
  <si>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</si>
  <si>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(81F40140RU)</t>
  </si>
  <si>
    <t>Lenovo IdeaPad 330s-14 (81F40142RU)</t>
  </si>
  <si>
    <t>Lenovo IdeaPad 330s-14 (81F80033RU)</t>
  </si>
  <si>
    <t>Lenovo IdeaPad 330s-14 (81F80035RU)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</si>
  <si>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</si>
  <si>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</si>
  <si>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</si>
  <si>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</si>
  <si>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</si>
  <si>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</si>
  <si>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</si>
  <si>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</si>
  <si>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</si>
  <si>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</si>
  <si>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</si>
  <si>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</si>
  <si>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</si>
  <si>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</si>
  <si>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(81F50179RU)</t>
  </si>
  <si>
    <t>Lenovo IdeaPad 330s-15 (81F5017TRU)</t>
  </si>
  <si>
    <t>Lenovo IdeaPad 330s-15 (81F5017URU)</t>
  </si>
  <si>
    <t>Lenovo IdeaPad 330s-15 (81F50181RU)</t>
  </si>
  <si>
    <t>Lenovo IdeaPad 330s-15 (81F50186RU)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</si>
  <si>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</si>
  <si>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</si>
  <si>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</si>
  <si>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</si>
  <si>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</si>
  <si>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</si>
  <si>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</si>
  <si>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</si>
  <si>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</si>
  <si>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(81FB00E5RU)</t>
  </si>
  <si>
    <t>Lenovo IdeaPad 530s-14 (81EU00B6RU)</t>
  </si>
  <si>
    <t>Lenovo IdeaPad 530s-14 (81EU00B8RU)</t>
  </si>
  <si>
    <t>Lenovo IdeaPad 530s-14 (81EU00BARU)</t>
  </si>
  <si>
    <t>Lenovo IdeaPad 530s-14 (81EU00BJRU)</t>
  </si>
  <si>
    <t>Lenovo IdeaPad 530s-14 (81EU00BKRU)</t>
  </si>
  <si>
    <t>Lenovo IdeaPad 530s-14 (81EU00MLRU)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</si>
  <si>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</si>
  <si>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</si>
  <si>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</si>
  <si>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</si>
  <si>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</si>
  <si>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(81H10024RU)</t>
  </si>
  <si>
    <t>Lenovo IdeaPad 530s-14 (81H10025RU)</t>
  </si>
  <si>
    <t>Lenovo IdeaPad 530s-14 (81H10026RU)</t>
  </si>
  <si>
    <t>Lenovo IdeaPad 530s-15 (81EV003WRU)</t>
  </si>
  <si>
    <t>Lenovo IdeaPad 530s-15 (81EV003YRU)</t>
  </si>
  <si>
    <t>Lenovo IdeaPad 530s-15 (81EV0063RU)</t>
  </si>
  <si>
    <t>Lenovo IdeaPad 530s-15 (81EV00CLRU)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</si>
  <si>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</si>
  <si>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</si>
  <si>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</si>
  <si>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</si>
  <si>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</si>
  <si>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</si>
  <si>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</si>
  <si>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</si>
  <si>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</si>
  <si>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720S-14 (81BD000CRK)</t>
  </si>
  <si>
    <t>Lenovo IdeaPad 720S-14 (81BD000DRK)</t>
  </si>
  <si>
    <t>Lenovo IdeaPad 720S-14 (81BD000ERK)</t>
  </si>
  <si>
    <t>Lenovo IdeaPad S530-13 (81J70009RU)</t>
  </si>
  <si>
    <t>Lenovo IdeaPad S530-13 (81J7000QRU)</t>
  </si>
  <si>
    <t>Lenovo IdeaPad S530-13 (81J7001ARU)</t>
  </si>
  <si>
    <t>Lenovo IdeaPad S530-13 (81J70071RU)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</si>
  <si>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</si>
  <si>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</si>
  <si>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</si>
  <si>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</si>
  <si>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</si>
  <si>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(81FV0027RU)</t>
  </si>
  <si>
    <t>Lenovo Legion Y530-15 (81FV0029RU)</t>
  </si>
  <si>
    <t>Lenovo Legion Y530-15 (81FV002DRU)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</si>
  <si>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</si>
  <si>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</si>
  <si>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</si>
  <si>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</si>
  <si>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(81FV00UHRU)</t>
  </si>
  <si>
    <t>Lenovo Legion Y530-15 (81FV00YLRU)</t>
  </si>
  <si>
    <t>Lenovo Legion Y530-15 (81FV013URU)</t>
  </si>
  <si>
    <t>Lenovo Legion Y530-15 (81FV013XRU)</t>
  </si>
  <si>
    <t>Lenovo Legion Y530-15 (81FV015RRU)</t>
  </si>
  <si>
    <t>Lenovo Legion Y530-15 (81LB0010RU)</t>
  </si>
  <si>
    <t>Lenovo Legion Y530-15 (81LB0040RU)</t>
  </si>
  <si>
    <t>Lenovo Legion Y530-15 (81LB004ERU)</t>
  </si>
  <si>
    <t>Lenovo Legion Y530-15 (81LB0062RU)</t>
  </si>
  <si>
    <t>Lenovo Legion Y730-15 (81HD002VRU)</t>
  </si>
  <si>
    <t>Lenovo Legion Y730-15 (81HD0046RU)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</si>
  <si>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</si>
  <si>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</si>
  <si>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</si>
  <si>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</si>
  <si>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Y740-15 (81HE001MRK)</t>
  </si>
  <si>
    <t>Lenovo ThinkPad 11e (20G9S05K00)</t>
  </si>
  <si>
    <t>Lenovo ThinkPad E490 (20N8000URT)</t>
  </si>
  <si>
    <t>Lenovo ThinkPad E490 (20N8000XRT)</t>
  </si>
  <si>
    <t>Lenovo ThinkPad E490 (20N80019RT)</t>
  </si>
  <si>
    <t>Lenovo ThinkPad E490 (20N80028RT)</t>
  </si>
  <si>
    <t>Lenovo ThinkPad E490 (20N8002ART)</t>
  </si>
  <si>
    <t>Lenovo ThinkPad E490 (20N8005ERT)</t>
  </si>
  <si>
    <t>Lenovo ThinkPad E490 (20N8005HRT)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</si>
  <si>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</si>
  <si>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</si>
  <si>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</si>
  <si>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</si>
  <si>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</si>
  <si>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</si>
  <si>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(20KS0068RT)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</si>
  <si>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</si>
  <si>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</si>
  <si>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</si>
  <si>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</si>
  <si>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</si>
  <si>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</si>
  <si>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</si>
  <si>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(20NB0012RT)</t>
  </si>
  <si>
    <t>Lenovo ThinkPad Edge E590 (20NB0016RT)</t>
  </si>
  <si>
    <t>Lenovo ThinkPad Edge E590 (20NB0029RT)</t>
  </si>
  <si>
    <t>Lenovo ThinkPad Edge E590 (20NB002ART)</t>
  </si>
  <si>
    <t>Lenovo ThinkPad Edge E590 (20NB002BRT)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</si>
  <si>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</si>
  <si>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</si>
  <si>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</si>
  <si>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</si>
  <si>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</si>
  <si>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</si>
  <si>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</si>
  <si>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</si>
  <si>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</si>
  <si>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</si>
  <si>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</si>
  <si>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</si>
  <si>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</si>
  <si>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(20LS0024RT)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</si>
  <si>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</si>
  <si>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</si>
  <si>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</si>
  <si>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</si>
  <si>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L580 (20LW000URT)</t>
  </si>
  <si>
    <t>Lenovo ThinkPad L580 (20LW000VRT)</t>
  </si>
  <si>
    <t>Lenovo ThinkPad L580 (20LW0010RT)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</si>
  <si>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</si>
  <si>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</si>
  <si>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</si>
  <si>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</si>
  <si>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</si>
  <si>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</si>
  <si>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</si>
  <si>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</si>
  <si>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</si>
  <si>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</si>
  <si>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</si>
  <si>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P52s (20LB0008RT)</t>
  </si>
  <si>
    <t>Lenovo ThinkPad P52s (20LB0009RT)</t>
  </si>
  <si>
    <t>Lenovo ThinkPad P52s (20LB000BRT)</t>
  </si>
  <si>
    <t>Lenovo ThinkPad P52s (20LB000QRT)</t>
  </si>
  <si>
    <t>Lenovo ThinkPad T480 (20L50000RT)</t>
  </si>
  <si>
    <t>Lenovo ThinkPad T480 (20L50007RT)</t>
  </si>
  <si>
    <t>Lenovo ThinkPad T480 (20L50008RT)</t>
  </si>
  <si>
    <t>Lenovo ThinkPad T480 (20L5000BRT)</t>
  </si>
  <si>
    <t>Lenovo ThinkPad T480s (20L7001SRT)</t>
  </si>
  <si>
    <t>Lenovo ThinkPad T480s (20L7004NRT)</t>
  </si>
  <si>
    <t>Lenovo ThinkPad T490 (20N20009RT)</t>
  </si>
  <si>
    <t>Lenovo ThinkPad T490 (20N2000KRT)</t>
  </si>
  <si>
    <t>Lenovo ThinkPad T490 (20N2000NRT)</t>
  </si>
  <si>
    <t>Lenovo ThinkPad T490s (20NX0009RT)</t>
  </si>
  <si>
    <t>Lenovo ThinkPad T490s (20NX000ART)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</si>
  <si>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</si>
  <si>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</si>
  <si>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</si>
  <si>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</si>
  <si>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</si>
  <si>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</si>
  <si>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(20L9004GRT)</t>
  </si>
  <si>
    <t>Lenovo ThinkPad T590 (20N4000FRT)</t>
  </si>
  <si>
    <t>Lenovo ThinkPad T590 (20N4000HRT)</t>
  </si>
  <si>
    <t>Lenovo ThinkPad T590 (20N4000JRT)</t>
  </si>
  <si>
    <t>Lenovo ThinkPad X1 Carbon 6 (20KH0035RT)</t>
  </si>
  <si>
    <t>Lenovo ThinkPad X1 Carbon 6 (20KH003BRT)</t>
  </si>
  <si>
    <t>Lenovo ThinkPad X1 Carbon 6 (20KH006JRT)</t>
  </si>
  <si>
    <t>Lenovo ThinkPad X1 Extreme (20MF000RRT)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</si>
  <si>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</si>
  <si>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</si>
  <si>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</si>
  <si>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</si>
  <si>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</si>
  <si>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</si>
  <si>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(20KF001NRT)</t>
  </si>
  <si>
    <t>Lenovo ThinkPad X280 (20KF001RRT)</t>
  </si>
  <si>
    <t>Lenovo ThinkPad X280 (20KF005VRT)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</si>
  <si>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</si>
  <si>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</si>
  <si>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</si>
  <si>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</si>
  <si>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Yoga 370 (20JH003DRT)</t>
  </si>
  <si>
    <t>Lenovo ThinkPad Yoga L380 (20M7001JRT)</t>
  </si>
  <si>
    <t>Lenovo ThinkPad Yoga L380 (20M7002GRT)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</si>
  <si>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</si>
  <si>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</si>
  <si>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</si>
  <si>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</si>
  <si>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</si>
  <si>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</si>
  <si>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</si>
  <si>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</si>
  <si>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</si>
  <si>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</si>
  <si>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(80TD009YRU)</t>
  </si>
  <si>
    <t>Lenovo V110-15 (80TG00BDRK)</t>
  </si>
  <si>
    <t>Lenovo V110-15 (80TL00DBRK)</t>
  </si>
  <si>
    <t>Lenovo V110-15 (80TL014CRK)</t>
  </si>
  <si>
    <t>Lenovo V130-14 (81HM009BRU)</t>
  </si>
  <si>
    <t>Lenovo V130-14 (81HQ00E9RU)</t>
  </si>
  <si>
    <t>Lenovo V130-14 (81HQ00FWRU)</t>
  </si>
  <si>
    <t>Lenovo V130-15 (81HL001LRU)</t>
  </si>
  <si>
    <t>Lenovo V130-15 (81HL001WRU)</t>
  </si>
  <si>
    <t>Lenovo V130-15 (81HL003CRU)</t>
  </si>
  <si>
    <t>Lenovo V130-15 (81HN00E0RU)</t>
  </si>
  <si>
    <t>Lenovo V130-15 (81HN00ENRU)</t>
  </si>
  <si>
    <t>Lenovo V130-15 (81HN00EXRU)</t>
  </si>
  <si>
    <t>Lenovo V130-15 (81HN00FMRU)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</si>
  <si>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</si>
  <si>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</si>
  <si>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</si>
  <si>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</si>
  <si>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</si>
  <si>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</si>
  <si>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</si>
  <si>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</si>
  <si>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(81AH0068RU)</t>
  </si>
  <si>
    <t>Lenovo V320-17 (81CN000BRU)</t>
  </si>
  <si>
    <t>Lenovo V320-17 (81CN0010RU)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</si>
  <si>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</si>
  <si>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</si>
  <si>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</si>
  <si>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</si>
  <si>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</si>
  <si>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</si>
  <si>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(81B000VERU)</t>
  </si>
  <si>
    <t>Lenovo V330-14 (81B1000ERU)</t>
  </si>
  <si>
    <t>Lenovo V330-14 (81B1000PRU)</t>
  </si>
  <si>
    <t>Lenovo V330-15 (81AX001DRU)</t>
  </si>
  <si>
    <t>Lenovo V330-15 (81AX001GRU)</t>
  </si>
  <si>
    <t>Lenovo V330-15 (81AX00ARRU)</t>
  </si>
  <si>
    <t>Lenovo V330-15 (81AX00DHRU)</t>
  </si>
  <si>
    <t>Lenovo V330-15 (81AX00J2RU)</t>
  </si>
  <si>
    <t>Lenovo V330-15 (81AX00JGRU)</t>
  </si>
  <si>
    <t>Lenovo V330-15 (81AX00WJRU)</t>
  </si>
  <si>
    <t>Lenovo V330-15 (81AX00YWRU)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</si>
  <si>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</si>
  <si>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</si>
  <si>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</si>
  <si>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</si>
  <si>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</si>
  <si>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(81EK008XRU)</t>
  </si>
  <si>
    <t>Lenovo Yoga 530-14 (81EK0091RU)</t>
  </si>
  <si>
    <t>Lenovo Yoga 530-14 (81EK009ARU)</t>
  </si>
  <si>
    <t>Lenovo Yoga 530-14 (81H90006RU)</t>
  </si>
  <si>
    <t>Lenovo Yoga 530-14 (81H9000ERU)</t>
  </si>
  <si>
    <t>Lenovo Yoga 530-14 (81H9000GRU)</t>
  </si>
  <si>
    <t>Lenovo Yoga 720-12 (81B5004LRK)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</si>
  <si>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</si>
  <si>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</si>
  <si>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</si>
  <si>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</si>
  <si>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</si>
  <si>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</si>
  <si>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</si>
  <si>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(81J0002JRU)</t>
  </si>
  <si>
    <t>MSI GE63 8RE-210RU Raider RGB Edition (9S7-16P512-210)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</si>
  <si>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</si>
  <si>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</si>
  <si>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</si>
  <si>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</si>
  <si>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8SG-230RU Raider RGB Edition (9S7-16P722-230)</t>
  </si>
  <si>
    <t>MSI GE73 8RF-667XRU Raider RGB Edition (9S7-17C512-667)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</si>
  <si>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</si>
  <si>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</si>
  <si>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</si>
  <si>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</si>
  <si>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</si>
  <si>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</si>
  <si>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8RC-207XRU Thin (9S7-17F112-207)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</si>
  <si>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</si>
  <si>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</si>
  <si>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</si>
  <si>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</si>
  <si>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</si>
  <si>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8RC-841RU (9S7-16P612-841)</t>
  </si>
  <si>
    <t>MSI GL63 8RD-465RU (9S7-16P612-465)</t>
  </si>
  <si>
    <t>MSI GL63 8RD-470XRU (9S7-16P612-470)</t>
  </si>
  <si>
    <t>MSI GL63 8RD-839RU (9S7-16P612-839)</t>
  </si>
  <si>
    <t>MSI GL63 8SE-257RU (9S7-16P732-257)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</si>
  <si>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</si>
  <si>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</si>
  <si>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</si>
  <si>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</si>
  <si>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</si>
  <si>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</si>
  <si>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</si>
  <si>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8RD-246RU (9S7-17C612-246)</t>
  </si>
  <si>
    <t>MSI GL73 8RD-247XRU (9S7-17C612-247)</t>
  </si>
  <si>
    <t>MSI GL73 8RD-248XRU (9S7-17C612-248)</t>
  </si>
  <si>
    <t>MSI GL73 8RD-445RU (9S7-17C612-445)</t>
  </si>
  <si>
    <t>MSI GL73 8SE-032RU (9S7-17C722-032)</t>
  </si>
  <si>
    <t>MSI GL73 8SE-075XRU (9S7-17C722-075)</t>
  </si>
  <si>
    <t>MSI GP63 8RE-468RU Leopard (9S7-16P522-468)</t>
  </si>
  <si>
    <t>MSI GP63 8RE-469XRU Leopard (9S7-16P522-469)</t>
  </si>
  <si>
    <t>MSI GP73 8RD-427XRU Leopard (9S7-17C622-427)</t>
  </si>
  <si>
    <t>MSI GP73 8RE-471XRU Leopard (9S7-17C522-689)</t>
  </si>
  <si>
    <t>MSI GS63 8RE-021RU Stealth (9S7-16K512-021)</t>
  </si>
  <si>
    <t>MSI GS63 8RE-022RU Stealth (9S7-16K512-022)</t>
  </si>
  <si>
    <t>MSI GS65 8RE-080RU Stealth Thin (9S7-16Q211-080)</t>
  </si>
  <si>
    <t>MSI GS65 8SF-089RU Stealth (9S7-16Q411-089)</t>
  </si>
  <si>
    <t>MSI GS65 8SG-088RU Stealth (9S7-16Q411-088)</t>
  </si>
  <si>
    <t>MSI GS73 8RF-028RU Stealth (9S7-17B712-028)</t>
  </si>
  <si>
    <t>MSI GS73 8RF-029RU Stealth (9S7-17B712-029)</t>
  </si>
  <si>
    <t>MSI GS75 8SE-039RU Stealth (9S7-17G111-039)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</si>
  <si>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</si>
  <si>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</si>
  <si>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</si>
  <si>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</si>
  <si>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GT75 8RG-052RU Titan (9S7-17A311-052)</t>
  </si>
  <si>
    <t>MSI GT75 8RG-281RU Titan (9S7-17A311-281)</t>
  </si>
  <si>
    <t>MSI GT83VR 7RE-249RU Titan SLI (9S7-181542-249)</t>
  </si>
  <si>
    <t>MSI P65 8RE-077RU Creator (9S7-16Q312-077)</t>
  </si>
  <si>
    <t>MSI P65 8RE-078RU Creator (9S7-16Q312-078)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</si>
  <si>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</si>
  <si>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</si>
  <si>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</si>
  <si>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</si>
  <si>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</si>
  <si>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</si>
  <si>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</si>
  <si>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</si>
  <si>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</si>
  <si>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</si>
  <si>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</si>
  <si>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WE63 8SJ-222RU (9S7-16P632-222)</t>
  </si>
  <si>
    <t>MSI WE63 8SJ-282RU (9S7-16P632-282)</t>
  </si>
  <si>
    <t>MSI WE63 8SJ-687RU (9S7-16P632-687)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</si>
  <si>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</si>
  <si>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</si>
  <si>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</si>
  <si>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</si>
  <si>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</si>
  <si>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Panasonic TB CF-54mk3 (CF-54H2029T9)</t>
  </si>
  <si>
    <t>Panasonic TB CF-54mk3 (CF-54H2036T9)</t>
  </si>
  <si>
    <t>Panasonic TB CF-54mk3 (CF-54H2231T9)</t>
  </si>
  <si>
    <t>Panasonic TB CF-54mk3 (CF-54J0479T9)</t>
  </si>
  <si>
    <t>Panasonic TB CF-54mk3 (CF-54J2507T9)</t>
  </si>
  <si>
    <t>Prestigio SmartBook 141 C2 (PSB141C02CFH_BK_CIS)</t>
  </si>
  <si>
    <t>Prestigio SmartBook 141 C2 (PSB141C02ZFH_BK_CIS)</t>
  </si>
  <si>
    <t>Prestigio SmartBook 141 C2 (PSB141C02ZFH_DB_CIS)</t>
  </si>
  <si>
    <t>Prestigio SmartBook 141S (PSB141S01ZFH_DB_CIS)</t>
  </si>
  <si>
    <t>Монитор 14" HP EliteDisplay S140u, WXGA++, TN, 1xUSB 3.0, Черный G8R65AA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</si>
  <si>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</si>
  <si>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</si>
  <si>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</si>
  <si>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</si>
  <si>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K192HQLb, WXGA, TN, VGA, Черный UM.XW3EE.002</t>
  </si>
  <si>
    <t>Монитор 18,5" Acer V196HQLAb, WXGA ,TN, VGA, Черный UM.XV6EE.A04</t>
  </si>
  <si>
    <t>Монитор 19" Acer V196LBb, SXGA, IPS, VGA, Черный UM.CV6EE.B02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</si>
  <si>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</si>
  <si>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</si>
  <si>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</si>
  <si>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</si>
  <si>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</si>
  <si>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</si>
  <si>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</si>
  <si>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</si>
  <si>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</si>
  <si>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</si>
  <si>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</si>
  <si>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</si>
  <si>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</si>
  <si>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</si>
  <si>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</si>
  <si>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</si>
  <si>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</si>
  <si>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</si>
  <si>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T22v-10 (VIOP) FHD, IPS, VGA, HDMI, DP, 
3xUSB 3.0 Черный 61BBMAT6EU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</si>
  <si>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</si>
  <si>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</si>
  <si>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</si>
  <si>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22" Dell P2217, WSXGA+ , TN, HDMI, VGA, DP, 4xUSB Черный 2217-4541</t>
  </si>
  <si>
    <t>Монитор 23" Dell P2319H, FHD , IPS, HDMI, VGA, DP, 4xUSB Черный 2319-2385</t>
  </si>
  <si>
    <t>Монитор 23" Dell S2319H, FHD, IPS, HDMI, VGA, Черный 2319-2286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</si>
  <si>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</si>
  <si>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</si>
  <si>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</si>
  <si>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</si>
  <si>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</si>
  <si>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</si>
  <si>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</si>
  <si>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ProDisplay P240va, FHD, VA, HDMI, VGA, DP, Черный N3H14AA</t>
  </si>
  <si>
    <t>Монитор 23,8" Lenovo ThinkVision S24e-10, FHD, VA, VGA, HDMI, Черный 
61CAKAT1EU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</si>
  <si>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</si>
  <si>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</si>
  <si>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TIO 24, FHD, IPS, TouchScreen(MLT), 1xDP, 2xUSB 3.0, 
2xUSB 2.0 Черный 10QXPAT1EU</t>
  </si>
  <si>
    <t>Монитор 23.8" Dell E2417H, FHD, IPS, DP, VGA, Черный 2417-4848</t>
  </si>
  <si>
    <t>Монитор 23.8" Dell P2418D, WQXGA , IPS, HDMI, DP, 4xUSB Черный 2418-7100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</si>
  <si>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</si>
  <si>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</si>
  <si>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</si>
  <si>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</si>
  <si>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</si>
  <si>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</si>
  <si>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</si>
  <si>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</si>
  <si>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</si>
  <si>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</si>
  <si>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Dell U2412M Black, WUXGA, IPS, DP, DVI, VGA. 4xUSB 2.0 Черный 
2412-0896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</si>
  <si>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</si>
  <si>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</si>
  <si>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</si>
  <si>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</si>
  <si>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</si>
  <si>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</si>
  <si>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</si>
  <si>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</si>
  <si>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25" Dell U2518D, WQXGA, IPS, DP, 2xminiDP, HDMI, 4xUSB 3.0 Черный 
2518-6806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</si>
  <si>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</si>
  <si>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</si>
  <si>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</si>
  <si>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</si>
  <si>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</si>
  <si>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</si>
  <si>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</si>
  <si>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</si>
  <si>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</si>
  <si>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</si>
  <si>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SA270Abi, FHD, IPS, HDMI, VGA, Черный UM.HS0EE.A01</t>
  </si>
  <si>
    <t>Монитор 27" Acer V276HLCbid, FHD, VA, HDMI, VGA, DVI, Черный UM.HV6EE.C05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</si>
  <si>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</si>
  <si>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</si>
  <si>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ASUS ROG PG27VQ, WQXGA, TN, Curved, DP, HDMI, 2xUSB 3.0 Черный 
90LM03N3-B01370</t>
  </si>
  <si>
    <t>Монитор 27" ASUS VZ279HE-W, FHD, IPS, VGA, 2xHDMI, Белый 90LM02XD-B01470</t>
  </si>
  <si>
    <t>Монитор 27" Dell P2719H, FHD, IPS, HDMI, DP, VGA, 5xUSB, Черный 2719-2422</t>
  </si>
  <si>
    <t>Монитор 27" Dell U2717D Black, WQXGA, IPS, DP, miniDP, HDMI. 4xUSB 3.0 
Черный/Серый 717D-4220</t>
  </si>
  <si>
    <t>Монитор 27" Dell UP2718Q, UHD, IPS, DP, 2xHDMI, 1xMiniDP, 4xUSB 3.0 
Серебристый/Черный 2718-6646</t>
  </si>
  <si>
    <t>Монитор 27" HP EliteDisplay S270n, UHD, IPS, 2xHDMI, DP, 1xUSB Type-C 
Черный/Серебристый 2PD37AA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</si>
  <si>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</si>
  <si>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</si>
  <si>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</si>
  <si>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</si>
  <si>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MSI Optix MPG27CQ, QHD VA, Curved, HDMI, DP, USB, Черный 
9S6-3FA31T-001</t>
  </si>
  <si>
    <t>Монитор 27.9" Dell S2817Q, UHD, TN, 2xHDMI, 1xDP, 1xMiniDP, 3xUSB, Черный 
2817-4916</t>
  </si>
  <si>
    <t>Монитор 30" Dell UP3017, WQXGA, IPS, DP, 2xHDMI, 1xMiniDP, 4xUSB 3.0 
Черный/Серебристый 3017-4879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</si>
  <si>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</si>
  <si>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</si>
  <si>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Predator Z321Qbmiphzx, FHD, VA, Curved, HDMI, DP, 4xUSB 
3.0 Черный UM.JZ1EE.001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</si>
  <si>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</si>
  <si>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</si>
  <si>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</si>
  <si>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</si>
  <si>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</si>
  <si>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</si>
  <si>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</si>
  <si>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</si>
  <si>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</si>
  <si>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</si>
  <si>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</si>
  <si>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</si>
  <si>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</si>
  <si>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</si>
  <si>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</si>
  <si>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</si>
  <si>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 Apple iPad 9.7 (2018) 128Gb Wi-Fi + Cellular Space Gray Серый 
космос MR722RU/A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</si>
  <si>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</si>
  <si>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</si>
  <si>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</si>
  <si>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Space Gray Серый космос 
MR6N2RU/A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</si>
  <si>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</si>
  <si>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</si>
  <si>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</si>
  <si>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</si>
  <si>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Space Gray Серый космос 
MUUQ2RU/A</t>
  </si>
  <si>
    <t>Планшет Apple iPad Air 10.5 2019 64Gb Wi-Fi + Cellular Space Gray Серый 
космос MV0D2RU/A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</si>
  <si>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</si>
  <si>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</si>
  <si>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</si>
  <si>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</si>
  <si>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</si>
  <si>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</si>
  <si>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</si>
  <si>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Gold Золотистый MUQY2RU/A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</si>
  <si>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</si>
  <si>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</si>
  <si>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</si>
  <si>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</si>
  <si>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</si>
  <si>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</si>
  <si>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</si>
  <si>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Gold Золотистый MPF12RU/A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</si>
  <si>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</si>
  <si>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</si>
  <si>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</si>
  <si>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</si>
  <si>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</si>
  <si>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</si>
  <si>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</si>
  <si>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</si>
  <si>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</si>
  <si>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</si>
  <si>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</si>
  <si>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</si>
  <si>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</si>
  <si>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</si>
  <si>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</si>
  <si>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</si>
  <si>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</si>
  <si>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</si>
  <si>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</si>
  <si>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</si>
  <si>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</si>
  <si>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</si>
  <si>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</si>
  <si>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</si>
  <si>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</si>
  <si>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512Gb Wi-Fi + Cellular Gold Золотистый 
MPLL2RU/A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</si>
  <si>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</si>
  <si>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</si>
  <si>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</si>
  <si>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</si>
  <si>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</si>
  <si>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</si>
  <si>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</si>
  <si>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</si>
  <si>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</si>
  <si>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</si>
  <si>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</si>
  <si>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</si>
  <si>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</si>
  <si>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</si>
  <si>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</si>
  <si>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</si>
  <si>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</si>
  <si>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</si>
  <si>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</si>
  <si>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</si>
  <si>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</si>
  <si>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</si>
  <si>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</si>
  <si>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</si>
  <si>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</si>
  <si>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</si>
  <si>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</si>
  <si>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</si>
  <si>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</si>
  <si>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</si>
  <si>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</si>
  <si>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(4/64)Гб Win10 5080мАч Серый 81H3003KRU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</si>
  <si>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</si>
  <si>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</si>
  <si>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</si>
  <si>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</si>
  <si>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</si>
  <si>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</si>
  <si>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</si>
  <si>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</si>
  <si>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</si>
  <si>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</si>
  <si>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</si>
  <si>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</si>
  <si>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</si>
  <si>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</si>
  <si>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</si>
  <si>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</si>
  <si>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</si>
  <si>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</si>
  <si>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</si>
  <si>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</si>
  <si>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E10 TB-X104F 10,1(1280x800)IPS Cam (5/2) SDM210 
1300МГц(4) (1/16)Гб microSD до 128Гб A8.1 4850мАч Черный ZA470007RU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</si>
  <si>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</si>
  <si>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</si>
  <si>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</si>
  <si>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</si>
  <si>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</si>
  <si>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</si>
  <si>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</si>
  <si>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</si>
  <si>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</si>
  <si>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</si>
  <si>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</si>
  <si>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</si>
  <si>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</si>
  <si>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</si>
  <si>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</si>
  <si>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</si>
  <si>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</si>
  <si>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</si>
  <si>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</si>
  <si>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</si>
  <si>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</si>
  <si>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</si>
  <si>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</si>
  <si>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</si>
  <si>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</si>
  <si>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</si>
  <si>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</si>
  <si>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</si>
  <si>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</si>
  <si>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Space Gray Серый космос MKQT2RU/A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</si>
  <si>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</si>
  <si>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</si>
  <si>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</si>
  <si>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</si>
  <si>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</si>
  <si>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</si>
  <si>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</si>
  <si>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</si>
  <si>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</si>
  <si>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Rose Gold Розовое золото MN4U2RU/A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</si>
  <si>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</si>
  <si>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</si>
  <si>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</si>
  <si>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</si>
  <si>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</si>
  <si>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</si>
  <si>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</si>
  <si>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</si>
  <si>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</si>
  <si>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</si>
  <si>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</si>
  <si>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</si>
  <si>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</si>
  <si>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</si>
  <si>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</si>
  <si>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</si>
  <si>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</si>
  <si>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</si>
  <si>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</si>
  <si>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</si>
  <si>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</si>
  <si>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</si>
  <si>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</si>
  <si>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</si>
  <si>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</si>
  <si>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Yellow Желтый MRY72RU/A</t>
  </si>
  <si>
    <t>Смартфон Apple iPhone XS 256Gb Gold Золотистый MT9K2RU/A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</si>
  <si>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</si>
  <si>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</si>
  <si>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</si>
  <si>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</si>
  <si>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Silver Серебристый MT9F2RU/A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</si>
  <si>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</si>
  <si>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</si>
  <si>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</si>
  <si>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</si>
  <si>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</si>
  <si>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Silver Серебристый MT512RU/A</t>
  </si>
  <si>
    <t>Смартфон Apple iPhone XS Max 64Gb Space Gray Темно-серый MT502RU/A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</si>
  <si>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</si>
  <si>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</si>
  <si>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</si>
  <si>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</si>
  <si>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</si>
  <si>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</si>
  <si>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(4/64)Гб A8.1 4000мАч Синий 90AX01A1-M00090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</si>
  <si>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</si>
  <si>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</si>
  <si>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</si>
  <si>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</si>
  <si>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</si>
  <si>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</si>
  <si>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</si>
  <si>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</si>
  <si>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HTC U Ultra DS 5,7(2560x1440) LTE Cam(12/16) MSM8996 2.15ГГц(4) 
(4/64)Гб microSD до 2Тб A7.0 3000мАч Белый 99HALU071-00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</si>
  <si>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</si>
  <si>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</si>
  <si>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</si>
  <si>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</si>
  <si>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</si>
  <si>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Черный 51092KQF</t>
  </si>
  <si>
    <t>Смартфон LeEco Le Max2 X820 DS 5,7(2560x1440)IPS LTE Cam(21/8) MSM8996 
2.15ГГц(4) (6/128)Гб A6.0 3100мАч Золотистый Le Max2 X820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</si>
  <si>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</si>
  <si>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</si>
  <si>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</si>
  <si>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</si>
  <si>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</si>
  <si>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</si>
  <si>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</si>
  <si>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</si>
  <si>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</si>
  <si>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</si>
  <si>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</si>
  <si>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</si>
  <si>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</si>
  <si>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</si>
  <si>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</si>
  <si>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</si>
  <si>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</si>
  <si>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</si>
  <si>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</si>
  <si>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</si>
  <si>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</si>
  <si>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</si>
  <si>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</si>
  <si>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</si>
  <si>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</si>
  <si>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</si>
  <si>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</si>
  <si>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</si>
  <si>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</si>
  <si>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</si>
  <si>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</si>
  <si>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OnePlus 5T DS 6,01(2160х1080) LTE Cam (20d/16) MSM8998 
2,45ГГц(4)+1,9ГГц(4) (6/64)Гб A7.1 3300мАч Midnight Black Черный 5011100081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</si>
  <si>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</si>
  <si>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</si>
  <si>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</si>
  <si>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</si>
  <si>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</si>
  <si>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</si>
  <si>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</si>
  <si>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</si>
  <si>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</si>
  <si>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</si>
  <si>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</si>
  <si>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</si>
  <si>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</si>
  <si>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</si>
  <si>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</si>
  <si>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</si>
  <si>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</si>
  <si>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</si>
  <si>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</si>
  <si>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</si>
  <si>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</si>
  <si>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J2 Core SM-J260F DS 5(960x540) PLS LTE Cam(8/5) 
Exynos 7570 1.4ГГц(4) (1/8)Гб A8.1 2600мАч Золотистый SM-J260FZDRSER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</si>
  <si>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</si>
  <si>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</si>
  <si>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</si>
  <si>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</si>
  <si>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</si>
  <si>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</si>
  <si>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</si>
  <si>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(8/512)Гб A8.1 4000мАч Синий SM-N960FZBHSER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</si>
  <si>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</si>
  <si>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</si>
  <si>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</si>
  <si>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</si>
  <si>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</si>
  <si>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Серый SM-G950FZVDSER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</si>
  <si>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</si>
  <si>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</si>
  <si>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</si>
  <si>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</si>
  <si>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</si>
  <si>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</si>
  <si>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</si>
  <si>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</si>
  <si>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</si>
  <si>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</si>
  <si>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</si>
  <si>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</si>
  <si>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</si>
  <si>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</si>
  <si>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</si>
  <si>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</si>
  <si>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</si>
  <si>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</si>
  <si>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Черный H4311 1312-7591</t>
  </si>
  <si>
    <t>Смартфон Sony Xperia XA1 Dual 5(1280x720)IPS LTE Cam(23/8) MT6757 2.3ГГц(8) 
(3/32)Гб microSD до 256Гб A7.0 2300мАч Белый G3112White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</si>
  <si>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</si>
  <si>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</si>
  <si>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</si>
  <si>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</si>
  <si>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</si>
  <si>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</si>
  <si>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</si>
  <si>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</si>
  <si>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</si>
  <si>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</si>
  <si>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</si>
  <si>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</si>
  <si>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</si>
  <si>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</si>
  <si>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</si>
  <si>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</si>
  <si>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</si>
  <si>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</si>
  <si>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</si>
  <si>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</si>
  <si>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(6/64)Гб A8.1 3400мАч Белый MI8WH64GB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</si>
  <si>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</si>
  <si>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</si>
  <si>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Midnight Black Черный 
X20864</t>
  </si>
  <si>
    <t>Смартфон Xiaomi Mi A2 DS 5,99(2160x1080)IPS LTE Cam (12+20/20) SDM660 
2.2ГГц(8) (4/64)Гб A8.1 3000мАч Золотистый X19247</t>
  </si>
  <si>
    <t>Смартфон Xiaomi Mi A2 Lite DS 5,84(2280x1080)IPS LTE Cam (12+5/5) MSM8953 
2.0ГГц(8) (3/32)Гб microSD до 128Гб A8.1 4000мАч Золотистый X19051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</si>
  <si>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</si>
  <si>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(6/64)Гб A8.0 3400мАч Черный MI MIX 2S 64GB black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</si>
  <si>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</si>
  <si>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</si>
  <si>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</si>
  <si>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</si>
  <si>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</si>
  <si>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</si>
  <si>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</si>
  <si>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</si>
  <si>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</si>
  <si>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</si>
  <si>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</si>
  <si>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(4/64)Гб microSD до 256Гб A8.1 4000мАч Синий X20338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</si>
  <si>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</si>
  <si>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</si>
  <si>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</si>
  <si>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</si>
  <si>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</si>
  <si>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Телевизор LG 20 20MT48VF-PZ, LED, HD, Черный</t>
  </si>
  <si>
    <t>Телевизор LG 22 22MT49VF-PZ, IPS, Full HD, Черный</t>
  </si>
  <si>
    <t>Телевизор LG 22 22MT58VF-PZ, IPS, Full HD, Черный</t>
  </si>
  <si>
    <t>Телевизор LG 27.5 LED, HD, Звук (10 Вт (2x5 Вт)), 1xHDMI, 1xUSB, Черный, 
28TK410V-PZ</t>
  </si>
  <si>
    <t>Телевизор LG 32 32LJ600U, LED, HD, Smart TV (webOS), PMI 900, Серебристый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</si>
  <si>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</si>
  <si>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</si>
  <si>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</si>
  <si>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</si>
  <si>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43 LED, FHD, Smart TV (webOS 3.5), Звук (20 Вт (2x10 Вт)) , 
3xHDMI, 2xUSB, 1xRJ-45, Черный/Серебристый 43LK6100PLA</t>
  </si>
  <si>
    <t>Телевизор LG 43 LED, FHD, Smart TV (webOS 4.0), Звук (10 Вт (2x5 Вт)) , 
2xHDMI, 1xUSB, 1xRJ-45, PMI 100 Черный, 43LK5910PLC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</si>
  <si>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</si>
  <si>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PMI 100 Черный, 43LK5990PLE</t>
  </si>
  <si>
    <t>Телевизор LG 43 LED, FHD, Smart TV (webOS), Звук (10 Вт (2x5 Вт)) , 2xHDMI, 
1xUSB, 1xRJ-45, Черный 43LK6000PLF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</si>
  <si>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</si>
  <si>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</si>
  <si>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</si>
  <si>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</si>
  <si>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</si>
  <si>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4xHDMI, 2xUSB, 1xRJ-45, PMI 100, Черный 43UK6450PLC</t>
  </si>
  <si>
    <t>Телевизор LG 49 LED, FHD, Smart TV (webOS) Звук (10 Вт (2x5 Вт)), 2xHDMI, 
1xUSB, 1xRJ45, PMI 100, Черный, 49LK5400PLA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</si>
  <si>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</si>
  <si>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</si>
  <si>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</si>
  <si>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</si>
  <si>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</si>
  <si>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Звук (10 Вт (2x5 Вт)), 2xHDMI, 1xUSB, Черный, 
49LK5100PLB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</si>
  <si>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</si>
  <si>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</si>
  <si>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4xHDMI, 2xUSB, 1xRJ-45, Серый, 49SK8000PLB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</si>
  <si>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</si>
  <si>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</si>
  <si>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LED, UHD, IPS, Smart TV (webOS 3.5) Звук (20 Вт (2x10 Вт)), 
3xHDMI, 2xUSB, Черный, 55UK6300PLB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</si>
  <si>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</si>
  <si>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PMI 100, Черный 55UK6450PLC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</si>
  <si>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</si>
  <si>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</si>
  <si>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</si>
  <si>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</si>
  <si>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UE24H4080AU LED, HD, CMR 100, Белый</t>
  </si>
  <si>
    <t>Телевизор Samsung 31.5 LT32E310EX LED, Full HD, Черный</t>
  </si>
  <si>
    <t>Телевизор Samsung 32 FHD, Smart TV , Звук (10 Вт (2x5 Вт)), 2xHDMI, 1xUSB, 
PQI 500, Черный UE32N5300AUXRU</t>
  </si>
  <si>
    <t>Телевизор Samsung 32 FHD, Звук (10 Вт (2x5 Вт)), 2xHDMI, 1xUSB, PQI 300, 
Черный UE32N5000AUXRU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</si>
  <si>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</si>
  <si>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</si>
  <si>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</si>
  <si>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</si>
  <si>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</si>
  <si>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</si>
  <si>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</si>
  <si>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FHD, Звук (10 Вт (2x5 Вт)), 2xHDMI, 1xUSB, PQI 300, 
Черный UE43N5000AUXRU</t>
  </si>
  <si>
    <t>Телевизор Samsung 43 LED, UHD, Smart TV, Звук (20 Вт (2x10 Вт)) , 3xHDMI, 
2xUSB, 1xRJ-45, CMR 1300 Черный UE43NU7100UXRU</t>
  </si>
  <si>
    <t>Телевизор Samsung 43 UHD, Smart TV , Звук (20 Вт (2x10 Вт)), 2xHDMI, 1xUSB, 
1xRJ-45, PQI 1300, Черный UE43NU7090UXRU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</si>
  <si>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</si>
  <si>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</si>
  <si>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(40 Вт (2.1)), 4xHDMI, 2xUSB, PQI 
2600, Титан (Серый) QE49Q6FNAUXRU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</si>
  <si>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</si>
  <si>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1800, Черный UE55NU7500UXRU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</si>
  <si>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</si>
  <si>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</si>
  <si>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UE65MU6500U LED, UHD, Smart TV, CMR 1600, Изогнутый 
экран, Серебристый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</si>
  <si>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</si>
  <si>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</si>
  <si>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</si>
  <si>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</si>
  <si>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</si>
  <si>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</si>
  <si>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</si>
  <si>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</si>
  <si>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</si>
  <si>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49 LED, UHD, Smart TV (Android), Звук (20 Вт (2x10 Вт)) , 
4xHDMI, 3xUSB, 1xRJ-45, CMR 1000 Черный KD-49XF8596</t>
  </si>
  <si>
    <t>Телевизор SONY 50 LED, FHD, Smart TV (Linux), Звук (10 Вт (2x5 Вт)) , 
2xHDMI, 2xUSB, 1xRJ-45, CMR 400 Черный KDL-50WF665</t>
  </si>
  <si>
    <t>Телевизор SONY 65 LED, UHD, Smart TV (Android), Звук (20 Вт (2x10 Вт)) , 
4xHDMI, 3xUSB, 1xRJ-45, Черный KD-65XF9005</t>
  </si>
  <si>
    <t>МФУ</t>
  </si>
  <si>
    <t>Средний объем продаж ноутбуков в Екатеринбурге в феврале</t>
  </si>
  <si>
    <t>Продано планшетов в Челябинске</t>
  </si>
  <si>
    <t>Продано во втором квартале</t>
  </si>
  <si>
    <t>Остатки мониторов на осн складах</t>
  </si>
  <si>
    <t>HP 17-da0043ur (4KB94EA)</t>
  </si>
  <si>
    <t>Количество HP ##-da</t>
  </si>
  <si>
    <t>Остатки Asus в Москве</t>
  </si>
  <si>
    <t>Код номенклатуры</t>
  </si>
  <si>
    <t>Номенклатура</t>
  </si>
  <si>
    <t>Дата первой отгрузки</t>
  </si>
  <si>
    <t>Редакция</t>
  </si>
  <si>
    <t>Формат</t>
  </si>
  <si>
    <t>Канал продаж</t>
  </si>
  <si>
    <t>Количество Январь 2020</t>
  </si>
  <si>
    <t>Стоимость Январь 2020</t>
  </si>
  <si>
    <t>Количество Февраль 2020</t>
  </si>
  <si>
    <t>Стоимость Февраль 2020</t>
  </si>
  <si>
    <t>Количество Март 2020</t>
  </si>
  <si>
    <t>Стоимость Март 2020</t>
  </si>
  <si>
    <t>Количество Апрель 2020</t>
  </si>
  <si>
    <t>Стоимость Апрель 2020</t>
  </si>
  <si>
    <t>Количество Май 2020</t>
  </si>
  <si>
    <t>Стоимость Май 2020</t>
  </si>
  <si>
    <t>Количество Июнь 2020</t>
  </si>
  <si>
    <t>Стоимость Июнь 2020</t>
  </si>
  <si>
    <t>Количество Июль 2020</t>
  </si>
  <si>
    <t>Стоимость Июль 2020</t>
  </si>
  <si>
    <t>Количество Август 2020</t>
  </si>
  <si>
    <t>Стоимость Август 2020</t>
  </si>
  <si>
    <t>Количество Сентябрь 2020</t>
  </si>
  <si>
    <t>Стоимость Сентябрь 2020</t>
  </si>
  <si>
    <t>Количество 2020</t>
  </si>
  <si>
    <t>00008786</t>
  </si>
  <si>
    <t>«Властелин колец» — Джон Р. Р. Толкин</t>
  </si>
  <si>
    <t>Редакция №1</t>
  </si>
  <si>
    <t>Мягкая обложка</t>
  </si>
  <si>
    <t>Дистрибуция</t>
  </si>
  <si>
    <t>00001716</t>
  </si>
  <si>
    <t>«Гордость и предубеждение» — Джейн Остин</t>
  </si>
  <si>
    <t>Покетбук</t>
  </si>
  <si>
    <t>00003925</t>
  </si>
  <si>
    <t>«Тёмные начала» — Филип Пулман</t>
  </si>
  <si>
    <t>00009579</t>
  </si>
  <si>
    <t>«Автостопом по галактике» — Дуглас Адамс</t>
  </si>
  <si>
    <t>00002593</t>
  </si>
  <si>
    <t>«Гарри Поттер и Кубок огня» — Джоан Роулинг</t>
  </si>
  <si>
    <t>Редакция №2</t>
  </si>
  <si>
    <t>Твердый переплет</t>
  </si>
  <si>
    <t>00007798</t>
  </si>
  <si>
    <t>«Убить пересмешника» — Харпер Ли</t>
  </si>
  <si>
    <t>00000511</t>
  </si>
  <si>
    <t>«Винни Пух» — Алан Александр Милн</t>
  </si>
  <si>
    <t>00004385</t>
  </si>
  <si>
    <t>«1984» — Джордж Оруэлл</t>
  </si>
  <si>
    <t>00003407</t>
  </si>
  <si>
    <t>«Лев, колдунья и платяной шкаф» — Клайв Стэйплз Льюис</t>
  </si>
  <si>
    <t>00000480</t>
  </si>
  <si>
    <t>«Джейн Эйр» — Шарлотта Бронте</t>
  </si>
  <si>
    <t>00002686</t>
  </si>
  <si>
    <t>«Уловка-22» — Джозеф Хеллер</t>
  </si>
  <si>
    <t>00005263</t>
  </si>
  <si>
    <t>«Грозовой перевал» — Эмили Бронте</t>
  </si>
  <si>
    <t>00007241</t>
  </si>
  <si>
    <t>«Пение птиц» — Себастьян Фолкс</t>
  </si>
  <si>
    <t>00001637</t>
  </si>
  <si>
    <t>«Ребекка» — Дафна Дюморье</t>
  </si>
  <si>
    <t>00002876</t>
  </si>
  <si>
    <t>«Над пропастью во ржи» — Джером Сэлинджер</t>
  </si>
  <si>
    <t>00000150</t>
  </si>
  <si>
    <t>«Ветер в ивах» — Кеннет Грэм</t>
  </si>
  <si>
    <t>00009194</t>
  </si>
  <si>
    <t>«Большие надежды» — Чарльз Диккенс</t>
  </si>
  <si>
    <t>00003988</t>
  </si>
  <si>
    <t>«Маленькие женщины» — Луиза Мэй Олкотт</t>
  </si>
  <si>
    <t>00002981</t>
  </si>
  <si>
    <t>«Мандолина капитана Корелли» — Луи де Берньер</t>
  </si>
  <si>
    <t>00003592</t>
  </si>
  <si>
    <t>«Война и мир» — Лев Толстой</t>
  </si>
  <si>
    <t>00001304</t>
  </si>
  <si>
    <t>«Унесённые ветром» — Маргарет Митчелл</t>
  </si>
  <si>
    <t>00004790</t>
  </si>
  <si>
    <t>«Гарри Поттер и философский камень» — Джоан Роулинг</t>
  </si>
  <si>
    <t>00001398</t>
  </si>
  <si>
    <t>«Гарри Поттер и Тайная комната» — Джоан Роулинг</t>
  </si>
  <si>
    <t>00004551</t>
  </si>
  <si>
    <t>«Гарри Поттер и узник Азкабана» — Джоан Роулинг</t>
  </si>
  <si>
    <t>00009416</t>
  </si>
  <si>
    <t>«Хоббит, или Туда и обратно» — Джон Р. Р. Толкин</t>
  </si>
  <si>
    <t>00004996</t>
  </si>
  <si>
    <t>«Тэсс из рода д’Эрбервиллей» — Томас Харди</t>
  </si>
  <si>
    <t>00000780</t>
  </si>
  <si>
    <t>«Миддлмарч» — Джордж Элиот</t>
  </si>
  <si>
    <t>00005906</t>
  </si>
  <si>
    <t>«Молитва об Оуэне Мини» — Джон Ирвинг</t>
  </si>
  <si>
    <t>00008526</t>
  </si>
  <si>
    <t>«Гроздья гнева» — Джон Стейнбек</t>
  </si>
  <si>
    <t>00004771</t>
  </si>
  <si>
    <t>«Алиса в Стране чудес» — Льюис Кэрролл</t>
  </si>
  <si>
    <t>00004080</t>
  </si>
  <si>
    <t>«Дневник Трейси Бикер» — Жаклин Уилсон</t>
  </si>
  <si>
    <t>00006090</t>
  </si>
  <si>
    <t>«Сто лет одиночества» — Габриэль Гарсиа Маркес</t>
  </si>
  <si>
    <t>00005041</t>
  </si>
  <si>
    <t>«Столпы Земли» — Кен Фоллетт</t>
  </si>
  <si>
    <t>00003612</t>
  </si>
  <si>
    <t>«Дэвид Копперфильд» — Чарльз Диккенс</t>
  </si>
  <si>
    <t>00007947</t>
  </si>
  <si>
    <t>«Чарли и шоколадная фабрика» — Роальд Даль</t>
  </si>
  <si>
    <t>00004897</t>
  </si>
  <si>
    <t>«Остров сокровищ» — Роберт Стивенсон</t>
  </si>
  <si>
    <t>00004186</t>
  </si>
  <si>
    <t>«Город как Элис» — Невил Шют</t>
  </si>
  <si>
    <t>00003014</t>
  </si>
  <si>
    <t>«Доводы рассудка» — Джейн Остин</t>
  </si>
  <si>
    <t>00004126</t>
  </si>
  <si>
    <t>«Дюна» — Фрэнк Герберт</t>
  </si>
  <si>
    <t>00005037</t>
  </si>
  <si>
    <t>«Эмма» — Джейн Остин</t>
  </si>
  <si>
    <t>00002675</t>
  </si>
  <si>
    <t>«Аня из Зелёных Мезонинов» — Люси Мод Монтгомери</t>
  </si>
  <si>
    <t>00009604</t>
  </si>
  <si>
    <t>«Обитатели холмов» — Ричард Адамс</t>
  </si>
  <si>
    <t>00009140</t>
  </si>
  <si>
    <t>«Великий Гэтсби» — Фрэнсис Скотт Фицджеральд</t>
  </si>
  <si>
    <t>00009947</t>
  </si>
  <si>
    <t>«Граф Монте-Кристо» — Александр Дюма</t>
  </si>
  <si>
    <t>00002640</t>
  </si>
  <si>
    <t>«Возвращение в Брайдсхед» — Ивлин Во</t>
  </si>
  <si>
    <t>00006070</t>
  </si>
  <si>
    <t>«Скотный двор» — Джордж Оруэлл</t>
  </si>
  <si>
    <t>00008083</t>
  </si>
  <si>
    <t>«Рождественская песнь» — Чарльз Диккенс</t>
  </si>
  <si>
    <t>00009671</t>
  </si>
  <si>
    <t>«Вдали от обезумевшей толпы» — Томас Харди</t>
  </si>
  <si>
    <t>00009253</t>
  </si>
  <si>
    <t>«Спокойной ночи, мистер Том» — Мишель Магориан</t>
  </si>
  <si>
    <t>00001952</t>
  </si>
  <si>
    <t>«Семейная реликвия» — Розамунд Пилчер</t>
  </si>
  <si>
    <t>00002639</t>
  </si>
  <si>
    <t>«Таинственный сад» — Фрэнсис Бернетт</t>
  </si>
  <si>
    <t>00005075</t>
  </si>
  <si>
    <t>«О мышах и людях» — Джон Стейнбек</t>
  </si>
  <si>
    <t>00002301</t>
  </si>
  <si>
    <t>«Противостояние» — Стивен Кинг</t>
  </si>
  <si>
    <t>00001687</t>
  </si>
  <si>
    <t>«Анна Каренина» — Лев Толстой</t>
  </si>
  <si>
    <t>00008548</t>
  </si>
  <si>
    <t>«Подходящий жених» — Викрам Сет</t>
  </si>
  <si>
    <t>00002787</t>
  </si>
  <si>
    <t>«БДВ, или Большой и добрый великан» — Роальд Даль</t>
  </si>
  <si>
    <t>00003202</t>
  </si>
  <si>
    <t>«Ласточки и амазонки» — Артур Рэнсом</t>
  </si>
  <si>
    <t>00003837</t>
  </si>
  <si>
    <t>«Чёрный красавчик» — Анна Сьюэлл</t>
  </si>
  <si>
    <t>00008803</t>
  </si>
  <si>
    <t>«Артемис Фаул» — Йон Колфер</t>
  </si>
  <si>
    <t>00007790</t>
  </si>
  <si>
    <t>«Преступление и наказание» — Фёдор Достоевский</t>
  </si>
  <si>
    <t>00007017</t>
  </si>
  <si>
    <t>«Крестики-нолики» — Мэлори Блэкмен</t>
  </si>
  <si>
    <t>00004239</t>
  </si>
  <si>
    <t>«Мемуары гейши» — Артур Голден</t>
  </si>
  <si>
    <t>00006780</t>
  </si>
  <si>
    <t>«Повесть о двух городах» — Чарльз Диккенс</t>
  </si>
  <si>
    <t>00007678</t>
  </si>
  <si>
    <t>«Поющие в терновнике» — Колин Маккалоу</t>
  </si>
  <si>
    <t>00001638</t>
  </si>
  <si>
    <t>«Мор, ученик Смерти» — Терри Пратчетт</t>
  </si>
  <si>
    <t>00001864</t>
  </si>
  <si>
    <t>«Далёкое волшебное дерево» — Энид Блайтон</t>
  </si>
  <si>
    <t>00006664</t>
  </si>
  <si>
    <t>«Волхв» — Джон Фаулз</t>
  </si>
  <si>
    <t>00002966</t>
  </si>
  <si>
    <t>«Благие знамения» — Терри Пратчетт и Нил Гейман</t>
  </si>
  <si>
    <t>00006573</t>
  </si>
  <si>
    <t>«Стража! Стража!» — Терри Пратчетт</t>
  </si>
  <si>
    <t>00007477</t>
  </si>
  <si>
    <t>«Повелитель мух» — Уильям Голдинг</t>
  </si>
  <si>
    <t>00005029</t>
  </si>
  <si>
    <t>«Парфюмер» — Патрик Зюскинд</t>
  </si>
  <si>
    <t>00001380</t>
  </si>
  <si>
    <t>«Филантропы в рваных штанах» — Роберт Тресселл</t>
  </si>
  <si>
    <t>00005444</t>
  </si>
  <si>
    <t>«Ночная стража» — Терри Пратчетт</t>
  </si>
  <si>
    <t>00003578</t>
  </si>
  <si>
    <t>«Матильда» — Роальд Даль</t>
  </si>
  <si>
    <t>00007719</t>
  </si>
  <si>
    <t>«Дневник Бриджит Джонс» — Хелен Филдинг</t>
  </si>
  <si>
    <t>00002132</t>
  </si>
  <si>
    <t>«Тайная история» — Донна Тартт</t>
  </si>
  <si>
    <t>00001699</t>
  </si>
  <si>
    <t>«Женщина в белом» — Уильям Уилки Коллинз</t>
  </si>
  <si>
    <t>00008499</t>
  </si>
  <si>
    <t>«Улисс» — Джеймс Джойс</t>
  </si>
  <si>
    <t>00007593</t>
  </si>
  <si>
    <t>«Холодный дом» — Чарльз Диккенс</t>
  </si>
  <si>
    <t>00002064</t>
  </si>
  <si>
    <t>«Двойняшки» — Жаклин Уилсон</t>
  </si>
  <si>
    <t>00000187</t>
  </si>
  <si>
    <t>«Семейство Твит» — Роальд Даль</t>
  </si>
  <si>
    <t>00002969</t>
  </si>
  <si>
    <t>«Я захватываю замок» — Доди Смит</t>
  </si>
  <si>
    <t>00001262</t>
  </si>
  <si>
    <t>«Ямы» — Луис Сейкер</t>
  </si>
  <si>
    <t>00007343</t>
  </si>
  <si>
    <t>«Горменгаст» — Мервин Пик</t>
  </si>
  <si>
    <t>00007305</t>
  </si>
  <si>
    <t>«Бог мелочей» — Арундати Рой</t>
  </si>
  <si>
    <t>00007402</t>
  </si>
  <si>
    <t>«Вики-Ангел» — Жаклин Уилсон</t>
  </si>
  <si>
    <t>00004416</t>
  </si>
  <si>
    <t>«О дивный новый мир» — Олдос Хаксли</t>
  </si>
  <si>
    <t>00002977</t>
  </si>
  <si>
    <t>«Неуютная ферма» — Стелла Гиббонс</t>
  </si>
  <si>
    <t>00001254</t>
  </si>
  <si>
    <t>«Чародей» — Раймонд Фэйст</t>
  </si>
  <si>
    <t>00006617</t>
  </si>
  <si>
    <t>«В дороге» — Джек Керуак</t>
  </si>
  <si>
    <t>00005309</t>
  </si>
  <si>
    <t>«Крестный отец» — Марио Пьюзо</t>
  </si>
  <si>
    <t>00000481</t>
  </si>
  <si>
    <t>«Клан пещерного медведя» — Джин Ауэл</t>
  </si>
  <si>
    <t>00005266</t>
  </si>
  <si>
    <t>«Цвет волшебства» — Терри Пратчетт</t>
  </si>
  <si>
    <t>00006349</t>
  </si>
  <si>
    <t>«Алхимик» — Пауло Коэльо</t>
  </si>
  <si>
    <t>00000799</t>
  </si>
  <si>
    <t>«Кэтрин» — Аня Сетон</t>
  </si>
  <si>
    <t>00001057</t>
  </si>
  <si>
    <t>«Каин и Авель» — Джеффри Арчер</t>
  </si>
  <si>
    <t>00002882</t>
  </si>
  <si>
    <t>«Любовь во время холеры» — Габриэль Гарсиа Маркес</t>
  </si>
  <si>
    <t>00006813</t>
  </si>
  <si>
    <t>«Девчонки в поисках любви» — Жаклин Уилсон</t>
  </si>
  <si>
    <t>00002358</t>
  </si>
  <si>
    <t>«Дневники принцессы» — Мэг Кэбот</t>
  </si>
  <si>
    <t>00005337</t>
  </si>
  <si>
    <t>«Дети полуночи» — Салман Рушди</t>
  </si>
  <si>
    <t>00005628</t>
  </si>
  <si>
    <t>«Трое в лодке, не считая собаки» — Джером К</t>
  </si>
  <si>
    <t>00003373</t>
  </si>
  <si>
    <t>«Мелкие боги» — Терри Пратчетт</t>
  </si>
  <si>
    <t>00006005</t>
  </si>
  <si>
    <t>«Пляж» — Алекс Гарленд</t>
  </si>
  <si>
    <t>00004777</t>
  </si>
  <si>
    <t>«Дракула» — Брэм Стокер</t>
  </si>
  <si>
    <t>00001770</t>
  </si>
  <si>
    <t>«Белый пик» — Энтони Горовиц</t>
  </si>
  <si>
    <t>00004874</t>
  </si>
  <si>
    <t>«Посмертные записки Пиквикского клуба» — Чарльз Диккенс</t>
  </si>
  <si>
    <t>00007345</t>
  </si>
  <si>
    <t>«Громобой» — Энтони Горовиц</t>
  </si>
  <si>
    <t>00008023</t>
  </si>
  <si>
    <t>«Осиная фабрика» — Иэн Бэнкс</t>
  </si>
  <si>
    <t>00003219</t>
  </si>
  <si>
    <t>«День Шакала» — Фредерик Форсайт</t>
  </si>
  <si>
    <t>00008957</t>
  </si>
  <si>
    <t>«Разрисованная мама» — Жаклин Уилсон</t>
  </si>
  <si>
    <t>00007102</t>
  </si>
  <si>
    <t>«Джуд Незаметный» — Томас Харди</t>
  </si>
  <si>
    <t>00007729</t>
  </si>
  <si>
    <t>«Тайный дневник Адриана Моула, 13 3/4 лет» — Сью Таунсенд</t>
  </si>
  <si>
    <t>00006488</t>
  </si>
  <si>
    <t>«Жестокое море» — Николас Монсаррат</t>
  </si>
  <si>
    <t>00007058</t>
  </si>
  <si>
    <t>«Отверженные» — Виктор Гюго</t>
  </si>
  <si>
    <t>00006370</t>
  </si>
  <si>
    <t>«Мэр Кэстербриджа» — Томас Харди</t>
  </si>
  <si>
    <t>00008071</t>
  </si>
  <si>
    <t>«Рискованные игры» — Жаклин Уилсон</t>
  </si>
  <si>
    <t>00004679</t>
  </si>
  <si>
    <t>«Плохие девчонки» — Жаклин Уилсон</t>
  </si>
  <si>
    <t>00000014</t>
  </si>
  <si>
    <t>«Портрет Дориана Грея» — Оскар Уайльд</t>
  </si>
  <si>
    <t>00002657</t>
  </si>
  <si>
    <t>«Сёгун» — Джеймс Клавелл</t>
  </si>
  <si>
    <t>00008221</t>
  </si>
  <si>
    <t>«День триффидов» — Джон Уиндем</t>
  </si>
  <si>
    <t>00009136</t>
  </si>
  <si>
    <t>«Лола Роза» — Жаклин Уилсон</t>
  </si>
  <si>
    <t>00004752</t>
  </si>
  <si>
    <t>«Ярмарка тщеславия» — Уильям Теккерей</t>
  </si>
  <si>
    <t>00005859</t>
  </si>
  <si>
    <t>«Дом из листьев» — Марк Данилевски</t>
  </si>
  <si>
    <t>00006804</t>
  </si>
  <si>
    <t>«Сага о Форсайтах» — Джон Голсуорси</t>
  </si>
  <si>
    <t>00007231</t>
  </si>
  <si>
    <t>«Библия ядовитого леса» — Барбара Кингсолвер</t>
  </si>
  <si>
    <t>«Мрачный Жнец» — Терри Пратчетт</t>
  </si>
  <si>
    <t>00006307</t>
  </si>
  <si>
    <t>«Ангус, ремни и конкретные обжимашки» — Луиз Рэннисон</t>
  </si>
  <si>
    <t>00008468</t>
  </si>
  <si>
    <t>«Собака Баскервилей» — Артур Конан Дойль</t>
  </si>
  <si>
    <t>00005531</t>
  </si>
  <si>
    <t>«Обладать» — Антония Сьюзен Байетт</t>
  </si>
  <si>
    <t>00002237</t>
  </si>
  <si>
    <t>«Мастер и Маргарита» — Михаил Булгаков</t>
  </si>
  <si>
    <t>00007410</t>
  </si>
  <si>
    <t>«Рассказ служанки» — Маргарет Этвуд</t>
  </si>
  <si>
    <t>00009833</t>
  </si>
  <si>
    <t>«Денни — чемпион мира» — Роальд Даль</t>
  </si>
  <si>
    <t>00003376</t>
  </si>
  <si>
    <t>«К востоку от рая» — Джон Стейнбек</t>
  </si>
  <si>
    <t>00004415</t>
  </si>
  <si>
    <t>«Лечение Джорджа Марвелуса» — Роальд Даль</t>
  </si>
  <si>
    <t>00009159</t>
  </si>
  <si>
    <t>«Вещие сестрички» — Терри Пратчетт</t>
  </si>
  <si>
    <t>00003274</t>
  </si>
  <si>
    <t>«Пурпурный цвет» — Элис Уокер</t>
  </si>
  <si>
    <t>00006142</t>
  </si>
  <si>
    <t>«Санта-Хрякус» — Терри Пратчетт</t>
  </si>
  <si>
    <t>00001426</t>
  </si>
  <si>
    <t>«39 ступеней" — Джон Бьюкен</t>
  </si>
  <si>
    <t>00009279</t>
  </si>
  <si>
    <t>«Девчонки в слезах» — Жаклин Уилсон</t>
  </si>
  <si>
    <t>00006072</t>
  </si>
  <si>
    <t>«Вечеринка с ночёвкой» — Жаклин Уилсон</t>
  </si>
  <si>
    <t>00001943</t>
  </si>
  <si>
    <t>«На западном фронте без перемен» — Эрих Мария Ремарк</t>
  </si>
  <si>
    <t>00009049</t>
  </si>
  <si>
    <t>«В хранилищах музея» — Кейт Аткинсон</t>
  </si>
  <si>
    <t>00009209</t>
  </si>
  <si>
    <t>«Hi-Fi» — Ник Хорнби</t>
  </si>
  <si>
    <t>00005725</t>
  </si>
  <si>
    <t>«Оно» — Стивен Кинг</t>
  </si>
  <si>
    <t>00005911</t>
  </si>
  <si>
    <t>«Джеймс и гигантский персик» — Роальд Даль</t>
  </si>
  <si>
    <t>00009467</t>
  </si>
  <si>
    <t>«Зелёная миля» — Стивен Кинг</t>
  </si>
  <si>
    <t>00007607</t>
  </si>
  <si>
    <t>«Мотылёк» — Анри Шарьер</t>
  </si>
  <si>
    <t>00004691</t>
  </si>
  <si>
    <t>«К оружию! К оружию!» — Терри Пратчетт</t>
  </si>
  <si>
    <t>00004478</t>
  </si>
  <si>
    <t>«Хозяин морей: Командир и штурман» — Патрик О’Брайан</t>
  </si>
  <si>
    <t>00001666</t>
  </si>
  <si>
    <t>«Ключ от всех дверей» — Энтони Горовиц</t>
  </si>
  <si>
    <t>00007957</t>
  </si>
  <si>
    <t>«Роковая музыка» — Терри Пратчетт</t>
  </si>
  <si>
    <t>00002023</t>
  </si>
  <si>
    <t>«Вор времени» — Терри Пратчетт</t>
  </si>
  <si>
    <t>00002883</t>
  </si>
  <si>
    <t>«Пятый элефант» — Терри Пратчетт</t>
  </si>
  <si>
    <t>00006782</t>
  </si>
  <si>
    <t>«Искупление» — Иэн Макьюэн</t>
  </si>
  <si>
    <t>00005951</t>
  </si>
  <si>
    <t>«Секреты» — Жаклин Уилсон</t>
  </si>
  <si>
    <t>00003278</t>
  </si>
  <si>
    <t>«Серебряный меч» — Ян Серрэйлер</t>
  </si>
  <si>
    <t>00000229</t>
  </si>
  <si>
    <t>«Пролетая над гнездом кукушки» — Кен Кизи</t>
  </si>
  <si>
    <t>00007977</t>
  </si>
  <si>
    <t>«Сердце тьмы» — Джозеф Конрад</t>
  </si>
  <si>
    <t>00007172</t>
  </si>
  <si>
    <t>«Ким» — Редьярд Киплинг</t>
  </si>
  <si>
    <t>00004449</t>
  </si>
  <si>
    <t>«Чужестранка» — Диана Гэблдон</t>
  </si>
  <si>
    <t>00009382</t>
  </si>
  <si>
    <t>«Моби Дик» — Герман Мелвилл</t>
  </si>
  <si>
    <t>00000010</t>
  </si>
  <si>
    <t>«Песнь на закате» — Льюис Грессик Гиббон</t>
  </si>
  <si>
    <t>00000662</t>
  </si>
  <si>
    <t>«Корабельные новости» — Энни Пру</t>
  </si>
  <si>
    <t>00002204</t>
  </si>
  <si>
    <t>«Божество реки» — Уилбур Смит</t>
  </si>
  <si>
    <t>00005283</t>
  </si>
  <si>
    <t>«Мир глазами Гарпа» — Джон Ирвинг</t>
  </si>
  <si>
    <t>00009504</t>
  </si>
  <si>
    <t>«Лорна Дун» — Ричард Блэкмор</t>
  </si>
  <si>
    <t>00009782</t>
  </si>
  <si>
    <t>«Девчонки гуляют допоздна» — Жаклин Уилсон</t>
  </si>
  <si>
    <t>00008653</t>
  </si>
  <si>
    <t>«Далёкие шатры» — Мэри Маргарет Кей</t>
  </si>
  <si>
    <t>00003321</t>
  </si>
  <si>
    <t>«Ведьмы» — Роальд Даль</t>
  </si>
  <si>
    <t>00009550</t>
  </si>
  <si>
    <t>«Паутина Шарлотты» — Элвин Брукс Уайт</t>
  </si>
  <si>
    <t>00009421</t>
  </si>
  <si>
    <t>«Франкенштейн, или Современный Прометей» — Мэри Шелли</t>
  </si>
  <si>
    <t>00003970</t>
  </si>
  <si>
    <t>«Они играли на траве» — Терри Венейблс и Гордон М</t>
  </si>
  <si>
    <t>00000040</t>
  </si>
  <si>
    <t>«Старик и море» — Эрнест Хемингуэй</t>
  </si>
  <si>
    <t>00004283</t>
  </si>
  <si>
    <t>«Лолита» — Владимир Набоков</t>
  </si>
  <si>
    <t>00004954</t>
  </si>
  <si>
    <t>«Имя розы» — Умберто Эко</t>
  </si>
  <si>
    <t>00002750</t>
  </si>
  <si>
    <t>«Мир Софии» — Йостейн Гордер</t>
  </si>
  <si>
    <t>«Девочка-находка» — Жаклин Уилсон</t>
  </si>
  <si>
    <t>00009843</t>
  </si>
  <si>
    <t>«Изумительный мистер Лис» — Роальд Даль</t>
  </si>
  <si>
    <t>00002488</t>
  </si>
  <si>
    <t>«Чайка по имени Джонатан Ливингстон» — Ричард Бах</t>
  </si>
  <si>
    <t>00008768</t>
  </si>
  <si>
    <t>«Маленький принц» — Антуан де Сент-Экзюпери</t>
  </si>
  <si>
    <t>00007812</t>
  </si>
  <si>
    <t>«Дитя из чемодана» — Жаклин Уилсон</t>
  </si>
  <si>
    <t>00009723</t>
  </si>
  <si>
    <t>«Приключения Оливера Твиста» — Чарльз Диккенс</t>
  </si>
  <si>
    <t>00005565</t>
  </si>
  <si>
    <t>«Сила единства» — Брайс Куртене</t>
  </si>
  <si>
    <t>00003598</t>
  </si>
  <si>
    <t>«Сайлес Марнер» — Джордж Элиот</t>
  </si>
  <si>
    <t>00005631</t>
  </si>
  <si>
    <t>«Американский психопат» — Брет Истон Эллис</t>
  </si>
  <si>
    <t>00009541</t>
  </si>
  <si>
    <t>«Дневник незначительного лица» — Джордж и Уидон Гроссмит</t>
  </si>
  <si>
    <t>00003406</t>
  </si>
  <si>
    <t>«На игле» — Ирвин Уэлш</t>
  </si>
  <si>
    <t>00006696</t>
  </si>
  <si>
    <t>«Хайди» — Иоганна Шпири</t>
  </si>
  <si>
    <t>00000897</t>
  </si>
  <si>
    <t>«Сыновья и любовники» — Дэвид Герберт Лоуренс</t>
  </si>
  <si>
    <t>00006316</t>
  </si>
  <si>
    <t>«Невыносимая лёгкость бытия» — Милан Кундера</t>
  </si>
  <si>
    <t>00002917</t>
  </si>
  <si>
    <t>«Мужчина и мальчик» — Тони Парсонс</t>
  </si>
  <si>
    <t>00004351</t>
  </si>
  <si>
    <t>«Правда» — Терри Пратчетт</t>
  </si>
  <si>
    <t>00009805</t>
  </si>
  <si>
    <t>«Война миров» — Герберт Уэллс</t>
  </si>
  <si>
    <t>00004958</t>
  </si>
  <si>
    <t>«Ужастики» — Роберт Лоуренс Стайн</t>
  </si>
  <si>
    <t>00004688</t>
  </si>
  <si>
    <t>«Заклинатель лошадей» — Николас Эванс</t>
  </si>
  <si>
    <t>00000221</t>
  </si>
  <si>
    <t>«Хрупкое равновесие» — Рохинтон Мистри</t>
  </si>
  <si>
    <t>00009762</t>
  </si>
  <si>
    <t>«Ведьмы за границей» — Терри Пратчетт</t>
  </si>
  <si>
    <t>00004441</t>
  </si>
  <si>
    <t>«Король былого и грядущего» — Теренс Уайт</t>
  </si>
  <si>
    <t>00003694</t>
  </si>
  <si>
    <t>«Очень голодная гусеница» — Эрик Карл</t>
  </si>
  <si>
    <t>00008766</t>
  </si>
  <si>
    <t>«Цветы на чердаке» — Вирджиния Эндрюс</t>
  </si>
  <si>
    <t>Интернет-магазин</t>
  </si>
  <si>
    <t>B2B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</si>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</sst>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3" fontId="0" fillId="0" borderId="0" xfId="0" applyNumberFormat="1" applyFont="1" applyAlignment="1"/>
    <xf numFmtId="0" fontId="2" fillId="0" borderId="0" xfId="0" applyFont="1" applyFill="1" applyAlignment="1">
      <alignment wrapText="1"/>
    </xf>
    <xf numFmtId="0" fontId="0" fillId="0" borderId="0" xfId="0" applyFont="1" applyFill="1" applyAlignment="1"/>
    <xf numFmtId="3" fontId="2" fillId="2" borderId="0" xfId="0" applyNumberFormat="1" applyFont="1" applyFill="1"/>
    <xf numFmtId="3" fontId="2" fillId="0" borderId="0" xfId="0" applyNumberFormat="1" applyFont="1" applyFill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/>
    <xf numFmtId="0" fontId="4" fillId="0" borderId="1" xfId="0" applyFont="1" applyBorder="1"/>
    <xf numFmtId="49" fontId="4" fillId="0" borderId="0" xfId="0" applyNumberFormat="1" applyFont="1" applyAlignment="1">
      <alignment wrapText="1"/>
    </xf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3"/>
  <sheetViews>
    <sheetView zoomScale="115" zoomScaleNormal="115" workbookViewId="0">
      <pane ySplit="1" topLeftCell="A2" activePane="bottomLeft" state="frozen"/>
      <selection pane="bottomLeft" activeCell="G10" sqref="G10"/>
    </sheetView>
  </sheetViews>
  <sheetFormatPr defaultColWidth="14.44140625" defaultRowHeight="15.75" customHeight="1" x14ac:dyDescent="0.4"/>
  <cols>
    <col min="6" max="6" width="55" customWidth="1"/>
  </cols>
  <sheetData>
    <row r="1" spans="1:7" ht="15.75" customHeight="1" x14ac:dyDescent="0.4">
      <c r="A1" s="1" t="s">
        <v>2419</v>
      </c>
      <c r="B1" s="1" t="s">
        <v>0</v>
      </c>
      <c r="C1" s="1" t="s">
        <v>1</v>
      </c>
      <c r="D1" s="1" t="s">
        <v>2</v>
      </c>
      <c r="F1" s="2" t="s">
        <v>3</v>
      </c>
      <c r="G1" s="2" t="s">
        <v>4</v>
      </c>
    </row>
    <row r="2" spans="1:7" ht="15.75" customHeight="1" x14ac:dyDescent="0.4">
      <c r="A2" s="18">
        <v>44047</v>
      </c>
      <c r="B2" s="17" t="s">
        <v>1699</v>
      </c>
      <c r="C2" s="4" t="s">
        <v>5</v>
      </c>
      <c r="D2" s="5">
        <v>222318</v>
      </c>
      <c r="E2" s="7"/>
      <c r="F2" s="6" t="s">
        <v>6</v>
      </c>
      <c r="G2" s="10">
        <f>SUM(D:D)</f>
        <v>15176402</v>
      </c>
    </row>
    <row r="3" spans="1:7" ht="15.75" customHeight="1" x14ac:dyDescent="0.4">
      <c r="A3" s="18">
        <v>44035</v>
      </c>
      <c r="B3" s="3" t="s">
        <v>1007</v>
      </c>
      <c r="C3" s="4" t="s">
        <v>7</v>
      </c>
      <c r="D3" s="5">
        <v>136824</v>
      </c>
      <c r="E3" s="7"/>
      <c r="F3" s="6" t="s">
        <v>8</v>
      </c>
      <c r="G3" s="10">
        <f>SUMIF(C:C,"Томск",D:D)</f>
        <v>3990356</v>
      </c>
    </row>
    <row r="4" spans="1:7" ht="15.75" customHeight="1" x14ac:dyDescent="0.4">
      <c r="A4" s="18">
        <v>44120</v>
      </c>
      <c r="B4" s="3" t="s">
        <v>1007</v>
      </c>
      <c r="C4" s="4" t="s">
        <v>5</v>
      </c>
      <c r="D4" s="5">
        <v>131302</v>
      </c>
      <c r="E4" s="7"/>
      <c r="F4" s="20" t="s">
        <v>1983</v>
      </c>
      <c r="G4" s="10">
        <f>SUMIFS(D:D,A:A,"&gt;=01.04.2020",A:A,"&lt;=30.06.2020")</f>
        <v>4859327</v>
      </c>
    </row>
    <row r="5" spans="1:7" ht="15.75" customHeight="1" x14ac:dyDescent="0.4">
      <c r="A5" s="18">
        <v>44045</v>
      </c>
      <c r="B5" s="3" t="s">
        <v>19</v>
      </c>
      <c r="C5" s="4" t="s">
        <v>9</v>
      </c>
      <c r="D5" s="5">
        <v>206291</v>
      </c>
      <c r="E5" s="7"/>
      <c r="F5" s="19" t="s">
        <v>1982</v>
      </c>
      <c r="G5" s="10">
        <f>SUMIFS(D:D,C:C,C3,B:B,"Планшеты")</f>
        <v>1676443</v>
      </c>
    </row>
    <row r="6" spans="1:7" ht="15.75" customHeight="1" x14ac:dyDescent="0.4">
      <c r="A6" s="18">
        <v>44103</v>
      </c>
      <c r="B6" s="3" t="s">
        <v>1699</v>
      </c>
      <c r="C6" s="4" t="s">
        <v>5</v>
      </c>
      <c r="D6" s="5">
        <v>112391</v>
      </c>
      <c r="E6" s="7"/>
      <c r="F6" s="19" t="s">
        <v>1981</v>
      </c>
      <c r="G6" s="10">
        <f>AVERAGEIFS(D:D,B:B,B5,C:C,C2,A:A,"&gt;=01.02.2020",A:A,"&lt;01.03.2020")</f>
        <v>137171.5</v>
      </c>
    </row>
    <row r="7" spans="1:7" ht="15.75" customHeight="1" x14ac:dyDescent="0.4">
      <c r="A7" s="18">
        <v>44046</v>
      </c>
      <c r="B7" s="3" t="s">
        <v>19</v>
      </c>
      <c r="C7" s="4" t="s">
        <v>5</v>
      </c>
      <c r="D7" s="5">
        <v>231375</v>
      </c>
      <c r="E7" s="7"/>
      <c r="F7" s="21" t="s">
        <v>10</v>
      </c>
      <c r="G7" s="10">
        <f>COUNT(D:D)</f>
        <v>92</v>
      </c>
    </row>
    <row r="8" spans="1:7" ht="15.75" customHeight="1" x14ac:dyDescent="0.4">
      <c r="A8" s="18">
        <v>44082</v>
      </c>
      <c r="B8" s="3" t="s">
        <v>1007</v>
      </c>
      <c r="C8" s="4" t="s">
        <v>7</v>
      </c>
      <c r="D8" s="5">
        <v>147617</v>
      </c>
      <c r="E8" s="7"/>
      <c r="F8" s="21" t="s">
        <v>11</v>
      </c>
      <c r="G8" s="10">
        <f>COUNTIFS(A:A,"&lt;01.02.2020",C:C,"&lt;&gt;Челябинск")</f>
        <v>6</v>
      </c>
    </row>
    <row r="9" spans="1:7" ht="15.75" customHeight="1" x14ac:dyDescent="0.4">
      <c r="A9" s="18">
        <v>44133</v>
      </c>
      <c r="B9" s="3" t="s">
        <v>19</v>
      </c>
      <c r="C9" s="4" t="s">
        <v>5</v>
      </c>
      <c r="D9" s="5">
        <v>186553</v>
      </c>
      <c r="E9" s="7"/>
      <c r="F9" s="21" t="s">
        <v>12</v>
      </c>
      <c r="G9" s="10">
        <f>COUNTIFS(C:C,"Томск",D:D,"&gt;"&amp;AVERAGE(D:D))</f>
        <v>12</v>
      </c>
    </row>
    <row r="10" spans="1:7" ht="15.75" customHeight="1" x14ac:dyDescent="0.4">
      <c r="A10" s="18">
        <v>43935</v>
      </c>
      <c r="B10" s="3" t="s">
        <v>1980</v>
      </c>
      <c r="C10" s="4" t="s">
        <v>7</v>
      </c>
      <c r="D10" s="5">
        <v>167549</v>
      </c>
      <c r="E10" s="7"/>
      <c r="F10" s="8"/>
      <c r="G10" s="11"/>
    </row>
    <row r="11" spans="1:7" ht="15.75" customHeight="1" x14ac:dyDescent="0.4">
      <c r="A11" s="18">
        <v>43874</v>
      </c>
      <c r="B11" s="3" t="s">
        <v>19</v>
      </c>
      <c r="C11" s="4" t="s">
        <v>5</v>
      </c>
      <c r="D11" s="5">
        <v>150079</v>
      </c>
      <c r="E11" s="7"/>
      <c r="F11" s="9"/>
      <c r="G11" s="9"/>
    </row>
    <row r="12" spans="1:7" ht="15.75" customHeight="1" x14ac:dyDescent="0.4">
      <c r="A12" s="18">
        <v>43891</v>
      </c>
      <c r="B12" s="3" t="s">
        <v>1007</v>
      </c>
      <c r="C12" s="4" t="s">
        <v>5</v>
      </c>
      <c r="D12" s="5">
        <v>126414</v>
      </c>
      <c r="E12" s="7"/>
    </row>
    <row r="13" spans="1:7" ht="15.75" customHeight="1" x14ac:dyDescent="0.4">
      <c r="A13" s="18">
        <v>44020</v>
      </c>
      <c r="B13" s="3" t="s">
        <v>1699</v>
      </c>
      <c r="C13" s="4" t="s">
        <v>7</v>
      </c>
      <c r="D13" s="5">
        <v>150608</v>
      </c>
      <c r="E13" s="7"/>
    </row>
    <row r="14" spans="1:7" ht="15.75" customHeight="1" x14ac:dyDescent="0.4">
      <c r="A14" s="18">
        <v>43976</v>
      </c>
      <c r="B14" s="3" t="s">
        <v>1699</v>
      </c>
      <c r="C14" s="4" t="s">
        <v>5</v>
      </c>
      <c r="D14" s="5">
        <v>164577</v>
      </c>
      <c r="E14" s="7"/>
    </row>
    <row r="15" spans="1:7" ht="15.75" customHeight="1" x14ac:dyDescent="0.4">
      <c r="A15" s="18">
        <v>43951</v>
      </c>
      <c r="B15" s="3" t="s">
        <v>1007</v>
      </c>
      <c r="C15" s="4" t="s">
        <v>7</v>
      </c>
      <c r="D15" s="5">
        <v>228356</v>
      </c>
      <c r="E15" s="7"/>
    </row>
    <row r="16" spans="1:7" ht="15.75" customHeight="1" x14ac:dyDescent="0.4">
      <c r="A16" s="18">
        <v>44064</v>
      </c>
      <c r="B16" s="3" t="s">
        <v>1007</v>
      </c>
      <c r="C16" s="4" t="s">
        <v>5</v>
      </c>
      <c r="D16" s="5">
        <v>169734</v>
      </c>
      <c r="E16" s="7"/>
    </row>
    <row r="17" spans="1:5" ht="15.75" customHeight="1" x14ac:dyDescent="0.4">
      <c r="A17" s="18">
        <v>44080</v>
      </c>
      <c r="B17" s="3" t="s">
        <v>1007</v>
      </c>
      <c r="C17" s="4" t="s">
        <v>5</v>
      </c>
      <c r="D17" s="5">
        <v>187700</v>
      </c>
      <c r="E17" s="7"/>
    </row>
    <row r="18" spans="1:5" ht="15.75" customHeight="1" x14ac:dyDescent="0.4">
      <c r="A18" s="18">
        <v>44164</v>
      </c>
      <c r="B18" s="3" t="s">
        <v>1980</v>
      </c>
      <c r="C18" s="4" t="s">
        <v>9</v>
      </c>
      <c r="D18" s="5">
        <v>166105</v>
      </c>
      <c r="E18" s="7"/>
    </row>
    <row r="19" spans="1:5" ht="15.75" customHeight="1" x14ac:dyDescent="0.4">
      <c r="A19" s="18">
        <v>44172</v>
      </c>
      <c r="B19" s="3" t="s">
        <v>19</v>
      </c>
      <c r="C19" s="4" t="s">
        <v>5</v>
      </c>
      <c r="D19" s="5">
        <v>214293</v>
      </c>
      <c r="E19" s="7"/>
    </row>
    <row r="20" spans="1:5" ht="15.75" customHeight="1" x14ac:dyDescent="0.4">
      <c r="A20" s="18">
        <v>43946</v>
      </c>
      <c r="B20" s="3" t="s">
        <v>1699</v>
      </c>
      <c r="C20" s="4" t="s">
        <v>9</v>
      </c>
      <c r="D20" s="5">
        <v>190616</v>
      </c>
      <c r="E20" s="7"/>
    </row>
    <row r="21" spans="1:5" ht="15.75" customHeight="1" x14ac:dyDescent="0.4">
      <c r="A21" s="18">
        <v>43939</v>
      </c>
      <c r="B21" s="3" t="s">
        <v>1980</v>
      </c>
      <c r="C21" s="4" t="s">
        <v>7</v>
      </c>
      <c r="D21" s="5">
        <v>195789</v>
      </c>
      <c r="E21" s="7"/>
    </row>
    <row r="22" spans="1:5" ht="15.75" customHeight="1" x14ac:dyDescent="0.4">
      <c r="A22" s="18">
        <v>44084</v>
      </c>
      <c r="B22" s="3" t="s">
        <v>19</v>
      </c>
      <c r="C22" s="4" t="s">
        <v>5</v>
      </c>
      <c r="D22" s="5">
        <v>173213</v>
      </c>
      <c r="E22" s="7"/>
    </row>
    <row r="23" spans="1:5" ht="15.75" customHeight="1" x14ac:dyDescent="0.4">
      <c r="A23" s="18">
        <v>43835</v>
      </c>
      <c r="B23" s="3" t="s">
        <v>1699</v>
      </c>
      <c r="C23" s="4" t="s">
        <v>5</v>
      </c>
      <c r="D23" s="5">
        <v>146778</v>
      </c>
      <c r="E23" s="7"/>
    </row>
    <row r="24" spans="1:5" ht="15.75" customHeight="1" x14ac:dyDescent="0.4">
      <c r="A24" s="18">
        <v>43847</v>
      </c>
      <c r="B24" s="3" t="s">
        <v>19</v>
      </c>
      <c r="C24" s="4" t="s">
        <v>9</v>
      </c>
      <c r="D24" s="5">
        <v>148066</v>
      </c>
      <c r="E24" s="7"/>
    </row>
    <row r="25" spans="1:5" ht="15.75" customHeight="1" x14ac:dyDescent="0.4">
      <c r="A25" s="18">
        <v>44050</v>
      </c>
      <c r="B25" s="3" t="s">
        <v>19</v>
      </c>
      <c r="C25" s="4" t="s">
        <v>5</v>
      </c>
      <c r="D25" s="5">
        <v>157415</v>
      </c>
      <c r="E25" s="7"/>
    </row>
    <row r="26" spans="1:5" ht="15.75" customHeight="1" x14ac:dyDescent="0.4">
      <c r="A26" s="18">
        <v>43859</v>
      </c>
      <c r="B26" s="3" t="s">
        <v>19</v>
      </c>
      <c r="C26" s="4" t="s">
        <v>5</v>
      </c>
      <c r="D26" s="5">
        <v>110249</v>
      </c>
      <c r="E26" s="7"/>
    </row>
    <row r="27" spans="1:5" ht="15.75" customHeight="1" x14ac:dyDescent="0.4">
      <c r="A27" s="18">
        <v>44174</v>
      </c>
      <c r="B27" s="3" t="s">
        <v>1007</v>
      </c>
      <c r="C27" s="4" t="s">
        <v>9</v>
      </c>
      <c r="D27" s="5">
        <v>176716</v>
      </c>
      <c r="E27" s="7"/>
    </row>
    <row r="28" spans="1:5" ht="15.75" customHeight="1" x14ac:dyDescent="0.4">
      <c r="A28" s="18">
        <v>43850</v>
      </c>
      <c r="B28" s="3" t="s">
        <v>1699</v>
      </c>
      <c r="C28" s="4" t="s">
        <v>9</v>
      </c>
      <c r="D28" s="5">
        <v>138055</v>
      </c>
      <c r="E28" s="7"/>
    </row>
    <row r="29" spans="1:5" ht="15.75" customHeight="1" x14ac:dyDescent="0.4">
      <c r="A29" s="18">
        <v>44078</v>
      </c>
      <c r="B29" s="3" t="s">
        <v>1699</v>
      </c>
      <c r="C29" s="4" t="s">
        <v>9</v>
      </c>
      <c r="D29" s="5">
        <v>148709</v>
      </c>
      <c r="E29" s="7"/>
    </row>
    <row r="30" spans="1:5" ht="15.75" customHeight="1" x14ac:dyDescent="0.4">
      <c r="A30" s="18">
        <v>43911</v>
      </c>
      <c r="B30" s="3" t="s">
        <v>1007</v>
      </c>
      <c r="C30" s="4" t="s">
        <v>5</v>
      </c>
      <c r="D30" s="5">
        <v>191829</v>
      </c>
      <c r="E30" s="7"/>
    </row>
    <row r="31" spans="1:5" ht="15.75" customHeight="1" x14ac:dyDescent="0.4">
      <c r="A31" s="18">
        <v>43890</v>
      </c>
      <c r="B31" s="3" t="s">
        <v>19</v>
      </c>
      <c r="C31" s="4" t="s">
        <v>5</v>
      </c>
      <c r="D31" s="5">
        <v>124264</v>
      </c>
      <c r="E31" s="7"/>
    </row>
    <row r="32" spans="1:5" ht="15.75" customHeight="1" x14ac:dyDescent="0.4">
      <c r="A32" s="18">
        <v>43928</v>
      </c>
      <c r="B32" s="3" t="s">
        <v>1007</v>
      </c>
      <c r="C32" s="4" t="s">
        <v>7</v>
      </c>
      <c r="D32" s="5">
        <v>132394</v>
      </c>
      <c r="E32" s="7"/>
    </row>
    <row r="33" spans="1:5" ht="15.75" customHeight="1" x14ac:dyDescent="0.4">
      <c r="A33" s="18">
        <v>43923</v>
      </c>
      <c r="B33" s="3" t="s">
        <v>1699</v>
      </c>
      <c r="C33" s="4" t="s">
        <v>5</v>
      </c>
      <c r="D33" s="5">
        <v>195942</v>
      </c>
      <c r="E33" s="7"/>
    </row>
    <row r="34" spans="1:5" ht="15.75" customHeight="1" x14ac:dyDescent="0.4">
      <c r="A34" s="18">
        <v>43988</v>
      </c>
      <c r="B34" s="3" t="s">
        <v>1699</v>
      </c>
      <c r="C34" s="4" t="s">
        <v>9</v>
      </c>
      <c r="D34" s="5">
        <v>109460</v>
      </c>
      <c r="E34" s="7"/>
    </row>
    <row r="35" spans="1:5" ht="15.75" customHeight="1" x14ac:dyDescent="0.4">
      <c r="A35" s="18">
        <v>43978</v>
      </c>
      <c r="B35" s="3" t="s">
        <v>1007</v>
      </c>
      <c r="C35" s="4" t="s">
        <v>5</v>
      </c>
      <c r="D35" s="5">
        <v>177936</v>
      </c>
      <c r="E35" s="7"/>
    </row>
    <row r="36" spans="1:5" ht="15.75" customHeight="1" x14ac:dyDescent="0.4">
      <c r="A36" s="18">
        <v>44011</v>
      </c>
      <c r="B36" s="3" t="s">
        <v>1007</v>
      </c>
      <c r="C36" s="4" t="s">
        <v>5</v>
      </c>
      <c r="D36" s="5">
        <v>214331</v>
      </c>
      <c r="E36" s="7"/>
    </row>
    <row r="37" spans="1:5" ht="15.75" customHeight="1" x14ac:dyDescent="0.4">
      <c r="A37" s="18">
        <v>43886</v>
      </c>
      <c r="B37" s="3" t="s">
        <v>1699</v>
      </c>
      <c r="C37" s="4" t="s">
        <v>7</v>
      </c>
      <c r="D37" s="5">
        <v>207789</v>
      </c>
      <c r="E37" s="7"/>
    </row>
    <row r="38" spans="1:5" ht="15.75" customHeight="1" x14ac:dyDescent="0.4">
      <c r="A38" s="18">
        <v>44169</v>
      </c>
      <c r="B38" s="3" t="s">
        <v>1007</v>
      </c>
      <c r="C38" s="4" t="s">
        <v>7</v>
      </c>
      <c r="D38" s="5">
        <v>183400</v>
      </c>
      <c r="E38" s="7"/>
    </row>
    <row r="39" spans="1:5" ht="12.3" x14ac:dyDescent="0.4">
      <c r="A39" s="18">
        <v>44019</v>
      </c>
      <c r="B39" s="3" t="s">
        <v>1007</v>
      </c>
      <c r="C39" s="4" t="s">
        <v>9</v>
      </c>
      <c r="D39" s="5">
        <v>127174</v>
      </c>
      <c r="E39" s="7"/>
    </row>
    <row r="40" spans="1:5" ht="12.3" x14ac:dyDescent="0.4">
      <c r="A40" s="18">
        <v>44082</v>
      </c>
      <c r="B40" s="3" t="s">
        <v>19</v>
      </c>
      <c r="C40" s="4" t="s">
        <v>9</v>
      </c>
      <c r="D40" s="5">
        <v>133612</v>
      </c>
      <c r="E40" s="7"/>
    </row>
    <row r="41" spans="1:5" ht="12.3" x14ac:dyDescent="0.4">
      <c r="A41" s="18">
        <v>43872</v>
      </c>
      <c r="B41" s="3" t="s">
        <v>19</v>
      </c>
      <c r="C41" s="4" t="s">
        <v>7</v>
      </c>
      <c r="D41" s="5">
        <v>97103</v>
      </c>
      <c r="E41" s="7"/>
    </row>
    <row r="42" spans="1:5" ht="12.3" x14ac:dyDescent="0.4">
      <c r="A42" s="18">
        <v>43897</v>
      </c>
      <c r="B42" s="3" t="s">
        <v>1007</v>
      </c>
      <c r="C42" s="4" t="s">
        <v>7</v>
      </c>
      <c r="D42" s="5">
        <v>127253</v>
      </c>
      <c r="E42" s="7"/>
    </row>
    <row r="43" spans="1:5" ht="12.3" x14ac:dyDescent="0.4">
      <c r="A43" s="18">
        <v>44188</v>
      </c>
      <c r="B43" s="3" t="s">
        <v>1699</v>
      </c>
      <c r="C43" s="4" t="s">
        <v>5</v>
      </c>
      <c r="D43" s="5">
        <v>216253</v>
      </c>
      <c r="E43" s="7"/>
    </row>
    <row r="44" spans="1:5" ht="12.3" x14ac:dyDescent="0.4">
      <c r="A44" s="18">
        <v>43954</v>
      </c>
      <c r="B44" s="3" t="s">
        <v>1699</v>
      </c>
      <c r="C44" s="4" t="s">
        <v>5</v>
      </c>
      <c r="D44" s="5">
        <v>197349</v>
      </c>
      <c r="E44" s="7"/>
    </row>
    <row r="45" spans="1:5" ht="12.3" x14ac:dyDescent="0.4">
      <c r="A45" s="18">
        <v>44016</v>
      </c>
      <c r="B45" s="3" t="s">
        <v>1007</v>
      </c>
      <c r="C45" s="4" t="s">
        <v>5</v>
      </c>
      <c r="D45" s="5">
        <v>136765</v>
      </c>
      <c r="E45" s="7"/>
    </row>
    <row r="46" spans="1:5" ht="12.3" x14ac:dyDescent="0.4">
      <c r="A46" s="18">
        <v>43889</v>
      </c>
      <c r="B46" s="3" t="s">
        <v>19</v>
      </c>
      <c r="C46" s="4" t="s">
        <v>7</v>
      </c>
      <c r="D46" s="5">
        <v>107904</v>
      </c>
      <c r="E46" s="7"/>
    </row>
    <row r="47" spans="1:5" ht="12.3" x14ac:dyDescent="0.4">
      <c r="A47" s="18">
        <v>43861</v>
      </c>
      <c r="B47" s="3" t="s">
        <v>1007</v>
      </c>
      <c r="C47" s="4" t="s">
        <v>9</v>
      </c>
      <c r="D47" s="5">
        <v>128012</v>
      </c>
      <c r="E47" s="7"/>
    </row>
    <row r="48" spans="1:5" ht="12.3" x14ac:dyDescent="0.4">
      <c r="A48" s="18">
        <v>43924</v>
      </c>
      <c r="B48" s="3" t="s">
        <v>1699</v>
      </c>
      <c r="C48" s="4" t="s">
        <v>5</v>
      </c>
      <c r="D48" s="5">
        <v>155629</v>
      </c>
      <c r="E48" s="7"/>
    </row>
    <row r="49" spans="1:5" ht="12.3" x14ac:dyDescent="0.4">
      <c r="A49" s="18">
        <v>44168</v>
      </c>
      <c r="B49" s="3" t="s">
        <v>19</v>
      </c>
      <c r="C49" s="4" t="s">
        <v>7</v>
      </c>
      <c r="D49" s="5">
        <v>123389</v>
      </c>
      <c r="E49" s="7"/>
    </row>
    <row r="50" spans="1:5" ht="12.3" x14ac:dyDescent="0.4">
      <c r="A50" s="18">
        <v>44113</v>
      </c>
      <c r="B50" s="3" t="s">
        <v>1007</v>
      </c>
      <c r="C50" s="4" t="s">
        <v>9</v>
      </c>
      <c r="D50" s="5">
        <v>230828</v>
      </c>
      <c r="E50" s="7"/>
    </row>
    <row r="51" spans="1:5" ht="12.3" x14ac:dyDescent="0.4">
      <c r="A51" s="18">
        <v>44114</v>
      </c>
      <c r="B51" s="3" t="s">
        <v>19</v>
      </c>
      <c r="C51" s="4" t="s">
        <v>5</v>
      </c>
      <c r="D51" s="5">
        <v>241022</v>
      </c>
      <c r="E51" s="7"/>
    </row>
    <row r="52" spans="1:5" ht="12.3" x14ac:dyDescent="0.4">
      <c r="A52" s="18">
        <v>44114</v>
      </c>
      <c r="B52" s="3" t="s">
        <v>1980</v>
      </c>
      <c r="C52" s="4" t="s">
        <v>7</v>
      </c>
      <c r="D52" s="5">
        <v>122807</v>
      </c>
      <c r="E52" s="7"/>
    </row>
    <row r="53" spans="1:5" ht="12.3" x14ac:dyDescent="0.4">
      <c r="A53" s="18">
        <v>44023</v>
      </c>
      <c r="B53" s="3" t="s">
        <v>19</v>
      </c>
      <c r="C53" s="4" t="s">
        <v>5</v>
      </c>
      <c r="D53" s="5">
        <v>170028</v>
      </c>
      <c r="E53" s="7"/>
    </row>
    <row r="54" spans="1:5" ht="12.3" x14ac:dyDescent="0.4">
      <c r="A54" s="18">
        <v>43949</v>
      </c>
      <c r="B54" s="3" t="s">
        <v>1699</v>
      </c>
      <c r="C54" s="4" t="s">
        <v>9</v>
      </c>
      <c r="D54" s="5">
        <v>182993</v>
      </c>
      <c r="E54" s="7"/>
    </row>
    <row r="55" spans="1:5" ht="12.3" x14ac:dyDescent="0.4">
      <c r="A55" s="18">
        <v>43948</v>
      </c>
      <c r="B55" s="3" t="s">
        <v>1980</v>
      </c>
      <c r="C55" s="4" t="s">
        <v>5</v>
      </c>
      <c r="D55" s="5">
        <v>141561</v>
      </c>
      <c r="E55" s="7"/>
    </row>
    <row r="56" spans="1:5" ht="12.3" x14ac:dyDescent="0.4">
      <c r="A56" s="18">
        <v>43973</v>
      </c>
      <c r="B56" s="3" t="s">
        <v>19</v>
      </c>
      <c r="C56" s="4" t="s">
        <v>9</v>
      </c>
      <c r="D56" s="5">
        <v>189428</v>
      </c>
      <c r="E56" s="7"/>
    </row>
    <row r="57" spans="1:5" ht="12.3" x14ac:dyDescent="0.4">
      <c r="A57" s="18">
        <v>43936</v>
      </c>
      <c r="B57" s="3" t="s">
        <v>1699</v>
      </c>
      <c r="C57" s="4" t="s">
        <v>7</v>
      </c>
      <c r="D57" s="5">
        <v>140092</v>
      </c>
      <c r="E57" s="7"/>
    </row>
    <row r="58" spans="1:5" ht="12.3" x14ac:dyDescent="0.4">
      <c r="A58" s="18">
        <v>43902</v>
      </c>
      <c r="B58" s="3" t="s">
        <v>19</v>
      </c>
      <c r="C58" s="4" t="s">
        <v>7</v>
      </c>
      <c r="D58" s="5">
        <v>175601</v>
      </c>
      <c r="E58" s="7"/>
    </row>
    <row r="59" spans="1:5" ht="12.3" x14ac:dyDescent="0.4">
      <c r="A59" s="18">
        <v>44034</v>
      </c>
      <c r="B59" s="3" t="s">
        <v>19</v>
      </c>
      <c r="C59" s="4" t="s">
        <v>5</v>
      </c>
      <c r="D59" s="5">
        <v>224457</v>
      </c>
      <c r="E59" s="7"/>
    </row>
    <row r="60" spans="1:5" ht="12.3" x14ac:dyDescent="0.4">
      <c r="A60" s="18">
        <v>44106</v>
      </c>
      <c r="B60" s="3" t="s">
        <v>19</v>
      </c>
      <c r="C60" s="4" t="s">
        <v>9</v>
      </c>
      <c r="D60" s="5">
        <v>168989</v>
      </c>
      <c r="E60" s="7"/>
    </row>
    <row r="61" spans="1:5" ht="12.3" x14ac:dyDescent="0.4">
      <c r="A61" s="18">
        <v>43930</v>
      </c>
      <c r="B61" s="3" t="s">
        <v>1007</v>
      </c>
      <c r="C61" s="4" t="s">
        <v>5</v>
      </c>
      <c r="D61" s="5">
        <v>150586</v>
      </c>
      <c r="E61" s="7"/>
    </row>
    <row r="62" spans="1:5" ht="12.3" x14ac:dyDescent="0.4">
      <c r="A62" s="18">
        <v>43843</v>
      </c>
      <c r="B62" s="3" t="s">
        <v>1699</v>
      </c>
      <c r="C62" s="4" t="s">
        <v>5</v>
      </c>
      <c r="D62" s="5">
        <v>177882</v>
      </c>
      <c r="E62" s="7"/>
    </row>
    <row r="63" spans="1:5" ht="12.3" x14ac:dyDescent="0.4">
      <c r="A63" s="18">
        <v>43958</v>
      </c>
      <c r="B63" s="3" t="s">
        <v>1699</v>
      </c>
      <c r="C63" s="4" t="s">
        <v>7</v>
      </c>
      <c r="D63" s="5">
        <v>117361</v>
      </c>
      <c r="E63" s="7"/>
    </row>
    <row r="64" spans="1:5" ht="12.3" x14ac:dyDescent="0.4">
      <c r="A64" s="18">
        <v>44085</v>
      </c>
      <c r="B64" s="3" t="s">
        <v>1007</v>
      </c>
      <c r="C64" s="4" t="s">
        <v>9</v>
      </c>
      <c r="D64" s="5">
        <v>155026</v>
      </c>
      <c r="E64" s="7"/>
    </row>
    <row r="65" spans="1:5" ht="12.3" x14ac:dyDescent="0.4">
      <c r="A65" s="18">
        <v>43931</v>
      </c>
      <c r="B65" s="3" t="s">
        <v>1007</v>
      </c>
      <c r="C65" s="4" t="s">
        <v>9</v>
      </c>
      <c r="D65" s="5">
        <v>222962</v>
      </c>
      <c r="E65" s="7"/>
    </row>
    <row r="66" spans="1:5" ht="12.3" x14ac:dyDescent="0.4">
      <c r="A66" s="18">
        <v>43887</v>
      </c>
      <c r="B66" s="3" t="s">
        <v>1007</v>
      </c>
      <c r="C66" s="4" t="s">
        <v>7</v>
      </c>
      <c r="D66" s="5">
        <v>222606</v>
      </c>
      <c r="E66" s="7"/>
    </row>
    <row r="67" spans="1:5" ht="12.3" x14ac:dyDescent="0.4">
      <c r="A67" s="18">
        <v>44062</v>
      </c>
      <c r="B67" s="3" t="s">
        <v>1007</v>
      </c>
      <c r="C67" s="4" t="s">
        <v>7</v>
      </c>
      <c r="D67" s="5">
        <v>232566</v>
      </c>
      <c r="E67" s="7"/>
    </row>
    <row r="68" spans="1:5" ht="12.3" x14ac:dyDescent="0.4">
      <c r="A68" s="18">
        <v>44142</v>
      </c>
      <c r="B68" s="3" t="s">
        <v>1699</v>
      </c>
      <c r="C68" s="4" t="s">
        <v>9</v>
      </c>
      <c r="D68" s="5">
        <v>237567</v>
      </c>
      <c r="E68" s="7"/>
    </row>
    <row r="69" spans="1:5" ht="12.3" x14ac:dyDescent="0.4">
      <c r="A69" s="18">
        <v>43945</v>
      </c>
      <c r="B69" s="3" t="s">
        <v>1007</v>
      </c>
      <c r="C69" s="4" t="s">
        <v>5</v>
      </c>
      <c r="D69" s="5">
        <v>224761</v>
      </c>
      <c r="E69" s="7"/>
    </row>
    <row r="70" spans="1:5" ht="12.3" x14ac:dyDescent="0.4">
      <c r="A70" s="18">
        <v>43930</v>
      </c>
      <c r="B70" s="3" t="s">
        <v>1007</v>
      </c>
      <c r="C70" s="4" t="s">
        <v>5</v>
      </c>
      <c r="D70" s="5">
        <v>117135</v>
      </c>
      <c r="E70" s="7"/>
    </row>
    <row r="71" spans="1:5" ht="12.3" x14ac:dyDescent="0.4">
      <c r="A71" s="18">
        <v>44171</v>
      </c>
      <c r="B71" s="3" t="s">
        <v>19</v>
      </c>
      <c r="C71" s="4" t="s">
        <v>5</v>
      </c>
      <c r="D71" s="5">
        <v>127618</v>
      </c>
      <c r="E71" s="7"/>
    </row>
    <row r="72" spans="1:5" ht="12.3" x14ac:dyDescent="0.4">
      <c r="A72" s="18">
        <v>44054</v>
      </c>
      <c r="B72" s="3" t="s">
        <v>19</v>
      </c>
      <c r="C72" s="4" t="s">
        <v>9</v>
      </c>
      <c r="D72" s="5">
        <v>115479</v>
      </c>
      <c r="E72" s="7"/>
    </row>
    <row r="73" spans="1:5" ht="12.3" x14ac:dyDescent="0.4">
      <c r="A73" s="18">
        <v>44188</v>
      </c>
      <c r="B73" s="3" t="s">
        <v>1007</v>
      </c>
      <c r="C73" s="4" t="s">
        <v>9</v>
      </c>
      <c r="D73" s="5">
        <v>121956</v>
      </c>
      <c r="E73" s="7"/>
    </row>
    <row r="74" spans="1:5" ht="12.3" x14ac:dyDescent="0.4">
      <c r="A74" s="18">
        <v>44169</v>
      </c>
      <c r="B74" s="3" t="s">
        <v>1699</v>
      </c>
      <c r="C74" s="4" t="s">
        <v>7</v>
      </c>
      <c r="D74" s="5">
        <v>181315</v>
      </c>
      <c r="E74" s="7"/>
    </row>
    <row r="75" spans="1:5" ht="12.3" x14ac:dyDescent="0.4">
      <c r="A75" s="18">
        <v>44123</v>
      </c>
      <c r="B75" s="3" t="s">
        <v>1699</v>
      </c>
      <c r="C75" s="4" t="s">
        <v>5</v>
      </c>
      <c r="D75" s="5">
        <v>120531</v>
      </c>
      <c r="E75" s="7"/>
    </row>
    <row r="76" spans="1:5" ht="12.3" x14ac:dyDescent="0.4">
      <c r="A76" s="18">
        <v>43881</v>
      </c>
      <c r="B76" s="3" t="s">
        <v>1007</v>
      </c>
      <c r="C76" s="4" t="s">
        <v>9</v>
      </c>
      <c r="D76" s="5">
        <v>100201</v>
      </c>
      <c r="E76" s="7"/>
    </row>
    <row r="77" spans="1:5" ht="12.3" x14ac:dyDescent="0.4">
      <c r="A77" s="18">
        <v>43976</v>
      </c>
      <c r="B77" s="3" t="s">
        <v>19</v>
      </c>
      <c r="C77" s="4" t="s">
        <v>7</v>
      </c>
      <c r="D77" s="5">
        <v>227830</v>
      </c>
      <c r="E77" s="7"/>
    </row>
    <row r="78" spans="1:5" ht="12.3" x14ac:dyDescent="0.4">
      <c r="A78" s="18">
        <v>44076</v>
      </c>
      <c r="B78" s="3" t="s">
        <v>1007</v>
      </c>
      <c r="C78" s="4" t="s">
        <v>5</v>
      </c>
      <c r="D78" s="5">
        <v>207341</v>
      </c>
      <c r="E78" s="7"/>
    </row>
    <row r="79" spans="1:5" ht="12.3" x14ac:dyDescent="0.4">
      <c r="A79" s="18">
        <v>43894</v>
      </c>
      <c r="B79" s="3" t="s">
        <v>1007</v>
      </c>
      <c r="C79" s="4" t="s">
        <v>9</v>
      </c>
      <c r="D79" s="5">
        <v>193777</v>
      </c>
      <c r="E79" s="7"/>
    </row>
    <row r="80" spans="1:5" ht="12.3" x14ac:dyDescent="0.4">
      <c r="A80" s="18">
        <v>43964</v>
      </c>
      <c r="B80" s="3" t="s">
        <v>1007</v>
      </c>
      <c r="C80" s="4" t="s">
        <v>5</v>
      </c>
      <c r="D80" s="5">
        <v>223379</v>
      </c>
      <c r="E80" s="7"/>
    </row>
    <row r="81" spans="1:5" ht="12.3" x14ac:dyDescent="0.4">
      <c r="A81" s="18">
        <v>44052</v>
      </c>
      <c r="B81" s="3" t="s">
        <v>1699</v>
      </c>
      <c r="C81" s="4" t="s">
        <v>9</v>
      </c>
      <c r="D81" s="5">
        <v>95342</v>
      </c>
      <c r="E81" s="7"/>
    </row>
    <row r="82" spans="1:5" ht="12.3" x14ac:dyDescent="0.4">
      <c r="A82" s="18">
        <v>44060</v>
      </c>
      <c r="B82" s="3" t="s">
        <v>1007</v>
      </c>
      <c r="C82" s="4" t="s">
        <v>7</v>
      </c>
      <c r="D82" s="5">
        <v>154817</v>
      </c>
      <c r="E82" s="7"/>
    </row>
    <row r="83" spans="1:5" ht="12.3" x14ac:dyDescent="0.4">
      <c r="A83" s="18">
        <v>43867</v>
      </c>
      <c r="B83" s="3" t="s">
        <v>1007</v>
      </c>
      <c r="C83" s="4" t="s">
        <v>5</v>
      </c>
      <c r="D83" s="5">
        <v>148996</v>
      </c>
      <c r="E83" s="7"/>
    </row>
    <row r="84" spans="1:5" ht="12.3" x14ac:dyDescent="0.4">
      <c r="A84" s="18">
        <v>44115</v>
      </c>
      <c r="B84" s="3" t="s">
        <v>19</v>
      </c>
      <c r="C84" s="4" t="s">
        <v>9</v>
      </c>
      <c r="D84" s="5">
        <v>195075</v>
      </c>
      <c r="E84" s="7"/>
    </row>
    <row r="85" spans="1:5" ht="12.3" x14ac:dyDescent="0.4">
      <c r="A85" s="18">
        <v>43928</v>
      </c>
      <c r="B85" s="3" t="s">
        <v>19</v>
      </c>
      <c r="C85" s="4" t="s">
        <v>5</v>
      </c>
      <c r="D85" s="5">
        <v>105137</v>
      </c>
      <c r="E85" s="7"/>
    </row>
    <row r="86" spans="1:5" ht="12.3" x14ac:dyDescent="0.4">
      <c r="A86" s="18">
        <v>44031</v>
      </c>
      <c r="B86" s="3" t="s">
        <v>1007</v>
      </c>
      <c r="C86" s="4" t="s">
        <v>9</v>
      </c>
      <c r="D86" s="5">
        <v>107917</v>
      </c>
      <c r="E86" s="7"/>
    </row>
    <row r="87" spans="1:5" ht="12.3" x14ac:dyDescent="0.4">
      <c r="A87" s="18">
        <v>43978</v>
      </c>
      <c r="B87" s="3" t="s">
        <v>1699</v>
      </c>
      <c r="C87" s="4" t="s">
        <v>5</v>
      </c>
      <c r="D87" s="5">
        <v>162402</v>
      </c>
      <c r="E87" s="7"/>
    </row>
    <row r="88" spans="1:5" ht="12.3" x14ac:dyDescent="0.4">
      <c r="A88" s="18">
        <v>44004</v>
      </c>
      <c r="B88" s="3" t="s">
        <v>1699</v>
      </c>
      <c r="C88" s="4" t="s">
        <v>5</v>
      </c>
      <c r="D88" s="5">
        <v>185572</v>
      </c>
      <c r="E88" s="7"/>
    </row>
    <row r="89" spans="1:5" ht="12.3" x14ac:dyDescent="0.4">
      <c r="A89" s="18">
        <v>44067</v>
      </c>
      <c r="B89" s="3" t="s">
        <v>1007</v>
      </c>
      <c r="C89" s="4" t="s">
        <v>7</v>
      </c>
      <c r="D89" s="5">
        <v>110610</v>
      </c>
      <c r="E89" s="7"/>
    </row>
    <row r="90" spans="1:5" ht="12.3" x14ac:dyDescent="0.4">
      <c r="A90" s="18">
        <v>44170</v>
      </c>
      <c r="B90" s="3" t="s">
        <v>1007</v>
      </c>
      <c r="C90" s="4" t="s">
        <v>5</v>
      </c>
      <c r="D90" s="5">
        <v>152103</v>
      </c>
      <c r="E90" s="7"/>
    </row>
    <row r="91" spans="1:5" ht="12.3" x14ac:dyDescent="0.4">
      <c r="A91" s="18">
        <v>43979</v>
      </c>
      <c r="B91" s="3" t="s">
        <v>1007</v>
      </c>
      <c r="C91" s="4" t="s">
        <v>5</v>
      </c>
      <c r="D91" s="5">
        <v>229104</v>
      </c>
      <c r="E91" s="7"/>
    </row>
    <row r="92" spans="1:5" ht="12.3" x14ac:dyDescent="0.4">
      <c r="A92" s="18">
        <v>43969</v>
      </c>
      <c r="B92" s="3" t="s">
        <v>19</v>
      </c>
      <c r="C92" s="4" t="s">
        <v>7</v>
      </c>
      <c r="D92" s="5">
        <v>109096</v>
      </c>
      <c r="E92" s="7"/>
    </row>
    <row r="93" spans="1:5" ht="12.3" x14ac:dyDescent="0.4">
      <c r="A93" s="18">
        <v>44140</v>
      </c>
      <c r="B93" s="3" t="s">
        <v>1980</v>
      </c>
      <c r="C93" s="4" t="s">
        <v>5</v>
      </c>
      <c r="D93" s="5">
        <v>181066</v>
      </c>
      <c r="E9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7B1A-24B7-4244-89BD-706D9D8225D3}">
  <dimension ref="A1:I2979"/>
  <sheetViews>
    <sheetView zoomScale="115" zoomScaleNormal="115" workbookViewId="0">
      <pane ySplit="1" topLeftCell="A2" activePane="bottomLeft" state="frozen"/>
      <selection pane="bottomLeft" activeCell="H11" sqref="H11"/>
    </sheetView>
  </sheetViews>
  <sheetFormatPr defaultRowHeight="12.3" x14ac:dyDescent="0.4"/>
  <cols>
    <col min="1" max="1" width="44" customWidth="1"/>
    <col min="2" max="2" width="15.1640625" bestFit="1" customWidth="1"/>
    <col min="3" max="3" width="16.44140625" bestFit="1" customWidth="1"/>
    <col min="4" max="4" width="12.44140625" bestFit="1" customWidth="1"/>
    <col min="5" max="5" width="17.71875" bestFit="1" customWidth="1"/>
    <col min="8" max="8" width="31.71875" bestFit="1" customWidth="1"/>
  </cols>
  <sheetData>
    <row r="1" spans="1:9" x14ac:dyDescent="0.4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</row>
    <row r="2" spans="1:9" x14ac:dyDescent="0.4">
      <c r="A2" s="13" t="s">
        <v>687</v>
      </c>
      <c r="B2" s="13" t="s">
        <v>26</v>
      </c>
      <c r="C2" s="13" t="s">
        <v>44</v>
      </c>
      <c r="D2" s="14">
        <v>1</v>
      </c>
      <c r="E2" s="15">
        <v>0</v>
      </c>
    </row>
    <row r="3" spans="1:9" x14ac:dyDescent="0.4">
      <c r="A3" s="13" t="s">
        <v>838</v>
      </c>
      <c r="B3" s="13" t="s">
        <v>24</v>
      </c>
      <c r="C3" s="13" t="s">
        <v>39</v>
      </c>
      <c r="D3" s="14">
        <v>2</v>
      </c>
      <c r="E3" s="15">
        <v>0</v>
      </c>
    </row>
    <row r="4" spans="1:9" x14ac:dyDescent="0.4">
      <c r="A4" s="13" t="s">
        <v>1945</v>
      </c>
      <c r="B4" s="13" t="s">
        <v>26</v>
      </c>
      <c r="C4" s="13" t="s">
        <v>39</v>
      </c>
      <c r="D4" s="14">
        <v>2</v>
      </c>
      <c r="E4" s="15">
        <v>4</v>
      </c>
    </row>
    <row r="5" spans="1:9" x14ac:dyDescent="0.4">
      <c r="A5" s="13" t="s">
        <v>400</v>
      </c>
      <c r="B5" s="13" t="s">
        <v>24</v>
      </c>
      <c r="C5" s="13" t="s">
        <v>5</v>
      </c>
      <c r="D5" s="14">
        <v>3</v>
      </c>
      <c r="E5" s="15">
        <v>0</v>
      </c>
      <c r="H5" s="20" t="s">
        <v>1984</v>
      </c>
      <c r="I5" s="10">
        <f>SUMIFS(D:D,B:B,B9,A:A,"*Монитор*")</f>
        <v>33913</v>
      </c>
    </row>
    <row r="6" spans="1:9" x14ac:dyDescent="0.4">
      <c r="A6" s="13" t="s">
        <v>1111</v>
      </c>
      <c r="B6" s="13" t="s">
        <v>26</v>
      </c>
      <c r="C6" s="13" t="s">
        <v>39</v>
      </c>
      <c r="D6" s="14">
        <v>3</v>
      </c>
      <c r="E6" s="15">
        <v>5</v>
      </c>
      <c r="H6" s="20" t="s">
        <v>1987</v>
      </c>
      <c r="I6" s="10">
        <f>SUMIFS(D:D,C:C,C2,A:A,"*Asus*")</f>
        <v>22902</v>
      </c>
    </row>
    <row r="7" spans="1:9" x14ac:dyDescent="0.4">
      <c r="A7" s="13" t="s">
        <v>1245</v>
      </c>
      <c r="B7" s="13" t="s">
        <v>26</v>
      </c>
      <c r="C7" s="13" t="s">
        <v>27</v>
      </c>
      <c r="D7" s="14">
        <v>3</v>
      </c>
      <c r="E7" s="15">
        <v>13</v>
      </c>
      <c r="H7" s="20" t="s">
        <v>1986</v>
      </c>
      <c r="I7" s="10">
        <f>COUNTIF(A:A,"HP ??-da*")</f>
        <v>87</v>
      </c>
    </row>
    <row r="8" spans="1:9" x14ac:dyDescent="0.4">
      <c r="A8" s="13" t="s">
        <v>1607</v>
      </c>
      <c r="B8" s="13" t="s">
        <v>24</v>
      </c>
      <c r="C8" s="13" t="s">
        <v>27</v>
      </c>
      <c r="D8" s="14">
        <v>3</v>
      </c>
      <c r="E8" s="15">
        <v>2</v>
      </c>
    </row>
    <row r="9" spans="1:9" x14ac:dyDescent="0.4">
      <c r="A9" s="13" t="s">
        <v>1290</v>
      </c>
      <c r="B9" s="13" t="s">
        <v>20</v>
      </c>
      <c r="C9" s="13" t="s">
        <v>25</v>
      </c>
      <c r="D9" s="14">
        <v>4</v>
      </c>
      <c r="E9" s="15">
        <v>13</v>
      </c>
    </row>
    <row r="10" spans="1:9" x14ac:dyDescent="0.4">
      <c r="A10" s="13" t="s">
        <v>1692</v>
      </c>
      <c r="B10" s="13" t="s">
        <v>24</v>
      </c>
      <c r="C10" s="13" t="s">
        <v>44</v>
      </c>
      <c r="D10" s="14">
        <v>4</v>
      </c>
      <c r="E10" s="15">
        <v>2</v>
      </c>
    </row>
    <row r="11" spans="1:9" x14ac:dyDescent="0.4">
      <c r="A11" s="13" t="s">
        <v>980</v>
      </c>
      <c r="B11" s="13" t="s">
        <v>24</v>
      </c>
      <c r="C11" s="13" t="s">
        <v>27</v>
      </c>
      <c r="D11" s="14">
        <v>5</v>
      </c>
      <c r="E11" s="15">
        <v>1</v>
      </c>
    </row>
    <row r="12" spans="1:9" x14ac:dyDescent="0.4">
      <c r="A12" s="13" t="s">
        <v>330</v>
      </c>
      <c r="B12" s="13" t="s">
        <v>26</v>
      </c>
      <c r="C12" s="13" t="s">
        <v>44</v>
      </c>
      <c r="D12" s="14">
        <v>6</v>
      </c>
      <c r="E12" s="15">
        <v>0</v>
      </c>
    </row>
    <row r="13" spans="1:9" x14ac:dyDescent="0.4">
      <c r="A13" s="13" t="s">
        <v>429</v>
      </c>
      <c r="B13" s="13" t="s">
        <v>26</v>
      </c>
      <c r="C13" s="13" t="s">
        <v>62</v>
      </c>
      <c r="D13" s="14">
        <v>6</v>
      </c>
      <c r="E13" s="15">
        <v>11</v>
      </c>
    </row>
    <row r="14" spans="1:9" x14ac:dyDescent="0.4">
      <c r="A14" s="13" t="s">
        <v>677</v>
      </c>
      <c r="B14" s="13" t="s">
        <v>26</v>
      </c>
      <c r="C14" s="13" t="s">
        <v>40</v>
      </c>
      <c r="D14" s="14">
        <v>6</v>
      </c>
      <c r="E14" s="15">
        <v>7</v>
      </c>
    </row>
    <row r="15" spans="1:9" x14ac:dyDescent="0.4">
      <c r="A15" s="13" t="s">
        <v>1611</v>
      </c>
      <c r="B15" s="13" t="s">
        <v>26</v>
      </c>
      <c r="C15" s="13" t="s">
        <v>32</v>
      </c>
      <c r="D15" s="14">
        <v>6</v>
      </c>
      <c r="E15" s="15">
        <v>0</v>
      </c>
    </row>
    <row r="16" spans="1:9" x14ac:dyDescent="0.4">
      <c r="A16" s="13" t="s">
        <v>825</v>
      </c>
      <c r="B16" s="13" t="s">
        <v>26</v>
      </c>
      <c r="C16" s="13" t="s">
        <v>33</v>
      </c>
      <c r="D16" s="14">
        <v>7</v>
      </c>
      <c r="E16" s="15">
        <v>3</v>
      </c>
    </row>
    <row r="17" spans="1:5" x14ac:dyDescent="0.4">
      <c r="A17" s="13" t="s">
        <v>1018</v>
      </c>
      <c r="B17" s="13" t="s">
        <v>20</v>
      </c>
      <c r="C17" s="13" t="s">
        <v>30</v>
      </c>
      <c r="D17" s="14">
        <v>7</v>
      </c>
      <c r="E17" s="15">
        <v>2</v>
      </c>
    </row>
    <row r="18" spans="1:5" x14ac:dyDescent="0.4">
      <c r="A18" s="13" t="s">
        <v>1149</v>
      </c>
      <c r="B18" s="13" t="s">
        <v>24</v>
      </c>
      <c r="C18" s="13" t="s">
        <v>39</v>
      </c>
      <c r="D18" s="14">
        <v>7</v>
      </c>
      <c r="E18" s="15">
        <v>14</v>
      </c>
    </row>
    <row r="19" spans="1:5" x14ac:dyDescent="0.4">
      <c r="A19" s="13" t="s">
        <v>1417</v>
      </c>
      <c r="B19" s="13" t="s">
        <v>24</v>
      </c>
      <c r="C19" s="13" t="s">
        <v>62</v>
      </c>
      <c r="D19" s="14">
        <v>7</v>
      </c>
      <c r="E19" s="15">
        <v>3</v>
      </c>
    </row>
    <row r="20" spans="1:5" x14ac:dyDescent="0.4">
      <c r="A20" s="13" t="s">
        <v>86</v>
      </c>
      <c r="B20" s="13" t="s">
        <v>26</v>
      </c>
      <c r="C20" s="13" t="s">
        <v>32</v>
      </c>
      <c r="D20" s="14">
        <v>8</v>
      </c>
      <c r="E20" s="15">
        <v>3</v>
      </c>
    </row>
    <row r="21" spans="1:5" x14ac:dyDescent="0.4">
      <c r="A21" s="13" t="s">
        <v>139</v>
      </c>
      <c r="B21" s="13" t="s">
        <v>20</v>
      </c>
      <c r="C21" s="13" t="s">
        <v>34</v>
      </c>
      <c r="D21" s="14">
        <v>8</v>
      </c>
      <c r="E21" s="15">
        <v>0</v>
      </c>
    </row>
    <row r="22" spans="1:5" x14ac:dyDescent="0.4">
      <c r="A22" s="13" t="s">
        <v>423</v>
      </c>
      <c r="B22" s="13" t="s">
        <v>20</v>
      </c>
      <c r="C22" s="13" t="s">
        <v>27</v>
      </c>
      <c r="D22" s="14">
        <v>8</v>
      </c>
      <c r="E22" s="15">
        <v>7</v>
      </c>
    </row>
    <row r="23" spans="1:5" x14ac:dyDescent="0.4">
      <c r="A23" s="13" t="s">
        <v>1388</v>
      </c>
      <c r="B23" s="13" t="s">
        <v>26</v>
      </c>
      <c r="C23" s="13" t="s">
        <v>32</v>
      </c>
      <c r="D23" s="14">
        <v>8</v>
      </c>
      <c r="E23" s="15">
        <v>0</v>
      </c>
    </row>
    <row r="24" spans="1:5" x14ac:dyDescent="0.4">
      <c r="A24" s="13" t="s">
        <v>971</v>
      </c>
      <c r="B24" s="13" t="s">
        <v>24</v>
      </c>
      <c r="C24" s="13" t="s">
        <v>40</v>
      </c>
      <c r="D24" s="14">
        <v>9</v>
      </c>
      <c r="E24" s="15">
        <v>2</v>
      </c>
    </row>
    <row r="25" spans="1:5" x14ac:dyDescent="0.4">
      <c r="A25" s="13" t="s">
        <v>1027</v>
      </c>
      <c r="B25" s="13" t="s">
        <v>24</v>
      </c>
      <c r="C25" s="13" t="s">
        <v>30</v>
      </c>
      <c r="D25" s="14">
        <v>9</v>
      </c>
      <c r="E25" s="15">
        <v>0</v>
      </c>
    </row>
    <row r="26" spans="1:5" x14ac:dyDescent="0.4">
      <c r="A26" s="13" t="s">
        <v>1463</v>
      </c>
      <c r="B26" s="13" t="s">
        <v>20</v>
      </c>
      <c r="C26" s="13" t="s">
        <v>25</v>
      </c>
      <c r="D26" s="14">
        <v>9</v>
      </c>
      <c r="E26" s="15">
        <v>7</v>
      </c>
    </row>
    <row r="27" spans="1:5" x14ac:dyDescent="0.4">
      <c r="A27" s="13" t="s">
        <v>254</v>
      </c>
      <c r="B27" s="13" t="s">
        <v>20</v>
      </c>
      <c r="C27" s="13" t="s">
        <v>27</v>
      </c>
      <c r="D27" s="14">
        <v>10</v>
      </c>
      <c r="E27" s="15">
        <v>0</v>
      </c>
    </row>
    <row r="28" spans="1:5" x14ac:dyDescent="0.4">
      <c r="A28" s="13" t="s">
        <v>824</v>
      </c>
      <c r="B28" s="13" t="s">
        <v>20</v>
      </c>
      <c r="C28" s="13" t="s">
        <v>40</v>
      </c>
      <c r="D28" s="14">
        <v>10</v>
      </c>
      <c r="E28" s="15">
        <v>3</v>
      </c>
    </row>
    <row r="29" spans="1:5" x14ac:dyDescent="0.4">
      <c r="A29" s="13" t="s">
        <v>874</v>
      </c>
      <c r="B29" s="13" t="s">
        <v>26</v>
      </c>
      <c r="C29" s="13" t="s">
        <v>39</v>
      </c>
      <c r="D29" s="14">
        <v>10</v>
      </c>
      <c r="E29" s="15">
        <v>2</v>
      </c>
    </row>
    <row r="30" spans="1:5" x14ac:dyDescent="0.4">
      <c r="A30" s="13" t="s">
        <v>1417</v>
      </c>
      <c r="B30" s="13" t="s">
        <v>26</v>
      </c>
      <c r="C30" s="13" t="s">
        <v>28</v>
      </c>
      <c r="D30" s="14">
        <v>10</v>
      </c>
      <c r="E30" s="15">
        <v>0</v>
      </c>
    </row>
    <row r="31" spans="1:5" x14ac:dyDescent="0.4">
      <c r="A31" s="13" t="s">
        <v>1742</v>
      </c>
      <c r="B31" s="13" t="s">
        <v>20</v>
      </c>
      <c r="C31" s="13" t="s">
        <v>44</v>
      </c>
      <c r="D31" s="14">
        <v>10</v>
      </c>
      <c r="E31" s="15">
        <v>0</v>
      </c>
    </row>
    <row r="32" spans="1:5" x14ac:dyDescent="0.4">
      <c r="A32" s="13" t="s">
        <v>102</v>
      </c>
      <c r="B32" s="13" t="s">
        <v>20</v>
      </c>
      <c r="C32" s="13" t="s">
        <v>33</v>
      </c>
      <c r="D32" s="14">
        <v>11</v>
      </c>
      <c r="E32" s="15">
        <v>3</v>
      </c>
    </row>
    <row r="33" spans="1:5" x14ac:dyDescent="0.4">
      <c r="A33" s="13" t="s">
        <v>556</v>
      </c>
      <c r="B33" s="13" t="s">
        <v>24</v>
      </c>
      <c r="C33" s="13" t="s">
        <v>27</v>
      </c>
      <c r="D33" s="14">
        <v>11</v>
      </c>
      <c r="E33" s="15">
        <v>0</v>
      </c>
    </row>
    <row r="34" spans="1:5" x14ac:dyDescent="0.4">
      <c r="A34" s="13" t="s">
        <v>954</v>
      </c>
      <c r="B34" s="13" t="s">
        <v>24</v>
      </c>
      <c r="C34" s="13" t="s">
        <v>44</v>
      </c>
      <c r="D34" s="14">
        <v>11</v>
      </c>
      <c r="E34" s="15">
        <v>6</v>
      </c>
    </row>
    <row r="35" spans="1:5" x14ac:dyDescent="0.4">
      <c r="A35" s="13" t="s">
        <v>960</v>
      </c>
      <c r="B35" s="13" t="s">
        <v>26</v>
      </c>
      <c r="C35" s="13" t="s">
        <v>28</v>
      </c>
      <c r="D35" s="14">
        <v>11</v>
      </c>
      <c r="E35" s="15">
        <v>1</v>
      </c>
    </row>
    <row r="36" spans="1:5" x14ac:dyDescent="0.4">
      <c r="A36" s="13" t="s">
        <v>1510</v>
      </c>
      <c r="B36" s="13" t="s">
        <v>20</v>
      </c>
      <c r="C36" s="13" t="s">
        <v>39</v>
      </c>
      <c r="D36" s="14">
        <v>11</v>
      </c>
      <c r="E36" s="15">
        <v>2</v>
      </c>
    </row>
    <row r="37" spans="1:5" x14ac:dyDescent="0.4">
      <c r="A37" s="13" t="s">
        <v>1536</v>
      </c>
      <c r="B37" s="13" t="s">
        <v>24</v>
      </c>
      <c r="C37" s="13" t="s">
        <v>39</v>
      </c>
      <c r="D37" s="14">
        <v>11</v>
      </c>
      <c r="E37" s="15">
        <v>10</v>
      </c>
    </row>
    <row r="38" spans="1:5" x14ac:dyDescent="0.4">
      <c r="A38" s="13" t="s">
        <v>1605</v>
      </c>
      <c r="B38" s="13" t="s">
        <v>24</v>
      </c>
      <c r="C38" s="13" t="s">
        <v>44</v>
      </c>
      <c r="D38" s="14">
        <v>11</v>
      </c>
      <c r="E38" s="15">
        <v>2</v>
      </c>
    </row>
    <row r="39" spans="1:5" x14ac:dyDescent="0.4">
      <c r="A39" s="13" t="s">
        <v>168</v>
      </c>
      <c r="B39" s="13" t="s">
        <v>20</v>
      </c>
      <c r="C39" s="13" t="s">
        <v>39</v>
      </c>
      <c r="D39" s="14">
        <v>13</v>
      </c>
      <c r="E39" s="15">
        <v>4</v>
      </c>
    </row>
    <row r="40" spans="1:5" x14ac:dyDescent="0.4">
      <c r="A40" s="13" t="s">
        <v>705</v>
      </c>
      <c r="B40" s="13" t="s">
        <v>26</v>
      </c>
      <c r="C40" s="13" t="s">
        <v>22</v>
      </c>
      <c r="D40" s="14">
        <v>13</v>
      </c>
      <c r="E40" s="15">
        <v>6</v>
      </c>
    </row>
    <row r="41" spans="1:5" x14ac:dyDescent="0.4">
      <c r="A41" s="13" t="s">
        <v>1227</v>
      </c>
      <c r="B41" s="13" t="s">
        <v>26</v>
      </c>
      <c r="C41" s="13" t="s">
        <v>43</v>
      </c>
      <c r="D41" s="14">
        <v>13</v>
      </c>
      <c r="E41" s="15">
        <v>2</v>
      </c>
    </row>
    <row r="42" spans="1:5" x14ac:dyDescent="0.4">
      <c r="A42" s="13" t="s">
        <v>205</v>
      </c>
      <c r="B42" s="13" t="s">
        <v>26</v>
      </c>
      <c r="C42" s="13" t="s">
        <v>5</v>
      </c>
      <c r="D42" s="14">
        <v>14</v>
      </c>
      <c r="E42" s="15">
        <v>1</v>
      </c>
    </row>
    <row r="43" spans="1:5" x14ac:dyDescent="0.4">
      <c r="A43" s="22" t="s">
        <v>752</v>
      </c>
      <c r="B43" s="13" t="s">
        <v>26</v>
      </c>
      <c r="C43" s="13" t="s">
        <v>39</v>
      </c>
      <c r="D43" s="14">
        <v>14</v>
      </c>
      <c r="E43" s="15">
        <v>0</v>
      </c>
    </row>
    <row r="44" spans="1:5" x14ac:dyDescent="0.4">
      <c r="A44" s="22" t="s">
        <v>1985</v>
      </c>
      <c r="B44" s="13" t="s">
        <v>24</v>
      </c>
      <c r="C44" s="13" t="s">
        <v>40</v>
      </c>
      <c r="D44" s="14">
        <v>14</v>
      </c>
      <c r="E44" s="15">
        <v>4</v>
      </c>
    </row>
    <row r="45" spans="1:5" x14ac:dyDescent="0.4">
      <c r="A45" s="13" t="s">
        <v>1499</v>
      </c>
      <c r="B45" s="13" t="s">
        <v>20</v>
      </c>
      <c r="C45" s="13" t="s">
        <v>28</v>
      </c>
      <c r="D45" s="14">
        <v>14</v>
      </c>
      <c r="E45" s="15">
        <v>1</v>
      </c>
    </row>
    <row r="46" spans="1:5" x14ac:dyDescent="0.4">
      <c r="A46" s="13" t="s">
        <v>1925</v>
      </c>
      <c r="B46" s="13" t="s">
        <v>26</v>
      </c>
      <c r="C46" s="13" t="s">
        <v>22</v>
      </c>
      <c r="D46" s="14">
        <v>14</v>
      </c>
      <c r="E46" s="15">
        <v>2</v>
      </c>
    </row>
    <row r="47" spans="1:5" x14ac:dyDescent="0.4">
      <c r="A47" s="13" t="s">
        <v>620</v>
      </c>
      <c r="B47" s="13" t="s">
        <v>20</v>
      </c>
      <c r="C47" s="13" t="s">
        <v>44</v>
      </c>
      <c r="D47" s="14">
        <v>15</v>
      </c>
      <c r="E47" s="15">
        <v>0</v>
      </c>
    </row>
    <row r="48" spans="1:5" x14ac:dyDescent="0.4">
      <c r="A48" s="13" t="s">
        <v>783</v>
      </c>
      <c r="B48" s="13" t="s">
        <v>24</v>
      </c>
      <c r="C48" s="13" t="s">
        <v>66</v>
      </c>
      <c r="D48" s="14">
        <v>15</v>
      </c>
      <c r="E48" s="15">
        <v>1</v>
      </c>
    </row>
    <row r="49" spans="1:5" x14ac:dyDescent="0.4">
      <c r="A49" s="13" t="s">
        <v>931</v>
      </c>
      <c r="B49" s="13" t="s">
        <v>26</v>
      </c>
      <c r="C49" s="13" t="s">
        <v>5</v>
      </c>
      <c r="D49" s="14">
        <v>15</v>
      </c>
      <c r="E49" s="15">
        <v>2</v>
      </c>
    </row>
    <row r="50" spans="1:5" x14ac:dyDescent="0.4">
      <c r="A50" s="13" t="s">
        <v>1242</v>
      </c>
      <c r="B50" s="13" t="s">
        <v>24</v>
      </c>
      <c r="C50" s="13" t="s">
        <v>27</v>
      </c>
      <c r="D50" s="14">
        <v>16</v>
      </c>
      <c r="E50" s="15">
        <v>4</v>
      </c>
    </row>
    <row r="51" spans="1:5" x14ac:dyDescent="0.4">
      <c r="A51" s="13" t="s">
        <v>1292</v>
      </c>
      <c r="B51" s="13" t="s">
        <v>24</v>
      </c>
      <c r="C51" s="13" t="s">
        <v>33</v>
      </c>
      <c r="D51" s="14">
        <v>16</v>
      </c>
      <c r="E51" s="15">
        <v>1</v>
      </c>
    </row>
    <row r="52" spans="1:5" x14ac:dyDescent="0.4">
      <c r="A52" s="13" t="s">
        <v>1434</v>
      </c>
      <c r="B52" s="13" t="s">
        <v>24</v>
      </c>
      <c r="C52" s="13" t="s">
        <v>53</v>
      </c>
      <c r="D52" s="14">
        <v>16</v>
      </c>
      <c r="E52" s="15">
        <v>0</v>
      </c>
    </row>
    <row r="53" spans="1:5" x14ac:dyDescent="0.4">
      <c r="A53" s="13" t="s">
        <v>49</v>
      </c>
      <c r="B53" s="13" t="s">
        <v>20</v>
      </c>
      <c r="C53" s="13" t="s">
        <v>34</v>
      </c>
      <c r="D53" s="14">
        <v>17</v>
      </c>
      <c r="E53" s="15">
        <v>0</v>
      </c>
    </row>
    <row r="54" spans="1:5" x14ac:dyDescent="0.4">
      <c r="A54" s="13" t="s">
        <v>995</v>
      </c>
      <c r="B54" s="13" t="s">
        <v>20</v>
      </c>
      <c r="C54" s="13" t="s">
        <v>44</v>
      </c>
      <c r="D54" s="14">
        <v>17</v>
      </c>
      <c r="E54" s="15">
        <v>2</v>
      </c>
    </row>
    <row r="55" spans="1:5" x14ac:dyDescent="0.4">
      <c r="A55" s="13" t="s">
        <v>164</v>
      </c>
      <c r="B55" s="13" t="s">
        <v>26</v>
      </c>
      <c r="C55" s="13" t="s">
        <v>111</v>
      </c>
      <c r="D55" s="14">
        <v>19</v>
      </c>
      <c r="E55" s="15">
        <v>0</v>
      </c>
    </row>
    <row r="56" spans="1:5" x14ac:dyDescent="0.4">
      <c r="A56" s="13" t="s">
        <v>603</v>
      </c>
      <c r="B56" s="13" t="s">
        <v>20</v>
      </c>
      <c r="C56" s="13" t="s">
        <v>30</v>
      </c>
      <c r="D56" s="14">
        <v>19</v>
      </c>
      <c r="E56" s="15">
        <v>6</v>
      </c>
    </row>
    <row r="57" spans="1:5" x14ac:dyDescent="0.4">
      <c r="A57" s="13" t="s">
        <v>962</v>
      </c>
      <c r="B57" s="13" t="s">
        <v>20</v>
      </c>
      <c r="C57" s="13" t="s">
        <v>5</v>
      </c>
      <c r="D57" s="14">
        <v>19</v>
      </c>
      <c r="E57" s="15">
        <v>5</v>
      </c>
    </row>
    <row r="58" spans="1:5" x14ac:dyDescent="0.4">
      <c r="A58" s="13" t="s">
        <v>1323</v>
      </c>
      <c r="B58" s="13" t="s">
        <v>26</v>
      </c>
      <c r="C58" s="13" t="s">
        <v>25</v>
      </c>
      <c r="D58" s="14">
        <v>19</v>
      </c>
      <c r="E58" s="15">
        <v>0</v>
      </c>
    </row>
    <row r="59" spans="1:5" x14ac:dyDescent="0.4">
      <c r="A59" s="13" t="s">
        <v>1670</v>
      </c>
      <c r="B59" s="13" t="s">
        <v>24</v>
      </c>
      <c r="C59" s="13" t="s">
        <v>39</v>
      </c>
      <c r="D59" s="14">
        <v>19</v>
      </c>
      <c r="E59" s="15">
        <v>1</v>
      </c>
    </row>
    <row r="60" spans="1:5" x14ac:dyDescent="0.4">
      <c r="A60" s="13" t="s">
        <v>18</v>
      </c>
      <c r="B60" s="13" t="s">
        <v>20</v>
      </c>
      <c r="C60" s="13" t="s">
        <v>22</v>
      </c>
      <c r="D60" s="14">
        <v>20</v>
      </c>
      <c r="E60" s="15">
        <v>0</v>
      </c>
    </row>
    <row r="61" spans="1:5" x14ac:dyDescent="0.4">
      <c r="A61" s="13" t="s">
        <v>1421</v>
      </c>
      <c r="B61" s="13" t="s">
        <v>24</v>
      </c>
      <c r="C61" s="13" t="s">
        <v>30</v>
      </c>
      <c r="D61" s="14">
        <v>20</v>
      </c>
      <c r="E61" s="15">
        <v>3</v>
      </c>
    </row>
    <row r="62" spans="1:5" x14ac:dyDescent="0.4">
      <c r="A62" s="13" t="s">
        <v>591</v>
      </c>
      <c r="B62" s="13" t="s">
        <v>24</v>
      </c>
      <c r="C62" s="13" t="s">
        <v>40</v>
      </c>
      <c r="D62" s="14">
        <v>21</v>
      </c>
      <c r="E62" s="15">
        <v>1</v>
      </c>
    </row>
    <row r="63" spans="1:5" x14ac:dyDescent="0.4">
      <c r="A63" s="13" t="s">
        <v>1540</v>
      </c>
      <c r="B63" s="13" t="s">
        <v>24</v>
      </c>
      <c r="C63" s="13" t="s">
        <v>62</v>
      </c>
      <c r="D63" s="14">
        <v>21</v>
      </c>
      <c r="E63" s="15">
        <v>5</v>
      </c>
    </row>
    <row r="64" spans="1:5" x14ac:dyDescent="0.4">
      <c r="A64" s="13" t="s">
        <v>122</v>
      </c>
      <c r="B64" s="13" t="s">
        <v>24</v>
      </c>
      <c r="C64" s="13" t="s">
        <v>111</v>
      </c>
      <c r="D64" s="14">
        <v>22</v>
      </c>
      <c r="E64" s="15">
        <v>4</v>
      </c>
    </row>
    <row r="65" spans="1:5" x14ac:dyDescent="0.4">
      <c r="A65" s="13" t="s">
        <v>193</v>
      </c>
      <c r="B65" s="13" t="s">
        <v>20</v>
      </c>
      <c r="C65" s="13" t="s">
        <v>27</v>
      </c>
      <c r="D65" s="14">
        <v>22</v>
      </c>
      <c r="E65" s="15">
        <v>1</v>
      </c>
    </row>
    <row r="66" spans="1:5" x14ac:dyDescent="0.4">
      <c r="A66" s="13" t="s">
        <v>1315</v>
      </c>
      <c r="B66" s="13" t="s">
        <v>26</v>
      </c>
      <c r="C66" s="13" t="s">
        <v>40</v>
      </c>
      <c r="D66" s="14">
        <v>22</v>
      </c>
      <c r="E66" s="15">
        <v>0</v>
      </c>
    </row>
    <row r="67" spans="1:5" x14ac:dyDescent="0.4">
      <c r="A67" s="13" t="s">
        <v>664</v>
      </c>
      <c r="B67" s="13" t="s">
        <v>26</v>
      </c>
      <c r="C67" s="13" t="s">
        <v>25</v>
      </c>
      <c r="D67" s="14">
        <v>24</v>
      </c>
      <c r="E67" s="15">
        <v>1</v>
      </c>
    </row>
    <row r="68" spans="1:5" x14ac:dyDescent="0.4">
      <c r="A68" s="13" t="s">
        <v>1693</v>
      </c>
      <c r="B68" s="13" t="s">
        <v>26</v>
      </c>
      <c r="C68" s="13" t="s">
        <v>30</v>
      </c>
      <c r="D68" s="14">
        <v>24</v>
      </c>
      <c r="E68" s="15">
        <v>2</v>
      </c>
    </row>
    <row r="69" spans="1:5" x14ac:dyDescent="0.4">
      <c r="A69" s="13" t="s">
        <v>277</v>
      </c>
      <c r="B69" s="13" t="s">
        <v>20</v>
      </c>
      <c r="C69" s="13" t="s">
        <v>44</v>
      </c>
      <c r="D69" s="14">
        <v>25</v>
      </c>
      <c r="E69" s="15">
        <v>14</v>
      </c>
    </row>
    <row r="70" spans="1:5" x14ac:dyDescent="0.4">
      <c r="A70" s="13" t="s">
        <v>1000</v>
      </c>
      <c r="B70" s="13" t="s">
        <v>20</v>
      </c>
      <c r="C70" s="13" t="s">
        <v>44</v>
      </c>
      <c r="D70" s="14">
        <v>25</v>
      </c>
      <c r="E70" s="15">
        <v>7</v>
      </c>
    </row>
    <row r="71" spans="1:5" x14ac:dyDescent="0.4">
      <c r="A71" s="13" t="s">
        <v>699</v>
      </c>
      <c r="B71" s="13" t="s">
        <v>24</v>
      </c>
      <c r="C71" s="13" t="s">
        <v>34</v>
      </c>
      <c r="D71" s="14">
        <v>26</v>
      </c>
      <c r="E71" s="15">
        <v>1</v>
      </c>
    </row>
    <row r="72" spans="1:5" x14ac:dyDescent="0.4">
      <c r="A72" s="13" t="s">
        <v>1030</v>
      </c>
      <c r="B72" s="13" t="s">
        <v>20</v>
      </c>
      <c r="C72" s="13" t="s">
        <v>39</v>
      </c>
      <c r="D72" s="14">
        <v>27</v>
      </c>
      <c r="E72" s="15">
        <v>4</v>
      </c>
    </row>
    <row r="73" spans="1:5" x14ac:dyDescent="0.4">
      <c r="A73" s="13" t="s">
        <v>1155</v>
      </c>
      <c r="B73" s="13" t="s">
        <v>20</v>
      </c>
      <c r="C73" s="13" t="s">
        <v>33</v>
      </c>
      <c r="D73" s="14">
        <v>27</v>
      </c>
      <c r="E73" s="15">
        <v>6</v>
      </c>
    </row>
    <row r="74" spans="1:5" x14ac:dyDescent="0.4">
      <c r="A74" s="13" t="s">
        <v>843</v>
      </c>
      <c r="B74" s="13" t="s">
        <v>20</v>
      </c>
      <c r="C74" s="13" t="s">
        <v>66</v>
      </c>
      <c r="D74" s="14">
        <v>28</v>
      </c>
      <c r="E74" s="15">
        <v>5</v>
      </c>
    </row>
    <row r="75" spans="1:5" x14ac:dyDescent="0.4">
      <c r="A75" s="13" t="s">
        <v>1329</v>
      </c>
      <c r="B75" s="13" t="s">
        <v>26</v>
      </c>
      <c r="C75" s="13" t="s">
        <v>39</v>
      </c>
      <c r="D75" s="14">
        <v>28</v>
      </c>
      <c r="E75" s="15">
        <v>5</v>
      </c>
    </row>
    <row r="76" spans="1:5" x14ac:dyDescent="0.4">
      <c r="A76" s="13" t="s">
        <v>1770</v>
      </c>
      <c r="B76" s="13" t="s">
        <v>24</v>
      </c>
      <c r="C76" s="13" t="s">
        <v>39</v>
      </c>
      <c r="D76" s="14">
        <v>28</v>
      </c>
      <c r="E76" s="15">
        <v>0</v>
      </c>
    </row>
    <row r="77" spans="1:5" x14ac:dyDescent="0.4">
      <c r="A77" s="13" t="s">
        <v>1777</v>
      </c>
      <c r="B77" s="13" t="s">
        <v>20</v>
      </c>
      <c r="C77" s="13" t="s">
        <v>27</v>
      </c>
      <c r="D77" s="14">
        <v>28</v>
      </c>
      <c r="E77" s="15">
        <v>4</v>
      </c>
    </row>
    <row r="78" spans="1:5" x14ac:dyDescent="0.4">
      <c r="A78" s="13" t="s">
        <v>369</v>
      </c>
      <c r="B78" s="13" t="s">
        <v>26</v>
      </c>
      <c r="C78" s="13" t="s">
        <v>27</v>
      </c>
      <c r="D78" s="14">
        <v>29</v>
      </c>
      <c r="E78" s="15">
        <v>0</v>
      </c>
    </row>
    <row r="79" spans="1:5" x14ac:dyDescent="0.4">
      <c r="A79" s="13" t="s">
        <v>1159</v>
      </c>
      <c r="B79" s="13" t="s">
        <v>26</v>
      </c>
      <c r="C79" s="13" t="s">
        <v>5</v>
      </c>
      <c r="D79" s="14">
        <v>29</v>
      </c>
      <c r="E79" s="15">
        <v>3</v>
      </c>
    </row>
    <row r="80" spans="1:5" x14ac:dyDescent="0.4">
      <c r="A80" s="13" t="s">
        <v>610</v>
      </c>
      <c r="B80" s="13" t="s">
        <v>24</v>
      </c>
      <c r="C80" s="13" t="s">
        <v>44</v>
      </c>
      <c r="D80" s="14">
        <v>30</v>
      </c>
      <c r="E80" s="15">
        <v>0</v>
      </c>
    </row>
    <row r="81" spans="1:5" x14ac:dyDescent="0.4">
      <c r="A81" s="13" t="s">
        <v>1852</v>
      </c>
      <c r="B81" s="13" t="s">
        <v>24</v>
      </c>
      <c r="C81" s="13" t="s">
        <v>44</v>
      </c>
      <c r="D81" s="14">
        <v>30</v>
      </c>
      <c r="E81" s="15">
        <v>3</v>
      </c>
    </row>
    <row r="82" spans="1:5" x14ac:dyDescent="0.4">
      <c r="A82" s="13" t="s">
        <v>1415</v>
      </c>
      <c r="B82" s="13" t="s">
        <v>26</v>
      </c>
      <c r="C82" s="13" t="s">
        <v>44</v>
      </c>
      <c r="D82" s="14">
        <v>31</v>
      </c>
      <c r="E82" s="15">
        <v>0</v>
      </c>
    </row>
    <row r="83" spans="1:5" x14ac:dyDescent="0.4">
      <c r="A83" s="13" t="s">
        <v>1886</v>
      </c>
      <c r="B83" s="13" t="s">
        <v>20</v>
      </c>
      <c r="C83" s="13" t="s">
        <v>66</v>
      </c>
      <c r="D83" s="14">
        <v>31</v>
      </c>
      <c r="E83" s="15">
        <v>8</v>
      </c>
    </row>
    <row r="84" spans="1:5" x14ac:dyDescent="0.4">
      <c r="A84" s="13" t="s">
        <v>386</v>
      </c>
      <c r="B84" s="13" t="s">
        <v>20</v>
      </c>
      <c r="C84" s="13" t="s">
        <v>27</v>
      </c>
      <c r="D84" s="14">
        <v>32</v>
      </c>
      <c r="E84" s="15">
        <v>2</v>
      </c>
    </row>
    <row r="85" spans="1:5" x14ac:dyDescent="0.4">
      <c r="A85" s="13" t="s">
        <v>795</v>
      </c>
      <c r="B85" s="13" t="s">
        <v>20</v>
      </c>
      <c r="C85" s="13" t="s">
        <v>39</v>
      </c>
      <c r="D85" s="14">
        <v>32</v>
      </c>
      <c r="E85" s="15">
        <v>1</v>
      </c>
    </row>
    <row r="86" spans="1:5" x14ac:dyDescent="0.4">
      <c r="A86" s="13" t="s">
        <v>1778</v>
      </c>
      <c r="B86" s="13" t="s">
        <v>24</v>
      </c>
      <c r="C86" s="13" t="s">
        <v>25</v>
      </c>
      <c r="D86" s="14">
        <v>32</v>
      </c>
      <c r="E86" s="15">
        <v>8</v>
      </c>
    </row>
    <row r="87" spans="1:5" x14ac:dyDescent="0.4">
      <c r="A87" s="13" t="s">
        <v>1933</v>
      </c>
      <c r="B87" s="13" t="s">
        <v>20</v>
      </c>
      <c r="C87" s="13" t="s">
        <v>44</v>
      </c>
      <c r="D87" s="14">
        <v>32</v>
      </c>
      <c r="E87" s="15">
        <v>1</v>
      </c>
    </row>
    <row r="88" spans="1:5" x14ac:dyDescent="0.4">
      <c r="A88" s="13" t="s">
        <v>1085</v>
      </c>
      <c r="B88" s="13" t="s">
        <v>24</v>
      </c>
      <c r="C88" s="13" t="s">
        <v>21</v>
      </c>
      <c r="D88" s="14">
        <v>33</v>
      </c>
      <c r="E88" s="15">
        <v>0</v>
      </c>
    </row>
    <row r="89" spans="1:5" x14ac:dyDescent="0.4">
      <c r="A89" s="13" t="s">
        <v>789</v>
      </c>
      <c r="B89" s="13" t="s">
        <v>20</v>
      </c>
      <c r="C89" s="13" t="s">
        <v>32</v>
      </c>
      <c r="D89" s="14">
        <v>34</v>
      </c>
      <c r="E89" s="15">
        <v>2</v>
      </c>
    </row>
    <row r="90" spans="1:5" x14ac:dyDescent="0.4">
      <c r="A90" s="13" t="s">
        <v>1447</v>
      </c>
      <c r="B90" s="13" t="s">
        <v>20</v>
      </c>
      <c r="C90" s="13" t="s">
        <v>66</v>
      </c>
      <c r="D90" s="14">
        <v>34</v>
      </c>
      <c r="E90" s="15">
        <v>1</v>
      </c>
    </row>
    <row r="91" spans="1:5" x14ac:dyDescent="0.4">
      <c r="A91" s="13" t="s">
        <v>671</v>
      </c>
      <c r="B91" s="13" t="s">
        <v>20</v>
      </c>
      <c r="C91" s="13" t="s">
        <v>44</v>
      </c>
      <c r="D91" s="14">
        <v>35</v>
      </c>
      <c r="E91" s="15">
        <v>12</v>
      </c>
    </row>
    <row r="92" spans="1:5" x14ac:dyDescent="0.4">
      <c r="A92" s="13" t="s">
        <v>832</v>
      </c>
      <c r="B92" s="13" t="s">
        <v>26</v>
      </c>
      <c r="C92" s="13" t="s">
        <v>32</v>
      </c>
      <c r="D92" s="14">
        <v>35</v>
      </c>
      <c r="E92" s="15">
        <v>2</v>
      </c>
    </row>
    <row r="93" spans="1:5" x14ac:dyDescent="0.4">
      <c r="A93" s="13" t="s">
        <v>1812</v>
      </c>
      <c r="B93" s="13" t="s">
        <v>26</v>
      </c>
      <c r="C93" s="13" t="s">
        <v>21</v>
      </c>
      <c r="D93" s="14">
        <v>35</v>
      </c>
      <c r="E93" s="15">
        <v>2</v>
      </c>
    </row>
    <row r="94" spans="1:5" x14ac:dyDescent="0.4">
      <c r="A94" s="13" t="s">
        <v>1434</v>
      </c>
      <c r="B94" s="13" t="s">
        <v>24</v>
      </c>
      <c r="C94" s="13" t="s">
        <v>44</v>
      </c>
      <c r="D94" s="14">
        <v>36</v>
      </c>
      <c r="E94" s="15">
        <v>0</v>
      </c>
    </row>
    <row r="95" spans="1:5" x14ac:dyDescent="0.4">
      <c r="A95" s="13" t="s">
        <v>1706</v>
      </c>
      <c r="B95" s="13" t="s">
        <v>20</v>
      </c>
      <c r="C95" s="13" t="s">
        <v>44</v>
      </c>
      <c r="D95" s="14">
        <v>37</v>
      </c>
      <c r="E95" s="15">
        <v>5</v>
      </c>
    </row>
    <row r="96" spans="1:5" x14ac:dyDescent="0.4">
      <c r="A96" s="13" t="s">
        <v>390</v>
      </c>
      <c r="B96" s="13" t="s">
        <v>20</v>
      </c>
      <c r="C96" s="13" t="s">
        <v>111</v>
      </c>
      <c r="D96" s="14">
        <v>38</v>
      </c>
      <c r="E96" s="15">
        <v>4</v>
      </c>
    </row>
    <row r="97" spans="1:5" x14ac:dyDescent="0.4">
      <c r="A97" s="13" t="s">
        <v>1122</v>
      </c>
      <c r="B97" s="13" t="s">
        <v>24</v>
      </c>
      <c r="C97" s="13" t="s">
        <v>25</v>
      </c>
      <c r="D97" s="14">
        <v>38</v>
      </c>
      <c r="E97" s="15">
        <v>6</v>
      </c>
    </row>
    <row r="98" spans="1:5" x14ac:dyDescent="0.4">
      <c r="A98" s="13" t="s">
        <v>1171</v>
      </c>
      <c r="B98" s="13" t="s">
        <v>24</v>
      </c>
      <c r="C98" s="13" t="s">
        <v>21</v>
      </c>
      <c r="D98" s="14">
        <v>39</v>
      </c>
      <c r="E98" s="15">
        <v>0</v>
      </c>
    </row>
    <row r="99" spans="1:5" x14ac:dyDescent="0.4">
      <c r="A99" s="13" t="s">
        <v>1248</v>
      </c>
      <c r="B99" s="13" t="s">
        <v>24</v>
      </c>
      <c r="C99" s="13" t="s">
        <v>34</v>
      </c>
      <c r="D99" s="14">
        <v>39</v>
      </c>
      <c r="E99" s="15">
        <v>1</v>
      </c>
    </row>
    <row r="100" spans="1:5" x14ac:dyDescent="0.4">
      <c r="A100" s="13" t="s">
        <v>1331</v>
      </c>
      <c r="B100" s="13" t="s">
        <v>26</v>
      </c>
      <c r="C100" s="13" t="s">
        <v>27</v>
      </c>
      <c r="D100" s="14">
        <v>39</v>
      </c>
      <c r="E100" s="15">
        <v>1</v>
      </c>
    </row>
    <row r="101" spans="1:5" x14ac:dyDescent="0.4">
      <c r="A101" s="13" t="s">
        <v>1774</v>
      </c>
      <c r="B101" s="13" t="s">
        <v>20</v>
      </c>
      <c r="C101" s="13" t="s">
        <v>22</v>
      </c>
      <c r="D101" s="14">
        <v>39</v>
      </c>
      <c r="E101" s="15">
        <v>8</v>
      </c>
    </row>
    <row r="102" spans="1:5" x14ac:dyDescent="0.4">
      <c r="A102" s="13" t="s">
        <v>515</v>
      </c>
      <c r="B102" s="13" t="s">
        <v>26</v>
      </c>
      <c r="C102" s="13" t="s">
        <v>44</v>
      </c>
      <c r="D102" s="14">
        <v>40</v>
      </c>
      <c r="E102" s="15">
        <v>2</v>
      </c>
    </row>
    <row r="103" spans="1:5" x14ac:dyDescent="0.4">
      <c r="A103" s="13" t="s">
        <v>698</v>
      </c>
      <c r="B103" s="13" t="s">
        <v>20</v>
      </c>
      <c r="C103" s="13" t="s">
        <v>39</v>
      </c>
      <c r="D103" s="14">
        <v>40</v>
      </c>
      <c r="E103" s="15">
        <v>2</v>
      </c>
    </row>
    <row r="104" spans="1:5" x14ac:dyDescent="0.4">
      <c r="A104" s="13" t="s">
        <v>1379</v>
      </c>
      <c r="B104" s="13" t="s">
        <v>26</v>
      </c>
      <c r="C104" s="13" t="s">
        <v>33</v>
      </c>
      <c r="D104" s="14">
        <v>40</v>
      </c>
      <c r="E104" s="15">
        <v>1</v>
      </c>
    </row>
    <row r="105" spans="1:5" x14ac:dyDescent="0.4">
      <c r="A105" s="13" t="s">
        <v>1336</v>
      </c>
      <c r="B105" s="13" t="s">
        <v>26</v>
      </c>
      <c r="C105" s="13" t="s">
        <v>44</v>
      </c>
      <c r="D105" s="14">
        <v>41</v>
      </c>
      <c r="E105" s="15">
        <v>0</v>
      </c>
    </row>
    <row r="106" spans="1:5" x14ac:dyDescent="0.4">
      <c r="A106" s="13" t="s">
        <v>1972</v>
      </c>
      <c r="B106" s="13" t="s">
        <v>26</v>
      </c>
      <c r="C106" s="13" t="s">
        <v>28</v>
      </c>
      <c r="D106" s="14">
        <v>41</v>
      </c>
      <c r="E106" s="15">
        <v>0</v>
      </c>
    </row>
    <row r="107" spans="1:5" x14ac:dyDescent="0.4">
      <c r="A107" s="13" t="s">
        <v>241</v>
      </c>
      <c r="B107" s="13" t="s">
        <v>26</v>
      </c>
      <c r="C107" s="13" t="s">
        <v>28</v>
      </c>
      <c r="D107" s="14">
        <v>42</v>
      </c>
      <c r="E107" s="15">
        <v>0</v>
      </c>
    </row>
    <row r="108" spans="1:5" x14ac:dyDescent="0.4">
      <c r="A108" s="13" t="s">
        <v>1302</v>
      </c>
      <c r="B108" s="13" t="s">
        <v>24</v>
      </c>
      <c r="C108" s="13" t="s">
        <v>43</v>
      </c>
      <c r="D108" s="14">
        <v>42</v>
      </c>
      <c r="E108" s="15">
        <v>0</v>
      </c>
    </row>
    <row r="109" spans="1:5" x14ac:dyDescent="0.4">
      <c r="A109" s="13" t="s">
        <v>1809</v>
      </c>
      <c r="B109" s="13" t="s">
        <v>24</v>
      </c>
      <c r="C109" s="13" t="s">
        <v>62</v>
      </c>
      <c r="D109" s="14">
        <v>42</v>
      </c>
      <c r="E109" s="15">
        <v>1</v>
      </c>
    </row>
    <row r="110" spans="1:5" x14ac:dyDescent="0.4">
      <c r="A110" s="13" t="s">
        <v>1733</v>
      </c>
      <c r="B110" s="13" t="s">
        <v>26</v>
      </c>
      <c r="C110" s="13" t="s">
        <v>39</v>
      </c>
      <c r="D110" s="14">
        <v>43</v>
      </c>
      <c r="E110" s="15">
        <v>4</v>
      </c>
    </row>
    <row r="111" spans="1:5" x14ac:dyDescent="0.4">
      <c r="A111" s="13" t="s">
        <v>617</v>
      </c>
      <c r="B111" s="13" t="s">
        <v>20</v>
      </c>
      <c r="C111" s="13" t="s">
        <v>44</v>
      </c>
      <c r="D111" s="14">
        <v>44</v>
      </c>
      <c r="E111" s="15">
        <v>0</v>
      </c>
    </row>
    <row r="112" spans="1:5" x14ac:dyDescent="0.4">
      <c r="A112" s="13" t="s">
        <v>1325</v>
      </c>
      <c r="B112" s="13" t="s">
        <v>26</v>
      </c>
      <c r="C112" s="13" t="s">
        <v>21</v>
      </c>
      <c r="D112" s="14">
        <v>44</v>
      </c>
      <c r="E112" s="15">
        <v>1</v>
      </c>
    </row>
    <row r="113" spans="1:5" x14ac:dyDescent="0.4">
      <c r="A113" s="13" t="s">
        <v>1732</v>
      </c>
      <c r="B113" s="13" t="s">
        <v>26</v>
      </c>
      <c r="C113" s="13" t="s">
        <v>40</v>
      </c>
      <c r="D113" s="14">
        <v>44</v>
      </c>
      <c r="E113" s="15">
        <v>0</v>
      </c>
    </row>
    <row r="114" spans="1:5" x14ac:dyDescent="0.4">
      <c r="A114" s="13" t="s">
        <v>509</v>
      </c>
      <c r="B114" s="13" t="s">
        <v>20</v>
      </c>
      <c r="C114" s="13" t="s">
        <v>40</v>
      </c>
      <c r="D114" s="14">
        <v>45</v>
      </c>
      <c r="E114" s="15">
        <v>0</v>
      </c>
    </row>
    <row r="115" spans="1:5" x14ac:dyDescent="0.4">
      <c r="A115" s="13" t="s">
        <v>1030</v>
      </c>
      <c r="B115" s="13" t="s">
        <v>26</v>
      </c>
      <c r="C115" s="13" t="s">
        <v>111</v>
      </c>
      <c r="D115" s="14">
        <v>45</v>
      </c>
      <c r="E115" s="15">
        <v>2</v>
      </c>
    </row>
    <row r="116" spans="1:5" x14ac:dyDescent="0.4">
      <c r="A116" s="13" t="s">
        <v>1122</v>
      </c>
      <c r="B116" s="13" t="s">
        <v>24</v>
      </c>
      <c r="C116" s="13" t="s">
        <v>111</v>
      </c>
      <c r="D116" s="14">
        <v>45</v>
      </c>
      <c r="E116" s="15">
        <v>3</v>
      </c>
    </row>
    <row r="117" spans="1:5" x14ac:dyDescent="0.4">
      <c r="A117" s="13" t="s">
        <v>1444</v>
      </c>
      <c r="B117" s="13" t="s">
        <v>24</v>
      </c>
      <c r="C117" s="13" t="s">
        <v>30</v>
      </c>
      <c r="D117" s="14">
        <v>45</v>
      </c>
      <c r="E117" s="15">
        <v>13</v>
      </c>
    </row>
    <row r="118" spans="1:5" x14ac:dyDescent="0.4">
      <c r="A118" s="13" t="s">
        <v>1762</v>
      </c>
      <c r="B118" s="13" t="s">
        <v>26</v>
      </c>
      <c r="C118" s="13" t="s">
        <v>39</v>
      </c>
      <c r="D118" s="14">
        <v>45</v>
      </c>
      <c r="E118" s="15">
        <v>2</v>
      </c>
    </row>
    <row r="119" spans="1:5" x14ac:dyDescent="0.4">
      <c r="A119" s="13" t="s">
        <v>52</v>
      </c>
      <c r="B119" s="13" t="s">
        <v>24</v>
      </c>
      <c r="C119" s="13" t="s">
        <v>53</v>
      </c>
      <c r="D119" s="14">
        <v>46</v>
      </c>
      <c r="E119" s="15">
        <v>5</v>
      </c>
    </row>
    <row r="120" spans="1:5" x14ac:dyDescent="0.4">
      <c r="A120" s="13" t="s">
        <v>785</v>
      </c>
      <c r="B120" s="13" t="s">
        <v>26</v>
      </c>
      <c r="C120" s="13" t="s">
        <v>39</v>
      </c>
      <c r="D120" s="14">
        <v>46</v>
      </c>
      <c r="E120" s="15">
        <v>1</v>
      </c>
    </row>
    <row r="121" spans="1:5" x14ac:dyDescent="0.4">
      <c r="A121" s="13" t="s">
        <v>894</v>
      </c>
      <c r="B121" s="13" t="s">
        <v>20</v>
      </c>
      <c r="C121" s="13" t="s">
        <v>43</v>
      </c>
      <c r="D121" s="14">
        <v>46</v>
      </c>
      <c r="E121" s="15">
        <v>1</v>
      </c>
    </row>
    <row r="122" spans="1:5" x14ac:dyDescent="0.4">
      <c r="A122" s="13" t="s">
        <v>48</v>
      </c>
      <c r="B122" s="13" t="s">
        <v>20</v>
      </c>
      <c r="C122" s="13" t="s">
        <v>22</v>
      </c>
      <c r="D122" s="14">
        <v>47</v>
      </c>
      <c r="E122" s="15">
        <v>0</v>
      </c>
    </row>
    <row r="123" spans="1:5" x14ac:dyDescent="0.4">
      <c r="A123" s="13" t="s">
        <v>354</v>
      </c>
      <c r="B123" s="13" t="s">
        <v>26</v>
      </c>
      <c r="C123" s="13" t="s">
        <v>111</v>
      </c>
      <c r="D123" s="14">
        <v>47</v>
      </c>
      <c r="E123" s="15">
        <v>0</v>
      </c>
    </row>
    <row r="124" spans="1:5" x14ac:dyDescent="0.4">
      <c r="A124" s="13" t="s">
        <v>430</v>
      </c>
      <c r="B124" s="13" t="s">
        <v>20</v>
      </c>
      <c r="C124" s="13" t="s">
        <v>44</v>
      </c>
      <c r="D124" s="14">
        <v>47</v>
      </c>
      <c r="E124" s="15">
        <v>0</v>
      </c>
    </row>
    <row r="125" spans="1:5" x14ac:dyDescent="0.4">
      <c r="A125" s="13" t="s">
        <v>1621</v>
      </c>
      <c r="B125" s="13" t="s">
        <v>26</v>
      </c>
      <c r="C125" s="13" t="s">
        <v>66</v>
      </c>
      <c r="D125" s="14">
        <v>47</v>
      </c>
      <c r="E125" s="15">
        <v>0</v>
      </c>
    </row>
    <row r="126" spans="1:5" x14ac:dyDescent="0.4">
      <c r="A126" s="13" t="s">
        <v>1665</v>
      </c>
      <c r="B126" s="13" t="s">
        <v>26</v>
      </c>
      <c r="C126" s="13" t="s">
        <v>21</v>
      </c>
      <c r="D126" s="14">
        <v>47</v>
      </c>
      <c r="E126" s="15">
        <v>1</v>
      </c>
    </row>
    <row r="127" spans="1:5" x14ac:dyDescent="0.4">
      <c r="A127" s="13" t="s">
        <v>1897</v>
      </c>
      <c r="B127" s="13" t="s">
        <v>26</v>
      </c>
      <c r="C127" s="13" t="s">
        <v>22</v>
      </c>
      <c r="D127" s="14">
        <v>47</v>
      </c>
      <c r="E127" s="15">
        <v>2</v>
      </c>
    </row>
    <row r="128" spans="1:5" x14ac:dyDescent="0.4">
      <c r="A128" s="13" t="s">
        <v>1977</v>
      </c>
      <c r="B128" s="13" t="s">
        <v>20</v>
      </c>
      <c r="C128" s="13" t="s">
        <v>5</v>
      </c>
      <c r="D128" s="14">
        <v>47</v>
      </c>
      <c r="E128" s="15">
        <v>2</v>
      </c>
    </row>
    <row r="129" spans="1:5" x14ac:dyDescent="0.4">
      <c r="A129" s="13" t="s">
        <v>1001</v>
      </c>
      <c r="B129" s="13" t="s">
        <v>20</v>
      </c>
      <c r="C129" s="13" t="s">
        <v>5</v>
      </c>
      <c r="D129" s="14">
        <v>48</v>
      </c>
      <c r="E129" s="15">
        <v>4</v>
      </c>
    </row>
    <row r="130" spans="1:5" x14ac:dyDescent="0.4">
      <c r="A130" s="13" t="s">
        <v>1146</v>
      </c>
      <c r="B130" s="13" t="s">
        <v>24</v>
      </c>
      <c r="C130" s="13" t="s">
        <v>44</v>
      </c>
      <c r="D130" s="14">
        <v>48</v>
      </c>
      <c r="E130" s="15">
        <v>8</v>
      </c>
    </row>
    <row r="131" spans="1:5" x14ac:dyDescent="0.4">
      <c r="A131" s="13" t="s">
        <v>1081</v>
      </c>
      <c r="B131" s="13" t="s">
        <v>20</v>
      </c>
      <c r="C131" s="13" t="s">
        <v>44</v>
      </c>
      <c r="D131" s="14">
        <v>49</v>
      </c>
      <c r="E131" s="15">
        <v>0</v>
      </c>
    </row>
    <row r="132" spans="1:5" x14ac:dyDescent="0.4">
      <c r="A132" s="13" t="s">
        <v>1364</v>
      </c>
      <c r="B132" s="13" t="s">
        <v>26</v>
      </c>
      <c r="C132" s="13" t="s">
        <v>30</v>
      </c>
      <c r="D132" s="14">
        <v>49</v>
      </c>
      <c r="E132" s="15">
        <v>1</v>
      </c>
    </row>
    <row r="133" spans="1:5" x14ac:dyDescent="0.4">
      <c r="A133" s="13" t="s">
        <v>99</v>
      </c>
      <c r="B133" s="13" t="s">
        <v>26</v>
      </c>
      <c r="C133" s="13" t="s">
        <v>27</v>
      </c>
      <c r="D133" s="14">
        <v>50</v>
      </c>
      <c r="E133" s="15">
        <v>1</v>
      </c>
    </row>
    <row r="134" spans="1:5" x14ac:dyDescent="0.4">
      <c r="A134" s="13" t="s">
        <v>189</v>
      </c>
      <c r="B134" s="13" t="s">
        <v>20</v>
      </c>
      <c r="C134" s="13" t="s">
        <v>33</v>
      </c>
      <c r="D134" s="14">
        <v>50</v>
      </c>
      <c r="E134" s="15">
        <v>2</v>
      </c>
    </row>
    <row r="135" spans="1:5" x14ac:dyDescent="0.4">
      <c r="A135" s="13" t="s">
        <v>990</v>
      </c>
      <c r="B135" s="13" t="s">
        <v>24</v>
      </c>
      <c r="C135" s="13" t="s">
        <v>53</v>
      </c>
      <c r="D135" s="14">
        <v>50</v>
      </c>
      <c r="E135" s="15">
        <v>4</v>
      </c>
    </row>
    <row r="136" spans="1:5" x14ac:dyDescent="0.4">
      <c r="A136" s="13" t="s">
        <v>1237</v>
      </c>
      <c r="B136" s="13" t="s">
        <v>24</v>
      </c>
      <c r="C136" s="13" t="s">
        <v>44</v>
      </c>
      <c r="D136" s="14">
        <v>50</v>
      </c>
      <c r="E136" s="15">
        <v>0</v>
      </c>
    </row>
    <row r="137" spans="1:5" x14ac:dyDescent="0.4">
      <c r="A137" s="13" t="s">
        <v>184</v>
      </c>
      <c r="B137" s="13" t="s">
        <v>24</v>
      </c>
      <c r="C137" s="13" t="s">
        <v>43</v>
      </c>
      <c r="D137" s="14">
        <v>51</v>
      </c>
      <c r="E137" s="15">
        <v>8</v>
      </c>
    </row>
    <row r="138" spans="1:5" x14ac:dyDescent="0.4">
      <c r="A138" s="13" t="s">
        <v>1021</v>
      </c>
      <c r="B138" s="13" t="s">
        <v>24</v>
      </c>
      <c r="C138" s="13" t="s">
        <v>5</v>
      </c>
      <c r="D138" s="14">
        <v>51</v>
      </c>
      <c r="E138" s="15">
        <v>0</v>
      </c>
    </row>
    <row r="139" spans="1:5" x14ac:dyDescent="0.4">
      <c r="A139" s="13" t="s">
        <v>1153</v>
      </c>
      <c r="B139" s="13" t="s">
        <v>20</v>
      </c>
      <c r="C139" s="13" t="s">
        <v>66</v>
      </c>
      <c r="D139" s="14">
        <v>51</v>
      </c>
      <c r="E139" s="15">
        <v>3</v>
      </c>
    </row>
    <row r="140" spans="1:5" x14ac:dyDescent="0.4">
      <c r="A140" s="13" t="s">
        <v>1542</v>
      </c>
      <c r="B140" s="13" t="s">
        <v>20</v>
      </c>
      <c r="C140" s="13" t="s">
        <v>28</v>
      </c>
      <c r="D140" s="14">
        <v>51</v>
      </c>
      <c r="E140" s="15">
        <v>0</v>
      </c>
    </row>
    <row r="141" spans="1:5" x14ac:dyDescent="0.4">
      <c r="A141" s="13" t="s">
        <v>279</v>
      </c>
      <c r="B141" s="13" t="s">
        <v>26</v>
      </c>
      <c r="C141" s="13" t="s">
        <v>27</v>
      </c>
      <c r="D141" s="14">
        <v>52</v>
      </c>
      <c r="E141" s="15">
        <v>3</v>
      </c>
    </row>
    <row r="142" spans="1:5" x14ac:dyDescent="0.4">
      <c r="A142" s="13" t="s">
        <v>1259</v>
      </c>
      <c r="B142" s="13" t="s">
        <v>24</v>
      </c>
      <c r="C142" s="13" t="s">
        <v>44</v>
      </c>
      <c r="D142" s="14">
        <v>52</v>
      </c>
      <c r="E142" s="15">
        <v>3</v>
      </c>
    </row>
    <row r="143" spans="1:5" x14ac:dyDescent="0.4">
      <c r="A143" s="13" t="s">
        <v>1529</v>
      </c>
      <c r="B143" s="13" t="s">
        <v>26</v>
      </c>
      <c r="C143" s="13" t="s">
        <v>27</v>
      </c>
      <c r="D143" s="14">
        <v>52</v>
      </c>
      <c r="E143" s="15">
        <v>1</v>
      </c>
    </row>
    <row r="144" spans="1:5" x14ac:dyDescent="0.4">
      <c r="A144" s="13" t="s">
        <v>770</v>
      </c>
      <c r="B144" s="13" t="s">
        <v>24</v>
      </c>
      <c r="C144" s="13" t="s">
        <v>44</v>
      </c>
      <c r="D144" s="14">
        <v>53</v>
      </c>
      <c r="E144" s="15">
        <v>6</v>
      </c>
    </row>
    <row r="145" spans="1:5" x14ac:dyDescent="0.4">
      <c r="A145" s="13" t="s">
        <v>1454</v>
      </c>
      <c r="B145" s="13" t="s">
        <v>24</v>
      </c>
      <c r="C145" s="13" t="s">
        <v>44</v>
      </c>
      <c r="D145" s="14">
        <v>53</v>
      </c>
      <c r="E145" s="15">
        <v>0</v>
      </c>
    </row>
    <row r="146" spans="1:5" x14ac:dyDescent="0.4">
      <c r="A146" s="13" t="s">
        <v>1575</v>
      </c>
      <c r="B146" s="13" t="s">
        <v>20</v>
      </c>
      <c r="C146" s="13" t="s">
        <v>5</v>
      </c>
      <c r="D146" s="14">
        <v>53</v>
      </c>
      <c r="E146" s="15">
        <v>0</v>
      </c>
    </row>
    <row r="147" spans="1:5" x14ac:dyDescent="0.4">
      <c r="A147" s="13" t="s">
        <v>1662</v>
      </c>
      <c r="B147" s="13" t="s">
        <v>26</v>
      </c>
      <c r="C147" s="13" t="s">
        <v>27</v>
      </c>
      <c r="D147" s="14">
        <v>53</v>
      </c>
      <c r="E147" s="15">
        <v>1</v>
      </c>
    </row>
    <row r="148" spans="1:5" x14ac:dyDescent="0.4">
      <c r="A148" s="13" t="s">
        <v>95</v>
      </c>
      <c r="B148" s="13" t="s">
        <v>26</v>
      </c>
      <c r="C148" s="13" t="s">
        <v>34</v>
      </c>
      <c r="D148" s="14">
        <v>54</v>
      </c>
      <c r="E148" s="15">
        <v>0</v>
      </c>
    </row>
    <row r="149" spans="1:5" x14ac:dyDescent="0.4">
      <c r="A149" s="13" t="s">
        <v>610</v>
      </c>
      <c r="B149" s="13" t="s">
        <v>26</v>
      </c>
      <c r="C149" s="13" t="s">
        <v>53</v>
      </c>
      <c r="D149" s="14">
        <v>54</v>
      </c>
      <c r="E149" s="15">
        <v>0</v>
      </c>
    </row>
    <row r="150" spans="1:5" x14ac:dyDescent="0.4">
      <c r="A150" s="13" t="s">
        <v>1377</v>
      </c>
      <c r="B150" s="13" t="s">
        <v>20</v>
      </c>
      <c r="C150" s="13" t="s">
        <v>62</v>
      </c>
      <c r="D150" s="14">
        <v>54</v>
      </c>
      <c r="E150" s="15">
        <v>2</v>
      </c>
    </row>
    <row r="151" spans="1:5" x14ac:dyDescent="0.4">
      <c r="A151" s="13" t="s">
        <v>110</v>
      </c>
      <c r="B151" s="13" t="s">
        <v>20</v>
      </c>
      <c r="C151" s="13" t="s">
        <v>111</v>
      </c>
      <c r="D151" s="14">
        <v>55</v>
      </c>
      <c r="E151" s="15">
        <v>1</v>
      </c>
    </row>
    <row r="152" spans="1:5" x14ac:dyDescent="0.4">
      <c r="A152" s="13" t="s">
        <v>687</v>
      </c>
      <c r="B152" s="13" t="s">
        <v>20</v>
      </c>
      <c r="C152" s="13" t="s">
        <v>43</v>
      </c>
      <c r="D152" s="14">
        <v>55</v>
      </c>
      <c r="E152" s="15">
        <v>1</v>
      </c>
    </row>
    <row r="153" spans="1:5" x14ac:dyDescent="0.4">
      <c r="A153" s="13" t="s">
        <v>1109</v>
      </c>
      <c r="B153" s="13" t="s">
        <v>24</v>
      </c>
      <c r="C153" s="13" t="s">
        <v>44</v>
      </c>
      <c r="D153" s="14">
        <v>55</v>
      </c>
      <c r="E153" s="15">
        <v>5</v>
      </c>
    </row>
    <row r="154" spans="1:5" x14ac:dyDescent="0.4">
      <c r="A154" s="13" t="s">
        <v>1935</v>
      </c>
      <c r="B154" s="13" t="s">
        <v>24</v>
      </c>
      <c r="C154" s="13" t="s">
        <v>28</v>
      </c>
      <c r="D154" s="14">
        <v>55</v>
      </c>
      <c r="E154" s="15">
        <v>0</v>
      </c>
    </row>
    <row r="155" spans="1:5" x14ac:dyDescent="0.4">
      <c r="A155" s="13" t="s">
        <v>285</v>
      </c>
      <c r="B155" s="13" t="s">
        <v>20</v>
      </c>
      <c r="C155" s="13" t="s">
        <v>5</v>
      </c>
      <c r="D155" s="14">
        <v>56</v>
      </c>
      <c r="E155" s="15">
        <v>0</v>
      </c>
    </row>
    <row r="156" spans="1:5" x14ac:dyDescent="0.4">
      <c r="A156" s="13" t="s">
        <v>863</v>
      </c>
      <c r="B156" s="13" t="s">
        <v>26</v>
      </c>
      <c r="C156" s="13" t="s">
        <v>25</v>
      </c>
      <c r="D156" s="14">
        <v>56</v>
      </c>
      <c r="E156" s="15">
        <v>1</v>
      </c>
    </row>
    <row r="157" spans="1:5" x14ac:dyDescent="0.4">
      <c r="A157" s="13" t="s">
        <v>967</v>
      </c>
      <c r="B157" s="13" t="s">
        <v>26</v>
      </c>
      <c r="C157" s="13" t="s">
        <v>34</v>
      </c>
      <c r="D157" s="14">
        <v>56</v>
      </c>
      <c r="E157" s="15">
        <v>2</v>
      </c>
    </row>
    <row r="158" spans="1:5" x14ac:dyDescent="0.4">
      <c r="A158" s="13" t="s">
        <v>1861</v>
      </c>
      <c r="B158" s="13" t="s">
        <v>20</v>
      </c>
      <c r="C158" s="13" t="s">
        <v>27</v>
      </c>
      <c r="D158" s="14">
        <v>56</v>
      </c>
      <c r="E158" s="15">
        <v>0</v>
      </c>
    </row>
    <row r="159" spans="1:5" x14ac:dyDescent="0.4">
      <c r="A159" s="13" t="s">
        <v>1967</v>
      </c>
      <c r="B159" s="13" t="s">
        <v>20</v>
      </c>
      <c r="C159" s="13" t="s">
        <v>53</v>
      </c>
      <c r="D159" s="14">
        <v>56</v>
      </c>
      <c r="E159" s="15">
        <v>7</v>
      </c>
    </row>
    <row r="160" spans="1:5" x14ac:dyDescent="0.4">
      <c r="A160" s="13" t="s">
        <v>869</v>
      </c>
      <c r="B160" s="13" t="s">
        <v>26</v>
      </c>
      <c r="C160" s="13" t="s">
        <v>27</v>
      </c>
      <c r="D160" s="14">
        <v>57</v>
      </c>
      <c r="E160" s="15">
        <v>3</v>
      </c>
    </row>
    <row r="161" spans="1:5" x14ac:dyDescent="0.4">
      <c r="A161" s="13" t="s">
        <v>1341</v>
      </c>
      <c r="B161" s="13" t="s">
        <v>24</v>
      </c>
      <c r="C161" s="13" t="s">
        <v>27</v>
      </c>
      <c r="D161" s="14">
        <v>57</v>
      </c>
      <c r="E161" s="15">
        <v>4</v>
      </c>
    </row>
    <row r="162" spans="1:5" x14ac:dyDescent="0.4">
      <c r="A162" s="13" t="s">
        <v>423</v>
      </c>
      <c r="B162" s="13" t="s">
        <v>26</v>
      </c>
      <c r="C162" s="13" t="s">
        <v>25</v>
      </c>
      <c r="D162" s="14">
        <v>58</v>
      </c>
      <c r="E162" s="15">
        <v>1</v>
      </c>
    </row>
    <row r="163" spans="1:5" x14ac:dyDescent="0.4">
      <c r="A163" s="13" t="s">
        <v>1172</v>
      </c>
      <c r="B163" s="13" t="s">
        <v>26</v>
      </c>
      <c r="C163" s="13" t="s">
        <v>39</v>
      </c>
      <c r="D163" s="14">
        <v>58</v>
      </c>
      <c r="E163" s="15">
        <v>1</v>
      </c>
    </row>
    <row r="164" spans="1:5" x14ac:dyDescent="0.4">
      <c r="A164" s="13" t="s">
        <v>1685</v>
      </c>
      <c r="B164" s="13" t="s">
        <v>24</v>
      </c>
      <c r="C164" s="13" t="s">
        <v>53</v>
      </c>
      <c r="D164" s="14">
        <v>58</v>
      </c>
      <c r="E164" s="15">
        <v>0</v>
      </c>
    </row>
    <row r="165" spans="1:5" x14ac:dyDescent="0.4">
      <c r="A165" s="13" t="s">
        <v>252</v>
      </c>
      <c r="B165" s="13" t="s">
        <v>26</v>
      </c>
      <c r="C165" s="13" t="s">
        <v>39</v>
      </c>
      <c r="D165" s="14">
        <v>59</v>
      </c>
      <c r="E165" s="15">
        <v>1</v>
      </c>
    </row>
    <row r="166" spans="1:5" x14ac:dyDescent="0.4">
      <c r="A166" s="13" t="s">
        <v>1513</v>
      </c>
      <c r="B166" s="13" t="s">
        <v>20</v>
      </c>
      <c r="C166" s="13" t="s">
        <v>30</v>
      </c>
      <c r="D166" s="14">
        <v>59</v>
      </c>
      <c r="E166" s="15">
        <v>1</v>
      </c>
    </row>
    <row r="167" spans="1:5" x14ac:dyDescent="0.4">
      <c r="A167" s="13" t="s">
        <v>1794</v>
      </c>
      <c r="B167" s="13" t="s">
        <v>26</v>
      </c>
      <c r="C167" s="13" t="s">
        <v>62</v>
      </c>
      <c r="D167" s="14">
        <v>59</v>
      </c>
      <c r="E167" s="15">
        <v>2</v>
      </c>
    </row>
    <row r="168" spans="1:5" x14ac:dyDescent="0.4">
      <c r="A168" s="13" t="s">
        <v>1827</v>
      </c>
      <c r="B168" s="13" t="s">
        <v>20</v>
      </c>
      <c r="C168" s="13" t="s">
        <v>44</v>
      </c>
      <c r="D168" s="14">
        <v>59</v>
      </c>
      <c r="E168" s="15">
        <v>0</v>
      </c>
    </row>
    <row r="169" spans="1:5" x14ac:dyDescent="0.4">
      <c r="A169" s="13" t="s">
        <v>115</v>
      </c>
      <c r="B169" s="13" t="s">
        <v>20</v>
      </c>
      <c r="C169" s="13" t="s">
        <v>44</v>
      </c>
      <c r="D169" s="14">
        <v>60</v>
      </c>
      <c r="E169" s="15">
        <v>7</v>
      </c>
    </row>
    <row r="170" spans="1:5" x14ac:dyDescent="0.4">
      <c r="A170" s="13" t="s">
        <v>375</v>
      </c>
      <c r="B170" s="13" t="s">
        <v>24</v>
      </c>
      <c r="C170" s="13" t="s">
        <v>22</v>
      </c>
      <c r="D170" s="14">
        <v>60</v>
      </c>
      <c r="E170" s="15">
        <v>11</v>
      </c>
    </row>
    <row r="171" spans="1:5" x14ac:dyDescent="0.4">
      <c r="A171" s="13" t="s">
        <v>1276</v>
      </c>
      <c r="B171" s="13" t="s">
        <v>24</v>
      </c>
      <c r="C171" s="13" t="s">
        <v>32</v>
      </c>
      <c r="D171" s="14">
        <v>60</v>
      </c>
      <c r="E171" s="15">
        <v>0</v>
      </c>
    </row>
    <row r="172" spans="1:5" x14ac:dyDescent="0.4">
      <c r="A172" s="13" t="s">
        <v>60</v>
      </c>
      <c r="B172" s="13" t="s">
        <v>20</v>
      </c>
      <c r="C172" s="13" t="s">
        <v>33</v>
      </c>
      <c r="D172" s="14">
        <v>61</v>
      </c>
      <c r="E172" s="15">
        <v>5</v>
      </c>
    </row>
    <row r="173" spans="1:5" x14ac:dyDescent="0.4">
      <c r="A173" s="13" t="s">
        <v>83</v>
      </c>
      <c r="B173" s="13" t="s">
        <v>26</v>
      </c>
      <c r="C173" s="13" t="s">
        <v>44</v>
      </c>
      <c r="D173" s="14">
        <v>61</v>
      </c>
      <c r="E173" s="15">
        <v>1</v>
      </c>
    </row>
    <row r="174" spans="1:5" x14ac:dyDescent="0.4">
      <c r="A174" s="13" t="s">
        <v>84</v>
      </c>
      <c r="B174" s="13" t="s">
        <v>24</v>
      </c>
      <c r="C174" s="13" t="s">
        <v>39</v>
      </c>
      <c r="D174" s="14">
        <v>62</v>
      </c>
      <c r="E174" s="15">
        <v>3</v>
      </c>
    </row>
    <row r="175" spans="1:5" x14ac:dyDescent="0.4">
      <c r="A175" s="13" t="s">
        <v>499</v>
      </c>
      <c r="B175" s="13" t="s">
        <v>20</v>
      </c>
      <c r="C175" s="13" t="s">
        <v>44</v>
      </c>
      <c r="D175" s="14">
        <v>62</v>
      </c>
      <c r="E175" s="15">
        <v>0</v>
      </c>
    </row>
    <row r="176" spans="1:5" x14ac:dyDescent="0.4">
      <c r="A176" s="13" t="s">
        <v>502</v>
      </c>
      <c r="B176" s="13" t="s">
        <v>24</v>
      </c>
      <c r="C176" s="13" t="s">
        <v>32</v>
      </c>
      <c r="D176" s="14">
        <v>62</v>
      </c>
      <c r="E176" s="15">
        <v>7</v>
      </c>
    </row>
    <row r="177" spans="1:5" x14ac:dyDescent="0.4">
      <c r="A177" s="13" t="s">
        <v>1783</v>
      </c>
      <c r="B177" s="13" t="s">
        <v>20</v>
      </c>
      <c r="C177" s="13" t="s">
        <v>5</v>
      </c>
      <c r="D177" s="14">
        <v>62</v>
      </c>
      <c r="E177" s="15">
        <v>0</v>
      </c>
    </row>
    <row r="178" spans="1:5" x14ac:dyDescent="0.4">
      <c r="A178" s="13" t="s">
        <v>478</v>
      </c>
      <c r="B178" s="13" t="s">
        <v>24</v>
      </c>
      <c r="C178" s="13" t="s">
        <v>111</v>
      </c>
      <c r="D178" s="14">
        <v>63</v>
      </c>
      <c r="E178" s="15">
        <v>4</v>
      </c>
    </row>
    <row r="179" spans="1:5" x14ac:dyDescent="0.4">
      <c r="A179" s="13" t="s">
        <v>971</v>
      </c>
      <c r="B179" s="13" t="s">
        <v>26</v>
      </c>
      <c r="C179" s="13" t="s">
        <v>34</v>
      </c>
      <c r="D179" s="14">
        <v>63</v>
      </c>
      <c r="E179" s="15">
        <v>4</v>
      </c>
    </row>
    <row r="180" spans="1:5" x14ac:dyDescent="0.4">
      <c r="A180" s="13" t="s">
        <v>1641</v>
      </c>
      <c r="B180" s="13" t="s">
        <v>26</v>
      </c>
      <c r="C180" s="13" t="s">
        <v>27</v>
      </c>
      <c r="D180" s="14">
        <v>63</v>
      </c>
      <c r="E180" s="15">
        <v>2</v>
      </c>
    </row>
    <row r="181" spans="1:5" x14ac:dyDescent="0.4">
      <c r="A181" s="13" t="s">
        <v>189</v>
      </c>
      <c r="B181" s="13" t="s">
        <v>26</v>
      </c>
      <c r="C181" s="13" t="s">
        <v>32</v>
      </c>
      <c r="D181" s="14">
        <v>64</v>
      </c>
      <c r="E181" s="15">
        <v>1</v>
      </c>
    </row>
    <row r="182" spans="1:5" x14ac:dyDescent="0.4">
      <c r="A182" s="13" t="s">
        <v>202</v>
      </c>
      <c r="B182" s="13" t="s">
        <v>24</v>
      </c>
      <c r="C182" s="13" t="s">
        <v>32</v>
      </c>
      <c r="D182" s="14">
        <v>64</v>
      </c>
      <c r="E182" s="15">
        <v>1</v>
      </c>
    </row>
    <row r="183" spans="1:5" x14ac:dyDescent="0.4">
      <c r="A183" s="13" t="s">
        <v>231</v>
      </c>
      <c r="B183" s="13" t="s">
        <v>20</v>
      </c>
      <c r="C183" s="13" t="s">
        <v>62</v>
      </c>
      <c r="D183" s="14">
        <v>64</v>
      </c>
      <c r="E183" s="15">
        <v>0</v>
      </c>
    </row>
    <row r="184" spans="1:5" x14ac:dyDescent="0.4">
      <c r="A184" s="13" t="s">
        <v>731</v>
      </c>
      <c r="B184" s="13" t="s">
        <v>24</v>
      </c>
      <c r="C184" s="13" t="s">
        <v>39</v>
      </c>
      <c r="D184" s="14">
        <v>64</v>
      </c>
      <c r="E184" s="15">
        <v>2</v>
      </c>
    </row>
    <row r="185" spans="1:5" x14ac:dyDescent="0.4">
      <c r="A185" s="13" t="s">
        <v>1649</v>
      </c>
      <c r="B185" s="13" t="s">
        <v>26</v>
      </c>
      <c r="C185" s="13" t="s">
        <v>27</v>
      </c>
      <c r="D185" s="14">
        <v>64</v>
      </c>
      <c r="E185" s="15">
        <v>0</v>
      </c>
    </row>
    <row r="186" spans="1:5" x14ac:dyDescent="0.4">
      <c r="A186" s="13" t="s">
        <v>1943</v>
      </c>
      <c r="B186" s="13" t="s">
        <v>20</v>
      </c>
      <c r="C186" s="13" t="s">
        <v>44</v>
      </c>
      <c r="D186" s="14">
        <v>64</v>
      </c>
      <c r="E186" s="15">
        <v>0</v>
      </c>
    </row>
    <row r="187" spans="1:5" x14ac:dyDescent="0.4">
      <c r="A187" s="13" t="s">
        <v>497</v>
      </c>
      <c r="B187" s="13" t="s">
        <v>26</v>
      </c>
      <c r="C187" s="13" t="s">
        <v>44</v>
      </c>
      <c r="D187" s="14">
        <v>65</v>
      </c>
      <c r="E187" s="15">
        <v>1</v>
      </c>
    </row>
    <row r="188" spans="1:5" x14ac:dyDescent="0.4">
      <c r="A188" s="13" t="s">
        <v>830</v>
      </c>
      <c r="B188" s="13" t="s">
        <v>26</v>
      </c>
      <c r="C188" s="13" t="s">
        <v>25</v>
      </c>
      <c r="D188" s="14">
        <v>66</v>
      </c>
      <c r="E188" s="15">
        <v>2</v>
      </c>
    </row>
    <row r="189" spans="1:5" x14ac:dyDescent="0.4">
      <c r="A189" s="13" t="s">
        <v>1151</v>
      </c>
      <c r="B189" s="13" t="s">
        <v>24</v>
      </c>
      <c r="C189" s="13" t="s">
        <v>44</v>
      </c>
      <c r="D189" s="14">
        <v>66</v>
      </c>
      <c r="E189" s="15">
        <v>2</v>
      </c>
    </row>
    <row r="190" spans="1:5" x14ac:dyDescent="0.4">
      <c r="A190" s="13" t="s">
        <v>1166</v>
      </c>
      <c r="B190" s="13" t="s">
        <v>20</v>
      </c>
      <c r="C190" s="13" t="s">
        <v>27</v>
      </c>
      <c r="D190" s="14">
        <v>66</v>
      </c>
      <c r="E190" s="15">
        <v>0</v>
      </c>
    </row>
    <row r="191" spans="1:5" x14ac:dyDescent="0.4">
      <c r="A191" s="13" t="s">
        <v>457</v>
      </c>
      <c r="B191" s="13" t="s">
        <v>24</v>
      </c>
      <c r="C191" s="13" t="s">
        <v>5</v>
      </c>
      <c r="D191" s="14">
        <v>67</v>
      </c>
      <c r="E191" s="15">
        <v>3</v>
      </c>
    </row>
    <row r="192" spans="1:5" x14ac:dyDescent="0.4">
      <c r="A192" s="13" t="s">
        <v>608</v>
      </c>
      <c r="B192" s="13" t="s">
        <v>24</v>
      </c>
      <c r="C192" s="13" t="s">
        <v>39</v>
      </c>
      <c r="D192" s="14">
        <v>67</v>
      </c>
      <c r="E192" s="15">
        <v>0</v>
      </c>
    </row>
    <row r="193" spans="1:5" x14ac:dyDescent="0.4">
      <c r="A193" s="13" t="s">
        <v>1123</v>
      </c>
      <c r="B193" s="13" t="s">
        <v>24</v>
      </c>
      <c r="C193" s="13" t="s">
        <v>44</v>
      </c>
      <c r="D193" s="14">
        <v>67</v>
      </c>
      <c r="E193" s="15">
        <v>0</v>
      </c>
    </row>
    <row r="194" spans="1:5" x14ac:dyDescent="0.4">
      <c r="A194" s="13" t="s">
        <v>1191</v>
      </c>
      <c r="B194" s="13" t="s">
        <v>20</v>
      </c>
      <c r="C194" s="13" t="s">
        <v>44</v>
      </c>
      <c r="D194" s="14">
        <v>67</v>
      </c>
      <c r="E194" s="15">
        <v>12</v>
      </c>
    </row>
    <row r="195" spans="1:5" x14ac:dyDescent="0.4">
      <c r="A195" s="13" t="s">
        <v>1696</v>
      </c>
      <c r="B195" s="13" t="s">
        <v>26</v>
      </c>
      <c r="C195" s="13" t="s">
        <v>27</v>
      </c>
      <c r="D195" s="14">
        <v>67</v>
      </c>
      <c r="E195" s="15">
        <v>3</v>
      </c>
    </row>
    <row r="196" spans="1:5" x14ac:dyDescent="0.4">
      <c r="A196" s="13" t="s">
        <v>902</v>
      </c>
      <c r="B196" s="13" t="s">
        <v>26</v>
      </c>
      <c r="C196" s="13" t="s">
        <v>40</v>
      </c>
      <c r="D196" s="14">
        <v>68</v>
      </c>
      <c r="E196" s="15">
        <v>0</v>
      </c>
    </row>
    <row r="197" spans="1:5" x14ac:dyDescent="0.4">
      <c r="A197" s="13" t="s">
        <v>916</v>
      </c>
      <c r="B197" s="13" t="s">
        <v>20</v>
      </c>
      <c r="C197" s="13" t="s">
        <v>32</v>
      </c>
      <c r="D197" s="14">
        <v>68</v>
      </c>
      <c r="E197" s="15">
        <v>0</v>
      </c>
    </row>
    <row r="198" spans="1:5" x14ac:dyDescent="0.4">
      <c r="A198" s="13" t="s">
        <v>1304</v>
      </c>
      <c r="B198" s="13" t="s">
        <v>24</v>
      </c>
      <c r="C198" s="13" t="s">
        <v>27</v>
      </c>
      <c r="D198" s="14">
        <v>68</v>
      </c>
      <c r="E198" s="15">
        <v>4</v>
      </c>
    </row>
    <row r="199" spans="1:5" x14ac:dyDescent="0.4">
      <c r="A199" s="13" t="s">
        <v>505</v>
      </c>
      <c r="B199" s="13" t="s">
        <v>20</v>
      </c>
      <c r="C199" s="13" t="s">
        <v>30</v>
      </c>
      <c r="D199" s="14">
        <v>69</v>
      </c>
      <c r="E199" s="15">
        <v>0</v>
      </c>
    </row>
    <row r="200" spans="1:5" x14ac:dyDescent="0.4">
      <c r="A200" s="13" t="s">
        <v>567</v>
      </c>
      <c r="B200" s="13" t="s">
        <v>26</v>
      </c>
      <c r="C200" s="13" t="s">
        <v>27</v>
      </c>
      <c r="D200" s="14">
        <v>69</v>
      </c>
      <c r="E200" s="15">
        <v>0</v>
      </c>
    </row>
    <row r="201" spans="1:5" x14ac:dyDescent="0.4">
      <c r="A201" s="13" t="s">
        <v>142</v>
      </c>
      <c r="B201" s="13" t="s">
        <v>20</v>
      </c>
      <c r="C201" s="13" t="s">
        <v>44</v>
      </c>
      <c r="D201" s="14">
        <v>70</v>
      </c>
      <c r="E201" s="15">
        <v>5</v>
      </c>
    </row>
    <row r="202" spans="1:5" x14ac:dyDescent="0.4">
      <c r="A202" s="13" t="s">
        <v>308</v>
      </c>
      <c r="B202" s="13" t="s">
        <v>24</v>
      </c>
      <c r="C202" s="13" t="s">
        <v>39</v>
      </c>
      <c r="D202" s="14">
        <v>70</v>
      </c>
      <c r="E202" s="15">
        <v>6</v>
      </c>
    </row>
    <row r="203" spans="1:5" x14ac:dyDescent="0.4">
      <c r="A203" s="13" t="s">
        <v>614</v>
      </c>
      <c r="B203" s="13" t="s">
        <v>24</v>
      </c>
      <c r="C203" s="13" t="s">
        <v>33</v>
      </c>
      <c r="D203" s="14">
        <v>70</v>
      </c>
      <c r="E203" s="15">
        <v>4</v>
      </c>
    </row>
    <row r="204" spans="1:5" x14ac:dyDescent="0.4">
      <c r="A204" s="13" t="s">
        <v>676</v>
      </c>
      <c r="B204" s="13" t="s">
        <v>24</v>
      </c>
      <c r="C204" s="13" t="s">
        <v>27</v>
      </c>
      <c r="D204" s="14">
        <v>70</v>
      </c>
      <c r="E204" s="15">
        <v>2</v>
      </c>
    </row>
    <row r="205" spans="1:5" x14ac:dyDescent="0.4">
      <c r="A205" s="13" t="s">
        <v>1065</v>
      </c>
      <c r="B205" s="13" t="s">
        <v>20</v>
      </c>
      <c r="C205" s="13" t="s">
        <v>40</v>
      </c>
      <c r="D205" s="14">
        <v>70</v>
      </c>
      <c r="E205" s="15">
        <v>16</v>
      </c>
    </row>
    <row r="206" spans="1:5" x14ac:dyDescent="0.4">
      <c r="A206" s="13" t="s">
        <v>1301</v>
      </c>
      <c r="B206" s="13" t="s">
        <v>26</v>
      </c>
      <c r="C206" s="13" t="s">
        <v>39</v>
      </c>
      <c r="D206" s="14">
        <v>70</v>
      </c>
      <c r="E206" s="15">
        <v>0</v>
      </c>
    </row>
    <row r="207" spans="1:5" x14ac:dyDescent="0.4">
      <c r="A207" s="13" t="s">
        <v>1384</v>
      </c>
      <c r="B207" s="13" t="s">
        <v>26</v>
      </c>
      <c r="C207" s="13" t="s">
        <v>111</v>
      </c>
      <c r="D207" s="14">
        <v>70</v>
      </c>
      <c r="E207" s="15">
        <v>1</v>
      </c>
    </row>
    <row r="208" spans="1:5" x14ac:dyDescent="0.4">
      <c r="A208" s="13" t="s">
        <v>1600</v>
      </c>
      <c r="B208" s="13" t="s">
        <v>20</v>
      </c>
      <c r="C208" s="13" t="s">
        <v>30</v>
      </c>
      <c r="D208" s="14">
        <v>70</v>
      </c>
      <c r="E208" s="15">
        <v>0</v>
      </c>
    </row>
    <row r="209" spans="1:5" x14ac:dyDescent="0.4">
      <c r="A209" s="13" t="s">
        <v>689</v>
      </c>
      <c r="B209" s="13" t="s">
        <v>24</v>
      </c>
      <c r="C209" s="13" t="s">
        <v>27</v>
      </c>
      <c r="D209" s="14">
        <v>71</v>
      </c>
      <c r="E209" s="15">
        <v>1</v>
      </c>
    </row>
    <row r="210" spans="1:5" x14ac:dyDescent="0.4">
      <c r="A210" s="13" t="s">
        <v>1294</v>
      </c>
      <c r="B210" s="13" t="s">
        <v>26</v>
      </c>
      <c r="C210" s="13" t="s">
        <v>111</v>
      </c>
      <c r="D210" s="14">
        <v>71</v>
      </c>
      <c r="E210" s="15">
        <v>1</v>
      </c>
    </row>
    <row r="211" spans="1:5" x14ac:dyDescent="0.4">
      <c r="A211" s="13" t="s">
        <v>1960</v>
      </c>
      <c r="B211" s="13" t="s">
        <v>20</v>
      </c>
      <c r="C211" s="13" t="s">
        <v>27</v>
      </c>
      <c r="D211" s="14">
        <v>71</v>
      </c>
      <c r="E211" s="15">
        <v>14</v>
      </c>
    </row>
    <row r="212" spans="1:5" x14ac:dyDescent="0.4">
      <c r="A212" s="13" t="s">
        <v>345</v>
      </c>
      <c r="B212" s="13" t="s">
        <v>24</v>
      </c>
      <c r="C212" s="13" t="s">
        <v>32</v>
      </c>
      <c r="D212" s="14">
        <v>72</v>
      </c>
      <c r="E212" s="15">
        <v>0</v>
      </c>
    </row>
    <row r="213" spans="1:5" x14ac:dyDescent="0.4">
      <c r="A213" s="13" t="s">
        <v>835</v>
      </c>
      <c r="B213" s="13" t="s">
        <v>20</v>
      </c>
      <c r="C213" s="13" t="s">
        <v>39</v>
      </c>
      <c r="D213" s="14">
        <v>72</v>
      </c>
      <c r="E213" s="15">
        <v>0</v>
      </c>
    </row>
    <row r="214" spans="1:5" x14ac:dyDescent="0.4">
      <c r="A214" s="13" t="s">
        <v>1250</v>
      </c>
      <c r="B214" s="13" t="s">
        <v>24</v>
      </c>
      <c r="C214" s="13" t="s">
        <v>39</v>
      </c>
      <c r="D214" s="14">
        <v>72</v>
      </c>
      <c r="E214" s="15">
        <v>1</v>
      </c>
    </row>
    <row r="215" spans="1:5" x14ac:dyDescent="0.4">
      <c r="A215" s="13" t="s">
        <v>1425</v>
      </c>
      <c r="B215" s="13" t="s">
        <v>26</v>
      </c>
      <c r="C215" s="13" t="s">
        <v>27</v>
      </c>
      <c r="D215" s="14">
        <v>73</v>
      </c>
      <c r="E215" s="15">
        <v>0</v>
      </c>
    </row>
    <row r="216" spans="1:5" x14ac:dyDescent="0.4">
      <c r="A216" s="13" t="s">
        <v>155</v>
      </c>
      <c r="B216" s="13" t="s">
        <v>24</v>
      </c>
      <c r="C216" s="13" t="s">
        <v>39</v>
      </c>
      <c r="D216" s="14">
        <v>74</v>
      </c>
      <c r="E216" s="15">
        <v>0</v>
      </c>
    </row>
    <row r="217" spans="1:5" x14ac:dyDescent="0.4">
      <c r="A217" s="13" t="s">
        <v>774</v>
      </c>
      <c r="B217" s="13" t="s">
        <v>26</v>
      </c>
      <c r="C217" s="13" t="s">
        <v>30</v>
      </c>
      <c r="D217" s="14">
        <v>74</v>
      </c>
      <c r="E217" s="15">
        <v>7</v>
      </c>
    </row>
    <row r="218" spans="1:5" x14ac:dyDescent="0.4">
      <c r="A218" s="13" t="s">
        <v>809</v>
      </c>
      <c r="B218" s="13" t="s">
        <v>20</v>
      </c>
      <c r="C218" s="13" t="s">
        <v>30</v>
      </c>
      <c r="D218" s="14">
        <v>74</v>
      </c>
      <c r="E218" s="15">
        <v>0</v>
      </c>
    </row>
    <row r="219" spans="1:5" x14ac:dyDescent="0.4">
      <c r="A219" s="13" t="s">
        <v>1643</v>
      </c>
      <c r="B219" s="13" t="s">
        <v>24</v>
      </c>
      <c r="C219" s="13" t="s">
        <v>30</v>
      </c>
      <c r="D219" s="14">
        <v>74</v>
      </c>
      <c r="E219" s="15">
        <v>0</v>
      </c>
    </row>
    <row r="220" spans="1:5" x14ac:dyDescent="0.4">
      <c r="A220" s="13" t="s">
        <v>1695</v>
      </c>
      <c r="B220" s="13" t="s">
        <v>20</v>
      </c>
      <c r="C220" s="13" t="s">
        <v>44</v>
      </c>
      <c r="D220" s="14">
        <v>74</v>
      </c>
      <c r="E220" s="15">
        <v>2</v>
      </c>
    </row>
    <row r="221" spans="1:5" x14ac:dyDescent="0.4">
      <c r="A221" s="13" t="s">
        <v>201</v>
      </c>
      <c r="B221" s="13" t="s">
        <v>26</v>
      </c>
      <c r="C221" s="13" t="s">
        <v>44</v>
      </c>
      <c r="D221" s="14">
        <v>75</v>
      </c>
      <c r="E221" s="15">
        <v>13</v>
      </c>
    </row>
    <row r="222" spans="1:5" x14ac:dyDescent="0.4">
      <c r="A222" s="13" t="s">
        <v>239</v>
      </c>
      <c r="B222" s="13" t="s">
        <v>20</v>
      </c>
      <c r="C222" s="13" t="s">
        <v>44</v>
      </c>
      <c r="D222" s="14">
        <v>75</v>
      </c>
      <c r="E222" s="15">
        <v>0</v>
      </c>
    </row>
    <row r="223" spans="1:5" x14ac:dyDescent="0.4">
      <c r="A223" s="13" t="s">
        <v>1064</v>
      </c>
      <c r="B223" s="13" t="s">
        <v>20</v>
      </c>
      <c r="C223" s="13" t="s">
        <v>27</v>
      </c>
      <c r="D223" s="14">
        <v>75</v>
      </c>
      <c r="E223" s="15">
        <v>7</v>
      </c>
    </row>
    <row r="224" spans="1:5" x14ac:dyDescent="0.4">
      <c r="A224" s="13" t="s">
        <v>1179</v>
      </c>
      <c r="B224" s="13" t="s">
        <v>20</v>
      </c>
      <c r="C224" s="13" t="s">
        <v>28</v>
      </c>
      <c r="D224" s="14">
        <v>75</v>
      </c>
      <c r="E224" s="15">
        <v>1</v>
      </c>
    </row>
    <row r="225" spans="1:5" x14ac:dyDescent="0.4">
      <c r="A225" s="13" t="s">
        <v>735</v>
      </c>
      <c r="B225" s="13" t="s">
        <v>24</v>
      </c>
      <c r="C225" s="13" t="s">
        <v>44</v>
      </c>
      <c r="D225" s="14">
        <v>76</v>
      </c>
      <c r="E225" s="15">
        <v>6</v>
      </c>
    </row>
    <row r="226" spans="1:5" x14ac:dyDescent="0.4">
      <c r="A226" s="13" t="s">
        <v>1020</v>
      </c>
      <c r="B226" s="13" t="s">
        <v>20</v>
      </c>
      <c r="C226" s="13" t="s">
        <v>21</v>
      </c>
      <c r="D226" s="14">
        <v>76</v>
      </c>
      <c r="E226" s="15">
        <v>1</v>
      </c>
    </row>
    <row r="227" spans="1:5" x14ac:dyDescent="0.4">
      <c r="A227" s="13" t="s">
        <v>1225</v>
      </c>
      <c r="B227" s="13" t="s">
        <v>24</v>
      </c>
      <c r="C227" s="13" t="s">
        <v>34</v>
      </c>
      <c r="D227" s="14">
        <v>76</v>
      </c>
      <c r="E227" s="15">
        <v>0</v>
      </c>
    </row>
    <row r="228" spans="1:5" x14ac:dyDescent="0.4">
      <c r="A228" s="13" t="s">
        <v>1335</v>
      </c>
      <c r="B228" s="13" t="s">
        <v>26</v>
      </c>
      <c r="C228" s="13" t="s">
        <v>25</v>
      </c>
      <c r="D228" s="14">
        <v>76</v>
      </c>
      <c r="E228" s="15">
        <v>1</v>
      </c>
    </row>
    <row r="229" spans="1:5" x14ac:dyDescent="0.4">
      <c r="A229" s="13" t="s">
        <v>1507</v>
      </c>
      <c r="B229" s="13" t="s">
        <v>26</v>
      </c>
      <c r="C229" s="13" t="s">
        <v>53</v>
      </c>
      <c r="D229" s="14">
        <v>77</v>
      </c>
      <c r="E229" s="15">
        <v>1</v>
      </c>
    </row>
    <row r="230" spans="1:5" x14ac:dyDescent="0.4">
      <c r="A230" s="13" t="s">
        <v>1083</v>
      </c>
      <c r="B230" s="13" t="s">
        <v>24</v>
      </c>
      <c r="C230" s="13" t="s">
        <v>27</v>
      </c>
      <c r="D230" s="14">
        <v>78</v>
      </c>
      <c r="E230" s="15">
        <v>0</v>
      </c>
    </row>
    <row r="231" spans="1:5" x14ac:dyDescent="0.4">
      <c r="A231" s="13" t="s">
        <v>98</v>
      </c>
      <c r="B231" s="13" t="s">
        <v>26</v>
      </c>
      <c r="C231" s="13" t="s">
        <v>44</v>
      </c>
      <c r="D231" s="14">
        <v>80</v>
      </c>
      <c r="E231" s="15">
        <v>4</v>
      </c>
    </row>
    <row r="232" spans="1:5" x14ac:dyDescent="0.4">
      <c r="A232" s="13" t="s">
        <v>767</v>
      </c>
      <c r="B232" s="13" t="s">
        <v>26</v>
      </c>
      <c r="C232" s="13" t="s">
        <v>62</v>
      </c>
      <c r="D232" s="14">
        <v>80</v>
      </c>
      <c r="E232" s="15">
        <v>2</v>
      </c>
    </row>
    <row r="233" spans="1:5" x14ac:dyDescent="0.4">
      <c r="A233" s="13" t="s">
        <v>1411</v>
      </c>
      <c r="B233" s="13" t="s">
        <v>24</v>
      </c>
      <c r="C233" s="13" t="s">
        <v>39</v>
      </c>
      <c r="D233" s="14">
        <v>80</v>
      </c>
      <c r="E233" s="15">
        <v>6</v>
      </c>
    </row>
    <row r="234" spans="1:5" x14ac:dyDescent="0.4">
      <c r="A234" s="13" t="s">
        <v>1801</v>
      </c>
      <c r="B234" s="13" t="s">
        <v>24</v>
      </c>
      <c r="C234" s="13" t="s">
        <v>22</v>
      </c>
      <c r="D234" s="14">
        <v>80</v>
      </c>
      <c r="E234" s="15">
        <v>3</v>
      </c>
    </row>
    <row r="235" spans="1:5" x14ac:dyDescent="0.4">
      <c r="A235" s="13" t="s">
        <v>1861</v>
      </c>
      <c r="B235" s="13" t="s">
        <v>24</v>
      </c>
      <c r="C235" s="13" t="s">
        <v>43</v>
      </c>
      <c r="D235" s="14">
        <v>80</v>
      </c>
      <c r="E235" s="15">
        <v>3</v>
      </c>
    </row>
    <row r="236" spans="1:5" x14ac:dyDescent="0.4">
      <c r="A236" s="13" t="s">
        <v>237</v>
      </c>
      <c r="B236" s="13" t="s">
        <v>24</v>
      </c>
      <c r="C236" s="13" t="s">
        <v>5</v>
      </c>
      <c r="D236" s="14">
        <v>81</v>
      </c>
      <c r="E236" s="15">
        <v>0</v>
      </c>
    </row>
    <row r="237" spans="1:5" x14ac:dyDescent="0.4">
      <c r="A237" s="13" t="s">
        <v>363</v>
      </c>
      <c r="B237" s="13" t="s">
        <v>20</v>
      </c>
      <c r="C237" s="13" t="s">
        <v>111</v>
      </c>
      <c r="D237" s="14">
        <v>81</v>
      </c>
      <c r="E237" s="15">
        <v>4</v>
      </c>
    </row>
    <row r="238" spans="1:5" x14ac:dyDescent="0.4">
      <c r="A238" s="13" t="s">
        <v>1146</v>
      </c>
      <c r="B238" s="13" t="s">
        <v>26</v>
      </c>
      <c r="C238" s="13" t="s">
        <v>28</v>
      </c>
      <c r="D238" s="14">
        <v>81</v>
      </c>
      <c r="E238" s="15">
        <v>0</v>
      </c>
    </row>
    <row r="239" spans="1:5" x14ac:dyDescent="0.4">
      <c r="A239" s="13" t="s">
        <v>1348</v>
      </c>
      <c r="B239" s="13" t="s">
        <v>24</v>
      </c>
      <c r="C239" s="13" t="s">
        <v>44</v>
      </c>
      <c r="D239" s="14">
        <v>81</v>
      </c>
      <c r="E239" s="15">
        <v>0</v>
      </c>
    </row>
    <row r="240" spans="1:5" x14ac:dyDescent="0.4">
      <c r="A240" s="13" t="s">
        <v>283</v>
      </c>
      <c r="B240" s="13" t="s">
        <v>24</v>
      </c>
      <c r="C240" s="13" t="s">
        <v>5</v>
      </c>
      <c r="D240" s="14">
        <v>82</v>
      </c>
      <c r="E240" s="15">
        <v>3</v>
      </c>
    </row>
    <row r="241" spans="1:5" x14ac:dyDescent="0.4">
      <c r="A241" s="13" t="s">
        <v>693</v>
      </c>
      <c r="B241" s="13" t="s">
        <v>20</v>
      </c>
      <c r="C241" s="13" t="s">
        <v>5</v>
      </c>
      <c r="D241" s="14">
        <v>82</v>
      </c>
      <c r="E241" s="15">
        <v>0</v>
      </c>
    </row>
    <row r="242" spans="1:5" x14ac:dyDescent="0.4">
      <c r="A242" s="13" t="s">
        <v>1656</v>
      </c>
      <c r="B242" s="13" t="s">
        <v>20</v>
      </c>
      <c r="C242" s="13" t="s">
        <v>43</v>
      </c>
      <c r="D242" s="14">
        <v>82</v>
      </c>
      <c r="E242" s="15">
        <v>1</v>
      </c>
    </row>
    <row r="243" spans="1:5" x14ac:dyDescent="0.4">
      <c r="A243" s="13" t="s">
        <v>1963</v>
      </c>
      <c r="B243" s="13" t="s">
        <v>24</v>
      </c>
      <c r="C243" s="13" t="s">
        <v>25</v>
      </c>
      <c r="D243" s="14">
        <v>82</v>
      </c>
      <c r="E243" s="15">
        <v>0</v>
      </c>
    </row>
    <row r="244" spans="1:5" x14ac:dyDescent="0.4">
      <c r="A244" s="13" t="s">
        <v>448</v>
      </c>
      <c r="B244" s="13" t="s">
        <v>26</v>
      </c>
      <c r="C244" s="13" t="s">
        <v>28</v>
      </c>
      <c r="D244" s="14">
        <v>83</v>
      </c>
      <c r="E244" s="15">
        <v>0</v>
      </c>
    </row>
    <row r="245" spans="1:5" x14ac:dyDescent="0.4">
      <c r="A245" s="13" t="s">
        <v>1446</v>
      </c>
      <c r="B245" s="13" t="s">
        <v>24</v>
      </c>
      <c r="C245" s="13" t="s">
        <v>30</v>
      </c>
      <c r="D245" s="14">
        <v>83</v>
      </c>
      <c r="E245" s="15">
        <v>0</v>
      </c>
    </row>
    <row r="246" spans="1:5" x14ac:dyDescent="0.4">
      <c r="A246" s="13" t="s">
        <v>1212</v>
      </c>
      <c r="B246" s="13" t="s">
        <v>26</v>
      </c>
      <c r="C246" s="13" t="s">
        <v>62</v>
      </c>
      <c r="D246" s="14">
        <v>84</v>
      </c>
      <c r="E246" s="15">
        <v>0</v>
      </c>
    </row>
    <row r="247" spans="1:5" x14ac:dyDescent="0.4">
      <c r="A247" s="13" t="s">
        <v>136</v>
      </c>
      <c r="B247" s="13" t="s">
        <v>26</v>
      </c>
      <c r="C247" s="13" t="s">
        <v>27</v>
      </c>
      <c r="D247" s="14">
        <v>85</v>
      </c>
      <c r="E247" s="15">
        <v>0</v>
      </c>
    </row>
    <row r="248" spans="1:5" x14ac:dyDescent="0.4">
      <c r="A248" s="13" t="s">
        <v>185</v>
      </c>
      <c r="B248" s="13" t="s">
        <v>24</v>
      </c>
      <c r="C248" s="13" t="s">
        <v>22</v>
      </c>
      <c r="D248" s="14">
        <v>85</v>
      </c>
      <c r="E248" s="15">
        <v>0</v>
      </c>
    </row>
    <row r="249" spans="1:5" x14ac:dyDescent="0.4">
      <c r="A249" s="13" t="s">
        <v>747</v>
      </c>
      <c r="B249" s="13" t="s">
        <v>20</v>
      </c>
      <c r="C249" s="13" t="s">
        <v>21</v>
      </c>
      <c r="D249" s="14">
        <v>85</v>
      </c>
      <c r="E249" s="15">
        <v>0</v>
      </c>
    </row>
    <row r="250" spans="1:5" x14ac:dyDescent="0.4">
      <c r="A250" s="13" t="s">
        <v>1938</v>
      </c>
      <c r="B250" s="13" t="s">
        <v>20</v>
      </c>
      <c r="C250" s="13" t="s">
        <v>27</v>
      </c>
      <c r="D250" s="14">
        <v>85</v>
      </c>
      <c r="E250" s="15">
        <v>6</v>
      </c>
    </row>
    <row r="251" spans="1:5" x14ac:dyDescent="0.4">
      <c r="A251" s="13" t="s">
        <v>1974</v>
      </c>
      <c r="B251" s="13" t="s">
        <v>24</v>
      </c>
      <c r="C251" s="13" t="s">
        <v>30</v>
      </c>
      <c r="D251" s="14">
        <v>85</v>
      </c>
      <c r="E251" s="15">
        <v>10</v>
      </c>
    </row>
    <row r="252" spans="1:5" x14ac:dyDescent="0.4">
      <c r="A252" s="13" t="s">
        <v>380</v>
      </c>
      <c r="B252" s="13" t="s">
        <v>20</v>
      </c>
      <c r="C252" s="13" t="s">
        <v>34</v>
      </c>
      <c r="D252" s="14">
        <v>86</v>
      </c>
      <c r="E252" s="15">
        <v>4</v>
      </c>
    </row>
    <row r="253" spans="1:5" x14ac:dyDescent="0.4">
      <c r="A253" s="13" t="s">
        <v>532</v>
      </c>
      <c r="B253" s="13" t="s">
        <v>24</v>
      </c>
      <c r="C253" s="13" t="s">
        <v>40</v>
      </c>
      <c r="D253" s="14">
        <v>86</v>
      </c>
      <c r="E253" s="15">
        <v>4</v>
      </c>
    </row>
    <row r="254" spans="1:5" x14ac:dyDescent="0.4">
      <c r="A254" s="13" t="s">
        <v>1953</v>
      </c>
      <c r="B254" s="13" t="s">
        <v>24</v>
      </c>
      <c r="C254" s="13" t="s">
        <v>40</v>
      </c>
      <c r="D254" s="14">
        <v>86</v>
      </c>
      <c r="E254" s="15">
        <v>0</v>
      </c>
    </row>
    <row r="255" spans="1:5" x14ac:dyDescent="0.4">
      <c r="A255" s="13" t="s">
        <v>112</v>
      </c>
      <c r="B255" s="13" t="s">
        <v>20</v>
      </c>
      <c r="C255" s="13" t="s">
        <v>40</v>
      </c>
      <c r="D255" s="14">
        <v>87</v>
      </c>
      <c r="E255" s="15">
        <v>1</v>
      </c>
    </row>
    <row r="256" spans="1:5" x14ac:dyDescent="0.4">
      <c r="A256" s="13" t="s">
        <v>665</v>
      </c>
      <c r="B256" s="13" t="s">
        <v>24</v>
      </c>
      <c r="C256" s="13" t="s">
        <v>44</v>
      </c>
      <c r="D256" s="14">
        <v>87</v>
      </c>
      <c r="E256" s="15">
        <v>1</v>
      </c>
    </row>
    <row r="257" spans="1:5" x14ac:dyDescent="0.4">
      <c r="A257" s="13" t="s">
        <v>872</v>
      </c>
      <c r="B257" s="13" t="s">
        <v>26</v>
      </c>
      <c r="C257" s="13" t="s">
        <v>30</v>
      </c>
      <c r="D257" s="14">
        <v>87</v>
      </c>
      <c r="E257" s="15">
        <v>0</v>
      </c>
    </row>
    <row r="258" spans="1:5" x14ac:dyDescent="0.4">
      <c r="A258" s="13" t="s">
        <v>1367</v>
      </c>
      <c r="B258" s="13" t="s">
        <v>24</v>
      </c>
      <c r="C258" s="13" t="s">
        <v>22</v>
      </c>
      <c r="D258" s="14">
        <v>87</v>
      </c>
      <c r="E258" s="15">
        <v>0</v>
      </c>
    </row>
    <row r="259" spans="1:5" x14ac:dyDescent="0.4">
      <c r="A259" s="13" t="s">
        <v>1427</v>
      </c>
      <c r="B259" s="13" t="s">
        <v>20</v>
      </c>
      <c r="C259" s="13" t="s">
        <v>111</v>
      </c>
      <c r="D259" s="14">
        <v>87</v>
      </c>
      <c r="E259" s="15">
        <v>2</v>
      </c>
    </row>
    <row r="260" spans="1:5" x14ac:dyDescent="0.4">
      <c r="A260" s="13" t="s">
        <v>1526</v>
      </c>
      <c r="B260" s="13" t="s">
        <v>20</v>
      </c>
      <c r="C260" s="13" t="s">
        <v>44</v>
      </c>
      <c r="D260" s="14">
        <v>88</v>
      </c>
      <c r="E260" s="15">
        <v>11</v>
      </c>
    </row>
    <row r="261" spans="1:5" x14ac:dyDescent="0.4">
      <c r="A261" s="13" t="s">
        <v>272</v>
      </c>
      <c r="B261" s="13" t="s">
        <v>24</v>
      </c>
      <c r="C261" s="13" t="s">
        <v>5</v>
      </c>
      <c r="D261" s="14">
        <v>89</v>
      </c>
      <c r="E261" s="15">
        <v>1</v>
      </c>
    </row>
    <row r="262" spans="1:5" x14ac:dyDescent="0.4">
      <c r="A262" s="13" t="s">
        <v>660</v>
      </c>
      <c r="B262" s="13" t="s">
        <v>26</v>
      </c>
      <c r="C262" s="13" t="s">
        <v>30</v>
      </c>
      <c r="D262" s="14">
        <v>90</v>
      </c>
      <c r="E262" s="15">
        <v>2</v>
      </c>
    </row>
    <row r="263" spans="1:5" x14ac:dyDescent="0.4">
      <c r="A263" s="13" t="s">
        <v>1704</v>
      </c>
      <c r="B263" s="13" t="s">
        <v>24</v>
      </c>
      <c r="C263" s="13" t="s">
        <v>44</v>
      </c>
      <c r="D263" s="14">
        <v>90</v>
      </c>
      <c r="E263" s="15">
        <v>3</v>
      </c>
    </row>
    <row r="264" spans="1:5" x14ac:dyDescent="0.4">
      <c r="A264" s="13" t="s">
        <v>1771</v>
      </c>
      <c r="B264" s="13" t="s">
        <v>24</v>
      </c>
      <c r="C264" s="13" t="s">
        <v>66</v>
      </c>
      <c r="D264" s="14">
        <v>90</v>
      </c>
      <c r="E264" s="15">
        <v>0</v>
      </c>
    </row>
    <row r="265" spans="1:5" x14ac:dyDescent="0.4">
      <c r="A265" s="13" t="s">
        <v>229</v>
      </c>
      <c r="B265" s="13" t="s">
        <v>26</v>
      </c>
      <c r="C265" s="13" t="s">
        <v>43</v>
      </c>
      <c r="D265" s="14">
        <v>91</v>
      </c>
      <c r="E265" s="15">
        <v>4</v>
      </c>
    </row>
    <row r="266" spans="1:5" x14ac:dyDescent="0.4">
      <c r="A266" s="13" t="s">
        <v>521</v>
      </c>
      <c r="B266" s="13" t="s">
        <v>20</v>
      </c>
      <c r="C266" s="13" t="s">
        <v>44</v>
      </c>
      <c r="D266" s="14">
        <v>91</v>
      </c>
      <c r="E266" s="15">
        <v>0</v>
      </c>
    </row>
    <row r="267" spans="1:5" x14ac:dyDescent="0.4">
      <c r="A267" s="13" t="s">
        <v>318</v>
      </c>
      <c r="B267" s="13" t="s">
        <v>26</v>
      </c>
      <c r="C267" s="13" t="s">
        <v>44</v>
      </c>
      <c r="D267" s="14">
        <v>93</v>
      </c>
      <c r="E267" s="15">
        <v>2</v>
      </c>
    </row>
    <row r="268" spans="1:5" x14ac:dyDescent="0.4">
      <c r="A268" s="13" t="s">
        <v>784</v>
      </c>
      <c r="B268" s="13" t="s">
        <v>24</v>
      </c>
      <c r="C268" s="13" t="s">
        <v>44</v>
      </c>
      <c r="D268" s="14">
        <v>93</v>
      </c>
      <c r="E268" s="15">
        <v>4</v>
      </c>
    </row>
    <row r="269" spans="1:5" x14ac:dyDescent="0.4">
      <c r="A269" s="13" t="s">
        <v>1080</v>
      </c>
      <c r="B269" s="13" t="s">
        <v>24</v>
      </c>
      <c r="C269" s="13" t="s">
        <v>39</v>
      </c>
      <c r="D269" s="14">
        <v>93</v>
      </c>
      <c r="E269" s="15">
        <v>14</v>
      </c>
    </row>
    <row r="270" spans="1:5" x14ac:dyDescent="0.4">
      <c r="A270" s="13" t="s">
        <v>146</v>
      </c>
      <c r="B270" s="13" t="s">
        <v>20</v>
      </c>
      <c r="C270" s="13" t="s">
        <v>44</v>
      </c>
      <c r="D270" s="14">
        <v>94</v>
      </c>
      <c r="E270" s="15">
        <v>9</v>
      </c>
    </row>
    <row r="271" spans="1:5" x14ac:dyDescent="0.4">
      <c r="A271" s="13" t="s">
        <v>957</v>
      </c>
      <c r="B271" s="13" t="s">
        <v>24</v>
      </c>
      <c r="C271" s="13" t="s">
        <v>111</v>
      </c>
      <c r="D271" s="14">
        <v>94</v>
      </c>
      <c r="E271" s="15">
        <v>4</v>
      </c>
    </row>
    <row r="272" spans="1:5" x14ac:dyDescent="0.4">
      <c r="A272" s="13" t="s">
        <v>1337</v>
      </c>
      <c r="B272" s="13" t="s">
        <v>24</v>
      </c>
      <c r="C272" s="13" t="s">
        <v>44</v>
      </c>
      <c r="D272" s="14">
        <v>94</v>
      </c>
      <c r="E272" s="15">
        <v>5</v>
      </c>
    </row>
    <row r="273" spans="1:5" x14ac:dyDescent="0.4">
      <c r="A273" s="13" t="s">
        <v>1391</v>
      </c>
      <c r="B273" s="13" t="s">
        <v>26</v>
      </c>
      <c r="C273" s="13" t="s">
        <v>28</v>
      </c>
      <c r="D273" s="14">
        <v>94</v>
      </c>
      <c r="E273" s="15">
        <v>12</v>
      </c>
    </row>
    <row r="274" spans="1:5" x14ac:dyDescent="0.4">
      <c r="A274" s="13" t="s">
        <v>1802</v>
      </c>
      <c r="B274" s="13" t="s">
        <v>26</v>
      </c>
      <c r="C274" s="13" t="s">
        <v>66</v>
      </c>
      <c r="D274" s="14">
        <v>94</v>
      </c>
      <c r="E274" s="15">
        <v>2</v>
      </c>
    </row>
    <row r="275" spans="1:5" x14ac:dyDescent="0.4">
      <c r="A275" s="13" t="s">
        <v>277</v>
      </c>
      <c r="B275" s="13" t="s">
        <v>20</v>
      </c>
      <c r="C275" s="13" t="s">
        <v>34</v>
      </c>
      <c r="D275" s="14">
        <v>95</v>
      </c>
      <c r="E275" s="15">
        <v>0</v>
      </c>
    </row>
    <row r="276" spans="1:5" x14ac:dyDescent="0.4">
      <c r="A276" s="13" t="s">
        <v>816</v>
      </c>
      <c r="B276" s="13" t="s">
        <v>24</v>
      </c>
      <c r="C276" s="13" t="s">
        <v>33</v>
      </c>
      <c r="D276" s="14">
        <v>95</v>
      </c>
      <c r="E276" s="15">
        <v>4</v>
      </c>
    </row>
    <row r="277" spans="1:5" x14ac:dyDescent="0.4">
      <c r="A277" s="13" t="s">
        <v>1073</v>
      </c>
      <c r="B277" s="13" t="s">
        <v>26</v>
      </c>
      <c r="C277" s="13" t="s">
        <v>66</v>
      </c>
      <c r="D277" s="14">
        <v>95</v>
      </c>
      <c r="E277" s="15">
        <v>2</v>
      </c>
    </row>
    <row r="278" spans="1:5" x14ac:dyDescent="0.4">
      <c r="A278" s="13" t="s">
        <v>1755</v>
      </c>
      <c r="B278" s="13" t="s">
        <v>24</v>
      </c>
      <c r="C278" s="13" t="s">
        <v>28</v>
      </c>
      <c r="D278" s="14">
        <v>95</v>
      </c>
      <c r="E278" s="15">
        <v>2</v>
      </c>
    </row>
    <row r="279" spans="1:5" x14ac:dyDescent="0.4">
      <c r="A279" s="13" t="s">
        <v>831</v>
      </c>
      <c r="B279" s="13" t="s">
        <v>26</v>
      </c>
      <c r="C279" s="13" t="s">
        <v>39</v>
      </c>
      <c r="D279" s="14">
        <v>96</v>
      </c>
      <c r="E279" s="15">
        <v>5</v>
      </c>
    </row>
    <row r="280" spans="1:5" x14ac:dyDescent="0.4">
      <c r="A280" s="13" t="s">
        <v>1404</v>
      </c>
      <c r="B280" s="13" t="s">
        <v>20</v>
      </c>
      <c r="C280" s="13" t="s">
        <v>111</v>
      </c>
      <c r="D280" s="14">
        <v>96</v>
      </c>
      <c r="E280" s="15">
        <v>1</v>
      </c>
    </row>
    <row r="281" spans="1:5" x14ac:dyDescent="0.4">
      <c r="A281" s="13" t="s">
        <v>593</v>
      </c>
      <c r="B281" s="13" t="s">
        <v>20</v>
      </c>
      <c r="C281" s="13" t="s">
        <v>44</v>
      </c>
      <c r="D281" s="14">
        <v>97</v>
      </c>
      <c r="E281" s="15">
        <v>2</v>
      </c>
    </row>
    <row r="282" spans="1:5" x14ac:dyDescent="0.4">
      <c r="A282" s="13" t="s">
        <v>1009</v>
      </c>
      <c r="B282" s="13" t="s">
        <v>24</v>
      </c>
      <c r="C282" s="13" t="s">
        <v>33</v>
      </c>
      <c r="D282" s="14">
        <v>97</v>
      </c>
      <c r="E282" s="15">
        <v>1</v>
      </c>
    </row>
    <row r="283" spans="1:5" x14ac:dyDescent="0.4">
      <c r="A283" s="13" t="s">
        <v>1279</v>
      </c>
      <c r="B283" s="13" t="s">
        <v>20</v>
      </c>
      <c r="C283" s="13" t="s">
        <v>25</v>
      </c>
      <c r="D283" s="14">
        <v>97</v>
      </c>
      <c r="E283" s="15">
        <v>3</v>
      </c>
    </row>
    <row r="284" spans="1:5" x14ac:dyDescent="0.4">
      <c r="A284" s="13" t="s">
        <v>1554</v>
      </c>
      <c r="B284" s="13" t="s">
        <v>26</v>
      </c>
      <c r="C284" s="13" t="s">
        <v>44</v>
      </c>
      <c r="D284" s="14">
        <v>97</v>
      </c>
      <c r="E284" s="15">
        <v>1</v>
      </c>
    </row>
    <row r="285" spans="1:5" x14ac:dyDescent="0.4">
      <c r="A285" s="13" t="s">
        <v>1679</v>
      </c>
      <c r="B285" s="13" t="s">
        <v>20</v>
      </c>
      <c r="C285" s="13" t="s">
        <v>39</v>
      </c>
      <c r="D285" s="14">
        <v>97</v>
      </c>
      <c r="E285" s="15">
        <v>8</v>
      </c>
    </row>
    <row r="286" spans="1:5" x14ac:dyDescent="0.4">
      <c r="A286" s="13" t="s">
        <v>1700</v>
      </c>
      <c r="B286" s="13" t="s">
        <v>24</v>
      </c>
      <c r="C286" s="13" t="s">
        <v>30</v>
      </c>
      <c r="D286" s="14">
        <v>97</v>
      </c>
      <c r="E286" s="15">
        <v>6</v>
      </c>
    </row>
    <row r="287" spans="1:5" x14ac:dyDescent="0.4">
      <c r="A287" s="13" t="s">
        <v>54</v>
      </c>
      <c r="B287" s="13" t="s">
        <v>20</v>
      </c>
      <c r="C287" s="13" t="s">
        <v>44</v>
      </c>
      <c r="D287" s="14">
        <v>98</v>
      </c>
      <c r="E287" s="15">
        <v>0</v>
      </c>
    </row>
    <row r="288" spans="1:5" x14ac:dyDescent="0.4">
      <c r="A288" s="13" t="s">
        <v>399</v>
      </c>
      <c r="B288" s="13" t="s">
        <v>26</v>
      </c>
      <c r="C288" s="13" t="s">
        <v>62</v>
      </c>
      <c r="D288" s="14">
        <v>98</v>
      </c>
      <c r="E288" s="15">
        <v>1</v>
      </c>
    </row>
    <row r="289" spans="1:5" x14ac:dyDescent="0.4">
      <c r="A289" s="13" t="s">
        <v>678</v>
      </c>
      <c r="B289" s="13" t="s">
        <v>26</v>
      </c>
      <c r="C289" s="13" t="s">
        <v>43</v>
      </c>
      <c r="D289" s="14">
        <v>98</v>
      </c>
      <c r="E289" s="15">
        <v>1</v>
      </c>
    </row>
    <row r="290" spans="1:5" x14ac:dyDescent="0.4">
      <c r="A290" s="13" t="s">
        <v>1246</v>
      </c>
      <c r="B290" s="13" t="s">
        <v>20</v>
      </c>
      <c r="C290" s="13" t="s">
        <v>5</v>
      </c>
      <c r="D290" s="14">
        <v>98</v>
      </c>
      <c r="E290" s="15">
        <v>13</v>
      </c>
    </row>
    <row r="291" spans="1:5" x14ac:dyDescent="0.4">
      <c r="A291" s="13" t="s">
        <v>615</v>
      </c>
      <c r="B291" s="13" t="s">
        <v>24</v>
      </c>
      <c r="C291" s="13" t="s">
        <v>33</v>
      </c>
      <c r="D291" s="14">
        <v>99</v>
      </c>
      <c r="E291" s="15">
        <v>3</v>
      </c>
    </row>
    <row r="292" spans="1:5" x14ac:dyDescent="0.4">
      <c r="A292" s="13" t="s">
        <v>842</v>
      </c>
      <c r="B292" s="13" t="s">
        <v>20</v>
      </c>
      <c r="C292" s="13" t="s">
        <v>32</v>
      </c>
      <c r="D292" s="14">
        <v>99</v>
      </c>
      <c r="E292" s="15">
        <v>4</v>
      </c>
    </row>
    <row r="293" spans="1:5" x14ac:dyDescent="0.4">
      <c r="A293" s="13" t="s">
        <v>444</v>
      </c>
      <c r="B293" s="13" t="s">
        <v>26</v>
      </c>
      <c r="C293" s="13" t="s">
        <v>66</v>
      </c>
      <c r="D293" s="14">
        <v>100</v>
      </c>
      <c r="E293" s="15">
        <v>0</v>
      </c>
    </row>
    <row r="294" spans="1:5" x14ac:dyDescent="0.4">
      <c r="A294" s="13" t="s">
        <v>526</v>
      </c>
      <c r="B294" s="13" t="s">
        <v>20</v>
      </c>
      <c r="C294" s="13" t="s">
        <v>44</v>
      </c>
      <c r="D294" s="14">
        <v>100</v>
      </c>
      <c r="E294" s="15">
        <v>4</v>
      </c>
    </row>
    <row r="295" spans="1:5" x14ac:dyDescent="0.4">
      <c r="A295" s="13" t="s">
        <v>550</v>
      </c>
      <c r="B295" s="13" t="s">
        <v>24</v>
      </c>
      <c r="C295" s="13" t="s">
        <v>44</v>
      </c>
      <c r="D295" s="14">
        <v>100</v>
      </c>
      <c r="E295" s="15">
        <v>1</v>
      </c>
    </row>
    <row r="296" spans="1:5" x14ac:dyDescent="0.4">
      <c r="A296" s="13" t="s">
        <v>1500</v>
      </c>
      <c r="B296" s="13" t="s">
        <v>26</v>
      </c>
      <c r="C296" s="13" t="s">
        <v>5</v>
      </c>
      <c r="D296" s="14">
        <v>100</v>
      </c>
      <c r="E296" s="15">
        <v>3</v>
      </c>
    </row>
    <row r="297" spans="1:5" x14ac:dyDescent="0.4">
      <c r="A297" s="13" t="s">
        <v>1654</v>
      </c>
      <c r="B297" s="13" t="s">
        <v>26</v>
      </c>
      <c r="C297" s="13" t="s">
        <v>21</v>
      </c>
      <c r="D297" s="14">
        <v>100</v>
      </c>
      <c r="E297" s="15">
        <v>3</v>
      </c>
    </row>
    <row r="298" spans="1:5" x14ac:dyDescent="0.4">
      <c r="A298" s="13" t="s">
        <v>1715</v>
      </c>
      <c r="B298" s="13" t="s">
        <v>24</v>
      </c>
      <c r="C298" s="13" t="s">
        <v>30</v>
      </c>
      <c r="D298" s="14">
        <v>100</v>
      </c>
      <c r="E298" s="15">
        <v>9</v>
      </c>
    </row>
    <row r="299" spans="1:5" x14ac:dyDescent="0.4">
      <c r="A299" s="13" t="s">
        <v>1062</v>
      </c>
      <c r="B299" s="13" t="s">
        <v>20</v>
      </c>
      <c r="C299" s="13" t="s">
        <v>25</v>
      </c>
      <c r="D299" s="14">
        <v>101</v>
      </c>
      <c r="E299" s="15">
        <v>9</v>
      </c>
    </row>
    <row r="300" spans="1:5" x14ac:dyDescent="0.4">
      <c r="A300" s="13" t="s">
        <v>1296</v>
      </c>
      <c r="B300" s="13" t="s">
        <v>26</v>
      </c>
      <c r="C300" s="13" t="s">
        <v>44</v>
      </c>
      <c r="D300" s="14">
        <v>101</v>
      </c>
      <c r="E300" s="15">
        <v>3</v>
      </c>
    </row>
    <row r="301" spans="1:5" x14ac:dyDescent="0.4">
      <c r="A301" s="13" t="s">
        <v>1858</v>
      </c>
      <c r="B301" s="13" t="s">
        <v>20</v>
      </c>
      <c r="C301" s="13" t="s">
        <v>5</v>
      </c>
      <c r="D301" s="14">
        <v>101</v>
      </c>
      <c r="E301" s="15">
        <v>0</v>
      </c>
    </row>
    <row r="302" spans="1:5" x14ac:dyDescent="0.4">
      <c r="A302" s="13" t="s">
        <v>983</v>
      </c>
      <c r="B302" s="13" t="s">
        <v>26</v>
      </c>
      <c r="C302" s="13" t="s">
        <v>30</v>
      </c>
      <c r="D302" s="14">
        <v>102</v>
      </c>
      <c r="E302" s="15">
        <v>4</v>
      </c>
    </row>
    <row r="303" spans="1:5" x14ac:dyDescent="0.4">
      <c r="A303" s="13" t="s">
        <v>1174</v>
      </c>
      <c r="B303" s="13" t="s">
        <v>24</v>
      </c>
      <c r="C303" s="13" t="s">
        <v>39</v>
      </c>
      <c r="D303" s="14">
        <v>102</v>
      </c>
      <c r="E303" s="15">
        <v>1</v>
      </c>
    </row>
    <row r="304" spans="1:5" x14ac:dyDescent="0.4">
      <c r="A304" s="13" t="s">
        <v>1777</v>
      </c>
      <c r="B304" s="13" t="s">
        <v>26</v>
      </c>
      <c r="C304" s="13" t="s">
        <v>111</v>
      </c>
      <c r="D304" s="14">
        <v>102</v>
      </c>
      <c r="E304" s="15">
        <v>2</v>
      </c>
    </row>
    <row r="305" spans="1:5" x14ac:dyDescent="0.4">
      <c r="A305" s="13" t="s">
        <v>779</v>
      </c>
      <c r="B305" s="13" t="s">
        <v>26</v>
      </c>
      <c r="C305" s="13" t="s">
        <v>39</v>
      </c>
      <c r="D305" s="14">
        <v>103</v>
      </c>
      <c r="E305" s="15">
        <v>0</v>
      </c>
    </row>
    <row r="306" spans="1:5" x14ac:dyDescent="0.4">
      <c r="A306" s="13" t="s">
        <v>1145</v>
      </c>
      <c r="B306" s="13" t="s">
        <v>20</v>
      </c>
      <c r="C306" s="13" t="s">
        <v>39</v>
      </c>
      <c r="D306" s="14">
        <v>103</v>
      </c>
      <c r="E306" s="15">
        <v>0</v>
      </c>
    </row>
    <row r="307" spans="1:5" x14ac:dyDescent="0.4">
      <c r="A307" s="13" t="s">
        <v>1340</v>
      </c>
      <c r="B307" s="13" t="s">
        <v>24</v>
      </c>
      <c r="C307" s="13" t="s">
        <v>33</v>
      </c>
      <c r="D307" s="14">
        <v>103</v>
      </c>
      <c r="E307" s="15">
        <v>0</v>
      </c>
    </row>
    <row r="308" spans="1:5" x14ac:dyDescent="0.4">
      <c r="A308" s="13" t="s">
        <v>1452</v>
      </c>
      <c r="B308" s="13" t="s">
        <v>26</v>
      </c>
      <c r="C308" s="13" t="s">
        <v>39</v>
      </c>
      <c r="D308" s="14">
        <v>103</v>
      </c>
      <c r="E308" s="15">
        <v>1</v>
      </c>
    </row>
    <row r="309" spans="1:5" x14ac:dyDescent="0.4">
      <c r="A309" s="13" t="s">
        <v>1613</v>
      </c>
      <c r="B309" s="13" t="s">
        <v>26</v>
      </c>
      <c r="C309" s="13" t="s">
        <v>30</v>
      </c>
      <c r="D309" s="14">
        <v>103</v>
      </c>
      <c r="E309" s="15">
        <v>7</v>
      </c>
    </row>
    <row r="310" spans="1:5" x14ac:dyDescent="0.4">
      <c r="A310" s="13" t="s">
        <v>514</v>
      </c>
      <c r="B310" s="13" t="s">
        <v>26</v>
      </c>
      <c r="C310" s="13" t="s">
        <v>44</v>
      </c>
      <c r="D310" s="14">
        <v>104</v>
      </c>
      <c r="E310" s="15">
        <v>0</v>
      </c>
    </row>
    <row r="311" spans="1:5" x14ac:dyDescent="0.4">
      <c r="A311" s="13" t="s">
        <v>679</v>
      </c>
      <c r="B311" s="13" t="s">
        <v>20</v>
      </c>
      <c r="C311" s="13" t="s">
        <v>66</v>
      </c>
      <c r="D311" s="14">
        <v>104</v>
      </c>
      <c r="E311" s="15">
        <v>3</v>
      </c>
    </row>
    <row r="312" spans="1:5" x14ac:dyDescent="0.4">
      <c r="A312" s="13" t="s">
        <v>1098</v>
      </c>
      <c r="B312" s="13" t="s">
        <v>26</v>
      </c>
      <c r="C312" s="13" t="s">
        <v>22</v>
      </c>
      <c r="D312" s="14">
        <v>104</v>
      </c>
      <c r="E312" s="15">
        <v>0</v>
      </c>
    </row>
    <row r="313" spans="1:5" x14ac:dyDescent="0.4">
      <c r="A313" s="13" t="s">
        <v>388</v>
      </c>
      <c r="B313" s="13" t="s">
        <v>26</v>
      </c>
      <c r="C313" s="13" t="s">
        <v>5</v>
      </c>
      <c r="D313" s="14">
        <v>105</v>
      </c>
      <c r="E313" s="15">
        <v>3</v>
      </c>
    </row>
    <row r="314" spans="1:5" x14ac:dyDescent="0.4">
      <c r="A314" s="13" t="s">
        <v>774</v>
      </c>
      <c r="B314" s="13" t="s">
        <v>24</v>
      </c>
      <c r="C314" s="13" t="s">
        <v>22</v>
      </c>
      <c r="D314" s="14">
        <v>105</v>
      </c>
      <c r="E314" s="15">
        <v>0</v>
      </c>
    </row>
    <row r="315" spans="1:5" x14ac:dyDescent="0.4">
      <c r="A315" s="13" t="s">
        <v>1275</v>
      </c>
      <c r="B315" s="13" t="s">
        <v>26</v>
      </c>
      <c r="C315" s="13" t="s">
        <v>62</v>
      </c>
      <c r="D315" s="14">
        <v>105</v>
      </c>
      <c r="E315" s="15">
        <v>1</v>
      </c>
    </row>
    <row r="316" spans="1:5" x14ac:dyDescent="0.4">
      <c r="A316" s="13" t="s">
        <v>1138</v>
      </c>
      <c r="B316" s="13" t="s">
        <v>20</v>
      </c>
      <c r="C316" s="13" t="s">
        <v>44</v>
      </c>
      <c r="D316" s="14">
        <v>106</v>
      </c>
      <c r="E316" s="15">
        <v>0</v>
      </c>
    </row>
    <row r="317" spans="1:5" x14ac:dyDescent="0.4">
      <c r="A317" s="13" t="s">
        <v>197</v>
      </c>
      <c r="B317" s="13" t="s">
        <v>26</v>
      </c>
      <c r="C317" s="13" t="s">
        <v>62</v>
      </c>
      <c r="D317" s="14">
        <v>107</v>
      </c>
      <c r="E317" s="15">
        <v>1</v>
      </c>
    </row>
    <row r="318" spans="1:5" x14ac:dyDescent="0.4">
      <c r="A318" s="13" t="s">
        <v>1596</v>
      </c>
      <c r="B318" s="13" t="s">
        <v>24</v>
      </c>
      <c r="C318" s="13" t="s">
        <v>66</v>
      </c>
      <c r="D318" s="14">
        <v>107</v>
      </c>
      <c r="E318" s="15">
        <v>0</v>
      </c>
    </row>
    <row r="319" spans="1:5" x14ac:dyDescent="0.4">
      <c r="A319" s="13" t="s">
        <v>63</v>
      </c>
      <c r="B319" s="13" t="s">
        <v>24</v>
      </c>
      <c r="C319" s="13" t="s">
        <v>27</v>
      </c>
      <c r="D319" s="14">
        <v>108</v>
      </c>
      <c r="E319" s="15">
        <v>0</v>
      </c>
    </row>
    <row r="320" spans="1:5" x14ac:dyDescent="0.4">
      <c r="A320" s="13" t="s">
        <v>90</v>
      </c>
      <c r="B320" s="13" t="s">
        <v>24</v>
      </c>
      <c r="C320" s="13" t="s">
        <v>21</v>
      </c>
      <c r="D320" s="14">
        <v>108</v>
      </c>
      <c r="E320" s="15">
        <v>0</v>
      </c>
    </row>
    <row r="321" spans="1:5" x14ac:dyDescent="0.4">
      <c r="A321" s="13" t="s">
        <v>144</v>
      </c>
      <c r="B321" s="13" t="s">
        <v>24</v>
      </c>
      <c r="C321" s="13" t="s">
        <v>39</v>
      </c>
      <c r="D321" s="14">
        <v>108</v>
      </c>
      <c r="E321" s="15">
        <v>4</v>
      </c>
    </row>
    <row r="322" spans="1:5" x14ac:dyDescent="0.4">
      <c r="A322" s="13" t="s">
        <v>489</v>
      </c>
      <c r="B322" s="13" t="s">
        <v>24</v>
      </c>
      <c r="C322" s="13" t="s">
        <v>25</v>
      </c>
      <c r="D322" s="14">
        <v>108</v>
      </c>
      <c r="E322" s="15">
        <v>10</v>
      </c>
    </row>
    <row r="323" spans="1:5" x14ac:dyDescent="0.4">
      <c r="A323" s="13" t="s">
        <v>742</v>
      </c>
      <c r="B323" s="13" t="s">
        <v>20</v>
      </c>
      <c r="C323" s="13" t="s">
        <v>53</v>
      </c>
      <c r="D323" s="14">
        <v>108</v>
      </c>
      <c r="E323" s="15">
        <v>4</v>
      </c>
    </row>
    <row r="324" spans="1:5" x14ac:dyDescent="0.4">
      <c r="A324" s="13" t="s">
        <v>961</v>
      </c>
      <c r="B324" s="13" t="s">
        <v>26</v>
      </c>
      <c r="C324" s="13" t="s">
        <v>32</v>
      </c>
      <c r="D324" s="14">
        <v>108</v>
      </c>
      <c r="E324" s="15">
        <v>1</v>
      </c>
    </row>
    <row r="325" spans="1:5" x14ac:dyDescent="0.4">
      <c r="A325" s="13" t="s">
        <v>1002</v>
      </c>
      <c r="B325" s="13" t="s">
        <v>24</v>
      </c>
      <c r="C325" s="13" t="s">
        <v>30</v>
      </c>
      <c r="D325" s="14">
        <v>108</v>
      </c>
      <c r="E325" s="15">
        <v>1</v>
      </c>
    </row>
    <row r="326" spans="1:5" x14ac:dyDescent="0.4">
      <c r="A326" s="13" t="s">
        <v>1630</v>
      </c>
      <c r="B326" s="13" t="s">
        <v>20</v>
      </c>
      <c r="C326" s="13" t="s">
        <v>27</v>
      </c>
      <c r="D326" s="14">
        <v>108</v>
      </c>
      <c r="E326" s="15">
        <v>6</v>
      </c>
    </row>
    <row r="327" spans="1:5" x14ac:dyDescent="0.4">
      <c r="A327" s="13" t="s">
        <v>902</v>
      </c>
      <c r="B327" s="13" t="s">
        <v>20</v>
      </c>
      <c r="C327" s="13" t="s">
        <v>27</v>
      </c>
      <c r="D327" s="14">
        <v>109</v>
      </c>
      <c r="E327" s="15">
        <v>5</v>
      </c>
    </row>
    <row r="328" spans="1:5" x14ac:dyDescent="0.4">
      <c r="A328" s="13" t="s">
        <v>1052</v>
      </c>
      <c r="B328" s="13" t="s">
        <v>24</v>
      </c>
      <c r="C328" s="13" t="s">
        <v>5</v>
      </c>
      <c r="D328" s="14">
        <v>109</v>
      </c>
      <c r="E328" s="15">
        <v>1</v>
      </c>
    </row>
    <row r="329" spans="1:5" x14ac:dyDescent="0.4">
      <c r="A329" s="13" t="s">
        <v>1252</v>
      </c>
      <c r="B329" s="13" t="s">
        <v>24</v>
      </c>
      <c r="C329" s="13" t="s">
        <v>21</v>
      </c>
      <c r="D329" s="14">
        <v>109</v>
      </c>
      <c r="E329" s="15">
        <v>0</v>
      </c>
    </row>
    <row r="330" spans="1:5" x14ac:dyDescent="0.4">
      <c r="A330" s="13" t="s">
        <v>119</v>
      </c>
      <c r="B330" s="13" t="s">
        <v>26</v>
      </c>
      <c r="C330" s="13" t="s">
        <v>39</v>
      </c>
      <c r="D330" s="14">
        <v>110</v>
      </c>
      <c r="E330" s="15">
        <v>1</v>
      </c>
    </row>
    <row r="331" spans="1:5" x14ac:dyDescent="0.4">
      <c r="A331" s="13" t="s">
        <v>736</v>
      </c>
      <c r="B331" s="13" t="s">
        <v>26</v>
      </c>
      <c r="C331" s="13" t="s">
        <v>28</v>
      </c>
      <c r="D331" s="14">
        <v>110</v>
      </c>
      <c r="E331" s="15">
        <v>13</v>
      </c>
    </row>
    <row r="332" spans="1:5" x14ac:dyDescent="0.4">
      <c r="A332" s="13" t="s">
        <v>904</v>
      </c>
      <c r="B332" s="13" t="s">
        <v>24</v>
      </c>
      <c r="C332" s="13" t="s">
        <v>27</v>
      </c>
      <c r="D332" s="14">
        <v>110</v>
      </c>
      <c r="E332" s="15">
        <v>0</v>
      </c>
    </row>
    <row r="333" spans="1:5" x14ac:dyDescent="0.4">
      <c r="A333" s="13" t="s">
        <v>1553</v>
      </c>
      <c r="B333" s="13" t="s">
        <v>20</v>
      </c>
      <c r="C333" s="13" t="s">
        <v>111</v>
      </c>
      <c r="D333" s="14">
        <v>110</v>
      </c>
      <c r="E333" s="15">
        <v>0</v>
      </c>
    </row>
    <row r="334" spans="1:5" x14ac:dyDescent="0.4">
      <c r="A334" s="13" t="s">
        <v>1479</v>
      </c>
      <c r="B334" s="13" t="s">
        <v>20</v>
      </c>
      <c r="C334" s="13" t="s">
        <v>22</v>
      </c>
      <c r="D334" s="14">
        <v>111</v>
      </c>
      <c r="E334" s="15">
        <v>0</v>
      </c>
    </row>
    <row r="335" spans="1:5" x14ac:dyDescent="0.4">
      <c r="A335" s="13" t="s">
        <v>837</v>
      </c>
      <c r="B335" s="13" t="s">
        <v>20</v>
      </c>
      <c r="C335" s="13" t="s">
        <v>25</v>
      </c>
      <c r="D335" s="14">
        <v>112</v>
      </c>
      <c r="E335" s="15">
        <v>10</v>
      </c>
    </row>
    <row r="336" spans="1:5" x14ac:dyDescent="0.4">
      <c r="A336" s="13" t="s">
        <v>1386</v>
      </c>
      <c r="B336" s="13" t="s">
        <v>24</v>
      </c>
      <c r="C336" s="13" t="s">
        <v>44</v>
      </c>
      <c r="D336" s="14">
        <v>112</v>
      </c>
      <c r="E336" s="15">
        <v>1</v>
      </c>
    </row>
    <row r="337" spans="1:5" x14ac:dyDescent="0.4">
      <c r="A337" s="13" t="s">
        <v>227</v>
      </c>
      <c r="B337" s="13" t="s">
        <v>26</v>
      </c>
      <c r="C337" s="13" t="s">
        <v>44</v>
      </c>
      <c r="D337" s="14">
        <v>113</v>
      </c>
      <c r="E337" s="15">
        <v>1</v>
      </c>
    </row>
    <row r="338" spans="1:5" x14ac:dyDescent="0.4">
      <c r="A338" s="13" t="s">
        <v>447</v>
      </c>
      <c r="B338" s="13" t="s">
        <v>24</v>
      </c>
      <c r="C338" s="13" t="s">
        <v>5</v>
      </c>
      <c r="D338" s="14">
        <v>113</v>
      </c>
      <c r="E338" s="15">
        <v>4</v>
      </c>
    </row>
    <row r="339" spans="1:5" x14ac:dyDescent="0.4">
      <c r="A339" s="13" t="s">
        <v>700</v>
      </c>
      <c r="B339" s="13" t="s">
        <v>24</v>
      </c>
      <c r="C339" s="13" t="s">
        <v>5</v>
      </c>
      <c r="D339" s="14">
        <v>113</v>
      </c>
      <c r="E339" s="15">
        <v>2</v>
      </c>
    </row>
    <row r="340" spans="1:5" x14ac:dyDescent="0.4">
      <c r="A340" s="13" t="s">
        <v>97</v>
      </c>
      <c r="B340" s="13" t="s">
        <v>24</v>
      </c>
      <c r="C340" s="13" t="s">
        <v>21</v>
      </c>
      <c r="D340" s="14">
        <v>114</v>
      </c>
      <c r="E340" s="15">
        <v>1</v>
      </c>
    </row>
    <row r="341" spans="1:5" x14ac:dyDescent="0.4">
      <c r="A341" s="13" t="s">
        <v>244</v>
      </c>
      <c r="B341" s="13" t="s">
        <v>26</v>
      </c>
      <c r="C341" s="13" t="s">
        <v>44</v>
      </c>
      <c r="D341" s="14">
        <v>114</v>
      </c>
      <c r="E341" s="15">
        <v>12</v>
      </c>
    </row>
    <row r="342" spans="1:5" x14ac:dyDescent="0.4">
      <c r="A342" s="13" t="s">
        <v>682</v>
      </c>
      <c r="B342" s="13" t="s">
        <v>26</v>
      </c>
      <c r="C342" s="13" t="s">
        <v>32</v>
      </c>
      <c r="D342" s="14">
        <v>114</v>
      </c>
      <c r="E342" s="15">
        <v>1</v>
      </c>
    </row>
    <row r="343" spans="1:5" x14ac:dyDescent="0.4">
      <c r="A343" s="13" t="s">
        <v>1280</v>
      </c>
      <c r="B343" s="13" t="s">
        <v>26</v>
      </c>
      <c r="C343" s="13" t="s">
        <v>53</v>
      </c>
      <c r="D343" s="14">
        <v>114</v>
      </c>
      <c r="E343" s="15">
        <v>4</v>
      </c>
    </row>
    <row r="344" spans="1:5" x14ac:dyDescent="0.4">
      <c r="A344" s="13" t="s">
        <v>1344</v>
      </c>
      <c r="B344" s="13" t="s">
        <v>24</v>
      </c>
      <c r="C344" s="13" t="s">
        <v>44</v>
      </c>
      <c r="D344" s="14">
        <v>114</v>
      </c>
      <c r="E344" s="15">
        <v>1</v>
      </c>
    </row>
    <row r="345" spans="1:5" x14ac:dyDescent="0.4">
      <c r="A345" s="13" t="s">
        <v>813</v>
      </c>
      <c r="B345" s="13" t="s">
        <v>24</v>
      </c>
      <c r="C345" s="13" t="s">
        <v>43</v>
      </c>
      <c r="D345" s="14">
        <v>115</v>
      </c>
      <c r="E345" s="15">
        <v>0</v>
      </c>
    </row>
    <row r="346" spans="1:5" x14ac:dyDescent="0.4">
      <c r="A346" s="13" t="s">
        <v>1032</v>
      </c>
      <c r="B346" s="13" t="s">
        <v>26</v>
      </c>
      <c r="C346" s="13" t="s">
        <v>34</v>
      </c>
      <c r="D346" s="14">
        <v>116</v>
      </c>
      <c r="E346" s="15">
        <v>1</v>
      </c>
    </row>
    <row r="347" spans="1:5" x14ac:dyDescent="0.4">
      <c r="A347" s="13" t="s">
        <v>1189</v>
      </c>
      <c r="B347" s="13" t="s">
        <v>26</v>
      </c>
      <c r="C347" s="13" t="s">
        <v>111</v>
      </c>
      <c r="D347" s="14">
        <v>116</v>
      </c>
      <c r="E347" s="15">
        <v>2</v>
      </c>
    </row>
    <row r="348" spans="1:5" x14ac:dyDescent="0.4">
      <c r="A348" s="13" t="s">
        <v>1378</v>
      </c>
      <c r="B348" s="13" t="s">
        <v>26</v>
      </c>
      <c r="C348" s="13" t="s">
        <v>39</v>
      </c>
      <c r="D348" s="14">
        <v>116</v>
      </c>
      <c r="E348" s="15">
        <v>10</v>
      </c>
    </row>
    <row r="349" spans="1:5" x14ac:dyDescent="0.4">
      <c r="A349" s="13" t="s">
        <v>1775</v>
      </c>
      <c r="B349" s="13" t="s">
        <v>20</v>
      </c>
      <c r="C349" s="13" t="s">
        <v>39</v>
      </c>
      <c r="D349" s="14">
        <v>116</v>
      </c>
      <c r="E349" s="15">
        <v>0</v>
      </c>
    </row>
    <row r="350" spans="1:5" x14ac:dyDescent="0.4">
      <c r="A350" s="13" t="s">
        <v>304</v>
      </c>
      <c r="B350" s="13" t="s">
        <v>24</v>
      </c>
      <c r="C350" s="13" t="s">
        <v>44</v>
      </c>
      <c r="D350" s="14">
        <v>117</v>
      </c>
      <c r="E350" s="15">
        <v>1</v>
      </c>
    </row>
    <row r="351" spans="1:5" x14ac:dyDescent="0.4">
      <c r="A351" s="13" t="s">
        <v>443</v>
      </c>
      <c r="B351" s="13" t="s">
        <v>24</v>
      </c>
      <c r="C351" s="13" t="s">
        <v>62</v>
      </c>
      <c r="D351" s="14">
        <v>117</v>
      </c>
      <c r="E351" s="15">
        <v>0</v>
      </c>
    </row>
    <row r="352" spans="1:5" x14ac:dyDescent="0.4">
      <c r="A352" s="13" t="s">
        <v>941</v>
      </c>
      <c r="B352" s="13" t="s">
        <v>24</v>
      </c>
      <c r="C352" s="13" t="s">
        <v>25</v>
      </c>
      <c r="D352" s="14">
        <v>117</v>
      </c>
      <c r="E352" s="15">
        <v>13</v>
      </c>
    </row>
    <row r="353" spans="1:5" x14ac:dyDescent="0.4">
      <c r="A353" s="13" t="s">
        <v>944</v>
      </c>
      <c r="B353" s="13" t="s">
        <v>26</v>
      </c>
      <c r="C353" s="13" t="s">
        <v>5</v>
      </c>
      <c r="D353" s="14">
        <v>117</v>
      </c>
      <c r="E353" s="15">
        <v>1</v>
      </c>
    </row>
    <row r="354" spans="1:5" x14ac:dyDescent="0.4">
      <c r="A354" s="13" t="s">
        <v>1299</v>
      </c>
      <c r="B354" s="13" t="s">
        <v>24</v>
      </c>
      <c r="C354" s="13" t="s">
        <v>32</v>
      </c>
      <c r="D354" s="14">
        <v>117</v>
      </c>
      <c r="E354" s="15">
        <v>11</v>
      </c>
    </row>
    <row r="355" spans="1:5" x14ac:dyDescent="0.4">
      <c r="A355" s="13" t="s">
        <v>1462</v>
      </c>
      <c r="B355" s="13" t="s">
        <v>24</v>
      </c>
      <c r="C355" s="13" t="s">
        <v>27</v>
      </c>
      <c r="D355" s="14">
        <v>117</v>
      </c>
      <c r="E355" s="15">
        <v>6</v>
      </c>
    </row>
    <row r="356" spans="1:5" x14ac:dyDescent="0.4">
      <c r="A356" s="13" t="s">
        <v>650</v>
      </c>
      <c r="B356" s="13" t="s">
        <v>20</v>
      </c>
      <c r="C356" s="13" t="s">
        <v>22</v>
      </c>
      <c r="D356" s="14">
        <v>118</v>
      </c>
      <c r="E356" s="15">
        <v>2</v>
      </c>
    </row>
    <row r="357" spans="1:5" x14ac:dyDescent="0.4">
      <c r="A357" s="13" t="s">
        <v>888</v>
      </c>
      <c r="B357" s="13" t="s">
        <v>20</v>
      </c>
      <c r="C357" s="13" t="s">
        <v>40</v>
      </c>
      <c r="D357" s="14">
        <v>118</v>
      </c>
      <c r="E357" s="15">
        <v>9</v>
      </c>
    </row>
    <row r="358" spans="1:5" x14ac:dyDescent="0.4">
      <c r="A358" s="13" t="s">
        <v>997</v>
      </c>
      <c r="B358" s="13" t="s">
        <v>24</v>
      </c>
      <c r="C358" s="13" t="s">
        <v>39</v>
      </c>
      <c r="D358" s="14">
        <v>118</v>
      </c>
      <c r="E358" s="15">
        <v>11</v>
      </c>
    </row>
    <row r="359" spans="1:5" x14ac:dyDescent="0.4">
      <c r="A359" s="13" t="s">
        <v>710</v>
      </c>
      <c r="B359" s="13" t="s">
        <v>24</v>
      </c>
      <c r="C359" s="13" t="s">
        <v>27</v>
      </c>
      <c r="D359" s="14">
        <v>119</v>
      </c>
      <c r="E359" s="15">
        <v>6</v>
      </c>
    </row>
    <row r="360" spans="1:5" x14ac:dyDescent="0.4">
      <c r="A360" s="13" t="s">
        <v>760</v>
      </c>
      <c r="B360" s="13" t="s">
        <v>24</v>
      </c>
      <c r="C360" s="13" t="s">
        <v>30</v>
      </c>
      <c r="D360" s="14">
        <v>119</v>
      </c>
      <c r="E360" s="15">
        <v>6</v>
      </c>
    </row>
    <row r="361" spans="1:5" x14ac:dyDescent="0.4">
      <c r="A361" s="13" t="s">
        <v>1430</v>
      </c>
      <c r="B361" s="13" t="s">
        <v>20</v>
      </c>
      <c r="C361" s="13" t="s">
        <v>43</v>
      </c>
      <c r="D361" s="14">
        <v>119</v>
      </c>
      <c r="E361" s="15">
        <v>4</v>
      </c>
    </row>
    <row r="362" spans="1:5" x14ac:dyDescent="0.4">
      <c r="A362" s="13" t="s">
        <v>830</v>
      </c>
      <c r="B362" s="13" t="s">
        <v>20</v>
      </c>
      <c r="C362" s="13" t="s">
        <v>44</v>
      </c>
      <c r="D362" s="14">
        <v>121</v>
      </c>
      <c r="E362" s="15">
        <v>0</v>
      </c>
    </row>
    <row r="363" spans="1:5" x14ac:dyDescent="0.4">
      <c r="A363" s="13" t="s">
        <v>928</v>
      </c>
      <c r="B363" s="13" t="s">
        <v>20</v>
      </c>
      <c r="C363" s="13" t="s">
        <v>44</v>
      </c>
      <c r="D363" s="14">
        <v>121</v>
      </c>
      <c r="E363" s="15">
        <v>1</v>
      </c>
    </row>
    <row r="364" spans="1:5" x14ac:dyDescent="0.4">
      <c r="A364" s="13" t="s">
        <v>970</v>
      </c>
      <c r="B364" s="13" t="s">
        <v>20</v>
      </c>
      <c r="C364" s="13" t="s">
        <v>30</v>
      </c>
      <c r="D364" s="14">
        <v>121</v>
      </c>
      <c r="E364" s="15">
        <v>5</v>
      </c>
    </row>
    <row r="365" spans="1:5" x14ac:dyDescent="0.4">
      <c r="A365" s="13" t="s">
        <v>1178</v>
      </c>
      <c r="B365" s="13" t="s">
        <v>24</v>
      </c>
      <c r="C365" s="13" t="s">
        <v>27</v>
      </c>
      <c r="D365" s="14">
        <v>121</v>
      </c>
      <c r="E365" s="15">
        <v>13</v>
      </c>
    </row>
    <row r="366" spans="1:5" x14ac:dyDescent="0.4">
      <c r="A366" s="13" t="s">
        <v>1673</v>
      </c>
      <c r="B366" s="13" t="s">
        <v>20</v>
      </c>
      <c r="C366" s="13" t="s">
        <v>66</v>
      </c>
      <c r="D366" s="14">
        <v>121</v>
      </c>
      <c r="E366" s="15">
        <v>2</v>
      </c>
    </row>
    <row r="367" spans="1:5" x14ac:dyDescent="0.4">
      <c r="A367" s="13" t="s">
        <v>1777</v>
      </c>
      <c r="B367" s="13" t="s">
        <v>24</v>
      </c>
      <c r="C367" s="13" t="s">
        <v>39</v>
      </c>
      <c r="D367" s="14">
        <v>121</v>
      </c>
      <c r="E367" s="15">
        <v>0</v>
      </c>
    </row>
    <row r="368" spans="1:5" x14ac:dyDescent="0.4">
      <c r="A368" s="13" t="s">
        <v>245</v>
      </c>
      <c r="B368" s="13" t="s">
        <v>20</v>
      </c>
      <c r="C368" s="13" t="s">
        <v>53</v>
      </c>
      <c r="D368" s="14">
        <v>122</v>
      </c>
      <c r="E368" s="15">
        <v>0</v>
      </c>
    </row>
    <row r="369" spans="1:5" x14ac:dyDescent="0.4">
      <c r="A369" s="13" t="s">
        <v>480</v>
      </c>
      <c r="B369" s="13" t="s">
        <v>20</v>
      </c>
      <c r="C369" s="13" t="s">
        <v>32</v>
      </c>
      <c r="D369" s="14">
        <v>122</v>
      </c>
      <c r="E369" s="15">
        <v>1</v>
      </c>
    </row>
    <row r="370" spans="1:5" x14ac:dyDescent="0.4">
      <c r="A370" s="13" t="s">
        <v>1753</v>
      </c>
      <c r="B370" s="13" t="s">
        <v>26</v>
      </c>
      <c r="C370" s="13" t="s">
        <v>27</v>
      </c>
      <c r="D370" s="14">
        <v>122</v>
      </c>
      <c r="E370" s="15">
        <v>0</v>
      </c>
    </row>
    <row r="371" spans="1:5" x14ac:dyDescent="0.4">
      <c r="A371" s="13" t="s">
        <v>1934</v>
      </c>
      <c r="B371" s="13" t="s">
        <v>24</v>
      </c>
      <c r="C371" s="13" t="s">
        <v>5</v>
      </c>
      <c r="D371" s="14">
        <v>122</v>
      </c>
      <c r="E371" s="15">
        <v>5</v>
      </c>
    </row>
    <row r="372" spans="1:5" x14ac:dyDescent="0.4">
      <c r="A372" s="13" t="s">
        <v>339</v>
      </c>
      <c r="B372" s="13" t="s">
        <v>20</v>
      </c>
      <c r="C372" s="13" t="s">
        <v>53</v>
      </c>
      <c r="D372" s="14">
        <v>123</v>
      </c>
      <c r="E372" s="15">
        <v>2</v>
      </c>
    </row>
    <row r="373" spans="1:5" x14ac:dyDescent="0.4">
      <c r="A373" s="13" t="s">
        <v>1817</v>
      </c>
      <c r="B373" s="13" t="s">
        <v>20</v>
      </c>
      <c r="C373" s="13" t="s">
        <v>66</v>
      </c>
      <c r="D373" s="14">
        <v>123</v>
      </c>
      <c r="E373" s="15">
        <v>3</v>
      </c>
    </row>
    <row r="374" spans="1:5" x14ac:dyDescent="0.4">
      <c r="A374" s="13" t="s">
        <v>952</v>
      </c>
      <c r="B374" s="13" t="s">
        <v>20</v>
      </c>
      <c r="C374" s="13" t="s">
        <v>39</v>
      </c>
      <c r="D374" s="14">
        <v>124</v>
      </c>
      <c r="E374" s="15">
        <v>11</v>
      </c>
    </row>
    <row r="375" spans="1:5" x14ac:dyDescent="0.4">
      <c r="A375" s="13" t="s">
        <v>1374</v>
      </c>
      <c r="B375" s="13" t="s">
        <v>20</v>
      </c>
      <c r="C375" s="13" t="s">
        <v>25</v>
      </c>
      <c r="D375" s="14">
        <v>124</v>
      </c>
      <c r="E375" s="15">
        <v>0</v>
      </c>
    </row>
    <row r="376" spans="1:5" x14ac:dyDescent="0.4">
      <c r="A376" s="13" t="s">
        <v>930</v>
      </c>
      <c r="B376" s="13" t="s">
        <v>24</v>
      </c>
      <c r="C376" s="13" t="s">
        <v>66</v>
      </c>
      <c r="D376" s="14">
        <v>125</v>
      </c>
      <c r="E376" s="15">
        <v>6</v>
      </c>
    </row>
    <row r="377" spans="1:5" x14ac:dyDescent="0.4">
      <c r="A377" s="13" t="s">
        <v>320</v>
      </c>
      <c r="B377" s="13" t="s">
        <v>20</v>
      </c>
      <c r="C377" s="13" t="s">
        <v>40</v>
      </c>
      <c r="D377" s="14">
        <v>126</v>
      </c>
      <c r="E377" s="15">
        <v>6</v>
      </c>
    </row>
    <row r="378" spans="1:5" x14ac:dyDescent="0.4">
      <c r="A378" s="13" t="s">
        <v>1199</v>
      </c>
      <c r="B378" s="13" t="s">
        <v>20</v>
      </c>
      <c r="C378" s="13" t="s">
        <v>53</v>
      </c>
      <c r="D378" s="14">
        <v>127</v>
      </c>
      <c r="E378" s="15">
        <v>0</v>
      </c>
    </row>
    <row r="379" spans="1:5" x14ac:dyDescent="0.4">
      <c r="A379" s="13" t="s">
        <v>1637</v>
      </c>
      <c r="B379" s="13" t="s">
        <v>26</v>
      </c>
      <c r="C379" s="13" t="s">
        <v>43</v>
      </c>
      <c r="D379" s="14">
        <v>127</v>
      </c>
      <c r="E379" s="15">
        <v>3</v>
      </c>
    </row>
    <row r="380" spans="1:5" x14ac:dyDescent="0.4">
      <c r="A380" s="13" t="s">
        <v>1814</v>
      </c>
      <c r="B380" s="13" t="s">
        <v>24</v>
      </c>
      <c r="C380" s="13" t="s">
        <v>44</v>
      </c>
      <c r="D380" s="14">
        <v>127</v>
      </c>
      <c r="E380" s="15">
        <v>3</v>
      </c>
    </row>
    <row r="381" spans="1:5" x14ac:dyDescent="0.4">
      <c r="A381" s="13" t="s">
        <v>1919</v>
      </c>
      <c r="B381" s="13" t="s">
        <v>24</v>
      </c>
      <c r="C381" s="13" t="s">
        <v>34</v>
      </c>
      <c r="D381" s="14">
        <v>127</v>
      </c>
      <c r="E381" s="15">
        <v>2</v>
      </c>
    </row>
    <row r="382" spans="1:5" x14ac:dyDescent="0.4">
      <c r="A382" s="13" t="s">
        <v>177</v>
      </c>
      <c r="B382" s="13" t="s">
        <v>24</v>
      </c>
      <c r="C382" s="13" t="s">
        <v>39</v>
      </c>
      <c r="D382" s="14">
        <v>128</v>
      </c>
      <c r="E382" s="15">
        <v>0</v>
      </c>
    </row>
    <row r="383" spans="1:5" x14ac:dyDescent="0.4">
      <c r="A383" s="13" t="s">
        <v>297</v>
      </c>
      <c r="B383" s="13" t="s">
        <v>20</v>
      </c>
      <c r="C383" s="13" t="s">
        <v>25</v>
      </c>
      <c r="D383" s="14">
        <v>128</v>
      </c>
      <c r="E383" s="15">
        <v>0</v>
      </c>
    </row>
    <row r="384" spans="1:5" x14ac:dyDescent="0.4">
      <c r="A384" s="13" t="s">
        <v>878</v>
      </c>
      <c r="B384" s="13" t="s">
        <v>24</v>
      </c>
      <c r="C384" s="13" t="s">
        <v>39</v>
      </c>
      <c r="D384" s="14">
        <v>128</v>
      </c>
      <c r="E384" s="15">
        <v>0</v>
      </c>
    </row>
    <row r="385" spans="1:5" x14ac:dyDescent="0.4">
      <c r="A385" s="13" t="s">
        <v>1194</v>
      </c>
      <c r="B385" s="13" t="s">
        <v>24</v>
      </c>
      <c r="C385" s="13" t="s">
        <v>40</v>
      </c>
      <c r="D385" s="14">
        <v>128</v>
      </c>
      <c r="E385" s="15">
        <v>4</v>
      </c>
    </row>
    <row r="386" spans="1:5" x14ac:dyDescent="0.4">
      <c r="A386" s="13" t="s">
        <v>1554</v>
      </c>
      <c r="B386" s="13" t="s">
        <v>20</v>
      </c>
      <c r="C386" s="13" t="s">
        <v>39</v>
      </c>
      <c r="D386" s="14">
        <v>128</v>
      </c>
      <c r="E386" s="15">
        <v>0</v>
      </c>
    </row>
    <row r="387" spans="1:5" x14ac:dyDescent="0.4">
      <c r="A387" s="13" t="s">
        <v>75</v>
      </c>
      <c r="B387" s="13" t="s">
        <v>24</v>
      </c>
      <c r="C387" s="13" t="s">
        <v>21</v>
      </c>
      <c r="D387" s="14">
        <v>129</v>
      </c>
      <c r="E387" s="15">
        <v>0</v>
      </c>
    </row>
    <row r="388" spans="1:5" x14ac:dyDescent="0.4">
      <c r="A388" s="13" t="s">
        <v>798</v>
      </c>
      <c r="B388" s="13" t="s">
        <v>24</v>
      </c>
      <c r="C388" s="13" t="s">
        <v>53</v>
      </c>
      <c r="D388" s="14">
        <v>129</v>
      </c>
      <c r="E388" s="15">
        <v>3</v>
      </c>
    </row>
    <row r="389" spans="1:5" x14ac:dyDescent="0.4">
      <c r="A389" s="13" t="s">
        <v>1400</v>
      </c>
      <c r="B389" s="13" t="s">
        <v>20</v>
      </c>
      <c r="C389" s="13" t="s">
        <v>33</v>
      </c>
      <c r="D389" s="14">
        <v>129</v>
      </c>
      <c r="E389" s="15">
        <v>1</v>
      </c>
    </row>
    <row r="390" spans="1:5" x14ac:dyDescent="0.4">
      <c r="A390" s="13" t="s">
        <v>1515</v>
      </c>
      <c r="B390" s="13" t="s">
        <v>20</v>
      </c>
      <c r="C390" s="13" t="s">
        <v>44</v>
      </c>
      <c r="D390" s="14">
        <v>129</v>
      </c>
      <c r="E390" s="15">
        <v>0</v>
      </c>
    </row>
    <row r="391" spans="1:5" x14ac:dyDescent="0.4">
      <c r="A391" s="13" t="s">
        <v>1899</v>
      </c>
      <c r="B391" s="13" t="s">
        <v>26</v>
      </c>
      <c r="C391" s="13" t="s">
        <v>43</v>
      </c>
      <c r="D391" s="14">
        <v>129</v>
      </c>
      <c r="E391" s="15">
        <v>0</v>
      </c>
    </row>
    <row r="392" spans="1:5" x14ac:dyDescent="0.4">
      <c r="A392" s="13" t="s">
        <v>1635</v>
      </c>
      <c r="B392" s="13" t="s">
        <v>26</v>
      </c>
      <c r="C392" s="13" t="s">
        <v>34</v>
      </c>
      <c r="D392" s="14">
        <v>130</v>
      </c>
      <c r="E392" s="15">
        <v>2</v>
      </c>
    </row>
    <row r="393" spans="1:5" x14ac:dyDescent="0.4">
      <c r="A393" s="13" t="s">
        <v>67</v>
      </c>
      <c r="B393" s="13" t="s">
        <v>20</v>
      </c>
      <c r="C393" s="13" t="s">
        <v>33</v>
      </c>
      <c r="D393" s="14">
        <v>131</v>
      </c>
      <c r="E393" s="15">
        <v>7</v>
      </c>
    </row>
    <row r="394" spans="1:5" x14ac:dyDescent="0.4">
      <c r="A394" s="13" t="s">
        <v>1949</v>
      </c>
      <c r="B394" s="13" t="s">
        <v>20</v>
      </c>
      <c r="C394" s="13" t="s">
        <v>53</v>
      </c>
      <c r="D394" s="14">
        <v>131</v>
      </c>
      <c r="E394" s="15">
        <v>1</v>
      </c>
    </row>
    <row r="395" spans="1:5" x14ac:dyDescent="0.4">
      <c r="A395" s="13" t="s">
        <v>1104</v>
      </c>
      <c r="B395" s="13" t="s">
        <v>26</v>
      </c>
      <c r="C395" s="13" t="s">
        <v>5</v>
      </c>
      <c r="D395" s="14">
        <v>132</v>
      </c>
      <c r="E395" s="15">
        <v>0</v>
      </c>
    </row>
    <row r="396" spans="1:5" x14ac:dyDescent="0.4">
      <c r="A396" s="13" t="s">
        <v>1601</v>
      </c>
      <c r="B396" s="13" t="s">
        <v>20</v>
      </c>
      <c r="C396" s="13" t="s">
        <v>40</v>
      </c>
      <c r="D396" s="14">
        <v>132</v>
      </c>
      <c r="E396" s="15">
        <v>1</v>
      </c>
    </row>
    <row r="397" spans="1:5" x14ac:dyDescent="0.4">
      <c r="A397" s="13" t="s">
        <v>1240</v>
      </c>
      <c r="B397" s="13" t="s">
        <v>24</v>
      </c>
      <c r="C397" s="13" t="s">
        <v>27</v>
      </c>
      <c r="D397" s="14">
        <v>133</v>
      </c>
      <c r="E397" s="15">
        <v>1</v>
      </c>
    </row>
    <row r="398" spans="1:5" x14ac:dyDescent="0.4">
      <c r="A398" s="13" t="s">
        <v>1437</v>
      </c>
      <c r="B398" s="13" t="s">
        <v>26</v>
      </c>
      <c r="C398" s="13" t="s">
        <v>43</v>
      </c>
      <c r="D398" s="14">
        <v>133</v>
      </c>
      <c r="E398" s="15">
        <v>0</v>
      </c>
    </row>
    <row r="399" spans="1:5" x14ac:dyDescent="0.4">
      <c r="A399" s="13" t="s">
        <v>796</v>
      </c>
      <c r="B399" s="13" t="s">
        <v>20</v>
      </c>
      <c r="C399" s="13" t="s">
        <v>43</v>
      </c>
      <c r="D399" s="14">
        <v>134</v>
      </c>
      <c r="E399" s="15">
        <v>2</v>
      </c>
    </row>
    <row r="400" spans="1:5" x14ac:dyDescent="0.4">
      <c r="A400" s="13" t="s">
        <v>1469</v>
      </c>
      <c r="B400" s="13" t="s">
        <v>26</v>
      </c>
      <c r="C400" s="13" t="s">
        <v>111</v>
      </c>
      <c r="D400" s="14">
        <v>134</v>
      </c>
      <c r="E400" s="15">
        <v>0</v>
      </c>
    </row>
    <row r="401" spans="1:5" x14ac:dyDescent="0.4">
      <c r="A401" s="13" t="s">
        <v>1679</v>
      </c>
      <c r="B401" s="13" t="s">
        <v>26</v>
      </c>
      <c r="C401" s="13" t="s">
        <v>22</v>
      </c>
      <c r="D401" s="14">
        <v>134</v>
      </c>
      <c r="E401" s="15">
        <v>2</v>
      </c>
    </row>
    <row r="402" spans="1:5" x14ac:dyDescent="0.4">
      <c r="A402" s="13" t="s">
        <v>1907</v>
      </c>
      <c r="B402" s="13" t="s">
        <v>24</v>
      </c>
      <c r="C402" s="13" t="s">
        <v>44</v>
      </c>
      <c r="D402" s="14">
        <v>134</v>
      </c>
      <c r="E402" s="15">
        <v>2</v>
      </c>
    </row>
    <row r="403" spans="1:5" x14ac:dyDescent="0.4">
      <c r="A403" s="13" t="s">
        <v>371</v>
      </c>
      <c r="B403" s="13" t="s">
        <v>24</v>
      </c>
      <c r="C403" s="13" t="s">
        <v>44</v>
      </c>
      <c r="D403" s="14">
        <v>135</v>
      </c>
      <c r="E403" s="15">
        <v>0</v>
      </c>
    </row>
    <row r="404" spans="1:5" x14ac:dyDescent="0.4">
      <c r="A404" s="13" t="s">
        <v>1440</v>
      </c>
      <c r="B404" s="13" t="s">
        <v>24</v>
      </c>
      <c r="C404" s="13" t="s">
        <v>27</v>
      </c>
      <c r="D404" s="14">
        <v>135</v>
      </c>
      <c r="E404" s="15">
        <v>0</v>
      </c>
    </row>
    <row r="405" spans="1:5" x14ac:dyDescent="0.4">
      <c r="A405" s="13" t="s">
        <v>1615</v>
      </c>
      <c r="B405" s="13" t="s">
        <v>20</v>
      </c>
      <c r="C405" s="13" t="s">
        <v>44</v>
      </c>
      <c r="D405" s="14">
        <v>135</v>
      </c>
      <c r="E405" s="15">
        <v>3</v>
      </c>
    </row>
    <row r="406" spans="1:5" x14ac:dyDescent="0.4">
      <c r="A406" s="13" t="s">
        <v>1942</v>
      </c>
      <c r="B406" s="13" t="s">
        <v>24</v>
      </c>
      <c r="C406" s="13" t="s">
        <v>44</v>
      </c>
      <c r="D406" s="14">
        <v>135</v>
      </c>
      <c r="E406" s="15">
        <v>2</v>
      </c>
    </row>
    <row r="407" spans="1:5" x14ac:dyDescent="0.4">
      <c r="A407" s="13" t="s">
        <v>301</v>
      </c>
      <c r="B407" s="13" t="s">
        <v>20</v>
      </c>
      <c r="C407" s="13" t="s">
        <v>27</v>
      </c>
      <c r="D407" s="14">
        <v>136</v>
      </c>
      <c r="E407" s="15">
        <v>0</v>
      </c>
    </row>
    <row r="408" spans="1:5" x14ac:dyDescent="0.4">
      <c r="A408" s="13" t="s">
        <v>933</v>
      </c>
      <c r="B408" s="13" t="s">
        <v>24</v>
      </c>
      <c r="C408" s="13" t="s">
        <v>25</v>
      </c>
      <c r="D408" s="14">
        <v>136</v>
      </c>
      <c r="E408" s="15">
        <v>5</v>
      </c>
    </row>
    <row r="409" spans="1:5" x14ac:dyDescent="0.4">
      <c r="A409" s="13" t="s">
        <v>1888</v>
      </c>
      <c r="B409" s="13" t="s">
        <v>24</v>
      </c>
      <c r="C409" s="13" t="s">
        <v>34</v>
      </c>
      <c r="D409" s="14">
        <v>136</v>
      </c>
      <c r="E409" s="15">
        <v>10</v>
      </c>
    </row>
    <row r="410" spans="1:5" x14ac:dyDescent="0.4">
      <c r="A410" s="13" t="s">
        <v>1157</v>
      </c>
      <c r="B410" s="13" t="s">
        <v>20</v>
      </c>
      <c r="C410" s="13" t="s">
        <v>28</v>
      </c>
      <c r="D410" s="14">
        <v>138</v>
      </c>
      <c r="E410" s="15">
        <v>0</v>
      </c>
    </row>
    <row r="411" spans="1:5" x14ac:dyDescent="0.4">
      <c r="A411" s="13" t="s">
        <v>1717</v>
      </c>
      <c r="B411" s="13" t="s">
        <v>24</v>
      </c>
      <c r="C411" s="13" t="s">
        <v>28</v>
      </c>
      <c r="D411" s="14">
        <v>138</v>
      </c>
      <c r="E411" s="15">
        <v>5</v>
      </c>
    </row>
    <row r="412" spans="1:5" x14ac:dyDescent="0.4">
      <c r="A412" s="13" t="s">
        <v>431</v>
      </c>
      <c r="B412" s="13" t="s">
        <v>24</v>
      </c>
      <c r="C412" s="13" t="s">
        <v>44</v>
      </c>
      <c r="D412" s="14">
        <v>139</v>
      </c>
      <c r="E412" s="15">
        <v>0</v>
      </c>
    </row>
    <row r="413" spans="1:5" x14ac:dyDescent="0.4">
      <c r="A413" s="13" t="s">
        <v>459</v>
      </c>
      <c r="B413" s="13" t="s">
        <v>24</v>
      </c>
      <c r="C413" s="13" t="s">
        <v>44</v>
      </c>
      <c r="D413" s="14">
        <v>139</v>
      </c>
      <c r="E413" s="15">
        <v>0</v>
      </c>
    </row>
    <row r="414" spans="1:5" x14ac:dyDescent="0.4">
      <c r="A414" s="13" t="s">
        <v>555</v>
      </c>
      <c r="B414" s="13" t="s">
        <v>26</v>
      </c>
      <c r="C414" s="13" t="s">
        <v>27</v>
      </c>
      <c r="D414" s="14">
        <v>139</v>
      </c>
      <c r="E414" s="15">
        <v>1</v>
      </c>
    </row>
    <row r="415" spans="1:5" x14ac:dyDescent="0.4">
      <c r="A415" s="13" t="s">
        <v>768</v>
      </c>
      <c r="B415" s="13" t="s">
        <v>20</v>
      </c>
      <c r="C415" s="13" t="s">
        <v>111</v>
      </c>
      <c r="D415" s="14">
        <v>139</v>
      </c>
      <c r="E415" s="15">
        <v>1</v>
      </c>
    </row>
    <row r="416" spans="1:5" x14ac:dyDescent="0.4">
      <c r="A416" s="13" t="s">
        <v>772</v>
      </c>
      <c r="B416" s="13" t="s">
        <v>26</v>
      </c>
      <c r="C416" s="13" t="s">
        <v>39</v>
      </c>
      <c r="D416" s="14">
        <v>139</v>
      </c>
      <c r="E416" s="15">
        <v>4</v>
      </c>
    </row>
    <row r="417" spans="1:5" x14ac:dyDescent="0.4">
      <c r="A417" s="13" t="s">
        <v>899</v>
      </c>
      <c r="B417" s="13" t="s">
        <v>26</v>
      </c>
      <c r="C417" s="13" t="s">
        <v>28</v>
      </c>
      <c r="D417" s="14">
        <v>139</v>
      </c>
      <c r="E417" s="15">
        <v>0</v>
      </c>
    </row>
    <row r="418" spans="1:5" x14ac:dyDescent="0.4">
      <c r="A418" s="13" t="s">
        <v>1891</v>
      </c>
      <c r="B418" s="13" t="s">
        <v>24</v>
      </c>
      <c r="C418" s="13" t="s">
        <v>44</v>
      </c>
      <c r="D418" s="14">
        <v>139</v>
      </c>
      <c r="E418" s="15">
        <v>0</v>
      </c>
    </row>
    <row r="419" spans="1:5" x14ac:dyDescent="0.4">
      <c r="A419" s="13" t="s">
        <v>72</v>
      </c>
      <c r="B419" s="13" t="s">
        <v>26</v>
      </c>
      <c r="C419" s="13" t="s">
        <v>39</v>
      </c>
      <c r="D419" s="14">
        <v>140</v>
      </c>
      <c r="E419" s="15">
        <v>2</v>
      </c>
    </row>
    <row r="420" spans="1:5" x14ac:dyDescent="0.4">
      <c r="A420" s="13" t="s">
        <v>606</v>
      </c>
      <c r="B420" s="13" t="s">
        <v>20</v>
      </c>
      <c r="C420" s="13" t="s">
        <v>44</v>
      </c>
      <c r="D420" s="14">
        <v>140</v>
      </c>
      <c r="E420" s="15">
        <v>2</v>
      </c>
    </row>
    <row r="421" spans="1:5" x14ac:dyDescent="0.4">
      <c r="A421" s="13" t="s">
        <v>663</v>
      </c>
      <c r="B421" s="13" t="s">
        <v>26</v>
      </c>
      <c r="C421" s="13" t="s">
        <v>44</v>
      </c>
      <c r="D421" s="14">
        <v>140</v>
      </c>
      <c r="E421" s="15">
        <v>4</v>
      </c>
    </row>
    <row r="422" spans="1:5" x14ac:dyDescent="0.4">
      <c r="A422" s="13" t="s">
        <v>305</v>
      </c>
      <c r="B422" s="13" t="s">
        <v>24</v>
      </c>
      <c r="C422" s="13" t="s">
        <v>39</v>
      </c>
      <c r="D422" s="14">
        <v>141</v>
      </c>
      <c r="E422" s="15">
        <v>0</v>
      </c>
    </row>
    <row r="423" spans="1:5" x14ac:dyDescent="0.4">
      <c r="A423" s="13" t="s">
        <v>328</v>
      </c>
      <c r="B423" s="13" t="s">
        <v>26</v>
      </c>
      <c r="C423" s="13" t="s">
        <v>34</v>
      </c>
      <c r="D423" s="14">
        <v>141</v>
      </c>
      <c r="E423" s="15">
        <v>0</v>
      </c>
    </row>
    <row r="424" spans="1:5" x14ac:dyDescent="0.4">
      <c r="A424" s="13" t="s">
        <v>999</v>
      </c>
      <c r="B424" s="13" t="s">
        <v>20</v>
      </c>
      <c r="C424" s="13" t="s">
        <v>30</v>
      </c>
      <c r="D424" s="14">
        <v>141</v>
      </c>
      <c r="E424" s="15">
        <v>4</v>
      </c>
    </row>
    <row r="425" spans="1:5" x14ac:dyDescent="0.4">
      <c r="A425" s="13" t="s">
        <v>1424</v>
      </c>
      <c r="B425" s="13" t="s">
        <v>26</v>
      </c>
      <c r="C425" s="13" t="s">
        <v>66</v>
      </c>
      <c r="D425" s="14">
        <v>141</v>
      </c>
      <c r="E425" s="15">
        <v>0</v>
      </c>
    </row>
    <row r="426" spans="1:5" x14ac:dyDescent="0.4">
      <c r="A426" s="13" t="s">
        <v>716</v>
      </c>
      <c r="B426" s="13" t="s">
        <v>24</v>
      </c>
      <c r="C426" s="13" t="s">
        <v>40</v>
      </c>
      <c r="D426" s="14">
        <v>142</v>
      </c>
      <c r="E426" s="15">
        <v>2</v>
      </c>
    </row>
    <row r="427" spans="1:5" x14ac:dyDescent="0.4">
      <c r="A427" s="13" t="s">
        <v>1730</v>
      </c>
      <c r="B427" s="13" t="s">
        <v>20</v>
      </c>
      <c r="C427" s="13" t="s">
        <v>25</v>
      </c>
      <c r="D427" s="14">
        <v>142</v>
      </c>
      <c r="E427" s="15">
        <v>0</v>
      </c>
    </row>
    <row r="428" spans="1:5" x14ac:dyDescent="0.4">
      <c r="A428" s="13" t="s">
        <v>391</v>
      </c>
      <c r="B428" s="13" t="s">
        <v>26</v>
      </c>
      <c r="C428" s="13" t="s">
        <v>66</v>
      </c>
      <c r="D428" s="14">
        <v>143</v>
      </c>
      <c r="E428" s="15">
        <v>2</v>
      </c>
    </row>
    <row r="429" spans="1:5" x14ac:dyDescent="0.4">
      <c r="A429" s="13" t="s">
        <v>762</v>
      </c>
      <c r="B429" s="13" t="s">
        <v>26</v>
      </c>
      <c r="C429" s="13" t="s">
        <v>111</v>
      </c>
      <c r="D429" s="14">
        <v>143</v>
      </c>
      <c r="E429" s="15">
        <v>0</v>
      </c>
    </row>
    <row r="430" spans="1:5" x14ac:dyDescent="0.4">
      <c r="A430" s="13" t="s">
        <v>158</v>
      </c>
      <c r="B430" s="13" t="s">
        <v>26</v>
      </c>
      <c r="C430" s="13" t="s">
        <v>5</v>
      </c>
      <c r="D430" s="14">
        <v>144</v>
      </c>
      <c r="E430" s="15">
        <v>0</v>
      </c>
    </row>
    <row r="431" spans="1:5" x14ac:dyDescent="0.4">
      <c r="A431" s="13" t="s">
        <v>910</v>
      </c>
      <c r="B431" s="13" t="s">
        <v>26</v>
      </c>
      <c r="C431" s="13" t="s">
        <v>28</v>
      </c>
      <c r="D431" s="14">
        <v>144</v>
      </c>
      <c r="E431" s="15">
        <v>0</v>
      </c>
    </row>
    <row r="432" spans="1:5" x14ac:dyDescent="0.4">
      <c r="A432" s="13" t="s">
        <v>1936</v>
      </c>
      <c r="B432" s="13" t="s">
        <v>26</v>
      </c>
      <c r="C432" s="13" t="s">
        <v>43</v>
      </c>
      <c r="D432" s="14">
        <v>144</v>
      </c>
      <c r="E432" s="15">
        <v>0</v>
      </c>
    </row>
    <row r="433" spans="1:5" x14ac:dyDescent="0.4">
      <c r="A433" s="13" t="s">
        <v>908</v>
      </c>
      <c r="B433" s="13" t="s">
        <v>26</v>
      </c>
      <c r="C433" s="13" t="s">
        <v>44</v>
      </c>
      <c r="D433" s="14">
        <v>145</v>
      </c>
      <c r="E433" s="15">
        <v>0</v>
      </c>
    </row>
    <row r="434" spans="1:5" x14ac:dyDescent="0.4">
      <c r="A434" s="13" t="s">
        <v>1602</v>
      </c>
      <c r="B434" s="13" t="s">
        <v>26</v>
      </c>
      <c r="C434" s="13" t="s">
        <v>30</v>
      </c>
      <c r="D434" s="14">
        <v>145</v>
      </c>
      <c r="E434" s="15">
        <v>0</v>
      </c>
    </row>
    <row r="435" spans="1:5" x14ac:dyDescent="0.4">
      <c r="A435" s="13" t="s">
        <v>221</v>
      </c>
      <c r="B435" s="13" t="s">
        <v>20</v>
      </c>
      <c r="C435" s="13" t="s">
        <v>5</v>
      </c>
      <c r="D435" s="14">
        <v>147</v>
      </c>
      <c r="E435" s="15">
        <v>4</v>
      </c>
    </row>
    <row r="436" spans="1:5" x14ac:dyDescent="0.4">
      <c r="A436" s="13" t="s">
        <v>613</v>
      </c>
      <c r="B436" s="13" t="s">
        <v>20</v>
      </c>
      <c r="C436" s="13" t="s">
        <v>44</v>
      </c>
      <c r="D436" s="14">
        <v>147</v>
      </c>
      <c r="E436" s="15">
        <v>5</v>
      </c>
    </row>
    <row r="437" spans="1:5" x14ac:dyDescent="0.4">
      <c r="A437" s="13" t="s">
        <v>625</v>
      </c>
      <c r="B437" s="13" t="s">
        <v>26</v>
      </c>
      <c r="C437" s="13" t="s">
        <v>27</v>
      </c>
      <c r="D437" s="14">
        <v>147</v>
      </c>
      <c r="E437" s="15">
        <v>1</v>
      </c>
    </row>
    <row r="438" spans="1:5" x14ac:dyDescent="0.4">
      <c r="A438" s="13" t="s">
        <v>939</v>
      </c>
      <c r="B438" s="13" t="s">
        <v>24</v>
      </c>
      <c r="C438" s="13" t="s">
        <v>5</v>
      </c>
      <c r="D438" s="14">
        <v>147</v>
      </c>
      <c r="E438" s="15">
        <v>1</v>
      </c>
    </row>
    <row r="439" spans="1:5" x14ac:dyDescent="0.4">
      <c r="A439" s="13" t="s">
        <v>1483</v>
      </c>
      <c r="B439" s="13" t="s">
        <v>24</v>
      </c>
      <c r="C439" s="13" t="s">
        <v>5</v>
      </c>
      <c r="D439" s="14">
        <v>147</v>
      </c>
      <c r="E439" s="15">
        <v>1</v>
      </c>
    </row>
    <row r="440" spans="1:5" x14ac:dyDescent="0.4">
      <c r="A440" s="13" t="s">
        <v>1687</v>
      </c>
      <c r="B440" s="13" t="s">
        <v>26</v>
      </c>
      <c r="C440" s="13" t="s">
        <v>66</v>
      </c>
      <c r="D440" s="14">
        <v>147</v>
      </c>
      <c r="E440" s="15">
        <v>4</v>
      </c>
    </row>
    <row r="441" spans="1:5" x14ac:dyDescent="0.4">
      <c r="A441" s="13" t="s">
        <v>554</v>
      </c>
      <c r="B441" s="13" t="s">
        <v>20</v>
      </c>
      <c r="C441" s="13" t="s">
        <v>21</v>
      </c>
      <c r="D441" s="14">
        <v>148</v>
      </c>
      <c r="E441" s="15">
        <v>3</v>
      </c>
    </row>
    <row r="442" spans="1:5" x14ac:dyDescent="0.4">
      <c r="A442" s="13" t="s">
        <v>1853</v>
      </c>
      <c r="B442" s="13" t="s">
        <v>20</v>
      </c>
      <c r="C442" s="13" t="s">
        <v>33</v>
      </c>
      <c r="D442" s="14">
        <v>148</v>
      </c>
      <c r="E442" s="15">
        <v>0</v>
      </c>
    </row>
    <row r="443" spans="1:5" x14ac:dyDescent="0.4">
      <c r="A443" s="13" t="s">
        <v>634</v>
      </c>
      <c r="B443" s="13" t="s">
        <v>20</v>
      </c>
      <c r="C443" s="13" t="s">
        <v>44</v>
      </c>
      <c r="D443" s="14">
        <v>149</v>
      </c>
      <c r="E443" s="15">
        <v>0</v>
      </c>
    </row>
    <row r="444" spans="1:5" x14ac:dyDescent="0.4">
      <c r="A444" s="13" t="s">
        <v>1211</v>
      </c>
      <c r="B444" s="13" t="s">
        <v>24</v>
      </c>
      <c r="C444" s="13" t="s">
        <v>66</v>
      </c>
      <c r="D444" s="14">
        <v>149</v>
      </c>
      <c r="E444" s="15">
        <v>0</v>
      </c>
    </row>
    <row r="445" spans="1:5" x14ac:dyDescent="0.4">
      <c r="A445" s="13" t="s">
        <v>1269</v>
      </c>
      <c r="B445" s="13" t="s">
        <v>26</v>
      </c>
      <c r="C445" s="13" t="s">
        <v>44</v>
      </c>
      <c r="D445" s="14">
        <v>149</v>
      </c>
      <c r="E445" s="15">
        <v>0</v>
      </c>
    </row>
    <row r="446" spans="1:5" x14ac:dyDescent="0.4">
      <c r="A446" s="13" t="s">
        <v>47</v>
      </c>
      <c r="B446" s="13" t="s">
        <v>24</v>
      </c>
      <c r="C446" s="13" t="s">
        <v>21</v>
      </c>
      <c r="D446" s="14">
        <v>150</v>
      </c>
      <c r="E446" s="15">
        <v>0</v>
      </c>
    </row>
    <row r="447" spans="1:5" x14ac:dyDescent="0.4">
      <c r="A447" s="13" t="s">
        <v>644</v>
      </c>
      <c r="B447" s="13" t="s">
        <v>24</v>
      </c>
      <c r="C447" s="13" t="s">
        <v>30</v>
      </c>
      <c r="D447" s="14">
        <v>150</v>
      </c>
      <c r="E447" s="15">
        <v>0</v>
      </c>
    </row>
    <row r="448" spans="1:5" x14ac:dyDescent="0.4">
      <c r="A448" s="13" t="s">
        <v>955</v>
      </c>
      <c r="B448" s="13" t="s">
        <v>20</v>
      </c>
      <c r="C448" s="13" t="s">
        <v>21</v>
      </c>
      <c r="D448" s="14">
        <v>150</v>
      </c>
      <c r="E448" s="15">
        <v>2</v>
      </c>
    </row>
    <row r="449" spans="1:5" x14ac:dyDescent="0.4">
      <c r="A449" s="13" t="s">
        <v>1667</v>
      </c>
      <c r="B449" s="13" t="s">
        <v>26</v>
      </c>
      <c r="C449" s="13" t="s">
        <v>30</v>
      </c>
      <c r="D449" s="14">
        <v>150</v>
      </c>
      <c r="E449" s="15">
        <v>0</v>
      </c>
    </row>
    <row r="450" spans="1:5" x14ac:dyDescent="0.4">
      <c r="A450" s="13" t="s">
        <v>1979</v>
      </c>
      <c r="B450" s="13" t="s">
        <v>26</v>
      </c>
      <c r="C450" s="13" t="s">
        <v>21</v>
      </c>
      <c r="D450" s="14">
        <v>150</v>
      </c>
      <c r="E450" s="15">
        <v>6</v>
      </c>
    </row>
    <row r="451" spans="1:5" x14ac:dyDescent="0.4">
      <c r="A451" s="13" t="s">
        <v>135</v>
      </c>
      <c r="B451" s="13" t="s">
        <v>24</v>
      </c>
      <c r="C451" s="13" t="s">
        <v>39</v>
      </c>
      <c r="D451" s="14">
        <v>152</v>
      </c>
      <c r="E451" s="15">
        <v>12</v>
      </c>
    </row>
    <row r="452" spans="1:5" x14ac:dyDescent="0.4">
      <c r="A452" s="13" t="s">
        <v>1334</v>
      </c>
      <c r="B452" s="13" t="s">
        <v>24</v>
      </c>
      <c r="C452" s="13" t="s">
        <v>22</v>
      </c>
      <c r="D452" s="14">
        <v>152</v>
      </c>
      <c r="E452" s="15">
        <v>0</v>
      </c>
    </row>
    <row r="453" spans="1:5" x14ac:dyDescent="0.4">
      <c r="A453" s="13" t="s">
        <v>956</v>
      </c>
      <c r="B453" s="13" t="s">
        <v>26</v>
      </c>
      <c r="C453" s="13" t="s">
        <v>30</v>
      </c>
      <c r="D453" s="14">
        <v>153</v>
      </c>
      <c r="E453" s="15">
        <v>2</v>
      </c>
    </row>
    <row r="454" spans="1:5" x14ac:dyDescent="0.4">
      <c r="A454" s="13" t="s">
        <v>1551</v>
      </c>
      <c r="B454" s="13" t="s">
        <v>24</v>
      </c>
      <c r="C454" s="13" t="s">
        <v>33</v>
      </c>
      <c r="D454" s="14">
        <v>153</v>
      </c>
      <c r="E454" s="15">
        <v>0</v>
      </c>
    </row>
    <row r="455" spans="1:5" x14ac:dyDescent="0.4">
      <c r="A455" s="13" t="s">
        <v>968</v>
      </c>
      <c r="B455" s="13" t="s">
        <v>20</v>
      </c>
      <c r="C455" s="13" t="s">
        <v>27</v>
      </c>
      <c r="D455" s="14">
        <v>154</v>
      </c>
      <c r="E455" s="15">
        <v>0</v>
      </c>
    </row>
    <row r="456" spans="1:5" x14ac:dyDescent="0.4">
      <c r="A456" s="13" t="s">
        <v>1407</v>
      </c>
      <c r="B456" s="13" t="s">
        <v>26</v>
      </c>
      <c r="C456" s="13" t="s">
        <v>39</v>
      </c>
      <c r="D456" s="14">
        <v>154</v>
      </c>
      <c r="E456" s="15">
        <v>0</v>
      </c>
    </row>
    <row r="457" spans="1:5" x14ac:dyDescent="0.4">
      <c r="A457" s="13" t="s">
        <v>1434</v>
      </c>
      <c r="B457" s="13" t="s">
        <v>24</v>
      </c>
      <c r="C457" s="13" t="s">
        <v>30</v>
      </c>
      <c r="D457" s="14">
        <v>154</v>
      </c>
      <c r="E457" s="15">
        <v>0</v>
      </c>
    </row>
    <row r="458" spans="1:5" x14ac:dyDescent="0.4">
      <c r="A458" s="13" t="s">
        <v>1573</v>
      </c>
      <c r="B458" s="13" t="s">
        <v>26</v>
      </c>
      <c r="C458" s="13" t="s">
        <v>44</v>
      </c>
      <c r="D458" s="14">
        <v>154</v>
      </c>
      <c r="E458" s="15">
        <v>14</v>
      </c>
    </row>
    <row r="459" spans="1:5" x14ac:dyDescent="0.4">
      <c r="A459" s="13" t="s">
        <v>1610</v>
      </c>
      <c r="B459" s="13" t="s">
        <v>26</v>
      </c>
      <c r="C459" s="13" t="s">
        <v>30</v>
      </c>
      <c r="D459" s="14">
        <v>154</v>
      </c>
      <c r="E459" s="15">
        <v>0</v>
      </c>
    </row>
    <row r="460" spans="1:5" x14ac:dyDescent="0.4">
      <c r="A460" s="13" t="s">
        <v>324</v>
      </c>
      <c r="B460" s="13" t="s">
        <v>26</v>
      </c>
      <c r="C460" s="13" t="s">
        <v>40</v>
      </c>
      <c r="D460" s="14">
        <v>155</v>
      </c>
      <c r="E460" s="15">
        <v>4</v>
      </c>
    </row>
    <row r="461" spans="1:5" x14ac:dyDescent="0.4">
      <c r="A461" s="13" t="s">
        <v>545</v>
      </c>
      <c r="B461" s="13" t="s">
        <v>26</v>
      </c>
      <c r="C461" s="13" t="s">
        <v>21</v>
      </c>
      <c r="D461" s="14">
        <v>155</v>
      </c>
      <c r="E461" s="15">
        <v>1</v>
      </c>
    </row>
    <row r="462" spans="1:5" x14ac:dyDescent="0.4">
      <c r="A462" s="13" t="s">
        <v>594</v>
      </c>
      <c r="B462" s="13" t="s">
        <v>24</v>
      </c>
      <c r="C462" s="13" t="s">
        <v>22</v>
      </c>
      <c r="D462" s="14">
        <v>155</v>
      </c>
      <c r="E462" s="15">
        <v>4</v>
      </c>
    </row>
    <row r="463" spans="1:5" x14ac:dyDescent="0.4">
      <c r="A463" s="13" t="s">
        <v>850</v>
      </c>
      <c r="B463" s="13" t="s">
        <v>26</v>
      </c>
      <c r="C463" s="13" t="s">
        <v>21</v>
      </c>
      <c r="D463" s="14">
        <v>155</v>
      </c>
      <c r="E463" s="15">
        <v>2</v>
      </c>
    </row>
    <row r="464" spans="1:5" x14ac:dyDescent="0.4">
      <c r="A464" s="13" t="s">
        <v>963</v>
      </c>
      <c r="B464" s="13" t="s">
        <v>20</v>
      </c>
      <c r="C464" s="13" t="s">
        <v>53</v>
      </c>
      <c r="D464" s="14">
        <v>155</v>
      </c>
      <c r="E464" s="15">
        <v>4</v>
      </c>
    </row>
    <row r="465" spans="1:5" x14ac:dyDescent="0.4">
      <c r="A465" s="13" t="s">
        <v>988</v>
      </c>
      <c r="B465" s="13" t="s">
        <v>26</v>
      </c>
      <c r="C465" s="13" t="s">
        <v>34</v>
      </c>
      <c r="D465" s="14">
        <v>155</v>
      </c>
      <c r="E465" s="15">
        <v>11</v>
      </c>
    </row>
    <row r="466" spans="1:5" x14ac:dyDescent="0.4">
      <c r="A466" s="13" t="s">
        <v>1061</v>
      </c>
      <c r="B466" s="13" t="s">
        <v>26</v>
      </c>
      <c r="C466" s="13" t="s">
        <v>27</v>
      </c>
      <c r="D466" s="14">
        <v>155</v>
      </c>
      <c r="E466" s="15">
        <v>1</v>
      </c>
    </row>
    <row r="467" spans="1:5" x14ac:dyDescent="0.4">
      <c r="A467" s="13" t="s">
        <v>59</v>
      </c>
      <c r="B467" s="13" t="s">
        <v>26</v>
      </c>
      <c r="C467" s="13" t="s">
        <v>39</v>
      </c>
      <c r="D467" s="14">
        <v>157</v>
      </c>
      <c r="E467" s="15">
        <v>0</v>
      </c>
    </row>
    <row r="468" spans="1:5" x14ac:dyDescent="0.4">
      <c r="A468" s="13" t="s">
        <v>815</v>
      </c>
      <c r="B468" s="13" t="s">
        <v>20</v>
      </c>
      <c r="C468" s="13" t="s">
        <v>66</v>
      </c>
      <c r="D468" s="14">
        <v>157</v>
      </c>
      <c r="E468" s="15">
        <v>0</v>
      </c>
    </row>
    <row r="469" spans="1:5" x14ac:dyDescent="0.4">
      <c r="A469" s="13" t="s">
        <v>1136</v>
      </c>
      <c r="B469" s="13" t="s">
        <v>26</v>
      </c>
      <c r="C469" s="13" t="s">
        <v>44</v>
      </c>
      <c r="D469" s="14">
        <v>157</v>
      </c>
      <c r="E469" s="15">
        <v>1</v>
      </c>
    </row>
    <row r="470" spans="1:5" x14ac:dyDescent="0.4">
      <c r="A470" s="13" t="s">
        <v>1948</v>
      </c>
      <c r="B470" s="13" t="s">
        <v>20</v>
      </c>
      <c r="C470" s="13" t="s">
        <v>27</v>
      </c>
      <c r="D470" s="14">
        <v>157</v>
      </c>
      <c r="E470" s="15">
        <v>4</v>
      </c>
    </row>
    <row r="471" spans="1:5" x14ac:dyDescent="0.4">
      <c r="A471" s="13" t="s">
        <v>722</v>
      </c>
      <c r="B471" s="13" t="s">
        <v>26</v>
      </c>
      <c r="C471" s="13" t="s">
        <v>22</v>
      </c>
      <c r="D471" s="14">
        <v>158</v>
      </c>
      <c r="E471" s="15">
        <v>0</v>
      </c>
    </row>
    <row r="472" spans="1:5" x14ac:dyDescent="0.4">
      <c r="A472" s="13" t="s">
        <v>1678</v>
      </c>
      <c r="B472" s="13" t="s">
        <v>24</v>
      </c>
      <c r="C472" s="13" t="s">
        <v>5</v>
      </c>
      <c r="D472" s="14">
        <v>158</v>
      </c>
      <c r="E472" s="15">
        <v>3</v>
      </c>
    </row>
    <row r="473" spans="1:5" x14ac:dyDescent="0.4">
      <c r="A473" s="13" t="s">
        <v>1880</v>
      </c>
      <c r="B473" s="13" t="s">
        <v>24</v>
      </c>
      <c r="C473" s="13" t="s">
        <v>33</v>
      </c>
      <c r="D473" s="14">
        <v>158</v>
      </c>
      <c r="E473" s="15">
        <v>1</v>
      </c>
    </row>
    <row r="474" spans="1:5" x14ac:dyDescent="0.4">
      <c r="A474" s="13" t="s">
        <v>393</v>
      </c>
      <c r="B474" s="13" t="s">
        <v>24</v>
      </c>
      <c r="C474" s="13" t="s">
        <v>21</v>
      </c>
      <c r="D474" s="14">
        <v>159</v>
      </c>
      <c r="E474" s="15">
        <v>2</v>
      </c>
    </row>
    <row r="475" spans="1:5" x14ac:dyDescent="0.4">
      <c r="A475" s="13" t="s">
        <v>733</v>
      </c>
      <c r="B475" s="13" t="s">
        <v>20</v>
      </c>
      <c r="C475" s="13" t="s">
        <v>43</v>
      </c>
      <c r="D475" s="14">
        <v>159</v>
      </c>
      <c r="E475" s="15">
        <v>2</v>
      </c>
    </row>
    <row r="476" spans="1:5" x14ac:dyDescent="0.4">
      <c r="A476" s="13" t="s">
        <v>1247</v>
      </c>
      <c r="B476" s="13" t="s">
        <v>26</v>
      </c>
      <c r="C476" s="13" t="s">
        <v>66</v>
      </c>
      <c r="D476" s="14">
        <v>159</v>
      </c>
      <c r="E476" s="15">
        <v>0</v>
      </c>
    </row>
    <row r="477" spans="1:5" x14ac:dyDescent="0.4">
      <c r="A477" s="13" t="s">
        <v>1941</v>
      </c>
      <c r="B477" s="13" t="s">
        <v>24</v>
      </c>
      <c r="C477" s="13" t="s">
        <v>39</v>
      </c>
      <c r="D477" s="14">
        <v>160</v>
      </c>
      <c r="E477" s="15">
        <v>1</v>
      </c>
    </row>
    <row r="478" spans="1:5" x14ac:dyDescent="0.4">
      <c r="A478" s="13" t="s">
        <v>433</v>
      </c>
      <c r="B478" s="13" t="s">
        <v>26</v>
      </c>
      <c r="C478" s="13" t="s">
        <v>5</v>
      </c>
      <c r="D478" s="14">
        <v>161</v>
      </c>
      <c r="E478" s="15">
        <v>0</v>
      </c>
    </row>
    <row r="479" spans="1:5" x14ac:dyDescent="0.4">
      <c r="A479" s="13" t="s">
        <v>1826</v>
      </c>
      <c r="B479" s="13" t="s">
        <v>24</v>
      </c>
      <c r="C479" s="13" t="s">
        <v>27</v>
      </c>
      <c r="D479" s="14">
        <v>161</v>
      </c>
      <c r="E479" s="15">
        <v>0</v>
      </c>
    </row>
    <row r="480" spans="1:5" x14ac:dyDescent="0.4">
      <c r="A480" s="13" t="s">
        <v>184</v>
      </c>
      <c r="B480" s="13" t="s">
        <v>20</v>
      </c>
      <c r="C480" s="13" t="s">
        <v>5</v>
      </c>
      <c r="D480" s="14">
        <v>162</v>
      </c>
      <c r="E480" s="15">
        <v>11</v>
      </c>
    </row>
    <row r="481" spans="1:5" x14ac:dyDescent="0.4">
      <c r="A481" s="13" t="s">
        <v>224</v>
      </c>
      <c r="B481" s="13" t="s">
        <v>26</v>
      </c>
      <c r="C481" s="13" t="s">
        <v>40</v>
      </c>
      <c r="D481" s="14">
        <v>164</v>
      </c>
      <c r="E481" s="15">
        <v>2</v>
      </c>
    </row>
    <row r="482" spans="1:5" x14ac:dyDescent="0.4">
      <c r="A482" s="13" t="s">
        <v>784</v>
      </c>
      <c r="B482" s="13" t="s">
        <v>26</v>
      </c>
      <c r="C482" s="13" t="s">
        <v>22</v>
      </c>
      <c r="D482" s="14">
        <v>164</v>
      </c>
      <c r="E482" s="15">
        <v>0</v>
      </c>
    </row>
    <row r="483" spans="1:5" x14ac:dyDescent="0.4">
      <c r="A483" s="13" t="s">
        <v>954</v>
      </c>
      <c r="B483" s="13" t="s">
        <v>24</v>
      </c>
      <c r="C483" s="13" t="s">
        <v>27</v>
      </c>
      <c r="D483" s="14">
        <v>164</v>
      </c>
      <c r="E483" s="15">
        <v>0</v>
      </c>
    </row>
    <row r="484" spans="1:5" x14ac:dyDescent="0.4">
      <c r="A484" s="13" t="s">
        <v>76</v>
      </c>
      <c r="B484" s="13" t="s">
        <v>24</v>
      </c>
      <c r="C484" s="13" t="s">
        <v>44</v>
      </c>
      <c r="D484" s="14">
        <v>165</v>
      </c>
      <c r="E484" s="15">
        <v>0</v>
      </c>
    </row>
    <row r="485" spans="1:5" x14ac:dyDescent="0.4">
      <c r="A485" s="13" t="s">
        <v>1240</v>
      </c>
      <c r="B485" s="13" t="s">
        <v>26</v>
      </c>
      <c r="C485" s="13" t="s">
        <v>39</v>
      </c>
      <c r="D485" s="14">
        <v>165</v>
      </c>
      <c r="E485" s="15">
        <v>0</v>
      </c>
    </row>
    <row r="486" spans="1:5" x14ac:dyDescent="0.4">
      <c r="A486" s="13" t="s">
        <v>326</v>
      </c>
      <c r="B486" s="13" t="s">
        <v>24</v>
      </c>
      <c r="C486" s="13" t="s">
        <v>44</v>
      </c>
      <c r="D486" s="14">
        <v>166</v>
      </c>
      <c r="E486" s="15">
        <v>13</v>
      </c>
    </row>
    <row r="487" spans="1:5" x14ac:dyDescent="0.4">
      <c r="A487" s="13" t="s">
        <v>793</v>
      </c>
      <c r="B487" s="13" t="s">
        <v>26</v>
      </c>
      <c r="C487" s="13" t="s">
        <v>66</v>
      </c>
      <c r="D487" s="14">
        <v>166</v>
      </c>
      <c r="E487" s="15">
        <v>0</v>
      </c>
    </row>
    <row r="488" spans="1:5" x14ac:dyDescent="0.4">
      <c r="A488" s="13" t="s">
        <v>879</v>
      </c>
      <c r="B488" s="13" t="s">
        <v>24</v>
      </c>
      <c r="C488" s="13" t="s">
        <v>39</v>
      </c>
      <c r="D488" s="14">
        <v>166</v>
      </c>
      <c r="E488" s="15">
        <v>1</v>
      </c>
    </row>
    <row r="489" spans="1:5" x14ac:dyDescent="0.4">
      <c r="A489" s="13" t="s">
        <v>1094</v>
      </c>
      <c r="B489" s="13" t="s">
        <v>24</v>
      </c>
      <c r="C489" s="13" t="s">
        <v>5</v>
      </c>
      <c r="D489" s="14">
        <v>166</v>
      </c>
      <c r="E489" s="15">
        <v>2</v>
      </c>
    </row>
    <row r="490" spans="1:5" x14ac:dyDescent="0.4">
      <c r="A490" s="13" t="s">
        <v>1901</v>
      </c>
      <c r="B490" s="13" t="s">
        <v>26</v>
      </c>
      <c r="C490" s="13" t="s">
        <v>44</v>
      </c>
      <c r="D490" s="14">
        <v>166</v>
      </c>
      <c r="E490" s="15">
        <v>0</v>
      </c>
    </row>
    <row r="491" spans="1:5" x14ac:dyDescent="0.4">
      <c r="A491" s="13" t="s">
        <v>1944</v>
      </c>
      <c r="B491" s="13" t="s">
        <v>24</v>
      </c>
      <c r="C491" s="13" t="s">
        <v>39</v>
      </c>
      <c r="D491" s="14">
        <v>166</v>
      </c>
      <c r="E491" s="15">
        <v>7</v>
      </c>
    </row>
    <row r="492" spans="1:5" x14ac:dyDescent="0.4">
      <c r="A492" s="13" t="s">
        <v>79</v>
      </c>
      <c r="B492" s="13" t="s">
        <v>24</v>
      </c>
      <c r="C492" s="13" t="s">
        <v>28</v>
      </c>
      <c r="D492" s="14">
        <v>167</v>
      </c>
      <c r="E492" s="15">
        <v>1</v>
      </c>
    </row>
    <row r="493" spans="1:5" x14ac:dyDescent="0.4">
      <c r="A493" s="13" t="s">
        <v>482</v>
      </c>
      <c r="B493" s="13" t="s">
        <v>20</v>
      </c>
      <c r="C493" s="13" t="s">
        <v>25</v>
      </c>
      <c r="D493" s="14">
        <v>167</v>
      </c>
      <c r="E493" s="15">
        <v>7</v>
      </c>
    </row>
    <row r="494" spans="1:5" x14ac:dyDescent="0.4">
      <c r="A494" s="13" t="s">
        <v>1228</v>
      </c>
      <c r="B494" s="13" t="s">
        <v>24</v>
      </c>
      <c r="C494" s="13" t="s">
        <v>39</v>
      </c>
      <c r="D494" s="14">
        <v>167</v>
      </c>
      <c r="E494" s="15">
        <v>2</v>
      </c>
    </row>
    <row r="495" spans="1:5" x14ac:dyDescent="0.4">
      <c r="A495" s="13" t="s">
        <v>36</v>
      </c>
      <c r="B495" s="13" t="s">
        <v>24</v>
      </c>
      <c r="C495" s="13" t="s">
        <v>28</v>
      </c>
      <c r="D495" s="14">
        <v>168</v>
      </c>
      <c r="E495" s="15">
        <v>1</v>
      </c>
    </row>
    <row r="496" spans="1:5" x14ac:dyDescent="0.4">
      <c r="A496" s="13" t="s">
        <v>566</v>
      </c>
      <c r="B496" s="13" t="s">
        <v>20</v>
      </c>
      <c r="C496" s="13" t="s">
        <v>30</v>
      </c>
      <c r="D496" s="14">
        <v>168</v>
      </c>
      <c r="E496" s="15">
        <v>8</v>
      </c>
    </row>
    <row r="497" spans="1:5" x14ac:dyDescent="0.4">
      <c r="A497" s="13" t="s">
        <v>1283</v>
      </c>
      <c r="B497" s="13" t="s">
        <v>26</v>
      </c>
      <c r="C497" s="13" t="s">
        <v>30</v>
      </c>
      <c r="D497" s="14">
        <v>168</v>
      </c>
      <c r="E497" s="15">
        <v>1</v>
      </c>
    </row>
    <row r="498" spans="1:5" x14ac:dyDescent="0.4">
      <c r="A498" s="13" t="s">
        <v>1631</v>
      </c>
      <c r="B498" s="13" t="s">
        <v>26</v>
      </c>
      <c r="C498" s="13" t="s">
        <v>33</v>
      </c>
      <c r="D498" s="14">
        <v>168</v>
      </c>
      <c r="E498" s="15">
        <v>0</v>
      </c>
    </row>
    <row r="499" spans="1:5" x14ac:dyDescent="0.4">
      <c r="A499" s="13" t="s">
        <v>1689</v>
      </c>
      <c r="B499" s="13" t="s">
        <v>24</v>
      </c>
      <c r="C499" s="13" t="s">
        <v>39</v>
      </c>
      <c r="D499" s="14">
        <v>168</v>
      </c>
      <c r="E499" s="15">
        <v>0</v>
      </c>
    </row>
    <row r="500" spans="1:5" x14ac:dyDescent="0.4">
      <c r="A500" s="13" t="s">
        <v>1756</v>
      </c>
      <c r="B500" s="13" t="s">
        <v>24</v>
      </c>
      <c r="C500" s="13" t="s">
        <v>62</v>
      </c>
      <c r="D500" s="14">
        <v>168</v>
      </c>
      <c r="E500" s="15">
        <v>0</v>
      </c>
    </row>
    <row r="501" spans="1:5" x14ac:dyDescent="0.4">
      <c r="A501" s="13" t="s">
        <v>1803</v>
      </c>
      <c r="B501" s="13" t="s">
        <v>24</v>
      </c>
      <c r="C501" s="13" t="s">
        <v>44</v>
      </c>
      <c r="D501" s="14">
        <v>168</v>
      </c>
      <c r="E501" s="15">
        <v>1</v>
      </c>
    </row>
    <row r="502" spans="1:5" x14ac:dyDescent="0.4">
      <c r="A502" s="13" t="s">
        <v>263</v>
      </c>
      <c r="B502" s="13" t="s">
        <v>26</v>
      </c>
      <c r="C502" s="13" t="s">
        <v>27</v>
      </c>
      <c r="D502" s="14">
        <v>169</v>
      </c>
      <c r="E502" s="15">
        <v>1</v>
      </c>
    </row>
    <row r="503" spans="1:5" x14ac:dyDescent="0.4">
      <c r="A503" s="13" t="s">
        <v>474</v>
      </c>
      <c r="B503" s="13" t="s">
        <v>20</v>
      </c>
      <c r="C503" s="13" t="s">
        <v>44</v>
      </c>
      <c r="D503" s="14">
        <v>169</v>
      </c>
      <c r="E503" s="15">
        <v>9</v>
      </c>
    </row>
    <row r="504" spans="1:5" x14ac:dyDescent="0.4">
      <c r="A504" s="13" t="s">
        <v>766</v>
      </c>
      <c r="B504" s="13" t="s">
        <v>20</v>
      </c>
      <c r="C504" s="13" t="s">
        <v>40</v>
      </c>
      <c r="D504" s="14">
        <v>169</v>
      </c>
      <c r="E504" s="15">
        <v>2</v>
      </c>
    </row>
    <row r="505" spans="1:5" x14ac:dyDescent="0.4">
      <c r="A505" s="13" t="s">
        <v>1714</v>
      </c>
      <c r="B505" s="13" t="s">
        <v>20</v>
      </c>
      <c r="C505" s="13" t="s">
        <v>66</v>
      </c>
      <c r="D505" s="14">
        <v>169</v>
      </c>
      <c r="E505" s="15">
        <v>7</v>
      </c>
    </row>
    <row r="506" spans="1:5" x14ac:dyDescent="0.4">
      <c r="A506" s="13" t="s">
        <v>123</v>
      </c>
      <c r="B506" s="13" t="s">
        <v>24</v>
      </c>
      <c r="C506" s="13" t="s">
        <v>21</v>
      </c>
      <c r="D506" s="14">
        <v>170</v>
      </c>
      <c r="E506" s="15">
        <v>0</v>
      </c>
    </row>
    <row r="507" spans="1:5" x14ac:dyDescent="0.4">
      <c r="A507" s="13" t="s">
        <v>585</v>
      </c>
      <c r="B507" s="13" t="s">
        <v>24</v>
      </c>
      <c r="C507" s="13" t="s">
        <v>27</v>
      </c>
      <c r="D507" s="14">
        <v>170</v>
      </c>
      <c r="E507" s="15">
        <v>2</v>
      </c>
    </row>
    <row r="508" spans="1:5" x14ac:dyDescent="0.4">
      <c r="A508" s="13" t="s">
        <v>588</v>
      </c>
      <c r="B508" s="13" t="s">
        <v>20</v>
      </c>
      <c r="C508" s="13" t="s">
        <v>39</v>
      </c>
      <c r="D508" s="14">
        <v>170</v>
      </c>
      <c r="E508" s="15">
        <v>0</v>
      </c>
    </row>
    <row r="509" spans="1:5" x14ac:dyDescent="0.4">
      <c r="A509" s="13" t="s">
        <v>923</v>
      </c>
      <c r="B509" s="13" t="s">
        <v>26</v>
      </c>
      <c r="C509" s="13" t="s">
        <v>40</v>
      </c>
      <c r="D509" s="14">
        <v>170</v>
      </c>
      <c r="E509" s="15">
        <v>7</v>
      </c>
    </row>
    <row r="510" spans="1:5" x14ac:dyDescent="0.4">
      <c r="A510" s="13" t="s">
        <v>1759</v>
      </c>
      <c r="B510" s="13" t="s">
        <v>26</v>
      </c>
      <c r="C510" s="13" t="s">
        <v>111</v>
      </c>
      <c r="D510" s="14">
        <v>170</v>
      </c>
      <c r="E510" s="15">
        <v>0</v>
      </c>
    </row>
    <row r="511" spans="1:5" x14ac:dyDescent="0.4">
      <c r="A511" s="13" t="s">
        <v>1961</v>
      </c>
      <c r="B511" s="13" t="s">
        <v>26</v>
      </c>
      <c r="C511" s="13" t="s">
        <v>39</v>
      </c>
      <c r="D511" s="14">
        <v>170</v>
      </c>
      <c r="E511" s="15">
        <v>0</v>
      </c>
    </row>
    <row r="512" spans="1:5" x14ac:dyDescent="0.4">
      <c r="A512" s="13" t="s">
        <v>235</v>
      </c>
      <c r="B512" s="13" t="s">
        <v>26</v>
      </c>
      <c r="C512" s="13" t="s">
        <v>111</v>
      </c>
      <c r="D512" s="14">
        <v>171</v>
      </c>
      <c r="E512" s="15">
        <v>0</v>
      </c>
    </row>
    <row r="513" spans="1:5" x14ac:dyDescent="0.4">
      <c r="A513" s="13" t="s">
        <v>638</v>
      </c>
      <c r="B513" s="13" t="s">
        <v>24</v>
      </c>
      <c r="C513" s="13" t="s">
        <v>44</v>
      </c>
      <c r="D513" s="14">
        <v>171</v>
      </c>
      <c r="E513" s="15">
        <v>0</v>
      </c>
    </row>
    <row r="514" spans="1:5" x14ac:dyDescent="0.4">
      <c r="A514" s="13" t="s">
        <v>773</v>
      </c>
      <c r="B514" s="13" t="s">
        <v>26</v>
      </c>
      <c r="C514" s="13" t="s">
        <v>44</v>
      </c>
      <c r="D514" s="14">
        <v>171</v>
      </c>
      <c r="E514" s="15">
        <v>1</v>
      </c>
    </row>
    <row r="515" spans="1:5" x14ac:dyDescent="0.4">
      <c r="A515" s="13" t="s">
        <v>899</v>
      </c>
      <c r="B515" s="13" t="s">
        <v>26</v>
      </c>
      <c r="C515" s="13" t="s">
        <v>111</v>
      </c>
      <c r="D515" s="14">
        <v>171</v>
      </c>
      <c r="E515" s="15">
        <v>3</v>
      </c>
    </row>
    <row r="516" spans="1:5" x14ac:dyDescent="0.4">
      <c r="A516" s="13" t="s">
        <v>1135</v>
      </c>
      <c r="B516" s="13" t="s">
        <v>26</v>
      </c>
      <c r="C516" s="13" t="s">
        <v>43</v>
      </c>
      <c r="D516" s="14">
        <v>171</v>
      </c>
      <c r="E516" s="15">
        <v>0</v>
      </c>
    </row>
    <row r="517" spans="1:5" x14ac:dyDescent="0.4">
      <c r="A517" s="13" t="s">
        <v>1183</v>
      </c>
      <c r="B517" s="13" t="s">
        <v>26</v>
      </c>
      <c r="C517" s="13" t="s">
        <v>5</v>
      </c>
      <c r="D517" s="14">
        <v>171</v>
      </c>
      <c r="E517" s="15">
        <v>2</v>
      </c>
    </row>
    <row r="518" spans="1:5" x14ac:dyDescent="0.4">
      <c r="A518" s="13" t="s">
        <v>1558</v>
      </c>
      <c r="B518" s="13" t="s">
        <v>24</v>
      </c>
      <c r="C518" s="13" t="s">
        <v>28</v>
      </c>
      <c r="D518" s="14">
        <v>171</v>
      </c>
      <c r="E518" s="15">
        <v>0</v>
      </c>
    </row>
    <row r="519" spans="1:5" x14ac:dyDescent="0.4">
      <c r="A519" s="13" t="s">
        <v>1834</v>
      </c>
      <c r="B519" s="13" t="s">
        <v>24</v>
      </c>
      <c r="C519" s="13" t="s">
        <v>5</v>
      </c>
      <c r="D519" s="14">
        <v>171</v>
      </c>
      <c r="E519" s="15">
        <v>3</v>
      </c>
    </row>
    <row r="520" spans="1:5" x14ac:dyDescent="0.4">
      <c r="A520" s="13" t="s">
        <v>590</v>
      </c>
      <c r="B520" s="13" t="s">
        <v>20</v>
      </c>
      <c r="C520" s="13" t="s">
        <v>44</v>
      </c>
      <c r="D520" s="14">
        <v>172</v>
      </c>
      <c r="E520" s="15">
        <v>7</v>
      </c>
    </row>
    <row r="521" spans="1:5" x14ac:dyDescent="0.4">
      <c r="A521" s="13" t="s">
        <v>1568</v>
      </c>
      <c r="B521" s="13" t="s">
        <v>26</v>
      </c>
      <c r="C521" s="13" t="s">
        <v>28</v>
      </c>
      <c r="D521" s="14">
        <v>173</v>
      </c>
      <c r="E521" s="15">
        <v>0</v>
      </c>
    </row>
    <row r="522" spans="1:5" x14ac:dyDescent="0.4">
      <c r="A522" s="13" t="s">
        <v>1887</v>
      </c>
      <c r="B522" s="13" t="s">
        <v>20</v>
      </c>
      <c r="C522" s="13" t="s">
        <v>5</v>
      </c>
      <c r="D522" s="14">
        <v>173</v>
      </c>
      <c r="E522" s="15">
        <v>0</v>
      </c>
    </row>
    <row r="523" spans="1:5" x14ac:dyDescent="0.4">
      <c r="A523" s="13" t="s">
        <v>272</v>
      </c>
      <c r="B523" s="13" t="s">
        <v>26</v>
      </c>
      <c r="C523" s="13" t="s">
        <v>43</v>
      </c>
      <c r="D523" s="14">
        <v>174</v>
      </c>
      <c r="E523" s="15">
        <v>0</v>
      </c>
    </row>
    <row r="524" spans="1:5" x14ac:dyDescent="0.4">
      <c r="A524" s="13" t="s">
        <v>791</v>
      </c>
      <c r="B524" s="13" t="s">
        <v>26</v>
      </c>
      <c r="C524" s="13" t="s">
        <v>22</v>
      </c>
      <c r="D524" s="14">
        <v>174</v>
      </c>
      <c r="E524" s="15">
        <v>0</v>
      </c>
    </row>
    <row r="525" spans="1:5" x14ac:dyDescent="0.4">
      <c r="A525" s="13" t="s">
        <v>113</v>
      </c>
      <c r="B525" s="13" t="s">
        <v>24</v>
      </c>
      <c r="C525" s="13" t="s">
        <v>53</v>
      </c>
      <c r="D525" s="14">
        <v>175</v>
      </c>
      <c r="E525" s="15">
        <v>0</v>
      </c>
    </row>
    <row r="526" spans="1:5" x14ac:dyDescent="0.4">
      <c r="A526" s="13" t="s">
        <v>1293</v>
      </c>
      <c r="B526" s="13" t="s">
        <v>20</v>
      </c>
      <c r="C526" s="13" t="s">
        <v>30</v>
      </c>
      <c r="D526" s="14">
        <v>175</v>
      </c>
      <c r="E526" s="15">
        <v>2</v>
      </c>
    </row>
    <row r="527" spans="1:5" x14ac:dyDescent="0.4">
      <c r="A527" s="13" t="s">
        <v>225</v>
      </c>
      <c r="B527" s="13" t="s">
        <v>20</v>
      </c>
      <c r="C527" s="13" t="s">
        <v>30</v>
      </c>
      <c r="D527" s="14">
        <v>176</v>
      </c>
      <c r="E527" s="15">
        <v>1</v>
      </c>
    </row>
    <row r="528" spans="1:5" x14ac:dyDescent="0.4">
      <c r="A528" s="13" t="s">
        <v>318</v>
      </c>
      <c r="B528" s="13" t="s">
        <v>20</v>
      </c>
      <c r="C528" s="13" t="s">
        <v>25</v>
      </c>
      <c r="D528" s="14">
        <v>176</v>
      </c>
      <c r="E528" s="15">
        <v>7</v>
      </c>
    </row>
    <row r="529" spans="1:5" x14ac:dyDescent="0.4">
      <c r="A529" s="13" t="s">
        <v>405</v>
      </c>
      <c r="B529" s="13" t="s">
        <v>20</v>
      </c>
      <c r="C529" s="13" t="s">
        <v>25</v>
      </c>
      <c r="D529" s="14">
        <v>176</v>
      </c>
      <c r="E529" s="15">
        <v>9</v>
      </c>
    </row>
    <row r="530" spans="1:5" x14ac:dyDescent="0.4">
      <c r="A530" s="13" t="s">
        <v>1471</v>
      </c>
      <c r="B530" s="13" t="s">
        <v>20</v>
      </c>
      <c r="C530" s="13" t="s">
        <v>27</v>
      </c>
      <c r="D530" s="14">
        <v>176</v>
      </c>
      <c r="E530" s="15">
        <v>0</v>
      </c>
    </row>
    <row r="531" spans="1:5" x14ac:dyDescent="0.4">
      <c r="A531" s="13" t="s">
        <v>1585</v>
      </c>
      <c r="B531" s="13" t="s">
        <v>20</v>
      </c>
      <c r="C531" s="13" t="s">
        <v>22</v>
      </c>
      <c r="D531" s="14">
        <v>176</v>
      </c>
      <c r="E531" s="15">
        <v>0</v>
      </c>
    </row>
    <row r="532" spans="1:5" x14ac:dyDescent="0.4">
      <c r="A532" s="13" t="s">
        <v>170</v>
      </c>
      <c r="B532" s="13" t="s">
        <v>26</v>
      </c>
      <c r="C532" s="13" t="s">
        <v>53</v>
      </c>
      <c r="D532" s="14">
        <v>177</v>
      </c>
      <c r="E532" s="15">
        <v>0</v>
      </c>
    </row>
    <row r="533" spans="1:5" x14ac:dyDescent="0.4">
      <c r="A533" s="13" t="s">
        <v>732</v>
      </c>
      <c r="B533" s="13" t="s">
        <v>26</v>
      </c>
      <c r="C533" s="13" t="s">
        <v>44</v>
      </c>
      <c r="D533" s="14">
        <v>177</v>
      </c>
      <c r="E533" s="15">
        <v>7</v>
      </c>
    </row>
    <row r="534" spans="1:5" x14ac:dyDescent="0.4">
      <c r="A534" s="13" t="s">
        <v>1367</v>
      </c>
      <c r="B534" s="13" t="s">
        <v>24</v>
      </c>
      <c r="C534" s="13" t="s">
        <v>40</v>
      </c>
      <c r="D534" s="14">
        <v>177</v>
      </c>
      <c r="E534" s="15">
        <v>3</v>
      </c>
    </row>
    <row r="535" spans="1:5" x14ac:dyDescent="0.4">
      <c r="A535" s="13" t="s">
        <v>1876</v>
      </c>
      <c r="B535" s="13" t="s">
        <v>26</v>
      </c>
      <c r="C535" s="13" t="s">
        <v>44</v>
      </c>
      <c r="D535" s="14">
        <v>177</v>
      </c>
      <c r="E535" s="15">
        <v>1</v>
      </c>
    </row>
    <row r="536" spans="1:5" x14ac:dyDescent="0.4">
      <c r="A536" s="13" t="s">
        <v>562</v>
      </c>
      <c r="B536" s="13" t="s">
        <v>26</v>
      </c>
      <c r="C536" s="13" t="s">
        <v>5</v>
      </c>
      <c r="D536" s="14">
        <v>178</v>
      </c>
      <c r="E536" s="15">
        <v>12</v>
      </c>
    </row>
    <row r="537" spans="1:5" x14ac:dyDescent="0.4">
      <c r="A537" s="13" t="s">
        <v>1747</v>
      </c>
      <c r="B537" s="13" t="s">
        <v>20</v>
      </c>
      <c r="C537" s="13" t="s">
        <v>39</v>
      </c>
      <c r="D537" s="14">
        <v>178</v>
      </c>
      <c r="E537" s="15">
        <v>0</v>
      </c>
    </row>
    <row r="538" spans="1:5" x14ac:dyDescent="0.4">
      <c r="A538" s="13" t="s">
        <v>381</v>
      </c>
      <c r="B538" s="13" t="s">
        <v>26</v>
      </c>
      <c r="C538" s="13" t="s">
        <v>66</v>
      </c>
      <c r="D538" s="14">
        <v>179</v>
      </c>
      <c r="E538" s="15">
        <v>1</v>
      </c>
    </row>
    <row r="539" spans="1:5" x14ac:dyDescent="0.4">
      <c r="A539" s="13" t="s">
        <v>852</v>
      </c>
      <c r="B539" s="13" t="s">
        <v>26</v>
      </c>
      <c r="C539" s="13" t="s">
        <v>32</v>
      </c>
      <c r="D539" s="14">
        <v>180</v>
      </c>
      <c r="E539" s="15">
        <v>1</v>
      </c>
    </row>
    <row r="540" spans="1:5" x14ac:dyDescent="0.4">
      <c r="A540" s="13" t="s">
        <v>953</v>
      </c>
      <c r="B540" s="13" t="s">
        <v>24</v>
      </c>
      <c r="C540" s="13" t="s">
        <v>33</v>
      </c>
      <c r="D540" s="14">
        <v>180</v>
      </c>
      <c r="E540" s="15">
        <v>2</v>
      </c>
    </row>
    <row r="541" spans="1:5" x14ac:dyDescent="0.4">
      <c r="A541" s="13" t="s">
        <v>1565</v>
      </c>
      <c r="B541" s="13" t="s">
        <v>20</v>
      </c>
      <c r="C541" s="13" t="s">
        <v>5</v>
      </c>
      <c r="D541" s="14">
        <v>181</v>
      </c>
      <c r="E541" s="15">
        <v>0</v>
      </c>
    </row>
    <row r="542" spans="1:5" x14ac:dyDescent="0.4">
      <c r="A542" s="13" t="s">
        <v>1929</v>
      </c>
      <c r="B542" s="13" t="s">
        <v>20</v>
      </c>
      <c r="C542" s="13" t="s">
        <v>5</v>
      </c>
      <c r="D542" s="14">
        <v>181</v>
      </c>
      <c r="E542" s="15">
        <v>4</v>
      </c>
    </row>
    <row r="543" spans="1:5" x14ac:dyDescent="0.4">
      <c r="A543" s="13" t="s">
        <v>805</v>
      </c>
      <c r="B543" s="13" t="s">
        <v>26</v>
      </c>
      <c r="C543" s="13" t="s">
        <v>62</v>
      </c>
      <c r="D543" s="14">
        <v>182</v>
      </c>
      <c r="E543" s="15">
        <v>0</v>
      </c>
    </row>
    <row r="544" spans="1:5" x14ac:dyDescent="0.4">
      <c r="A544" s="13" t="s">
        <v>1084</v>
      </c>
      <c r="B544" s="13" t="s">
        <v>20</v>
      </c>
      <c r="C544" s="13" t="s">
        <v>111</v>
      </c>
      <c r="D544" s="14">
        <v>182</v>
      </c>
      <c r="E544" s="15">
        <v>0</v>
      </c>
    </row>
    <row r="545" spans="1:5" x14ac:dyDescent="0.4">
      <c r="A545" s="13" t="s">
        <v>174</v>
      </c>
      <c r="B545" s="13" t="s">
        <v>20</v>
      </c>
      <c r="C545" s="13" t="s">
        <v>32</v>
      </c>
      <c r="D545" s="14">
        <v>183</v>
      </c>
      <c r="E545" s="15">
        <v>2</v>
      </c>
    </row>
    <row r="546" spans="1:5" x14ac:dyDescent="0.4">
      <c r="A546" s="13" t="s">
        <v>1163</v>
      </c>
      <c r="B546" s="13" t="s">
        <v>26</v>
      </c>
      <c r="C546" s="13" t="s">
        <v>30</v>
      </c>
      <c r="D546" s="14">
        <v>183</v>
      </c>
      <c r="E546" s="15">
        <v>0</v>
      </c>
    </row>
    <row r="547" spans="1:5" x14ac:dyDescent="0.4">
      <c r="A547" s="13" t="s">
        <v>1765</v>
      </c>
      <c r="B547" s="13" t="s">
        <v>24</v>
      </c>
      <c r="C547" s="13" t="s">
        <v>44</v>
      </c>
      <c r="D547" s="14">
        <v>183</v>
      </c>
      <c r="E547" s="15">
        <v>0</v>
      </c>
    </row>
    <row r="548" spans="1:5" x14ac:dyDescent="0.4">
      <c r="A548" s="13" t="s">
        <v>121</v>
      </c>
      <c r="B548" s="13" t="s">
        <v>24</v>
      </c>
      <c r="C548" s="13" t="s">
        <v>44</v>
      </c>
      <c r="D548" s="14">
        <v>184</v>
      </c>
      <c r="E548" s="15">
        <v>0</v>
      </c>
    </row>
    <row r="549" spans="1:5" x14ac:dyDescent="0.4">
      <c r="A549" s="13" t="s">
        <v>172</v>
      </c>
      <c r="B549" s="13" t="s">
        <v>20</v>
      </c>
      <c r="C549" s="13" t="s">
        <v>39</v>
      </c>
      <c r="D549" s="14">
        <v>184</v>
      </c>
      <c r="E549" s="15">
        <v>0</v>
      </c>
    </row>
    <row r="550" spans="1:5" x14ac:dyDescent="0.4">
      <c r="A550" s="13" t="s">
        <v>1255</v>
      </c>
      <c r="B550" s="13" t="s">
        <v>20</v>
      </c>
      <c r="C550" s="13" t="s">
        <v>40</v>
      </c>
      <c r="D550" s="14">
        <v>184</v>
      </c>
      <c r="E550" s="15">
        <v>2</v>
      </c>
    </row>
    <row r="551" spans="1:5" x14ac:dyDescent="0.4">
      <c r="A551" s="13" t="s">
        <v>1713</v>
      </c>
      <c r="B551" s="13" t="s">
        <v>26</v>
      </c>
      <c r="C551" s="13" t="s">
        <v>39</v>
      </c>
      <c r="D551" s="14">
        <v>184</v>
      </c>
      <c r="E551" s="15">
        <v>5</v>
      </c>
    </row>
    <row r="552" spans="1:5" x14ac:dyDescent="0.4">
      <c r="A552" s="13" t="s">
        <v>1736</v>
      </c>
      <c r="B552" s="13" t="s">
        <v>26</v>
      </c>
      <c r="C552" s="13" t="s">
        <v>28</v>
      </c>
      <c r="D552" s="14">
        <v>184</v>
      </c>
      <c r="E552" s="15">
        <v>1</v>
      </c>
    </row>
    <row r="553" spans="1:5" x14ac:dyDescent="0.4">
      <c r="A553" s="13" t="s">
        <v>1382</v>
      </c>
      <c r="B553" s="13" t="s">
        <v>26</v>
      </c>
      <c r="C553" s="13" t="s">
        <v>33</v>
      </c>
      <c r="D553" s="14">
        <v>185</v>
      </c>
      <c r="E553" s="15">
        <v>0</v>
      </c>
    </row>
    <row r="554" spans="1:5" x14ac:dyDescent="0.4">
      <c r="A554" s="13" t="s">
        <v>228</v>
      </c>
      <c r="B554" s="13" t="s">
        <v>24</v>
      </c>
      <c r="C554" s="13" t="s">
        <v>39</v>
      </c>
      <c r="D554" s="14">
        <v>186</v>
      </c>
      <c r="E554" s="15">
        <v>3</v>
      </c>
    </row>
    <row r="555" spans="1:5" x14ac:dyDescent="0.4">
      <c r="A555" s="13" t="s">
        <v>265</v>
      </c>
      <c r="B555" s="13" t="s">
        <v>24</v>
      </c>
      <c r="C555" s="13" t="s">
        <v>21</v>
      </c>
      <c r="D555" s="14">
        <v>186</v>
      </c>
      <c r="E555" s="15">
        <v>3</v>
      </c>
    </row>
    <row r="556" spans="1:5" x14ac:dyDescent="0.4">
      <c r="A556" s="13" t="s">
        <v>846</v>
      </c>
      <c r="B556" s="13" t="s">
        <v>26</v>
      </c>
      <c r="C556" s="13" t="s">
        <v>111</v>
      </c>
      <c r="D556" s="14">
        <v>186</v>
      </c>
      <c r="E556" s="15">
        <v>0</v>
      </c>
    </row>
    <row r="557" spans="1:5" x14ac:dyDescent="0.4">
      <c r="A557" s="13" t="s">
        <v>347</v>
      </c>
      <c r="B557" s="13" t="s">
        <v>26</v>
      </c>
      <c r="C557" s="13" t="s">
        <v>111</v>
      </c>
      <c r="D557" s="14">
        <v>187</v>
      </c>
      <c r="E557" s="15">
        <v>1</v>
      </c>
    </row>
    <row r="558" spans="1:5" x14ac:dyDescent="0.4">
      <c r="A558" s="13" t="s">
        <v>845</v>
      </c>
      <c r="B558" s="13" t="s">
        <v>20</v>
      </c>
      <c r="C558" s="13" t="s">
        <v>28</v>
      </c>
      <c r="D558" s="14">
        <v>187</v>
      </c>
      <c r="E558" s="15">
        <v>3</v>
      </c>
    </row>
    <row r="559" spans="1:5" x14ac:dyDescent="0.4">
      <c r="A559" s="13" t="s">
        <v>871</v>
      </c>
      <c r="B559" s="13" t="s">
        <v>24</v>
      </c>
      <c r="C559" s="13" t="s">
        <v>21</v>
      </c>
      <c r="D559" s="14">
        <v>187</v>
      </c>
      <c r="E559" s="15">
        <v>2</v>
      </c>
    </row>
    <row r="560" spans="1:5" x14ac:dyDescent="0.4">
      <c r="A560" s="13" t="s">
        <v>188</v>
      </c>
      <c r="B560" s="13" t="s">
        <v>20</v>
      </c>
      <c r="C560" s="13" t="s">
        <v>34</v>
      </c>
      <c r="D560" s="14">
        <v>188</v>
      </c>
      <c r="E560" s="15">
        <v>7</v>
      </c>
    </row>
    <row r="561" spans="1:5" x14ac:dyDescent="0.4">
      <c r="A561" s="13" t="s">
        <v>567</v>
      </c>
      <c r="B561" s="13" t="s">
        <v>24</v>
      </c>
      <c r="C561" s="13" t="s">
        <v>44</v>
      </c>
      <c r="D561" s="14">
        <v>188</v>
      </c>
      <c r="E561" s="15">
        <v>4</v>
      </c>
    </row>
    <row r="562" spans="1:5" x14ac:dyDescent="0.4">
      <c r="A562" s="13" t="s">
        <v>1370</v>
      </c>
      <c r="B562" s="13" t="s">
        <v>20</v>
      </c>
      <c r="C562" s="13" t="s">
        <v>28</v>
      </c>
      <c r="D562" s="14">
        <v>188</v>
      </c>
      <c r="E562" s="15">
        <v>1</v>
      </c>
    </row>
    <row r="563" spans="1:5" x14ac:dyDescent="0.4">
      <c r="A563" s="13" t="s">
        <v>1456</v>
      </c>
      <c r="B563" s="13" t="s">
        <v>24</v>
      </c>
      <c r="C563" s="13" t="s">
        <v>5</v>
      </c>
      <c r="D563" s="14">
        <v>188</v>
      </c>
      <c r="E563" s="15">
        <v>1</v>
      </c>
    </row>
    <row r="564" spans="1:5" x14ac:dyDescent="0.4">
      <c r="A564" s="13" t="s">
        <v>1547</v>
      </c>
      <c r="B564" s="13" t="s">
        <v>24</v>
      </c>
      <c r="C564" s="13" t="s">
        <v>27</v>
      </c>
      <c r="D564" s="14">
        <v>188</v>
      </c>
      <c r="E564" s="15">
        <v>1</v>
      </c>
    </row>
    <row r="565" spans="1:5" x14ac:dyDescent="0.4">
      <c r="A565" s="13" t="s">
        <v>279</v>
      </c>
      <c r="B565" s="13" t="s">
        <v>26</v>
      </c>
      <c r="C565" s="13" t="s">
        <v>21</v>
      </c>
      <c r="D565" s="14">
        <v>189</v>
      </c>
      <c r="E565" s="15">
        <v>0</v>
      </c>
    </row>
    <row r="566" spans="1:5" x14ac:dyDescent="0.4">
      <c r="A566" s="13" t="s">
        <v>1090</v>
      </c>
      <c r="B566" s="13" t="s">
        <v>26</v>
      </c>
      <c r="C566" s="13" t="s">
        <v>21</v>
      </c>
      <c r="D566" s="14">
        <v>189</v>
      </c>
      <c r="E566" s="15">
        <v>1</v>
      </c>
    </row>
    <row r="567" spans="1:5" x14ac:dyDescent="0.4">
      <c r="A567" s="13" t="s">
        <v>1839</v>
      </c>
      <c r="B567" s="13" t="s">
        <v>20</v>
      </c>
      <c r="C567" s="13" t="s">
        <v>66</v>
      </c>
      <c r="D567" s="14">
        <v>189</v>
      </c>
      <c r="E567" s="15">
        <v>2</v>
      </c>
    </row>
    <row r="568" spans="1:5" x14ac:dyDescent="0.4">
      <c r="A568" s="13" t="s">
        <v>1924</v>
      </c>
      <c r="B568" s="13" t="s">
        <v>26</v>
      </c>
      <c r="C568" s="13" t="s">
        <v>40</v>
      </c>
      <c r="D568" s="14">
        <v>189</v>
      </c>
      <c r="E568" s="15">
        <v>1</v>
      </c>
    </row>
    <row r="569" spans="1:5" x14ac:dyDescent="0.4">
      <c r="A569" s="13" t="s">
        <v>441</v>
      </c>
      <c r="B569" s="13" t="s">
        <v>24</v>
      </c>
      <c r="C569" s="13" t="s">
        <v>66</v>
      </c>
      <c r="D569" s="14">
        <v>190</v>
      </c>
      <c r="E569" s="15">
        <v>0</v>
      </c>
    </row>
    <row r="570" spans="1:5" x14ac:dyDescent="0.4">
      <c r="A570" s="13" t="s">
        <v>1481</v>
      </c>
      <c r="B570" s="13" t="s">
        <v>20</v>
      </c>
      <c r="C570" s="13" t="s">
        <v>39</v>
      </c>
      <c r="D570" s="14">
        <v>190</v>
      </c>
      <c r="E570" s="15">
        <v>1</v>
      </c>
    </row>
    <row r="571" spans="1:5" x14ac:dyDescent="0.4">
      <c r="A571" s="13" t="s">
        <v>1263</v>
      </c>
      <c r="B571" s="13" t="s">
        <v>24</v>
      </c>
      <c r="C571" s="13" t="s">
        <v>28</v>
      </c>
      <c r="D571" s="14">
        <v>191</v>
      </c>
      <c r="E571" s="15">
        <v>1</v>
      </c>
    </row>
    <row r="572" spans="1:5" x14ac:dyDescent="0.4">
      <c r="A572" s="13" t="s">
        <v>454</v>
      </c>
      <c r="B572" s="13" t="s">
        <v>24</v>
      </c>
      <c r="C572" s="13" t="s">
        <v>30</v>
      </c>
      <c r="D572" s="14">
        <v>192</v>
      </c>
      <c r="E572" s="15">
        <v>0</v>
      </c>
    </row>
    <row r="573" spans="1:5" x14ac:dyDescent="0.4">
      <c r="A573" s="13" t="s">
        <v>1118</v>
      </c>
      <c r="B573" s="13" t="s">
        <v>24</v>
      </c>
      <c r="C573" s="13" t="s">
        <v>30</v>
      </c>
      <c r="D573" s="14">
        <v>192</v>
      </c>
      <c r="E573" s="15">
        <v>5</v>
      </c>
    </row>
    <row r="574" spans="1:5" x14ac:dyDescent="0.4">
      <c r="A574" s="13" t="s">
        <v>1775</v>
      </c>
      <c r="B574" s="13" t="s">
        <v>24</v>
      </c>
      <c r="C574" s="13" t="s">
        <v>111</v>
      </c>
      <c r="D574" s="14">
        <v>192</v>
      </c>
      <c r="E574" s="15">
        <v>1</v>
      </c>
    </row>
    <row r="575" spans="1:5" x14ac:dyDescent="0.4">
      <c r="A575" s="13" t="s">
        <v>212</v>
      </c>
      <c r="B575" s="13" t="s">
        <v>24</v>
      </c>
      <c r="C575" s="13" t="s">
        <v>33</v>
      </c>
      <c r="D575" s="14">
        <v>193</v>
      </c>
      <c r="E575" s="15">
        <v>0</v>
      </c>
    </row>
    <row r="576" spans="1:5" x14ac:dyDescent="0.4">
      <c r="A576" s="13" t="s">
        <v>1640</v>
      </c>
      <c r="B576" s="13" t="s">
        <v>24</v>
      </c>
      <c r="C576" s="13" t="s">
        <v>66</v>
      </c>
      <c r="D576" s="14">
        <v>193</v>
      </c>
      <c r="E576" s="15">
        <v>2</v>
      </c>
    </row>
    <row r="577" spans="1:5" x14ac:dyDescent="0.4">
      <c r="A577" s="13" t="s">
        <v>1387</v>
      </c>
      <c r="B577" s="13" t="s">
        <v>24</v>
      </c>
      <c r="C577" s="13" t="s">
        <v>40</v>
      </c>
      <c r="D577" s="14">
        <v>194</v>
      </c>
      <c r="E577" s="15">
        <v>0</v>
      </c>
    </row>
    <row r="578" spans="1:5" x14ac:dyDescent="0.4">
      <c r="A578" s="13" t="s">
        <v>1677</v>
      </c>
      <c r="B578" s="13" t="s">
        <v>26</v>
      </c>
      <c r="C578" s="13" t="s">
        <v>27</v>
      </c>
      <c r="D578" s="14">
        <v>194</v>
      </c>
      <c r="E578" s="15">
        <v>0</v>
      </c>
    </row>
    <row r="579" spans="1:5" x14ac:dyDescent="0.4">
      <c r="A579" s="13" t="s">
        <v>526</v>
      </c>
      <c r="B579" s="13" t="s">
        <v>20</v>
      </c>
      <c r="C579" s="13" t="s">
        <v>30</v>
      </c>
      <c r="D579" s="14">
        <v>195</v>
      </c>
      <c r="E579" s="15">
        <v>8</v>
      </c>
    </row>
    <row r="580" spans="1:5" x14ac:dyDescent="0.4">
      <c r="A580" s="13" t="s">
        <v>1447</v>
      </c>
      <c r="B580" s="13" t="s">
        <v>24</v>
      </c>
      <c r="C580" s="13" t="s">
        <v>30</v>
      </c>
      <c r="D580" s="14">
        <v>195</v>
      </c>
      <c r="E580" s="15">
        <v>4</v>
      </c>
    </row>
    <row r="581" spans="1:5" x14ac:dyDescent="0.4">
      <c r="A581" s="13" t="s">
        <v>1114</v>
      </c>
      <c r="B581" s="13" t="s">
        <v>24</v>
      </c>
      <c r="C581" s="13" t="s">
        <v>44</v>
      </c>
      <c r="D581" s="14">
        <v>196</v>
      </c>
      <c r="E581" s="15">
        <v>1</v>
      </c>
    </row>
    <row r="582" spans="1:5" x14ac:dyDescent="0.4">
      <c r="A582" s="13" t="s">
        <v>1708</v>
      </c>
      <c r="B582" s="13" t="s">
        <v>26</v>
      </c>
      <c r="C582" s="13" t="s">
        <v>25</v>
      </c>
      <c r="D582" s="14">
        <v>196</v>
      </c>
      <c r="E582" s="15">
        <v>0</v>
      </c>
    </row>
    <row r="583" spans="1:5" x14ac:dyDescent="0.4">
      <c r="A583" s="13" t="s">
        <v>1918</v>
      </c>
      <c r="B583" s="13" t="s">
        <v>20</v>
      </c>
      <c r="C583" s="13" t="s">
        <v>44</v>
      </c>
      <c r="D583" s="14">
        <v>196</v>
      </c>
      <c r="E583" s="15">
        <v>0</v>
      </c>
    </row>
    <row r="584" spans="1:5" x14ac:dyDescent="0.4">
      <c r="A584" s="13" t="s">
        <v>1028</v>
      </c>
      <c r="B584" s="13" t="s">
        <v>24</v>
      </c>
      <c r="C584" s="13" t="s">
        <v>30</v>
      </c>
      <c r="D584" s="14">
        <v>197</v>
      </c>
      <c r="E584" s="15">
        <v>0</v>
      </c>
    </row>
    <row r="585" spans="1:5" x14ac:dyDescent="0.4">
      <c r="A585" s="13" t="s">
        <v>1688</v>
      </c>
      <c r="B585" s="13" t="s">
        <v>24</v>
      </c>
      <c r="C585" s="13" t="s">
        <v>32</v>
      </c>
      <c r="D585" s="14">
        <v>197</v>
      </c>
      <c r="E585" s="15">
        <v>2</v>
      </c>
    </row>
    <row r="586" spans="1:5" x14ac:dyDescent="0.4">
      <c r="A586" s="13" t="s">
        <v>525</v>
      </c>
      <c r="B586" s="13" t="s">
        <v>26</v>
      </c>
      <c r="C586" s="13" t="s">
        <v>5</v>
      </c>
      <c r="D586" s="14">
        <v>199</v>
      </c>
      <c r="E586" s="15">
        <v>0</v>
      </c>
    </row>
    <row r="587" spans="1:5" x14ac:dyDescent="0.4">
      <c r="A587" s="13" t="s">
        <v>789</v>
      </c>
      <c r="B587" s="13" t="s">
        <v>20</v>
      </c>
      <c r="C587" s="13" t="s">
        <v>53</v>
      </c>
      <c r="D587" s="14">
        <v>199</v>
      </c>
      <c r="E587" s="15">
        <v>2</v>
      </c>
    </row>
    <row r="588" spans="1:5" x14ac:dyDescent="0.4">
      <c r="A588" s="13" t="s">
        <v>262</v>
      </c>
      <c r="B588" s="13" t="s">
        <v>26</v>
      </c>
      <c r="C588" s="13" t="s">
        <v>44</v>
      </c>
      <c r="D588" s="14">
        <v>200</v>
      </c>
      <c r="E588" s="15">
        <v>2</v>
      </c>
    </row>
    <row r="589" spans="1:5" x14ac:dyDescent="0.4">
      <c r="A589" s="13" t="s">
        <v>306</v>
      </c>
      <c r="B589" s="13" t="s">
        <v>24</v>
      </c>
      <c r="C589" s="13" t="s">
        <v>34</v>
      </c>
      <c r="D589" s="14">
        <v>200</v>
      </c>
      <c r="E589" s="15">
        <v>3</v>
      </c>
    </row>
    <row r="590" spans="1:5" x14ac:dyDescent="0.4">
      <c r="A590" s="13" t="s">
        <v>569</v>
      </c>
      <c r="B590" s="13" t="s">
        <v>26</v>
      </c>
      <c r="C590" s="13" t="s">
        <v>44</v>
      </c>
      <c r="D590" s="14">
        <v>200</v>
      </c>
      <c r="E590" s="15">
        <v>3</v>
      </c>
    </row>
    <row r="591" spans="1:5" x14ac:dyDescent="0.4">
      <c r="A591" s="13" t="s">
        <v>1572</v>
      </c>
      <c r="B591" s="13" t="s">
        <v>26</v>
      </c>
      <c r="C591" s="13" t="s">
        <v>5</v>
      </c>
      <c r="D591" s="14">
        <v>200</v>
      </c>
      <c r="E591" s="15">
        <v>0</v>
      </c>
    </row>
    <row r="592" spans="1:5" x14ac:dyDescent="0.4">
      <c r="A592" s="13" t="s">
        <v>1845</v>
      </c>
      <c r="B592" s="13" t="s">
        <v>20</v>
      </c>
      <c r="C592" s="13" t="s">
        <v>34</v>
      </c>
      <c r="D592" s="14">
        <v>200</v>
      </c>
      <c r="E592" s="15">
        <v>5</v>
      </c>
    </row>
    <row r="593" spans="1:5" x14ac:dyDescent="0.4">
      <c r="A593" s="13" t="s">
        <v>36</v>
      </c>
      <c r="B593" s="13" t="s">
        <v>24</v>
      </c>
      <c r="C593" s="13" t="s">
        <v>32</v>
      </c>
      <c r="D593" s="14">
        <v>201</v>
      </c>
      <c r="E593" s="15">
        <v>2</v>
      </c>
    </row>
    <row r="594" spans="1:5" x14ac:dyDescent="0.4">
      <c r="A594" s="13" t="s">
        <v>612</v>
      </c>
      <c r="B594" s="13" t="s">
        <v>20</v>
      </c>
      <c r="C594" s="13" t="s">
        <v>25</v>
      </c>
      <c r="D594" s="14">
        <v>201</v>
      </c>
      <c r="E594" s="15">
        <v>0</v>
      </c>
    </row>
    <row r="595" spans="1:5" x14ac:dyDescent="0.4">
      <c r="A595" s="13" t="s">
        <v>1300</v>
      </c>
      <c r="B595" s="13" t="s">
        <v>26</v>
      </c>
      <c r="C595" s="13" t="s">
        <v>5</v>
      </c>
      <c r="D595" s="14">
        <v>201</v>
      </c>
      <c r="E595" s="15">
        <v>0</v>
      </c>
    </row>
    <row r="596" spans="1:5" x14ac:dyDescent="0.4">
      <c r="A596" s="13" t="s">
        <v>1571</v>
      </c>
      <c r="B596" s="13" t="s">
        <v>26</v>
      </c>
      <c r="C596" s="13" t="s">
        <v>111</v>
      </c>
      <c r="D596" s="14">
        <v>201</v>
      </c>
      <c r="E596" s="15">
        <v>1</v>
      </c>
    </row>
    <row r="597" spans="1:5" x14ac:dyDescent="0.4">
      <c r="A597" s="13" t="s">
        <v>1741</v>
      </c>
      <c r="B597" s="13" t="s">
        <v>26</v>
      </c>
      <c r="C597" s="13" t="s">
        <v>34</v>
      </c>
      <c r="D597" s="14">
        <v>201</v>
      </c>
      <c r="E597" s="15">
        <v>0</v>
      </c>
    </row>
    <row r="598" spans="1:5" x14ac:dyDescent="0.4">
      <c r="A598" s="13" t="s">
        <v>1922</v>
      </c>
      <c r="B598" s="13" t="s">
        <v>26</v>
      </c>
      <c r="C598" s="13" t="s">
        <v>27</v>
      </c>
      <c r="D598" s="14">
        <v>201</v>
      </c>
      <c r="E598" s="15">
        <v>0</v>
      </c>
    </row>
    <row r="599" spans="1:5" x14ac:dyDescent="0.4">
      <c r="A599" s="13" t="s">
        <v>713</v>
      </c>
      <c r="B599" s="13" t="s">
        <v>20</v>
      </c>
      <c r="C599" s="13" t="s">
        <v>62</v>
      </c>
      <c r="D599" s="14">
        <v>202</v>
      </c>
      <c r="E599" s="15">
        <v>0</v>
      </c>
    </row>
    <row r="600" spans="1:5" x14ac:dyDescent="0.4">
      <c r="A600" s="13" t="s">
        <v>1659</v>
      </c>
      <c r="B600" s="13" t="s">
        <v>20</v>
      </c>
      <c r="C600" s="13" t="s">
        <v>44</v>
      </c>
      <c r="D600" s="14">
        <v>202</v>
      </c>
      <c r="E600" s="15">
        <v>3</v>
      </c>
    </row>
    <row r="601" spans="1:5" x14ac:dyDescent="0.4">
      <c r="A601" s="13" t="s">
        <v>116</v>
      </c>
      <c r="B601" s="13" t="s">
        <v>20</v>
      </c>
      <c r="C601" s="13" t="s">
        <v>34</v>
      </c>
      <c r="D601" s="14">
        <v>203</v>
      </c>
      <c r="E601" s="15">
        <v>2</v>
      </c>
    </row>
    <row r="602" spans="1:5" x14ac:dyDescent="0.4">
      <c r="A602" s="13" t="s">
        <v>868</v>
      </c>
      <c r="B602" s="13" t="s">
        <v>24</v>
      </c>
      <c r="C602" s="13" t="s">
        <v>44</v>
      </c>
      <c r="D602" s="14">
        <v>203</v>
      </c>
      <c r="E602" s="15">
        <v>5</v>
      </c>
    </row>
    <row r="603" spans="1:5" x14ac:dyDescent="0.4">
      <c r="A603" s="13" t="s">
        <v>1548</v>
      </c>
      <c r="B603" s="13" t="s">
        <v>26</v>
      </c>
      <c r="C603" s="13" t="s">
        <v>39</v>
      </c>
      <c r="D603" s="14">
        <v>203</v>
      </c>
      <c r="E603" s="15">
        <v>4</v>
      </c>
    </row>
    <row r="604" spans="1:5" x14ac:dyDescent="0.4">
      <c r="A604" s="13" t="s">
        <v>1888</v>
      </c>
      <c r="B604" s="13" t="s">
        <v>24</v>
      </c>
      <c r="C604" s="13" t="s">
        <v>30</v>
      </c>
      <c r="D604" s="14">
        <v>203</v>
      </c>
      <c r="E604" s="15">
        <v>1</v>
      </c>
    </row>
    <row r="605" spans="1:5" x14ac:dyDescent="0.4">
      <c r="A605" s="13" t="s">
        <v>1001</v>
      </c>
      <c r="B605" s="13" t="s">
        <v>20</v>
      </c>
      <c r="C605" s="13" t="s">
        <v>28</v>
      </c>
      <c r="D605" s="14">
        <v>204</v>
      </c>
      <c r="E605" s="15">
        <v>0</v>
      </c>
    </row>
    <row r="606" spans="1:5" x14ac:dyDescent="0.4">
      <c r="A606" s="13" t="s">
        <v>1103</v>
      </c>
      <c r="B606" s="13" t="s">
        <v>26</v>
      </c>
      <c r="C606" s="13" t="s">
        <v>28</v>
      </c>
      <c r="D606" s="14">
        <v>204</v>
      </c>
      <c r="E606" s="15">
        <v>7</v>
      </c>
    </row>
    <row r="607" spans="1:5" x14ac:dyDescent="0.4">
      <c r="A607" s="13" t="s">
        <v>1121</v>
      </c>
      <c r="B607" s="13" t="s">
        <v>24</v>
      </c>
      <c r="C607" s="13" t="s">
        <v>5</v>
      </c>
      <c r="D607" s="14">
        <v>204</v>
      </c>
      <c r="E607" s="15">
        <v>8</v>
      </c>
    </row>
    <row r="608" spans="1:5" x14ac:dyDescent="0.4">
      <c r="A608" s="13" t="s">
        <v>70</v>
      </c>
      <c r="B608" s="13" t="s">
        <v>20</v>
      </c>
      <c r="C608" s="13" t="s">
        <v>21</v>
      </c>
      <c r="D608" s="14">
        <v>205</v>
      </c>
      <c r="E608" s="15">
        <v>1</v>
      </c>
    </row>
    <row r="609" spans="1:5" x14ac:dyDescent="0.4">
      <c r="A609" s="13" t="s">
        <v>243</v>
      </c>
      <c r="B609" s="13" t="s">
        <v>24</v>
      </c>
      <c r="C609" s="13" t="s">
        <v>39</v>
      </c>
      <c r="D609" s="14">
        <v>205</v>
      </c>
      <c r="E609" s="15">
        <v>3</v>
      </c>
    </row>
    <row r="610" spans="1:5" x14ac:dyDescent="0.4">
      <c r="A610" s="13" t="s">
        <v>1346</v>
      </c>
      <c r="B610" s="13" t="s">
        <v>24</v>
      </c>
      <c r="C610" s="13" t="s">
        <v>44</v>
      </c>
      <c r="D610" s="14">
        <v>205</v>
      </c>
      <c r="E610" s="15">
        <v>0</v>
      </c>
    </row>
    <row r="611" spans="1:5" x14ac:dyDescent="0.4">
      <c r="A611" s="13" t="s">
        <v>1605</v>
      </c>
      <c r="B611" s="13" t="s">
        <v>26</v>
      </c>
      <c r="C611" s="13" t="s">
        <v>33</v>
      </c>
      <c r="D611" s="14">
        <v>205</v>
      </c>
      <c r="E611" s="15">
        <v>0</v>
      </c>
    </row>
    <row r="612" spans="1:5" x14ac:dyDescent="0.4">
      <c r="A612" s="13" t="s">
        <v>1201</v>
      </c>
      <c r="B612" s="13" t="s">
        <v>24</v>
      </c>
      <c r="C612" s="13" t="s">
        <v>25</v>
      </c>
      <c r="D612" s="14">
        <v>206</v>
      </c>
      <c r="E612" s="15">
        <v>6</v>
      </c>
    </row>
    <row r="613" spans="1:5" x14ac:dyDescent="0.4">
      <c r="A613" s="13" t="s">
        <v>1907</v>
      </c>
      <c r="B613" s="13" t="s">
        <v>24</v>
      </c>
      <c r="C613" s="13" t="s">
        <v>39</v>
      </c>
      <c r="D613" s="14">
        <v>206</v>
      </c>
      <c r="E613" s="15">
        <v>0</v>
      </c>
    </row>
    <row r="614" spans="1:5" x14ac:dyDescent="0.4">
      <c r="A614" s="13" t="s">
        <v>609</v>
      </c>
      <c r="B614" s="13" t="s">
        <v>20</v>
      </c>
      <c r="C614" s="13" t="s">
        <v>39</v>
      </c>
      <c r="D614" s="14">
        <v>207</v>
      </c>
      <c r="E614" s="15">
        <v>1</v>
      </c>
    </row>
    <row r="615" spans="1:5" x14ac:dyDescent="0.4">
      <c r="A615" s="13" t="s">
        <v>832</v>
      </c>
      <c r="B615" s="13" t="s">
        <v>20</v>
      </c>
      <c r="C615" s="13" t="s">
        <v>27</v>
      </c>
      <c r="D615" s="14">
        <v>207</v>
      </c>
      <c r="E615" s="15">
        <v>0</v>
      </c>
    </row>
    <row r="616" spans="1:5" x14ac:dyDescent="0.4">
      <c r="A616" s="13" t="s">
        <v>1512</v>
      </c>
      <c r="B616" s="13" t="s">
        <v>24</v>
      </c>
      <c r="C616" s="13" t="s">
        <v>44</v>
      </c>
      <c r="D616" s="14">
        <v>207</v>
      </c>
      <c r="E616" s="15">
        <v>1</v>
      </c>
    </row>
    <row r="617" spans="1:5" x14ac:dyDescent="0.4">
      <c r="A617" s="13" t="s">
        <v>472</v>
      </c>
      <c r="B617" s="13" t="s">
        <v>24</v>
      </c>
      <c r="C617" s="13" t="s">
        <v>32</v>
      </c>
      <c r="D617" s="14">
        <v>208</v>
      </c>
      <c r="E617" s="15">
        <v>0</v>
      </c>
    </row>
    <row r="618" spans="1:5" x14ac:dyDescent="0.4">
      <c r="A618" s="13" t="s">
        <v>1351</v>
      </c>
      <c r="B618" s="13" t="s">
        <v>24</v>
      </c>
      <c r="C618" s="13" t="s">
        <v>44</v>
      </c>
      <c r="D618" s="14">
        <v>208</v>
      </c>
      <c r="E618" s="15">
        <v>1</v>
      </c>
    </row>
    <row r="619" spans="1:5" x14ac:dyDescent="0.4">
      <c r="A619" s="13" t="s">
        <v>1781</v>
      </c>
      <c r="B619" s="13" t="s">
        <v>20</v>
      </c>
      <c r="C619" s="13" t="s">
        <v>5</v>
      </c>
      <c r="D619" s="14">
        <v>208</v>
      </c>
      <c r="E619" s="15">
        <v>0</v>
      </c>
    </row>
    <row r="620" spans="1:5" x14ac:dyDescent="0.4">
      <c r="A620" s="13" t="s">
        <v>1930</v>
      </c>
      <c r="B620" s="13" t="s">
        <v>20</v>
      </c>
      <c r="C620" s="13" t="s">
        <v>44</v>
      </c>
      <c r="D620" s="14">
        <v>208</v>
      </c>
      <c r="E620" s="15">
        <v>4</v>
      </c>
    </row>
    <row r="621" spans="1:5" x14ac:dyDescent="0.4">
      <c r="A621" s="13" t="s">
        <v>633</v>
      </c>
      <c r="B621" s="13" t="s">
        <v>24</v>
      </c>
      <c r="C621" s="13" t="s">
        <v>111</v>
      </c>
      <c r="D621" s="14">
        <v>209</v>
      </c>
      <c r="E621" s="15">
        <v>1</v>
      </c>
    </row>
    <row r="622" spans="1:5" x14ac:dyDescent="0.4">
      <c r="A622" s="13" t="s">
        <v>1063</v>
      </c>
      <c r="B622" s="13" t="s">
        <v>20</v>
      </c>
      <c r="C622" s="13" t="s">
        <v>27</v>
      </c>
      <c r="D622" s="14">
        <v>209</v>
      </c>
      <c r="E622" s="15">
        <v>3</v>
      </c>
    </row>
    <row r="623" spans="1:5" x14ac:dyDescent="0.4">
      <c r="A623" s="13" t="s">
        <v>1273</v>
      </c>
      <c r="B623" s="13" t="s">
        <v>26</v>
      </c>
      <c r="C623" s="13" t="s">
        <v>30</v>
      </c>
      <c r="D623" s="14">
        <v>209</v>
      </c>
      <c r="E623" s="15">
        <v>7</v>
      </c>
    </row>
    <row r="624" spans="1:5" x14ac:dyDescent="0.4">
      <c r="A624" s="13" t="s">
        <v>1328</v>
      </c>
      <c r="B624" s="13" t="s">
        <v>26</v>
      </c>
      <c r="C624" s="13" t="s">
        <v>40</v>
      </c>
      <c r="D624" s="14">
        <v>209</v>
      </c>
      <c r="E624" s="15">
        <v>18</v>
      </c>
    </row>
    <row r="625" spans="1:5" x14ac:dyDescent="0.4">
      <c r="A625" s="13" t="s">
        <v>1636</v>
      </c>
      <c r="B625" s="13" t="s">
        <v>26</v>
      </c>
      <c r="C625" s="13" t="s">
        <v>40</v>
      </c>
      <c r="D625" s="14">
        <v>209</v>
      </c>
      <c r="E625" s="15">
        <v>1</v>
      </c>
    </row>
    <row r="626" spans="1:5" x14ac:dyDescent="0.4">
      <c r="A626" s="13" t="s">
        <v>329</v>
      </c>
      <c r="B626" s="13" t="s">
        <v>24</v>
      </c>
      <c r="C626" s="13" t="s">
        <v>32</v>
      </c>
      <c r="D626" s="14">
        <v>210</v>
      </c>
      <c r="E626" s="15">
        <v>0</v>
      </c>
    </row>
    <row r="627" spans="1:5" x14ac:dyDescent="0.4">
      <c r="A627" s="13" t="s">
        <v>856</v>
      </c>
      <c r="B627" s="13" t="s">
        <v>24</v>
      </c>
      <c r="C627" s="13" t="s">
        <v>27</v>
      </c>
      <c r="D627" s="14">
        <v>210</v>
      </c>
      <c r="E627" s="15">
        <v>4</v>
      </c>
    </row>
    <row r="628" spans="1:5" x14ac:dyDescent="0.4">
      <c r="A628" s="13" t="s">
        <v>1369</v>
      </c>
      <c r="B628" s="13" t="s">
        <v>20</v>
      </c>
      <c r="C628" s="13" t="s">
        <v>39</v>
      </c>
      <c r="D628" s="14">
        <v>210</v>
      </c>
      <c r="E628" s="15">
        <v>1</v>
      </c>
    </row>
    <row r="629" spans="1:5" x14ac:dyDescent="0.4">
      <c r="A629" s="13" t="s">
        <v>1628</v>
      </c>
      <c r="B629" s="13" t="s">
        <v>20</v>
      </c>
      <c r="C629" s="13" t="s">
        <v>43</v>
      </c>
      <c r="D629" s="14">
        <v>210</v>
      </c>
      <c r="E629" s="15">
        <v>0</v>
      </c>
    </row>
    <row r="630" spans="1:5" x14ac:dyDescent="0.4">
      <c r="A630" s="13" t="s">
        <v>151</v>
      </c>
      <c r="B630" s="13" t="s">
        <v>20</v>
      </c>
      <c r="C630" s="13" t="s">
        <v>44</v>
      </c>
      <c r="D630" s="14">
        <v>211</v>
      </c>
      <c r="E630" s="15">
        <v>4</v>
      </c>
    </row>
    <row r="631" spans="1:5" x14ac:dyDescent="0.4">
      <c r="A631" s="13" t="s">
        <v>199</v>
      </c>
      <c r="B631" s="13" t="s">
        <v>26</v>
      </c>
      <c r="C631" s="13" t="s">
        <v>27</v>
      </c>
      <c r="D631" s="14">
        <v>211</v>
      </c>
      <c r="E631" s="15">
        <v>1</v>
      </c>
    </row>
    <row r="632" spans="1:5" x14ac:dyDescent="0.4">
      <c r="A632" s="13" t="s">
        <v>907</v>
      </c>
      <c r="B632" s="13" t="s">
        <v>20</v>
      </c>
      <c r="C632" s="13" t="s">
        <v>44</v>
      </c>
      <c r="D632" s="14">
        <v>211</v>
      </c>
      <c r="E632" s="15">
        <v>0</v>
      </c>
    </row>
    <row r="633" spans="1:5" x14ac:dyDescent="0.4">
      <c r="A633" s="13" t="s">
        <v>1036</v>
      </c>
      <c r="B633" s="13" t="s">
        <v>20</v>
      </c>
      <c r="C633" s="13" t="s">
        <v>62</v>
      </c>
      <c r="D633" s="14">
        <v>211</v>
      </c>
      <c r="E633" s="15">
        <v>3</v>
      </c>
    </row>
    <row r="634" spans="1:5" x14ac:dyDescent="0.4">
      <c r="A634" s="13" t="s">
        <v>1072</v>
      </c>
      <c r="B634" s="13" t="s">
        <v>26</v>
      </c>
      <c r="C634" s="13" t="s">
        <v>44</v>
      </c>
      <c r="D634" s="14">
        <v>211</v>
      </c>
      <c r="E634" s="15">
        <v>0</v>
      </c>
    </row>
    <row r="635" spans="1:5" x14ac:dyDescent="0.4">
      <c r="A635" s="13" t="s">
        <v>1745</v>
      </c>
      <c r="B635" s="13" t="s">
        <v>26</v>
      </c>
      <c r="C635" s="13" t="s">
        <v>27</v>
      </c>
      <c r="D635" s="14">
        <v>211</v>
      </c>
      <c r="E635" s="15">
        <v>0</v>
      </c>
    </row>
    <row r="636" spans="1:5" x14ac:dyDescent="0.4">
      <c r="A636" s="13" t="s">
        <v>82</v>
      </c>
      <c r="B636" s="13" t="s">
        <v>24</v>
      </c>
      <c r="C636" s="13" t="s">
        <v>30</v>
      </c>
      <c r="D636" s="14">
        <v>212</v>
      </c>
      <c r="E636" s="15">
        <v>0</v>
      </c>
    </row>
    <row r="637" spans="1:5" x14ac:dyDescent="0.4">
      <c r="A637" s="13" t="s">
        <v>372</v>
      </c>
      <c r="B637" s="13" t="s">
        <v>26</v>
      </c>
      <c r="C637" s="13" t="s">
        <v>22</v>
      </c>
      <c r="D637" s="14">
        <v>212</v>
      </c>
      <c r="E637" s="15">
        <v>2</v>
      </c>
    </row>
    <row r="638" spans="1:5" x14ac:dyDescent="0.4">
      <c r="A638" s="13" t="s">
        <v>974</v>
      </c>
      <c r="B638" s="13" t="s">
        <v>24</v>
      </c>
      <c r="C638" s="13" t="s">
        <v>44</v>
      </c>
      <c r="D638" s="14">
        <v>212</v>
      </c>
      <c r="E638" s="15">
        <v>0</v>
      </c>
    </row>
    <row r="639" spans="1:5" x14ac:dyDescent="0.4">
      <c r="A639" s="13" t="s">
        <v>1344</v>
      </c>
      <c r="B639" s="13" t="s">
        <v>26</v>
      </c>
      <c r="C639" s="13" t="s">
        <v>27</v>
      </c>
      <c r="D639" s="14">
        <v>212</v>
      </c>
      <c r="E639" s="15">
        <v>0</v>
      </c>
    </row>
    <row r="640" spans="1:5" x14ac:dyDescent="0.4">
      <c r="A640" s="13" t="s">
        <v>584</v>
      </c>
      <c r="B640" s="13" t="s">
        <v>26</v>
      </c>
      <c r="C640" s="13" t="s">
        <v>28</v>
      </c>
      <c r="D640" s="14">
        <v>213</v>
      </c>
      <c r="E640" s="15">
        <v>0</v>
      </c>
    </row>
    <row r="641" spans="1:5" x14ac:dyDescent="0.4">
      <c r="A641" s="13" t="s">
        <v>1716</v>
      </c>
      <c r="B641" s="13" t="s">
        <v>24</v>
      </c>
      <c r="C641" s="13" t="s">
        <v>44</v>
      </c>
      <c r="D641" s="14">
        <v>213</v>
      </c>
      <c r="E641" s="15">
        <v>9</v>
      </c>
    </row>
    <row r="642" spans="1:5" x14ac:dyDescent="0.4">
      <c r="A642" s="13" t="s">
        <v>989</v>
      </c>
      <c r="B642" s="13" t="s">
        <v>20</v>
      </c>
      <c r="C642" s="13" t="s">
        <v>111</v>
      </c>
      <c r="D642" s="14">
        <v>214</v>
      </c>
      <c r="E642" s="15">
        <v>0</v>
      </c>
    </row>
    <row r="643" spans="1:5" x14ac:dyDescent="0.4">
      <c r="A643" s="13" t="s">
        <v>1637</v>
      </c>
      <c r="B643" s="13" t="s">
        <v>26</v>
      </c>
      <c r="C643" s="13" t="s">
        <v>44</v>
      </c>
      <c r="D643" s="14">
        <v>214</v>
      </c>
      <c r="E643" s="15">
        <v>0</v>
      </c>
    </row>
    <row r="644" spans="1:5" x14ac:dyDescent="0.4">
      <c r="A644" s="13" t="s">
        <v>1847</v>
      </c>
      <c r="B644" s="13" t="s">
        <v>24</v>
      </c>
      <c r="C644" s="13" t="s">
        <v>66</v>
      </c>
      <c r="D644" s="14">
        <v>214</v>
      </c>
      <c r="E644" s="15">
        <v>1</v>
      </c>
    </row>
    <row r="645" spans="1:5" x14ac:dyDescent="0.4">
      <c r="A645" s="13" t="s">
        <v>131</v>
      </c>
      <c r="B645" s="13" t="s">
        <v>24</v>
      </c>
      <c r="C645" s="13" t="s">
        <v>5</v>
      </c>
      <c r="D645" s="14">
        <v>215</v>
      </c>
      <c r="E645" s="15">
        <v>5</v>
      </c>
    </row>
    <row r="646" spans="1:5" x14ac:dyDescent="0.4">
      <c r="A646" s="13" t="s">
        <v>335</v>
      </c>
      <c r="B646" s="13" t="s">
        <v>20</v>
      </c>
      <c r="C646" s="13" t="s">
        <v>27</v>
      </c>
      <c r="D646" s="14">
        <v>215</v>
      </c>
      <c r="E646" s="15">
        <v>6</v>
      </c>
    </row>
    <row r="647" spans="1:5" x14ac:dyDescent="0.4">
      <c r="A647" s="13" t="s">
        <v>353</v>
      </c>
      <c r="B647" s="13" t="s">
        <v>26</v>
      </c>
      <c r="C647" s="13" t="s">
        <v>21</v>
      </c>
      <c r="D647" s="14">
        <v>215</v>
      </c>
      <c r="E647" s="15">
        <v>6</v>
      </c>
    </row>
    <row r="648" spans="1:5" x14ac:dyDescent="0.4">
      <c r="A648" s="13" t="s">
        <v>1245</v>
      </c>
      <c r="B648" s="13" t="s">
        <v>24</v>
      </c>
      <c r="C648" s="13" t="s">
        <v>40</v>
      </c>
      <c r="D648" s="14">
        <v>216</v>
      </c>
      <c r="E648" s="15">
        <v>0</v>
      </c>
    </row>
    <row r="649" spans="1:5" x14ac:dyDescent="0.4">
      <c r="A649" s="13" t="s">
        <v>120</v>
      </c>
      <c r="B649" s="13" t="s">
        <v>20</v>
      </c>
      <c r="C649" s="13" t="s">
        <v>22</v>
      </c>
      <c r="D649" s="14">
        <v>217</v>
      </c>
      <c r="E649" s="15">
        <v>10</v>
      </c>
    </row>
    <row r="650" spans="1:5" x14ac:dyDescent="0.4">
      <c r="A650" s="13" t="s">
        <v>296</v>
      </c>
      <c r="B650" s="13" t="s">
        <v>20</v>
      </c>
      <c r="C650" s="13" t="s">
        <v>43</v>
      </c>
      <c r="D650" s="14">
        <v>217</v>
      </c>
      <c r="E650" s="15">
        <v>2</v>
      </c>
    </row>
    <row r="651" spans="1:5" x14ac:dyDescent="0.4">
      <c r="A651" s="13" t="s">
        <v>311</v>
      </c>
      <c r="B651" s="13" t="s">
        <v>20</v>
      </c>
      <c r="C651" s="13" t="s">
        <v>30</v>
      </c>
      <c r="D651" s="14">
        <v>217</v>
      </c>
      <c r="E651" s="15">
        <v>0</v>
      </c>
    </row>
    <row r="652" spans="1:5" x14ac:dyDescent="0.4">
      <c r="A652" s="13" t="s">
        <v>1010</v>
      </c>
      <c r="B652" s="13" t="s">
        <v>26</v>
      </c>
      <c r="C652" s="13" t="s">
        <v>28</v>
      </c>
      <c r="D652" s="14">
        <v>217</v>
      </c>
      <c r="E652" s="15">
        <v>0</v>
      </c>
    </row>
    <row r="653" spans="1:5" x14ac:dyDescent="0.4">
      <c r="A653" s="13" t="s">
        <v>1082</v>
      </c>
      <c r="B653" s="13" t="s">
        <v>20</v>
      </c>
      <c r="C653" s="13" t="s">
        <v>111</v>
      </c>
      <c r="D653" s="14">
        <v>217</v>
      </c>
      <c r="E653" s="15">
        <v>3</v>
      </c>
    </row>
    <row r="654" spans="1:5" x14ac:dyDescent="0.4">
      <c r="A654" s="13" t="s">
        <v>1181</v>
      </c>
      <c r="B654" s="13" t="s">
        <v>24</v>
      </c>
      <c r="C654" s="13" t="s">
        <v>27</v>
      </c>
      <c r="D654" s="14">
        <v>217</v>
      </c>
      <c r="E654" s="15">
        <v>6</v>
      </c>
    </row>
    <row r="655" spans="1:5" x14ac:dyDescent="0.4">
      <c r="A655" s="13" t="s">
        <v>1302</v>
      </c>
      <c r="B655" s="13" t="s">
        <v>26</v>
      </c>
      <c r="C655" s="13" t="s">
        <v>27</v>
      </c>
      <c r="D655" s="14">
        <v>217</v>
      </c>
      <c r="E655" s="15">
        <v>12</v>
      </c>
    </row>
    <row r="656" spans="1:5" x14ac:dyDescent="0.4">
      <c r="A656" s="13" t="s">
        <v>678</v>
      </c>
      <c r="B656" s="13" t="s">
        <v>24</v>
      </c>
      <c r="C656" s="13" t="s">
        <v>30</v>
      </c>
      <c r="D656" s="14">
        <v>218</v>
      </c>
      <c r="E656" s="15">
        <v>13</v>
      </c>
    </row>
    <row r="657" spans="1:5" x14ac:dyDescent="0.4">
      <c r="A657" s="13" t="s">
        <v>867</v>
      </c>
      <c r="B657" s="13" t="s">
        <v>20</v>
      </c>
      <c r="C657" s="13" t="s">
        <v>39</v>
      </c>
      <c r="D657" s="14">
        <v>218</v>
      </c>
      <c r="E657" s="15">
        <v>3</v>
      </c>
    </row>
    <row r="658" spans="1:5" x14ac:dyDescent="0.4">
      <c r="A658" s="13" t="s">
        <v>1133</v>
      </c>
      <c r="B658" s="13" t="s">
        <v>26</v>
      </c>
      <c r="C658" s="13" t="s">
        <v>5</v>
      </c>
      <c r="D658" s="14">
        <v>218</v>
      </c>
      <c r="E658" s="15">
        <v>3</v>
      </c>
    </row>
    <row r="659" spans="1:5" x14ac:dyDescent="0.4">
      <c r="A659" s="13" t="s">
        <v>1173</v>
      </c>
      <c r="B659" s="13" t="s">
        <v>26</v>
      </c>
      <c r="C659" s="13" t="s">
        <v>21</v>
      </c>
      <c r="D659" s="14">
        <v>218</v>
      </c>
      <c r="E659" s="15">
        <v>0</v>
      </c>
    </row>
    <row r="660" spans="1:5" x14ac:dyDescent="0.4">
      <c r="A660" s="13" t="s">
        <v>1638</v>
      </c>
      <c r="B660" s="13" t="s">
        <v>24</v>
      </c>
      <c r="C660" s="13" t="s">
        <v>111</v>
      </c>
      <c r="D660" s="14">
        <v>219</v>
      </c>
      <c r="E660" s="15">
        <v>1</v>
      </c>
    </row>
    <row r="661" spans="1:5" x14ac:dyDescent="0.4">
      <c r="A661" s="13" t="s">
        <v>125</v>
      </c>
      <c r="B661" s="13" t="s">
        <v>20</v>
      </c>
      <c r="C661" s="13" t="s">
        <v>39</v>
      </c>
      <c r="D661" s="14">
        <v>220</v>
      </c>
      <c r="E661" s="15">
        <v>14</v>
      </c>
    </row>
    <row r="662" spans="1:5" x14ac:dyDescent="0.4">
      <c r="A662" s="13" t="s">
        <v>270</v>
      </c>
      <c r="B662" s="13" t="s">
        <v>20</v>
      </c>
      <c r="C662" s="13" t="s">
        <v>40</v>
      </c>
      <c r="D662" s="14">
        <v>220</v>
      </c>
      <c r="E662" s="15">
        <v>9</v>
      </c>
    </row>
    <row r="663" spans="1:5" x14ac:dyDescent="0.4">
      <c r="A663" s="13" t="s">
        <v>356</v>
      </c>
      <c r="B663" s="13" t="s">
        <v>20</v>
      </c>
      <c r="C663" s="13" t="s">
        <v>30</v>
      </c>
      <c r="D663" s="14">
        <v>220</v>
      </c>
      <c r="E663" s="15">
        <v>9</v>
      </c>
    </row>
    <row r="664" spans="1:5" x14ac:dyDescent="0.4">
      <c r="A664" s="13" t="s">
        <v>835</v>
      </c>
      <c r="B664" s="13" t="s">
        <v>26</v>
      </c>
      <c r="C664" s="13" t="s">
        <v>111</v>
      </c>
      <c r="D664" s="14">
        <v>221</v>
      </c>
      <c r="E664" s="15">
        <v>0</v>
      </c>
    </row>
    <row r="665" spans="1:5" x14ac:dyDescent="0.4">
      <c r="A665" s="13" t="s">
        <v>1040</v>
      </c>
      <c r="B665" s="13" t="s">
        <v>24</v>
      </c>
      <c r="C665" s="13" t="s">
        <v>34</v>
      </c>
      <c r="D665" s="14">
        <v>221</v>
      </c>
      <c r="E665" s="15">
        <v>0</v>
      </c>
    </row>
    <row r="666" spans="1:5" x14ac:dyDescent="0.4">
      <c r="A666" s="13" t="s">
        <v>1222</v>
      </c>
      <c r="B666" s="13" t="s">
        <v>26</v>
      </c>
      <c r="C666" s="13" t="s">
        <v>27</v>
      </c>
      <c r="D666" s="14">
        <v>221</v>
      </c>
      <c r="E666" s="15">
        <v>0</v>
      </c>
    </row>
    <row r="667" spans="1:5" x14ac:dyDescent="0.4">
      <c r="A667" s="13" t="s">
        <v>149</v>
      </c>
      <c r="B667" s="13" t="s">
        <v>24</v>
      </c>
      <c r="C667" s="13" t="s">
        <v>39</v>
      </c>
      <c r="D667" s="14">
        <v>222</v>
      </c>
      <c r="E667" s="15">
        <v>1</v>
      </c>
    </row>
    <row r="668" spans="1:5" x14ac:dyDescent="0.4">
      <c r="A668" s="13" t="s">
        <v>349</v>
      </c>
      <c r="B668" s="13" t="s">
        <v>20</v>
      </c>
      <c r="C668" s="13" t="s">
        <v>44</v>
      </c>
      <c r="D668" s="14">
        <v>222</v>
      </c>
      <c r="E668" s="15">
        <v>8</v>
      </c>
    </row>
    <row r="669" spans="1:5" x14ac:dyDescent="0.4">
      <c r="A669" s="13" t="s">
        <v>435</v>
      </c>
      <c r="B669" s="13" t="s">
        <v>26</v>
      </c>
      <c r="C669" s="13" t="s">
        <v>40</v>
      </c>
      <c r="D669" s="14">
        <v>223</v>
      </c>
      <c r="E669" s="15">
        <v>3</v>
      </c>
    </row>
    <row r="670" spans="1:5" x14ac:dyDescent="0.4">
      <c r="A670" s="13" t="s">
        <v>531</v>
      </c>
      <c r="B670" s="13" t="s">
        <v>20</v>
      </c>
      <c r="C670" s="13" t="s">
        <v>43</v>
      </c>
      <c r="D670" s="14">
        <v>223</v>
      </c>
      <c r="E670" s="15">
        <v>0</v>
      </c>
    </row>
    <row r="671" spans="1:5" x14ac:dyDescent="0.4">
      <c r="A671" s="13" t="s">
        <v>961</v>
      </c>
      <c r="B671" s="13" t="s">
        <v>20</v>
      </c>
      <c r="C671" s="13" t="s">
        <v>27</v>
      </c>
      <c r="D671" s="14">
        <v>223</v>
      </c>
      <c r="E671" s="15">
        <v>0</v>
      </c>
    </row>
    <row r="672" spans="1:5" x14ac:dyDescent="0.4">
      <c r="A672" s="13" t="s">
        <v>1530</v>
      </c>
      <c r="B672" s="13" t="s">
        <v>24</v>
      </c>
      <c r="C672" s="13" t="s">
        <v>39</v>
      </c>
      <c r="D672" s="14">
        <v>223</v>
      </c>
      <c r="E672" s="15">
        <v>1</v>
      </c>
    </row>
    <row r="673" spans="1:5" x14ac:dyDescent="0.4">
      <c r="A673" s="13" t="s">
        <v>1822</v>
      </c>
      <c r="B673" s="13" t="s">
        <v>20</v>
      </c>
      <c r="C673" s="13" t="s">
        <v>27</v>
      </c>
      <c r="D673" s="14">
        <v>223</v>
      </c>
      <c r="E673" s="15">
        <v>0</v>
      </c>
    </row>
    <row r="674" spans="1:5" x14ac:dyDescent="0.4">
      <c r="A674" s="13" t="s">
        <v>31</v>
      </c>
      <c r="B674" s="13" t="s">
        <v>20</v>
      </c>
      <c r="C674" s="13" t="s">
        <v>32</v>
      </c>
      <c r="D674" s="14">
        <v>224</v>
      </c>
      <c r="E674" s="15">
        <v>2</v>
      </c>
    </row>
    <row r="675" spans="1:5" x14ac:dyDescent="0.4">
      <c r="A675" s="13" t="s">
        <v>704</v>
      </c>
      <c r="B675" s="13" t="s">
        <v>26</v>
      </c>
      <c r="C675" s="13" t="s">
        <v>39</v>
      </c>
      <c r="D675" s="14">
        <v>224</v>
      </c>
      <c r="E675" s="15">
        <v>0</v>
      </c>
    </row>
    <row r="676" spans="1:5" x14ac:dyDescent="0.4">
      <c r="A676" s="13" t="s">
        <v>725</v>
      </c>
      <c r="B676" s="13" t="s">
        <v>26</v>
      </c>
      <c r="C676" s="13" t="s">
        <v>27</v>
      </c>
      <c r="D676" s="14">
        <v>224</v>
      </c>
      <c r="E676" s="15">
        <v>0</v>
      </c>
    </row>
    <row r="677" spans="1:5" x14ac:dyDescent="0.4">
      <c r="A677" s="13" t="s">
        <v>793</v>
      </c>
      <c r="B677" s="13" t="s">
        <v>20</v>
      </c>
      <c r="C677" s="13" t="s">
        <v>27</v>
      </c>
      <c r="D677" s="14">
        <v>224</v>
      </c>
      <c r="E677" s="15">
        <v>5</v>
      </c>
    </row>
    <row r="678" spans="1:5" x14ac:dyDescent="0.4">
      <c r="A678" s="13" t="s">
        <v>1377</v>
      </c>
      <c r="B678" s="13" t="s">
        <v>24</v>
      </c>
      <c r="C678" s="13" t="s">
        <v>28</v>
      </c>
      <c r="D678" s="14">
        <v>224</v>
      </c>
      <c r="E678" s="15">
        <v>2</v>
      </c>
    </row>
    <row r="679" spans="1:5" x14ac:dyDescent="0.4">
      <c r="A679" s="13" t="s">
        <v>1663</v>
      </c>
      <c r="B679" s="13" t="s">
        <v>24</v>
      </c>
      <c r="C679" s="13" t="s">
        <v>25</v>
      </c>
      <c r="D679" s="14">
        <v>224</v>
      </c>
      <c r="E679" s="15">
        <v>8</v>
      </c>
    </row>
    <row r="680" spans="1:5" x14ac:dyDescent="0.4">
      <c r="A680" s="13" t="s">
        <v>702</v>
      </c>
      <c r="B680" s="13" t="s">
        <v>20</v>
      </c>
      <c r="C680" s="13" t="s">
        <v>30</v>
      </c>
      <c r="D680" s="14">
        <v>225</v>
      </c>
      <c r="E680" s="15">
        <v>4</v>
      </c>
    </row>
    <row r="681" spans="1:5" x14ac:dyDescent="0.4">
      <c r="A681" s="13" t="s">
        <v>553</v>
      </c>
      <c r="B681" s="13" t="s">
        <v>26</v>
      </c>
      <c r="C681" s="13" t="s">
        <v>34</v>
      </c>
      <c r="D681" s="14">
        <v>226</v>
      </c>
      <c r="E681" s="15">
        <v>0</v>
      </c>
    </row>
    <row r="682" spans="1:5" x14ac:dyDescent="0.4">
      <c r="A682" s="13" t="s">
        <v>250</v>
      </c>
      <c r="B682" s="13" t="s">
        <v>24</v>
      </c>
      <c r="C682" s="13" t="s">
        <v>5</v>
      </c>
      <c r="D682" s="14">
        <v>227</v>
      </c>
      <c r="E682" s="15">
        <v>9</v>
      </c>
    </row>
    <row r="683" spans="1:5" x14ac:dyDescent="0.4">
      <c r="A683" s="13" t="s">
        <v>749</v>
      </c>
      <c r="B683" s="13" t="s">
        <v>24</v>
      </c>
      <c r="C683" s="13" t="s">
        <v>28</v>
      </c>
      <c r="D683" s="14">
        <v>227</v>
      </c>
      <c r="E683" s="15">
        <v>5</v>
      </c>
    </row>
    <row r="684" spans="1:5" x14ac:dyDescent="0.4">
      <c r="A684" s="13" t="s">
        <v>42</v>
      </c>
      <c r="B684" s="13" t="s">
        <v>20</v>
      </c>
      <c r="C684" s="13" t="s">
        <v>43</v>
      </c>
      <c r="D684" s="14">
        <v>228</v>
      </c>
      <c r="E684" s="15">
        <v>9</v>
      </c>
    </row>
    <row r="685" spans="1:5" x14ac:dyDescent="0.4">
      <c r="A685" s="13" t="s">
        <v>1116</v>
      </c>
      <c r="B685" s="13" t="s">
        <v>24</v>
      </c>
      <c r="C685" s="13" t="s">
        <v>53</v>
      </c>
      <c r="D685" s="14">
        <v>228</v>
      </c>
      <c r="E685" s="15">
        <v>0</v>
      </c>
    </row>
    <row r="686" spans="1:5" x14ac:dyDescent="0.4">
      <c r="A686" s="13" t="s">
        <v>1234</v>
      </c>
      <c r="B686" s="13" t="s">
        <v>20</v>
      </c>
      <c r="C686" s="13" t="s">
        <v>5</v>
      </c>
      <c r="D686" s="14">
        <v>228</v>
      </c>
      <c r="E686" s="15">
        <v>1</v>
      </c>
    </row>
    <row r="687" spans="1:5" x14ac:dyDescent="0.4">
      <c r="A687" s="13" t="s">
        <v>74</v>
      </c>
      <c r="B687" s="13" t="s">
        <v>24</v>
      </c>
      <c r="C687" s="13" t="s">
        <v>40</v>
      </c>
      <c r="D687" s="14">
        <v>229</v>
      </c>
      <c r="E687" s="15">
        <v>0</v>
      </c>
    </row>
    <row r="688" spans="1:5" x14ac:dyDescent="0.4">
      <c r="A688" s="13" t="s">
        <v>1370</v>
      </c>
      <c r="B688" s="13" t="s">
        <v>24</v>
      </c>
      <c r="C688" s="13" t="s">
        <v>28</v>
      </c>
      <c r="D688" s="14">
        <v>230</v>
      </c>
      <c r="E688" s="15">
        <v>1</v>
      </c>
    </row>
    <row r="689" spans="1:5" x14ac:dyDescent="0.4">
      <c r="A689" s="13" t="s">
        <v>1576</v>
      </c>
      <c r="B689" s="13" t="s">
        <v>26</v>
      </c>
      <c r="C689" s="13" t="s">
        <v>39</v>
      </c>
      <c r="D689" s="14">
        <v>230</v>
      </c>
      <c r="E689" s="15">
        <v>2</v>
      </c>
    </row>
    <row r="690" spans="1:5" x14ac:dyDescent="0.4">
      <c r="A690" s="13" t="s">
        <v>1850</v>
      </c>
      <c r="B690" s="13" t="s">
        <v>26</v>
      </c>
      <c r="C690" s="13" t="s">
        <v>44</v>
      </c>
      <c r="D690" s="14">
        <v>230</v>
      </c>
      <c r="E690" s="15">
        <v>0</v>
      </c>
    </row>
    <row r="691" spans="1:5" x14ac:dyDescent="0.4">
      <c r="A691" s="13" t="s">
        <v>183</v>
      </c>
      <c r="B691" s="13" t="s">
        <v>26</v>
      </c>
      <c r="C691" s="13" t="s">
        <v>33</v>
      </c>
      <c r="D691" s="14">
        <v>231</v>
      </c>
      <c r="E691" s="15">
        <v>2</v>
      </c>
    </row>
    <row r="692" spans="1:5" x14ac:dyDescent="0.4">
      <c r="A692" s="13" t="s">
        <v>647</v>
      </c>
      <c r="B692" s="13" t="s">
        <v>24</v>
      </c>
      <c r="C692" s="13" t="s">
        <v>39</v>
      </c>
      <c r="D692" s="14">
        <v>231</v>
      </c>
      <c r="E692" s="15">
        <v>5</v>
      </c>
    </row>
    <row r="693" spans="1:5" x14ac:dyDescent="0.4">
      <c r="A693" s="13" t="s">
        <v>1727</v>
      </c>
      <c r="B693" s="13" t="s">
        <v>24</v>
      </c>
      <c r="C693" s="13" t="s">
        <v>21</v>
      </c>
      <c r="D693" s="14">
        <v>231</v>
      </c>
      <c r="E693" s="15">
        <v>3</v>
      </c>
    </row>
    <row r="694" spans="1:5" x14ac:dyDescent="0.4">
      <c r="A694" s="13" t="s">
        <v>390</v>
      </c>
      <c r="B694" s="13" t="s">
        <v>24</v>
      </c>
      <c r="C694" s="13" t="s">
        <v>44</v>
      </c>
      <c r="D694" s="14">
        <v>233</v>
      </c>
      <c r="E694" s="15">
        <v>1</v>
      </c>
    </row>
    <row r="695" spans="1:5" x14ac:dyDescent="0.4">
      <c r="A695" s="13" t="s">
        <v>734</v>
      </c>
      <c r="B695" s="13" t="s">
        <v>20</v>
      </c>
      <c r="C695" s="13" t="s">
        <v>44</v>
      </c>
      <c r="D695" s="14">
        <v>233</v>
      </c>
      <c r="E695" s="15">
        <v>0</v>
      </c>
    </row>
    <row r="696" spans="1:5" x14ac:dyDescent="0.4">
      <c r="A696" s="13" t="s">
        <v>1364</v>
      </c>
      <c r="B696" s="13" t="s">
        <v>24</v>
      </c>
      <c r="C696" s="13" t="s">
        <v>28</v>
      </c>
      <c r="D696" s="14">
        <v>233</v>
      </c>
      <c r="E696" s="15">
        <v>0</v>
      </c>
    </row>
    <row r="697" spans="1:5" x14ac:dyDescent="0.4">
      <c r="A697" s="13" t="s">
        <v>1485</v>
      </c>
      <c r="B697" s="13" t="s">
        <v>24</v>
      </c>
      <c r="C697" s="13" t="s">
        <v>27</v>
      </c>
      <c r="D697" s="14">
        <v>233</v>
      </c>
      <c r="E697" s="15">
        <v>0</v>
      </c>
    </row>
    <row r="698" spans="1:5" x14ac:dyDescent="0.4">
      <c r="A698" s="13" t="s">
        <v>1534</v>
      </c>
      <c r="B698" s="13" t="s">
        <v>24</v>
      </c>
      <c r="C698" s="13" t="s">
        <v>5</v>
      </c>
      <c r="D698" s="14">
        <v>233</v>
      </c>
      <c r="E698" s="15">
        <v>0</v>
      </c>
    </row>
    <row r="699" spans="1:5" x14ac:dyDescent="0.4">
      <c r="A699" s="13" t="s">
        <v>1619</v>
      </c>
      <c r="B699" s="13" t="s">
        <v>26</v>
      </c>
      <c r="C699" s="13" t="s">
        <v>66</v>
      </c>
      <c r="D699" s="14">
        <v>233</v>
      </c>
      <c r="E699" s="15">
        <v>2</v>
      </c>
    </row>
    <row r="700" spans="1:5" x14ac:dyDescent="0.4">
      <c r="A700" s="13" t="s">
        <v>105</v>
      </c>
      <c r="B700" s="13" t="s">
        <v>20</v>
      </c>
      <c r="C700" s="13" t="s">
        <v>25</v>
      </c>
      <c r="D700" s="14">
        <v>235</v>
      </c>
      <c r="E700" s="15">
        <v>8</v>
      </c>
    </row>
    <row r="701" spans="1:5" x14ac:dyDescent="0.4">
      <c r="A701" s="13" t="s">
        <v>192</v>
      </c>
      <c r="B701" s="13" t="s">
        <v>20</v>
      </c>
      <c r="C701" s="13" t="s">
        <v>27</v>
      </c>
      <c r="D701" s="14">
        <v>235</v>
      </c>
      <c r="E701" s="15">
        <v>0</v>
      </c>
    </row>
    <row r="702" spans="1:5" x14ac:dyDescent="0.4">
      <c r="A702" s="13" t="s">
        <v>1232</v>
      </c>
      <c r="B702" s="13" t="s">
        <v>26</v>
      </c>
      <c r="C702" s="13" t="s">
        <v>27</v>
      </c>
      <c r="D702" s="14">
        <v>235</v>
      </c>
      <c r="E702" s="15">
        <v>9</v>
      </c>
    </row>
    <row r="703" spans="1:5" x14ac:dyDescent="0.4">
      <c r="A703" s="13" t="s">
        <v>167</v>
      </c>
      <c r="B703" s="13" t="s">
        <v>26</v>
      </c>
      <c r="C703" s="13" t="s">
        <v>39</v>
      </c>
      <c r="D703" s="14">
        <v>236</v>
      </c>
      <c r="E703" s="15">
        <v>0</v>
      </c>
    </row>
    <row r="704" spans="1:5" x14ac:dyDescent="0.4">
      <c r="A704" s="13" t="s">
        <v>1190</v>
      </c>
      <c r="B704" s="13" t="s">
        <v>20</v>
      </c>
      <c r="C704" s="13" t="s">
        <v>22</v>
      </c>
      <c r="D704" s="14">
        <v>236</v>
      </c>
      <c r="E704" s="15">
        <v>3</v>
      </c>
    </row>
    <row r="705" spans="1:5" x14ac:dyDescent="0.4">
      <c r="A705" s="13" t="s">
        <v>1623</v>
      </c>
      <c r="B705" s="13" t="s">
        <v>20</v>
      </c>
      <c r="C705" s="13" t="s">
        <v>62</v>
      </c>
      <c r="D705" s="14">
        <v>236</v>
      </c>
      <c r="E705" s="15">
        <v>0</v>
      </c>
    </row>
    <row r="706" spans="1:5" x14ac:dyDescent="0.4">
      <c r="A706" s="13" t="s">
        <v>476</v>
      </c>
      <c r="B706" s="13" t="s">
        <v>26</v>
      </c>
      <c r="C706" s="13" t="s">
        <v>5</v>
      </c>
      <c r="D706" s="14">
        <v>237</v>
      </c>
      <c r="E706" s="15">
        <v>4</v>
      </c>
    </row>
    <row r="707" spans="1:5" x14ac:dyDescent="0.4">
      <c r="A707" s="13" t="s">
        <v>1117</v>
      </c>
      <c r="B707" s="13" t="s">
        <v>24</v>
      </c>
      <c r="C707" s="13" t="s">
        <v>39</v>
      </c>
      <c r="D707" s="14">
        <v>237</v>
      </c>
      <c r="E707" s="15">
        <v>0</v>
      </c>
    </row>
    <row r="708" spans="1:5" x14ac:dyDescent="0.4">
      <c r="A708" s="13" t="s">
        <v>138</v>
      </c>
      <c r="B708" s="13" t="s">
        <v>24</v>
      </c>
      <c r="C708" s="13" t="s">
        <v>25</v>
      </c>
      <c r="D708" s="14">
        <v>238</v>
      </c>
      <c r="E708" s="15">
        <v>2</v>
      </c>
    </row>
    <row r="709" spans="1:5" x14ac:dyDescent="0.4">
      <c r="A709" s="13" t="s">
        <v>601</v>
      </c>
      <c r="B709" s="13" t="s">
        <v>24</v>
      </c>
      <c r="C709" s="13" t="s">
        <v>39</v>
      </c>
      <c r="D709" s="14">
        <v>238</v>
      </c>
      <c r="E709" s="15">
        <v>2</v>
      </c>
    </row>
    <row r="710" spans="1:5" x14ac:dyDescent="0.4">
      <c r="A710" s="13" t="s">
        <v>1038</v>
      </c>
      <c r="B710" s="13" t="s">
        <v>26</v>
      </c>
      <c r="C710" s="13" t="s">
        <v>32</v>
      </c>
      <c r="D710" s="14">
        <v>238</v>
      </c>
      <c r="E710" s="15">
        <v>1</v>
      </c>
    </row>
    <row r="711" spans="1:5" x14ac:dyDescent="0.4">
      <c r="A711" s="13" t="s">
        <v>1408</v>
      </c>
      <c r="B711" s="13" t="s">
        <v>20</v>
      </c>
      <c r="C711" s="13" t="s">
        <v>44</v>
      </c>
      <c r="D711" s="14">
        <v>238</v>
      </c>
      <c r="E711" s="15">
        <v>0</v>
      </c>
    </row>
    <row r="712" spans="1:5" x14ac:dyDescent="0.4">
      <c r="A712" s="13" t="s">
        <v>1479</v>
      </c>
      <c r="B712" s="13" t="s">
        <v>20</v>
      </c>
      <c r="C712" s="13" t="s">
        <v>111</v>
      </c>
      <c r="D712" s="14">
        <v>238</v>
      </c>
      <c r="E712" s="15">
        <v>1</v>
      </c>
    </row>
    <row r="713" spans="1:5" x14ac:dyDescent="0.4">
      <c r="A713" s="13" t="s">
        <v>1725</v>
      </c>
      <c r="B713" s="13" t="s">
        <v>26</v>
      </c>
      <c r="C713" s="13" t="s">
        <v>44</v>
      </c>
      <c r="D713" s="14">
        <v>238</v>
      </c>
      <c r="E713" s="15">
        <v>4</v>
      </c>
    </row>
    <row r="714" spans="1:5" x14ac:dyDescent="0.4">
      <c r="A714" s="13" t="s">
        <v>1970</v>
      </c>
      <c r="B714" s="13" t="s">
        <v>20</v>
      </c>
      <c r="C714" s="13" t="s">
        <v>39</v>
      </c>
      <c r="D714" s="14">
        <v>238</v>
      </c>
      <c r="E714" s="15">
        <v>7</v>
      </c>
    </row>
    <row r="715" spans="1:5" x14ac:dyDescent="0.4">
      <c r="A715" s="13" t="s">
        <v>392</v>
      </c>
      <c r="B715" s="13" t="s">
        <v>24</v>
      </c>
      <c r="C715" s="13" t="s">
        <v>44</v>
      </c>
      <c r="D715" s="14">
        <v>239</v>
      </c>
      <c r="E715" s="15">
        <v>3</v>
      </c>
    </row>
    <row r="716" spans="1:5" x14ac:dyDescent="0.4">
      <c r="A716" s="13" t="s">
        <v>456</v>
      </c>
      <c r="B716" s="13" t="s">
        <v>24</v>
      </c>
      <c r="C716" s="13" t="s">
        <v>30</v>
      </c>
      <c r="D716" s="14">
        <v>239</v>
      </c>
      <c r="E716" s="15">
        <v>3</v>
      </c>
    </row>
    <row r="717" spans="1:5" x14ac:dyDescent="0.4">
      <c r="A717" s="13" t="s">
        <v>1121</v>
      </c>
      <c r="B717" s="13" t="s">
        <v>26</v>
      </c>
      <c r="C717" s="13" t="s">
        <v>27</v>
      </c>
      <c r="D717" s="14">
        <v>239</v>
      </c>
      <c r="E717" s="15">
        <v>14</v>
      </c>
    </row>
    <row r="718" spans="1:5" x14ac:dyDescent="0.4">
      <c r="A718" s="13" t="s">
        <v>1204</v>
      </c>
      <c r="B718" s="13" t="s">
        <v>26</v>
      </c>
      <c r="C718" s="13" t="s">
        <v>40</v>
      </c>
      <c r="D718" s="14">
        <v>239</v>
      </c>
      <c r="E718" s="15">
        <v>10</v>
      </c>
    </row>
    <row r="719" spans="1:5" x14ac:dyDescent="0.4">
      <c r="A719" s="13" t="s">
        <v>1361</v>
      </c>
      <c r="B719" s="13" t="s">
        <v>20</v>
      </c>
      <c r="C719" s="13" t="s">
        <v>39</v>
      </c>
      <c r="D719" s="14">
        <v>239</v>
      </c>
      <c r="E719" s="15">
        <v>4</v>
      </c>
    </row>
    <row r="720" spans="1:5" x14ac:dyDescent="0.4">
      <c r="A720" s="13" t="s">
        <v>91</v>
      </c>
      <c r="B720" s="13" t="s">
        <v>26</v>
      </c>
      <c r="C720" s="13" t="s">
        <v>33</v>
      </c>
      <c r="D720" s="14">
        <v>240</v>
      </c>
      <c r="E720" s="15">
        <v>10</v>
      </c>
    </row>
    <row r="721" spans="1:5" x14ac:dyDescent="0.4">
      <c r="A721" s="13" t="s">
        <v>167</v>
      </c>
      <c r="B721" s="13" t="s">
        <v>24</v>
      </c>
      <c r="C721" s="13" t="s">
        <v>44</v>
      </c>
      <c r="D721" s="14">
        <v>240</v>
      </c>
      <c r="E721" s="15">
        <v>1</v>
      </c>
    </row>
    <row r="722" spans="1:5" x14ac:dyDescent="0.4">
      <c r="A722" s="13" t="s">
        <v>196</v>
      </c>
      <c r="B722" s="13" t="s">
        <v>24</v>
      </c>
      <c r="C722" s="13" t="s">
        <v>30</v>
      </c>
      <c r="D722" s="14">
        <v>240</v>
      </c>
      <c r="E722" s="15">
        <v>3</v>
      </c>
    </row>
    <row r="723" spans="1:5" x14ac:dyDescent="0.4">
      <c r="A723" s="13" t="s">
        <v>610</v>
      </c>
      <c r="B723" s="13" t="s">
        <v>20</v>
      </c>
      <c r="C723" s="13" t="s">
        <v>27</v>
      </c>
      <c r="D723" s="14">
        <v>240</v>
      </c>
      <c r="E723" s="15">
        <v>0</v>
      </c>
    </row>
    <row r="724" spans="1:5" x14ac:dyDescent="0.4">
      <c r="A724" s="13" t="s">
        <v>963</v>
      </c>
      <c r="B724" s="13" t="s">
        <v>24</v>
      </c>
      <c r="C724" s="13" t="s">
        <v>44</v>
      </c>
      <c r="D724" s="14">
        <v>240</v>
      </c>
      <c r="E724" s="15">
        <v>10</v>
      </c>
    </row>
    <row r="725" spans="1:5" x14ac:dyDescent="0.4">
      <c r="A725" s="13" t="s">
        <v>1303</v>
      </c>
      <c r="B725" s="13" t="s">
        <v>26</v>
      </c>
      <c r="C725" s="13" t="s">
        <v>39</v>
      </c>
      <c r="D725" s="14">
        <v>240</v>
      </c>
      <c r="E725" s="15">
        <v>0</v>
      </c>
    </row>
    <row r="726" spans="1:5" x14ac:dyDescent="0.4">
      <c r="A726" s="13" t="s">
        <v>1644</v>
      </c>
      <c r="B726" s="13" t="s">
        <v>20</v>
      </c>
      <c r="C726" s="13" t="s">
        <v>39</v>
      </c>
      <c r="D726" s="14">
        <v>240</v>
      </c>
      <c r="E726" s="15">
        <v>0</v>
      </c>
    </row>
    <row r="727" spans="1:5" x14ac:dyDescent="0.4">
      <c r="A727" s="13" t="s">
        <v>331</v>
      </c>
      <c r="B727" s="13" t="s">
        <v>26</v>
      </c>
      <c r="C727" s="13" t="s">
        <v>44</v>
      </c>
      <c r="D727" s="14">
        <v>241</v>
      </c>
      <c r="E727" s="15">
        <v>1</v>
      </c>
    </row>
    <row r="728" spans="1:5" x14ac:dyDescent="0.4">
      <c r="A728" s="13" t="s">
        <v>332</v>
      </c>
      <c r="B728" s="13" t="s">
        <v>20</v>
      </c>
      <c r="C728" s="13" t="s">
        <v>27</v>
      </c>
      <c r="D728" s="14">
        <v>241</v>
      </c>
      <c r="E728" s="15">
        <v>0</v>
      </c>
    </row>
    <row r="729" spans="1:5" x14ac:dyDescent="0.4">
      <c r="A729" s="13" t="s">
        <v>104</v>
      </c>
      <c r="B729" s="13" t="s">
        <v>24</v>
      </c>
      <c r="C729" s="13" t="s">
        <v>40</v>
      </c>
      <c r="D729" s="14">
        <v>242</v>
      </c>
      <c r="E729" s="15">
        <v>3</v>
      </c>
    </row>
    <row r="730" spans="1:5" x14ac:dyDescent="0.4">
      <c r="A730" s="13" t="s">
        <v>626</v>
      </c>
      <c r="B730" s="13" t="s">
        <v>24</v>
      </c>
      <c r="C730" s="13" t="s">
        <v>27</v>
      </c>
      <c r="D730" s="14">
        <v>242</v>
      </c>
      <c r="E730" s="15">
        <v>0</v>
      </c>
    </row>
    <row r="731" spans="1:5" x14ac:dyDescent="0.4">
      <c r="A731" s="13" t="s">
        <v>834</v>
      </c>
      <c r="B731" s="13" t="s">
        <v>20</v>
      </c>
      <c r="C731" s="13" t="s">
        <v>44</v>
      </c>
      <c r="D731" s="14">
        <v>242</v>
      </c>
      <c r="E731" s="15">
        <v>1</v>
      </c>
    </row>
    <row r="732" spans="1:5" x14ac:dyDescent="0.4">
      <c r="A732" s="13" t="s">
        <v>888</v>
      </c>
      <c r="B732" s="13" t="s">
        <v>26</v>
      </c>
      <c r="C732" s="13" t="s">
        <v>40</v>
      </c>
      <c r="D732" s="14">
        <v>242</v>
      </c>
      <c r="E732" s="15">
        <v>13</v>
      </c>
    </row>
    <row r="733" spans="1:5" x14ac:dyDescent="0.4">
      <c r="A733" s="13" t="s">
        <v>127</v>
      </c>
      <c r="B733" s="13" t="s">
        <v>24</v>
      </c>
      <c r="C733" s="13" t="s">
        <v>66</v>
      </c>
      <c r="D733" s="14">
        <v>243</v>
      </c>
      <c r="E733" s="15">
        <v>6</v>
      </c>
    </row>
    <row r="734" spans="1:5" x14ac:dyDescent="0.4">
      <c r="A734" s="13" t="s">
        <v>497</v>
      </c>
      <c r="B734" s="13" t="s">
        <v>24</v>
      </c>
      <c r="C734" s="13" t="s">
        <v>40</v>
      </c>
      <c r="D734" s="14">
        <v>243</v>
      </c>
      <c r="E734" s="15">
        <v>1</v>
      </c>
    </row>
    <row r="735" spans="1:5" x14ac:dyDescent="0.4">
      <c r="A735" s="13" t="s">
        <v>951</v>
      </c>
      <c r="B735" s="13" t="s">
        <v>20</v>
      </c>
      <c r="C735" s="13" t="s">
        <v>5</v>
      </c>
      <c r="D735" s="14">
        <v>243</v>
      </c>
      <c r="E735" s="15">
        <v>7</v>
      </c>
    </row>
    <row r="736" spans="1:5" x14ac:dyDescent="0.4">
      <c r="A736" s="13" t="s">
        <v>869</v>
      </c>
      <c r="B736" s="13" t="s">
        <v>24</v>
      </c>
      <c r="C736" s="13" t="s">
        <v>44</v>
      </c>
      <c r="D736" s="14">
        <v>244</v>
      </c>
      <c r="E736" s="15">
        <v>0</v>
      </c>
    </row>
    <row r="737" spans="1:5" x14ac:dyDescent="0.4">
      <c r="A737" s="13" t="s">
        <v>1349</v>
      </c>
      <c r="B737" s="13" t="s">
        <v>20</v>
      </c>
      <c r="C737" s="13" t="s">
        <v>33</v>
      </c>
      <c r="D737" s="14">
        <v>244</v>
      </c>
      <c r="E737" s="15">
        <v>4</v>
      </c>
    </row>
    <row r="738" spans="1:5" x14ac:dyDescent="0.4">
      <c r="A738" s="13" t="s">
        <v>403</v>
      </c>
      <c r="B738" s="13" t="s">
        <v>26</v>
      </c>
      <c r="C738" s="13" t="s">
        <v>44</v>
      </c>
      <c r="D738" s="14">
        <v>245</v>
      </c>
      <c r="E738" s="15">
        <v>0</v>
      </c>
    </row>
    <row r="739" spans="1:5" x14ac:dyDescent="0.4">
      <c r="A739" s="13" t="s">
        <v>740</v>
      </c>
      <c r="B739" s="13" t="s">
        <v>26</v>
      </c>
      <c r="C739" s="13" t="s">
        <v>21</v>
      </c>
      <c r="D739" s="14">
        <v>245</v>
      </c>
      <c r="E739" s="15">
        <v>2</v>
      </c>
    </row>
    <row r="740" spans="1:5" x14ac:dyDescent="0.4">
      <c r="A740" s="13" t="s">
        <v>685</v>
      </c>
      <c r="B740" s="13" t="s">
        <v>24</v>
      </c>
      <c r="C740" s="13" t="s">
        <v>44</v>
      </c>
      <c r="D740" s="14">
        <v>247</v>
      </c>
      <c r="E740" s="15">
        <v>2</v>
      </c>
    </row>
    <row r="741" spans="1:5" x14ac:dyDescent="0.4">
      <c r="A741" s="13" t="s">
        <v>820</v>
      </c>
      <c r="B741" s="13" t="s">
        <v>20</v>
      </c>
      <c r="C741" s="13" t="s">
        <v>28</v>
      </c>
      <c r="D741" s="14">
        <v>247</v>
      </c>
      <c r="E741" s="15">
        <v>3</v>
      </c>
    </row>
    <row r="742" spans="1:5" x14ac:dyDescent="0.4">
      <c r="A742" s="13" t="s">
        <v>880</v>
      </c>
      <c r="B742" s="13" t="s">
        <v>24</v>
      </c>
      <c r="C742" s="13" t="s">
        <v>28</v>
      </c>
      <c r="D742" s="14">
        <v>247</v>
      </c>
      <c r="E742" s="15">
        <v>2</v>
      </c>
    </row>
    <row r="743" spans="1:5" x14ac:dyDescent="0.4">
      <c r="A743" s="13" t="s">
        <v>903</v>
      </c>
      <c r="B743" s="13" t="s">
        <v>24</v>
      </c>
      <c r="C743" s="13" t="s">
        <v>66</v>
      </c>
      <c r="D743" s="14">
        <v>247</v>
      </c>
      <c r="E743" s="15">
        <v>1</v>
      </c>
    </row>
    <row r="744" spans="1:5" x14ac:dyDescent="0.4">
      <c r="A744" s="13" t="s">
        <v>1504</v>
      </c>
      <c r="B744" s="13" t="s">
        <v>26</v>
      </c>
      <c r="C744" s="13" t="s">
        <v>39</v>
      </c>
      <c r="D744" s="14">
        <v>247</v>
      </c>
      <c r="E744" s="15">
        <v>2</v>
      </c>
    </row>
    <row r="745" spans="1:5" x14ac:dyDescent="0.4">
      <c r="A745" s="13" t="s">
        <v>1951</v>
      </c>
      <c r="B745" s="13" t="s">
        <v>24</v>
      </c>
      <c r="C745" s="13" t="s">
        <v>5</v>
      </c>
      <c r="D745" s="14">
        <v>247</v>
      </c>
      <c r="E745" s="15">
        <v>8</v>
      </c>
    </row>
    <row r="746" spans="1:5" x14ac:dyDescent="0.4">
      <c r="A746" s="13" t="s">
        <v>794</v>
      </c>
      <c r="B746" s="13" t="s">
        <v>26</v>
      </c>
      <c r="C746" s="13" t="s">
        <v>44</v>
      </c>
      <c r="D746" s="14">
        <v>248</v>
      </c>
      <c r="E746" s="15">
        <v>1</v>
      </c>
    </row>
    <row r="747" spans="1:5" x14ac:dyDescent="0.4">
      <c r="A747" s="13" t="s">
        <v>229</v>
      </c>
      <c r="B747" s="13" t="s">
        <v>24</v>
      </c>
      <c r="C747" s="13" t="s">
        <v>5</v>
      </c>
      <c r="D747" s="14">
        <v>249</v>
      </c>
      <c r="E747" s="15">
        <v>2</v>
      </c>
    </row>
    <row r="748" spans="1:5" x14ac:dyDescent="0.4">
      <c r="A748" s="13" t="s">
        <v>658</v>
      </c>
      <c r="B748" s="13" t="s">
        <v>26</v>
      </c>
      <c r="C748" s="13" t="s">
        <v>39</v>
      </c>
      <c r="D748" s="14">
        <v>249</v>
      </c>
      <c r="E748" s="15">
        <v>0</v>
      </c>
    </row>
    <row r="749" spans="1:5" x14ac:dyDescent="0.4">
      <c r="A749" s="13" t="s">
        <v>1746</v>
      </c>
      <c r="B749" s="13" t="s">
        <v>20</v>
      </c>
      <c r="C749" s="13" t="s">
        <v>27</v>
      </c>
      <c r="D749" s="14">
        <v>249</v>
      </c>
      <c r="E749" s="15">
        <v>1</v>
      </c>
    </row>
    <row r="750" spans="1:5" x14ac:dyDescent="0.4">
      <c r="A750" s="13" t="s">
        <v>1748</v>
      </c>
      <c r="B750" s="13" t="s">
        <v>26</v>
      </c>
      <c r="C750" s="13" t="s">
        <v>27</v>
      </c>
      <c r="D750" s="14">
        <v>249</v>
      </c>
      <c r="E750" s="15">
        <v>7</v>
      </c>
    </row>
    <row r="751" spans="1:5" x14ac:dyDescent="0.4">
      <c r="A751" s="13" t="s">
        <v>1837</v>
      </c>
      <c r="B751" s="13" t="s">
        <v>24</v>
      </c>
      <c r="C751" s="13" t="s">
        <v>21</v>
      </c>
      <c r="D751" s="14">
        <v>249</v>
      </c>
      <c r="E751" s="15">
        <v>9</v>
      </c>
    </row>
    <row r="752" spans="1:5" x14ac:dyDescent="0.4">
      <c r="A752" s="13" t="s">
        <v>206</v>
      </c>
      <c r="B752" s="13" t="s">
        <v>26</v>
      </c>
      <c r="C752" s="13" t="s">
        <v>44</v>
      </c>
      <c r="D752" s="14">
        <v>250</v>
      </c>
      <c r="E752" s="15">
        <v>1</v>
      </c>
    </row>
    <row r="753" spans="1:5" x14ac:dyDescent="0.4">
      <c r="A753" s="13" t="s">
        <v>1289</v>
      </c>
      <c r="B753" s="13" t="s">
        <v>20</v>
      </c>
      <c r="C753" s="13" t="s">
        <v>22</v>
      </c>
      <c r="D753" s="14">
        <v>250</v>
      </c>
      <c r="E753" s="15">
        <v>2</v>
      </c>
    </row>
    <row r="754" spans="1:5" x14ac:dyDescent="0.4">
      <c r="A754" s="13" t="s">
        <v>1338</v>
      </c>
      <c r="B754" s="13" t="s">
        <v>26</v>
      </c>
      <c r="C754" s="13" t="s">
        <v>39</v>
      </c>
      <c r="D754" s="14">
        <v>250</v>
      </c>
      <c r="E754" s="15">
        <v>8</v>
      </c>
    </row>
    <row r="755" spans="1:5" x14ac:dyDescent="0.4">
      <c r="A755" s="13" t="s">
        <v>463</v>
      </c>
      <c r="B755" s="13" t="s">
        <v>26</v>
      </c>
      <c r="C755" s="13" t="s">
        <v>39</v>
      </c>
      <c r="D755" s="14">
        <v>251</v>
      </c>
      <c r="E755" s="15">
        <v>0</v>
      </c>
    </row>
    <row r="756" spans="1:5" x14ac:dyDescent="0.4">
      <c r="A756" s="13" t="s">
        <v>636</v>
      </c>
      <c r="B756" s="13" t="s">
        <v>26</v>
      </c>
      <c r="C756" s="13" t="s">
        <v>44</v>
      </c>
      <c r="D756" s="14">
        <v>251</v>
      </c>
      <c r="E756" s="15">
        <v>1</v>
      </c>
    </row>
    <row r="757" spans="1:5" x14ac:dyDescent="0.4">
      <c r="A757" s="13" t="s">
        <v>1840</v>
      </c>
      <c r="B757" s="13" t="s">
        <v>26</v>
      </c>
      <c r="C757" s="13" t="s">
        <v>39</v>
      </c>
      <c r="D757" s="14">
        <v>251</v>
      </c>
      <c r="E757" s="15">
        <v>0</v>
      </c>
    </row>
    <row r="758" spans="1:5" x14ac:dyDescent="0.4">
      <c r="A758" s="13" t="s">
        <v>1863</v>
      </c>
      <c r="B758" s="13" t="s">
        <v>20</v>
      </c>
      <c r="C758" s="13" t="s">
        <v>27</v>
      </c>
      <c r="D758" s="14">
        <v>251</v>
      </c>
      <c r="E758" s="15">
        <v>1</v>
      </c>
    </row>
    <row r="759" spans="1:5" x14ac:dyDescent="0.4">
      <c r="A759" s="13" t="s">
        <v>857</v>
      </c>
      <c r="B759" s="13" t="s">
        <v>24</v>
      </c>
      <c r="C759" s="13" t="s">
        <v>66</v>
      </c>
      <c r="D759" s="14">
        <v>252</v>
      </c>
      <c r="E759" s="15">
        <v>0</v>
      </c>
    </row>
    <row r="760" spans="1:5" x14ac:dyDescent="0.4">
      <c r="A760" s="13" t="s">
        <v>217</v>
      </c>
      <c r="B760" s="13" t="s">
        <v>24</v>
      </c>
      <c r="C760" s="13" t="s">
        <v>33</v>
      </c>
      <c r="D760" s="14">
        <v>253</v>
      </c>
      <c r="E760" s="15">
        <v>5</v>
      </c>
    </row>
    <row r="761" spans="1:5" x14ac:dyDescent="0.4">
      <c r="A761" s="13" t="s">
        <v>1470</v>
      </c>
      <c r="B761" s="13" t="s">
        <v>20</v>
      </c>
      <c r="C761" s="13" t="s">
        <v>28</v>
      </c>
      <c r="D761" s="14">
        <v>253</v>
      </c>
      <c r="E761" s="15">
        <v>8</v>
      </c>
    </row>
    <row r="762" spans="1:5" x14ac:dyDescent="0.4">
      <c r="A762" s="13" t="s">
        <v>1560</v>
      </c>
      <c r="B762" s="13" t="s">
        <v>24</v>
      </c>
      <c r="C762" s="13" t="s">
        <v>44</v>
      </c>
      <c r="D762" s="14">
        <v>253</v>
      </c>
      <c r="E762" s="15">
        <v>0</v>
      </c>
    </row>
    <row r="763" spans="1:5" x14ac:dyDescent="0.4">
      <c r="A763" s="13" t="s">
        <v>1868</v>
      </c>
      <c r="B763" s="13" t="s">
        <v>24</v>
      </c>
      <c r="C763" s="13" t="s">
        <v>111</v>
      </c>
      <c r="D763" s="14">
        <v>253</v>
      </c>
      <c r="E763" s="15">
        <v>0</v>
      </c>
    </row>
    <row r="764" spans="1:5" x14ac:dyDescent="0.4">
      <c r="A764" s="13" t="s">
        <v>969</v>
      </c>
      <c r="B764" s="13" t="s">
        <v>20</v>
      </c>
      <c r="C764" s="13" t="s">
        <v>32</v>
      </c>
      <c r="D764" s="14">
        <v>254</v>
      </c>
      <c r="E764" s="15">
        <v>1</v>
      </c>
    </row>
    <row r="765" spans="1:5" x14ac:dyDescent="0.4">
      <c r="A765" s="13" t="s">
        <v>903</v>
      </c>
      <c r="B765" s="13" t="s">
        <v>20</v>
      </c>
      <c r="C765" s="13" t="s">
        <v>62</v>
      </c>
      <c r="D765" s="14">
        <v>255</v>
      </c>
      <c r="E765" s="15">
        <v>0</v>
      </c>
    </row>
    <row r="766" spans="1:5" x14ac:dyDescent="0.4">
      <c r="A766" s="13" t="s">
        <v>1466</v>
      </c>
      <c r="B766" s="13" t="s">
        <v>24</v>
      </c>
      <c r="C766" s="13" t="s">
        <v>44</v>
      </c>
      <c r="D766" s="14">
        <v>255</v>
      </c>
      <c r="E766" s="15">
        <v>1</v>
      </c>
    </row>
    <row r="767" spans="1:5" x14ac:dyDescent="0.4">
      <c r="A767" s="13" t="s">
        <v>1840</v>
      </c>
      <c r="B767" s="13" t="s">
        <v>26</v>
      </c>
      <c r="C767" s="13" t="s">
        <v>111</v>
      </c>
      <c r="D767" s="14">
        <v>256</v>
      </c>
      <c r="E767" s="15">
        <v>6</v>
      </c>
    </row>
    <row r="768" spans="1:5" x14ac:dyDescent="0.4">
      <c r="A768" s="13" t="s">
        <v>1890</v>
      </c>
      <c r="B768" s="13" t="s">
        <v>20</v>
      </c>
      <c r="C768" s="13" t="s">
        <v>53</v>
      </c>
      <c r="D768" s="14">
        <v>256</v>
      </c>
      <c r="E768" s="15">
        <v>3</v>
      </c>
    </row>
    <row r="769" spans="1:5" x14ac:dyDescent="0.4">
      <c r="A769" s="13" t="s">
        <v>365</v>
      </c>
      <c r="B769" s="13" t="s">
        <v>26</v>
      </c>
      <c r="C769" s="13" t="s">
        <v>39</v>
      </c>
      <c r="D769" s="14">
        <v>257</v>
      </c>
      <c r="E769" s="15">
        <v>0</v>
      </c>
    </row>
    <row r="770" spans="1:5" x14ac:dyDescent="0.4">
      <c r="A770" s="13" t="s">
        <v>634</v>
      </c>
      <c r="B770" s="13" t="s">
        <v>26</v>
      </c>
      <c r="C770" s="13" t="s">
        <v>39</v>
      </c>
      <c r="D770" s="14">
        <v>257</v>
      </c>
      <c r="E770" s="15">
        <v>2</v>
      </c>
    </row>
    <row r="771" spans="1:5" x14ac:dyDescent="0.4">
      <c r="A771" s="13" t="s">
        <v>93</v>
      </c>
      <c r="B771" s="13" t="s">
        <v>24</v>
      </c>
      <c r="C771" s="13" t="s">
        <v>5</v>
      </c>
      <c r="D771" s="14">
        <v>258</v>
      </c>
      <c r="E771" s="15">
        <v>3</v>
      </c>
    </row>
    <row r="772" spans="1:5" x14ac:dyDescent="0.4">
      <c r="A772" s="13" t="s">
        <v>271</v>
      </c>
      <c r="B772" s="13" t="s">
        <v>20</v>
      </c>
      <c r="C772" s="13" t="s">
        <v>33</v>
      </c>
      <c r="D772" s="14">
        <v>258</v>
      </c>
      <c r="E772" s="15">
        <v>0</v>
      </c>
    </row>
    <row r="773" spans="1:5" x14ac:dyDescent="0.4">
      <c r="A773" s="13" t="s">
        <v>508</v>
      </c>
      <c r="B773" s="13" t="s">
        <v>20</v>
      </c>
      <c r="C773" s="13" t="s">
        <v>5</v>
      </c>
      <c r="D773" s="14">
        <v>258</v>
      </c>
      <c r="E773" s="15">
        <v>1</v>
      </c>
    </row>
    <row r="774" spans="1:5" x14ac:dyDescent="0.4">
      <c r="A774" s="13" t="s">
        <v>1185</v>
      </c>
      <c r="B774" s="13" t="s">
        <v>20</v>
      </c>
      <c r="C774" s="13" t="s">
        <v>21</v>
      </c>
      <c r="D774" s="14">
        <v>258</v>
      </c>
      <c r="E774" s="15">
        <v>11</v>
      </c>
    </row>
    <row r="775" spans="1:5" x14ac:dyDescent="0.4">
      <c r="A775" s="13" t="s">
        <v>1204</v>
      </c>
      <c r="B775" s="13" t="s">
        <v>20</v>
      </c>
      <c r="C775" s="13" t="s">
        <v>27</v>
      </c>
      <c r="D775" s="14">
        <v>258</v>
      </c>
      <c r="E775" s="15">
        <v>3</v>
      </c>
    </row>
    <row r="776" spans="1:5" x14ac:dyDescent="0.4">
      <c r="A776" s="13" t="s">
        <v>1583</v>
      </c>
      <c r="B776" s="13" t="s">
        <v>24</v>
      </c>
      <c r="C776" s="13" t="s">
        <v>33</v>
      </c>
      <c r="D776" s="14">
        <v>258</v>
      </c>
      <c r="E776" s="15">
        <v>0</v>
      </c>
    </row>
    <row r="777" spans="1:5" x14ac:dyDescent="0.4">
      <c r="A777" s="13" t="s">
        <v>110</v>
      </c>
      <c r="B777" s="13" t="s">
        <v>24</v>
      </c>
      <c r="C777" s="13" t="s">
        <v>5</v>
      </c>
      <c r="D777" s="14">
        <v>259</v>
      </c>
      <c r="E777" s="15">
        <v>0</v>
      </c>
    </row>
    <row r="778" spans="1:5" x14ac:dyDescent="0.4">
      <c r="A778" s="13" t="s">
        <v>153</v>
      </c>
      <c r="B778" s="13" t="s">
        <v>26</v>
      </c>
      <c r="C778" s="13" t="s">
        <v>62</v>
      </c>
      <c r="D778" s="14">
        <v>259</v>
      </c>
      <c r="E778" s="15">
        <v>0</v>
      </c>
    </row>
    <row r="779" spans="1:5" x14ac:dyDescent="0.4">
      <c r="A779" s="13" t="s">
        <v>174</v>
      </c>
      <c r="B779" s="13" t="s">
        <v>26</v>
      </c>
      <c r="C779" s="13" t="s">
        <v>39</v>
      </c>
      <c r="D779" s="14">
        <v>259</v>
      </c>
      <c r="E779" s="15">
        <v>1</v>
      </c>
    </row>
    <row r="780" spans="1:5" x14ac:dyDescent="0.4">
      <c r="A780" s="13" t="s">
        <v>710</v>
      </c>
      <c r="B780" s="13" t="s">
        <v>24</v>
      </c>
      <c r="C780" s="13" t="s">
        <v>22</v>
      </c>
      <c r="D780" s="14">
        <v>259</v>
      </c>
      <c r="E780" s="15">
        <v>5</v>
      </c>
    </row>
    <row r="781" spans="1:5" x14ac:dyDescent="0.4">
      <c r="A781" s="13" t="s">
        <v>484</v>
      </c>
      <c r="B781" s="13" t="s">
        <v>26</v>
      </c>
      <c r="C781" s="13" t="s">
        <v>32</v>
      </c>
      <c r="D781" s="14">
        <v>261</v>
      </c>
      <c r="E781" s="15">
        <v>6</v>
      </c>
    </row>
    <row r="782" spans="1:5" x14ac:dyDescent="0.4">
      <c r="A782" s="13" t="s">
        <v>621</v>
      </c>
      <c r="B782" s="13" t="s">
        <v>20</v>
      </c>
      <c r="C782" s="13" t="s">
        <v>44</v>
      </c>
      <c r="D782" s="14">
        <v>261</v>
      </c>
      <c r="E782" s="15">
        <v>0</v>
      </c>
    </row>
    <row r="783" spans="1:5" x14ac:dyDescent="0.4">
      <c r="A783" s="13" t="s">
        <v>755</v>
      </c>
      <c r="B783" s="13" t="s">
        <v>26</v>
      </c>
      <c r="C783" s="13" t="s">
        <v>44</v>
      </c>
      <c r="D783" s="14">
        <v>261</v>
      </c>
      <c r="E783" s="15">
        <v>2</v>
      </c>
    </row>
    <row r="784" spans="1:5" x14ac:dyDescent="0.4">
      <c r="A784" s="13" t="s">
        <v>496</v>
      </c>
      <c r="B784" s="13" t="s">
        <v>26</v>
      </c>
      <c r="C784" s="13" t="s">
        <v>22</v>
      </c>
      <c r="D784" s="14">
        <v>262</v>
      </c>
      <c r="E784" s="15">
        <v>6</v>
      </c>
    </row>
    <row r="785" spans="1:5" x14ac:dyDescent="0.4">
      <c r="A785" s="13" t="s">
        <v>1419</v>
      </c>
      <c r="B785" s="13" t="s">
        <v>20</v>
      </c>
      <c r="C785" s="13" t="s">
        <v>43</v>
      </c>
      <c r="D785" s="14">
        <v>262</v>
      </c>
      <c r="E785" s="15">
        <v>4</v>
      </c>
    </row>
    <row r="786" spans="1:5" x14ac:dyDescent="0.4">
      <c r="A786" s="13" t="s">
        <v>101</v>
      </c>
      <c r="B786" s="13" t="s">
        <v>20</v>
      </c>
      <c r="C786" s="13" t="s">
        <v>30</v>
      </c>
      <c r="D786" s="14">
        <v>264</v>
      </c>
      <c r="E786" s="15">
        <v>0</v>
      </c>
    </row>
    <row r="787" spans="1:5" x14ac:dyDescent="0.4">
      <c r="A787" s="13" t="s">
        <v>635</v>
      </c>
      <c r="B787" s="13" t="s">
        <v>26</v>
      </c>
      <c r="C787" s="13" t="s">
        <v>44</v>
      </c>
      <c r="D787" s="14">
        <v>264</v>
      </c>
      <c r="E787" s="15">
        <v>0</v>
      </c>
    </row>
    <row r="788" spans="1:5" x14ac:dyDescent="0.4">
      <c r="A788" s="13" t="s">
        <v>1680</v>
      </c>
      <c r="B788" s="13" t="s">
        <v>26</v>
      </c>
      <c r="C788" s="13" t="s">
        <v>43</v>
      </c>
      <c r="D788" s="14">
        <v>264</v>
      </c>
      <c r="E788" s="15">
        <v>6</v>
      </c>
    </row>
    <row r="789" spans="1:5" x14ac:dyDescent="0.4">
      <c r="A789" s="13" t="s">
        <v>1127</v>
      </c>
      <c r="B789" s="13" t="s">
        <v>20</v>
      </c>
      <c r="C789" s="13" t="s">
        <v>5</v>
      </c>
      <c r="D789" s="14">
        <v>265</v>
      </c>
      <c r="E789" s="15">
        <v>4</v>
      </c>
    </row>
    <row r="790" spans="1:5" x14ac:dyDescent="0.4">
      <c r="A790" s="13" t="s">
        <v>1466</v>
      </c>
      <c r="B790" s="13" t="s">
        <v>26</v>
      </c>
      <c r="C790" s="13" t="s">
        <v>34</v>
      </c>
      <c r="D790" s="14">
        <v>265</v>
      </c>
      <c r="E790" s="15">
        <v>0</v>
      </c>
    </row>
    <row r="791" spans="1:5" x14ac:dyDescent="0.4">
      <c r="A791" s="13" t="s">
        <v>1829</v>
      </c>
      <c r="B791" s="13" t="s">
        <v>20</v>
      </c>
      <c r="C791" s="13" t="s">
        <v>32</v>
      </c>
      <c r="D791" s="14">
        <v>265</v>
      </c>
      <c r="E791" s="15">
        <v>5</v>
      </c>
    </row>
    <row r="792" spans="1:5" x14ac:dyDescent="0.4">
      <c r="A792" s="13" t="s">
        <v>1971</v>
      </c>
      <c r="B792" s="13" t="s">
        <v>26</v>
      </c>
      <c r="C792" s="13" t="s">
        <v>27</v>
      </c>
      <c r="D792" s="14">
        <v>265</v>
      </c>
      <c r="E792" s="15">
        <v>6</v>
      </c>
    </row>
    <row r="793" spans="1:5" x14ac:dyDescent="0.4">
      <c r="A793" s="13" t="s">
        <v>395</v>
      </c>
      <c r="B793" s="13" t="s">
        <v>26</v>
      </c>
      <c r="C793" s="13" t="s">
        <v>44</v>
      </c>
      <c r="D793" s="14">
        <v>266</v>
      </c>
      <c r="E793" s="15">
        <v>9</v>
      </c>
    </row>
    <row r="794" spans="1:5" x14ac:dyDescent="0.4">
      <c r="A794" s="13" t="s">
        <v>799</v>
      </c>
      <c r="B794" s="13" t="s">
        <v>20</v>
      </c>
      <c r="C794" s="13" t="s">
        <v>27</v>
      </c>
      <c r="D794" s="14">
        <v>266</v>
      </c>
      <c r="E794" s="15">
        <v>2</v>
      </c>
    </row>
    <row r="795" spans="1:5" x14ac:dyDescent="0.4">
      <c r="A795" s="13" t="s">
        <v>920</v>
      </c>
      <c r="B795" s="13" t="s">
        <v>20</v>
      </c>
      <c r="C795" s="13" t="s">
        <v>39</v>
      </c>
      <c r="D795" s="14">
        <v>266</v>
      </c>
      <c r="E795" s="15">
        <v>3</v>
      </c>
    </row>
    <row r="796" spans="1:5" x14ac:dyDescent="0.4">
      <c r="A796" s="13" t="s">
        <v>932</v>
      </c>
      <c r="B796" s="13" t="s">
        <v>20</v>
      </c>
      <c r="C796" s="13" t="s">
        <v>25</v>
      </c>
      <c r="D796" s="14">
        <v>266</v>
      </c>
      <c r="E796" s="15">
        <v>0</v>
      </c>
    </row>
    <row r="797" spans="1:5" x14ac:dyDescent="0.4">
      <c r="A797" s="13" t="s">
        <v>1317</v>
      </c>
      <c r="B797" s="13" t="s">
        <v>24</v>
      </c>
      <c r="C797" s="13" t="s">
        <v>30</v>
      </c>
      <c r="D797" s="14">
        <v>266</v>
      </c>
      <c r="E797" s="15">
        <v>2</v>
      </c>
    </row>
    <row r="798" spans="1:5" x14ac:dyDescent="0.4">
      <c r="A798" s="13" t="s">
        <v>740</v>
      </c>
      <c r="B798" s="13" t="s">
        <v>20</v>
      </c>
      <c r="C798" s="13" t="s">
        <v>33</v>
      </c>
      <c r="D798" s="14">
        <v>267</v>
      </c>
      <c r="E798" s="15">
        <v>0</v>
      </c>
    </row>
    <row r="799" spans="1:5" x14ac:dyDescent="0.4">
      <c r="A799" s="13" t="s">
        <v>1208</v>
      </c>
      <c r="B799" s="13" t="s">
        <v>26</v>
      </c>
      <c r="C799" s="13" t="s">
        <v>62</v>
      </c>
      <c r="D799" s="14">
        <v>267</v>
      </c>
      <c r="E799" s="15">
        <v>4</v>
      </c>
    </row>
    <row r="800" spans="1:5" x14ac:dyDescent="0.4">
      <c r="A800" s="13" t="s">
        <v>1664</v>
      </c>
      <c r="B800" s="13" t="s">
        <v>24</v>
      </c>
      <c r="C800" s="13" t="s">
        <v>53</v>
      </c>
      <c r="D800" s="14">
        <v>267</v>
      </c>
      <c r="E800" s="15">
        <v>15</v>
      </c>
    </row>
    <row r="801" spans="1:5" x14ac:dyDescent="0.4">
      <c r="A801" s="13" t="s">
        <v>1890</v>
      </c>
      <c r="B801" s="13" t="s">
        <v>24</v>
      </c>
      <c r="C801" s="13" t="s">
        <v>22</v>
      </c>
      <c r="D801" s="14">
        <v>267</v>
      </c>
      <c r="E801" s="15">
        <v>3</v>
      </c>
    </row>
    <row r="802" spans="1:5" x14ac:dyDescent="0.4">
      <c r="A802" s="13" t="s">
        <v>156</v>
      </c>
      <c r="B802" s="13" t="s">
        <v>26</v>
      </c>
      <c r="C802" s="13" t="s">
        <v>43</v>
      </c>
      <c r="D802" s="14">
        <v>268</v>
      </c>
      <c r="E802" s="15">
        <v>3</v>
      </c>
    </row>
    <row r="803" spans="1:5" x14ac:dyDescent="0.4">
      <c r="A803" s="13" t="s">
        <v>1348</v>
      </c>
      <c r="B803" s="13" t="s">
        <v>20</v>
      </c>
      <c r="C803" s="13" t="s">
        <v>44</v>
      </c>
      <c r="D803" s="14">
        <v>268</v>
      </c>
      <c r="E803" s="15">
        <v>0</v>
      </c>
    </row>
    <row r="804" spans="1:5" x14ac:dyDescent="0.4">
      <c r="A804" s="13" t="s">
        <v>1660</v>
      </c>
      <c r="B804" s="13" t="s">
        <v>24</v>
      </c>
      <c r="C804" s="13" t="s">
        <v>33</v>
      </c>
      <c r="D804" s="14">
        <v>268</v>
      </c>
      <c r="E804" s="15">
        <v>18</v>
      </c>
    </row>
    <row r="805" spans="1:5" x14ac:dyDescent="0.4">
      <c r="A805" s="13" t="s">
        <v>1804</v>
      </c>
      <c r="B805" s="13" t="s">
        <v>24</v>
      </c>
      <c r="C805" s="13" t="s">
        <v>21</v>
      </c>
      <c r="D805" s="14">
        <v>268</v>
      </c>
      <c r="E805" s="15">
        <v>0</v>
      </c>
    </row>
    <row r="806" spans="1:5" x14ac:dyDescent="0.4">
      <c r="A806" s="13" t="s">
        <v>1302</v>
      </c>
      <c r="B806" s="13" t="s">
        <v>26</v>
      </c>
      <c r="C806" s="13" t="s">
        <v>44</v>
      </c>
      <c r="D806" s="14">
        <v>269</v>
      </c>
      <c r="E806" s="15">
        <v>1</v>
      </c>
    </row>
    <row r="807" spans="1:5" x14ac:dyDescent="0.4">
      <c r="A807" s="13" t="s">
        <v>194</v>
      </c>
      <c r="B807" s="13" t="s">
        <v>20</v>
      </c>
      <c r="C807" s="13" t="s">
        <v>25</v>
      </c>
      <c r="D807" s="14">
        <v>271</v>
      </c>
      <c r="E807" s="15">
        <v>1</v>
      </c>
    </row>
    <row r="808" spans="1:5" x14ac:dyDescent="0.4">
      <c r="A808" s="13" t="s">
        <v>370</v>
      </c>
      <c r="B808" s="13" t="s">
        <v>26</v>
      </c>
      <c r="C808" s="13" t="s">
        <v>30</v>
      </c>
      <c r="D808" s="14">
        <v>271</v>
      </c>
      <c r="E808" s="15">
        <v>0</v>
      </c>
    </row>
    <row r="809" spans="1:5" x14ac:dyDescent="0.4">
      <c r="A809" s="13" t="s">
        <v>374</v>
      </c>
      <c r="B809" s="13" t="s">
        <v>20</v>
      </c>
      <c r="C809" s="13" t="s">
        <v>25</v>
      </c>
      <c r="D809" s="14">
        <v>271</v>
      </c>
      <c r="E809" s="15">
        <v>2</v>
      </c>
    </row>
    <row r="810" spans="1:5" x14ac:dyDescent="0.4">
      <c r="A810" s="13" t="s">
        <v>1618</v>
      </c>
      <c r="B810" s="13" t="s">
        <v>26</v>
      </c>
      <c r="C810" s="13" t="s">
        <v>44</v>
      </c>
      <c r="D810" s="14">
        <v>271</v>
      </c>
      <c r="E810" s="15">
        <v>0</v>
      </c>
    </row>
    <row r="811" spans="1:5" x14ac:dyDescent="0.4">
      <c r="A811" s="13" t="s">
        <v>841</v>
      </c>
      <c r="B811" s="13" t="s">
        <v>20</v>
      </c>
      <c r="C811" s="13" t="s">
        <v>44</v>
      </c>
      <c r="D811" s="14">
        <v>272</v>
      </c>
      <c r="E811" s="15">
        <v>0</v>
      </c>
    </row>
    <row r="812" spans="1:5" x14ac:dyDescent="0.4">
      <c r="A812" s="13" t="s">
        <v>1074</v>
      </c>
      <c r="B812" s="13" t="s">
        <v>26</v>
      </c>
      <c r="C812" s="13" t="s">
        <v>62</v>
      </c>
      <c r="D812" s="14">
        <v>272</v>
      </c>
      <c r="E812" s="15">
        <v>0</v>
      </c>
    </row>
    <row r="813" spans="1:5" x14ac:dyDescent="0.4">
      <c r="A813" s="13" t="s">
        <v>1263</v>
      </c>
      <c r="B813" s="13" t="s">
        <v>26</v>
      </c>
      <c r="C813" s="13" t="s">
        <v>44</v>
      </c>
      <c r="D813" s="14">
        <v>272</v>
      </c>
      <c r="E813" s="15">
        <v>9</v>
      </c>
    </row>
    <row r="814" spans="1:5" x14ac:dyDescent="0.4">
      <c r="A814" s="13" t="s">
        <v>1541</v>
      </c>
      <c r="B814" s="13" t="s">
        <v>24</v>
      </c>
      <c r="C814" s="13" t="s">
        <v>43</v>
      </c>
      <c r="D814" s="14">
        <v>272</v>
      </c>
      <c r="E814" s="15">
        <v>2</v>
      </c>
    </row>
    <row r="815" spans="1:5" x14ac:dyDescent="0.4">
      <c r="A815" s="13" t="s">
        <v>680</v>
      </c>
      <c r="B815" s="13" t="s">
        <v>26</v>
      </c>
      <c r="C815" s="13" t="s">
        <v>39</v>
      </c>
      <c r="D815" s="14">
        <v>273</v>
      </c>
      <c r="E815" s="15">
        <v>0</v>
      </c>
    </row>
    <row r="816" spans="1:5" x14ac:dyDescent="0.4">
      <c r="A816" s="13" t="s">
        <v>701</v>
      </c>
      <c r="B816" s="13" t="s">
        <v>26</v>
      </c>
      <c r="C816" s="13" t="s">
        <v>34</v>
      </c>
      <c r="D816" s="14">
        <v>273</v>
      </c>
      <c r="E816" s="15">
        <v>2</v>
      </c>
    </row>
    <row r="817" spans="1:5" x14ac:dyDescent="0.4">
      <c r="A817" s="13" t="s">
        <v>1583</v>
      </c>
      <c r="B817" s="13" t="s">
        <v>20</v>
      </c>
      <c r="C817" s="13" t="s">
        <v>25</v>
      </c>
      <c r="D817" s="14">
        <v>275</v>
      </c>
      <c r="E817" s="15">
        <v>4</v>
      </c>
    </row>
    <row r="818" spans="1:5" x14ac:dyDescent="0.4">
      <c r="A818" s="13" t="s">
        <v>281</v>
      </c>
      <c r="B818" s="13" t="s">
        <v>20</v>
      </c>
      <c r="C818" s="13" t="s">
        <v>44</v>
      </c>
      <c r="D818" s="14">
        <v>276</v>
      </c>
      <c r="E818" s="15">
        <v>5</v>
      </c>
    </row>
    <row r="819" spans="1:5" x14ac:dyDescent="0.4">
      <c r="A819" s="13" t="s">
        <v>1358</v>
      </c>
      <c r="B819" s="13" t="s">
        <v>24</v>
      </c>
      <c r="C819" s="13" t="s">
        <v>44</v>
      </c>
      <c r="D819" s="14">
        <v>276</v>
      </c>
      <c r="E819" s="15">
        <v>2</v>
      </c>
    </row>
    <row r="820" spans="1:5" x14ac:dyDescent="0.4">
      <c r="A820" s="13" t="s">
        <v>1531</v>
      </c>
      <c r="B820" s="13" t="s">
        <v>20</v>
      </c>
      <c r="C820" s="13" t="s">
        <v>39</v>
      </c>
      <c r="D820" s="14">
        <v>276</v>
      </c>
      <c r="E820" s="15">
        <v>0</v>
      </c>
    </row>
    <row r="821" spans="1:5" x14ac:dyDescent="0.4">
      <c r="A821" s="13" t="s">
        <v>352</v>
      </c>
      <c r="B821" s="13" t="s">
        <v>26</v>
      </c>
      <c r="C821" s="13" t="s">
        <v>44</v>
      </c>
      <c r="D821" s="14">
        <v>277</v>
      </c>
      <c r="E821" s="15">
        <v>0</v>
      </c>
    </row>
    <row r="822" spans="1:5" x14ac:dyDescent="0.4">
      <c r="A822" s="13" t="s">
        <v>463</v>
      </c>
      <c r="B822" s="13" t="s">
        <v>20</v>
      </c>
      <c r="C822" s="13" t="s">
        <v>39</v>
      </c>
      <c r="D822" s="14">
        <v>277</v>
      </c>
      <c r="E822" s="15">
        <v>0</v>
      </c>
    </row>
    <row r="823" spans="1:5" x14ac:dyDescent="0.4">
      <c r="A823" s="13" t="s">
        <v>510</v>
      </c>
      <c r="B823" s="13" t="s">
        <v>20</v>
      </c>
      <c r="C823" s="13" t="s">
        <v>5</v>
      </c>
      <c r="D823" s="14">
        <v>277</v>
      </c>
      <c r="E823" s="15">
        <v>0</v>
      </c>
    </row>
    <row r="824" spans="1:5" x14ac:dyDescent="0.4">
      <c r="A824" s="13" t="s">
        <v>1029</v>
      </c>
      <c r="B824" s="13" t="s">
        <v>26</v>
      </c>
      <c r="C824" s="13" t="s">
        <v>5</v>
      </c>
      <c r="D824" s="14">
        <v>277</v>
      </c>
      <c r="E824" s="15">
        <v>0</v>
      </c>
    </row>
    <row r="825" spans="1:5" x14ac:dyDescent="0.4">
      <c r="A825" s="13" t="s">
        <v>1049</v>
      </c>
      <c r="B825" s="13" t="s">
        <v>24</v>
      </c>
      <c r="C825" s="13" t="s">
        <v>30</v>
      </c>
      <c r="D825" s="14">
        <v>278</v>
      </c>
      <c r="E825" s="15">
        <v>3</v>
      </c>
    </row>
    <row r="826" spans="1:5" x14ac:dyDescent="0.4">
      <c r="A826" s="13" t="s">
        <v>1843</v>
      </c>
      <c r="B826" s="13" t="s">
        <v>26</v>
      </c>
      <c r="C826" s="13" t="s">
        <v>5</v>
      </c>
      <c r="D826" s="14">
        <v>278</v>
      </c>
      <c r="E826" s="15">
        <v>0</v>
      </c>
    </row>
    <row r="827" spans="1:5" x14ac:dyDescent="0.4">
      <c r="A827" s="13" t="s">
        <v>329</v>
      </c>
      <c r="B827" s="13" t="s">
        <v>24</v>
      </c>
      <c r="C827" s="13" t="s">
        <v>44</v>
      </c>
      <c r="D827" s="14">
        <v>279</v>
      </c>
      <c r="E827" s="15">
        <v>0</v>
      </c>
    </row>
    <row r="828" spans="1:5" x14ac:dyDescent="0.4">
      <c r="A828" s="13" t="s">
        <v>520</v>
      </c>
      <c r="B828" s="13" t="s">
        <v>24</v>
      </c>
      <c r="C828" s="13" t="s">
        <v>30</v>
      </c>
      <c r="D828" s="14">
        <v>279</v>
      </c>
      <c r="E828" s="15">
        <v>4</v>
      </c>
    </row>
    <row r="829" spans="1:5" x14ac:dyDescent="0.4">
      <c r="A829" s="13" t="s">
        <v>1134</v>
      </c>
      <c r="B829" s="13" t="s">
        <v>20</v>
      </c>
      <c r="C829" s="13" t="s">
        <v>5</v>
      </c>
      <c r="D829" s="14">
        <v>279</v>
      </c>
      <c r="E829" s="15">
        <v>2</v>
      </c>
    </row>
    <row r="830" spans="1:5" x14ac:dyDescent="0.4">
      <c r="A830" s="13" t="s">
        <v>1923</v>
      </c>
      <c r="B830" s="13" t="s">
        <v>26</v>
      </c>
      <c r="C830" s="13" t="s">
        <v>5</v>
      </c>
      <c r="D830" s="14">
        <v>279</v>
      </c>
      <c r="E830" s="15">
        <v>5</v>
      </c>
    </row>
    <row r="831" spans="1:5" x14ac:dyDescent="0.4">
      <c r="A831" s="13" t="s">
        <v>546</v>
      </c>
      <c r="B831" s="13" t="s">
        <v>20</v>
      </c>
      <c r="C831" s="13" t="s">
        <v>5</v>
      </c>
      <c r="D831" s="14">
        <v>280</v>
      </c>
      <c r="E831" s="15">
        <v>3</v>
      </c>
    </row>
    <row r="832" spans="1:5" x14ac:dyDescent="0.4">
      <c r="A832" s="13" t="s">
        <v>729</v>
      </c>
      <c r="B832" s="13" t="s">
        <v>20</v>
      </c>
      <c r="C832" s="13" t="s">
        <v>28</v>
      </c>
      <c r="D832" s="14">
        <v>280</v>
      </c>
      <c r="E832" s="15">
        <v>2</v>
      </c>
    </row>
    <row r="833" spans="1:5" x14ac:dyDescent="0.4">
      <c r="A833" s="13" t="s">
        <v>1023</v>
      </c>
      <c r="B833" s="13" t="s">
        <v>24</v>
      </c>
      <c r="C833" s="13" t="s">
        <v>44</v>
      </c>
      <c r="D833" s="14">
        <v>280</v>
      </c>
      <c r="E833" s="15">
        <v>3</v>
      </c>
    </row>
    <row r="834" spans="1:5" x14ac:dyDescent="0.4">
      <c r="A834" s="13" t="s">
        <v>1140</v>
      </c>
      <c r="B834" s="13" t="s">
        <v>26</v>
      </c>
      <c r="C834" s="13" t="s">
        <v>44</v>
      </c>
      <c r="D834" s="14">
        <v>280</v>
      </c>
      <c r="E834" s="15">
        <v>3</v>
      </c>
    </row>
    <row r="835" spans="1:5" x14ac:dyDescent="0.4">
      <c r="A835" s="13" t="s">
        <v>1707</v>
      </c>
      <c r="B835" s="13" t="s">
        <v>20</v>
      </c>
      <c r="C835" s="13" t="s">
        <v>22</v>
      </c>
      <c r="D835" s="14">
        <v>280</v>
      </c>
      <c r="E835" s="15">
        <v>4</v>
      </c>
    </row>
    <row r="836" spans="1:5" x14ac:dyDescent="0.4">
      <c r="A836" s="13" t="s">
        <v>1875</v>
      </c>
      <c r="B836" s="13" t="s">
        <v>26</v>
      </c>
      <c r="C836" s="13" t="s">
        <v>43</v>
      </c>
      <c r="D836" s="14">
        <v>280</v>
      </c>
      <c r="E836" s="15">
        <v>6</v>
      </c>
    </row>
    <row r="837" spans="1:5" x14ac:dyDescent="0.4">
      <c r="A837" s="13" t="s">
        <v>1100</v>
      </c>
      <c r="B837" s="13" t="s">
        <v>20</v>
      </c>
      <c r="C837" s="13" t="s">
        <v>40</v>
      </c>
      <c r="D837" s="14">
        <v>281</v>
      </c>
      <c r="E837" s="15">
        <v>3</v>
      </c>
    </row>
    <row r="838" spans="1:5" x14ac:dyDescent="0.4">
      <c r="A838" s="13" t="s">
        <v>1317</v>
      </c>
      <c r="B838" s="13" t="s">
        <v>20</v>
      </c>
      <c r="C838" s="13" t="s">
        <v>30</v>
      </c>
      <c r="D838" s="14">
        <v>281</v>
      </c>
      <c r="E838" s="15">
        <v>1</v>
      </c>
    </row>
    <row r="839" spans="1:5" x14ac:dyDescent="0.4">
      <c r="A839" s="13" t="s">
        <v>1502</v>
      </c>
      <c r="B839" s="13" t="s">
        <v>20</v>
      </c>
      <c r="C839" s="13" t="s">
        <v>44</v>
      </c>
      <c r="D839" s="14">
        <v>282</v>
      </c>
      <c r="E839" s="15">
        <v>3</v>
      </c>
    </row>
    <row r="840" spans="1:5" x14ac:dyDescent="0.4">
      <c r="A840" s="13" t="s">
        <v>1524</v>
      </c>
      <c r="B840" s="13" t="s">
        <v>20</v>
      </c>
      <c r="C840" s="13" t="s">
        <v>44</v>
      </c>
      <c r="D840" s="14">
        <v>283</v>
      </c>
      <c r="E840" s="15">
        <v>2</v>
      </c>
    </row>
    <row r="841" spans="1:5" x14ac:dyDescent="0.4">
      <c r="A841" s="13" t="s">
        <v>1764</v>
      </c>
      <c r="B841" s="13" t="s">
        <v>20</v>
      </c>
      <c r="C841" s="13" t="s">
        <v>44</v>
      </c>
      <c r="D841" s="14">
        <v>283</v>
      </c>
      <c r="E841" s="15">
        <v>0</v>
      </c>
    </row>
    <row r="842" spans="1:5" x14ac:dyDescent="0.4">
      <c r="A842" s="13" t="s">
        <v>88</v>
      </c>
      <c r="B842" s="13" t="s">
        <v>26</v>
      </c>
      <c r="C842" s="13" t="s">
        <v>39</v>
      </c>
      <c r="D842" s="14">
        <v>284</v>
      </c>
      <c r="E842" s="15">
        <v>6</v>
      </c>
    </row>
    <row r="843" spans="1:5" x14ac:dyDescent="0.4">
      <c r="A843" s="13" t="s">
        <v>286</v>
      </c>
      <c r="B843" s="13" t="s">
        <v>26</v>
      </c>
      <c r="C843" s="13" t="s">
        <v>27</v>
      </c>
      <c r="D843" s="14">
        <v>284</v>
      </c>
      <c r="E843" s="15">
        <v>9</v>
      </c>
    </row>
    <row r="844" spans="1:5" x14ac:dyDescent="0.4">
      <c r="A844" s="13" t="s">
        <v>957</v>
      </c>
      <c r="B844" s="13" t="s">
        <v>24</v>
      </c>
      <c r="C844" s="13" t="s">
        <v>44</v>
      </c>
      <c r="D844" s="14">
        <v>284</v>
      </c>
      <c r="E844" s="15">
        <v>0</v>
      </c>
    </row>
    <row r="845" spans="1:5" x14ac:dyDescent="0.4">
      <c r="A845" s="13" t="s">
        <v>1331</v>
      </c>
      <c r="B845" s="13" t="s">
        <v>20</v>
      </c>
      <c r="C845" s="13" t="s">
        <v>34</v>
      </c>
      <c r="D845" s="14">
        <v>284</v>
      </c>
      <c r="E845" s="15">
        <v>1</v>
      </c>
    </row>
    <row r="846" spans="1:5" x14ac:dyDescent="0.4">
      <c r="A846" s="13" t="s">
        <v>1410</v>
      </c>
      <c r="B846" s="13" t="s">
        <v>20</v>
      </c>
      <c r="C846" s="13" t="s">
        <v>44</v>
      </c>
      <c r="D846" s="14">
        <v>284</v>
      </c>
      <c r="E846" s="15">
        <v>0</v>
      </c>
    </row>
    <row r="847" spans="1:5" x14ac:dyDescent="0.4">
      <c r="A847" s="13" t="s">
        <v>1497</v>
      </c>
      <c r="B847" s="13" t="s">
        <v>20</v>
      </c>
      <c r="C847" s="13" t="s">
        <v>22</v>
      </c>
      <c r="D847" s="14">
        <v>284</v>
      </c>
      <c r="E847" s="15">
        <v>1</v>
      </c>
    </row>
    <row r="848" spans="1:5" x14ac:dyDescent="0.4">
      <c r="A848" s="13" t="s">
        <v>1054</v>
      </c>
      <c r="B848" s="13" t="s">
        <v>20</v>
      </c>
      <c r="C848" s="13" t="s">
        <v>66</v>
      </c>
      <c r="D848" s="14">
        <v>285</v>
      </c>
      <c r="E848" s="15">
        <v>0</v>
      </c>
    </row>
    <row r="849" spans="1:5" x14ac:dyDescent="0.4">
      <c r="A849" s="13" t="s">
        <v>1517</v>
      </c>
      <c r="B849" s="13" t="s">
        <v>24</v>
      </c>
      <c r="C849" s="13" t="s">
        <v>44</v>
      </c>
      <c r="D849" s="14">
        <v>285</v>
      </c>
      <c r="E849" s="15">
        <v>0</v>
      </c>
    </row>
    <row r="850" spans="1:5" x14ac:dyDescent="0.4">
      <c r="A850" s="13" t="s">
        <v>976</v>
      </c>
      <c r="B850" s="13" t="s">
        <v>26</v>
      </c>
      <c r="C850" s="13" t="s">
        <v>28</v>
      </c>
      <c r="D850" s="14">
        <v>286</v>
      </c>
      <c r="E850" s="15">
        <v>1</v>
      </c>
    </row>
    <row r="851" spans="1:5" x14ac:dyDescent="0.4">
      <c r="A851" s="13" t="s">
        <v>807</v>
      </c>
      <c r="B851" s="13" t="s">
        <v>20</v>
      </c>
      <c r="C851" s="13" t="s">
        <v>28</v>
      </c>
      <c r="D851" s="14">
        <v>287</v>
      </c>
      <c r="E851" s="15">
        <v>0</v>
      </c>
    </row>
    <row r="852" spans="1:5" x14ac:dyDescent="0.4">
      <c r="A852" s="13" t="s">
        <v>1198</v>
      </c>
      <c r="B852" s="13" t="s">
        <v>26</v>
      </c>
      <c r="C852" s="13" t="s">
        <v>30</v>
      </c>
      <c r="D852" s="14">
        <v>288</v>
      </c>
      <c r="E852" s="15">
        <v>10</v>
      </c>
    </row>
    <row r="853" spans="1:5" x14ac:dyDescent="0.4">
      <c r="A853" s="13" t="s">
        <v>1722</v>
      </c>
      <c r="B853" s="13" t="s">
        <v>26</v>
      </c>
      <c r="C853" s="13" t="s">
        <v>5</v>
      </c>
      <c r="D853" s="14">
        <v>288</v>
      </c>
      <c r="E853" s="15">
        <v>1</v>
      </c>
    </row>
    <row r="854" spans="1:5" x14ac:dyDescent="0.4">
      <c r="A854" s="13" t="s">
        <v>46</v>
      </c>
      <c r="B854" s="13" t="s">
        <v>26</v>
      </c>
      <c r="C854" s="13" t="s">
        <v>22</v>
      </c>
      <c r="D854" s="14">
        <v>289</v>
      </c>
      <c r="E854" s="15">
        <v>11</v>
      </c>
    </row>
    <row r="855" spans="1:5" x14ac:dyDescent="0.4">
      <c r="A855" s="13" t="s">
        <v>1200</v>
      </c>
      <c r="B855" s="13" t="s">
        <v>24</v>
      </c>
      <c r="C855" s="13" t="s">
        <v>34</v>
      </c>
      <c r="D855" s="14">
        <v>289</v>
      </c>
      <c r="E855" s="15">
        <v>0</v>
      </c>
    </row>
    <row r="856" spans="1:5" x14ac:dyDescent="0.4">
      <c r="A856" s="13" t="s">
        <v>208</v>
      </c>
      <c r="B856" s="13" t="s">
        <v>24</v>
      </c>
      <c r="C856" s="13" t="s">
        <v>53</v>
      </c>
      <c r="D856" s="14">
        <v>290</v>
      </c>
      <c r="E856" s="15">
        <v>4</v>
      </c>
    </row>
    <row r="857" spans="1:5" x14ac:dyDescent="0.4">
      <c r="A857" s="13" t="s">
        <v>316</v>
      </c>
      <c r="B857" s="13" t="s">
        <v>26</v>
      </c>
      <c r="C857" s="13" t="s">
        <v>5</v>
      </c>
      <c r="D857" s="14">
        <v>290</v>
      </c>
      <c r="E857" s="15">
        <v>5</v>
      </c>
    </row>
    <row r="858" spans="1:5" x14ac:dyDescent="0.4">
      <c r="A858" s="13" t="s">
        <v>1095</v>
      </c>
      <c r="B858" s="13" t="s">
        <v>26</v>
      </c>
      <c r="C858" s="13" t="s">
        <v>53</v>
      </c>
      <c r="D858" s="14">
        <v>290</v>
      </c>
      <c r="E858" s="15">
        <v>0</v>
      </c>
    </row>
    <row r="859" spans="1:5" x14ac:dyDescent="0.4">
      <c r="A859" s="13" t="s">
        <v>1411</v>
      </c>
      <c r="B859" s="13" t="s">
        <v>24</v>
      </c>
      <c r="C859" s="13" t="s">
        <v>53</v>
      </c>
      <c r="D859" s="14">
        <v>290</v>
      </c>
      <c r="E859" s="15">
        <v>3</v>
      </c>
    </row>
    <row r="860" spans="1:5" x14ac:dyDescent="0.4">
      <c r="A860" s="13" t="s">
        <v>336</v>
      </c>
      <c r="B860" s="13" t="s">
        <v>24</v>
      </c>
      <c r="C860" s="13" t="s">
        <v>27</v>
      </c>
      <c r="D860" s="14">
        <v>291</v>
      </c>
      <c r="E860" s="15">
        <v>3</v>
      </c>
    </row>
    <row r="861" spans="1:5" x14ac:dyDescent="0.4">
      <c r="A861" s="13" t="s">
        <v>1032</v>
      </c>
      <c r="B861" s="13" t="s">
        <v>24</v>
      </c>
      <c r="C861" s="13" t="s">
        <v>27</v>
      </c>
      <c r="D861" s="14">
        <v>291</v>
      </c>
      <c r="E861" s="15">
        <v>7</v>
      </c>
    </row>
    <row r="862" spans="1:5" x14ac:dyDescent="0.4">
      <c r="A862" s="13" t="s">
        <v>1613</v>
      </c>
      <c r="B862" s="13" t="s">
        <v>24</v>
      </c>
      <c r="C862" s="13" t="s">
        <v>39</v>
      </c>
      <c r="D862" s="14">
        <v>291</v>
      </c>
      <c r="E862" s="15">
        <v>1</v>
      </c>
    </row>
    <row r="863" spans="1:5" x14ac:dyDescent="0.4">
      <c r="A863" s="13" t="s">
        <v>1728</v>
      </c>
      <c r="B863" s="13" t="s">
        <v>20</v>
      </c>
      <c r="C863" s="13" t="s">
        <v>22</v>
      </c>
      <c r="D863" s="14">
        <v>291</v>
      </c>
      <c r="E863" s="15">
        <v>1</v>
      </c>
    </row>
    <row r="864" spans="1:5" x14ac:dyDescent="0.4">
      <c r="A864" s="13" t="s">
        <v>41</v>
      </c>
      <c r="B864" s="13" t="s">
        <v>24</v>
      </c>
      <c r="C864" s="13" t="s">
        <v>30</v>
      </c>
      <c r="D864" s="14">
        <v>292</v>
      </c>
      <c r="E864" s="15">
        <v>2</v>
      </c>
    </row>
    <row r="865" spans="1:5" x14ac:dyDescent="0.4">
      <c r="A865" s="13" t="s">
        <v>398</v>
      </c>
      <c r="B865" s="13" t="s">
        <v>26</v>
      </c>
      <c r="C865" s="13" t="s">
        <v>30</v>
      </c>
      <c r="D865" s="14">
        <v>292</v>
      </c>
      <c r="E865" s="15">
        <v>4</v>
      </c>
    </row>
    <row r="866" spans="1:5" x14ac:dyDescent="0.4">
      <c r="A866" s="13" t="s">
        <v>1387</v>
      </c>
      <c r="B866" s="13" t="s">
        <v>26</v>
      </c>
      <c r="C866" s="13" t="s">
        <v>32</v>
      </c>
      <c r="D866" s="14">
        <v>292</v>
      </c>
      <c r="E866" s="15">
        <v>2</v>
      </c>
    </row>
    <row r="867" spans="1:5" x14ac:dyDescent="0.4">
      <c r="A867" s="13" t="s">
        <v>1695</v>
      </c>
      <c r="B867" s="13" t="s">
        <v>26</v>
      </c>
      <c r="C867" s="13" t="s">
        <v>40</v>
      </c>
      <c r="D867" s="14">
        <v>292</v>
      </c>
      <c r="E867" s="15">
        <v>2</v>
      </c>
    </row>
    <row r="868" spans="1:5" x14ac:dyDescent="0.4">
      <c r="A868" s="13" t="s">
        <v>1798</v>
      </c>
      <c r="B868" s="13" t="s">
        <v>24</v>
      </c>
      <c r="C868" s="13" t="s">
        <v>44</v>
      </c>
      <c r="D868" s="14">
        <v>292</v>
      </c>
      <c r="E868" s="15">
        <v>10</v>
      </c>
    </row>
    <row r="869" spans="1:5" x14ac:dyDescent="0.4">
      <c r="A869" s="13" t="s">
        <v>1900</v>
      </c>
      <c r="B869" s="13" t="s">
        <v>24</v>
      </c>
      <c r="C869" s="13" t="s">
        <v>32</v>
      </c>
      <c r="D869" s="14">
        <v>292</v>
      </c>
      <c r="E869" s="15">
        <v>0</v>
      </c>
    </row>
    <row r="870" spans="1:5" x14ac:dyDescent="0.4">
      <c r="A870" s="13" t="s">
        <v>451</v>
      </c>
      <c r="B870" s="13" t="s">
        <v>24</v>
      </c>
      <c r="C870" s="13" t="s">
        <v>62</v>
      </c>
      <c r="D870" s="14">
        <v>293</v>
      </c>
      <c r="E870" s="15">
        <v>0</v>
      </c>
    </row>
    <row r="871" spans="1:5" x14ac:dyDescent="0.4">
      <c r="A871" s="13" t="s">
        <v>598</v>
      </c>
      <c r="B871" s="13" t="s">
        <v>26</v>
      </c>
      <c r="C871" s="13" t="s">
        <v>111</v>
      </c>
      <c r="D871" s="14">
        <v>293</v>
      </c>
      <c r="E871" s="15">
        <v>3</v>
      </c>
    </row>
    <row r="872" spans="1:5" x14ac:dyDescent="0.4">
      <c r="A872" s="13" t="s">
        <v>1631</v>
      </c>
      <c r="B872" s="13" t="s">
        <v>26</v>
      </c>
      <c r="C872" s="13" t="s">
        <v>27</v>
      </c>
      <c r="D872" s="14">
        <v>293</v>
      </c>
      <c r="E872" s="15">
        <v>2</v>
      </c>
    </row>
    <row r="873" spans="1:5" x14ac:dyDescent="0.4">
      <c r="A873" s="13" t="s">
        <v>1873</v>
      </c>
      <c r="B873" s="13" t="s">
        <v>20</v>
      </c>
      <c r="C873" s="13" t="s">
        <v>25</v>
      </c>
      <c r="D873" s="14">
        <v>293</v>
      </c>
      <c r="E873" s="15">
        <v>2</v>
      </c>
    </row>
    <row r="874" spans="1:5" x14ac:dyDescent="0.4">
      <c r="A874" s="13" t="s">
        <v>1930</v>
      </c>
      <c r="B874" s="13" t="s">
        <v>24</v>
      </c>
      <c r="C874" s="13" t="s">
        <v>43</v>
      </c>
      <c r="D874" s="14">
        <v>293</v>
      </c>
      <c r="E874" s="15">
        <v>0</v>
      </c>
    </row>
    <row r="875" spans="1:5" x14ac:dyDescent="0.4">
      <c r="A875" s="13" t="s">
        <v>399</v>
      </c>
      <c r="B875" s="13" t="s">
        <v>24</v>
      </c>
      <c r="C875" s="13" t="s">
        <v>66</v>
      </c>
      <c r="D875" s="14">
        <v>294</v>
      </c>
      <c r="E875" s="15">
        <v>0</v>
      </c>
    </row>
    <row r="876" spans="1:5" x14ac:dyDescent="0.4">
      <c r="A876" s="13" t="s">
        <v>411</v>
      </c>
      <c r="B876" s="13" t="s">
        <v>24</v>
      </c>
      <c r="C876" s="13" t="s">
        <v>27</v>
      </c>
      <c r="D876" s="14">
        <v>294</v>
      </c>
      <c r="E876" s="15">
        <v>2</v>
      </c>
    </row>
    <row r="877" spans="1:5" x14ac:dyDescent="0.4">
      <c r="A877" s="13" t="s">
        <v>758</v>
      </c>
      <c r="B877" s="13" t="s">
        <v>26</v>
      </c>
      <c r="C877" s="13" t="s">
        <v>30</v>
      </c>
      <c r="D877" s="14">
        <v>294</v>
      </c>
      <c r="E877" s="15">
        <v>13</v>
      </c>
    </row>
    <row r="878" spans="1:5" x14ac:dyDescent="0.4">
      <c r="A878" s="13" t="s">
        <v>1703</v>
      </c>
      <c r="B878" s="13" t="s">
        <v>26</v>
      </c>
      <c r="C878" s="13" t="s">
        <v>25</v>
      </c>
      <c r="D878" s="14">
        <v>294</v>
      </c>
      <c r="E878" s="15">
        <v>1</v>
      </c>
    </row>
    <row r="879" spans="1:5" x14ac:dyDescent="0.4">
      <c r="A879" s="13" t="s">
        <v>1818</v>
      </c>
      <c r="B879" s="13" t="s">
        <v>20</v>
      </c>
      <c r="C879" s="13" t="s">
        <v>43</v>
      </c>
      <c r="D879" s="14">
        <v>294</v>
      </c>
      <c r="E879" s="15">
        <v>5</v>
      </c>
    </row>
    <row r="880" spans="1:5" x14ac:dyDescent="0.4">
      <c r="A880" s="13" t="s">
        <v>1710</v>
      </c>
      <c r="B880" s="13" t="s">
        <v>26</v>
      </c>
      <c r="C880" s="13" t="s">
        <v>40</v>
      </c>
      <c r="D880" s="14">
        <v>295</v>
      </c>
      <c r="E880" s="15">
        <v>5</v>
      </c>
    </row>
    <row r="881" spans="1:5" x14ac:dyDescent="0.4">
      <c r="A881" s="13" t="s">
        <v>981</v>
      </c>
      <c r="B881" s="13" t="s">
        <v>26</v>
      </c>
      <c r="C881" s="13" t="s">
        <v>27</v>
      </c>
      <c r="D881" s="14">
        <v>296</v>
      </c>
      <c r="E881" s="15">
        <v>4</v>
      </c>
    </row>
    <row r="882" spans="1:5" x14ac:dyDescent="0.4">
      <c r="A882" s="13" t="s">
        <v>1697</v>
      </c>
      <c r="B882" s="13" t="s">
        <v>24</v>
      </c>
      <c r="C882" s="13" t="s">
        <v>30</v>
      </c>
      <c r="D882" s="14">
        <v>296</v>
      </c>
      <c r="E882" s="15">
        <v>0</v>
      </c>
    </row>
    <row r="883" spans="1:5" x14ac:dyDescent="0.4">
      <c r="A883" s="13" t="s">
        <v>1744</v>
      </c>
      <c r="B883" s="13" t="s">
        <v>26</v>
      </c>
      <c r="C883" s="13" t="s">
        <v>44</v>
      </c>
      <c r="D883" s="14">
        <v>296</v>
      </c>
      <c r="E883" s="15">
        <v>3</v>
      </c>
    </row>
    <row r="884" spans="1:5" x14ac:dyDescent="0.4">
      <c r="A884" s="13" t="s">
        <v>1920</v>
      </c>
      <c r="B884" s="13" t="s">
        <v>26</v>
      </c>
      <c r="C884" s="13" t="s">
        <v>39</v>
      </c>
      <c r="D884" s="14">
        <v>296</v>
      </c>
      <c r="E884" s="15">
        <v>2</v>
      </c>
    </row>
    <row r="885" spans="1:5" x14ac:dyDescent="0.4">
      <c r="A885" s="13" t="s">
        <v>689</v>
      </c>
      <c r="B885" s="13" t="s">
        <v>24</v>
      </c>
      <c r="C885" s="13" t="s">
        <v>30</v>
      </c>
      <c r="D885" s="14">
        <v>297</v>
      </c>
      <c r="E885" s="15">
        <v>0</v>
      </c>
    </row>
    <row r="886" spans="1:5" x14ac:dyDescent="0.4">
      <c r="A886" s="13" t="s">
        <v>879</v>
      </c>
      <c r="B886" s="13" t="s">
        <v>26</v>
      </c>
      <c r="C886" s="13" t="s">
        <v>28</v>
      </c>
      <c r="D886" s="14">
        <v>297</v>
      </c>
      <c r="E886" s="15">
        <v>0</v>
      </c>
    </row>
    <row r="887" spans="1:5" x14ac:dyDescent="0.4">
      <c r="A887" s="13" t="s">
        <v>1295</v>
      </c>
      <c r="B887" s="13" t="s">
        <v>24</v>
      </c>
      <c r="C887" s="13" t="s">
        <v>44</v>
      </c>
      <c r="D887" s="14">
        <v>297</v>
      </c>
      <c r="E887" s="15">
        <v>9</v>
      </c>
    </row>
    <row r="888" spans="1:5" x14ac:dyDescent="0.4">
      <c r="A888" s="13" t="s">
        <v>353</v>
      </c>
      <c r="B888" s="13" t="s">
        <v>20</v>
      </c>
      <c r="C888" s="13" t="s">
        <v>66</v>
      </c>
      <c r="D888" s="14">
        <v>298</v>
      </c>
      <c r="E888" s="15">
        <v>8</v>
      </c>
    </row>
    <row r="889" spans="1:5" x14ac:dyDescent="0.4">
      <c r="A889" s="13" t="s">
        <v>867</v>
      </c>
      <c r="B889" s="13" t="s">
        <v>26</v>
      </c>
      <c r="C889" s="13" t="s">
        <v>40</v>
      </c>
      <c r="D889" s="14">
        <v>298</v>
      </c>
      <c r="E889" s="15">
        <v>0</v>
      </c>
    </row>
    <row r="890" spans="1:5" x14ac:dyDescent="0.4">
      <c r="A890" s="13" t="s">
        <v>1017</v>
      </c>
      <c r="B890" s="13" t="s">
        <v>20</v>
      </c>
      <c r="C890" s="13" t="s">
        <v>27</v>
      </c>
      <c r="D890" s="14">
        <v>298</v>
      </c>
      <c r="E890" s="15">
        <v>0</v>
      </c>
    </row>
    <row r="891" spans="1:5" x14ac:dyDescent="0.4">
      <c r="A891" s="13" t="s">
        <v>180</v>
      </c>
      <c r="B891" s="13" t="s">
        <v>24</v>
      </c>
      <c r="C891" s="13" t="s">
        <v>5</v>
      </c>
      <c r="D891" s="14">
        <v>299</v>
      </c>
      <c r="E891" s="15">
        <v>1</v>
      </c>
    </row>
    <row r="892" spans="1:5" x14ac:dyDescent="0.4">
      <c r="A892" s="13" t="s">
        <v>750</v>
      </c>
      <c r="B892" s="13" t="s">
        <v>26</v>
      </c>
      <c r="C892" s="13" t="s">
        <v>28</v>
      </c>
      <c r="D892" s="14">
        <v>299</v>
      </c>
      <c r="E892" s="15">
        <v>1</v>
      </c>
    </row>
    <row r="893" spans="1:5" x14ac:dyDescent="0.4">
      <c r="A893" s="13" t="s">
        <v>1534</v>
      </c>
      <c r="B893" s="13" t="s">
        <v>24</v>
      </c>
      <c r="C893" s="13" t="s">
        <v>22</v>
      </c>
      <c r="D893" s="14">
        <v>300</v>
      </c>
      <c r="E893" s="15">
        <v>0</v>
      </c>
    </row>
    <row r="894" spans="1:5" x14ac:dyDescent="0.4">
      <c r="A894" s="13" t="s">
        <v>1948</v>
      </c>
      <c r="B894" s="13" t="s">
        <v>26</v>
      </c>
      <c r="C894" s="13" t="s">
        <v>44</v>
      </c>
      <c r="D894" s="14">
        <v>300</v>
      </c>
      <c r="E894" s="15">
        <v>0</v>
      </c>
    </row>
    <row r="895" spans="1:5" x14ac:dyDescent="0.4">
      <c r="A895" s="13" t="s">
        <v>291</v>
      </c>
      <c r="B895" s="13" t="s">
        <v>26</v>
      </c>
      <c r="C895" s="13" t="s">
        <v>40</v>
      </c>
      <c r="D895" s="14">
        <v>301</v>
      </c>
      <c r="E895" s="15">
        <v>8</v>
      </c>
    </row>
    <row r="896" spans="1:5" x14ac:dyDescent="0.4">
      <c r="A896" s="13" t="s">
        <v>664</v>
      </c>
      <c r="B896" s="13" t="s">
        <v>24</v>
      </c>
      <c r="C896" s="13" t="s">
        <v>27</v>
      </c>
      <c r="D896" s="14">
        <v>302</v>
      </c>
      <c r="E896" s="15">
        <v>3</v>
      </c>
    </row>
    <row r="897" spans="1:5" x14ac:dyDescent="0.4">
      <c r="A897" s="13" t="s">
        <v>1229</v>
      </c>
      <c r="B897" s="13" t="s">
        <v>20</v>
      </c>
      <c r="C897" s="13" t="s">
        <v>39</v>
      </c>
      <c r="D897" s="14">
        <v>302</v>
      </c>
      <c r="E897" s="15">
        <v>7</v>
      </c>
    </row>
    <row r="898" spans="1:5" x14ac:dyDescent="0.4">
      <c r="A898" s="13" t="s">
        <v>1881</v>
      </c>
      <c r="B898" s="13" t="s">
        <v>26</v>
      </c>
      <c r="C898" s="13" t="s">
        <v>44</v>
      </c>
      <c r="D898" s="14">
        <v>303</v>
      </c>
      <c r="E898" s="15">
        <v>4</v>
      </c>
    </row>
    <row r="899" spans="1:5" x14ac:dyDescent="0.4">
      <c r="A899" s="13" t="s">
        <v>699</v>
      </c>
      <c r="B899" s="13" t="s">
        <v>24</v>
      </c>
      <c r="C899" s="13" t="s">
        <v>22</v>
      </c>
      <c r="D899" s="14">
        <v>304</v>
      </c>
      <c r="E899" s="15">
        <v>3</v>
      </c>
    </row>
    <row r="900" spans="1:5" x14ac:dyDescent="0.4">
      <c r="A900" s="13" t="s">
        <v>935</v>
      </c>
      <c r="B900" s="13" t="s">
        <v>26</v>
      </c>
      <c r="C900" s="13" t="s">
        <v>53</v>
      </c>
      <c r="D900" s="14">
        <v>304</v>
      </c>
      <c r="E900" s="15">
        <v>1</v>
      </c>
    </row>
    <row r="901" spans="1:5" x14ac:dyDescent="0.4">
      <c r="A901" s="13" t="s">
        <v>137</v>
      </c>
      <c r="B901" s="13" t="s">
        <v>24</v>
      </c>
      <c r="C901" s="13" t="s">
        <v>30</v>
      </c>
      <c r="D901" s="14">
        <v>305</v>
      </c>
      <c r="E901" s="15">
        <v>7</v>
      </c>
    </row>
    <row r="902" spans="1:5" x14ac:dyDescent="0.4">
      <c r="A902" s="13" t="s">
        <v>1266</v>
      </c>
      <c r="B902" s="13" t="s">
        <v>26</v>
      </c>
      <c r="C902" s="13" t="s">
        <v>32</v>
      </c>
      <c r="D902" s="14">
        <v>305</v>
      </c>
      <c r="E902" s="15">
        <v>1</v>
      </c>
    </row>
    <row r="903" spans="1:5" x14ac:dyDescent="0.4">
      <c r="A903" s="13" t="s">
        <v>1281</v>
      </c>
      <c r="B903" s="13" t="s">
        <v>20</v>
      </c>
      <c r="C903" s="13" t="s">
        <v>39</v>
      </c>
      <c r="D903" s="14">
        <v>305</v>
      </c>
      <c r="E903" s="15">
        <v>1</v>
      </c>
    </row>
    <row r="904" spans="1:5" x14ac:dyDescent="0.4">
      <c r="A904" s="13" t="s">
        <v>577</v>
      </c>
      <c r="B904" s="13" t="s">
        <v>24</v>
      </c>
      <c r="C904" s="13" t="s">
        <v>44</v>
      </c>
      <c r="D904" s="14">
        <v>306</v>
      </c>
      <c r="E904" s="15">
        <v>9</v>
      </c>
    </row>
    <row r="905" spans="1:5" x14ac:dyDescent="0.4">
      <c r="A905" s="13" t="s">
        <v>700</v>
      </c>
      <c r="B905" s="13" t="s">
        <v>24</v>
      </c>
      <c r="C905" s="13" t="s">
        <v>39</v>
      </c>
      <c r="D905" s="14">
        <v>306</v>
      </c>
      <c r="E905" s="15">
        <v>1</v>
      </c>
    </row>
    <row r="906" spans="1:5" x14ac:dyDescent="0.4">
      <c r="A906" s="13" t="s">
        <v>1266</v>
      </c>
      <c r="B906" s="13" t="s">
        <v>24</v>
      </c>
      <c r="C906" s="13" t="s">
        <v>44</v>
      </c>
      <c r="D906" s="14">
        <v>306</v>
      </c>
      <c r="E906" s="15">
        <v>5</v>
      </c>
    </row>
    <row r="907" spans="1:5" x14ac:dyDescent="0.4">
      <c r="A907" s="13" t="s">
        <v>1893</v>
      </c>
      <c r="B907" s="13" t="s">
        <v>20</v>
      </c>
      <c r="C907" s="13" t="s">
        <v>33</v>
      </c>
      <c r="D907" s="14">
        <v>306</v>
      </c>
      <c r="E907" s="15">
        <v>0</v>
      </c>
    </row>
    <row r="908" spans="1:5" x14ac:dyDescent="0.4">
      <c r="A908" s="13" t="s">
        <v>1911</v>
      </c>
      <c r="B908" s="13" t="s">
        <v>26</v>
      </c>
      <c r="C908" s="13" t="s">
        <v>53</v>
      </c>
      <c r="D908" s="14">
        <v>306</v>
      </c>
      <c r="E908" s="15">
        <v>3</v>
      </c>
    </row>
    <row r="909" spans="1:5" x14ac:dyDescent="0.4">
      <c r="A909" s="13" t="s">
        <v>1937</v>
      </c>
      <c r="B909" s="13" t="s">
        <v>20</v>
      </c>
      <c r="C909" s="13" t="s">
        <v>27</v>
      </c>
      <c r="D909" s="14">
        <v>306</v>
      </c>
      <c r="E909" s="15">
        <v>0</v>
      </c>
    </row>
    <row r="910" spans="1:5" x14ac:dyDescent="0.4">
      <c r="A910" s="13" t="s">
        <v>830</v>
      </c>
      <c r="B910" s="13" t="s">
        <v>26</v>
      </c>
      <c r="C910" s="13" t="s">
        <v>22</v>
      </c>
      <c r="D910" s="14">
        <v>307</v>
      </c>
      <c r="E910" s="15">
        <v>4</v>
      </c>
    </row>
    <row r="911" spans="1:5" x14ac:dyDescent="0.4">
      <c r="A911" s="13" t="s">
        <v>1694</v>
      </c>
      <c r="B911" s="13" t="s">
        <v>24</v>
      </c>
      <c r="C911" s="13" t="s">
        <v>25</v>
      </c>
      <c r="D911" s="14">
        <v>307</v>
      </c>
      <c r="E911" s="15">
        <v>4</v>
      </c>
    </row>
    <row r="912" spans="1:5" x14ac:dyDescent="0.4">
      <c r="A912" s="13" t="s">
        <v>376</v>
      </c>
      <c r="B912" s="13" t="s">
        <v>26</v>
      </c>
      <c r="C912" s="13" t="s">
        <v>30</v>
      </c>
      <c r="D912" s="14">
        <v>308</v>
      </c>
      <c r="E912" s="15">
        <v>0</v>
      </c>
    </row>
    <row r="913" spans="1:5" x14ac:dyDescent="0.4">
      <c r="A913" s="13" t="s">
        <v>1164</v>
      </c>
      <c r="B913" s="13" t="s">
        <v>20</v>
      </c>
      <c r="C913" s="13" t="s">
        <v>30</v>
      </c>
      <c r="D913" s="14">
        <v>308</v>
      </c>
      <c r="E913" s="15">
        <v>0</v>
      </c>
    </row>
    <row r="914" spans="1:5" x14ac:dyDescent="0.4">
      <c r="A914" s="13" t="s">
        <v>1370</v>
      </c>
      <c r="B914" s="13" t="s">
        <v>24</v>
      </c>
      <c r="C914" s="13" t="s">
        <v>30</v>
      </c>
      <c r="D914" s="14">
        <v>308</v>
      </c>
      <c r="E914" s="15">
        <v>0</v>
      </c>
    </row>
    <row r="915" spans="1:5" x14ac:dyDescent="0.4">
      <c r="A915" s="13" t="s">
        <v>559</v>
      </c>
      <c r="B915" s="13" t="s">
        <v>26</v>
      </c>
      <c r="C915" s="13" t="s">
        <v>44</v>
      </c>
      <c r="D915" s="14">
        <v>309</v>
      </c>
      <c r="E915" s="15">
        <v>3</v>
      </c>
    </row>
    <row r="916" spans="1:5" x14ac:dyDescent="0.4">
      <c r="A916" s="13" t="s">
        <v>1047</v>
      </c>
      <c r="B916" s="13" t="s">
        <v>26</v>
      </c>
      <c r="C916" s="13" t="s">
        <v>27</v>
      </c>
      <c r="D916" s="14">
        <v>309</v>
      </c>
      <c r="E916" s="15">
        <v>0</v>
      </c>
    </row>
    <row r="917" spans="1:5" x14ac:dyDescent="0.4">
      <c r="A917" s="13" t="s">
        <v>1051</v>
      </c>
      <c r="B917" s="13" t="s">
        <v>26</v>
      </c>
      <c r="C917" s="13" t="s">
        <v>27</v>
      </c>
      <c r="D917" s="14">
        <v>309</v>
      </c>
      <c r="E917" s="15">
        <v>0</v>
      </c>
    </row>
    <row r="918" spans="1:5" x14ac:dyDescent="0.4">
      <c r="A918" s="13" t="s">
        <v>1544</v>
      </c>
      <c r="B918" s="13" t="s">
        <v>26</v>
      </c>
      <c r="C918" s="13" t="s">
        <v>44</v>
      </c>
      <c r="D918" s="14">
        <v>309</v>
      </c>
      <c r="E918" s="15">
        <v>7</v>
      </c>
    </row>
    <row r="919" spans="1:5" x14ac:dyDescent="0.4">
      <c r="A919" s="13" t="s">
        <v>1616</v>
      </c>
      <c r="B919" s="13" t="s">
        <v>20</v>
      </c>
      <c r="C919" s="13" t="s">
        <v>39</v>
      </c>
      <c r="D919" s="14">
        <v>309</v>
      </c>
      <c r="E919" s="15">
        <v>3</v>
      </c>
    </row>
    <row r="920" spans="1:5" x14ac:dyDescent="0.4">
      <c r="A920" s="13" t="s">
        <v>743</v>
      </c>
      <c r="B920" s="13" t="s">
        <v>20</v>
      </c>
      <c r="C920" s="13" t="s">
        <v>39</v>
      </c>
      <c r="D920" s="14">
        <v>310</v>
      </c>
      <c r="E920" s="15">
        <v>0</v>
      </c>
    </row>
    <row r="921" spans="1:5" x14ac:dyDescent="0.4">
      <c r="A921" s="13" t="s">
        <v>1502</v>
      </c>
      <c r="B921" s="13" t="s">
        <v>24</v>
      </c>
      <c r="C921" s="13" t="s">
        <v>27</v>
      </c>
      <c r="D921" s="14">
        <v>310</v>
      </c>
      <c r="E921" s="15">
        <v>0</v>
      </c>
    </row>
    <row r="922" spans="1:5" x14ac:dyDescent="0.4">
      <c r="A922" s="13" t="s">
        <v>662</v>
      </c>
      <c r="B922" s="13" t="s">
        <v>20</v>
      </c>
      <c r="C922" s="13" t="s">
        <v>66</v>
      </c>
      <c r="D922" s="14">
        <v>311</v>
      </c>
      <c r="E922" s="15">
        <v>2</v>
      </c>
    </row>
    <row r="923" spans="1:5" x14ac:dyDescent="0.4">
      <c r="A923" s="13" t="s">
        <v>930</v>
      </c>
      <c r="B923" s="13" t="s">
        <v>20</v>
      </c>
      <c r="C923" s="13" t="s">
        <v>44</v>
      </c>
      <c r="D923" s="14">
        <v>311</v>
      </c>
      <c r="E923" s="15">
        <v>0</v>
      </c>
    </row>
    <row r="924" spans="1:5" x14ac:dyDescent="0.4">
      <c r="A924" s="13" t="s">
        <v>1375</v>
      </c>
      <c r="B924" s="13" t="s">
        <v>26</v>
      </c>
      <c r="C924" s="13" t="s">
        <v>30</v>
      </c>
      <c r="D924" s="14">
        <v>311</v>
      </c>
      <c r="E924" s="15">
        <v>0</v>
      </c>
    </row>
    <row r="925" spans="1:5" x14ac:dyDescent="0.4">
      <c r="A925" s="13" t="s">
        <v>97</v>
      </c>
      <c r="B925" s="13" t="s">
        <v>20</v>
      </c>
      <c r="C925" s="13" t="s">
        <v>44</v>
      </c>
      <c r="D925" s="14">
        <v>312</v>
      </c>
      <c r="E925" s="15">
        <v>1</v>
      </c>
    </row>
    <row r="926" spans="1:5" x14ac:dyDescent="0.4">
      <c r="A926" s="13" t="s">
        <v>1196</v>
      </c>
      <c r="B926" s="13" t="s">
        <v>26</v>
      </c>
      <c r="C926" s="13" t="s">
        <v>30</v>
      </c>
      <c r="D926" s="14">
        <v>312</v>
      </c>
      <c r="E926" s="15">
        <v>3</v>
      </c>
    </row>
    <row r="927" spans="1:5" x14ac:dyDescent="0.4">
      <c r="A927" s="13" t="s">
        <v>1971</v>
      </c>
      <c r="B927" s="13" t="s">
        <v>24</v>
      </c>
      <c r="C927" s="13" t="s">
        <v>44</v>
      </c>
      <c r="D927" s="14">
        <v>312</v>
      </c>
      <c r="E927" s="15">
        <v>0</v>
      </c>
    </row>
    <row r="928" spans="1:5" x14ac:dyDescent="0.4">
      <c r="A928" s="13" t="s">
        <v>221</v>
      </c>
      <c r="B928" s="13" t="s">
        <v>26</v>
      </c>
      <c r="C928" s="13" t="s">
        <v>30</v>
      </c>
      <c r="D928" s="14">
        <v>313</v>
      </c>
      <c r="E928" s="15">
        <v>1</v>
      </c>
    </row>
    <row r="929" spans="1:5" x14ac:dyDescent="0.4">
      <c r="A929" s="13" t="s">
        <v>1089</v>
      </c>
      <c r="B929" s="13" t="s">
        <v>24</v>
      </c>
      <c r="C929" s="13" t="s">
        <v>22</v>
      </c>
      <c r="D929" s="14">
        <v>313</v>
      </c>
      <c r="E929" s="15">
        <v>4</v>
      </c>
    </row>
    <row r="930" spans="1:5" x14ac:dyDescent="0.4">
      <c r="A930" s="13" t="s">
        <v>1311</v>
      </c>
      <c r="B930" s="13" t="s">
        <v>26</v>
      </c>
      <c r="C930" s="13" t="s">
        <v>25</v>
      </c>
      <c r="D930" s="14">
        <v>314</v>
      </c>
      <c r="E930" s="15">
        <v>4</v>
      </c>
    </row>
    <row r="931" spans="1:5" x14ac:dyDescent="0.4">
      <c r="A931" s="13" t="s">
        <v>1336</v>
      </c>
      <c r="B931" s="13" t="s">
        <v>24</v>
      </c>
      <c r="C931" s="13" t="s">
        <v>34</v>
      </c>
      <c r="D931" s="14">
        <v>314</v>
      </c>
      <c r="E931" s="15">
        <v>1</v>
      </c>
    </row>
    <row r="932" spans="1:5" x14ac:dyDescent="0.4">
      <c r="A932" s="13" t="s">
        <v>991</v>
      </c>
      <c r="B932" s="13" t="s">
        <v>20</v>
      </c>
      <c r="C932" s="13" t="s">
        <v>44</v>
      </c>
      <c r="D932" s="14">
        <v>315</v>
      </c>
      <c r="E932" s="15">
        <v>0</v>
      </c>
    </row>
    <row r="933" spans="1:5" x14ac:dyDescent="0.4">
      <c r="A933" s="13" t="s">
        <v>1224</v>
      </c>
      <c r="B933" s="13" t="s">
        <v>26</v>
      </c>
      <c r="C933" s="13" t="s">
        <v>5</v>
      </c>
      <c r="D933" s="14">
        <v>315</v>
      </c>
      <c r="E933" s="15">
        <v>0</v>
      </c>
    </row>
    <row r="934" spans="1:5" x14ac:dyDescent="0.4">
      <c r="A934" s="13" t="s">
        <v>483</v>
      </c>
      <c r="B934" s="13" t="s">
        <v>24</v>
      </c>
      <c r="C934" s="13" t="s">
        <v>40</v>
      </c>
      <c r="D934" s="14">
        <v>316</v>
      </c>
      <c r="E934" s="15">
        <v>4</v>
      </c>
    </row>
    <row r="935" spans="1:5" x14ac:dyDescent="0.4">
      <c r="A935" s="13" t="s">
        <v>867</v>
      </c>
      <c r="B935" s="13" t="s">
        <v>20</v>
      </c>
      <c r="C935" s="13" t="s">
        <v>27</v>
      </c>
      <c r="D935" s="14">
        <v>316</v>
      </c>
      <c r="E935" s="15">
        <v>0</v>
      </c>
    </row>
    <row r="936" spans="1:5" x14ac:dyDescent="0.4">
      <c r="A936" s="13" t="s">
        <v>985</v>
      </c>
      <c r="B936" s="13" t="s">
        <v>26</v>
      </c>
      <c r="C936" s="13" t="s">
        <v>22</v>
      </c>
      <c r="D936" s="14">
        <v>316</v>
      </c>
      <c r="E936" s="15">
        <v>2</v>
      </c>
    </row>
    <row r="937" spans="1:5" x14ac:dyDescent="0.4">
      <c r="A937" s="13" t="s">
        <v>1492</v>
      </c>
      <c r="B937" s="13" t="s">
        <v>26</v>
      </c>
      <c r="C937" s="13" t="s">
        <v>44</v>
      </c>
      <c r="D937" s="14">
        <v>316</v>
      </c>
      <c r="E937" s="15">
        <v>0</v>
      </c>
    </row>
    <row r="938" spans="1:5" x14ac:dyDescent="0.4">
      <c r="A938" s="13" t="s">
        <v>291</v>
      </c>
      <c r="B938" s="13" t="s">
        <v>26</v>
      </c>
      <c r="C938" s="13" t="s">
        <v>53</v>
      </c>
      <c r="D938" s="14">
        <v>317</v>
      </c>
      <c r="E938" s="15">
        <v>1</v>
      </c>
    </row>
    <row r="939" spans="1:5" x14ac:dyDescent="0.4">
      <c r="A939" s="13" t="s">
        <v>378</v>
      </c>
      <c r="B939" s="13" t="s">
        <v>24</v>
      </c>
      <c r="C939" s="13" t="s">
        <v>39</v>
      </c>
      <c r="D939" s="14">
        <v>317</v>
      </c>
      <c r="E939" s="15">
        <v>0</v>
      </c>
    </row>
    <row r="940" spans="1:5" x14ac:dyDescent="0.4">
      <c r="A940" s="13" t="s">
        <v>1394</v>
      </c>
      <c r="B940" s="13" t="s">
        <v>26</v>
      </c>
      <c r="C940" s="13" t="s">
        <v>21</v>
      </c>
      <c r="D940" s="14">
        <v>317</v>
      </c>
      <c r="E940" s="15">
        <v>0</v>
      </c>
    </row>
    <row r="941" spans="1:5" x14ac:dyDescent="0.4">
      <c r="A941" s="13" t="s">
        <v>133</v>
      </c>
      <c r="B941" s="13" t="s">
        <v>24</v>
      </c>
      <c r="C941" s="13" t="s">
        <v>22</v>
      </c>
      <c r="D941" s="14">
        <v>318</v>
      </c>
      <c r="E941" s="15">
        <v>1</v>
      </c>
    </row>
    <row r="942" spans="1:5" x14ac:dyDescent="0.4">
      <c r="A942" s="13" t="s">
        <v>1304</v>
      </c>
      <c r="B942" s="13" t="s">
        <v>24</v>
      </c>
      <c r="C942" s="13" t="s">
        <v>53</v>
      </c>
      <c r="D942" s="14">
        <v>318</v>
      </c>
      <c r="E942" s="15">
        <v>0</v>
      </c>
    </row>
    <row r="943" spans="1:5" x14ac:dyDescent="0.4">
      <c r="A943" s="13" t="s">
        <v>1596</v>
      </c>
      <c r="B943" s="13" t="s">
        <v>26</v>
      </c>
      <c r="C943" s="13" t="s">
        <v>5</v>
      </c>
      <c r="D943" s="14">
        <v>318</v>
      </c>
      <c r="E943" s="15">
        <v>7</v>
      </c>
    </row>
    <row r="944" spans="1:5" x14ac:dyDescent="0.4">
      <c r="A944" s="13" t="s">
        <v>1773</v>
      </c>
      <c r="B944" s="13" t="s">
        <v>24</v>
      </c>
      <c r="C944" s="13" t="s">
        <v>30</v>
      </c>
      <c r="D944" s="14">
        <v>318</v>
      </c>
      <c r="E944" s="15">
        <v>0</v>
      </c>
    </row>
    <row r="945" spans="1:5" x14ac:dyDescent="0.4">
      <c r="A945" s="13" t="s">
        <v>675</v>
      </c>
      <c r="B945" s="13" t="s">
        <v>20</v>
      </c>
      <c r="C945" s="13" t="s">
        <v>27</v>
      </c>
      <c r="D945" s="14">
        <v>319</v>
      </c>
      <c r="E945" s="15">
        <v>12</v>
      </c>
    </row>
    <row r="946" spans="1:5" x14ac:dyDescent="0.4">
      <c r="A946" s="13" t="s">
        <v>849</v>
      </c>
      <c r="B946" s="13" t="s">
        <v>26</v>
      </c>
      <c r="C946" s="13" t="s">
        <v>33</v>
      </c>
      <c r="D946" s="14">
        <v>319</v>
      </c>
      <c r="E946" s="15">
        <v>3</v>
      </c>
    </row>
    <row r="947" spans="1:5" x14ac:dyDescent="0.4">
      <c r="A947" s="13" t="s">
        <v>1431</v>
      </c>
      <c r="B947" s="13" t="s">
        <v>24</v>
      </c>
      <c r="C947" s="13" t="s">
        <v>39</v>
      </c>
      <c r="D947" s="14">
        <v>319</v>
      </c>
      <c r="E947" s="15">
        <v>0</v>
      </c>
    </row>
    <row r="948" spans="1:5" x14ac:dyDescent="0.4">
      <c r="A948" s="13" t="s">
        <v>1604</v>
      </c>
      <c r="B948" s="13" t="s">
        <v>20</v>
      </c>
      <c r="C948" s="13" t="s">
        <v>27</v>
      </c>
      <c r="D948" s="14">
        <v>319</v>
      </c>
      <c r="E948" s="15">
        <v>6</v>
      </c>
    </row>
    <row r="949" spans="1:5" x14ac:dyDescent="0.4">
      <c r="A949" s="13" t="s">
        <v>187</v>
      </c>
      <c r="B949" s="13" t="s">
        <v>24</v>
      </c>
      <c r="C949" s="13" t="s">
        <v>44</v>
      </c>
      <c r="D949" s="14">
        <v>320</v>
      </c>
      <c r="E949" s="15">
        <v>1</v>
      </c>
    </row>
    <row r="950" spans="1:5" x14ac:dyDescent="0.4">
      <c r="A950" s="13" t="s">
        <v>533</v>
      </c>
      <c r="B950" s="13" t="s">
        <v>20</v>
      </c>
      <c r="C950" s="13" t="s">
        <v>30</v>
      </c>
      <c r="D950" s="14">
        <v>320</v>
      </c>
      <c r="E950" s="15">
        <v>0</v>
      </c>
    </row>
    <row r="951" spans="1:5" x14ac:dyDescent="0.4">
      <c r="A951" s="13" t="s">
        <v>582</v>
      </c>
      <c r="B951" s="13" t="s">
        <v>26</v>
      </c>
      <c r="C951" s="13" t="s">
        <v>44</v>
      </c>
      <c r="D951" s="14">
        <v>320</v>
      </c>
      <c r="E951" s="15">
        <v>1</v>
      </c>
    </row>
    <row r="952" spans="1:5" x14ac:dyDescent="0.4">
      <c r="A952" s="13" t="s">
        <v>979</v>
      </c>
      <c r="B952" s="13" t="s">
        <v>26</v>
      </c>
      <c r="C952" s="13" t="s">
        <v>5</v>
      </c>
      <c r="D952" s="14">
        <v>320</v>
      </c>
      <c r="E952" s="15">
        <v>1</v>
      </c>
    </row>
    <row r="953" spans="1:5" x14ac:dyDescent="0.4">
      <c r="A953" s="13" t="s">
        <v>986</v>
      </c>
      <c r="B953" s="13" t="s">
        <v>26</v>
      </c>
      <c r="C953" s="13" t="s">
        <v>39</v>
      </c>
      <c r="D953" s="14">
        <v>320</v>
      </c>
      <c r="E953" s="15">
        <v>0</v>
      </c>
    </row>
    <row r="954" spans="1:5" x14ac:dyDescent="0.4">
      <c r="A954" s="13" t="s">
        <v>1528</v>
      </c>
      <c r="B954" s="13" t="s">
        <v>24</v>
      </c>
      <c r="C954" s="13" t="s">
        <v>28</v>
      </c>
      <c r="D954" s="14">
        <v>320</v>
      </c>
      <c r="E954" s="15">
        <v>2</v>
      </c>
    </row>
    <row r="955" spans="1:5" x14ac:dyDescent="0.4">
      <c r="A955" s="13" t="s">
        <v>648</v>
      </c>
      <c r="B955" s="13" t="s">
        <v>26</v>
      </c>
      <c r="C955" s="13" t="s">
        <v>30</v>
      </c>
      <c r="D955" s="14">
        <v>321</v>
      </c>
      <c r="E955" s="15">
        <v>0</v>
      </c>
    </row>
    <row r="956" spans="1:5" x14ac:dyDescent="0.4">
      <c r="A956" s="13" t="s">
        <v>670</v>
      </c>
      <c r="B956" s="13" t="s">
        <v>26</v>
      </c>
      <c r="C956" s="13" t="s">
        <v>27</v>
      </c>
      <c r="D956" s="14">
        <v>321</v>
      </c>
      <c r="E956" s="15">
        <v>4</v>
      </c>
    </row>
    <row r="957" spans="1:5" x14ac:dyDescent="0.4">
      <c r="A957" s="13" t="s">
        <v>973</v>
      </c>
      <c r="B957" s="13" t="s">
        <v>24</v>
      </c>
      <c r="C957" s="13" t="s">
        <v>27</v>
      </c>
      <c r="D957" s="14">
        <v>321</v>
      </c>
      <c r="E957" s="15">
        <v>1</v>
      </c>
    </row>
    <row r="958" spans="1:5" x14ac:dyDescent="0.4">
      <c r="A958" s="13" t="s">
        <v>1442</v>
      </c>
      <c r="B958" s="13" t="s">
        <v>24</v>
      </c>
      <c r="C958" s="13" t="s">
        <v>27</v>
      </c>
      <c r="D958" s="14">
        <v>321</v>
      </c>
      <c r="E958" s="15">
        <v>2</v>
      </c>
    </row>
    <row r="959" spans="1:5" x14ac:dyDescent="0.4">
      <c r="A959" s="13" t="s">
        <v>78</v>
      </c>
      <c r="B959" s="13" t="s">
        <v>20</v>
      </c>
      <c r="C959" s="13" t="s">
        <v>44</v>
      </c>
      <c r="D959" s="14">
        <v>322</v>
      </c>
      <c r="E959" s="15">
        <v>0</v>
      </c>
    </row>
    <row r="960" spans="1:5" x14ac:dyDescent="0.4">
      <c r="A960" s="13" t="s">
        <v>216</v>
      </c>
      <c r="B960" s="13" t="s">
        <v>26</v>
      </c>
      <c r="C960" s="13" t="s">
        <v>62</v>
      </c>
      <c r="D960" s="14">
        <v>322</v>
      </c>
      <c r="E960" s="15">
        <v>3</v>
      </c>
    </row>
    <row r="961" spans="1:5" x14ac:dyDescent="0.4">
      <c r="A961" s="13" t="s">
        <v>905</v>
      </c>
      <c r="B961" s="13" t="s">
        <v>26</v>
      </c>
      <c r="C961" s="13" t="s">
        <v>39</v>
      </c>
      <c r="D961" s="14">
        <v>322</v>
      </c>
      <c r="E961" s="15">
        <v>10</v>
      </c>
    </row>
    <row r="962" spans="1:5" x14ac:dyDescent="0.4">
      <c r="A962" s="13" t="s">
        <v>1333</v>
      </c>
      <c r="B962" s="13" t="s">
        <v>24</v>
      </c>
      <c r="C962" s="13" t="s">
        <v>44</v>
      </c>
      <c r="D962" s="14">
        <v>322</v>
      </c>
      <c r="E962" s="15">
        <v>2</v>
      </c>
    </row>
    <row r="963" spans="1:5" x14ac:dyDescent="0.4">
      <c r="A963" s="13" t="s">
        <v>1449</v>
      </c>
      <c r="B963" s="13" t="s">
        <v>20</v>
      </c>
      <c r="C963" s="13" t="s">
        <v>39</v>
      </c>
      <c r="D963" s="14">
        <v>322</v>
      </c>
      <c r="E963" s="15">
        <v>6</v>
      </c>
    </row>
    <row r="964" spans="1:5" x14ac:dyDescent="0.4">
      <c r="A964" s="13" t="s">
        <v>300</v>
      </c>
      <c r="B964" s="16" t="s">
        <v>26</v>
      </c>
      <c r="C964" s="16" t="s">
        <v>5</v>
      </c>
      <c r="D964" s="14">
        <v>323</v>
      </c>
      <c r="E964" s="15">
        <v>0</v>
      </c>
    </row>
    <row r="965" spans="1:5" x14ac:dyDescent="0.4">
      <c r="A965" s="13" t="s">
        <v>621</v>
      </c>
      <c r="B965" s="13" t="s">
        <v>26</v>
      </c>
      <c r="C965" s="13" t="s">
        <v>34</v>
      </c>
      <c r="D965" s="14">
        <v>323</v>
      </c>
      <c r="E965" s="15">
        <v>0</v>
      </c>
    </row>
    <row r="966" spans="1:5" x14ac:dyDescent="0.4">
      <c r="A966" s="13" t="s">
        <v>889</v>
      </c>
      <c r="B966" s="13" t="s">
        <v>26</v>
      </c>
      <c r="C966" s="13" t="s">
        <v>39</v>
      </c>
      <c r="D966" s="14">
        <v>323</v>
      </c>
      <c r="E966" s="15">
        <v>0</v>
      </c>
    </row>
    <row r="967" spans="1:5" x14ac:dyDescent="0.4">
      <c r="A967" s="13" t="s">
        <v>1354</v>
      </c>
      <c r="B967" s="13" t="s">
        <v>20</v>
      </c>
      <c r="C967" s="13" t="s">
        <v>39</v>
      </c>
      <c r="D967" s="14">
        <v>323</v>
      </c>
      <c r="E967" s="15">
        <v>6</v>
      </c>
    </row>
    <row r="968" spans="1:5" x14ac:dyDescent="0.4">
      <c r="A968" s="13" t="s">
        <v>344</v>
      </c>
      <c r="B968" s="13" t="s">
        <v>24</v>
      </c>
      <c r="C968" s="13" t="s">
        <v>27</v>
      </c>
      <c r="D968" s="14">
        <v>324</v>
      </c>
      <c r="E968" s="15">
        <v>6</v>
      </c>
    </row>
    <row r="969" spans="1:5" x14ac:dyDescent="0.4">
      <c r="A969" s="13" t="s">
        <v>506</v>
      </c>
      <c r="B969" s="13" t="s">
        <v>20</v>
      </c>
      <c r="C969" s="13" t="s">
        <v>39</v>
      </c>
      <c r="D969" s="14">
        <v>324</v>
      </c>
      <c r="E969" s="15">
        <v>6</v>
      </c>
    </row>
    <row r="970" spans="1:5" x14ac:dyDescent="0.4">
      <c r="A970" s="13" t="s">
        <v>527</v>
      </c>
      <c r="B970" s="13" t="s">
        <v>20</v>
      </c>
      <c r="C970" s="13" t="s">
        <v>22</v>
      </c>
      <c r="D970" s="14">
        <v>324</v>
      </c>
      <c r="E970" s="15">
        <v>0</v>
      </c>
    </row>
    <row r="971" spans="1:5" x14ac:dyDescent="0.4">
      <c r="A971" s="13" t="s">
        <v>1552</v>
      </c>
      <c r="B971" s="13" t="s">
        <v>20</v>
      </c>
      <c r="C971" s="13" t="s">
        <v>44</v>
      </c>
      <c r="D971" s="14">
        <v>324</v>
      </c>
      <c r="E971" s="15">
        <v>0</v>
      </c>
    </row>
    <row r="972" spans="1:5" x14ac:dyDescent="0.4">
      <c r="A972" s="13" t="s">
        <v>924</v>
      </c>
      <c r="B972" s="13" t="s">
        <v>24</v>
      </c>
      <c r="C972" s="13" t="s">
        <v>53</v>
      </c>
      <c r="D972" s="14">
        <v>325</v>
      </c>
      <c r="E972" s="15">
        <v>1</v>
      </c>
    </row>
    <row r="973" spans="1:5" x14ac:dyDescent="0.4">
      <c r="A973" s="13" t="s">
        <v>279</v>
      </c>
      <c r="B973" s="13" t="s">
        <v>26</v>
      </c>
      <c r="C973" s="13" t="s">
        <v>32</v>
      </c>
      <c r="D973" s="14">
        <v>326</v>
      </c>
      <c r="E973" s="15">
        <v>0</v>
      </c>
    </row>
    <row r="974" spans="1:5" x14ac:dyDescent="0.4">
      <c r="A974" s="13" t="s">
        <v>422</v>
      </c>
      <c r="B974" s="13" t="s">
        <v>20</v>
      </c>
      <c r="C974" s="13" t="s">
        <v>40</v>
      </c>
      <c r="D974" s="14">
        <v>326</v>
      </c>
      <c r="E974" s="15">
        <v>1</v>
      </c>
    </row>
    <row r="975" spans="1:5" x14ac:dyDescent="0.4">
      <c r="A975" s="13" t="s">
        <v>599</v>
      </c>
      <c r="B975" s="13" t="s">
        <v>20</v>
      </c>
      <c r="C975" s="13" t="s">
        <v>44</v>
      </c>
      <c r="D975" s="14">
        <v>326</v>
      </c>
      <c r="E975" s="15">
        <v>0</v>
      </c>
    </row>
    <row r="976" spans="1:5" x14ac:dyDescent="0.4">
      <c r="A976" s="13" t="s">
        <v>1274</v>
      </c>
      <c r="B976" s="13" t="s">
        <v>26</v>
      </c>
      <c r="C976" s="13" t="s">
        <v>5</v>
      </c>
      <c r="D976" s="14">
        <v>326</v>
      </c>
      <c r="E976" s="15">
        <v>1</v>
      </c>
    </row>
    <row r="977" spans="1:5" x14ac:dyDescent="0.4">
      <c r="A977" s="13" t="s">
        <v>1789</v>
      </c>
      <c r="B977" s="13" t="s">
        <v>20</v>
      </c>
      <c r="C977" s="13" t="s">
        <v>44</v>
      </c>
      <c r="D977" s="14">
        <v>326</v>
      </c>
      <c r="E977" s="15">
        <v>1</v>
      </c>
    </row>
    <row r="978" spans="1:5" x14ac:dyDescent="0.4">
      <c r="A978" s="13" t="s">
        <v>1860</v>
      </c>
      <c r="B978" s="13" t="s">
        <v>26</v>
      </c>
      <c r="C978" s="13" t="s">
        <v>44</v>
      </c>
      <c r="D978" s="14">
        <v>326</v>
      </c>
      <c r="E978" s="15">
        <v>0</v>
      </c>
    </row>
    <row r="979" spans="1:5" x14ac:dyDescent="0.4">
      <c r="A979" s="13" t="s">
        <v>1957</v>
      </c>
      <c r="B979" s="13" t="s">
        <v>24</v>
      </c>
      <c r="C979" s="13" t="s">
        <v>39</v>
      </c>
      <c r="D979" s="14">
        <v>326</v>
      </c>
      <c r="E979" s="15">
        <v>1</v>
      </c>
    </row>
    <row r="980" spans="1:5" x14ac:dyDescent="0.4">
      <c r="A980" s="13" t="s">
        <v>1440</v>
      </c>
      <c r="B980" s="13" t="s">
        <v>26</v>
      </c>
      <c r="C980" s="13" t="s">
        <v>44</v>
      </c>
      <c r="D980" s="14">
        <v>327</v>
      </c>
      <c r="E980" s="15">
        <v>0</v>
      </c>
    </row>
    <row r="981" spans="1:5" x14ac:dyDescent="0.4">
      <c r="A981" s="13" t="s">
        <v>571</v>
      </c>
      <c r="B981" s="13" t="s">
        <v>26</v>
      </c>
      <c r="C981" s="13" t="s">
        <v>39</v>
      </c>
      <c r="D981" s="14">
        <v>328</v>
      </c>
      <c r="E981" s="15">
        <v>5</v>
      </c>
    </row>
    <row r="982" spans="1:5" x14ac:dyDescent="0.4">
      <c r="A982" s="13" t="s">
        <v>715</v>
      </c>
      <c r="B982" s="13" t="s">
        <v>20</v>
      </c>
      <c r="C982" s="13" t="s">
        <v>44</v>
      </c>
      <c r="D982" s="14">
        <v>328</v>
      </c>
      <c r="E982" s="15">
        <v>11</v>
      </c>
    </row>
    <row r="983" spans="1:5" x14ac:dyDescent="0.4">
      <c r="A983" s="13" t="s">
        <v>879</v>
      </c>
      <c r="B983" s="13" t="s">
        <v>24</v>
      </c>
      <c r="C983" s="13" t="s">
        <v>44</v>
      </c>
      <c r="D983" s="14">
        <v>329</v>
      </c>
      <c r="E983" s="15">
        <v>6</v>
      </c>
    </row>
    <row r="984" spans="1:5" x14ac:dyDescent="0.4">
      <c r="A984" s="13" t="s">
        <v>982</v>
      </c>
      <c r="B984" s="13" t="s">
        <v>26</v>
      </c>
      <c r="C984" s="13" t="s">
        <v>21</v>
      </c>
      <c r="D984" s="14">
        <v>329</v>
      </c>
      <c r="E984" s="15">
        <v>0</v>
      </c>
    </row>
    <row r="985" spans="1:5" x14ac:dyDescent="0.4">
      <c r="A985" s="13" t="s">
        <v>604</v>
      </c>
      <c r="B985" s="13" t="s">
        <v>26</v>
      </c>
      <c r="C985" s="13" t="s">
        <v>62</v>
      </c>
      <c r="D985" s="14">
        <v>330</v>
      </c>
      <c r="E985" s="15">
        <v>2</v>
      </c>
    </row>
    <row r="986" spans="1:5" x14ac:dyDescent="0.4">
      <c r="A986" s="13" t="s">
        <v>615</v>
      </c>
      <c r="B986" s="13" t="s">
        <v>24</v>
      </c>
      <c r="C986" s="13" t="s">
        <v>44</v>
      </c>
      <c r="D986" s="14">
        <v>330</v>
      </c>
      <c r="E986" s="15">
        <v>1</v>
      </c>
    </row>
    <row r="987" spans="1:5" x14ac:dyDescent="0.4">
      <c r="A987" s="13" t="s">
        <v>822</v>
      </c>
      <c r="B987" s="13" t="s">
        <v>20</v>
      </c>
      <c r="C987" s="13" t="s">
        <v>40</v>
      </c>
      <c r="D987" s="14">
        <v>330</v>
      </c>
      <c r="E987" s="15">
        <v>0</v>
      </c>
    </row>
    <row r="988" spans="1:5" x14ac:dyDescent="0.4">
      <c r="A988" s="13" t="s">
        <v>1161</v>
      </c>
      <c r="B988" s="13" t="s">
        <v>26</v>
      </c>
      <c r="C988" s="13" t="s">
        <v>33</v>
      </c>
      <c r="D988" s="14">
        <v>330</v>
      </c>
      <c r="E988" s="15">
        <v>4</v>
      </c>
    </row>
    <row r="989" spans="1:5" x14ac:dyDescent="0.4">
      <c r="A989" s="13" t="s">
        <v>1747</v>
      </c>
      <c r="B989" s="13" t="s">
        <v>24</v>
      </c>
      <c r="C989" s="13" t="s">
        <v>28</v>
      </c>
      <c r="D989" s="14">
        <v>330</v>
      </c>
      <c r="E989" s="15">
        <v>1</v>
      </c>
    </row>
    <row r="990" spans="1:5" x14ac:dyDescent="0.4">
      <c r="A990" s="13" t="s">
        <v>253</v>
      </c>
      <c r="B990" s="13" t="s">
        <v>20</v>
      </c>
      <c r="C990" s="13" t="s">
        <v>27</v>
      </c>
      <c r="D990" s="14">
        <v>332</v>
      </c>
      <c r="E990" s="15">
        <v>2</v>
      </c>
    </row>
    <row r="991" spans="1:5" x14ac:dyDescent="0.4">
      <c r="A991" s="13" t="s">
        <v>619</v>
      </c>
      <c r="B991" s="13" t="s">
        <v>20</v>
      </c>
      <c r="C991" s="13" t="s">
        <v>27</v>
      </c>
      <c r="D991" s="14">
        <v>332</v>
      </c>
      <c r="E991" s="15">
        <v>0</v>
      </c>
    </row>
    <row r="992" spans="1:5" x14ac:dyDescent="0.4">
      <c r="A992" s="13" t="s">
        <v>1521</v>
      </c>
      <c r="B992" s="13" t="s">
        <v>20</v>
      </c>
      <c r="C992" s="13" t="s">
        <v>27</v>
      </c>
      <c r="D992" s="14">
        <v>332</v>
      </c>
      <c r="E992" s="15">
        <v>1</v>
      </c>
    </row>
    <row r="993" spans="1:5" x14ac:dyDescent="0.4">
      <c r="A993" s="13" t="s">
        <v>1718</v>
      </c>
      <c r="B993" s="13" t="s">
        <v>26</v>
      </c>
      <c r="C993" s="13" t="s">
        <v>39</v>
      </c>
      <c r="D993" s="14">
        <v>332</v>
      </c>
      <c r="E993" s="15">
        <v>3</v>
      </c>
    </row>
    <row r="994" spans="1:5" x14ac:dyDescent="0.4">
      <c r="A994" s="13" t="s">
        <v>1848</v>
      </c>
      <c r="B994" s="13" t="s">
        <v>24</v>
      </c>
      <c r="C994" s="13" t="s">
        <v>32</v>
      </c>
      <c r="D994" s="14">
        <v>332</v>
      </c>
      <c r="E994" s="15">
        <v>12</v>
      </c>
    </row>
    <row r="995" spans="1:5" x14ac:dyDescent="0.4">
      <c r="A995" s="13" t="s">
        <v>1282</v>
      </c>
      <c r="B995" s="13" t="s">
        <v>20</v>
      </c>
      <c r="C995" s="13" t="s">
        <v>39</v>
      </c>
      <c r="D995" s="14">
        <v>333</v>
      </c>
      <c r="E995" s="15">
        <v>0</v>
      </c>
    </row>
    <row r="996" spans="1:5" x14ac:dyDescent="0.4">
      <c r="A996" s="13" t="s">
        <v>1856</v>
      </c>
      <c r="B996" s="13" t="s">
        <v>20</v>
      </c>
      <c r="C996" s="13" t="s">
        <v>5</v>
      </c>
      <c r="D996" s="14">
        <v>333</v>
      </c>
      <c r="E996" s="15">
        <v>0</v>
      </c>
    </row>
    <row r="997" spans="1:5" x14ac:dyDescent="0.4">
      <c r="A997" s="13" t="s">
        <v>338</v>
      </c>
      <c r="B997" s="13" t="s">
        <v>20</v>
      </c>
      <c r="C997" s="13" t="s">
        <v>44</v>
      </c>
      <c r="D997" s="14">
        <v>334</v>
      </c>
      <c r="E997" s="15">
        <v>8</v>
      </c>
    </row>
    <row r="998" spans="1:5" x14ac:dyDescent="0.4">
      <c r="A998" s="13" t="s">
        <v>533</v>
      </c>
      <c r="B998" s="13" t="s">
        <v>20</v>
      </c>
      <c r="C998" s="13" t="s">
        <v>39</v>
      </c>
      <c r="D998" s="14">
        <v>334</v>
      </c>
      <c r="E998" s="15">
        <v>1</v>
      </c>
    </row>
    <row r="999" spans="1:5" x14ac:dyDescent="0.4">
      <c r="A999" s="13" t="s">
        <v>928</v>
      </c>
      <c r="B999" s="13" t="s">
        <v>24</v>
      </c>
      <c r="C999" s="13" t="s">
        <v>44</v>
      </c>
      <c r="D999" s="14">
        <v>334</v>
      </c>
      <c r="E999" s="15">
        <v>1</v>
      </c>
    </row>
    <row r="1000" spans="1:5" x14ac:dyDescent="0.4">
      <c r="A1000" s="13" t="s">
        <v>1355</v>
      </c>
      <c r="B1000" s="13" t="s">
        <v>24</v>
      </c>
      <c r="C1000" s="13" t="s">
        <v>43</v>
      </c>
      <c r="D1000" s="14">
        <v>334</v>
      </c>
      <c r="E1000" s="15">
        <v>2</v>
      </c>
    </row>
    <row r="1001" spans="1:5" x14ac:dyDescent="0.4">
      <c r="A1001" s="13" t="s">
        <v>1702</v>
      </c>
      <c r="B1001" s="13" t="s">
        <v>24</v>
      </c>
      <c r="C1001" s="13" t="s">
        <v>30</v>
      </c>
      <c r="D1001" s="14">
        <v>334</v>
      </c>
      <c r="E1001" s="15">
        <v>4</v>
      </c>
    </row>
    <row r="1002" spans="1:5" x14ac:dyDescent="0.4">
      <c r="A1002" s="13" t="s">
        <v>394</v>
      </c>
      <c r="B1002" s="13" t="s">
        <v>26</v>
      </c>
      <c r="C1002" s="13" t="s">
        <v>30</v>
      </c>
      <c r="D1002" s="14">
        <v>335</v>
      </c>
      <c r="E1002" s="15">
        <v>0</v>
      </c>
    </row>
    <row r="1003" spans="1:5" x14ac:dyDescent="0.4">
      <c r="A1003" s="13" t="s">
        <v>142</v>
      </c>
      <c r="B1003" s="13" t="s">
        <v>26</v>
      </c>
      <c r="C1003" s="13" t="s">
        <v>28</v>
      </c>
      <c r="D1003" s="14">
        <v>336</v>
      </c>
      <c r="E1003" s="15">
        <v>0</v>
      </c>
    </row>
    <row r="1004" spans="1:5" x14ac:dyDescent="0.4">
      <c r="A1004" s="13" t="s">
        <v>653</v>
      </c>
      <c r="B1004" s="13" t="s">
        <v>26</v>
      </c>
      <c r="C1004" s="13" t="s">
        <v>30</v>
      </c>
      <c r="D1004" s="14">
        <v>336</v>
      </c>
      <c r="E1004" s="15">
        <v>0</v>
      </c>
    </row>
    <row r="1005" spans="1:5" x14ac:dyDescent="0.4">
      <c r="A1005" s="13" t="s">
        <v>963</v>
      </c>
      <c r="B1005" s="13" t="s">
        <v>24</v>
      </c>
      <c r="C1005" s="13" t="s">
        <v>27</v>
      </c>
      <c r="D1005" s="14">
        <v>336</v>
      </c>
      <c r="E1005" s="15">
        <v>2</v>
      </c>
    </row>
    <row r="1006" spans="1:5" x14ac:dyDescent="0.4">
      <c r="A1006" s="13" t="s">
        <v>1103</v>
      </c>
      <c r="B1006" s="13" t="s">
        <v>24</v>
      </c>
      <c r="C1006" s="13" t="s">
        <v>40</v>
      </c>
      <c r="D1006" s="14">
        <v>336</v>
      </c>
      <c r="E1006" s="15">
        <v>0</v>
      </c>
    </row>
    <row r="1007" spans="1:5" x14ac:dyDescent="0.4">
      <c r="A1007" s="13" t="s">
        <v>447</v>
      </c>
      <c r="B1007" s="13" t="s">
        <v>20</v>
      </c>
      <c r="C1007" s="13" t="s">
        <v>5</v>
      </c>
      <c r="D1007" s="14">
        <v>337</v>
      </c>
      <c r="E1007" s="15">
        <v>3</v>
      </c>
    </row>
    <row r="1008" spans="1:5" x14ac:dyDescent="0.4">
      <c r="A1008" s="13" t="s">
        <v>1162</v>
      </c>
      <c r="B1008" s="13" t="s">
        <v>20</v>
      </c>
      <c r="C1008" s="13" t="s">
        <v>39</v>
      </c>
      <c r="D1008" s="14">
        <v>337</v>
      </c>
      <c r="E1008" s="15">
        <v>7</v>
      </c>
    </row>
    <row r="1009" spans="1:5" x14ac:dyDescent="0.4">
      <c r="A1009" s="13" t="s">
        <v>1952</v>
      </c>
      <c r="B1009" s="13" t="s">
        <v>26</v>
      </c>
      <c r="C1009" s="13" t="s">
        <v>21</v>
      </c>
      <c r="D1009" s="14">
        <v>337</v>
      </c>
      <c r="E1009" s="15">
        <v>0</v>
      </c>
    </row>
    <row r="1010" spans="1:5" x14ac:dyDescent="0.4">
      <c r="A1010" s="13" t="s">
        <v>1959</v>
      </c>
      <c r="B1010" s="13" t="s">
        <v>24</v>
      </c>
      <c r="C1010" s="13" t="s">
        <v>44</v>
      </c>
      <c r="D1010" s="14">
        <v>337</v>
      </c>
      <c r="E1010" s="15">
        <v>4</v>
      </c>
    </row>
    <row r="1011" spans="1:5" x14ac:dyDescent="0.4">
      <c r="A1011" s="13" t="s">
        <v>1966</v>
      </c>
      <c r="B1011" s="13" t="s">
        <v>20</v>
      </c>
      <c r="C1011" s="13" t="s">
        <v>21</v>
      </c>
      <c r="D1011" s="14">
        <v>337</v>
      </c>
      <c r="E1011" s="15">
        <v>7</v>
      </c>
    </row>
    <row r="1012" spans="1:5" x14ac:dyDescent="0.4">
      <c r="A1012" s="13" t="s">
        <v>291</v>
      </c>
      <c r="B1012" s="13" t="s">
        <v>24</v>
      </c>
      <c r="C1012" s="13" t="s">
        <v>39</v>
      </c>
      <c r="D1012" s="14">
        <v>338</v>
      </c>
      <c r="E1012" s="15">
        <v>0</v>
      </c>
    </row>
    <row r="1013" spans="1:5" x14ac:dyDescent="0.4">
      <c r="A1013" s="13" t="s">
        <v>535</v>
      </c>
      <c r="B1013" s="13" t="s">
        <v>24</v>
      </c>
      <c r="C1013" s="13" t="s">
        <v>66</v>
      </c>
      <c r="D1013" s="14">
        <v>338</v>
      </c>
      <c r="E1013" s="15">
        <v>1</v>
      </c>
    </row>
    <row r="1014" spans="1:5" x14ac:dyDescent="0.4">
      <c r="A1014" s="13" t="s">
        <v>23</v>
      </c>
      <c r="B1014" s="13" t="s">
        <v>26</v>
      </c>
      <c r="C1014" s="13" t="s">
        <v>27</v>
      </c>
      <c r="D1014" s="14">
        <v>339</v>
      </c>
      <c r="E1014" s="15">
        <v>0</v>
      </c>
    </row>
    <row r="1015" spans="1:5" x14ac:dyDescent="0.4">
      <c r="A1015" s="13" t="s">
        <v>631</v>
      </c>
      <c r="B1015" s="13" t="s">
        <v>20</v>
      </c>
      <c r="C1015" s="13" t="s">
        <v>28</v>
      </c>
      <c r="D1015" s="14">
        <v>339</v>
      </c>
      <c r="E1015" s="15">
        <v>2</v>
      </c>
    </row>
    <row r="1016" spans="1:5" x14ac:dyDescent="0.4">
      <c r="A1016" s="13" t="s">
        <v>896</v>
      </c>
      <c r="B1016" s="13" t="s">
        <v>24</v>
      </c>
      <c r="C1016" s="13" t="s">
        <v>40</v>
      </c>
      <c r="D1016" s="14">
        <v>339</v>
      </c>
      <c r="E1016" s="15">
        <v>2</v>
      </c>
    </row>
    <row r="1017" spans="1:5" x14ac:dyDescent="0.4">
      <c r="A1017" s="13" t="s">
        <v>1330</v>
      </c>
      <c r="B1017" s="13" t="s">
        <v>24</v>
      </c>
      <c r="C1017" s="13" t="s">
        <v>27</v>
      </c>
      <c r="D1017" s="14">
        <v>339</v>
      </c>
      <c r="E1017" s="15">
        <v>6</v>
      </c>
    </row>
    <row r="1018" spans="1:5" x14ac:dyDescent="0.4">
      <c r="A1018" s="13" t="s">
        <v>1666</v>
      </c>
      <c r="B1018" s="13" t="s">
        <v>20</v>
      </c>
      <c r="C1018" s="13" t="s">
        <v>25</v>
      </c>
      <c r="D1018" s="14">
        <v>339</v>
      </c>
      <c r="E1018" s="15">
        <v>2</v>
      </c>
    </row>
    <row r="1019" spans="1:5" x14ac:dyDescent="0.4">
      <c r="A1019" s="13" t="s">
        <v>1764</v>
      </c>
      <c r="B1019" s="13" t="s">
        <v>24</v>
      </c>
      <c r="C1019" s="13" t="s">
        <v>53</v>
      </c>
      <c r="D1019" s="14">
        <v>339</v>
      </c>
      <c r="E1019" s="15">
        <v>0</v>
      </c>
    </row>
    <row r="1020" spans="1:5" x14ac:dyDescent="0.4">
      <c r="A1020" s="13" t="s">
        <v>1169</v>
      </c>
      <c r="B1020" s="13" t="s">
        <v>24</v>
      </c>
      <c r="C1020" s="13" t="s">
        <v>44</v>
      </c>
      <c r="D1020" s="14">
        <v>340</v>
      </c>
      <c r="E1020" s="15">
        <v>0</v>
      </c>
    </row>
    <row r="1021" spans="1:5" x14ac:dyDescent="0.4">
      <c r="A1021" s="13" t="s">
        <v>1279</v>
      </c>
      <c r="B1021" s="13" t="s">
        <v>24</v>
      </c>
      <c r="C1021" s="13" t="s">
        <v>27</v>
      </c>
      <c r="D1021" s="14">
        <v>340</v>
      </c>
      <c r="E1021" s="15">
        <v>1</v>
      </c>
    </row>
    <row r="1022" spans="1:5" x14ac:dyDescent="0.4">
      <c r="A1022" s="13" t="s">
        <v>447</v>
      </c>
      <c r="B1022" s="13" t="s">
        <v>24</v>
      </c>
      <c r="C1022" s="13" t="s">
        <v>111</v>
      </c>
      <c r="D1022" s="14">
        <v>341</v>
      </c>
      <c r="E1022" s="15">
        <v>0</v>
      </c>
    </row>
    <row r="1023" spans="1:5" x14ac:dyDescent="0.4">
      <c r="A1023" s="13" t="s">
        <v>1045</v>
      </c>
      <c r="B1023" s="13" t="s">
        <v>26</v>
      </c>
      <c r="C1023" s="13" t="s">
        <v>111</v>
      </c>
      <c r="D1023" s="14">
        <v>341</v>
      </c>
      <c r="E1023" s="15">
        <v>1</v>
      </c>
    </row>
    <row r="1024" spans="1:5" x14ac:dyDescent="0.4">
      <c r="A1024" s="13" t="s">
        <v>1550</v>
      </c>
      <c r="B1024" s="13" t="s">
        <v>24</v>
      </c>
      <c r="C1024" s="13" t="s">
        <v>44</v>
      </c>
      <c r="D1024" s="14">
        <v>341</v>
      </c>
      <c r="E1024" s="15">
        <v>6</v>
      </c>
    </row>
    <row r="1025" spans="1:5" x14ac:dyDescent="0.4">
      <c r="A1025" s="13" t="s">
        <v>487</v>
      </c>
      <c r="B1025" s="13" t="s">
        <v>20</v>
      </c>
      <c r="C1025" s="13" t="s">
        <v>30</v>
      </c>
      <c r="D1025" s="14">
        <v>342</v>
      </c>
      <c r="E1025" s="15">
        <v>3</v>
      </c>
    </row>
    <row r="1026" spans="1:5" x14ac:dyDescent="0.4">
      <c r="A1026" s="13" t="s">
        <v>1743</v>
      </c>
      <c r="B1026" s="13" t="s">
        <v>24</v>
      </c>
      <c r="C1026" s="13" t="s">
        <v>39</v>
      </c>
      <c r="D1026" s="14">
        <v>342</v>
      </c>
      <c r="E1026" s="15">
        <v>1</v>
      </c>
    </row>
    <row r="1027" spans="1:5" x14ac:dyDescent="0.4">
      <c r="A1027" s="13" t="s">
        <v>1868</v>
      </c>
      <c r="B1027" s="13" t="s">
        <v>20</v>
      </c>
      <c r="C1027" s="13" t="s">
        <v>43</v>
      </c>
      <c r="D1027" s="14">
        <v>342</v>
      </c>
      <c r="E1027" s="15">
        <v>12</v>
      </c>
    </row>
    <row r="1028" spans="1:5" x14ac:dyDescent="0.4">
      <c r="A1028" s="13" t="s">
        <v>1911</v>
      </c>
      <c r="B1028" s="13" t="s">
        <v>20</v>
      </c>
      <c r="C1028" s="13" t="s">
        <v>30</v>
      </c>
      <c r="D1028" s="14">
        <v>342</v>
      </c>
      <c r="E1028" s="15">
        <v>0</v>
      </c>
    </row>
    <row r="1029" spans="1:5" x14ac:dyDescent="0.4">
      <c r="A1029" s="13" t="s">
        <v>1570</v>
      </c>
      <c r="B1029" s="13" t="s">
        <v>26</v>
      </c>
      <c r="C1029" s="13" t="s">
        <v>44</v>
      </c>
      <c r="D1029" s="14">
        <v>343</v>
      </c>
      <c r="E1029" s="15">
        <v>0</v>
      </c>
    </row>
    <row r="1030" spans="1:5" x14ac:dyDescent="0.4">
      <c r="A1030" s="13" t="s">
        <v>1673</v>
      </c>
      <c r="B1030" s="13" t="s">
        <v>26</v>
      </c>
      <c r="C1030" s="13" t="s">
        <v>21</v>
      </c>
      <c r="D1030" s="14">
        <v>343</v>
      </c>
      <c r="E1030" s="15">
        <v>0</v>
      </c>
    </row>
    <row r="1031" spans="1:5" x14ac:dyDescent="0.4">
      <c r="A1031" s="13" t="s">
        <v>1682</v>
      </c>
      <c r="B1031" s="13" t="s">
        <v>26</v>
      </c>
      <c r="C1031" s="13" t="s">
        <v>44</v>
      </c>
      <c r="D1031" s="14">
        <v>343</v>
      </c>
      <c r="E1031" s="15">
        <v>17</v>
      </c>
    </row>
    <row r="1032" spans="1:5" x14ac:dyDescent="0.4">
      <c r="A1032" s="13" t="s">
        <v>1715</v>
      </c>
      <c r="B1032" s="13" t="s">
        <v>20</v>
      </c>
      <c r="C1032" s="13" t="s">
        <v>44</v>
      </c>
      <c r="D1032" s="14">
        <v>343</v>
      </c>
      <c r="E1032" s="15">
        <v>0</v>
      </c>
    </row>
    <row r="1033" spans="1:5" x14ac:dyDescent="0.4">
      <c r="A1033" s="13" t="s">
        <v>1201</v>
      </c>
      <c r="B1033" s="13" t="s">
        <v>24</v>
      </c>
      <c r="C1033" s="13" t="s">
        <v>30</v>
      </c>
      <c r="D1033" s="14">
        <v>344</v>
      </c>
      <c r="E1033" s="15">
        <v>0</v>
      </c>
    </row>
    <row r="1034" spans="1:5" x14ac:dyDescent="0.4">
      <c r="A1034" s="13" t="s">
        <v>153</v>
      </c>
      <c r="B1034" s="13" t="s">
        <v>20</v>
      </c>
      <c r="C1034" s="13" t="s">
        <v>39</v>
      </c>
      <c r="D1034" s="14">
        <v>345</v>
      </c>
      <c r="E1034" s="15">
        <v>0</v>
      </c>
    </row>
    <row r="1035" spans="1:5" x14ac:dyDescent="0.4">
      <c r="A1035" s="13" t="s">
        <v>1724</v>
      </c>
      <c r="B1035" s="13" t="s">
        <v>20</v>
      </c>
      <c r="C1035" s="13" t="s">
        <v>44</v>
      </c>
      <c r="D1035" s="14">
        <v>345</v>
      </c>
      <c r="E1035" s="15">
        <v>0</v>
      </c>
    </row>
    <row r="1036" spans="1:5" x14ac:dyDescent="0.4">
      <c r="A1036" s="13" t="s">
        <v>134</v>
      </c>
      <c r="B1036" s="13" t="s">
        <v>26</v>
      </c>
      <c r="C1036" s="13" t="s">
        <v>32</v>
      </c>
      <c r="D1036" s="14">
        <v>346</v>
      </c>
      <c r="E1036" s="15">
        <v>4</v>
      </c>
    </row>
    <row r="1037" spans="1:5" x14ac:dyDescent="0.4">
      <c r="A1037" s="13" t="s">
        <v>531</v>
      </c>
      <c r="B1037" s="13" t="s">
        <v>26</v>
      </c>
      <c r="C1037" s="13" t="s">
        <v>5</v>
      </c>
      <c r="D1037" s="14">
        <v>347</v>
      </c>
      <c r="E1037" s="15">
        <v>1</v>
      </c>
    </row>
    <row r="1038" spans="1:5" x14ac:dyDescent="0.4">
      <c r="A1038" s="13" t="s">
        <v>1260</v>
      </c>
      <c r="B1038" s="13" t="s">
        <v>26</v>
      </c>
      <c r="C1038" s="13" t="s">
        <v>44</v>
      </c>
      <c r="D1038" s="14">
        <v>347</v>
      </c>
      <c r="E1038" s="15">
        <v>0</v>
      </c>
    </row>
    <row r="1039" spans="1:5" x14ac:dyDescent="0.4">
      <c r="A1039" s="13" t="s">
        <v>1389</v>
      </c>
      <c r="B1039" s="13" t="s">
        <v>26</v>
      </c>
      <c r="C1039" s="13" t="s">
        <v>5</v>
      </c>
      <c r="D1039" s="14">
        <v>347</v>
      </c>
      <c r="E1039" s="15">
        <v>3</v>
      </c>
    </row>
    <row r="1040" spans="1:5" x14ac:dyDescent="0.4">
      <c r="A1040" s="13" t="s">
        <v>1893</v>
      </c>
      <c r="B1040" s="13" t="s">
        <v>24</v>
      </c>
      <c r="C1040" s="13" t="s">
        <v>22</v>
      </c>
      <c r="D1040" s="14">
        <v>347</v>
      </c>
      <c r="E1040" s="15">
        <v>0</v>
      </c>
    </row>
    <row r="1041" spans="1:5" x14ac:dyDescent="0.4">
      <c r="A1041" s="13" t="s">
        <v>1931</v>
      </c>
      <c r="B1041" s="13" t="s">
        <v>24</v>
      </c>
      <c r="C1041" s="13" t="s">
        <v>30</v>
      </c>
      <c r="D1041" s="14">
        <v>347</v>
      </c>
      <c r="E1041" s="15">
        <v>2</v>
      </c>
    </row>
    <row r="1042" spans="1:5" x14ac:dyDescent="0.4">
      <c r="A1042" s="13" t="s">
        <v>1475</v>
      </c>
      <c r="B1042" s="13" t="s">
        <v>20</v>
      </c>
      <c r="C1042" s="13" t="s">
        <v>44</v>
      </c>
      <c r="D1042" s="14">
        <v>348</v>
      </c>
      <c r="E1042" s="15">
        <v>2</v>
      </c>
    </row>
    <row r="1043" spans="1:5" x14ac:dyDescent="0.4">
      <c r="A1043" s="13" t="s">
        <v>1167</v>
      </c>
      <c r="B1043" s="13" t="s">
        <v>20</v>
      </c>
      <c r="C1043" s="13" t="s">
        <v>39</v>
      </c>
      <c r="D1043" s="14">
        <v>349</v>
      </c>
      <c r="E1043" s="15">
        <v>2</v>
      </c>
    </row>
    <row r="1044" spans="1:5" x14ac:dyDescent="0.4">
      <c r="A1044" s="13" t="s">
        <v>1932</v>
      </c>
      <c r="B1044" s="13" t="s">
        <v>24</v>
      </c>
      <c r="C1044" s="13" t="s">
        <v>62</v>
      </c>
      <c r="D1044" s="14">
        <v>349</v>
      </c>
      <c r="E1044" s="15">
        <v>2</v>
      </c>
    </row>
    <row r="1045" spans="1:5" x14ac:dyDescent="0.4">
      <c r="A1045" s="13" t="s">
        <v>351</v>
      </c>
      <c r="B1045" s="13" t="s">
        <v>26</v>
      </c>
      <c r="C1045" s="13" t="s">
        <v>66</v>
      </c>
      <c r="D1045" s="14">
        <v>350</v>
      </c>
      <c r="E1045" s="15">
        <v>2</v>
      </c>
    </row>
    <row r="1046" spans="1:5" x14ac:dyDescent="0.4">
      <c r="A1046" s="13" t="s">
        <v>1332</v>
      </c>
      <c r="B1046" s="13" t="s">
        <v>24</v>
      </c>
      <c r="C1046" s="13" t="s">
        <v>43</v>
      </c>
      <c r="D1046" s="14">
        <v>350</v>
      </c>
      <c r="E1046" s="15">
        <v>3</v>
      </c>
    </row>
    <row r="1047" spans="1:5" x14ac:dyDescent="0.4">
      <c r="A1047" s="13" t="s">
        <v>1767</v>
      </c>
      <c r="B1047" s="13" t="s">
        <v>24</v>
      </c>
      <c r="C1047" s="13" t="s">
        <v>5</v>
      </c>
      <c r="D1047" s="14">
        <v>350</v>
      </c>
      <c r="E1047" s="15">
        <v>1</v>
      </c>
    </row>
    <row r="1048" spans="1:5" x14ac:dyDescent="0.4">
      <c r="A1048" s="13" t="s">
        <v>1089</v>
      </c>
      <c r="B1048" s="13" t="s">
        <v>24</v>
      </c>
      <c r="C1048" s="13" t="s">
        <v>44</v>
      </c>
      <c r="D1048" s="14">
        <v>351</v>
      </c>
      <c r="E1048" s="15">
        <v>2</v>
      </c>
    </row>
    <row r="1049" spans="1:5" x14ac:dyDescent="0.4">
      <c r="A1049" s="13" t="s">
        <v>464</v>
      </c>
      <c r="B1049" s="13" t="s">
        <v>24</v>
      </c>
      <c r="C1049" s="13" t="s">
        <v>21</v>
      </c>
      <c r="D1049" s="14">
        <v>352</v>
      </c>
      <c r="E1049" s="15">
        <v>1</v>
      </c>
    </row>
    <row r="1050" spans="1:5" x14ac:dyDescent="0.4">
      <c r="A1050" s="13" t="s">
        <v>578</v>
      </c>
      <c r="B1050" s="13" t="s">
        <v>20</v>
      </c>
      <c r="C1050" s="13" t="s">
        <v>5</v>
      </c>
      <c r="D1050" s="14">
        <v>352</v>
      </c>
      <c r="E1050" s="15">
        <v>0</v>
      </c>
    </row>
    <row r="1051" spans="1:5" x14ac:dyDescent="0.4">
      <c r="A1051" s="13" t="s">
        <v>670</v>
      </c>
      <c r="B1051" s="13" t="s">
        <v>26</v>
      </c>
      <c r="C1051" s="13" t="s">
        <v>44</v>
      </c>
      <c r="D1051" s="14">
        <v>352</v>
      </c>
      <c r="E1051" s="15">
        <v>0</v>
      </c>
    </row>
    <row r="1052" spans="1:5" x14ac:dyDescent="0.4">
      <c r="A1052" s="13" t="s">
        <v>721</v>
      </c>
      <c r="B1052" s="13" t="s">
        <v>20</v>
      </c>
      <c r="C1052" s="13" t="s">
        <v>5</v>
      </c>
      <c r="D1052" s="14">
        <v>352</v>
      </c>
      <c r="E1052" s="15">
        <v>9</v>
      </c>
    </row>
    <row r="1053" spans="1:5" x14ac:dyDescent="0.4">
      <c r="A1053" s="13" t="s">
        <v>1625</v>
      </c>
      <c r="B1053" s="13" t="s">
        <v>26</v>
      </c>
      <c r="C1053" s="13" t="s">
        <v>28</v>
      </c>
      <c r="D1053" s="14">
        <v>352</v>
      </c>
      <c r="E1053" s="15">
        <v>2</v>
      </c>
    </row>
    <row r="1054" spans="1:5" x14ac:dyDescent="0.4">
      <c r="A1054" s="13" t="s">
        <v>1864</v>
      </c>
      <c r="B1054" s="13" t="s">
        <v>24</v>
      </c>
      <c r="C1054" s="13" t="s">
        <v>62</v>
      </c>
      <c r="D1054" s="14">
        <v>353</v>
      </c>
      <c r="E1054" s="15">
        <v>1</v>
      </c>
    </row>
    <row r="1055" spans="1:5" x14ac:dyDescent="0.4">
      <c r="A1055" s="13" t="s">
        <v>1903</v>
      </c>
      <c r="B1055" s="13" t="s">
        <v>20</v>
      </c>
      <c r="C1055" s="13" t="s">
        <v>62</v>
      </c>
      <c r="D1055" s="14">
        <v>354</v>
      </c>
      <c r="E1055" s="15">
        <v>1</v>
      </c>
    </row>
    <row r="1056" spans="1:5" x14ac:dyDescent="0.4">
      <c r="A1056" s="13" t="s">
        <v>460</v>
      </c>
      <c r="B1056" s="13" t="s">
        <v>20</v>
      </c>
      <c r="C1056" s="13" t="s">
        <v>44</v>
      </c>
      <c r="D1056" s="14">
        <v>356</v>
      </c>
      <c r="E1056" s="15">
        <v>4</v>
      </c>
    </row>
    <row r="1057" spans="1:5" x14ac:dyDescent="0.4">
      <c r="A1057" s="13" t="s">
        <v>618</v>
      </c>
      <c r="B1057" s="13" t="s">
        <v>20</v>
      </c>
      <c r="C1057" s="13" t="s">
        <v>43</v>
      </c>
      <c r="D1057" s="14">
        <v>356</v>
      </c>
      <c r="E1057" s="15">
        <v>0</v>
      </c>
    </row>
    <row r="1058" spans="1:5" x14ac:dyDescent="0.4">
      <c r="A1058" s="13" t="s">
        <v>900</v>
      </c>
      <c r="B1058" s="13" t="s">
        <v>24</v>
      </c>
      <c r="C1058" s="13" t="s">
        <v>32</v>
      </c>
      <c r="D1058" s="14">
        <v>356</v>
      </c>
      <c r="E1058" s="15">
        <v>0</v>
      </c>
    </row>
    <row r="1059" spans="1:5" x14ac:dyDescent="0.4">
      <c r="A1059" s="13" t="s">
        <v>1226</v>
      </c>
      <c r="B1059" s="13" t="s">
        <v>20</v>
      </c>
      <c r="C1059" s="13" t="s">
        <v>28</v>
      </c>
      <c r="D1059" s="14">
        <v>357</v>
      </c>
      <c r="E1059" s="15">
        <v>2</v>
      </c>
    </row>
    <row r="1060" spans="1:5" x14ac:dyDescent="0.4">
      <c r="A1060" s="13" t="s">
        <v>1420</v>
      </c>
      <c r="B1060" s="13" t="s">
        <v>20</v>
      </c>
      <c r="C1060" s="13" t="s">
        <v>30</v>
      </c>
      <c r="D1060" s="14">
        <v>357</v>
      </c>
      <c r="E1060" s="15">
        <v>3</v>
      </c>
    </row>
    <row r="1061" spans="1:5" x14ac:dyDescent="0.4">
      <c r="A1061" s="13" t="s">
        <v>1659</v>
      </c>
      <c r="B1061" s="13" t="s">
        <v>20</v>
      </c>
      <c r="C1061" s="13" t="s">
        <v>30</v>
      </c>
      <c r="D1061" s="14">
        <v>357</v>
      </c>
      <c r="E1061" s="15">
        <v>2</v>
      </c>
    </row>
    <row r="1062" spans="1:5" x14ac:dyDescent="0.4">
      <c r="A1062" s="13" t="s">
        <v>133</v>
      </c>
      <c r="B1062" s="13" t="s">
        <v>20</v>
      </c>
      <c r="C1062" s="13" t="s">
        <v>30</v>
      </c>
      <c r="D1062" s="14">
        <v>358</v>
      </c>
      <c r="E1062" s="15">
        <v>3</v>
      </c>
    </row>
    <row r="1063" spans="1:5" x14ac:dyDescent="0.4">
      <c r="A1063" s="13" t="s">
        <v>565</v>
      </c>
      <c r="B1063" s="13" t="s">
        <v>24</v>
      </c>
      <c r="C1063" s="13" t="s">
        <v>44</v>
      </c>
      <c r="D1063" s="14">
        <v>358</v>
      </c>
      <c r="E1063" s="15">
        <v>0</v>
      </c>
    </row>
    <row r="1064" spans="1:5" x14ac:dyDescent="0.4">
      <c r="A1064" s="13" t="s">
        <v>985</v>
      </c>
      <c r="B1064" s="13" t="s">
        <v>26</v>
      </c>
      <c r="C1064" s="13" t="s">
        <v>32</v>
      </c>
      <c r="D1064" s="14">
        <v>358</v>
      </c>
      <c r="E1064" s="15">
        <v>0</v>
      </c>
    </row>
    <row r="1065" spans="1:5" x14ac:dyDescent="0.4">
      <c r="A1065" s="13" t="s">
        <v>1319</v>
      </c>
      <c r="B1065" s="13" t="s">
        <v>20</v>
      </c>
      <c r="C1065" s="13" t="s">
        <v>40</v>
      </c>
      <c r="D1065" s="14">
        <v>358</v>
      </c>
      <c r="E1065" s="15">
        <v>3</v>
      </c>
    </row>
    <row r="1066" spans="1:5" x14ac:dyDescent="0.4">
      <c r="A1066" s="13" t="s">
        <v>1422</v>
      </c>
      <c r="B1066" s="13" t="s">
        <v>24</v>
      </c>
      <c r="C1066" s="13" t="s">
        <v>30</v>
      </c>
      <c r="D1066" s="14">
        <v>358</v>
      </c>
      <c r="E1066" s="15">
        <v>0</v>
      </c>
    </row>
    <row r="1067" spans="1:5" x14ac:dyDescent="0.4">
      <c r="A1067" s="13" t="s">
        <v>1543</v>
      </c>
      <c r="B1067" s="13" t="s">
        <v>24</v>
      </c>
      <c r="C1067" s="13" t="s">
        <v>34</v>
      </c>
      <c r="D1067" s="14">
        <v>358</v>
      </c>
      <c r="E1067" s="15">
        <v>5</v>
      </c>
    </row>
    <row r="1068" spans="1:5" x14ac:dyDescent="0.4">
      <c r="A1068" s="13" t="s">
        <v>1810</v>
      </c>
      <c r="B1068" s="13" t="s">
        <v>24</v>
      </c>
      <c r="C1068" s="13" t="s">
        <v>66</v>
      </c>
      <c r="D1068" s="14">
        <v>358</v>
      </c>
      <c r="E1068" s="15">
        <v>11</v>
      </c>
    </row>
    <row r="1069" spans="1:5" x14ac:dyDescent="0.4">
      <c r="A1069" s="13" t="s">
        <v>446</v>
      </c>
      <c r="B1069" s="13" t="s">
        <v>20</v>
      </c>
      <c r="C1069" s="13" t="s">
        <v>62</v>
      </c>
      <c r="D1069" s="14">
        <v>359</v>
      </c>
      <c r="E1069" s="15">
        <v>4</v>
      </c>
    </row>
    <row r="1070" spans="1:5" x14ac:dyDescent="0.4">
      <c r="A1070" s="13" t="s">
        <v>638</v>
      </c>
      <c r="B1070" s="13" t="s">
        <v>26</v>
      </c>
      <c r="C1070" s="13" t="s">
        <v>53</v>
      </c>
      <c r="D1070" s="14">
        <v>359</v>
      </c>
      <c r="E1070" s="15">
        <v>7</v>
      </c>
    </row>
    <row r="1071" spans="1:5" x14ac:dyDescent="0.4">
      <c r="A1071" s="13" t="s">
        <v>801</v>
      </c>
      <c r="B1071" s="13" t="s">
        <v>26</v>
      </c>
      <c r="C1071" s="13" t="s">
        <v>30</v>
      </c>
      <c r="D1071" s="14">
        <v>359</v>
      </c>
      <c r="E1071" s="15">
        <v>2</v>
      </c>
    </row>
    <row r="1072" spans="1:5" x14ac:dyDescent="0.4">
      <c r="A1072" s="13" t="s">
        <v>37</v>
      </c>
      <c r="B1072" s="13" t="s">
        <v>24</v>
      </c>
      <c r="C1072" s="13" t="s">
        <v>27</v>
      </c>
      <c r="D1072" s="14">
        <v>360</v>
      </c>
      <c r="E1072" s="15">
        <v>2</v>
      </c>
    </row>
    <row r="1073" spans="1:5" x14ac:dyDescent="0.4">
      <c r="A1073" s="13" t="s">
        <v>384</v>
      </c>
      <c r="B1073" s="13" t="s">
        <v>20</v>
      </c>
      <c r="C1073" s="13" t="s">
        <v>40</v>
      </c>
      <c r="D1073" s="14">
        <v>360</v>
      </c>
      <c r="E1073" s="15">
        <v>1</v>
      </c>
    </row>
    <row r="1074" spans="1:5" x14ac:dyDescent="0.4">
      <c r="A1074" s="13" t="s">
        <v>732</v>
      </c>
      <c r="B1074" s="13" t="s">
        <v>26</v>
      </c>
      <c r="C1074" s="13" t="s">
        <v>34</v>
      </c>
      <c r="D1074" s="14">
        <v>360</v>
      </c>
      <c r="E1074" s="15">
        <v>1</v>
      </c>
    </row>
    <row r="1075" spans="1:5" x14ac:dyDescent="0.4">
      <c r="A1075" s="13" t="s">
        <v>1750</v>
      </c>
      <c r="B1075" s="13" t="s">
        <v>26</v>
      </c>
      <c r="C1075" s="13" t="s">
        <v>44</v>
      </c>
      <c r="D1075" s="14">
        <v>360</v>
      </c>
      <c r="E1075" s="15">
        <v>0</v>
      </c>
    </row>
    <row r="1076" spans="1:5" x14ac:dyDescent="0.4">
      <c r="A1076" s="13" t="s">
        <v>1053</v>
      </c>
      <c r="B1076" s="13" t="s">
        <v>20</v>
      </c>
      <c r="C1076" s="13" t="s">
        <v>39</v>
      </c>
      <c r="D1076" s="14">
        <v>361</v>
      </c>
      <c r="E1076" s="15">
        <v>4</v>
      </c>
    </row>
    <row r="1077" spans="1:5" x14ac:dyDescent="0.4">
      <c r="A1077" s="13" t="s">
        <v>1145</v>
      </c>
      <c r="B1077" s="13" t="s">
        <v>26</v>
      </c>
      <c r="C1077" s="13" t="s">
        <v>44</v>
      </c>
      <c r="D1077" s="14">
        <v>361</v>
      </c>
      <c r="E1077" s="15">
        <v>3</v>
      </c>
    </row>
    <row r="1078" spans="1:5" x14ac:dyDescent="0.4">
      <c r="A1078" s="13" t="s">
        <v>284</v>
      </c>
      <c r="B1078" s="13" t="s">
        <v>26</v>
      </c>
      <c r="C1078" s="13" t="s">
        <v>27</v>
      </c>
      <c r="D1078" s="14">
        <v>362</v>
      </c>
      <c r="E1078" s="15">
        <v>1</v>
      </c>
    </row>
    <row r="1079" spans="1:5" x14ac:dyDescent="0.4">
      <c r="A1079" s="13" t="s">
        <v>866</v>
      </c>
      <c r="B1079" s="13" t="s">
        <v>24</v>
      </c>
      <c r="C1079" s="13" t="s">
        <v>28</v>
      </c>
      <c r="D1079" s="14">
        <v>362</v>
      </c>
      <c r="E1079" s="15">
        <v>0</v>
      </c>
    </row>
    <row r="1080" spans="1:5" x14ac:dyDescent="0.4">
      <c r="A1080" s="13" t="s">
        <v>704</v>
      </c>
      <c r="B1080" s="13" t="s">
        <v>26</v>
      </c>
      <c r="C1080" s="13" t="s">
        <v>30</v>
      </c>
      <c r="D1080" s="14">
        <v>363</v>
      </c>
      <c r="E1080" s="15">
        <v>3</v>
      </c>
    </row>
    <row r="1081" spans="1:5" x14ac:dyDescent="0.4">
      <c r="A1081" s="13" t="s">
        <v>722</v>
      </c>
      <c r="B1081" s="13" t="s">
        <v>26</v>
      </c>
      <c r="C1081" s="13" t="s">
        <v>25</v>
      </c>
      <c r="D1081" s="14">
        <v>363</v>
      </c>
      <c r="E1081" s="15">
        <v>0</v>
      </c>
    </row>
    <row r="1082" spans="1:5" x14ac:dyDescent="0.4">
      <c r="A1082" s="13" t="s">
        <v>1062</v>
      </c>
      <c r="B1082" s="13" t="s">
        <v>24</v>
      </c>
      <c r="C1082" s="13" t="s">
        <v>39</v>
      </c>
      <c r="D1082" s="14">
        <v>363</v>
      </c>
      <c r="E1082" s="15">
        <v>5</v>
      </c>
    </row>
    <row r="1083" spans="1:5" x14ac:dyDescent="0.4">
      <c r="A1083" s="13" t="s">
        <v>1508</v>
      </c>
      <c r="B1083" s="13" t="s">
        <v>24</v>
      </c>
      <c r="C1083" s="13" t="s">
        <v>39</v>
      </c>
      <c r="D1083" s="14">
        <v>363</v>
      </c>
      <c r="E1083" s="15">
        <v>0</v>
      </c>
    </row>
    <row r="1084" spans="1:5" x14ac:dyDescent="0.4">
      <c r="A1084" s="13" t="s">
        <v>87</v>
      </c>
      <c r="B1084" s="13" t="s">
        <v>24</v>
      </c>
      <c r="C1084" s="13" t="s">
        <v>44</v>
      </c>
      <c r="D1084" s="14">
        <v>364</v>
      </c>
      <c r="E1084" s="15">
        <v>1</v>
      </c>
    </row>
    <row r="1085" spans="1:5" x14ac:dyDescent="0.4">
      <c r="A1085" s="13" t="s">
        <v>240</v>
      </c>
      <c r="B1085" s="13" t="s">
        <v>24</v>
      </c>
      <c r="C1085" s="13" t="s">
        <v>39</v>
      </c>
      <c r="D1085" s="14">
        <v>364</v>
      </c>
      <c r="E1085" s="15">
        <v>0</v>
      </c>
    </row>
    <row r="1086" spans="1:5" x14ac:dyDescent="0.4">
      <c r="A1086" s="13" t="s">
        <v>1299</v>
      </c>
      <c r="B1086" s="13" t="s">
        <v>26</v>
      </c>
      <c r="C1086" s="13" t="s">
        <v>44</v>
      </c>
      <c r="D1086" s="14">
        <v>364</v>
      </c>
      <c r="E1086" s="15">
        <v>6</v>
      </c>
    </row>
    <row r="1087" spans="1:5" x14ac:dyDescent="0.4">
      <c r="A1087" s="13" t="s">
        <v>1389</v>
      </c>
      <c r="B1087" s="13" t="s">
        <v>24</v>
      </c>
      <c r="C1087" s="13" t="s">
        <v>40</v>
      </c>
      <c r="D1087" s="14">
        <v>364</v>
      </c>
      <c r="E1087" s="15">
        <v>4</v>
      </c>
    </row>
    <row r="1088" spans="1:5" x14ac:dyDescent="0.4">
      <c r="A1088" s="13" t="s">
        <v>1454</v>
      </c>
      <c r="B1088" s="13" t="s">
        <v>24</v>
      </c>
      <c r="C1088" s="13" t="s">
        <v>39</v>
      </c>
      <c r="D1088" s="14">
        <v>364</v>
      </c>
      <c r="E1088" s="15">
        <v>0</v>
      </c>
    </row>
    <row r="1089" spans="1:5" x14ac:dyDescent="0.4">
      <c r="A1089" s="13" t="s">
        <v>73</v>
      </c>
      <c r="B1089" s="13" t="s">
        <v>20</v>
      </c>
      <c r="C1089" s="13" t="s">
        <v>39</v>
      </c>
      <c r="D1089" s="14">
        <v>365</v>
      </c>
      <c r="E1089" s="15">
        <v>1</v>
      </c>
    </row>
    <row r="1090" spans="1:5" x14ac:dyDescent="0.4">
      <c r="A1090" s="13" t="s">
        <v>477</v>
      </c>
      <c r="B1090" s="13" t="s">
        <v>26</v>
      </c>
      <c r="C1090" s="13" t="s">
        <v>39</v>
      </c>
      <c r="D1090" s="14">
        <v>365</v>
      </c>
      <c r="E1090" s="15">
        <v>0</v>
      </c>
    </row>
    <row r="1091" spans="1:5" x14ac:dyDescent="0.4">
      <c r="A1091" s="13" t="s">
        <v>944</v>
      </c>
      <c r="B1091" s="13" t="s">
        <v>26</v>
      </c>
      <c r="C1091" s="13" t="s">
        <v>27</v>
      </c>
      <c r="D1091" s="14">
        <v>365</v>
      </c>
      <c r="E1091" s="15">
        <v>0</v>
      </c>
    </row>
    <row r="1092" spans="1:5" x14ac:dyDescent="0.4">
      <c r="A1092" s="13" t="s">
        <v>1908</v>
      </c>
      <c r="B1092" s="13" t="s">
        <v>20</v>
      </c>
      <c r="C1092" s="13" t="s">
        <v>27</v>
      </c>
      <c r="D1092" s="14">
        <v>365</v>
      </c>
      <c r="E1092" s="15">
        <v>1</v>
      </c>
    </row>
    <row r="1093" spans="1:5" x14ac:dyDescent="0.4">
      <c r="A1093" s="13" t="s">
        <v>364</v>
      </c>
      <c r="B1093" s="13" t="s">
        <v>26</v>
      </c>
      <c r="C1093" s="13" t="s">
        <v>21</v>
      </c>
      <c r="D1093" s="14">
        <v>366</v>
      </c>
      <c r="E1093" s="15">
        <v>6</v>
      </c>
    </row>
    <row r="1094" spans="1:5" x14ac:dyDescent="0.4">
      <c r="A1094" s="13" t="s">
        <v>911</v>
      </c>
      <c r="B1094" s="13" t="s">
        <v>26</v>
      </c>
      <c r="C1094" s="13" t="s">
        <v>27</v>
      </c>
      <c r="D1094" s="14">
        <v>366</v>
      </c>
      <c r="E1094" s="15">
        <v>8</v>
      </c>
    </row>
    <row r="1095" spans="1:5" x14ac:dyDescent="0.4">
      <c r="A1095" s="13" t="s">
        <v>1849</v>
      </c>
      <c r="B1095" s="13" t="s">
        <v>24</v>
      </c>
      <c r="C1095" s="13" t="s">
        <v>5</v>
      </c>
      <c r="D1095" s="14">
        <v>366</v>
      </c>
      <c r="E1095" s="15">
        <v>2</v>
      </c>
    </row>
    <row r="1096" spans="1:5" x14ac:dyDescent="0.4">
      <c r="A1096" s="13" t="s">
        <v>355</v>
      </c>
      <c r="B1096" s="13" t="s">
        <v>24</v>
      </c>
      <c r="C1096" s="13" t="s">
        <v>5</v>
      </c>
      <c r="D1096" s="14">
        <v>367</v>
      </c>
      <c r="E1096" s="15">
        <v>2</v>
      </c>
    </row>
    <row r="1097" spans="1:5" x14ac:dyDescent="0.4">
      <c r="A1097" s="13" t="s">
        <v>945</v>
      </c>
      <c r="B1097" s="13" t="s">
        <v>24</v>
      </c>
      <c r="C1097" s="13" t="s">
        <v>27</v>
      </c>
      <c r="D1097" s="14">
        <v>367</v>
      </c>
      <c r="E1097" s="15">
        <v>1</v>
      </c>
    </row>
    <row r="1098" spans="1:5" x14ac:dyDescent="0.4">
      <c r="A1098" s="13" t="s">
        <v>140</v>
      </c>
      <c r="B1098" s="13" t="s">
        <v>26</v>
      </c>
      <c r="C1098" s="13" t="s">
        <v>32</v>
      </c>
      <c r="D1098" s="14">
        <v>368</v>
      </c>
      <c r="E1098" s="15">
        <v>5</v>
      </c>
    </row>
    <row r="1099" spans="1:5" x14ac:dyDescent="0.4">
      <c r="A1099" s="13" t="s">
        <v>1141</v>
      </c>
      <c r="B1099" s="13" t="s">
        <v>20</v>
      </c>
      <c r="C1099" s="13" t="s">
        <v>40</v>
      </c>
      <c r="D1099" s="14">
        <v>368</v>
      </c>
      <c r="E1099" s="15">
        <v>0</v>
      </c>
    </row>
    <row r="1100" spans="1:5" x14ac:dyDescent="0.4">
      <c r="A1100" s="13" t="s">
        <v>1310</v>
      </c>
      <c r="B1100" s="13" t="s">
        <v>20</v>
      </c>
      <c r="C1100" s="13" t="s">
        <v>39</v>
      </c>
      <c r="D1100" s="14">
        <v>368</v>
      </c>
      <c r="E1100" s="15">
        <v>1</v>
      </c>
    </row>
    <row r="1101" spans="1:5" x14ac:dyDescent="0.4">
      <c r="A1101" s="13" t="s">
        <v>1454</v>
      </c>
      <c r="B1101" s="13" t="s">
        <v>20</v>
      </c>
      <c r="C1101" s="13" t="s">
        <v>21</v>
      </c>
      <c r="D1101" s="14">
        <v>368</v>
      </c>
      <c r="E1101" s="15">
        <v>0</v>
      </c>
    </row>
    <row r="1102" spans="1:5" x14ac:dyDescent="0.4">
      <c r="A1102" s="13" t="s">
        <v>210</v>
      </c>
      <c r="B1102" s="13" t="s">
        <v>24</v>
      </c>
      <c r="C1102" s="13" t="s">
        <v>25</v>
      </c>
      <c r="D1102" s="14">
        <v>369</v>
      </c>
      <c r="E1102" s="15">
        <v>0</v>
      </c>
    </row>
    <row r="1103" spans="1:5" x14ac:dyDescent="0.4">
      <c r="A1103" s="13" t="s">
        <v>522</v>
      </c>
      <c r="B1103" s="13" t="s">
        <v>20</v>
      </c>
      <c r="C1103" s="13" t="s">
        <v>5</v>
      </c>
      <c r="D1103" s="14">
        <v>369</v>
      </c>
      <c r="E1103" s="15">
        <v>9</v>
      </c>
    </row>
    <row r="1104" spans="1:5" x14ac:dyDescent="0.4">
      <c r="A1104" s="13" t="s">
        <v>1236</v>
      </c>
      <c r="B1104" s="13" t="s">
        <v>26</v>
      </c>
      <c r="C1104" s="13" t="s">
        <v>44</v>
      </c>
      <c r="D1104" s="14">
        <v>369</v>
      </c>
      <c r="E1104" s="15">
        <v>2</v>
      </c>
    </row>
    <row r="1105" spans="1:5" x14ac:dyDescent="0.4">
      <c r="A1105" s="13" t="s">
        <v>1746</v>
      </c>
      <c r="B1105" s="13" t="s">
        <v>26</v>
      </c>
      <c r="C1105" s="13" t="s">
        <v>39</v>
      </c>
      <c r="D1105" s="14">
        <v>369</v>
      </c>
      <c r="E1105" s="15">
        <v>12</v>
      </c>
    </row>
    <row r="1106" spans="1:5" x14ac:dyDescent="0.4">
      <c r="A1106" s="13" t="s">
        <v>208</v>
      </c>
      <c r="B1106" s="13" t="s">
        <v>24</v>
      </c>
      <c r="C1106" s="13" t="s">
        <v>43</v>
      </c>
      <c r="D1106" s="14">
        <v>370</v>
      </c>
      <c r="E1106" s="15">
        <v>1</v>
      </c>
    </row>
    <row r="1107" spans="1:5" x14ac:dyDescent="0.4">
      <c r="A1107" s="13" t="s">
        <v>786</v>
      </c>
      <c r="B1107" s="13" t="s">
        <v>20</v>
      </c>
      <c r="C1107" s="13" t="s">
        <v>111</v>
      </c>
      <c r="D1107" s="14">
        <v>370</v>
      </c>
      <c r="E1107" s="15">
        <v>0</v>
      </c>
    </row>
    <row r="1108" spans="1:5" x14ac:dyDescent="0.4">
      <c r="A1108" s="13" t="s">
        <v>1093</v>
      </c>
      <c r="B1108" s="13" t="s">
        <v>26</v>
      </c>
      <c r="C1108" s="13" t="s">
        <v>44</v>
      </c>
      <c r="D1108" s="14">
        <v>370</v>
      </c>
      <c r="E1108" s="15">
        <v>9</v>
      </c>
    </row>
    <row r="1109" spans="1:5" x14ac:dyDescent="0.4">
      <c r="A1109" s="13" t="s">
        <v>1591</v>
      </c>
      <c r="B1109" s="13" t="s">
        <v>24</v>
      </c>
      <c r="C1109" s="13" t="s">
        <v>33</v>
      </c>
      <c r="D1109" s="14">
        <v>370</v>
      </c>
      <c r="E1109" s="15">
        <v>2</v>
      </c>
    </row>
    <row r="1110" spans="1:5" x14ac:dyDescent="0.4">
      <c r="A1110" s="13" t="s">
        <v>158</v>
      </c>
      <c r="B1110" s="13" t="s">
        <v>24</v>
      </c>
      <c r="C1110" s="13" t="s">
        <v>27</v>
      </c>
      <c r="D1110" s="14">
        <v>371</v>
      </c>
      <c r="E1110" s="15">
        <v>1</v>
      </c>
    </row>
    <row r="1111" spans="1:5" x14ac:dyDescent="0.4">
      <c r="A1111" s="13" t="s">
        <v>186</v>
      </c>
      <c r="B1111" s="13" t="s">
        <v>24</v>
      </c>
      <c r="C1111" s="13" t="s">
        <v>53</v>
      </c>
      <c r="D1111" s="14">
        <v>371</v>
      </c>
      <c r="E1111" s="15">
        <v>5</v>
      </c>
    </row>
    <row r="1112" spans="1:5" x14ac:dyDescent="0.4">
      <c r="A1112" s="13" t="s">
        <v>248</v>
      </c>
      <c r="B1112" s="13" t="s">
        <v>24</v>
      </c>
      <c r="C1112" s="13" t="s">
        <v>44</v>
      </c>
      <c r="D1112" s="14">
        <v>371</v>
      </c>
      <c r="E1112" s="15">
        <v>1</v>
      </c>
    </row>
    <row r="1113" spans="1:5" x14ac:dyDescent="0.4">
      <c r="A1113" s="13" t="s">
        <v>912</v>
      </c>
      <c r="B1113" s="13" t="s">
        <v>26</v>
      </c>
      <c r="C1113" s="13" t="s">
        <v>27</v>
      </c>
      <c r="D1113" s="14">
        <v>371</v>
      </c>
      <c r="E1113" s="15">
        <v>0</v>
      </c>
    </row>
    <row r="1114" spans="1:5" x14ac:dyDescent="0.4">
      <c r="A1114" s="13" t="s">
        <v>972</v>
      </c>
      <c r="B1114" s="13" t="s">
        <v>20</v>
      </c>
      <c r="C1114" s="13" t="s">
        <v>44</v>
      </c>
      <c r="D1114" s="14">
        <v>371</v>
      </c>
      <c r="E1114" s="15">
        <v>1</v>
      </c>
    </row>
    <row r="1115" spans="1:5" x14ac:dyDescent="0.4">
      <c r="A1115" s="13" t="s">
        <v>1005</v>
      </c>
      <c r="B1115" s="13" t="s">
        <v>26</v>
      </c>
      <c r="C1115" s="13" t="s">
        <v>27</v>
      </c>
      <c r="D1115" s="14">
        <v>371</v>
      </c>
      <c r="E1115" s="15">
        <v>1</v>
      </c>
    </row>
    <row r="1116" spans="1:5" x14ac:dyDescent="0.4">
      <c r="A1116" s="13" t="s">
        <v>275</v>
      </c>
      <c r="B1116" s="13" t="s">
        <v>20</v>
      </c>
      <c r="C1116" s="13" t="s">
        <v>30</v>
      </c>
      <c r="D1116" s="14">
        <v>372</v>
      </c>
      <c r="E1116" s="15">
        <v>9</v>
      </c>
    </row>
    <row r="1117" spans="1:5" x14ac:dyDescent="0.4">
      <c r="A1117" s="13" t="s">
        <v>1373</v>
      </c>
      <c r="B1117" s="13" t="s">
        <v>20</v>
      </c>
      <c r="C1117" s="13" t="s">
        <v>30</v>
      </c>
      <c r="D1117" s="14">
        <v>372</v>
      </c>
      <c r="E1117" s="15">
        <v>8</v>
      </c>
    </row>
    <row r="1118" spans="1:5" x14ac:dyDescent="0.4">
      <c r="A1118" s="13" t="s">
        <v>954</v>
      </c>
      <c r="B1118" s="13" t="s">
        <v>20</v>
      </c>
      <c r="C1118" s="13" t="s">
        <v>34</v>
      </c>
      <c r="D1118" s="14">
        <v>373</v>
      </c>
      <c r="E1118" s="15">
        <v>3</v>
      </c>
    </row>
    <row r="1119" spans="1:5" x14ac:dyDescent="0.4">
      <c r="A1119" s="13" t="s">
        <v>1075</v>
      </c>
      <c r="B1119" s="13" t="s">
        <v>24</v>
      </c>
      <c r="C1119" s="13" t="s">
        <v>39</v>
      </c>
      <c r="D1119" s="14">
        <v>373</v>
      </c>
      <c r="E1119" s="15">
        <v>8</v>
      </c>
    </row>
    <row r="1120" spans="1:5" x14ac:dyDescent="0.4">
      <c r="A1120" s="13" t="s">
        <v>1559</v>
      </c>
      <c r="B1120" s="13" t="s">
        <v>26</v>
      </c>
      <c r="C1120" s="13" t="s">
        <v>39</v>
      </c>
      <c r="D1120" s="14">
        <v>373</v>
      </c>
      <c r="E1120" s="15">
        <v>1</v>
      </c>
    </row>
    <row r="1121" spans="1:5" x14ac:dyDescent="0.4">
      <c r="A1121" s="13" t="s">
        <v>1788</v>
      </c>
      <c r="B1121" s="13" t="s">
        <v>26</v>
      </c>
      <c r="C1121" s="13" t="s">
        <v>27</v>
      </c>
      <c r="D1121" s="14">
        <v>373</v>
      </c>
      <c r="E1121" s="15">
        <v>0</v>
      </c>
    </row>
    <row r="1122" spans="1:5" x14ac:dyDescent="0.4">
      <c r="A1122" s="13" t="s">
        <v>1070</v>
      </c>
      <c r="B1122" s="13" t="s">
        <v>24</v>
      </c>
      <c r="C1122" s="13" t="s">
        <v>33</v>
      </c>
      <c r="D1122" s="14">
        <v>374</v>
      </c>
      <c r="E1122" s="15">
        <v>0</v>
      </c>
    </row>
    <row r="1123" spans="1:5" x14ac:dyDescent="0.4">
      <c r="A1123" s="13" t="s">
        <v>1464</v>
      </c>
      <c r="B1123" s="13" t="s">
        <v>20</v>
      </c>
      <c r="C1123" s="13" t="s">
        <v>44</v>
      </c>
      <c r="D1123" s="14">
        <v>374</v>
      </c>
      <c r="E1123" s="15">
        <v>4</v>
      </c>
    </row>
    <row r="1124" spans="1:5" x14ac:dyDescent="0.4">
      <c r="A1124" s="13" t="s">
        <v>1549</v>
      </c>
      <c r="B1124" s="13" t="s">
        <v>24</v>
      </c>
      <c r="C1124" s="13" t="s">
        <v>39</v>
      </c>
      <c r="D1124" s="14">
        <v>374</v>
      </c>
      <c r="E1124" s="15">
        <v>0</v>
      </c>
    </row>
    <row r="1125" spans="1:5" x14ac:dyDescent="0.4">
      <c r="A1125" s="13" t="s">
        <v>1578</v>
      </c>
      <c r="B1125" s="13" t="s">
        <v>24</v>
      </c>
      <c r="C1125" s="13" t="s">
        <v>66</v>
      </c>
      <c r="D1125" s="14">
        <v>374</v>
      </c>
      <c r="E1125" s="15">
        <v>1</v>
      </c>
    </row>
    <row r="1126" spans="1:5" x14ac:dyDescent="0.4">
      <c r="A1126" s="13" t="s">
        <v>205</v>
      </c>
      <c r="B1126" s="13" t="s">
        <v>24</v>
      </c>
      <c r="C1126" s="13" t="s">
        <v>22</v>
      </c>
      <c r="D1126" s="14">
        <v>375</v>
      </c>
      <c r="E1126" s="15">
        <v>5</v>
      </c>
    </row>
    <row r="1127" spans="1:5" x14ac:dyDescent="0.4">
      <c r="A1127" s="13" t="s">
        <v>517</v>
      </c>
      <c r="B1127" s="13" t="s">
        <v>20</v>
      </c>
      <c r="C1127" s="13" t="s">
        <v>62</v>
      </c>
      <c r="D1127" s="14">
        <v>375</v>
      </c>
      <c r="E1127" s="15">
        <v>2</v>
      </c>
    </row>
    <row r="1128" spans="1:5" x14ac:dyDescent="0.4">
      <c r="A1128" s="13" t="s">
        <v>915</v>
      </c>
      <c r="B1128" s="13" t="s">
        <v>26</v>
      </c>
      <c r="C1128" s="13" t="s">
        <v>111</v>
      </c>
      <c r="D1128" s="14">
        <v>375</v>
      </c>
      <c r="E1128" s="15">
        <v>0</v>
      </c>
    </row>
    <row r="1129" spans="1:5" x14ac:dyDescent="0.4">
      <c r="A1129" s="13" t="s">
        <v>1219</v>
      </c>
      <c r="B1129" s="13" t="s">
        <v>26</v>
      </c>
      <c r="C1129" s="13" t="s">
        <v>32</v>
      </c>
      <c r="D1129" s="14">
        <v>375</v>
      </c>
      <c r="E1129" s="15">
        <v>1</v>
      </c>
    </row>
    <row r="1130" spans="1:5" x14ac:dyDescent="0.4">
      <c r="A1130" s="13" t="s">
        <v>720</v>
      </c>
      <c r="B1130" s="13" t="s">
        <v>24</v>
      </c>
      <c r="C1130" s="13" t="s">
        <v>30</v>
      </c>
      <c r="D1130" s="14">
        <v>376</v>
      </c>
      <c r="E1130" s="15">
        <v>4</v>
      </c>
    </row>
    <row r="1131" spans="1:5" x14ac:dyDescent="0.4">
      <c r="A1131" s="13" t="s">
        <v>1238</v>
      </c>
      <c r="B1131" s="13" t="s">
        <v>26</v>
      </c>
      <c r="C1131" s="13" t="s">
        <v>32</v>
      </c>
      <c r="D1131" s="14">
        <v>376</v>
      </c>
      <c r="E1131" s="15">
        <v>5</v>
      </c>
    </row>
    <row r="1132" spans="1:5" x14ac:dyDescent="0.4">
      <c r="A1132" s="13" t="s">
        <v>1535</v>
      </c>
      <c r="B1132" s="13" t="s">
        <v>26</v>
      </c>
      <c r="C1132" s="13" t="s">
        <v>43</v>
      </c>
      <c r="D1132" s="14">
        <v>376</v>
      </c>
      <c r="E1132" s="15">
        <v>0</v>
      </c>
    </row>
    <row r="1133" spans="1:5" x14ac:dyDescent="0.4">
      <c r="A1133" s="13" t="s">
        <v>1857</v>
      </c>
      <c r="B1133" s="13" t="s">
        <v>24</v>
      </c>
      <c r="C1133" s="13" t="s">
        <v>21</v>
      </c>
      <c r="D1133" s="14">
        <v>376</v>
      </c>
      <c r="E1133" s="15">
        <v>2</v>
      </c>
    </row>
    <row r="1134" spans="1:5" x14ac:dyDescent="0.4">
      <c r="A1134" s="13" t="s">
        <v>349</v>
      </c>
      <c r="B1134" s="13" t="s">
        <v>24</v>
      </c>
      <c r="C1134" s="13" t="s">
        <v>28</v>
      </c>
      <c r="D1134" s="14">
        <v>377</v>
      </c>
      <c r="E1134" s="15">
        <v>8</v>
      </c>
    </row>
    <row r="1135" spans="1:5" x14ac:dyDescent="0.4">
      <c r="A1135" s="13" t="s">
        <v>1063</v>
      </c>
      <c r="B1135" s="13" t="s">
        <v>26</v>
      </c>
      <c r="C1135" s="13" t="s">
        <v>25</v>
      </c>
      <c r="D1135" s="14">
        <v>377</v>
      </c>
      <c r="E1135" s="15">
        <v>0</v>
      </c>
    </row>
    <row r="1136" spans="1:5" x14ac:dyDescent="0.4">
      <c r="A1136" s="13" t="s">
        <v>1162</v>
      </c>
      <c r="B1136" s="13" t="s">
        <v>24</v>
      </c>
      <c r="C1136" s="13" t="s">
        <v>27</v>
      </c>
      <c r="D1136" s="14">
        <v>377</v>
      </c>
      <c r="E1136" s="15">
        <v>2</v>
      </c>
    </row>
    <row r="1137" spans="1:5" x14ac:dyDescent="0.4">
      <c r="A1137" s="13" t="s">
        <v>1904</v>
      </c>
      <c r="B1137" s="13" t="s">
        <v>24</v>
      </c>
      <c r="C1137" s="13" t="s">
        <v>44</v>
      </c>
      <c r="D1137" s="14">
        <v>377</v>
      </c>
      <c r="E1137" s="15">
        <v>5</v>
      </c>
    </row>
    <row r="1138" spans="1:5" x14ac:dyDescent="0.4">
      <c r="A1138" s="13" t="s">
        <v>1910</v>
      </c>
      <c r="B1138" s="13" t="s">
        <v>20</v>
      </c>
      <c r="C1138" s="13" t="s">
        <v>39</v>
      </c>
      <c r="D1138" s="14">
        <v>377</v>
      </c>
      <c r="E1138" s="15">
        <v>0</v>
      </c>
    </row>
    <row r="1139" spans="1:5" x14ac:dyDescent="0.4">
      <c r="A1139" s="13" t="s">
        <v>29</v>
      </c>
      <c r="B1139" s="13" t="s">
        <v>24</v>
      </c>
      <c r="C1139" s="13" t="s">
        <v>30</v>
      </c>
      <c r="D1139" s="14">
        <v>379</v>
      </c>
      <c r="E1139" s="15">
        <v>0</v>
      </c>
    </row>
    <row r="1140" spans="1:5" x14ac:dyDescent="0.4">
      <c r="A1140" s="13" t="s">
        <v>282</v>
      </c>
      <c r="B1140" s="13" t="s">
        <v>24</v>
      </c>
      <c r="C1140" s="13" t="s">
        <v>62</v>
      </c>
      <c r="D1140" s="14">
        <v>379</v>
      </c>
      <c r="E1140" s="15">
        <v>2</v>
      </c>
    </row>
    <row r="1141" spans="1:5" x14ac:dyDescent="0.4">
      <c r="A1141" s="13" t="s">
        <v>655</v>
      </c>
      <c r="B1141" s="13" t="s">
        <v>20</v>
      </c>
      <c r="C1141" s="13" t="s">
        <v>27</v>
      </c>
      <c r="D1141" s="14">
        <v>379</v>
      </c>
      <c r="E1141" s="15">
        <v>2</v>
      </c>
    </row>
    <row r="1142" spans="1:5" x14ac:dyDescent="0.4">
      <c r="A1142" s="13" t="s">
        <v>1808</v>
      </c>
      <c r="B1142" s="13" t="s">
        <v>26</v>
      </c>
      <c r="C1142" s="13" t="s">
        <v>5</v>
      </c>
      <c r="D1142" s="14">
        <v>379</v>
      </c>
      <c r="E1142" s="15">
        <v>0</v>
      </c>
    </row>
    <row r="1143" spans="1:5" x14ac:dyDescent="0.4">
      <c r="A1143" s="13" t="s">
        <v>1882</v>
      </c>
      <c r="B1143" s="13" t="s">
        <v>24</v>
      </c>
      <c r="C1143" s="13" t="s">
        <v>25</v>
      </c>
      <c r="D1143" s="14">
        <v>379</v>
      </c>
      <c r="E1143" s="15">
        <v>8</v>
      </c>
    </row>
    <row r="1144" spans="1:5" x14ac:dyDescent="0.4">
      <c r="A1144" s="13" t="s">
        <v>449</v>
      </c>
      <c r="B1144" s="13" t="s">
        <v>24</v>
      </c>
      <c r="C1144" s="13" t="s">
        <v>25</v>
      </c>
      <c r="D1144" s="14">
        <v>380</v>
      </c>
      <c r="E1144" s="15">
        <v>1</v>
      </c>
    </row>
    <row r="1145" spans="1:5" x14ac:dyDescent="0.4">
      <c r="A1145" s="13" t="s">
        <v>1880</v>
      </c>
      <c r="B1145" s="13" t="s">
        <v>24</v>
      </c>
      <c r="C1145" s="13" t="s">
        <v>27</v>
      </c>
      <c r="D1145" s="14">
        <v>380</v>
      </c>
      <c r="E1145" s="15">
        <v>3</v>
      </c>
    </row>
    <row r="1146" spans="1:5" x14ac:dyDescent="0.4">
      <c r="A1146" s="13" t="s">
        <v>237</v>
      </c>
      <c r="B1146" s="13" t="s">
        <v>24</v>
      </c>
      <c r="C1146" s="13" t="s">
        <v>44</v>
      </c>
      <c r="D1146" s="14">
        <v>381</v>
      </c>
      <c r="E1146" s="15">
        <v>0</v>
      </c>
    </row>
    <row r="1147" spans="1:5" x14ac:dyDescent="0.4">
      <c r="A1147" s="13" t="s">
        <v>129</v>
      </c>
      <c r="B1147" s="13" t="s">
        <v>20</v>
      </c>
      <c r="C1147" s="13" t="s">
        <v>44</v>
      </c>
      <c r="D1147" s="14">
        <v>382</v>
      </c>
      <c r="E1147" s="15">
        <v>3</v>
      </c>
    </row>
    <row r="1148" spans="1:5" x14ac:dyDescent="0.4">
      <c r="A1148" s="13" t="s">
        <v>1227</v>
      </c>
      <c r="B1148" s="13" t="s">
        <v>26</v>
      </c>
      <c r="C1148" s="13" t="s">
        <v>62</v>
      </c>
      <c r="D1148" s="14">
        <v>382</v>
      </c>
      <c r="E1148" s="15">
        <v>0</v>
      </c>
    </row>
    <row r="1149" spans="1:5" x14ac:dyDescent="0.4">
      <c r="A1149" s="13" t="s">
        <v>1239</v>
      </c>
      <c r="B1149" s="13" t="s">
        <v>26</v>
      </c>
      <c r="C1149" s="13" t="s">
        <v>44</v>
      </c>
      <c r="D1149" s="14">
        <v>382</v>
      </c>
      <c r="E1149" s="15">
        <v>11</v>
      </c>
    </row>
    <row r="1150" spans="1:5" x14ac:dyDescent="0.4">
      <c r="A1150" s="13" t="s">
        <v>1419</v>
      </c>
      <c r="B1150" s="13" t="s">
        <v>26</v>
      </c>
      <c r="C1150" s="13" t="s">
        <v>44</v>
      </c>
      <c r="D1150" s="14">
        <v>382</v>
      </c>
      <c r="E1150" s="15">
        <v>1</v>
      </c>
    </row>
    <row r="1151" spans="1:5" x14ac:dyDescent="0.4">
      <c r="A1151" s="13" t="s">
        <v>847</v>
      </c>
      <c r="B1151" s="13" t="s">
        <v>24</v>
      </c>
      <c r="C1151" s="13" t="s">
        <v>21</v>
      </c>
      <c r="D1151" s="14">
        <v>383</v>
      </c>
      <c r="E1151" s="15">
        <v>0</v>
      </c>
    </row>
    <row r="1152" spans="1:5" x14ac:dyDescent="0.4">
      <c r="A1152" s="13" t="s">
        <v>1201</v>
      </c>
      <c r="B1152" s="13" t="s">
        <v>24</v>
      </c>
      <c r="C1152" s="13" t="s">
        <v>21</v>
      </c>
      <c r="D1152" s="14">
        <v>384</v>
      </c>
      <c r="E1152" s="15">
        <v>7</v>
      </c>
    </row>
    <row r="1153" spans="1:5" x14ac:dyDescent="0.4">
      <c r="A1153" s="13" t="s">
        <v>1267</v>
      </c>
      <c r="B1153" s="13" t="s">
        <v>20</v>
      </c>
      <c r="C1153" s="13" t="s">
        <v>32</v>
      </c>
      <c r="D1153" s="14">
        <v>384</v>
      </c>
      <c r="E1153" s="15">
        <v>0</v>
      </c>
    </row>
    <row r="1154" spans="1:5" x14ac:dyDescent="0.4">
      <c r="A1154" s="13" t="s">
        <v>259</v>
      </c>
      <c r="B1154" s="13" t="s">
        <v>20</v>
      </c>
      <c r="C1154" s="13" t="s">
        <v>66</v>
      </c>
      <c r="D1154" s="14">
        <v>385</v>
      </c>
      <c r="E1154" s="15">
        <v>0</v>
      </c>
    </row>
    <row r="1155" spans="1:5" x14ac:dyDescent="0.4">
      <c r="A1155" s="13" t="s">
        <v>465</v>
      </c>
      <c r="B1155" s="13" t="s">
        <v>26</v>
      </c>
      <c r="C1155" s="13" t="s">
        <v>22</v>
      </c>
      <c r="D1155" s="14">
        <v>385</v>
      </c>
      <c r="E1155" s="15">
        <v>4</v>
      </c>
    </row>
    <row r="1156" spans="1:5" x14ac:dyDescent="0.4">
      <c r="A1156" s="13" t="s">
        <v>681</v>
      </c>
      <c r="B1156" s="13" t="s">
        <v>26</v>
      </c>
      <c r="C1156" s="13" t="s">
        <v>66</v>
      </c>
      <c r="D1156" s="14">
        <v>385</v>
      </c>
      <c r="E1156" s="15">
        <v>0</v>
      </c>
    </row>
    <row r="1157" spans="1:5" x14ac:dyDescent="0.4">
      <c r="A1157" s="13" t="s">
        <v>843</v>
      </c>
      <c r="B1157" s="13" t="s">
        <v>26</v>
      </c>
      <c r="C1157" s="13" t="s">
        <v>39</v>
      </c>
      <c r="D1157" s="14">
        <v>385</v>
      </c>
      <c r="E1157" s="15">
        <v>8</v>
      </c>
    </row>
    <row r="1158" spans="1:5" x14ac:dyDescent="0.4">
      <c r="A1158" s="13" t="s">
        <v>1672</v>
      </c>
      <c r="B1158" s="13" t="s">
        <v>20</v>
      </c>
      <c r="C1158" s="13" t="s">
        <v>30</v>
      </c>
      <c r="D1158" s="14">
        <v>385</v>
      </c>
      <c r="E1158" s="15">
        <v>0</v>
      </c>
    </row>
    <row r="1159" spans="1:5" x14ac:dyDescent="0.4">
      <c r="A1159" s="13" t="s">
        <v>869</v>
      </c>
      <c r="B1159" s="13" t="s">
        <v>24</v>
      </c>
      <c r="C1159" s="13" t="s">
        <v>30</v>
      </c>
      <c r="D1159" s="14">
        <v>386</v>
      </c>
      <c r="E1159" s="15">
        <v>1</v>
      </c>
    </row>
    <row r="1160" spans="1:5" x14ac:dyDescent="0.4">
      <c r="A1160" s="13" t="s">
        <v>1614</v>
      </c>
      <c r="B1160" s="13" t="s">
        <v>24</v>
      </c>
      <c r="C1160" s="13" t="s">
        <v>21</v>
      </c>
      <c r="D1160" s="14">
        <v>386</v>
      </c>
      <c r="E1160" s="15">
        <v>1</v>
      </c>
    </row>
    <row r="1161" spans="1:5" x14ac:dyDescent="0.4">
      <c r="A1161" s="13" t="s">
        <v>292</v>
      </c>
      <c r="B1161" s="13" t="s">
        <v>26</v>
      </c>
      <c r="C1161" s="13" t="s">
        <v>33</v>
      </c>
      <c r="D1161" s="14">
        <v>387</v>
      </c>
      <c r="E1161" s="15">
        <v>1</v>
      </c>
    </row>
    <row r="1162" spans="1:5" x14ac:dyDescent="0.4">
      <c r="A1162" s="13" t="s">
        <v>359</v>
      </c>
      <c r="B1162" s="13" t="s">
        <v>24</v>
      </c>
      <c r="C1162" s="13" t="s">
        <v>5</v>
      </c>
      <c r="D1162" s="14">
        <v>387</v>
      </c>
      <c r="E1162" s="15">
        <v>0</v>
      </c>
    </row>
    <row r="1163" spans="1:5" x14ac:dyDescent="0.4">
      <c r="A1163" s="13" t="s">
        <v>818</v>
      </c>
      <c r="B1163" s="13" t="s">
        <v>20</v>
      </c>
      <c r="C1163" s="13" t="s">
        <v>21</v>
      </c>
      <c r="D1163" s="14">
        <v>388</v>
      </c>
      <c r="E1163" s="15">
        <v>0</v>
      </c>
    </row>
    <row r="1164" spans="1:5" x14ac:dyDescent="0.4">
      <c r="A1164" s="13" t="s">
        <v>1576</v>
      </c>
      <c r="B1164" s="13" t="s">
        <v>20</v>
      </c>
      <c r="C1164" s="13" t="s">
        <v>44</v>
      </c>
      <c r="D1164" s="14">
        <v>388</v>
      </c>
      <c r="E1164" s="15">
        <v>6</v>
      </c>
    </row>
    <row r="1165" spans="1:5" x14ac:dyDescent="0.4">
      <c r="A1165" s="13" t="s">
        <v>1620</v>
      </c>
      <c r="B1165" s="13" t="s">
        <v>20</v>
      </c>
      <c r="C1165" s="13" t="s">
        <v>5</v>
      </c>
      <c r="D1165" s="14">
        <v>388</v>
      </c>
      <c r="E1165" s="15">
        <v>1</v>
      </c>
    </row>
    <row r="1166" spans="1:5" x14ac:dyDescent="0.4">
      <c r="A1166" s="13" t="s">
        <v>1821</v>
      </c>
      <c r="B1166" s="13" t="s">
        <v>24</v>
      </c>
      <c r="C1166" s="13" t="s">
        <v>53</v>
      </c>
      <c r="D1166" s="14">
        <v>388</v>
      </c>
      <c r="E1166" s="15">
        <v>2</v>
      </c>
    </row>
    <row r="1167" spans="1:5" x14ac:dyDescent="0.4">
      <c r="A1167" s="13" t="s">
        <v>1901</v>
      </c>
      <c r="B1167" s="13" t="s">
        <v>24</v>
      </c>
      <c r="C1167" s="13" t="s">
        <v>22</v>
      </c>
      <c r="D1167" s="14">
        <v>388</v>
      </c>
      <c r="E1167" s="15">
        <v>6</v>
      </c>
    </row>
    <row r="1168" spans="1:5" x14ac:dyDescent="0.4">
      <c r="A1168" s="13" t="s">
        <v>406</v>
      </c>
      <c r="B1168" s="13" t="s">
        <v>26</v>
      </c>
      <c r="C1168" s="13" t="s">
        <v>22</v>
      </c>
      <c r="D1168" s="14">
        <v>389</v>
      </c>
      <c r="E1168" s="15">
        <v>3</v>
      </c>
    </row>
    <row r="1169" spans="1:5" x14ac:dyDescent="0.4">
      <c r="A1169" s="13" t="s">
        <v>1720</v>
      </c>
      <c r="B1169" s="13" t="s">
        <v>20</v>
      </c>
      <c r="C1169" s="13" t="s">
        <v>53</v>
      </c>
      <c r="D1169" s="14">
        <v>389</v>
      </c>
      <c r="E1169" s="15">
        <v>9</v>
      </c>
    </row>
    <row r="1170" spans="1:5" x14ac:dyDescent="0.4">
      <c r="A1170" s="13" t="s">
        <v>1648</v>
      </c>
      <c r="B1170" s="13" t="s">
        <v>26</v>
      </c>
      <c r="C1170" s="13" t="s">
        <v>62</v>
      </c>
      <c r="D1170" s="14">
        <v>390</v>
      </c>
      <c r="E1170" s="15">
        <v>0</v>
      </c>
    </row>
    <row r="1171" spans="1:5" x14ac:dyDescent="0.4">
      <c r="A1171" s="13" t="s">
        <v>273</v>
      </c>
      <c r="B1171" s="13" t="s">
        <v>24</v>
      </c>
      <c r="C1171" s="13" t="s">
        <v>27</v>
      </c>
      <c r="D1171" s="14">
        <v>391</v>
      </c>
      <c r="E1171" s="15">
        <v>4</v>
      </c>
    </row>
    <row r="1172" spans="1:5" x14ac:dyDescent="0.4">
      <c r="A1172" s="13" t="s">
        <v>429</v>
      </c>
      <c r="B1172" s="13" t="s">
        <v>20</v>
      </c>
      <c r="C1172" s="13" t="s">
        <v>21</v>
      </c>
      <c r="D1172" s="14">
        <v>391</v>
      </c>
      <c r="E1172" s="15">
        <v>18</v>
      </c>
    </row>
    <row r="1173" spans="1:5" x14ac:dyDescent="0.4">
      <c r="A1173" s="13" t="s">
        <v>442</v>
      </c>
      <c r="B1173" s="13" t="s">
        <v>26</v>
      </c>
      <c r="C1173" s="13" t="s">
        <v>27</v>
      </c>
      <c r="D1173" s="14">
        <v>391</v>
      </c>
      <c r="E1173" s="15">
        <v>3</v>
      </c>
    </row>
    <row r="1174" spans="1:5" x14ac:dyDescent="0.4">
      <c r="A1174" s="13" t="s">
        <v>848</v>
      </c>
      <c r="B1174" s="13" t="s">
        <v>20</v>
      </c>
      <c r="C1174" s="13" t="s">
        <v>28</v>
      </c>
      <c r="D1174" s="14">
        <v>391</v>
      </c>
      <c r="E1174" s="15">
        <v>1</v>
      </c>
    </row>
    <row r="1175" spans="1:5" x14ac:dyDescent="0.4">
      <c r="A1175" s="13" t="s">
        <v>1312</v>
      </c>
      <c r="B1175" s="13" t="s">
        <v>26</v>
      </c>
      <c r="C1175" s="13" t="s">
        <v>40</v>
      </c>
      <c r="D1175" s="14">
        <v>391</v>
      </c>
      <c r="E1175" s="15">
        <v>9</v>
      </c>
    </row>
    <row r="1176" spans="1:5" x14ac:dyDescent="0.4">
      <c r="A1176" s="13" t="s">
        <v>1838</v>
      </c>
      <c r="B1176" s="13" t="s">
        <v>26</v>
      </c>
      <c r="C1176" s="13" t="s">
        <v>5</v>
      </c>
      <c r="D1176" s="14">
        <v>391</v>
      </c>
      <c r="E1176" s="15">
        <v>0</v>
      </c>
    </row>
    <row r="1177" spans="1:5" x14ac:dyDescent="0.4">
      <c r="A1177" s="13" t="s">
        <v>548</v>
      </c>
      <c r="B1177" s="13" t="s">
        <v>24</v>
      </c>
      <c r="C1177" s="13" t="s">
        <v>39</v>
      </c>
      <c r="D1177" s="14">
        <v>392</v>
      </c>
      <c r="E1177" s="15">
        <v>1</v>
      </c>
    </row>
    <row r="1178" spans="1:5" x14ac:dyDescent="0.4">
      <c r="A1178" s="13" t="s">
        <v>851</v>
      </c>
      <c r="B1178" s="13" t="s">
        <v>20</v>
      </c>
      <c r="C1178" s="13" t="s">
        <v>5</v>
      </c>
      <c r="D1178" s="14">
        <v>392</v>
      </c>
      <c r="E1178" s="15">
        <v>7</v>
      </c>
    </row>
    <row r="1179" spans="1:5" x14ac:dyDescent="0.4">
      <c r="A1179" s="13" t="s">
        <v>1401</v>
      </c>
      <c r="B1179" s="13" t="s">
        <v>26</v>
      </c>
      <c r="C1179" s="13" t="s">
        <v>53</v>
      </c>
      <c r="D1179" s="14">
        <v>392</v>
      </c>
      <c r="E1179" s="15">
        <v>0</v>
      </c>
    </row>
    <row r="1180" spans="1:5" x14ac:dyDescent="0.4">
      <c r="A1180" s="13" t="s">
        <v>1461</v>
      </c>
      <c r="B1180" s="13" t="s">
        <v>20</v>
      </c>
      <c r="C1180" s="13" t="s">
        <v>21</v>
      </c>
      <c r="D1180" s="14">
        <v>392</v>
      </c>
      <c r="E1180" s="15">
        <v>0</v>
      </c>
    </row>
    <row r="1181" spans="1:5" x14ac:dyDescent="0.4">
      <c r="A1181" s="13" t="s">
        <v>1613</v>
      </c>
      <c r="B1181" s="13" t="s">
        <v>24</v>
      </c>
      <c r="C1181" s="13" t="s">
        <v>25</v>
      </c>
      <c r="D1181" s="14">
        <v>392</v>
      </c>
      <c r="E1181" s="15">
        <v>1</v>
      </c>
    </row>
    <row r="1182" spans="1:5" x14ac:dyDescent="0.4">
      <c r="A1182" s="13" t="s">
        <v>131</v>
      </c>
      <c r="B1182" s="13" t="s">
        <v>26</v>
      </c>
      <c r="C1182" s="13" t="s">
        <v>21</v>
      </c>
      <c r="D1182" s="14">
        <v>393</v>
      </c>
      <c r="E1182" s="15">
        <v>1</v>
      </c>
    </row>
    <row r="1183" spans="1:5" x14ac:dyDescent="0.4">
      <c r="A1183" s="13" t="s">
        <v>630</v>
      </c>
      <c r="B1183" s="13" t="s">
        <v>24</v>
      </c>
      <c r="C1183" s="13" t="s">
        <v>44</v>
      </c>
      <c r="D1183" s="14">
        <v>393</v>
      </c>
      <c r="E1183" s="15">
        <v>4</v>
      </c>
    </row>
    <row r="1184" spans="1:5" x14ac:dyDescent="0.4">
      <c r="A1184" s="13" t="s">
        <v>877</v>
      </c>
      <c r="B1184" s="13" t="s">
        <v>24</v>
      </c>
      <c r="C1184" s="13" t="s">
        <v>39</v>
      </c>
      <c r="D1184" s="14">
        <v>393</v>
      </c>
      <c r="E1184" s="15">
        <v>0</v>
      </c>
    </row>
    <row r="1185" spans="1:5" x14ac:dyDescent="0.4">
      <c r="A1185" s="13" t="s">
        <v>432</v>
      </c>
      <c r="B1185" s="13" t="s">
        <v>24</v>
      </c>
      <c r="C1185" s="13" t="s">
        <v>39</v>
      </c>
      <c r="D1185" s="14">
        <v>394</v>
      </c>
      <c r="E1185" s="15">
        <v>6</v>
      </c>
    </row>
    <row r="1186" spans="1:5" x14ac:dyDescent="0.4">
      <c r="A1186" s="13" t="s">
        <v>529</v>
      </c>
      <c r="B1186" s="13" t="s">
        <v>26</v>
      </c>
      <c r="C1186" s="13" t="s">
        <v>34</v>
      </c>
      <c r="D1186" s="14">
        <v>394</v>
      </c>
      <c r="E1186" s="15">
        <v>0</v>
      </c>
    </row>
    <row r="1187" spans="1:5" x14ac:dyDescent="0.4">
      <c r="A1187" s="13" t="s">
        <v>558</v>
      </c>
      <c r="B1187" s="13" t="s">
        <v>26</v>
      </c>
      <c r="C1187" s="13" t="s">
        <v>111</v>
      </c>
      <c r="D1187" s="14">
        <v>394</v>
      </c>
      <c r="E1187" s="15">
        <v>0</v>
      </c>
    </row>
    <row r="1188" spans="1:5" x14ac:dyDescent="0.4">
      <c r="A1188" s="13" t="s">
        <v>1071</v>
      </c>
      <c r="B1188" s="13" t="s">
        <v>24</v>
      </c>
      <c r="C1188" s="13" t="s">
        <v>44</v>
      </c>
      <c r="D1188" s="14">
        <v>394</v>
      </c>
      <c r="E1188" s="15">
        <v>10</v>
      </c>
    </row>
    <row r="1189" spans="1:5" x14ac:dyDescent="0.4">
      <c r="A1189" s="13" t="s">
        <v>1314</v>
      </c>
      <c r="B1189" s="13" t="s">
        <v>26</v>
      </c>
      <c r="C1189" s="13" t="s">
        <v>44</v>
      </c>
      <c r="D1189" s="14">
        <v>394</v>
      </c>
      <c r="E1189" s="15">
        <v>0</v>
      </c>
    </row>
    <row r="1190" spans="1:5" x14ac:dyDescent="0.4">
      <c r="A1190" s="13" t="s">
        <v>314</v>
      </c>
      <c r="B1190" s="13" t="s">
        <v>24</v>
      </c>
      <c r="C1190" s="13" t="s">
        <v>39</v>
      </c>
      <c r="D1190" s="14">
        <v>395</v>
      </c>
      <c r="E1190" s="15">
        <v>10</v>
      </c>
    </row>
    <row r="1191" spans="1:5" x14ac:dyDescent="0.4">
      <c r="A1191" s="13" t="s">
        <v>368</v>
      </c>
      <c r="B1191" s="13" t="s">
        <v>26</v>
      </c>
      <c r="C1191" s="13" t="s">
        <v>66</v>
      </c>
      <c r="D1191" s="14">
        <v>395</v>
      </c>
      <c r="E1191" s="15">
        <v>4</v>
      </c>
    </row>
    <row r="1192" spans="1:5" x14ac:dyDescent="0.4">
      <c r="A1192" s="13" t="s">
        <v>727</v>
      </c>
      <c r="B1192" s="13" t="s">
        <v>24</v>
      </c>
      <c r="C1192" s="13" t="s">
        <v>62</v>
      </c>
      <c r="D1192" s="14">
        <v>395</v>
      </c>
      <c r="E1192" s="15">
        <v>0</v>
      </c>
    </row>
    <row r="1193" spans="1:5" x14ac:dyDescent="0.4">
      <c r="A1193" s="13" t="s">
        <v>1250</v>
      </c>
      <c r="B1193" s="13" t="s">
        <v>26</v>
      </c>
      <c r="C1193" s="13" t="s">
        <v>66</v>
      </c>
      <c r="D1193" s="14">
        <v>395</v>
      </c>
      <c r="E1193" s="15">
        <v>1</v>
      </c>
    </row>
    <row r="1194" spans="1:5" x14ac:dyDescent="0.4">
      <c r="A1194" s="13" t="s">
        <v>1261</v>
      </c>
      <c r="B1194" s="13" t="s">
        <v>26</v>
      </c>
      <c r="C1194" s="13" t="s">
        <v>39</v>
      </c>
      <c r="D1194" s="14">
        <v>395</v>
      </c>
      <c r="E1194" s="15">
        <v>2</v>
      </c>
    </row>
    <row r="1195" spans="1:5" x14ac:dyDescent="0.4">
      <c r="A1195" s="13" t="s">
        <v>307</v>
      </c>
      <c r="B1195" s="13" t="s">
        <v>20</v>
      </c>
      <c r="C1195" s="13" t="s">
        <v>5</v>
      </c>
      <c r="D1195" s="14">
        <v>396</v>
      </c>
      <c r="E1195" s="15">
        <v>2</v>
      </c>
    </row>
    <row r="1196" spans="1:5" x14ac:dyDescent="0.4">
      <c r="A1196" s="13" t="s">
        <v>1951</v>
      </c>
      <c r="B1196" s="13" t="s">
        <v>26</v>
      </c>
      <c r="C1196" s="13" t="s">
        <v>39</v>
      </c>
      <c r="D1196" s="14">
        <v>396</v>
      </c>
      <c r="E1196" s="15">
        <v>0</v>
      </c>
    </row>
    <row r="1197" spans="1:5" x14ac:dyDescent="0.4">
      <c r="A1197" s="13" t="s">
        <v>684</v>
      </c>
      <c r="B1197" s="13" t="s">
        <v>24</v>
      </c>
      <c r="C1197" s="13" t="s">
        <v>5</v>
      </c>
      <c r="D1197" s="14">
        <v>397</v>
      </c>
      <c r="E1197" s="15">
        <v>5</v>
      </c>
    </row>
    <row r="1198" spans="1:5" x14ac:dyDescent="0.4">
      <c r="A1198" s="13" t="s">
        <v>1878</v>
      </c>
      <c r="B1198" s="13" t="s">
        <v>20</v>
      </c>
      <c r="C1198" s="13" t="s">
        <v>39</v>
      </c>
      <c r="D1198" s="14">
        <v>399</v>
      </c>
      <c r="E1198" s="15">
        <v>2</v>
      </c>
    </row>
    <row r="1199" spans="1:5" x14ac:dyDescent="0.4">
      <c r="A1199" s="13" t="s">
        <v>687</v>
      </c>
      <c r="B1199" s="13" t="s">
        <v>24</v>
      </c>
      <c r="C1199" s="13" t="s">
        <v>43</v>
      </c>
      <c r="D1199" s="14">
        <v>400</v>
      </c>
      <c r="E1199" s="15">
        <v>1</v>
      </c>
    </row>
    <row r="1200" spans="1:5" x14ac:dyDescent="0.4">
      <c r="A1200" s="13" t="s">
        <v>1113</v>
      </c>
      <c r="B1200" s="13" t="s">
        <v>26</v>
      </c>
      <c r="C1200" s="13" t="s">
        <v>33</v>
      </c>
      <c r="D1200" s="14">
        <v>400</v>
      </c>
      <c r="E1200" s="15">
        <v>0</v>
      </c>
    </row>
    <row r="1201" spans="1:5" x14ac:dyDescent="0.4">
      <c r="A1201" s="13" t="s">
        <v>69</v>
      </c>
      <c r="B1201" s="13" t="s">
        <v>24</v>
      </c>
      <c r="C1201" s="13" t="s">
        <v>53</v>
      </c>
      <c r="D1201" s="14">
        <v>401</v>
      </c>
      <c r="E1201" s="15">
        <v>2</v>
      </c>
    </row>
    <row r="1202" spans="1:5" x14ac:dyDescent="0.4">
      <c r="A1202" s="13" t="s">
        <v>340</v>
      </c>
      <c r="B1202" s="13" t="s">
        <v>26</v>
      </c>
      <c r="C1202" s="13" t="s">
        <v>44</v>
      </c>
      <c r="D1202" s="14">
        <v>401</v>
      </c>
      <c r="E1202" s="15">
        <v>0</v>
      </c>
    </row>
    <row r="1203" spans="1:5" x14ac:dyDescent="0.4">
      <c r="A1203" s="13" t="s">
        <v>993</v>
      </c>
      <c r="B1203" s="13" t="s">
        <v>20</v>
      </c>
      <c r="C1203" s="13" t="s">
        <v>33</v>
      </c>
      <c r="D1203" s="14">
        <v>401</v>
      </c>
      <c r="E1203" s="15">
        <v>2</v>
      </c>
    </row>
    <row r="1204" spans="1:5" x14ac:dyDescent="0.4">
      <c r="A1204" s="13" t="s">
        <v>1006</v>
      </c>
      <c r="B1204" s="13" t="s">
        <v>26</v>
      </c>
      <c r="C1204" s="13" t="s">
        <v>44</v>
      </c>
      <c r="D1204" s="14">
        <v>401</v>
      </c>
      <c r="E1204" s="15">
        <v>5</v>
      </c>
    </row>
    <row r="1205" spans="1:5" x14ac:dyDescent="0.4">
      <c r="A1205" s="13" t="s">
        <v>1037</v>
      </c>
      <c r="B1205" s="13" t="s">
        <v>20</v>
      </c>
      <c r="C1205" s="13" t="s">
        <v>21</v>
      </c>
      <c r="D1205" s="14">
        <v>401</v>
      </c>
      <c r="E1205" s="15">
        <v>0</v>
      </c>
    </row>
    <row r="1206" spans="1:5" x14ac:dyDescent="0.4">
      <c r="A1206" s="13" t="s">
        <v>311</v>
      </c>
      <c r="B1206" s="13" t="s">
        <v>24</v>
      </c>
      <c r="C1206" s="13" t="s">
        <v>44</v>
      </c>
      <c r="D1206" s="14">
        <v>402</v>
      </c>
      <c r="E1206" s="15">
        <v>0</v>
      </c>
    </row>
    <row r="1207" spans="1:5" x14ac:dyDescent="0.4">
      <c r="A1207" s="13" t="s">
        <v>816</v>
      </c>
      <c r="B1207" s="13" t="s">
        <v>24</v>
      </c>
      <c r="C1207" s="13" t="s">
        <v>28</v>
      </c>
      <c r="D1207" s="14">
        <v>402</v>
      </c>
      <c r="E1207" s="15">
        <v>3</v>
      </c>
    </row>
    <row r="1208" spans="1:5" x14ac:dyDescent="0.4">
      <c r="A1208" s="13" t="s">
        <v>920</v>
      </c>
      <c r="B1208" s="13" t="s">
        <v>24</v>
      </c>
      <c r="C1208" s="13" t="s">
        <v>27</v>
      </c>
      <c r="D1208" s="14">
        <v>402</v>
      </c>
      <c r="E1208" s="15">
        <v>1</v>
      </c>
    </row>
    <row r="1209" spans="1:5" x14ac:dyDescent="0.4">
      <c r="A1209" s="13" t="s">
        <v>1503</v>
      </c>
      <c r="B1209" s="13" t="s">
        <v>26</v>
      </c>
      <c r="C1209" s="13" t="s">
        <v>44</v>
      </c>
      <c r="D1209" s="14">
        <v>402</v>
      </c>
      <c r="E1209" s="15">
        <v>7</v>
      </c>
    </row>
    <row r="1210" spans="1:5" x14ac:dyDescent="0.4">
      <c r="A1210" s="13" t="s">
        <v>780</v>
      </c>
      <c r="B1210" s="13" t="s">
        <v>20</v>
      </c>
      <c r="C1210" s="13" t="s">
        <v>30</v>
      </c>
      <c r="D1210" s="14">
        <v>404</v>
      </c>
      <c r="E1210" s="15">
        <v>0</v>
      </c>
    </row>
    <row r="1211" spans="1:5" x14ac:dyDescent="0.4">
      <c r="A1211" s="13" t="s">
        <v>1221</v>
      </c>
      <c r="B1211" s="13" t="s">
        <v>24</v>
      </c>
      <c r="C1211" s="13" t="s">
        <v>30</v>
      </c>
      <c r="D1211" s="14">
        <v>404</v>
      </c>
      <c r="E1211" s="15">
        <v>2</v>
      </c>
    </row>
    <row r="1212" spans="1:5" x14ac:dyDescent="0.4">
      <c r="A1212" s="13" t="s">
        <v>871</v>
      </c>
      <c r="B1212" s="13" t="s">
        <v>20</v>
      </c>
      <c r="C1212" s="13" t="s">
        <v>66</v>
      </c>
      <c r="D1212" s="14">
        <v>405</v>
      </c>
      <c r="E1212" s="15">
        <v>0</v>
      </c>
    </row>
    <row r="1213" spans="1:5" x14ac:dyDescent="0.4">
      <c r="A1213" s="13" t="s">
        <v>906</v>
      </c>
      <c r="B1213" s="13" t="s">
        <v>20</v>
      </c>
      <c r="C1213" s="13" t="s">
        <v>44</v>
      </c>
      <c r="D1213" s="14">
        <v>405</v>
      </c>
      <c r="E1213" s="15">
        <v>2</v>
      </c>
    </row>
    <row r="1214" spans="1:5" x14ac:dyDescent="0.4">
      <c r="A1214" s="13" t="s">
        <v>1226</v>
      </c>
      <c r="B1214" s="13" t="s">
        <v>20</v>
      </c>
      <c r="C1214" s="13" t="s">
        <v>66</v>
      </c>
      <c r="D1214" s="14">
        <v>405</v>
      </c>
      <c r="E1214" s="15">
        <v>0</v>
      </c>
    </row>
    <row r="1215" spans="1:5" x14ac:dyDescent="0.4">
      <c r="A1215" s="13" t="s">
        <v>938</v>
      </c>
      <c r="B1215" s="13" t="s">
        <v>20</v>
      </c>
      <c r="C1215" s="13" t="s">
        <v>39</v>
      </c>
      <c r="D1215" s="14">
        <v>406</v>
      </c>
      <c r="E1215" s="15">
        <v>1</v>
      </c>
    </row>
    <row r="1216" spans="1:5" x14ac:dyDescent="0.4">
      <c r="A1216" s="13" t="s">
        <v>1564</v>
      </c>
      <c r="B1216" s="13" t="s">
        <v>20</v>
      </c>
      <c r="C1216" s="13" t="s">
        <v>43</v>
      </c>
      <c r="D1216" s="14">
        <v>406</v>
      </c>
      <c r="E1216" s="15">
        <v>7</v>
      </c>
    </row>
    <row r="1217" spans="1:5" x14ac:dyDescent="0.4">
      <c r="A1217" s="13" t="s">
        <v>278</v>
      </c>
      <c r="B1217" s="13" t="s">
        <v>20</v>
      </c>
      <c r="C1217" s="13" t="s">
        <v>39</v>
      </c>
      <c r="D1217" s="14">
        <v>407</v>
      </c>
      <c r="E1217" s="15">
        <v>0</v>
      </c>
    </row>
    <row r="1218" spans="1:5" x14ac:dyDescent="0.4">
      <c r="A1218" s="13" t="s">
        <v>780</v>
      </c>
      <c r="B1218" s="13" t="s">
        <v>24</v>
      </c>
      <c r="C1218" s="13" t="s">
        <v>44</v>
      </c>
      <c r="D1218" s="14">
        <v>407</v>
      </c>
      <c r="E1218" s="15">
        <v>2</v>
      </c>
    </row>
    <row r="1219" spans="1:5" x14ac:dyDescent="0.4">
      <c r="A1219" s="13" t="s">
        <v>1249</v>
      </c>
      <c r="B1219" s="13" t="s">
        <v>26</v>
      </c>
      <c r="C1219" s="13" t="s">
        <v>39</v>
      </c>
      <c r="D1219" s="14">
        <v>407</v>
      </c>
      <c r="E1219" s="15">
        <v>0</v>
      </c>
    </row>
    <row r="1220" spans="1:5" x14ac:dyDescent="0.4">
      <c r="A1220" s="13" t="s">
        <v>1784</v>
      </c>
      <c r="B1220" s="13" t="s">
        <v>24</v>
      </c>
      <c r="C1220" s="13" t="s">
        <v>43</v>
      </c>
      <c r="D1220" s="14">
        <v>407</v>
      </c>
      <c r="E1220" s="15">
        <v>0</v>
      </c>
    </row>
    <row r="1221" spans="1:5" x14ac:dyDescent="0.4">
      <c r="A1221" s="13" t="s">
        <v>58</v>
      </c>
      <c r="B1221" s="13" t="s">
        <v>24</v>
      </c>
      <c r="C1221" s="13" t="s">
        <v>44</v>
      </c>
      <c r="D1221" s="14">
        <v>408</v>
      </c>
      <c r="E1221" s="15">
        <v>14</v>
      </c>
    </row>
    <row r="1222" spans="1:5" x14ac:dyDescent="0.4">
      <c r="A1222" s="13" t="s">
        <v>685</v>
      </c>
      <c r="B1222" s="13" t="s">
        <v>20</v>
      </c>
      <c r="C1222" s="13" t="s">
        <v>62</v>
      </c>
      <c r="D1222" s="14">
        <v>408</v>
      </c>
      <c r="E1222" s="15">
        <v>0</v>
      </c>
    </row>
    <row r="1223" spans="1:5" x14ac:dyDescent="0.4">
      <c r="A1223" s="13" t="s">
        <v>1107</v>
      </c>
      <c r="B1223" s="13" t="s">
        <v>24</v>
      </c>
      <c r="C1223" s="13" t="s">
        <v>32</v>
      </c>
      <c r="D1223" s="14">
        <v>408</v>
      </c>
      <c r="E1223" s="15">
        <v>0</v>
      </c>
    </row>
    <row r="1224" spans="1:5" x14ac:dyDescent="0.4">
      <c r="A1224" s="13" t="s">
        <v>1490</v>
      </c>
      <c r="B1224" s="13" t="s">
        <v>24</v>
      </c>
      <c r="C1224" s="13" t="s">
        <v>27</v>
      </c>
      <c r="D1224" s="14">
        <v>408</v>
      </c>
      <c r="E1224" s="15">
        <v>6</v>
      </c>
    </row>
    <row r="1225" spans="1:5" x14ac:dyDescent="0.4">
      <c r="A1225" s="13" t="s">
        <v>1909</v>
      </c>
      <c r="B1225" s="13" t="s">
        <v>26</v>
      </c>
      <c r="C1225" s="13" t="s">
        <v>111</v>
      </c>
      <c r="D1225" s="14">
        <v>408</v>
      </c>
      <c r="E1225" s="15">
        <v>1</v>
      </c>
    </row>
    <row r="1226" spans="1:5" x14ac:dyDescent="0.4">
      <c r="A1226" s="13" t="s">
        <v>617</v>
      </c>
      <c r="B1226" s="13" t="s">
        <v>20</v>
      </c>
      <c r="C1226" s="13" t="s">
        <v>62</v>
      </c>
      <c r="D1226" s="14">
        <v>409</v>
      </c>
      <c r="E1226" s="15">
        <v>3</v>
      </c>
    </row>
    <row r="1227" spans="1:5" x14ac:dyDescent="0.4">
      <c r="A1227" s="13" t="s">
        <v>335</v>
      </c>
      <c r="B1227" s="13" t="s">
        <v>24</v>
      </c>
      <c r="C1227" s="13" t="s">
        <v>44</v>
      </c>
      <c r="D1227" s="14">
        <v>411</v>
      </c>
      <c r="E1227" s="15">
        <v>0</v>
      </c>
    </row>
    <row r="1228" spans="1:5" x14ac:dyDescent="0.4">
      <c r="A1228" s="13" t="s">
        <v>1438</v>
      </c>
      <c r="B1228" s="13" t="s">
        <v>24</v>
      </c>
      <c r="C1228" s="13" t="s">
        <v>111</v>
      </c>
      <c r="D1228" s="14">
        <v>411</v>
      </c>
      <c r="E1228" s="15">
        <v>9</v>
      </c>
    </row>
    <row r="1229" spans="1:5" x14ac:dyDescent="0.4">
      <c r="A1229" s="13" t="s">
        <v>1841</v>
      </c>
      <c r="B1229" s="13" t="s">
        <v>26</v>
      </c>
      <c r="C1229" s="13" t="s">
        <v>44</v>
      </c>
      <c r="D1229" s="14">
        <v>411</v>
      </c>
      <c r="E1229" s="15">
        <v>0</v>
      </c>
    </row>
    <row r="1230" spans="1:5" x14ac:dyDescent="0.4">
      <c r="A1230" s="13" t="s">
        <v>1082</v>
      </c>
      <c r="B1230" s="13" t="s">
        <v>24</v>
      </c>
      <c r="C1230" s="13" t="s">
        <v>5</v>
      </c>
      <c r="D1230" s="14">
        <v>412</v>
      </c>
      <c r="E1230" s="15">
        <v>0</v>
      </c>
    </row>
    <row r="1231" spans="1:5" x14ac:dyDescent="0.4">
      <c r="A1231" s="13" t="s">
        <v>1242</v>
      </c>
      <c r="B1231" s="13" t="s">
        <v>26</v>
      </c>
      <c r="C1231" s="13" t="s">
        <v>111</v>
      </c>
      <c r="D1231" s="14">
        <v>412</v>
      </c>
      <c r="E1231" s="15">
        <v>0</v>
      </c>
    </row>
    <row r="1232" spans="1:5" x14ac:dyDescent="0.4">
      <c r="A1232" s="13" t="s">
        <v>1298</v>
      </c>
      <c r="B1232" s="13" t="s">
        <v>26</v>
      </c>
      <c r="C1232" s="13" t="s">
        <v>5</v>
      </c>
      <c r="D1232" s="14">
        <v>412</v>
      </c>
      <c r="E1232" s="15">
        <v>0</v>
      </c>
    </row>
    <row r="1233" spans="1:5" x14ac:dyDescent="0.4">
      <c r="A1233" s="13" t="s">
        <v>1590</v>
      </c>
      <c r="B1233" s="13" t="s">
        <v>20</v>
      </c>
      <c r="C1233" s="13" t="s">
        <v>5</v>
      </c>
      <c r="D1233" s="14">
        <v>412</v>
      </c>
      <c r="E1233" s="15">
        <v>3</v>
      </c>
    </row>
    <row r="1234" spans="1:5" x14ac:dyDescent="0.4">
      <c r="A1234" s="13" t="s">
        <v>445</v>
      </c>
      <c r="B1234" s="13" t="s">
        <v>26</v>
      </c>
      <c r="C1234" s="13" t="s">
        <v>44</v>
      </c>
      <c r="D1234" s="14">
        <v>414</v>
      </c>
      <c r="E1234" s="15">
        <v>17</v>
      </c>
    </row>
    <row r="1235" spans="1:5" x14ac:dyDescent="0.4">
      <c r="A1235" s="13" t="s">
        <v>592</v>
      </c>
      <c r="B1235" s="13" t="s">
        <v>26</v>
      </c>
      <c r="C1235" s="13" t="s">
        <v>44</v>
      </c>
      <c r="D1235" s="14">
        <v>414</v>
      </c>
      <c r="E1235" s="15">
        <v>1</v>
      </c>
    </row>
    <row r="1236" spans="1:5" x14ac:dyDescent="0.4">
      <c r="A1236" s="13" t="s">
        <v>1120</v>
      </c>
      <c r="B1236" s="13" t="s">
        <v>20</v>
      </c>
      <c r="C1236" s="13" t="s">
        <v>39</v>
      </c>
      <c r="D1236" s="14">
        <v>414</v>
      </c>
      <c r="E1236" s="15">
        <v>13</v>
      </c>
    </row>
    <row r="1237" spans="1:5" x14ac:dyDescent="0.4">
      <c r="A1237" s="13" t="s">
        <v>1475</v>
      </c>
      <c r="B1237" s="13" t="s">
        <v>26</v>
      </c>
      <c r="C1237" s="13" t="s">
        <v>39</v>
      </c>
      <c r="D1237" s="14">
        <v>414</v>
      </c>
      <c r="E1237" s="15">
        <v>0</v>
      </c>
    </row>
    <row r="1238" spans="1:5" x14ac:dyDescent="0.4">
      <c r="A1238" s="13" t="s">
        <v>1961</v>
      </c>
      <c r="B1238" s="13" t="s">
        <v>26</v>
      </c>
      <c r="C1238" s="13" t="s">
        <v>27</v>
      </c>
      <c r="D1238" s="14">
        <v>414</v>
      </c>
      <c r="E1238" s="15">
        <v>6</v>
      </c>
    </row>
    <row r="1239" spans="1:5" x14ac:dyDescent="0.4">
      <c r="A1239" s="13" t="s">
        <v>538</v>
      </c>
      <c r="B1239" s="13" t="s">
        <v>24</v>
      </c>
      <c r="C1239" s="13" t="s">
        <v>27</v>
      </c>
      <c r="D1239" s="14">
        <v>415</v>
      </c>
      <c r="E1239" s="15">
        <v>1</v>
      </c>
    </row>
    <row r="1240" spans="1:5" x14ac:dyDescent="0.4">
      <c r="A1240" s="13" t="s">
        <v>376</v>
      </c>
      <c r="B1240" s="13" t="s">
        <v>26</v>
      </c>
      <c r="C1240" s="13" t="s">
        <v>40</v>
      </c>
      <c r="D1240" s="14">
        <v>416</v>
      </c>
      <c r="E1240" s="15">
        <v>5</v>
      </c>
    </row>
    <row r="1241" spans="1:5" x14ac:dyDescent="0.4">
      <c r="A1241" s="13" t="s">
        <v>630</v>
      </c>
      <c r="B1241" s="13" t="s">
        <v>20</v>
      </c>
      <c r="C1241" s="13" t="s">
        <v>53</v>
      </c>
      <c r="D1241" s="14">
        <v>416</v>
      </c>
      <c r="E1241" s="15">
        <v>0</v>
      </c>
    </row>
    <row r="1242" spans="1:5" x14ac:dyDescent="0.4">
      <c r="A1242" s="13" t="s">
        <v>723</v>
      </c>
      <c r="B1242" s="13" t="s">
        <v>26</v>
      </c>
      <c r="C1242" s="13" t="s">
        <v>32</v>
      </c>
      <c r="D1242" s="14">
        <v>416</v>
      </c>
      <c r="E1242" s="15">
        <v>0</v>
      </c>
    </row>
    <row r="1243" spans="1:5" x14ac:dyDescent="0.4">
      <c r="A1243" s="13" t="s">
        <v>1684</v>
      </c>
      <c r="B1243" s="13" t="s">
        <v>20</v>
      </c>
      <c r="C1243" s="13" t="s">
        <v>43</v>
      </c>
      <c r="D1243" s="14">
        <v>416</v>
      </c>
      <c r="E1243" s="15">
        <v>1</v>
      </c>
    </row>
    <row r="1244" spans="1:5" x14ac:dyDescent="0.4">
      <c r="A1244" s="13" t="s">
        <v>1720</v>
      </c>
      <c r="B1244" s="13" t="s">
        <v>24</v>
      </c>
      <c r="C1244" s="13" t="s">
        <v>34</v>
      </c>
      <c r="D1244" s="14">
        <v>416</v>
      </c>
      <c r="E1244" s="15">
        <v>9</v>
      </c>
    </row>
    <row r="1245" spans="1:5" x14ac:dyDescent="0.4">
      <c r="A1245" s="13" t="s">
        <v>293</v>
      </c>
      <c r="B1245" s="13" t="s">
        <v>24</v>
      </c>
      <c r="C1245" s="13" t="s">
        <v>62</v>
      </c>
      <c r="D1245" s="14">
        <v>417</v>
      </c>
      <c r="E1245" s="15">
        <v>0</v>
      </c>
    </row>
    <row r="1246" spans="1:5" x14ac:dyDescent="0.4">
      <c r="A1246" s="13" t="s">
        <v>962</v>
      </c>
      <c r="B1246" s="13" t="s">
        <v>24</v>
      </c>
      <c r="C1246" s="13" t="s">
        <v>39</v>
      </c>
      <c r="D1246" s="14">
        <v>417</v>
      </c>
      <c r="E1246" s="15">
        <v>4</v>
      </c>
    </row>
    <row r="1247" spans="1:5" x14ac:dyDescent="0.4">
      <c r="A1247" s="13" t="s">
        <v>1490</v>
      </c>
      <c r="B1247" s="13" t="s">
        <v>24</v>
      </c>
      <c r="C1247" s="13" t="s">
        <v>43</v>
      </c>
      <c r="D1247" s="14">
        <v>417</v>
      </c>
      <c r="E1247" s="15">
        <v>12</v>
      </c>
    </row>
    <row r="1248" spans="1:5" x14ac:dyDescent="0.4">
      <c r="A1248" s="13" t="s">
        <v>1701</v>
      </c>
      <c r="B1248" s="13" t="s">
        <v>24</v>
      </c>
      <c r="C1248" s="13" t="s">
        <v>27</v>
      </c>
      <c r="D1248" s="14">
        <v>417</v>
      </c>
      <c r="E1248" s="15">
        <v>5</v>
      </c>
    </row>
    <row r="1249" spans="1:5" x14ac:dyDescent="0.4">
      <c r="A1249" s="13" t="s">
        <v>1014</v>
      </c>
      <c r="B1249" s="13" t="s">
        <v>20</v>
      </c>
      <c r="C1249" s="13" t="s">
        <v>5</v>
      </c>
      <c r="D1249" s="14">
        <v>418</v>
      </c>
      <c r="E1249" s="15">
        <v>0</v>
      </c>
    </row>
    <row r="1250" spans="1:5" x14ac:dyDescent="0.4">
      <c r="A1250" s="13" t="s">
        <v>1410</v>
      </c>
      <c r="B1250" s="13" t="s">
        <v>26</v>
      </c>
      <c r="C1250" s="13" t="s">
        <v>5</v>
      </c>
      <c r="D1250" s="14">
        <v>418</v>
      </c>
      <c r="E1250" s="15">
        <v>0</v>
      </c>
    </row>
    <row r="1251" spans="1:5" x14ac:dyDescent="0.4">
      <c r="A1251" s="13" t="s">
        <v>348</v>
      </c>
      <c r="B1251" s="13" t="s">
        <v>26</v>
      </c>
      <c r="C1251" s="13" t="s">
        <v>27</v>
      </c>
      <c r="D1251" s="14">
        <v>419</v>
      </c>
      <c r="E1251" s="15">
        <v>2</v>
      </c>
    </row>
    <row r="1252" spans="1:5" x14ac:dyDescent="0.4">
      <c r="A1252" s="13" t="s">
        <v>909</v>
      </c>
      <c r="B1252" s="13" t="s">
        <v>24</v>
      </c>
      <c r="C1252" s="13" t="s">
        <v>44</v>
      </c>
      <c r="D1252" s="14">
        <v>419</v>
      </c>
      <c r="E1252" s="15">
        <v>0</v>
      </c>
    </row>
    <row r="1253" spans="1:5" x14ac:dyDescent="0.4">
      <c r="A1253" s="13" t="s">
        <v>1042</v>
      </c>
      <c r="B1253" s="13" t="s">
        <v>26</v>
      </c>
      <c r="C1253" s="13" t="s">
        <v>27</v>
      </c>
      <c r="D1253" s="14">
        <v>419</v>
      </c>
      <c r="E1253" s="15">
        <v>0</v>
      </c>
    </row>
    <row r="1254" spans="1:5" x14ac:dyDescent="0.4">
      <c r="A1254" s="13" t="s">
        <v>1433</v>
      </c>
      <c r="B1254" s="13" t="s">
        <v>26</v>
      </c>
      <c r="C1254" s="13" t="s">
        <v>66</v>
      </c>
      <c r="D1254" s="14">
        <v>419</v>
      </c>
      <c r="E1254" s="15">
        <v>0</v>
      </c>
    </row>
    <row r="1255" spans="1:5" x14ac:dyDescent="0.4">
      <c r="A1255" s="13" t="s">
        <v>1723</v>
      </c>
      <c r="B1255" s="13" t="s">
        <v>20</v>
      </c>
      <c r="C1255" s="13" t="s">
        <v>22</v>
      </c>
      <c r="D1255" s="14">
        <v>419</v>
      </c>
      <c r="E1255" s="15">
        <v>16</v>
      </c>
    </row>
    <row r="1256" spans="1:5" x14ac:dyDescent="0.4">
      <c r="A1256" s="13" t="s">
        <v>42</v>
      </c>
      <c r="B1256" s="13" t="s">
        <v>24</v>
      </c>
      <c r="C1256" s="13" t="s">
        <v>44</v>
      </c>
      <c r="D1256" s="14">
        <v>420</v>
      </c>
      <c r="E1256" s="15">
        <v>0</v>
      </c>
    </row>
    <row r="1257" spans="1:5" x14ac:dyDescent="0.4">
      <c r="A1257" s="13" t="s">
        <v>154</v>
      </c>
      <c r="B1257" s="13" t="s">
        <v>20</v>
      </c>
      <c r="C1257" s="13" t="s">
        <v>21</v>
      </c>
      <c r="D1257" s="14">
        <v>420</v>
      </c>
      <c r="E1257" s="15">
        <v>0</v>
      </c>
    </row>
    <row r="1258" spans="1:5" x14ac:dyDescent="0.4">
      <c r="A1258" s="13" t="s">
        <v>622</v>
      </c>
      <c r="B1258" s="13" t="s">
        <v>20</v>
      </c>
      <c r="C1258" s="13" t="s">
        <v>27</v>
      </c>
      <c r="D1258" s="14">
        <v>420</v>
      </c>
      <c r="E1258" s="15">
        <v>0</v>
      </c>
    </row>
    <row r="1259" spans="1:5" x14ac:dyDescent="0.4">
      <c r="A1259" s="13" t="s">
        <v>661</v>
      </c>
      <c r="B1259" s="13" t="s">
        <v>20</v>
      </c>
      <c r="C1259" s="13" t="s">
        <v>30</v>
      </c>
      <c r="D1259" s="14">
        <v>420</v>
      </c>
      <c r="E1259" s="15">
        <v>1</v>
      </c>
    </row>
    <row r="1260" spans="1:5" x14ac:dyDescent="0.4">
      <c r="A1260" s="13" t="s">
        <v>808</v>
      </c>
      <c r="B1260" s="13" t="s">
        <v>24</v>
      </c>
      <c r="C1260" s="13" t="s">
        <v>33</v>
      </c>
      <c r="D1260" s="14">
        <v>420</v>
      </c>
      <c r="E1260" s="15">
        <v>0</v>
      </c>
    </row>
    <row r="1261" spans="1:5" x14ac:dyDescent="0.4">
      <c r="A1261" s="13" t="s">
        <v>247</v>
      </c>
      <c r="B1261" s="13" t="s">
        <v>20</v>
      </c>
      <c r="C1261" s="13" t="s">
        <v>28</v>
      </c>
      <c r="D1261" s="14">
        <v>421</v>
      </c>
      <c r="E1261" s="15">
        <v>0</v>
      </c>
    </row>
    <row r="1262" spans="1:5" x14ac:dyDescent="0.4">
      <c r="A1262" s="13" t="s">
        <v>1518</v>
      </c>
      <c r="B1262" s="13" t="s">
        <v>20</v>
      </c>
      <c r="C1262" s="13" t="s">
        <v>30</v>
      </c>
      <c r="D1262" s="14">
        <v>421</v>
      </c>
      <c r="E1262" s="15">
        <v>6</v>
      </c>
    </row>
    <row r="1263" spans="1:5" x14ac:dyDescent="0.4">
      <c r="A1263" s="13" t="s">
        <v>1537</v>
      </c>
      <c r="B1263" s="13" t="s">
        <v>20</v>
      </c>
      <c r="C1263" s="13" t="s">
        <v>44</v>
      </c>
      <c r="D1263" s="14">
        <v>421</v>
      </c>
      <c r="E1263" s="15">
        <v>0</v>
      </c>
    </row>
    <row r="1264" spans="1:5" x14ac:dyDescent="0.4">
      <c r="A1264" s="13" t="s">
        <v>1733</v>
      </c>
      <c r="B1264" s="13" t="s">
        <v>24</v>
      </c>
      <c r="C1264" s="13" t="s">
        <v>30</v>
      </c>
      <c r="D1264" s="14">
        <v>421</v>
      </c>
      <c r="E1264" s="15">
        <v>0</v>
      </c>
    </row>
    <row r="1265" spans="1:5" x14ac:dyDescent="0.4">
      <c r="A1265" s="13" t="s">
        <v>1964</v>
      </c>
      <c r="B1265" s="13" t="s">
        <v>20</v>
      </c>
      <c r="C1265" s="13" t="s">
        <v>30</v>
      </c>
      <c r="D1265" s="14">
        <v>421</v>
      </c>
      <c r="E1265" s="15">
        <v>17</v>
      </c>
    </row>
    <row r="1266" spans="1:5" x14ac:dyDescent="0.4">
      <c r="A1266" s="13" t="s">
        <v>374</v>
      </c>
      <c r="B1266" s="13" t="s">
        <v>26</v>
      </c>
      <c r="C1266" s="13" t="s">
        <v>27</v>
      </c>
      <c r="D1266" s="14">
        <v>422</v>
      </c>
      <c r="E1266" s="15">
        <v>8</v>
      </c>
    </row>
    <row r="1267" spans="1:5" x14ac:dyDescent="0.4">
      <c r="A1267" s="13" t="s">
        <v>775</v>
      </c>
      <c r="B1267" s="13" t="s">
        <v>24</v>
      </c>
      <c r="C1267" s="13" t="s">
        <v>28</v>
      </c>
      <c r="D1267" s="14">
        <v>422</v>
      </c>
      <c r="E1267" s="15">
        <v>4</v>
      </c>
    </row>
    <row r="1268" spans="1:5" x14ac:dyDescent="0.4">
      <c r="A1268" s="13" t="s">
        <v>1271</v>
      </c>
      <c r="B1268" s="13" t="s">
        <v>20</v>
      </c>
      <c r="C1268" s="13" t="s">
        <v>44</v>
      </c>
      <c r="D1268" s="14">
        <v>422</v>
      </c>
      <c r="E1268" s="15">
        <v>2</v>
      </c>
    </row>
    <row r="1269" spans="1:5" x14ac:dyDescent="0.4">
      <c r="A1269" s="13" t="s">
        <v>1779</v>
      </c>
      <c r="B1269" s="13" t="s">
        <v>20</v>
      </c>
      <c r="C1269" s="13" t="s">
        <v>44</v>
      </c>
      <c r="D1269" s="14">
        <v>422</v>
      </c>
      <c r="E1269" s="15">
        <v>3</v>
      </c>
    </row>
    <row r="1270" spans="1:5" x14ac:dyDescent="0.4">
      <c r="A1270" s="13" t="s">
        <v>1877</v>
      </c>
      <c r="B1270" s="13" t="s">
        <v>20</v>
      </c>
      <c r="C1270" s="13" t="s">
        <v>27</v>
      </c>
      <c r="D1270" s="14">
        <v>422</v>
      </c>
      <c r="E1270" s="15">
        <v>0</v>
      </c>
    </row>
    <row r="1271" spans="1:5" x14ac:dyDescent="0.4">
      <c r="A1271" s="13" t="s">
        <v>633</v>
      </c>
      <c r="B1271" s="13" t="s">
        <v>26</v>
      </c>
      <c r="C1271" s="13" t="s">
        <v>25</v>
      </c>
      <c r="D1271" s="14">
        <v>423</v>
      </c>
      <c r="E1271" s="15">
        <v>0</v>
      </c>
    </row>
    <row r="1272" spans="1:5" x14ac:dyDescent="0.4">
      <c r="A1272" s="13" t="s">
        <v>1122</v>
      </c>
      <c r="B1272" s="13" t="s">
        <v>24</v>
      </c>
      <c r="C1272" s="13" t="s">
        <v>66</v>
      </c>
      <c r="D1272" s="14">
        <v>423</v>
      </c>
      <c r="E1272" s="15">
        <v>14</v>
      </c>
    </row>
    <row r="1273" spans="1:5" x14ac:dyDescent="0.4">
      <c r="A1273" s="13" t="s">
        <v>1712</v>
      </c>
      <c r="B1273" s="13" t="s">
        <v>24</v>
      </c>
      <c r="C1273" s="13" t="s">
        <v>44</v>
      </c>
      <c r="D1273" s="14">
        <v>424</v>
      </c>
      <c r="E1273" s="15">
        <v>0</v>
      </c>
    </row>
    <row r="1274" spans="1:5" x14ac:dyDescent="0.4">
      <c r="A1274" s="13" t="s">
        <v>1795</v>
      </c>
      <c r="B1274" s="13" t="s">
        <v>24</v>
      </c>
      <c r="C1274" s="13" t="s">
        <v>44</v>
      </c>
      <c r="D1274" s="14">
        <v>424</v>
      </c>
      <c r="E1274" s="15">
        <v>8</v>
      </c>
    </row>
    <row r="1275" spans="1:5" x14ac:dyDescent="0.4">
      <c r="A1275" s="13" t="s">
        <v>904</v>
      </c>
      <c r="B1275" s="13" t="s">
        <v>20</v>
      </c>
      <c r="C1275" s="13" t="s">
        <v>30</v>
      </c>
      <c r="D1275" s="14">
        <v>425</v>
      </c>
      <c r="E1275" s="15">
        <v>2</v>
      </c>
    </row>
    <row r="1276" spans="1:5" x14ac:dyDescent="0.4">
      <c r="A1276" s="13" t="s">
        <v>1261</v>
      </c>
      <c r="B1276" s="13" t="s">
        <v>24</v>
      </c>
      <c r="C1276" s="13" t="s">
        <v>25</v>
      </c>
      <c r="D1276" s="14">
        <v>425</v>
      </c>
      <c r="E1276" s="15">
        <v>7</v>
      </c>
    </row>
    <row r="1277" spans="1:5" x14ac:dyDescent="0.4">
      <c r="A1277" s="13" t="s">
        <v>123</v>
      </c>
      <c r="B1277" s="13" t="s">
        <v>26</v>
      </c>
      <c r="C1277" s="13" t="s">
        <v>39</v>
      </c>
      <c r="D1277" s="14">
        <v>426</v>
      </c>
      <c r="E1277" s="15">
        <v>6</v>
      </c>
    </row>
    <row r="1278" spans="1:5" x14ac:dyDescent="0.4">
      <c r="A1278" s="13" t="s">
        <v>805</v>
      </c>
      <c r="B1278" s="13" t="s">
        <v>24</v>
      </c>
      <c r="C1278" s="13" t="s">
        <v>39</v>
      </c>
      <c r="D1278" s="14">
        <v>426</v>
      </c>
      <c r="E1278" s="15">
        <v>0</v>
      </c>
    </row>
    <row r="1279" spans="1:5" x14ac:dyDescent="0.4">
      <c r="A1279" s="13" t="s">
        <v>1467</v>
      </c>
      <c r="B1279" s="13" t="s">
        <v>24</v>
      </c>
      <c r="C1279" s="13" t="s">
        <v>111</v>
      </c>
      <c r="D1279" s="14">
        <v>426</v>
      </c>
      <c r="E1279" s="15">
        <v>1</v>
      </c>
    </row>
    <row r="1280" spans="1:5" x14ac:dyDescent="0.4">
      <c r="A1280" s="13" t="s">
        <v>922</v>
      </c>
      <c r="B1280" s="13" t="s">
        <v>26</v>
      </c>
      <c r="C1280" s="13" t="s">
        <v>39</v>
      </c>
      <c r="D1280" s="14">
        <v>427</v>
      </c>
      <c r="E1280" s="15">
        <v>1</v>
      </c>
    </row>
    <row r="1281" spans="1:5" x14ac:dyDescent="0.4">
      <c r="A1281" s="13" t="s">
        <v>1175</v>
      </c>
      <c r="B1281" s="13" t="s">
        <v>24</v>
      </c>
      <c r="C1281" s="13" t="s">
        <v>5</v>
      </c>
      <c r="D1281" s="14">
        <v>428</v>
      </c>
      <c r="E1281" s="15">
        <v>4</v>
      </c>
    </row>
    <row r="1282" spans="1:5" x14ac:dyDescent="0.4">
      <c r="A1282" s="13" t="s">
        <v>65</v>
      </c>
      <c r="B1282" s="13" t="s">
        <v>20</v>
      </c>
      <c r="C1282" s="13" t="s">
        <v>66</v>
      </c>
      <c r="D1282" s="14">
        <v>429</v>
      </c>
      <c r="E1282" s="15">
        <v>3</v>
      </c>
    </row>
    <row r="1283" spans="1:5" x14ac:dyDescent="0.4">
      <c r="A1283" s="13" t="s">
        <v>892</v>
      </c>
      <c r="B1283" s="13" t="s">
        <v>26</v>
      </c>
      <c r="C1283" s="13" t="s">
        <v>30</v>
      </c>
      <c r="D1283" s="14">
        <v>429</v>
      </c>
      <c r="E1283" s="15">
        <v>0</v>
      </c>
    </row>
    <row r="1284" spans="1:5" x14ac:dyDescent="0.4">
      <c r="A1284" s="13" t="s">
        <v>1596</v>
      </c>
      <c r="B1284" s="13" t="s">
        <v>24</v>
      </c>
      <c r="C1284" s="13" t="s">
        <v>27</v>
      </c>
      <c r="D1284" s="14">
        <v>429</v>
      </c>
      <c r="E1284" s="15">
        <v>0</v>
      </c>
    </row>
    <row r="1285" spans="1:5" x14ac:dyDescent="0.4">
      <c r="A1285" s="13" t="s">
        <v>1381</v>
      </c>
      <c r="B1285" s="13" t="s">
        <v>20</v>
      </c>
      <c r="C1285" s="13" t="s">
        <v>5</v>
      </c>
      <c r="D1285" s="14">
        <v>430</v>
      </c>
      <c r="E1285" s="15">
        <v>0</v>
      </c>
    </row>
    <row r="1286" spans="1:5" x14ac:dyDescent="0.4">
      <c r="A1286" s="13" t="s">
        <v>1566</v>
      </c>
      <c r="B1286" s="13" t="s">
        <v>26</v>
      </c>
      <c r="C1286" s="13" t="s">
        <v>34</v>
      </c>
      <c r="D1286" s="14">
        <v>430</v>
      </c>
      <c r="E1286" s="15">
        <v>0</v>
      </c>
    </row>
    <row r="1287" spans="1:5" x14ac:dyDescent="0.4">
      <c r="A1287" s="13" t="s">
        <v>1618</v>
      </c>
      <c r="B1287" s="13" t="s">
        <v>20</v>
      </c>
      <c r="C1287" s="13" t="s">
        <v>32</v>
      </c>
      <c r="D1287" s="14">
        <v>430</v>
      </c>
      <c r="E1287" s="15">
        <v>0</v>
      </c>
    </row>
    <row r="1288" spans="1:5" x14ac:dyDescent="0.4">
      <c r="A1288" s="13" t="s">
        <v>1785</v>
      </c>
      <c r="B1288" s="13" t="s">
        <v>20</v>
      </c>
      <c r="C1288" s="13" t="s">
        <v>40</v>
      </c>
      <c r="D1288" s="14">
        <v>430</v>
      </c>
      <c r="E1288" s="15">
        <v>4</v>
      </c>
    </row>
    <row r="1289" spans="1:5" x14ac:dyDescent="0.4">
      <c r="A1289" s="13" t="s">
        <v>1797</v>
      </c>
      <c r="B1289" s="13" t="s">
        <v>26</v>
      </c>
      <c r="C1289" s="13" t="s">
        <v>44</v>
      </c>
      <c r="D1289" s="14">
        <v>430</v>
      </c>
      <c r="E1289" s="15">
        <v>1</v>
      </c>
    </row>
    <row r="1290" spans="1:5" x14ac:dyDescent="0.4">
      <c r="A1290" s="13" t="s">
        <v>426</v>
      </c>
      <c r="B1290" s="13" t="s">
        <v>24</v>
      </c>
      <c r="C1290" s="13" t="s">
        <v>40</v>
      </c>
      <c r="D1290" s="14">
        <v>431</v>
      </c>
      <c r="E1290" s="15">
        <v>0</v>
      </c>
    </row>
    <row r="1291" spans="1:5" x14ac:dyDescent="0.4">
      <c r="A1291" s="13" t="s">
        <v>117</v>
      </c>
      <c r="B1291" s="13" t="s">
        <v>26</v>
      </c>
      <c r="C1291" s="13" t="s">
        <v>34</v>
      </c>
      <c r="D1291" s="14">
        <v>432</v>
      </c>
      <c r="E1291" s="15">
        <v>8</v>
      </c>
    </row>
    <row r="1292" spans="1:5" x14ac:dyDescent="0.4">
      <c r="A1292" s="13" t="s">
        <v>693</v>
      </c>
      <c r="B1292" s="13" t="s">
        <v>26</v>
      </c>
      <c r="C1292" s="13" t="s">
        <v>43</v>
      </c>
      <c r="D1292" s="14">
        <v>432</v>
      </c>
      <c r="E1292" s="15">
        <v>2</v>
      </c>
    </row>
    <row r="1293" spans="1:5" x14ac:dyDescent="0.4">
      <c r="A1293" s="13" t="s">
        <v>695</v>
      </c>
      <c r="B1293" s="13" t="s">
        <v>24</v>
      </c>
      <c r="C1293" s="13" t="s">
        <v>44</v>
      </c>
      <c r="D1293" s="14">
        <v>432</v>
      </c>
      <c r="E1293" s="15">
        <v>5</v>
      </c>
    </row>
    <row r="1294" spans="1:5" x14ac:dyDescent="0.4">
      <c r="A1294" s="13" t="s">
        <v>1347</v>
      </c>
      <c r="B1294" s="13" t="s">
        <v>20</v>
      </c>
      <c r="C1294" s="13" t="s">
        <v>28</v>
      </c>
      <c r="D1294" s="14">
        <v>432</v>
      </c>
      <c r="E1294" s="15">
        <v>0</v>
      </c>
    </row>
    <row r="1295" spans="1:5" x14ac:dyDescent="0.4">
      <c r="A1295" s="13" t="s">
        <v>1789</v>
      </c>
      <c r="B1295" s="13" t="s">
        <v>24</v>
      </c>
      <c r="C1295" s="13" t="s">
        <v>5</v>
      </c>
      <c r="D1295" s="14">
        <v>432</v>
      </c>
      <c r="E1295" s="15">
        <v>4</v>
      </c>
    </row>
    <row r="1296" spans="1:5" x14ac:dyDescent="0.4">
      <c r="A1296" s="13" t="s">
        <v>351</v>
      </c>
      <c r="B1296" s="13" t="s">
        <v>26</v>
      </c>
      <c r="C1296" s="13" t="s">
        <v>5</v>
      </c>
      <c r="D1296" s="14">
        <v>433</v>
      </c>
      <c r="E1296" s="15">
        <v>1</v>
      </c>
    </row>
    <row r="1297" spans="1:5" x14ac:dyDescent="0.4">
      <c r="A1297" s="13" t="s">
        <v>716</v>
      </c>
      <c r="B1297" s="13" t="s">
        <v>24</v>
      </c>
      <c r="C1297" s="13" t="s">
        <v>34</v>
      </c>
      <c r="D1297" s="14">
        <v>433</v>
      </c>
      <c r="E1297" s="15">
        <v>1</v>
      </c>
    </row>
    <row r="1298" spans="1:5" x14ac:dyDescent="0.4">
      <c r="A1298" s="13" t="s">
        <v>976</v>
      </c>
      <c r="B1298" s="13" t="s">
        <v>26</v>
      </c>
      <c r="C1298" s="13" t="s">
        <v>27</v>
      </c>
      <c r="D1298" s="14">
        <v>433</v>
      </c>
      <c r="E1298" s="15">
        <v>2</v>
      </c>
    </row>
    <row r="1299" spans="1:5" x14ac:dyDescent="0.4">
      <c r="A1299" s="13" t="s">
        <v>413</v>
      </c>
      <c r="B1299" s="13" t="s">
        <v>26</v>
      </c>
      <c r="C1299" s="13" t="s">
        <v>43</v>
      </c>
      <c r="D1299" s="14">
        <v>434</v>
      </c>
      <c r="E1299" s="15">
        <v>2</v>
      </c>
    </row>
    <row r="1300" spans="1:5" x14ac:dyDescent="0.4">
      <c r="A1300" s="13" t="s">
        <v>485</v>
      </c>
      <c r="B1300" s="13" t="s">
        <v>20</v>
      </c>
      <c r="C1300" s="13" t="s">
        <v>30</v>
      </c>
      <c r="D1300" s="14">
        <v>434</v>
      </c>
      <c r="E1300" s="15">
        <v>0</v>
      </c>
    </row>
    <row r="1301" spans="1:5" x14ac:dyDescent="0.4">
      <c r="A1301" s="13" t="s">
        <v>607</v>
      </c>
      <c r="B1301" s="13" t="s">
        <v>20</v>
      </c>
      <c r="C1301" s="13" t="s">
        <v>66</v>
      </c>
      <c r="D1301" s="14">
        <v>434</v>
      </c>
      <c r="E1301" s="15">
        <v>9</v>
      </c>
    </row>
    <row r="1302" spans="1:5" x14ac:dyDescent="0.4">
      <c r="A1302" s="13" t="s">
        <v>1398</v>
      </c>
      <c r="B1302" s="13" t="s">
        <v>20</v>
      </c>
      <c r="C1302" s="13" t="s">
        <v>21</v>
      </c>
      <c r="D1302" s="14">
        <v>434</v>
      </c>
      <c r="E1302" s="15">
        <v>0</v>
      </c>
    </row>
    <row r="1303" spans="1:5" x14ac:dyDescent="0.4">
      <c r="A1303" s="13" t="s">
        <v>232</v>
      </c>
      <c r="B1303" s="13" t="s">
        <v>24</v>
      </c>
      <c r="C1303" s="13" t="s">
        <v>44</v>
      </c>
      <c r="D1303" s="14">
        <v>435</v>
      </c>
      <c r="E1303" s="15">
        <v>5</v>
      </c>
    </row>
    <row r="1304" spans="1:5" x14ac:dyDescent="0.4">
      <c r="A1304" s="13" t="s">
        <v>1570</v>
      </c>
      <c r="B1304" s="13" t="s">
        <v>20</v>
      </c>
      <c r="C1304" s="13" t="s">
        <v>25</v>
      </c>
      <c r="D1304" s="14">
        <v>435</v>
      </c>
      <c r="E1304" s="15">
        <v>6</v>
      </c>
    </row>
    <row r="1305" spans="1:5" x14ac:dyDescent="0.4">
      <c r="A1305" s="13" t="s">
        <v>1720</v>
      </c>
      <c r="B1305" s="13" t="s">
        <v>20</v>
      </c>
      <c r="C1305" s="13" t="s">
        <v>27</v>
      </c>
      <c r="D1305" s="14">
        <v>435</v>
      </c>
      <c r="E1305" s="15">
        <v>0</v>
      </c>
    </row>
    <row r="1306" spans="1:5" x14ac:dyDescent="0.4">
      <c r="A1306" s="13" t="s">
        <v>37</v>
      </c>
      <c r="B1306" s="13" t="s">
        <v>20</v>
      </c>
      <c r="C1306" s="13" t="s">
        <v>25</v>
      </c>
      <c r="D1306" s="14">
        <v>436</v>
      </c>
      <c r="E1306" s="15">
        <v>0</v>
      </c>
    </row>
    <row r="1307" spans="1:5" x14ac:dyDescent="0.4">
      <c r="A1307" s="13" t="s">
        <v>466</v>
      </c>
      <c r="B1307" s="13" t="s">
        <v>20</v>
      </c>
      <c r="C1307" s="13" t="s">
        <v>111</v>
      </c>
      <c r="D1307" s="14">
        <v>436</v>
      </c>
      <c r="E1307" s="15">
        <v>0</v>
      </c>
    </row>
    <row r="1308" spans="1:5" x14ac:dyDescent="0.4">
      <c r="A1308" s="13" t="s">
        <v>584</v>
      </c>
      <c r="B1308" s="13" t="s">
        <v>26</v>
      </c>
      <c r="C1308" s="13" t="s">
        <v>62</v>
      </c>
      <c r="D1308" s="14">
        <v>436</v>
      </c>
      <c r="E1308" s="15">
        <v>3</v>
      </c>
    </row>
    <row r="1309" spans="1:5" x14ac:dyDescent="0.4">
      <c r="A1309" s="13" t="s">
        <v>771</v>
      </c>
      <c r="B1309" s="13" t="s">
        <v>26</v>
      </c>
      <c r="C1309" s="13" t="s">
        <v>44</v>
      </c>
      <c r="D1309" s="14">
        <v>436</v>
      </c>
      <c r="E1309" s="15">
        <v>0</v>
      </c>
    </row>
    <row r="1310" spans="1:5" x14ac:dyDescent="0.4">
      <c r="A1310" s="13" t="s">
        <v>1096</v>
      </c>
      <c r="B1310" s="13" t="s">
        <v>26</v>
      </c>
      <c r="C1310" s="13" t="s">
        <v>40</v>
      </c>
      <c r="D1310" s="14">
        <v>436</v>
      </c>
      <c r="E1310" s="15">
        <v>0</v>
      </c>
    </row>
    <row r="1311" spans="1:5" x14ac:dyDescent="0.4">
      <c r="A1311" s="13" t="s">
        <v>1535</v>
      </c>
      <c r="B1311" s="13" t="s">
        <v>24</v>
      </c>
      <c r="C1311" s="13" t="s">
        <v>44</v>
      </c>
      <c r="D1311" s="14">
        <v>436</v>
      </c>
      <c r="E1311" s="15">
        <v>6</v>
      </c>
    </row>
    <row r="1312" spans="1:5" x14ac:dyDescent="0.4">
      <c r="A1312" s="13" t="s">
        <v>1591</v>
      </c>
      <c r="B1312" s="13" t="s">
        <v>26</v>
      </c>
      <c r="C1312" s="13" t="s">
        <v>33</v>
      </c>
      <c r="D1312" s="14">
        <v>436</v>
      </c>
      <c r="E1312" s="15">
        <v>10</v>
      </c>
    </row>
    <row r="1313" spans="1:5" x14ac:dyDescent="0.4">
      <c r="A1313" s="13" t="s">
        <v>106</v>
      </c>
      <c r="B1313" s="13" t="s">
        <v>24</v>
      </c>
      <c r="C1313" s="13" t="s">
        <v>44</v>
      </c>
      <c r="D1313" s="14">
        <v>437</v>
      </c>
      <c r="E1313" s="15">
        <v>1</v>
      </c>
    </row>
    <row r="1314" spans="1:5" x14ac:dyDescent="0.4">
      <c r="A1314" s="13" t="s">
        <v>881</v>
      </c>
      <c r="B1314" s="13" t="s">
        <v>20</v>
      </c>
      <c r="C1314" s="13" t="s">
        <v>44</v>
      </c>
      <c r="D1314" s="14">
        <v>437</v>
      </c>
      <c r="E1314" s="15">
        <v>0</v>
      </c>
    </row>
    <row r="1315" spans="1:5" x14ac:dyDescent="0.4">
      <c r="A1315" s="13" t="s">
        <v>1796</v>
      </c>
      <c r="B1315" s="13" t="s">
        <v>20</v>
      </c>
      <c r="C1315" s="13" t="s">
        <v>39</v>
      </c>
      <c r="D1315" s="14">
        <v>437</v>
      </c>
      <c r="E1315" s="15">
        <v>4</v>
      </c>
    </row>
    <row r="1316" spans="1:5" x14ac:dyDescent="0.4">
      <c r="A1316" s="13" t="s">
        <v>483</v>
      </c>
      <c r="B1316" s="13" t="s">
        <v>24</v>
      </c>
      <c r="C1316" s="13" t="s">
        <v>66</v>
      </c>
      <c r="D1316" s="14">
        <v>438</v>
      </c>
      <c r="E1316" s="15">
        <v>0</v>
      </c>
    </row>
    <row r="1317" spans="1:5" x14ac:dyDescent="0.4">
      <c r="A1317" s="13" t="s">
        <v>642</v>
      </c>
      <c r="B1317" s="13" t="s">
        <v>26</v>
      </c>
      <c r="C1317" s="13" t="s">
        <v>27</v>
      </c>
      <c r="D1317" s="14">
        <v>438</v>
      </c>
      <c r="E1317" s="15">
        <v>1</v>
      </c>
    </row>
    <row r="1318" spans="1:5" x14ac:dyDescent="0.4">
      <c r="A1318" s="13" t="s">
        <v>984</v>
      </c>
      <c r="B1318" s="13" t="s">
        <v>26</v>
      </c>
      <c r="C1318" s="13" t="s">
        <v>44</v>
      </c>
      <c r="D1318" s="14">
        <v>438</v>
      </c>
      <c r="E1318" s="15">
        <v>0</v>
      </c>
    </row>
    <row r="1319" spans="1:5" x14ac:dyDescent="0.4">
      <c r="A1319" s="13" t="s">
        <v>368</v>
      </c>
      <c r="B1319" s="13" t="s">
        <v>24</v>
      </c>
      <c r="C1319" s="13" t="s">
        <v>30</v>
      </c>
      <c r="D1319" s="14">
        <v>439</v>
      </c>
      <c r="E1319" s="15">
        <v>4</v>
      </c>
    </row>
    <row r="1320" spans="1:5" x14ac:dyDescent="0.4">
      <c r="A1320" s="13" t="s">
        <v>682</v>
      </c>
      <c r="B1320" s="13" t="s">
        <v>20</v>
      </c>
      <c r="C1320" s="13" t="s">
        <v>22</v>
      </c>
      <c r="D1320" s="14">
        <v>439</v>
      </c>
      <c r="E1320" s="15">
        <v>0</v>
      </c>
    </row>
    <row r="1321" spans="1:5" x14ac:dyDescent="0.4">
      <c r="A1321" s="13" t="s">
        <v>1092</v>
      </c>
      <c r="B1321" s="13" t="s">
        <v>26</v>
      </c>
      <c r="C1321" s="13" t="s">
        <v>25</v>
      </c>
      <c r="D1321" s="14">
        <v>439</v>
      </c>
      <c r="E1321" s="15">
        <v>3</v>
      </c>
    </row>
    <row r="1322" spans="1:5" x14ac:dyDescent="0.4">
      <c r="A1322" s="13" t="s">
        <v>1284</v>
      </c>
      <c r="B1322" s="13" t="s">
        <v>20</v>
      </c>
      <c r="C1322" s="13" t="s">
        <v>27</v>
      </c>
      <c r="D1322" s="14">
        <v>439</v>
      </c>
      <c r="E1322" s="15">
        <v>2</v>
      </c>
    </row>
    <row r="1323" spans="1:5" x14ac:dyDescent="0.4">
      <c r="A1323" s="13" t="s">
        <v>414</v>
      </c>
      <c r="B1323" s="13" t="s">
        <v>20</v>
      </c>
      <c r="C1323" s="13" t="s">
        <v>21</v>
      </c>
      <c r="D1323" s="14">
        <v>440</v>
      </c>
      <c r="E1323" s="15">
        <v>3</v>
      </c>
    </row>
    <row r="1324" spans="1:5" x14ac:dyDescent="0.4">
      <c r="A1324" s="13" t="s">
        <v>705</v>
      </c>
      <c r="B1324" s="13" t="s">
        <v>20</v>
      </c>
      <c r="C1324" s="13" t="s">
        <v>43</v>
      </c>
      <c r="D1324" s="14">
        <v>440</v>
      </c>
      <c r="E1324" s="15">
        <v>6</v>
      </c>
    </row>
    <row r="1325" spans="1:5" x14ac:dyDescent="0.4">
      <c r="A1325" s="13" t="s">
        <v>1153</v>
      </c>
      <c r="B1325" s="13" t="s">
        <v>24</v>
      </c>
      <c r="C1325" s="13" t="s">
        <v>111</v>
      </c>
      <c r="D1325" s="14">
        <v>440</v>
      </c>
      <c r="E1325" s="15">
        <v>0</v>
      </c>
    </row>
    <row r="1326" spans="1:5" x14ac:dyDescent="0.4">
      <c r="A1326" s="13" t="s">
        <v>254</v>
      </c>
      <c r="B1326" s="13" t="s">
        <v>24</v>
      </c>
      <c r="C1326" s="13" t="s">
        <v>28</v>
      </c>
      <c r="D1326" s="14">
        <v>441</v>
      </c>
      <c r="E1326" s="15">
        <v>1</v>
      </c>
    </row>
    <row r="1327" spans="1:5" x14ac:dyDescent="0.4">
      <c r="A1327" s="13" t="s">
        <v>926</v>
      </c>
      <c r="B1327" s="13" t="s">
        <v>20</v>
      </c>
      <c r="C1327" s="13" t="s">
        <v>30</v>
      </c>
      <c r="D1327" s="14">
        <v>441</v>
      </c>
      <c r="E1327" s="15">
        <v>0</v>
      </c>
    </row>
    <row r="1328" spans="1:5" x14ac:dyDescent="0.4">
      <c r="A1328" s="13" t="s">
        <v>1074</v>
      </c>
      <c r="B1328" s="13" t="s">
        <v>26</v>
      </c>
      <c r="C1328" s="13" t="s">
        <v>111</v>
      </c>
      <c r="D1328" s="14">
        <v>442</v>
      </c>
      <c r="E1328" s="15">
        <v>1</v>
      </c>
    </row>
    <row r="1329" spans="1:5" x14ac:dyDescent="0.4">
      <c r="A1329" s="13" t="s">
        <v>1969</v>
      </c>
      <c r="B1329" s="13" t="s">
        <v>24</v>
      </c>
      <c r="C1329" s="13" t="s">
        <v>22</v>
      </c>
      <c r="D1329" s="14">
        <v>443</v>
      </c>
      <c r="E1329" s="15">
        <v>0</v>
      </c>
    </row>
    <row r="1330" spans="1:5" x14ac:dyDescent="0.4">
      <c r="A1330" s="13" t="s">
        <v>544</v>
      </c>
      <c r="B1330" s="13" t="s">
        <v>20</v>
      </c>
      <c r="C1330" s="13" t="s">
        <v>30</v>
      </c>
      <c r="D1330" s="14">
        <v>444</v>
      </c>
      <c r="E1330" s="15">
        <v>0</v>
      </c>
    </row>
    <row r="1331" spans="1:5" x14ac:dyDescent="0.4">
      <c r="A1331" s="13" t="s">
        <v>1710</v>
      </c>
      <c r="B1331" s="13" t="s">
        <v>20</v>
      </c>
      <c r="C1331" s="13" t="s">
        <v>66</v>
      </c>
      <c r="D1331" s="14">
        <v>444</v>
      </c>
      <c r="E1331" s="15">
        <v>1</v>
      </c>
    </row>
    <row r="1332" spans="1:5" x14ac:dyDescent="0.4">
      <c r="A1332" s="13" t="s">
        <v>402</v>
      </c>
      <c r="B1332" s="13" t="s">
        <v>24</v>
      </c>
      <c r="C1332" s="13" t="s">
        <v>5</v>
      </c>
      <c r="D1332" s="14">
        <v>445</v>
      </c>
      <c r="E1332" s="15">
        <v>1</v>
      </c>
    </row>
    <row r="1333" spans="1:5" x14ac:dyDescent="0.4">
      <c r="A1333" s="13" t="s">
        <v>1352</v>
      </c>
      <c r="B1333" s="13" t="s">
        <v>20</v>
      </c>
      <c r="C1333" s="13" t="s">
        <v>111</v>
      </c>
      <c r="D1333" s="14">
        <v>446</v>
      </c>
      <c r="E1333" s="15">
        <v>3</v>
      </c>
    </row>
    <row r="1334" spans="1:5" x14ac:dyDescent="0.4">
      <c r="A1334" s="13" t="s">
        <v>1609</v>
      </c>
      <c r="B1334" s="13" t="s">
        <v>26</v>
      </c>
      <c r="C1334" s="13" t="s">
        <v>5</v>
      </c>
      <c r="D1334" s="14">
        <v>446</v>
      </c>
      <c r="E1334" s="15">
        <v>10</v>
      </c>
    </row>
    <row r="1335" spans="1:5" x14ac:dyDescent="0.4">
      <c r="A1335" s="13" t="s">
        <v>1612</v>
      </c>
      <c r="B1335" s="13" t="s">
        <v>26</v>
      </c>
      <c r="C1335" s="13" t="s">
        <v>44</v>
      </c>
      <c r="D1335" s="14">
        <v>446</v>
      </c>
      <c r="E1335" s="15">
        <v>0</v>
      </c>
    </row>
    <row r="1336" spans="1:5" x14ac:dyDescent="0.4">
      <c r="A1336" s="13" t="s">
        <v>1749</v>
      </c>
      <c r="B1336" s="13" t="s">
        <v>20</v>
      </c>
      <c r="C1336" s="13" t="s">
        <v>44</v>
      </c>
      <c r="D1336" s="14">
        <v>446</v>
      </c>
      <c r="E1336" s="15">
        <v>2</v>
      </c>
    </row>
    <row r="1337" spans="1:5" x14ac:dyDescent="0.4">
      <c r="A1337" s="13" t="s">
        <v>419</v>
      </c>
      <c r="B1337" s="13" t="s">
        <v>20</v>
      </c>
      <c r="C1337" s="13" t="s">
        <v>62</v>
      </c>
      <c r="D1337" s="14">
        <v>447</v>
      </c>
      <c r="E1337" s="15">
        <v>2</v>
      </c>
    </row>
    <row r="1338" spans="1:5" x14ac:dyDescent="0.4">
      <c r="A1338" s="13" t="s">
        <v>748</v>
      </c>
      <c r="B1338" s="13" t="s">
        <v>20</v>
      </c>
      <c r="C1338" s="13" t="s">
        <v>43</v>
      </c>
      <c r="D1338" s="14">
        <v>447</v>
      </c>
      <c r="E1338" s="15">
        <v>2</v>
      </c>
    </row>
    <row r="1339" spans="1:5" x14ac:dyDescent="0.4">
      <c r="A1339" s="13" t="s">
        <v>1120</v>
      </c>
      <c r="B1339" s="13" t="s">
        <v>20</v>
      </c>
      <c r="C1339" s="13" t="s">
        <v>30</v>
      </c>
      <c r="D1339" s="14">
        <v>448</v>
      </c>
      <c r="E1339" s="15">
        <v>2</v>
      </c>
    </row>
    <row r="1340" spans="1:5" x14ac:dyDescent="0.4">
      <c r="A1340" s="13" t="s">
        <v>1488</v>
      </c>
      <c r="B1340" s="13" t="s">
        <v>20</v>
      </c>
      <c r="C1340" s="13" t="s">
        <v>44</v>
      </c>
      <c r="D1340" s="14">
        <v>448</v>
      </c>
      <c r="E1340" s="15">
        <v>4</v>
      </c>
    </row>
    <row r="1341" spans="1:5" x14ac:dyDescent="0.4">
      <c r="A1341" s="13" t="s">
        <v>1558</v>
      </c>
      <c r="B1341" s="13" t="s">
        <v>24</v>
      </c>
      <c r="C1341" s="13" t="s">
        <v>53</v>
      </c>
      <c r="D1341" s="14">
        <v>448</v>
      </c>
      <c r="E1341" s="15">
        <v>6</v>
      </c>
    </row>
    <row r="1342" spans="1:5" x14ac:dyDescent="0.4">
      <c r="A1342" s="13" t="s">
        <v>776</v>
      </c>
      <c r="B1342" s="13" t="s">
        <v>24</v>
      </c>
      <c r="C1342" s="13" t="s">
        <v>22</v>
      </c>
      <c r="D1342" s="14">
        <v>449</v>
      </c>
      <c r="E1342" s="15">
        <v>7</v>
      </c>
    </row>
    <row r="1343" spans="1:5" x14ac:dyDescent="0.4">
      <c r="A1343" s="13" t="s">
        <v>1899</v>
      </c>
      <c r="B1343" s="13" t="s">
        <v>24</v>
      </c>
      <c r="C1343" s="13" t="s">
        <v>111</v>
      </c>
      <c r="D1343" s="14">
        <v>449</v>
      </c>
      <c r="E1343" s="15">
        <v>4</v>
      </c>
    </row>
    <row r="1344" spans="1:5" x14ac:dyDescent="0.4">
      <c r="A1344" s="13" t="s">
        <v>108</v>
      </c>
      <c r="B1344" s="13" t="s">
        <v>26</v>
      </c>
      <c r="C1344" s="13" t="s">
        <v>27</v>
      </c>
      <c r="D1344" s="14">
        <v>450</v>
      </c>
      <c r="E1344" s="15">
        <v>2</v>
      </c>
    </row>
    <row r="1345" spans="1:5" x14ac:dyDescent="0.4">
      <c r="A1345" s="13" t="s">
        <v>1034</v>
      </c>
      <c r="B1345" s="13" t="s">
        <v>26</v>
      </c>
      <c r="C1345" s="13" t="s">
        <v>27</v>
      </c>
      <c r="D1345" s="14">
        <v>450</v>
      </c>
      <c r="E1345" s="15">
        <v>1</v>
      </c>
    </row>
    <row r="1346" spans="1:5" x14ac:dyDescent="0.4">
      <c r="A1346" s="13" t="s">
        <v>1455</v>
      </c>
      <c r="B1346" s="13" t="s">
        <v>26</v>
      </c>
      <c r="C1346" s="13" t="s">
        <v>66</v>
      </c>
      <c r="D1346" s="14">
        <v>450</v>
      </c>
      <c r="E1346" s="15">
        <v>1</v>
      </c>
    </row>
    <row r="1347" spans="1:5" x14ac:dyDescent="0.4">
      <c r="A1347" s="13" t="s">
        <v>1653</v>
      </c>
      <c r="B1347" s="13" t="s">
        <v>20</v>
      </c>
      <c r="C1347" s="13" t="s">
        <v>28</v>
      </c>
      <c r="D1347" s="14">
        <v>450</v>
      </c>
      <c r="E1347" s="15">
        <v>0</v>
      </c>
    </row>
    <row r="1348" spans="1:5" x14ac:dyDescent="0.4">
      <c r="A1348" s="13" t="s">
        <v>1926</v>
      </c>
      <c r="B1348" s="13" t="s">
        <v>20</v>
      </c>
      <c r="C1348" s="13" t="s">
        <v>30</v>
      </c>
      <c r="D1348" s="14">
        <v>450</v>
      </c>
      <c r="E1348" s="15">
        <v>1</v>
      </c>
    </row>
    <row r="1349" spans="1:5" x14ac:dyDescent="0.4">
      <c r="A1349" s="13" t="s">
        <v>707</v>
      </c>
      <c r="B1349" s="13" t="s">
        <v>26</v>
      </c>
      <c r="C1349" s="13" t="s">
        <v>53</v>
      </c>
      <c r="D1349" s="14">
        <v>451</v>
      </c>
      <c r="E1349" s="15">
        <v>8</v>
      </c>
    </row>
    <row r="1350" spans="1:5" x14ac:dyDescent="0.4">
      <c r="A1350" s="13" t="s">
        <v>733</v>
      </c>
      <c r="B1350" s="13" t="s">
        <v>24</v>
      </c>
      <c r="C1350" s="13" t="s">
        <v>62</v>
      </c>
      <c r="D1350" s="14">
        <v>451</v>
      </c>
      <c r="E1350" s="15">
        <v>0</v>
      </c>
    </row>
    <row r="1351" spans="1:5" x14ac:dyDescent="0.4">
      <c r="A1351" s="13" t="s">
        <v>1041</v>
      </c>
      <c r="B1351" s="13" t="s">
        <v>24</v>
      </c>
      <c r="C1351" s="13" t="s">
        <v>5</v>
      </c>
      <c r="D1351" s="14">
        <v>452</v>
      </c>
      <c r="E1351" s="15">
        <v>0</v>
      </c>
    </row>
    <row r="1352" spans="1:5" x14ac:dyDescent="0.4">
      <c r="A1352" s="13" t="s">
        <v>1342</v>
      </c>
      <c r="B1352" s="13" t="s">
        <v>26</v>
      </c>
      <c r="C1352" s="13" t="s">
        <v>27</v>
      </c>
      <c r="D1352" s="14">
        <v>452</v>
      </c>
      <c r="E1352" s="15">
        <v>15</v>
      </c>
    </row>
    <row r="1353" spans="1:5" x14ac:dyDescent="0.4">
      <c r="A1353" s="13" t="s">
        <v>1385</v>
      </c>
      <c r="B1353" s="13" t="s">
        <v>24</v>
      </c>
      <c r="C1353" s="13" t="s">
        <v>40</v>
      </c>
      <c r="D1353" s="14">
        <v>452</v>
      </c>
      <c r="E1353" s="15">
        <v>0</v>
      </c>
    </row>
    <row r="1354" spans="1:5" x14ac:dyDescent="0.4">
      <c r="A1354" s="13" t="s">
        <v>1965</v>
      </c>
      <c r="B1354" s="13" t="s">
        <v>26</v>
      </c>
      <c r="C1354" s="13" t="s">
        <v>39</v>
      </c>
      <c r="D1354" s="14">
        <v>452</v>
      </c>
      <c r="E1354" s="15">
        <v>6</v>
      </c>
    </row>
    <row r="1355" spans="1:5" x14ac:dyDescent="0.4">
      <c r="A1355" s="13" t="s">
        <v>465</v>
      </c>
      <c r="B1355" s="13" t="s">
        <v>20</v>
      </c>
      <c r="C1355" s="13" t="s">
        <v>44</v>
      </c>
      <c r="D1355" s="14">
        <v>453</v>
      </c>
      <c r="E1355" s="15">
        <v>1</v>
      </c>
    </row>
    <row r="1356" spans="1:5" x14ac:dyDescent="0.4">
      <c r="A1356" s="13" t="s">
        <v>516</v>
      </c>
      <c r="B1356" s="13" t="s">
        <v>20</v>
      </c>
      <c r="C1356" s="13" t="s">
        <v>40</v>
      </c>
      <c r="D1356" s="14">
        <v>453</v>
      </c>
      <c r="E1356" s="15">
        <v>3</v>
      </c>
    </row>
    <row r="1357" spans="1:5" x14ac:dyDescent="0.4">
      <c r="A1357" s="13" t="s">
        <v>691</v>
      </c>
      <c r="B1357" s="13" t="s">
        <v>20</v>
      </c>
      <c r="C1357" s="13" t="s">
        <v>62</v>
      </c>
      <c r="D1357" s="14">
        <v>453</v>
      </c>
      <c r="E1357" s="15">
        <v>1</v>
      </c>
    </row>
    <row r="1358" spans="1:5" x14ac:dyDescent="0.4">
      <c r="A1358" s="13" t="s">
        <v>905</v>
      </c>
      <c r="B1358" s="13" t="s">
        <v>26</v>
      </c>
      <c r="C1358" s="13" t="s">
        <v>30</v>
      </c>
      <c r="D1358" s="14">
        <v>453</v>
      </c>
      <c r="E1358" s="15">
        <v>8</v>
      </c>
    </row>
    <row r="1359" spans="1:5" x14ac:dyDescent="0.4">
      <c r="A1359" s="13" t="s">
        <v>1928</v>
      </c>
      <c r="B1359" s="13" t="s">
        <v>24</v>
      </c>
      <c r="C1359" s="13" t="s">
        <v>39</v>
      </c>
      <c r="D1359" s="14">
        <v>453</v>
      </c>
      <c r="E1359" s="15">
        <v>7</v>
      </c>
    </row>
    <row r="1360" spans="1:5" x14ac:dyDescent="0.4">
      <c r="A1360" s="13" t="s">
        <v>1511</v>
      </c>
      <c r="B1360" s="13" t="s">
        <v>20</v>
      </c>
      <c r="C1360" s="13" t="s">
        <v>111</v>
      </c>
      <c r="D1360" s="14">
        <v>454</v>
      </c>
      <c r="E1360" s="15">
        <v>1</v>
      </c>
    </row>
    <row r="1361" spans="1:5" x14ac:dyDescent="0.4">
      <c r="A1361" s="13" t="s">
        <v>38</v>
      </c>
      <c r="B1361" s="13" t="s">
        <v>26</v>
      </c>
      <c r="C1361" s="13" t="s">
        <v>30</v>
      </c>
      <c r="D1361" s="14">
        <v>455</v>
      </c>
      <c r="E1361" s="15">
        <v>0</v>
      </c>
    </row>
    <row r="1362" spans="1:5" x14ac:dyDescent="0.4">
      <c r="A1362" s="13" t="s">
        <v>1623</v>
      </c>
      <c r="B1362" s="13" t="s">
        <v>26</v>
      </c>
      <c r="C1362" s="13" t="s">
        <v>53</v>
      </c>
      <c r="D1362" s="14">
        <v>455</v>
      </c>
      <c r="E1362" s="15">
        <v>4</v>
      </c>
    </row>
    <row r="1363" spans="1:5" x14ac:dyDescent="0.4">
      <c r="A1363" s="13" t="s">
        <v>1671</v>
      </c>
      <c r="B1363" s="13" t="s">
        <v>20</v>
      </c>
      <c r="C1363" s="13" t="s">
        <v>34</v>
      </c>
      <c r="D1363" s="14">
        <v>456</v>
      </c>
      <c r="E1363" s="15">
        <v>12</v>
      </c>
    </row>
    <row r="1364" spans="1:5" x14ac:dyDescent="0.4">
      <c r="A1364" s="13" t="s">
        <v>909</v>
      </c>
      <c r="B1364" s="13" t="s">
        <v>24</v>
      </c>
      <c r="C1364" s="13" t="s">
        <v>5</v>
      </c>
      <c r="D1364" s="14">
        <v>457</v>
      </c>
      <c r="E1364" s="15">
        <v>0</v>
      </c>
    </row>
    <row r="1365" spans="1:5" x14ac:dyDescent="0.4">
      <c r="A1365" s="13" t="s">
        <v>1084</v>
      </c>
      <c r="B1365" s="13" t="s">
        <v>26</v>
      </c>
      <c r="C1365" s="13" t="s">
        <v>44</v>
      </c>
      <c r="D1365" s="14">
        <v>457</v>
      </c>
      <c r="E1365" s="15">
        <v>9</v>
      </c>
    </row>
    <row r="1366" spans="1:5" x14ac:dyDescent="0.4">
      <c r="A1366" s="13" t="s">
        <v>1193</v>
      </c>
      <c r="B1366" s="13" t="s">
        <v>24</v>
      </c>
      <c r="C1366" s="13" t="s">
        <v>44</v>
      </c>
      <c r="D1366" s="14">
        <v>457</v>
      </c>
      <c r="E1366" s="15">
        <v>6</v>
      </c>
    </row>
    <row r="1367" spans="1:5" x14ac:dyDescent="0.4">
      <c r="A1367" s="13" t="s">
        <v>106</v>
      </c>
      <c r="B1367" s="13" t="s">
        <v>20</v>
      </c>
      <c r="C1367" s="13" t="s">
        <v>28</v>
      </c>
      <c r="D1367" s="14">
        <v>458</v>
      </c>
      <c r="E1367" s="15">
        <v>8</v>
      </c>
    </row>
    <row r="1368" spans="1:5" x14ac:dyDescent="0.4">
      <c r="A1368" s="13" t="s">
        <v>249</v>
      </c>
      <c r="B1368" s="13" t="s">
        <v>26</v>
      </c>
      <c r="C1368" s="13" t="s">
        <v>25</v>
      </c>
      <c r="D1368" s="14">
        <v>458</v>
      </c>
      <c r="E1368" s="15">
        <v>6</v>
      </c>
    </row>
    <row r="1369" spans="1:5" x14ac:dyDescent="0.4">
      <c r="A1369" s="13" t="s">
        <v>836</v>
      </c>
      <c r="B1369" s="13" t="s">
        <v>20</v>
      </c>
      <c r="C1369" s="13" t="s">
        <v>39</v>
      </c>
      <c r="D1369" s="14">
        <v>458</v>
      </c>
      <c r="E1369" s="15">
        <v>3</v>
      </c>
    </row>
    <row r="1370" spans="1:5" x14ac:dyDescent="0.4">
      <c r="A1370" s="13" t="s">
        <v>846</v>
      </c>
      <c r="B1370" s="13" t="s">
        <v>20</v>
      </c>
      <c r="C1370" s="13" t="s">
        <v>39</v>
      </c>
      <c r="D1370" s="14">
        <v>458</v>
      </c>
      <c r="E1370" s="15">
        <v>0</v>
      </c>
    </row>
    <row r="1371" spans="1:5" x14ac:dyDescent="0.4">
      <c r="A1371" s="13" t="s">
        <v>992</v>
      </c>
      <c r="B1371" s="13" t="s">
        <v>24</v>
      </c>
      <c r="C1371" s="13" t="s">
        <v>5</v>
      </c>
      <c r="D1371" s="14">
        <v>458</v>
      </c>
      <c r="E1371" s="15">
        <v>0</v>
      </c>
    </row>
    <row r="1372" spans="1:5" x14ac:dyDescent="0.4">
      <c r="A1372" s="13" t="s">
        <v>1887</v>
      </c>
      <c r="B1372" s="13" t="s">
        <v>20</v>
      </c>
      <c r="C1372" s="13" t="s">
        <v>27</v>
      </c>
      <c r="D1372" s="14">
        <v>458</v>
      </c>
      <c r="E1372" s="15">
        <v>2</v>
      </c>
    </row>
    <row r="1373" spans="1:5" x14ac:dyDescent="0.4">
      <c r="A1373" s="13" t="s">
        <v>144</v>
      </c>
      <c r="B1373" s="13" t="s">
        <v>20</v>
      </c>
      <c r="C1373" s="13" t="s">
        <v>44</v>
      </c>
      <c r="D1373" s="14">
        <v>459</v>
      </c>
      <c r="E1373" s="15">
        <v>6</v>
      </c>
    </row>
    <row r="1374" spans="1:5" x14ac:dyDescent="0.4">
      <c r="A1374" s="13" t="s">
        <v>1479</v>
      </c>
      <c r="B1374" s="13" t="s">
        <v>24</v>
      </c>
      <c r="C1374" s="13" t="s">
        <v>44</v>
      </c>
      <c r="D1374" s="14">
        <v>459</v>
      </c>
      <c r="E1374" s="15">
        <v>0</v>
      </c>
    </row>
    <row r="1375" spans="1:5" x14ac:dyDescent="0.4">
      <c r="A1375" s="13" t="s">
        <v>1726</v>
      </c>
      <c r="B1375" s="13" t="s">
        <v>20</v>
      </c>
      <c r="C1375" s="13" t="s">
        <v>40</v>
      </c>
      <c r="D1375" s="14">
        <v>459</v>
      </c>
      <c r="E1375" s="15">
        <v>2</v>
      </c>
    </row>
    <row r="1376" spans="1:5" x14ac:dyDescent="0.4">
      <c r="A1376" s="13" t="s">
        <v>589</v>
      </c>
      <c r="B1376" s="13" t="s">
        <v>20</v>
      </c>
      <c r="C1376" s="13" t="s">
        <v>62</v>
      </c>
      <c r="D1376" s="14">
        <v>460</v>
      </c>
      <c r="E1376" s="15">
        <v>0</v>
      </c>
    </row>
    <row r="1377" spans="1:5" x14ac:dyDescent="0.4">
      <c r="A1377" s="13" t="s">
        <v>801</v>
      </c>
      <c r="B1377" s="13" t="s">
        <v>26</v>
      </c>
      <c r="C1377" s="13" t="s">
        <v>22</v>
      </c>
      <c r="D1377" s="14">
        <v>460</v>
      </c>
      <c r="E1377" s="15">
        <v>0</v>
      </c>
    </row>
    <row r="1378" spans="1:5" x14ac:dyDescent="0.4">
      <c r="A1378" s="13" t="s">
        <v>862</v>
      </c>
      <c r="B1378" s="13" t="s">
        <v>24</v>
      </c>
      <c r="C1378" s="13" t="s">
        <v>5</v>
      </c>
      <c r="D1378" s="14">
        <v>460</v>
      </c>
      <c r="E1378" s="15">
        <v>1</v>
      </c>
    </row>
    <row r="1379" spans="1:5" x14ac:dyDescent="0.4">
      <c r="A1379" s="13" t="s">
        <v>1137</v>
      </c>
      <c r="B1379" s="13" t="s">
        <v>24</v>
      </c>
      <c r="C1379" s="13" t="s">
        <v>30</v>
      </c>
      <c r="D1379" s="14">
        <v>460</v>
      </c>
      <c r="E1379" s="15">
        <v>2</v>
      </c>
    </row>
    <row r="1380" spans="1:5" x14ac:dyDescent="0.4">
      <c r="A1380" s="13" t="s">
        <v>1721</v>
      </c>
      <c r="B1380" s="13" t="s">
        <v>24</v>
      </c>
      <c r="C1380" s="13" t="s">
        <v>53</v>
      </c>
      <c r="D1380" s="14">
        <v>460</v>
      </c>
      <c r="E1380" s="15">
        <v>0</v>
      </c>
    </row>
    <row r="1381" spans="1:5" x14ac:dyDescent="0.4">
      <c r="A1381" s="13" t="s">
        <v>203</v>
      </c>
      <c r="B1381" s="13" t="s">
        <v>20</v>
      </c>
      <c r="C1381" s="13" t="s">
        <v>5</v>
      </c>
      <c r="D1381" s="14">
        <v>461</v>
      </c>
      <c r="E1381" s="15">
        <v>0</v>
      </c>
    </row>
    <row r="1382" spans="1:5" x14ac:dyDescent="0.4">
      <c r="A1382" s="13" t="s">
        <v>219</v>
      </c>
      <c r="B1382" s="13" t="s">
        <v>26</v>
      </c>
      <c r="C1382" s="13" t="s">
        <v>27</v>
      </c>
      <c r="D1382" s="14">
        <v>461</v>
      </c>
      <c r="E1382" s="15">
        <v>1</v>
      </c>
    </row>
    <row r="1383" spans="1:5" x14ac:dyDescent="0.4">
      <c r="A1383" s="13" t="s">
        <v>327</v>
      </c>
      <c r="B1383" s="13" t="s">
        <v>26</v>
      </c>
      <c r="C1383" s="13" t="s">
        <v>27</v>
      </c>
      <c r="D1383" s="14">
        <v>461</v>
      </c>
      <c r="E1383" s="15">
        <v>0</v>
      </c>
    </row>
    <row r="1384" spans="1:5" x14ac:dyDescent="0.4">
      <c r="A1384" s="13" t="s">
        <v>627</v>
      </c>
      <c r="B1384" s="13" t="s">
        <v>20</v>
      </c>
      <c r="C1384" s="13" t="s">
        <v>28</v>
      </c>
      <c r="D1384" s="14">
        <v>461</v>
      </c>
      <c r="E1384" s="15">
        <v>0</v>
      </c>
    </row>
    <row r="1385" spans="1:5" x14ac:dyDescent="0.4">
      <c r="A1385" s="13" t="s">
        <v>1417</v>
      </c>
      <c r="B1385" s="13" t="s">
        <v>20</v>
      </c>
      <c r="C1385" s="13" t="s">
        <v>44</v>
      </c>
      <c r="D1385" s="14">
        <v>461</v>
      </c>
      <c r="E1385" s="15">
        <v>1</v>
      </c>
    </row>
    <row r="1386" spans="1:5" x14ac:dyDescent="0.4">
      <c r="A1386" s="13" t="s">
        <v>236</v>
      </c>
      <c r="B1386" s="13" t="s">
        <v>26</v>
      </c>
      <c r="C1386" s="13" t="s">
        <v>22</v>
      </c>
      <c r="D1386" s="14">
        <v>462</v>
      </c>
      <c r="E1386" s="15">
        <v>0</v>
      </c>
    </row>
    <row r="1387" spans="1:5" x14ac:dyDescent="0.4">
      <c r="A1387" s="13" t="s">
        <v>257</v>
      </c>
      <c r="B1387" s="13" t="s">
        <v>20</v>
      </c>
      <c r="C1387" s="13" t="s">
        <v>39</v>
      </c>
      <c r="D1387" s="14">
        <v>462</v>
      </c>
      <c r="E1387" s="15">
        <v>0</v>
      </c>
    </row>
    <row r="1388" spans="1:5" x14ac:dyDescent="0.4">
      <c r="A1388" s="13" t="s">
        <v>470</v>
      </c>
      <c r="B1388" s="13" t="s">
        <v>26</v>
      </c>
      <c r="C1388" s="13" t="s">
        <v>27</v>
      </c>
      <c r="D1388" s="14">
        <v>462</v>
      </c>
      <c r="E1388" s="15">
        <v>0</v>
      </c>
    </row>
    <row r="1389" spans="1:5" x14ac:dyDescent="0.4">
      <c r="A1389" s="13" t="s">
        <v>823</v>
      </c>
      <c r="B1389" s="13" t="s">
        <v>26</v>
      </c>
      <c r="C1389" s="13" t="s">
        <v>39</v>
      </c>
      <c r="D1389" s="14">
        <v>462</v>
      </c>
      <c r="E1389" s="15">
        <v>0</v>
      </c>
    </row>
    <row r="1390" spans="1:5" x14ac:dyDescent="0.4">
      <c r="A1390" s="13" t="s">
        <v>831</v>
      </c>
      <c r="B1390" s="13" t="s">
        <v>20</v>
      </c>
      <c r="C1390" s="13" t="s">
        <v>66</v>
      </c>
      <c r="D1390" s="14">
        <v>462</v>
      </c>
      <c r="E1390" s="15">
        <v>2</v>
      </c>
    </row>
    <row r="1391" spans="1:5" x14ac:dyDescent="0.4">
      <c r="A1391" s="13" t="s">
        <v>853</v>
      </c>
      <c r="B1391" s="13" t="s">
        <v>20</v>
      </c>
      <c r="C1391" s="13" t="s">
        <v>66</v>
      </c>
      <c r="D1391" s="14">
        <v>462</v>
      </c>
      <c r="E1391" s="15">
        <v>2</v>
      </c>
    </row>
    <row r="1392" spans="1:5" x14ac:dyDescent="0.4">
      <c r="A1392" s="13" t="s">
        <v>1050</v>
      </c>
      <c r="B1392" s="13" t="s">
        <v>20</v>
      </c>
      <c r="C1392" s="13" t="s">
        <v>5</v>
      </c>
      <c r="D1392" s="14">
        <v>463</v>
      </c>
      <c r="E1392" s="15">
        <v>0</v>
      </c>
    </row>
    <row r="1393" spans="1:5" x14ac:dyDescent="0.4">
      <c r="A1393" s="13" t="s">
        <v>1245</v>
      </c>
      <c r="B1393" s="13" t="s">
        <v>26</v>
      </c>
      <c r="C1393" s="13" t="s">
        <v>33</v>
      </c>
      <c r="D1393" s="14">
        <v>463</v>
      </c>
      <c r="E1393" s="15">
        <v>1</v>
      </c>
    </row>
    <row r="1394" spans="1:5" x14ac:dyDescent="0.4">
      <c r="A1394" s="13" t="s">
        <v>1593</v>
      </c>
      <c r="B1394" s="13" t="s">
        <v>20</v>
      </c>
      <c r="C1394" s="13" t="s">
        <v>34</v>
      </c>
      <c r="D1394" s="14">
        <v>463</v>
      </c>
      <c r="E1394" s="15">
        <v>3</v>
      </c>
    </row>
    <row r="1395" spans="1:5" x14ac:dyDescent="0.4">
      <c r="A1395" s="13" t="s">
        <v>412</v>
      </c>
      <c r="B1395" s="13" t="s">
        <v>26</v>
      </c>
      <c r="C1395" s="13" t="s">
        <v>5</v>
      </c>
      <c r="D1395" s="14">
        <v>464</v>
      </c>
      <c r="E1395" s="15">
        <v>1</v>
      </c>
    </row>
    <row r="1396" spans="1:5" x14ac:dyDescent="0.4">
      <c r="A1396" s="13" t="s">
        <v>416</v>
      </c>
      <c r="B1396" s="13" t="s">
        <v>24</v>
      </c>
      <c r="C1396" s="13" t="s">
        <v>34</v>
      </c>
      <c r="D1396" s="14">
        <v>464</v>
      </c>
      <c r="E1396" s="15">
        <v>1</v>
      </c>
    </row>
    <row r="1397" spans="1:5" x14ac:dyDescent="0.4">
      <c r="A1397" s="13" t="s">
        <v>1057</v>
      </c>
      <c r="B1397" s="13" t="s">
        <v>20</v>
      </c>
      <c r="C1397" s="13" t="s">
        <v>44</v>
      </c>
      <c r="D1397" s="14">
        <v>464</v>
      </c>
      <c r="E1397" s="15">
        <v>0</v>
      </c>
    </row>
    <row r="1398" spans="1:5" x14ac:dyDescent="0.4">
      <c r="A1398" s="13" t="s">
        <v>1329</v>
      </c>
      <c r="B1398" s="13" t="s">
        <v>24</v>
      </c>
      <c r="C1398" s="13" t="s">
        <v>39</v>
      </c>
      <c r="D1398" s="14">
        <v>464</v>
      </c>
      <c r="E1398" s="15">
        <v>2</v>
      </c>
    </row>
    <row r="1399" spans="1:5" x14ac:dyDescent="0.4">
      <c r="A1399" s="13" t="s">
        <v>23</v>
      </c>
      <c r="B1399" s="13" t="s">
        <v>24</v>
      </c>
      <c r="C1399" s="13" t="s">
        <v>25</v>
      </c>
      <c r="D1399" s="14">
        <v>465</v>
      </c>
      <c r="E1399" s="15">
        <v>1</v>
      </c>
    </row>
    <row r="1400" spans="1:5" x14ac:dyDescent="0.4">
      <c r="A1400" s="13" t="s">
        <v>1891</v>
      </c>
      <c r="B1400" s="13" t="s">
        <v>20</v>
      </c>
      <c r="C1400" s="13" t="s">
        <v>30</v>
      </c>
      <c r="D1400" s="14">
        <v>465</v>
      </c>
      <c r="E1400" s="15">
        <v>0</v>
      </c>
    </row>
    <row r="1401" spans="1:5" x14ac:dyDescent="0.4">
      <c r="A1401" s="13" t="s">
        <v>299</v>
      </c>
      <c r="B1401" s="13" t="s">
        <v>24</v>
      </c>
      <c r="C1401" s="13" t="s">
        <v>22</v>
      </c>
      <c r="D1401" s="14">
        <v>466</v>
      </c>
      <c r="E1401" s="15">
        <v>0</v>
      </c>
    </row>
    <row r="1402" spans="1:5" x14ac:dyDescent="0.4">
      <c r="A1402" s="13" t="s">
        <v>1152</v>
      </c>
      <c r="B1402" s="13" t="s">
        <v>20</v>
      </c>
      <c r="C1402" s="13" t="s">
        <v>27</v>
      </c>
      <c r="D1402" s="14">
        <v>466</v>
      </c>
      <c r="E1402" s="15">
        <v>0</v>
      </c>
    </row>
    <row r="1403" spans="1:5" x14ac:dyDescent="0.4">
      <c r="A1403" s="13" t="s">
        <v>121</v>
      </c>
      <c r="B1403" s="13" t="s">
        <v>26</v>
      </c>
      <c r="C1403" s="13" t="s">
        <v>21</v>
      </c>
      <c r="D1403" s="14">
        <v>467</v>
      </c>
      <c r="E1403" s="15">
        <v>1</v>
      </c>
    </row>
    <row r="1404" spans="1:5" x14ac:dyDescent="0.4">
      <c r="A1404" s="13" t="s">
        <v>218</v>
      </c>
      <c r="B1404" s="13" t="s">
        <v>20</v>
      </c>
      <c r="C1404" s="13" t="s">
        <v>30</v>
      </c>
      <c r="D1404" s="14">
        <v>467</v>
      </c>
      <c r="E1404" s="15">
        <v>0</v>
      </c>
    </row>
    <row r="1405" spans="1:5" x14ac:dyDescent="0.4">
      <c r="A1405" s="13" t="s">
        <v>628</v>
      </c>
      <c r="B1405" s="13" t="s">
        <v>24</v>
      </c>
      <c r="C1405" s="13" t="s">
        <v>5</v>
      </c>
      <c r="D1405" s="14">
        <v>467</v>
      </c>
      <c r="E1405" s="15">
        <v>0</v>
      </c>
    </row>
    <row r="1406" spans="1:5" x14ac:dyDescent="0.4">
      <c r="A1406" s="13" t="s">
        <v>1345</v>
      </c>
      <c r="B1406" s="13" t="s">
        <v>24</v>
      </c>
      <c r="C1406" s="13" t="s">
        <v>39</v>
      </c>
      <c r="D1406" s="14">
        <v>467</v>
      </c>
      <c r="E1406" s="15">
        <v>4</v>
      </c>
    </row>
    <row r="1407" spans="1:5" x14ac:dyDescent="0.4">
      <c r="A1407" s="13" t="s">
        <v>1871</v>
      </c>
      <c r="B1407" s="13" t="s">
        <v>24</v>
      </c>
      <c r="C1407" s="13" t="s">
        <v>111</v>
      </c>
      <c r="D1407" s="14">
        <v>467</v>
      </c>
      <c r="E1407" s="15">
        <v>0</v>
      </c>
    </row>
    <row r="1408" spans="1:5" x14ac:dyDescent="0.4">
      <c r="A1408" s="13" t="s">
        <v>1901</v>
      </c>
      <c r="B1408" s="13" t="s">
        <v>20</v>
      </c>
      <c r="C1408" s="13" t="s">
        <v>28</v>
      </c>
      <c r="D1408" s="14">
        <v>467</v>
      </c>
      <c r="E1408" s="15">
        <v>0</v>
      </c>
    </row>
    <row r="1409" spans="1:5" x14ac:dyDescent="0.4">
      <c r="A1409" s="13" t="s">
        <v>877</v>
      </c>
      <c r="B1409" s="13" t="s">
        <v>26</v>
      </c>
      <c r="C1409" s="13" t="s">
        <v>44</v>
      </c>
      <c r="D1409" s="14">
        <v>468</v>
      </c>
      <c r="E1409" s="15">
        <v>3</v>
      </c>
    </row>
    <row r="1410" spans="1:5" x14ac:dyDescent="0.4">
      <c r="A1410" s="13" t="s">
        <v>942</v>
      </c>
      <c r="B1410" s="13" t="s">
        <v>20</v>
      </c>
      <c r="C1410" s="13" t="s">
        <v>30</v>
      </c>
      <c r="D1410" s="14">
        <v>468</v>
      </c>
      <c r="E1410" s="15">
        <v>11</v>
      </c>
    </row>
    <row r="1411" spans="1:5" x14ac:dyDescent="0.4">
      <c r="A1411" s="13" t="s">
        <v>1019</v>
      </c>
      <c r="B1411" s="13" t="s">
        <v>20</v>
      </c>
      <c r="C1411" s="13" t="s">
        <v>62</v>
      </c>
      <c r="D1411" s="14">
        <v>468</v>
      </c>
      <c r="E1411" s="15">
        <v>1</v>
      </c>
    </row>
    <row r="1412" spans="1:5" x14ac:dyDescent="0.4">
      <c r="A1412" s="13" t="s">
        <v>1749</v>
      </c>
      <c r="B1412" s="13" t="s">
        <v>20</v>
      </c>
      <c r="C1412" s="13" t="s">
        <v>39</v>
      </c>
      <c r="D1412" s="14">
        <v>468</v>
      </c>
      <c r="E1412" s="15">
        <v>0</v>
      </c>
    </row>
    <row r="1413" spans="1:5" x14ac:dyDescent="0.4">
      <c r="A1413" s="13" t="s">
        <v>126</v>
      </c>
      <c r="B1413" s="13" t="s">
        <v>26</v>
      </c>
      <c r="C1413" s="13" t="s">
        <v>28</v>
      </c>
      <c r="D1413" s="14">
        <v>469</v>
      </c>
      <c r="E1413" s="15">
        <v>0</v>
      </c>
    </row>
    <row r="1414" spans="1:5" x14ac:dyDescent="0.4">
      <c r="A1414" s="13" t="s">
        <v>782</v>
      </c>
      <c r="B1414" s="13" t="s">
        <v>20</v>
      </c>
      <c r="C1414" s="13" t="s">
        <v>44</v>
      </c>
      <c r="D1414" s="14">
        <v>469</v>
      </c>
      <c r="E1414" s="15">
        <v>2</v>
      </c>
    </row>
    <row r="1415" spans="1:5" x14ac:dyDescent="0.4">
      <c r="A1415" s="13" t="s">
        <v>1042</v>
      </c>
      <c r="B1415" s="13" t="s">
        <v>26</v>
      </c>
      <c r="C1415" s="13" t="s">
        <v>30</v>
      </c>
      <c r="D1415" s="14">
        <v>469</v>
      </c>
      <c r="E1415" s="15">
        <v>3</v>
      </c>
    </row>
    <row r="1416" spans="1:5" x14ac:dyDescent="0.4">
      <c r="A1416" s="13" t="s">
        <v>1758</v>
      </c>
      <c r="B1416" s="13" t="s">
        <v>20</v>
      </c>
      <c r="C1416" s="13" t="s">
        <v>28</v>
      </c>
      <c r="D1416" s="14">
        <v>469</v>
      </c>
      <c r="E1416" s="15">
        <v>0</v>
      </c>
    </row>
    <row r="1417" spans="1:5" x14ac:dyDescent="0.4">
      <c r="A1417" s="13" t="s">
        <v>267</v>
      </c>
      <c r="B1417" s="13" t="s">
        <v>24</v>
      </c>
      <c r="C1417" s="13" t="s">
        <v>27</v>
      </c>
      <c r="D1417" s="14">
        <v>470</v>
      </c>
      <c r="E1417" s="15">
        <v>3</v>
      </c>
    </row>
    <row r="1418" spans="1:5" x14ac:dyDescent="0.4">
      <c r="A1418" s="13" t="s">
        <v>575</v>
      </c>
      <c r="B1418" s="13" t="s">
        <v>20</v>
      </c>
      <c r="C1418" s="13" t="s">
        <v>27</v>
      </c>
      <c r="D1418" s="14">
        <v>470</v>
      </c>
      <c r="E1418" s="15">
        <v>13</v>
      </c>
    </row>
    <row r="1419" spans="1:5" x14ac:dyDescent="0.4">
      <c r="A1419" s="13" t="s">
        <v>1885</v>
      </c>
      <c r="B1419" s="13" t="s">
        <v>26</v>
      </c>
      <c r="C1419" s="13" t="s">
        <v>66</v>
      </c>
      <c r="D1419" s="14">
        <v>470</v>
      </c>
      <c r="E1419" s="15">
        <v>2</v>
      </c>
    </row>
    <row r="1420" spans="1:5" x14ac:dyDescent="0.4">
      <c r="A1420" s="13" t="s">
        <v>409</v>
      </c>
      <c r="B1420" s="13" t="s">
        <v>20</v>
      </c>
      <c r="C1420" s="13" t="s">
        <v>28</v>
      </c>
      <c r="D1420" s="14">
        <v>471</v>
      </c>
      <c r="E1420" s="15">
        <v>1</v>
      </c>
    </row>
    <row r="1421" spans="1:5" x14ac:dyDescent="0.4">
      <c r="A1421" s="13" t="s">
        <v>1451</v>
      </c>
      <c r="B1421" s="13" t="s">
        <v>24</v>
      </c>
      <c r="C1421" s="13" t="s">
        <v>5</v>
      </c>
      <c r="D1421" s="14">
        <v>471</v>
      </c>
      <c r="E1421" s="15">
        <v>0</v>
      </c>
    </row>
    <row r="1422" spans="1:5" x14ac:dyDescent="0.4">
      <c r="A1422" s="13" t="s">
        <v>387</v>
      </c>
      <c r="B1422" s="13" t="s">
        <v>20</v>
      </c>
      <c r="C1422" s="13" t="s">
        <v>34</v>
      </c>
      <c r="D1422" s="14">
        <v>472</v>
      </c>
      <c r="E1422" s="15">
        <v>1</v>
      </c>
    </row>
    <row r="1423" spans="1:5" x14ac:dyDescent="0.4">
      <c r="A1423" s="13" t="s">
        <v>828</v>
      </c>
      <c r="B1423" s="13" t="s">
        <v>24</v>
      </c>
      <c r="C1423" s="13" t="s">
        <v>22</v>
      </c>
      <c r="D1423" s="14">
        <v>472</v>
      </c>
      <c r="E1423" s="15">
        <v>7</v>
      </c>
    </row>
    <row r="1424" spans="1:5" x14ac:dyDescent="0.4">
      <c r="A1424" s="13" t="s">
        <v>710</v>
      </c>
      <c r="B1424" s="13" t="s">
        <v>20</v>
      </c>
      <c r="C1424" s="13" t="s">
        <v>53</v>
      </c>
      <c r="D1424" s="14">
        <v>473</v>
      </c>
      <c r="E1424" s="15">
        <v>6</v>
      </c>
    </row>
    <row r="1425" spans="1:5" x14ac:dyDescent="0.4">
      <c r="A1425" s="13" t="s">
        <v>1119</v>
      </c>
      <c r="B1425" s="13" t="s">
        <v>26</v>
      </c>
      <c r="C1425" s="13" t="s">
        <v>28</v>
      </c>
      <c r="D1425" s="14">
        <v>473</v>
      </c>
      <c r="E1425" s="15">
        <v>0</v>
      </c>
    </row>
    <row r="1426" spans="1:5" x14ac:dyDescent="0.4">
      <c r="A1426" s="13" t="s">
        <v>1830</v>
      </c>
      <c r="B1426" s="13" t="s">
        <v>20</v>
      </c>
      <c r="C1426" s="13" t="s">
        <v>34</v>
      </c>
      <c r="D1426" s="14">
        <v>473</v>
      </c>
      <c r="E1426" s="15">
        <v>0</v>
      </c>
    </row>
    <row r="1427" spans="1:5" x14ac:dyDescent="0.4">
      <c r="A1427" s="13" t="s">
        <v>293</v>
      </c>
      <c r="B1427" s="13" t="s">
        <v>26</v>
      </c>
      <c r="C1427" s="13" t="s">
        <v>44</v>
      </c>
      <c r="D1427" s="14">
        <v>474</v>
      </c>
      <c r="E1427" s="15">
        <v>0</v>
      </c>
    </row>
    <row r="1428" spans="1:5" x14ac:dyDescent="0.4">
      <c r="A1428" s="13" t="s">
        <v>1350</v>
      </c>
      <c r="B1428" s="13" t="s">
        <v>26</v>
      </c>
      <c r="C1428" s="13" t="s">
        <v>25</v>
      </c>
      <c r="D1428" s="14">
        <v>474</v>
      </c>
      <c r="E1428" s="15">
        <v>0</v>
      </c>
    </row>
    <row r="1429" spans="1:5" x14ac:dyDescent="0.4">
      <c r="A1429" s="13" t="s">
        <v>1499</v>
      </c>
      <c r="B1429" s="13" t="s">
        <v>24</v>
      </c>
      <c r="C1429" s="13" t="s">
        <v>53</v>
      </c>
      <c r="D1429" s="14">
        <v>474</v>
      </c>
      <c r="E1429" s="15">
        <v>1</v>
      </c>
    </row>
    <row r="1430" spans="1:5" x14ac:dyDescent="0.4">
      <c r="A1430" s="13" t="s">
        <v>266</v>
      </c>
      <c r="B1430" s="13" t="s">
        <v>24</v>
      </c>
      <c r="C1430" s="13" t="s">
        <v>28</v>
      </c>
      <c r="D1430" s="14">
        <v>475</v>
      </c>
      <c r="E1430" s="15">
        <v>3</v>
      </c>
    </row>
    <row r="1431" spans="1:5" x14ac:dyDescent="0.4">
      <c r="A1431" s="13" t="s">
        <v>1021</v>
      </c>
      <c r="B1431" s="13" t="s">
        <v>26</v>
      </c>
      <c r="C1431" s="13" t="s">
        <v>33</v>
      </c>
      <c r="D1431" s="14">
        <v>475</v>
      </c>
      <c r="E1431" s="15">
        <v>0</v>
      </c>
    </row>
    <row r="1432" spans="1:5" x14ac:dyDescent="0.4">
      <c r="A1432" s="13" t="s">
        <v>1612</v>
      </c>
      <c r="B1432" s="13" t="s">
        <v>26</v>
      </c>
      <c r="C1432" s="13" t="s">
        <v>66</v>
      </c>
      <c r="D1432" s="14">
        <v>475</v>
      </c>
      <c r="E1432" s="15">
        <v>0</v>
      </c>
    </row>
    <row r="1433" spans="1:5" x14ac:dyDescent="0.4">
      <c r="A1433" s="13" t="s">
        <v>1784</v>
      </c>
      <c r="B1433" s="13" t="s">
        <v>20</v>
      </c>
      <c r="C1433" s="13" t="s">
        <v>30</v>
      </c>
      <c r="D1433" s="14">
        <v>475</v>
      </c>
      <c r="E1433" s="15">
        <v>10</v>
      </c>
    </row>
    <row r="1434" spans="1:5" x14ac:dyDescent="0.4">
      <c r="A1434" s="13" t="s">
        <v>548</v>
      </c>
      <c r="B1434" s="13" t="s">
        <v>24</v>
      </c>
      <c r="C1434" s="13" t="s">
        <v>22</v>
      </c>
      <c r="D1434" s="14">
        <v>476</v>
      </c>
      <c r="E1434" s="15">
        <v>3</v>
      </c>
    </row>
    <row r="1435" spans="1:5" x14ac:dyDescent="0.4">
      <c r="A1435" s="13" t="s">
        <v>1869</v>
      </c>
      <c r="B1435" s="13" t="s">
        <v>26</v>
      </c>
      <c r="C1435" s="13" t="s">
        <v>27</v>
      </c>
      <c r="D1435" s="14">
        <v>476</v>
      </c>
      <c r="E1435" s="15">
        <v>4</v>
      </c>
    </row>
    <row r="1436" spans="1:5" x14ac:dyDescent="0.4">
      <c r="A1436" s="13" t="s">
        <v>1872</v>
      </c>
      <c r="B1436" s="13" t="s">
        <v>26</v>
      </c>
      <c r="C1436" s="13" t="s">
        <v>39</v>
      </c>
      <c r="D1436" s="14">
        <v>476</v>
      </c>
      <c r="E1436" s="15">
        <v>1</v>
      </c>
    </row>
    <row r="1437" spans="1:5" x14ac:dyDescent="0.4">
      <c r="A1437" s="13" t="s">
        <v>607</v>
      </c>
      <c r="B1437" s="13" t="s">
        <v>26</v>
      </c>
      <c r="C1437" s="13" t="s">
        <v>39</v>
      </c>
      <c r="D1437" s="14">
        <v>477</v>
      </c>
      <c r="E1437" s="15">
        <v>1</v>
      </c>
    </row>
    <row r="1438" spans="1:5" x14ac:dyDescent="0.4">
      <c r="A1438" s="13" t="s">
        <v>1300</v>
      </c>
      <c r="B1438" s="13" t="s">
        <v>26</v>
      </c>
      <c r="C1438" s="13" t="s">
        <v>27</v>
      </c>
      <c r="D1438" s="14">
        <v>477</v>
      </c>
      <c r="E1438" s="15">
        <v>1</v>
      </c>
    </row>
    <row r="1439" spans="1:5" x14ac:dyDescent="0.4">
      <c r="A1439" s="13" t="s">
        <v>152</v>
      </c>
      <c r="B1439" s="13" t="s">
        <v>20</v>
      </c>
      <c r="C1439" s="13" t="s">
        <v>44</v>
      </c>
      <c r="D1439" s="14">
        <v>478</v>
      </c>
      <c r="E1439" s="15">
        <v>0</v>
      </c>
    </row>
    <row r="1440" spans="1:5" x14ac:dyDescent="0.4">
      <c r="A1440" s="13" t="s">
        <v>157</v>
      </c>
      <c r="B1440" s="13" t="s">
        <v>26</v>
      </c>
      <c r="C1440" s="13" t="s">
        <v>33</v>
      </c>
      <c r="D1440" s="14">
        <v>478</v>
      </c>
      <c r="E1440" s="15">
        <v>0</v>
      </c>
    </row>
    <row r="1441" spans="1:5" x14ac:dyDescent="0.4">
      <c r="A1441" s="13" t="s">
        <v>234</v>
      </c>
      <c r="B1441" s="13" t="s">
        <v>26</v>
      </c>
      <c r="C1441" s="13" t="s">
        <v>62</v>
      </c>
      <c r="D1441" s="14">
        <v>478</v>
      </c>
      <c r="E1441" s="15">
        <v>4</v>
      </c>
    </row>
    <row r="1442" spans="1:5" x14ac:dyDescent="0.4">
      <c r="A1442" s="13" t="s">
        <v>262</v>
      </c>
      <c r="B1442" s="13" t="s">
        <v>24</v>
      </c>
      <c r="C1442" s="13" t="s">
        <v>111</v>
      </c>
      <c r="D1442" s="14">
        <v>478</v>
      </c>
      <c r="E1442" s="15">
        <v>3</v>
      </c>
    </row>
    <row r="1443" spans="1:5" x14ac:dyDescent="0.4">
      <c r="A1443" s="13" t="s">
        <v>1727</v>
      </c>
      <c r="B1443" s="13" t="s">
        <v>26</v>
      </c>
      <c r="C1443" s="13" t="s">
        <v>32</v>
      </c>
      <c r="D1443" s="14">
        <v>478</v>
      </c>
      <c r="E1443" s="15">
        <v>2</v>
      </c>
    </row>
    <row r="1444" spans="1:5" x14ac:dyDescent="0.4">
      <c r="A1444" s="13" t="s">
        <v>1012</v>
      </c>
      <c r="B1444" s="13" t="s">
        <v>24</v>
      </c>
      <c r="C1444" s="13" t="s">
        <v>53</v>
      </c>
      <c r="D1444" s="14">
        <v>479</v>
      </c>
      <c r="E1444" s="15">
        <v>0</v>
      </c>
    </row>
    <row r="1445" spans="1:5" x14ac:dyDescent="0.4">
      <c r="A1445" s="13" t="s">
        <v>1022</v>
      </c>
      <c r="B1445" s="13" t="s">
        <v>26</v>
      </c>
      <c r="C1445" s="13" t="s">
        <v>27</v>
      </c>
      <c r="D1445" s="14">
        <v>479</v>
      </c>
      <c r="E1445" s="15">
        <v>0</v>
      </c>
    </row>
    <row r="1446" spans="1:5" x14ac:dyDescent="0.4">
      <c r="A1446" s="13" t="s">
        <v>1951</v>
      </c>
      <c r="B1446" s="13" t="s">
        <v>20</v>
      </c>
      <c r="C1446" s="13" t="s">
        <v>22</v>
      </c>
      <c r="D1446" s="14">
        <v>479</v>
      </c>
      <c r="E1446" s="15">
        <v>4</v>
      </c>
    </row>
    <row r="1447" spans="1:5" x14ac:dyDescent="0.4">
      <c r="A1447" s="13" t="s">
        <v>1675</v>
      </c>
      <c r="B1447" s="13" t="s">
        <v>24</v>
      </c>
      <c r="C1447" s="13" t="s">
        <v>5</v>
      </c>
      <c r="D1447" s="14">
        <v>480</v>
      </c>
      <c r="E1447" s="15">
        <v>0</v>
      </c>
    </row>
    <row r="1448" spans="1:5" x14ac:dyDescent="0.4">
      <c r="A1448" s="13" t="s">
        <v>440</v>
      </c>
      <c r="B1448" s="13" t="s">
        <v>20</v>
      </c>
      <c r="C1448" s="13" t="s">
        <v>66</v>
      </c>
      <c r="D1448" s="14">
        <v>481</v>
      </c>
      <c r="E1448" s="15">
        <v>2</v>
      </c>
    </row>
    <row r="1449" spans="1:5" x14ac:dyDescent="0.4">
      <c r="A1449" s="13" t="s">
        <v>1199</v>
      </c>
      <c r="B1449" s="13" t="s">
        <v>20</v>
      </c>
      <c r="C1449" s="13" t="s">
        <v>44</v>
      </c>
      <c r="D1449" s="14">
        <v>481</v>
      </c>
      <c r="E1449" s="15">
        <v>4</v>
      </c>
    </row>
    <row r="1450" spans="1:5" x14ac:dyDescent="0.4">
      <c r="A1450" s="13" t="s">
        <v>1870</v>
      </c>
      <c r="B1450" s="13" t="s">
        <v>26</v>
      </c>
      <c r="C1450" s="13" t="s">
        <v>27</v>
      </c>
      <c r="D1450" s="14">
        <v>481</v>
      </c>
      <c r="E1450" s="15">
        <v>0</v>
      </c>
    </row>
    <row r="1451" spans="1:5" x14ac:dyDescent="0.4">
      <c r="A1451" s="13" t="s">
        <v>1377</v>
      </c>
      <c r="B1451" s="13" t="s">
        <v>24</v>
      </c>
      <c r="C1451" s="13" t="s">
        <v>25</v>
      </c>
      <c r="D1451" s="14">
        <v>482</v>
      </c>
      <c r="E1451" s="15">
        <v>1</v>
      </c>
    </row>
    <row r="1452" spans="1:5" x14ac:dyDescent="0.4">
      <c r="A1452" s="13" t="s">
        <v>1524</v>
      </c>
      <c r="B1452" s="13" t="s">
        <v>26</v>
      </c>
      <c r="C1452" s="13" t="s">
        <v>39</v>
      </c>
      <c r="D1452" s="14">
        <v>482</v>
      </c>
      <c r="E1452" s="15">
        <v>0</v>
      </c>
    </row>
    <row r="1453" spans="1:5" x14ac:dyDescent="0.4">
      <c r="A1453" s="13" t="s">
        <v>1799</v>
      </c>
      <c r="B1453" s="13" t="s">
        <v>26</v>
      </c>
      <c r="C1453" s="13" t="s">
        <v>111</v>
      </c>
      <c r="D1453" s="14">
        <v>482</v>
      </c>
      <c r="E1453" s="15">
        <v>1</v>
      </c>
    </row>
    <row r="1454" spans="1:5" x14ac:dyDescent="0.4">
      <c r="A1454" s="13" t="s">
        <v>1782</v>
      </c>
      <c r="B1454" s="13" t="s">
        <v>20</v>
      </c>
      <c r="C1454" s="13" t="s">
        <v>44</v>
      </c>
      <c r="D1454" s="14">
        <v>483</v>
      </c>
      <c r="E1454" s="15">
        <v>5</v>
      </c>
    </row>
    <row r="1455" spans="1:5" x14ac:dyDescent="0.4">
      <c r="A1455" s="13" t="s">
        <v>347</v>
      </c>
      <c r="B1455" s="13" t="s">
        <v>20</v>
      </c>
      <c r="C1455" s="13" t="s">
        <v>30</v>
      </c>
      <c r="D1455" s="14">
        <v>484</v>
      </c>
      <c r="E1455" s="15">
        <v>2</v>
      </c>
    </row>
    <row r="1456" spans="1:5" x14ac:dyDescent="0.4">
      <c r="A1456" s="13" t="s">
        <v>420</v>
      </c>
      <c r="B1456" s="13" t="s">
        <v>26</v>
      </c>
      <c r="C1456" s="13" t="s">
        <v>44</v>
      </c>
      <c r="D1456" s="14">
        <v>484</v>
      </c>
      <c r="E1456" s="15">
        <v>2</v>
      </c>
    </row>
    <row r="1457" spans="1:5" x14ac:dyDescent="0.4">
      <c r="A1457" s="13" t="s">
        <v>488</v>
      </c>
      <c r="B1457" s="13" t="s">
        <v>26</v>
      </c>
      <c r="C1457" s="13" t="s">
        <v>27</v>
      </c>
      <c r="D1457" s="14">
        <v>486</v>
      </c>
      <c r="E1457" s="15">
        <v>0</v>
      </c>
    </row>
    <row r="1458" spans="1:5" x14ac:dyDescent="0.4">
      <c r="A1458" s="13" t="s">
        <v>1642</v>
      </c>
      <c r="B1458" s="13" t="s">
        <v>26</v>
      </c>
      <c r="C1458" s="13" t="s">
        <v>44</v>
      </c>
      <c r="D1458" s="14">
        <v>486</v>
      </c>
      <c r="E1458" s="15">
        <v>0</v>
      </c>
    </row>
    <row r="1459" spans="1:5" x14ac:dyDescent="0.4">
      <c r="A1459" s="13" t="s">
        <v>1820</v>
      </c>
      <c r="B1459" s="13" t="s">
        <v>24</v>
      </c>
      <c r="C1459" s="13" t="s">
        <v>28</v>
      </c>
      <c r="D1459" s="14">
        <v>486</v>
      </c>
      <c r="E1459" s="15">
        <v>9</v>
      </c>
    </row>
    <row r="1460" spans="1:5" x14ac:dyDescent="0.4">
      <c r="A1460" s="13" t="s">
        <v>118</v>
      </c>
      <c r="B1460" s="13" t="s">
        <v>24</v>
      </c>
      <c r="C1460" s="13" t="s">
        <v>62</v>
      </c>
      <c r="D1460" s="14">
        <v>487</v>
      </c>
      <c r="E1460" s="15">
        <v>1</v>
      </c>
    </row>
    <row r="1461" spans="1:5" x14ac:dyDescent="0.4">
      <c r="A1461" s="13" t="s">
        <v>142</v>
      </c>
      <c r="B1461" s="13" t="s">
        <v>24</v>
      </c>
      <c r="C1461" s="13" t="s">
        <v>25</v>
      </c>
      <c r="D1461" s="14">
        <v>488</v>
      </c>
      <c r="E1461" s="15">
        <v>1</v>
      </c>
    </row>
    <row r="1462" spans="1:5" x14ac:dyDescent="0.4">
      <c r="A1462" s="13" t="s">
        <v>194</v>
      </c>
      <c r="B1462" s="13" t="s">
        <v>26</v>
      </c>
      <c r="C1462" s="13" t="s">
        <v>5</v>
      </c>
      <c r="D1462" s="14">
        <v>488</v>
      </c>
      <c r="E1462" s="15">
        <v>2</v>
      </c>
    </row>
    <row r="1463" spans="1:5" x14ac:dyDescent="0.4">
      <c r="A1463" s="13" t="s">
        <v>1126</v>
      </c>
      <c r="B1463" s="13" t="s">
        <v>24</v>
      </c>
      <c r="C1463" s="13" t="s">
        <v>44</v>
      </c>
      <c r="D1463" s="14">
        <v>488</v>
      </c>
      <c r="E1463" s="15">
        <v>0</v>
      </c>
    </row>
    <row r="1464" spans="1:5" x14ac:dyDescent="0.4">
      <c r="A1464" s="13" t="s">
        <v>1195</v>
      </c>
      <c r="B1464" s="13" t="s">
        <v>20</v>
      </c>
      <c r="C1464" s="13" t="s">
        <v>30</v>
      </c>
      <c r="D1464" s="14">
        <v>488</v>
      </c>
      <c r="E1464" s="15">
        <v>4</v>
      </c>
    </row>
    <row r="1465" spans="1:5" x14ac:dyDescent="0.4">
      <c r="A1465" s="13" t="s">
        <v>1606</v>
      </c>
      <c r="B1465" s="13" t="s">
        <v>20</v>
      </c>
      <c r="C1465" s="13" t="s">
        <v>22</v>
      </c>
      <c r="D1465" s="14">
        <v>488</v>
      </c>
      <c r="E1465" s="15">
        <v>5</v>
      </c>
    </row>
    <row r="1466" spans="1:5" x14ac:dyDescent="0.4">
      <c r="A1466" s="13" t="s">
        <v>18</v>
      </c>
      <c r="B1466" s="13" t="s">
        <v>20</v>
      </c>
      <c r="C1466" s="13" t="s">
        <v>21</v>
      </c>
      <c r="D1466" s="14">
        <v>489</v>
      </c>
      <c r="E1466" s="15">
        <v>1</v>
      </c>
    </row>
    <row r="1467" spans="1:5" x14ac:dyDescent="0.4">
      <c r="A1467" s="13" t="s">
        <v>1865</v>
      </c>
      <c r="B1467" s="13" t="s">
        <v>24</v>
      </c>
      <c r="C1467" s="13" t="s">
        <v>5</v>
      </c>
      <c r="D1467" s="14">
        <v>489</v>
      </c>
      <c r="E1467" s="15">
        <v>1</v>
      </c>
    </row>
    <row r="1468" spans="1:5" x14ac:dyDescent="0.4">
      <c r="A1468" s="13" t="s">
        <v>57</v>
      </c>
      <c r="B1468" s="13" t="s">
        <v>20</v>
      </c>
      <c r="C1468" s="13" t="s">
        <v>44</v>
      </c>
      <c r="D1468" s="14">
        <v>490</v>
      </c>
      <c r="E1468" s="15">
        <v>9</v>
      </c>
    </row>
    <row r="1469" spans="1:5" x14ac:dyDescent="0.4">
      <c r="A1469" s="13" t="s">
        <v>1191</v>
      </c>
      <c r="B1469" s="13" t="s">
        <v>26</v>
      </c>
      <c r="C1469" s="13" t="s">
        <v>39</v>
      </c>
      <c r="D1469" s="14">
        <v>490</v>
      </c>
      <c r="E1469" s="15">
        <v>6</v>
      </c>
    </row>
    <row r="1470" spans="1:5" x14ac:dyDescent="0.4">
      <c r="A1470" s="13" t="s">
        <v>1306</v>
      </c>
      <c r="B1470" s="13" t="s">
        <v>26</v>
      </c>
      <c r="C1470" s="13" t="s">
        <v>27</v>
      </c>
      <c r="D1470" s="14">
        <v>490</v>
      </c>
      <c r="E1470" s="15">
        <v>0</v>
      </c>
    </row>
    <row r="1471" spans="1:5" x14ac:dyDescent="0.4">
      <c r="A1471" s="13" t="s">
        <v>1719</v>
      </c>
      <c r="B1471" s="13" t="s">
        <v>20</v>
      </c>
      <c r="C1471" s="13" t="s">
        <v>5</v>
      </c>
      <c r="D1471" s="14">
        <v>490</v>
      </c>
      <c r="E1471" s="15">
        <v>0</v>
      </c>
    </row>
    <row r="1472" spans="1:5" x14ac:dyDescent="0.4">
      <c r="A1472" s="13" t="s">
        <v>369</v>
      </c>
      <c r="B1472" s="13" t="s">
        <v>26</v>
      </c>
      <c r="C1472" s="13" t="s">
        <v>44</v>
      </c>
      <c r="D1472" s="14">
        <v>491</v>
      </c>
      <c r="E1472" s="15">
        <v>0</v>
      </c>
    </row>
    <row r="1473" spans="1:5" x14ac:dyDescent="0.4">
      <c r="A1473" s="13" t="s">
        <v>1288</v>
      </c>
      <c r="B1473" s="13" t="s">
        <v>20</v>
      </c>
      <c r="C1473" s="13" t="s">
        <v>39</v>
      </c>
      <c r="D1473" s="14">
        <v>492</v>
      </c>
      <c r="E1473" s="15">
        <v>0</v>
      </c>
    </row>
    <row r="1474" spans="1:5" x14ac:dyDescent="0.4">
      <c r="A1474" s="13" t="s">
        <v>540</v>
      </c>
      <c r="B1474" s="13" t="s">
        <v>20</v>
      </c>
      <c r="C1474" s="13" t="s">
        <v>40</v>
      </c>
      <c r="D1474" s="14">
        <v>493</v>
      </c>
      <c r="E1474" s="15">
        <v>0</v>
      </c>
    </row>
    <row r="1475" spans="1:5" x14ac:dyDescent="0.4">
      <c r="A1475" s="13" t="s">
        <v>1877</v>
      </c>
      <c r="B1475" s="13" t="s">
        <v>20</v>
      </c>
      <c r="C1475" s="13" t="s">
        <v>53</v>
      </c>
      <c r="D1475" s="14">
        <v>493</v>
      </c>
      <c r="E1475" s="15">
        <v>0</v>
      </c>
    </row>
    <row r="1476" spans="1:5" x14ac:dyDescent="0.4">
      <c r="A1476" s="13" t="s">
        <v>213</v>
      </c>
      <c r="B1476" s="13" t="s">
        <v>26</v>
      </c>
      <c r="C1476" s="13" t="s">
        <v>39</v>
      </c>
      <c r="D1476" s="14">
        <v>494</v>
      </c>
      <c r="E1476" s="15">
        <v>8</v>
      </c>
    </row>
    <row r="1477" spans="1:5" x14ac:dyDescent="0.4">
      <c r="A1477" s="13" t="s">
        <v>683</v>
      </c>
      <c r="B1477" s="13" t="s">
        <v>20</v>
      </c>
      <c r="C1477" s="13" t="s">
        <v>33</v>
      </c>
      <c r="D1477" s="14">
        <v>494</v>
      </c>
      <c r="E1477" s="15">
        <v>1</v>
      </c>
    </row>
    <row r="1478" spans="1:5" x14ac:dyDescent="0.4">
      <c r="A1478" s="13" t="s">
        <v>835</v>
      </c>
      <c r="B1478" s="13" t="s">
        <v>20</v>
      </c>
      <c r="C1478" s="13" t="s">
        <v>5</v>
      </c>
      <c r="D1478" s="14">
        <v>494</v>
      </c>
      <c r="E1478" s="15">
        <v>8</v>
      </c>
    </row>
    <row r="1479" spans="1:5" x14ac:dyDescent="0.4">
      <c r="A1479" s="13" t="s">
        <v>1034</v>
      </c>
      <c r="B1479" s="13" t="s">
        <v>26</v>
      </c>
      <c r="C1479" s="13" t="s">
        <v>34</v>
      </c>
      <c r="D1479" s="14">
        <v>494</v>
      </c>
      <c r="E1479" s="15">
        <v>1</v>
      </c>
    </row>
    <row r="1480" spans="1:5" x14ac:dyDescent="0.4">
      <c r="A1480" s="13" t="s">
        <v>1347</v>
      </c>
      <c r="B1480" s="13" t="s">
        <v>24</v>
      </c>
      <c r="C1480" s="13" t="s">
        <v>44</v>
      </c>
      <c r="D1480" s="14">
        <v>494</v>
      </c>
      <c r="E1480" s="15">
        <v>11</v>
      </c>
    </row>
    <row r="1481" spans="1:5" x14ac:dyDescent="0.4">
      <c r="A1481" s="13" t="s">
        <v>1431</v>
      </c>
      <c r="B1481" s="13" t="s">
        <v>24</v>
      </c>
      <c r="C1481" s="13" t="s">
        <v>22</v>
      </c>
      <c r="D1481" s="14">
        <v>494</v>
      </c>
      <c r="E1481" s="15">
        <v>0</v>
      </c>
    </row>
    <row r="1482" spans="1:5" x14ac:dyDescent="0.4">
      <c r="A1482" s="13" t="s">
        <v>1919</v>
      </c>
      <c r="B1482" s="13" t="s">
        <v>24</v>
      </c>
      <c r="C1482" s="13" t="s">
        <v>43</v>
      </c>
      <c r="D1482" s="14">
        <v>494</v>
      </c>
      <c r="E1482" s="15">
        <v>2</v>
      </c>
    </row>
    <row r="1483" spans="1:5" x14ac:dyDescent="0.4">
      <c r="A1483" s="13" t="s">
        <v>23</v>
      </c>
      <c r="B1483" s="13" t="s">
        <v>26</v>
      </c>
      <c r="C1483" s="13" t="s">
        <v>28</v>
      </c>
      <c r="D1483" s="14">
        <v>495</v>
      </c>
      <c r="E1483" s="15">
        <v>0</v>
      </c>
    </row>
    <row r="1484" spans="1:5" x14ac:dyDescent="0.4">
      <c r="A1484" s="13" t="s">
        <v>92</v>
      </c>
      <c r="B1484" s="13" t="s">
        <v>26</v>
      </c>
      <c r="C1484" s="13" t="s">
        <v>53</v>
      </c>
      <c r="D1484" s="14">
        <v>495</v>
      </c>
      <c r="E1484" s="15">
        <v>6</v>
      </c>
    </row>
    <row r="1485" spans="1:5" x14ac:dyDescent="0.4">
      <c r="A1485" s="13" t="s">
        <v>551</v>
      </c>
      <c r="B1485" s="13" t="s">
        <v>26</v>
      </c>
      <c r="C1485" s="13" t="s">
        <v>21</v>
      </c>
      <c r="D1485" s="14">
        <v>495</v>
      </c>
      <c r="E1485" s="15">
        <v>2</v>
      </c>
    </row>
    <row r="1486" spans="1:5" x14ac:dyDescent="0.4">
      <c r="A1486" s="13" t="s">
        <v>1141</v>
      </c>
      <c r="B1486" s="13" t="s">
        <v>26</v>
      </c>
      <c r="C1486" s="13" t="s">
        <v>27</v>
      </c>
      <c r="D1486" s="14">
        <v>495</v>
      </c>
      <c r="E1486" s="15">
        <v>2</v>
      </c>
    </row>
    <row r="1487" spans="1:5" x14ac:dyDescent="0.4">
      <c r="A1487" s="13" t="s">
        <v>1200</v>
      </c>
      <c r="B1487" s="13" t="s">
        <v>24</v>
      </c>
      <c r="C1487" s="13" t="s">
        <v>28</v>
      </c>
      <c r="D1487" s="14">
        <v>495</v>
      </c>
      <c r="E1487" s="15">
        <v>0</v>
      </c>
    </row>
    <row r="1488" spans="1:5" x14ac:dyDescent="0.4">
      <c r="A1488" s="13" t="s">
        <v>1538</v>
      </c>
      <c r="B1488" s="13" t="s">
        <v>26</v>
      </c>
      <c r="C1488" s="13" t="s">
        <v>39</v>
      </c>
      <c r="D1488" s="14">
        <v>495</v>
      </c>
      <c r="E1488" s="15">
        <v>2</v>
      </c>
    </row>
    <row r="1489" spans="1:5" x14ac:dyDescent="0.4">
      <c r="A1489" s="13" t="s">
        <v>1696</v>
      </c>
      <c r="B1489" s="13" t="s">
        <v>24</v>
      </c>
      <c r="C1489" s="13" t="s">
        <v>27</v>
      </c>
      <c r="D1489" s="14">
        <v>495</v>
      </c>
      <c r="E1489" s="15">
        <v>1</v>
      </c>
    </row>
    <row r="1490" spans="1:5" x14ac:dyDescent="0.4">
      <c r="A1490" s="13" t="s">
        <v>178</v>
      </c>
      <c r="B1490" s="13" t="s">
        <v>20</v>
      </c>
      <c r="C1490" s="13" t="s">
        <v>62</v>
      </c>
      <c r="D1490" s="14">
        <v>496</v>
      </c>
      <c r="E1490" s="15">
        <v>2</v>
      </c>
    </row>
    <row r="1491" spans="1:5" x14ac:dyDescent="0.4">
      <c r="A1491" s="13" t="s">
        <v>815</v>
      </c>
      <c r="B1491" s="13" t="s">
        <v>24</v>
      </c>
      <c r="C1491" s="13" t="s">
        <v>40</v>
      </c>
      <c r="D1491" s="14">
        <v>496</v>
      </c>
      <c r="E1491" s="15">
        <v>0</v>
      </c>
    </row>
    <row r="1492" spans="1:5" x14ac:dyDescent="0.4">
      <c r="A1492" s="13" t="s">
        <v>872</v>
      </c>
      <c r="B1492" s="13" t="s">
        <v>20</v>
      </c>
      <c r="C1492" s="13" t="s">
        <v>44</v>
      </c>
      <c r="D1492" s="14">
        <v>496</v>
      </c>
      <c r="E1492" s="15">
        <v>1</v>
      </c>
    </row>
    <row r="1493" spans="1:5" x14ac:dyDescent="0.4">
      <c r="A1493" s="13" t="s">
        <v>1684</v>
      </c>
      <c r="B1493" s="13" t="s">
        <v>24</v>
      </c>
      <c r="C1493" s="13" t="s">
        <v>111</v>
      </c>
      <c r="D1493" s="14">
        <v>496</v>
      </c>
      <c r="E1493" s="15">
        <v>0</v>
      </c>
    </row>
    <row r="1494" spans="1:5" x14ac:dyDescent="0.4">
      <c r="A1494" s="13" t="s">
        <v>737</v>
      </c>
      <c r="B1494" s="13" t="s">
        <v>26</v>
      </c>
      <c r="C1494" s="13" t="s">
        <v>27</v>
      </c>
      <c r="D1494" s="14">
        <v>497</v>
      </c>
      <c r="E1494" s="15">
        <v>0</v>
      </c>
    </row>
    <row r="1495" spans="1:5" x14ac:dyDescent="0.4">
      <c r="A1495" s="13" t="s">
        <v>1433</v>
      </c>
      <c r="B1495" s="13" t="s">
        <v>20</v>
      </c>
      <c r="C1495" s="13" t="s">
        <v>39</v>
      </c>
      <c r="D1495" s="14">
        <v>497</v>
      </c>
      <c r="E1495" s="15">
        <v>4</v>
      </c>
    </row>
    <row r="1496" spans="1:5" x14ac:dyDescent="0.4">
      <c r="A1496" s="13" t="s">
        <v>1731</v>
      </c>
      <c r="B1496" s="13" t="s">
        <v>24</v>
      </c>
      <c r="C1496" s="13" t="s">
        <v>44</v>
      </c>
      <c r="D1496" s="14">
        <v>497</v>
      </c>
      <c r="E1496" s="15">
        <v>0</v>
      </c>
    </row>
    <row r="1497" spans="1:5" x14ac:dyDescent="0.4">
      <c r="A1497" s="13" t="s">
        <v>1799</v>
      </c>
      <c r="B1497" s="13" t="s">
        <v>26</v>
      </c>
      <c r="C1497" s="13" t="s">
        <v>22</v>
      </c>
      <c r="D1497" s="14">
        <v>497</v>
      </c>
      <c r="E1497" s="15">
        <v>3</v>
      </c>
    </row>
    <row r="1498" spans="1:5" x14ac:dyDescent="0.4">
      <c r="A1498" s="13" t="s">
        <v>377</v>
      </c>
      <c r="B1498" s="13" t="s">
        <v>26</v>
      </c>
      <c r="C1498" s="13" t="s">
        <v>30</v>
      </c>
      <c r="D1498" s="14">
        <v>498</v>
      </c>
      <c r="E1498" s="15">
        <v>0</v>
      </c>
    </row>
    <row r="1499" spans="1:5" x14ac:dyDescent="0.4">
      <c r="A1499" s="13" t="s">
        <v>948</v>
      </c>
      <c r="B1499" s="13" t="s">
        <v>24</v>
      </c>
      <c r="C1499" s="13" t="s">
        <v>39</v>
      </c>
      <c r="D1499" s="14">
        <v>498</v>
      </c>
      <c r="E1499" s="15">
        <v>0</v>
      </c>
    </row>
    <row r="1500" spans="1:5" x14ac:dyDescent="0.4">
      <c r="A1500" s="13" t="s">
        <v>1313</v>
      </c>
      <c r="B1500" s="13" t="s">
        <v>20</v>
      </c>
      <c r="C1500" s="13" t="s">
        <v>40</v>
      </c>
      <c r="D1500" s="14">
        <v>498</v>
      </c>
      <c r="E1500" s="15">
        <v>0</v>
      </c>
    </row>
    <row r="1501" spans="1:5" x14ac:dyDescent="0.4">
      <c r="A1501" s="13" t="s">
        <v>143</v>
      </c>
      <c r="B1501" s="13" t="s">
        <v>26</v>
      </c>
      <c r="C1501" s="13" t="s">
        <v>43</v>
      </c>
      <c r="D1501" s="14">
        <v>499</v>
      </c>
      <c r="E1501" s="15">
        <v>1</v>
      </c>
    </row>
    <row r="1502" spans="1:5" x14ac:dyDescent="0.4">
      <c r="A1502" s="13" t="s">
        <v>1132</v>
      </c>
      <c r="B1502" s="13" t="s">
        <v>24</v>
      </c>
      <c r="C1502" s="13" t="s">
        <v>21</v>
      </c>
      <c r="D1502" s="14">
        <v>499</v>
      </c>
      <c r="E1502" s="15">
        <v>4</v>
      </c>
    </row>
    <row r="1503" spans="1:5" x14ac:dyDescent="0.4">
      <c r="A1503" s="13" t="s">
        <v>1257</v>
      </c>
      <c r="B1503" s="13" t="s">
        <v>24</v>
      </c>
      <c r="C1503" s="13" t="s">
        <v>111</v>
      </c>
      <c r="D1503" s="14">
        <v>499</v>
      </c>
      <c r="E1503" s="15">
        <v>0</v>
      </c>
    </row>
    <row r="1504" spans="1:5" x14ac:dyDescent="0.4">
      <c r="A1504" s="13" t="s">
        <v>89</v>
      </c>
      <c r="B1504" s="13" t="s">
        <v>26</v>
      </c>
      <c r="C1504" s="13" t="s">
        <v>62</v>
      </c>
      <c r="D1504" s="14">
        <v>500</v>
      </c>
      <c r="E1504" s="15">
        <v>0</v>
      </c>
    </row>
    <row r="1505" spans="1:5" x14ac:dyDescent="0.4">
      <c r="A1505" s="13" t="s">
        <v>160</v>
      </c>
      <c r="B1505" s="13" t="s">
        <v>24</v>
      </c>
      <c r="C1505" s="13" t="s">
        <v>32</v>
      </c>
      <c r="D1505" s="14">
        <v>500</v>
      </c>
      <c r="E1505" s="15">
        <v>0</v>
      </c>
    </row>
    <row r="1506" spans="1:5" x14ac:dyDescent="0.4">
      <c r="A1506" s="13" t="s">
        <v>425</v>
      </c>
      <c r="B1506" s="13" t="s">
        <v>26</v>
      </c>
      <c r="C1506" s="13" t="s">
        <v>27</v>
      </c>
      <c r="D1506" s="14">
        <v>500</v>
      </c>
      <c r="E1506" s="15">
        <v>6</v>
      </c>
    </row>
    <row r="1507" spans="1:5" x14ac:dyDescent="0.4">
      <c r="A1507" s="13" t="s">
        <v>430</v>
      </c>
      <c r="B1507" s="13" t="s">
        <v>20</v>
      </c>
      <c r="C1507" s="13" t="s">
        <v>39</v>
      </c>
      <c r="D1507" s="14">
        <v>500</v>
      </c>
      <c r="E1507" s="15">
        <v>1</v>
      </c>
    </row>
    <row r="1508" spans="1:5" x14ac:dyDescent="0.4">
      <c r="A1508" s="13" t="s">
        <v>527</v>
      </c>
      <c r="B1508" s="13" t="s">
        <v>20</v>
      </c>
      <c r="C1508" s="13" t="s">
        <v>53</v>
      </c>
      <c r="D1508" s="14">
        <v>500</v>
      </c>
      <c r="E1508" s="15">
        <v>0</v>
      </c>
    </row>
    <row r="1509" spans="1:5" x14ac:dyDescent="0.4">
      <c r="A1509" s="13" t="s">
        <v>814</v>
      </c>
      <c r="B1509" s="13" t="s">
        <v>24</v>
      </c>
      <c r="C1509" s="13" t="s">
        <v>28</v>
      </c>
      <c r="D1509" s="14">
        <v>500</v>
      </c>
      <c r="E1509" s="15">
        <v>2</v>
      </c>
    </row>
    <row r="1510" spans="1:5" x14ac:dyDescent="0.4">
      <c r="A1510" s="13" t="s">
        <v>1011</v>
      </c>
      <c r="B1510" s="13" t="s">
        <v>20</v>
      </c>
      <c r="C1510" s="13" t="s">
        <v>44</v>
      </c>
      <c r="D1510" s="14">
        <v>500</v>
      </c>
      <c r="E1510" s="15">
        <v>11</v>
      </c>
    </row>
    <row r="1511" spans="1:5" x14ac:dyDescent="0.4">
      <c r="A1511" s="13" t="s">
        <v>1870</v>
      </c>
      <c r="B1511" s="13" t="s">
        <v>20</v>
      </c>
      <c r="C1511" s="13" t="s">
        <v>66</v>
      </c>
      <c r="D1511" s="14">
        <v>500</v>
      </c>
      <c r="E1511" s="15">
        <v>0</v>
      </c>
    </row>
    <row r="1512" spans="1:5" x14ac:dyDescent="0.4">
      <c r="A1512" s="13" t="s">
        <v>207</v>
      </c>
      <c r="B1512" s="13" t="s">
        <v>24</v>
      </c>
      <c r="C1512" s="13" t="s">
        <v>30</v>
      </c>
      <c r="D1512" s="14">
        <v>501</v>
      </c>
      <c r="E1512" s="15">
        <v>4</v>
      </c>
    </row>
    <row r="1513" spans="1:5" x14ac:dyDescent="0.4">
      <c r="A1513" s="13" t="s">
        <v>318</v>
      </c>
      <c r="B1513" s="13" t="s">
        <v>20</v>
      </c>
      <c r="C1513" s="13" t="s">
        <v>44</v>
      </c>
      <c r="D1513" s="14">
        <v>501</v>
      </c>
      <c r="E1513" s="15">
        <v>6</v>
      </c>
    </row>
    <row r="1514" spans="1:5" x14ac:dyDescent="0.4">
      <c r="A1514" s="13" t="s">
        <v>1927</v>
      </c>
      <c r="B1514" s="13" t="s">
        <v>26</v>
      </c>
      <c r="C1514" s="13" t="s">
        <v>25</v>
      </c>
      <c r="D1514" s="14">
        <v>501</v>
      </c>
      <c r="E1514" s="15">
        <v>1</v>
      </c>
    </row>
    <row r="1515" spans="1:5" x14ac:dyDescent="0.4">
      <c r="A1515" s="13" t="s">
        <v>707</v>
      </c>
      <c r="B1515" s="13" t="s">
        <v>24</v>
      </c>
      <c r="C1515" s="13" t="s">
        <v>39</v>
      </c>
      <c r="D1515" s="14">
        <v>502</v>
      </c>
      <c r="E1515" s="15">
        <v>1</v>
      </c>
    </row>
    <row r="1516" spans="1:5" x14ac:dyDescent="0.4">
      <c r="A1516" s="13" t="s">
        <v>817</v>
      </c>
      <c r="B1516" s="13" t="s">
        <v>20</v>
      </c>
      <c r="C1516" s="13" t="s">
        <v>44</v>
      </c>
      <c r="D1516" s="14">
        <v>502</v>
      </c>
      <c r="E1516" s="15">
        <v>2</v>
      </c>
    </row>
    <row r="1517" spans="1:5" x14ac:dyDescent="0.4">
      <c r="A1517" s="13" t="s">
        <v>1101</v>
      </c>
      <c r="B1517" s="13" t="s">
        <v>24</v>
      </c>
      <c r="C1517" s="13" t="s">
        <v>111</v>
      </c>
      <c r="D1517" s="14">
        <v>502</v>
      </c>
      <c r="E1517" s="15">
        <v>0</v>
      </c>
    </row>
    <row r="1518" spans="1:5" x14ac:dyDescent="0.4">
      <c r="A1518" s="13" t="s">
        <v>1206</v>
      </c>
      <c r="B1518" s="13" t="s">
        <v>20</v>
      </c>
      <c r="C1518" s="13" t="s">
        <v>27</v>
      </c>
      <c r="D1518" s="14">
        <v>502</v>
      </c>
      <c r="E1518" s="15">
        <v>2</v>
      </c>
    </row>
    <row r="1519" spans="1:5" x14ac:dyDescent="0.4">
      <c r="A1519" s="13" t="s">
        <v>379</v>
      </c>
      <c r="B1519" s="13" t="s">
        <v>24</v>
      </c>
      <c r="C1519" s="13" t="s">
        <v>66</v>
      </c>
      <c r="D1519" s="14">
        <v>503</v>
      </c>
      <c r="E1519" s="15">
        <v>3</v>
      </c>
    </row>
    <row r="1520" spans="1:5" x14ac:dyDescent="0.4">
      <c r="A1520" s="13" t="s">
        <v>623</v>
      </c>
      <c r="B1520" s="13" t="s">
        <v>20</v>
      </c>
      <c r="C1520" s="13" t="s">
        <v>5</v>
      </c>
      <c r="D1520" s="14">
        <v>504</v>
      </c>
      <c r="E1520" s="15">
        <v>2</v>
      </c>
    </row>
    <row r="1521" spans="1:5" x14ac:dyDescent="0.4">
      <c r="A1521" s="13" t="s">
        <v>1188</v>
      </c>
      <c r="B1521" s="13" t="s">
        <v>26</v>
      </c>
      <c r="C1521" s="13" t="s">
        <v>25</v>
      </c>
      <c r="D1521" s="14">
        <v>504</v>
      </c>
      <c r="E1521" s="15">
        <v>0</v>
      </c>
    </row>
    <row r="1522" spans="1:5" x14ac:dyDescent="0.4">
      <c r="A1522" s="13" t="s">
        <v>256</v>
      </c>
      <c r="B1522" s="13" t="s">
        <v>24</v>
      </c>
      <c r="C1522" s="13" t="s">
        <v>27</v>
      </c>
      <c r="D1522" s="14">
        <v>505</v>
      </c>
      <c r="E1522" s="15">
        <v>1</v>
      </c>
    </row>
    <row r="1523" spans="1:5" x14ac:dyDescent="0.4">
      <c r="A1523" s="13" t="s">
        <v>268</v>
      </c>
      <c r="B1523" s="13" t="s">
        <v>20</v>
      </c>
      <c r="C1523" s="13" t="s">
        <v>44</v>
      </c>
      <c r="D1523" s="14">
        <v>505</v>
      </c>
      <c r="E1523" s="15">
        <v>2</v>
      </c>
    </row>
    <row r="1524" spans="1:5" x14ac:dyDescent="0.4">
      <c r="A1524" s="13" t="s">
        <v>1307</v>
      </c>
      <c r="B1524" s="13" t="s">
        <v>24</v>
      </c>
      <c r="C1524" s="13" t="s">
        <v>27</v>
      </c>
      <c r="D1524" s="14">
        <v>505</v>
      </c>
      <c r="E1524" s="15">
        <v>1</v>
      </c>
    </row>
    <row r="1525" spans="1:5" x14ac:dyDescent="0.4">
      <c r="A1525" s="13" t="s">
        <v>1724</v>
      </c>
      <c r="B1525" s="13" t="s">
        <v>26</v>
      </c>
      <c r="C1525" s="13" t="s">
        <v>40</v>
      </c>
      <c r="D1525" s="14">
        <v>505</v>
      </c>
      <c r="E1525" s="15">
        <v>0</v>
      </c>
    </row>
    <row r="1526" spans="1:5" x14ac:dyDescent="0.4">
      <c r="A1526" s="13" t="s">
        <v>924</v>
      </c>
      <c r="B1526" s="13" t="s">
        <v>26</v>
      </c>
      <c r="C1526" s="13" t="s">
        <v>44</v>
      </c>
      <c r="D1526" s="14">
        <v>506</v>
      </c>
      <c r="E1526" s="15">
        <v>7</v>
      </c>
    </row>
    <row r="1527" spans="1:5" x14ac:dyDescent="0.4">
      <c r="A1527" s="13" t="s">
        <v>1037</v>
      </c>
      <c r="B1527" s="13" t="s">
        <v>26</v>
      </c>
      <c r="C1527" s="13" t="s">
        <v>44</v>
      </c>
      <c r="D1527" s="14">
        <v>507</v>
      </c>
      <c r="E1527" s="15">
        <v>2</v>
      </c>
    </row>
    <row r="1528" spans="1:5" x14ac:dyDescent="0.4">
      <c r="A1528" s="13" t="s">
        <v>1079</v>
      </c>
      <c r="B1528" s="13" t="s">
        <v>20</v>
      </c>
      <c r="C1528" s="13" t="s">
        <v>5</v>
      </c>
      <c r="D1528" s="14">
        <v>507</v>
      </c>
      <c r="E1528" s="15">
        <v>6</v>
      </c>
    </row>
    <row r="1529" spans="1:5" x14ac:dyDescent="0.4">
      <c r="A1529" s="13" t="s">
        <v>1094</v>
      </c>
      <c r="B1529" s="13" t="s">
        <v>20</v>
      </c>
      <c r="C1529" s="13" t="s">
        <v>53</v>
      </c>
      <c r="D1529" s="14">
        <v>507</v>
      </c>
      <c r="E1529" s="15">
        <v>0</v>
      </c>
    </row>
    <row r="1530" spans="1:5" x14ac:dyDescent="0.4">
      <c r="A1530" s="13" t="s">
        <v>1145</v>
      </c>
      <c r="B1530" s="13" t="s">
        <v>20</v>
      </c>
      <c r="C1530" s="13" t="s">
        <v>27</v>
      </c>
      <c r="D1530" s="14">
        <v>507</v>
      </c>
      <c r="E1530" s="15">
        <v>1</v>
      </c>
    </row>
    <row r="1531" spans="1:5" x14ac:dyDescent="0.4">
      <c r="A1531" s="13" t="s">
        <v>1343</v>
      </c>
      <c r="B1531" s="13" t="s">
        <v>20</v>
      </c>
      <c r="C1531" s="13" t="s">
        <v>34</v>
      </c>
      <c r="D1531" s="14">
        <v>507</v>
      </c>
      <c r="E1531" s="15">
        <v>6</v>
      </c>
    </row>
    <row r="1532" spans="1:5" x14ac:dyDescent="0.4">
      <c r="A1532" s="13" t="s">
        <v>1504</v>
      </c>
      <c r="B1532" s="13" t="s">
        <v>20</v>
      </c>
      <c r="C1532" s="13" t="s">
        <v>66</v>
      </c>
      <c r="D1532" s="14">
        <v>507</v>
      </c>
      <c r="E1532" s="15">
        <v>2</v>
      </c>
    </row>
    <row r="1533" spans="1:5" x14ac:dyDescent="0.4">
      <c r="A1533" s="13" t="s">
        <v>775</v>
      </c>
      <c r="B1533" s="13" t="s">
        <v>20</v>
      </c>
      <c r="C1533" s="13" t="s">
        <v>25</v>
      </c>
      <c r="D1533" s="14">
        <v>508</v>
      </c>
      <c r="E1533" s="15">
        <v>1</v>
      </c>
    </row>
    <row r="1534" spans="1:5" x14ac:dyDescent="0.4">
      <c r="A1534" s="13" t="s">
        <v>1215</v>
      </c>
      <c r="B1534" s="13" t="s">
        <v>20</v>
      </c>
      <c r="C1534" s="13" t="s">
        <v>53</v>
      </c>
      <c r="D1534" s="14">
        <v>508</v>
      </c>
      <c r="E1534" s="15">
        <v>0</v>
      </c>
    </row>
    <row r="1535" spans="1:5" x14ac:dyDescent="0.4">
      <c r="A1535" s="13" t="s">
        <v>1892</v>
      </c>
      <c r="B1535" s="13" t="s">
        <v>26</v>
      </c>
      <c r="C1535" s="13" t="s">
        <v>27</v>
      </c>
      <c r="D1535" s="14">
        <v>509</v>
      </c>
      <c r="E1535" s="15">
        <v>1</v>
      </c>
    </row>
    <row r="1536" spans="1:5" x14ac:dyDescent="0.4">
      <c r="A1536" s="13" t="s">
        <v>163</v>
      </c>
      <c r="B1536" s="13" t="s">
        <v>20</v>
      </c>
      <c r="C1536" s="13" t="s">
        <v>53</v>
      </c>
      <c r="D1536" s="14">
        <v>510</v>
      </c>
      <c r="E1536" s="15">
        <v>2</v>
      </c>
    </row>
    <row r="1537" spans="1:5" x14ac:dyDescent="0.4">
      <c r="A1537" s="13" t="s">
        <v>482</v>
      </c>
      <c r="B1537" s="13" t="s">
        <v>24</v>
      </c>
      <c r="C1537" s="13" t="s">
        <v>30</v>
      </c>
      <c r="D1537" s="14">
        <v>510</v>
      </c>
      <c r="E1537" s="15">
        <v>0</v>
      </c>
    </row>
    <row r="1538" spans="1:5" x14ac:dyDescent="0.4">
      <c r="A1538" s="13" t="s">
        <v>352</v>
      </c>
      <c r="B1538" s="13" t="s">
        <v>26</v>
      </c>
      <c r="C1538" s="13" t="s">
        <v>66</v>
      </c>
      <c r="D1538" s="14">
        <v>511</v>
      </c>
      <c r="E1538" s="15">
        <v>2</v>
      </c>
    </row>
    <row r="1539" spans="1:5" x14ac:dyDescent="0.4">
      <c r="A1539" s="13" t="s">
        <v>988</v>
      </c>
      <c r="B1539" s="13" t="s">
        <v>24</v>
      </c>
      <c r="C1539" s="13" t="s">
        <v>43</v>
      </c>
      <c r="D1539" s="14">
        <v>511</v>
      </c>
      <c r="E1539" s="15">
        <v>0</v>
      </c>
    </row>
    <row r="1540" spans="1:5" x14ac:dyDescent="0.4">
      <c r="A1540" s="13" t="s">
        <v>1026</v>
      </c>
      <c r="B1540" s="13" t="s">
        <v>24</v>
      </c>
      <c r="C1540" s="13" t="s">
        <v>44</v>
      </c>
      <c r="D1540" s="14">
        <v>511</v>
      </c>
      <c r="E1540" s="15">
        <v>3</v>
      </c>
    </row>
    <row r="1541" spans="1:5" x14ac:dyDescent="0.4">
      <c r="A1541" s="13" t="s">
        <v>1973</v>
      </c>
      <c r="B1541" s="13" t="s">
        <v>24</v>
      </c>
      <c r="C1541" s="13" t="s">
        <v>28</v>
      </c>
      <c r="D1541" s="14">
        <v>511</v>
      </c>
      <c r="E1541" s="15">
        <v>0</v>
      </c>
    </row>
    <row r="1542" spans="1:5" x14ac:dyDescent="0.4">
      <c r="A1542" s="13" t="s">
        <v>773</v>
      </c>
      <c r="B1542" s="13" t="s">
        <v>20</v>
      </c>
      <c r="C1542" s="13" t="s">
        <v>5</v>
      </c>
      <c r="D1542" s="14">
        <v>512</v>
      </c>
      <c r="E1542" s="15">
        <v>4</v>
      </c>
    </row>
    <row r="1543" spans="1:5" x14ac:dyDescent="0.4">
      <c r="A1543" s="13" t="s">
        <v>998</v>
      </c>
      <c r="B1543" s="13" t="s">
        <v>24</v>
      </c>
      <c r="C1543" s="13" t="s">
        <v>66</v>
      </c>
      <c r="D1543" s="14">
        <v>512</v>
      </c>
      <c r="E1543" s="15">
        <v>1</v>
      </c>
    </row>
    <row r="1544" spans="1:5" x14ac:dyDescent="0.4">
      <c r="A1544" s="13" t="s">
        <v>1617</v>
      </c>
      <c r="B1544" s="13" t="s">
        <v>20</v>
      </c>
      <c r="C1544" s="13" t="s">
        <v>62</v>
      </c>
      <c r="D1544" s="14">
        <v>512</v>
      </c>
      <c r="E1544" s="15">
        <v>6</v>
      </c>
    </row>
    <row r="1545" spans="1:5" x14ac:dyDescent="0.4">
      <c r="A1545" s="13" t="s">
        <v>1681</v>
      </c>
      <c r="B1545" s="13" t="s">
        <v>26</v>
      </c>
      <c r="C1545" s="13" t="s">
        <v>5</v>
      </c>
      <c r="D1545" s="14">
        <v>512</v>
      </c>
      <c r="E1545" s="15">
        <v>1</v>
      </c>
    </row>
    <row r="1546" spans="1:5" x14ac:dyDescent="0.4">
      <c r="A1546" s="13" t="s">
        <v>261</v>
      </c>
      <c r="B1546" s="13" t="s">
        <v>26</v>
      </c>
      <c r="C1546" s="13" t="s">
        <v>44</v>
      </c>
      <c r="D1546" s="14">
        <v>513</v>
      </c>
      <c r="E1546" s="15">
        <v>6</v>
      </c>
    </row>
    <row r="1547" spans="1:5" x14ac:dyDescent="0.4">
      <c r="A1547" s="13" t="s">
        <v>436</v>
      </c>
      <c r="B1547" s="13" t="s">
        <v>20</v>
      </c>
      <c r="C1547" s="13" t="s">
        <v>53</v>
      </c>
      <c r="D1547" s="14">
        <v>513</v>
      </c>
      <c r="E1547" s="15">
        <v>5</v>
      </c>
    </row>
    <row r="1548" spans="1:5" x14ac:dyDescent="0.4">
      <c r="A1548" s="13" t="s">
        <v>783</v>
      </c>
      <c r="B1548" s="13" t="s">
        <v>20</v>
      </c>
      <c r="C1548" s="13" t="s">
        <v>40</v>
      </c>
      <c r="D1548" s="14">
        <v>513</v>
      </c>
      <c r="E1548" s="15">
        <v>0</v>
      </c>
    </row>
    <row r="1549" spans="1:5" x14ac:dyDescent="0.4">
      <c r="A1549" s="13" t="s">
        <v>1047</v>
      </c>
      <c r="B1549" s="13" t="s">
        <v>20</v>
      </c>
      <c r="C1549" s="13" t="s">
        <v>111</v>
      </c>
      <c r="D1549" s="14">
        <v>513</v>
      </c>
      <c r="E1549" s="15">
        <v>0</v>
      </c>
    </row>
    <row r="1550" spans="1:5" x14ac:dyDescent="0.4">
      <c r="A1550" s="13" t="s">
        <v>995</v>
      </c>
      <c r="B1550" s="13" t="s">
        <v>24</v>
      </c>
      <c r="C1550" s="13" t="s">
        <v>39</v>
      </c>
      <c r="D1550" s="14">
        <v>514</v>
      </c>
      <c r="E1550" s="15">
        <v>2</v>
      </c>
    </row>
    <row r="1551" spans="1:5" x14ac:dyDescent="0.4">
      <c r="A1551" s="13" t="s">
        <v>1913</v>
      </c>
      <c r="B1551" s="13" t="s">
        <v>20</v>
      </c>
      <c r="C1551" s="13" t="s">
        <v>66</v>
      </c>
      <c r="D1551" s="14">
        <v>514</v>
      </c>
      <c r="E1551" s="15">
        <v>1</v>
      </c>
    </row>
    <row r="1552" spans="1:5" x14ac:dyDescent="0.4">
      <c r="A1552" s="13" t="s">
        <v>38</v>
      </c>
      <c r="B1552" s="13" t="s">
        <v>26</v>
      </c>
      <c r="C1552" s="13" t="s">
        <v>40</v>
      </c>
      <c r="D1552" s="14">
        <v>515</v>
      </c>
      <c r="E1552" s="15">
        <v>0</v>
      </c>
    </row>
    <row r="1553" spans="1:5" x14ac:dyDescent="0.4">
      <c r="A1553" s="13" t="s">
        <v>226</v>
      </c>
      <c r="B1553" s="13" t="s">
        <v>20</v>
      </c>
      <c r="C1553" s="13" t="s">
        <v>111</v>
      </c>
      <c r="D1553" s="14">
        <v>515</v>
      </c>
      <c r="E1553" s="15">
        <v>6</v>
      </c>
    </row>
    <row r="1554" spans="1:5" x14ac:dyDescent="0.4">
      <c r="A1554" s="13" t="s">
        <v>654</v>
      </c>
      <c r="B1554" s="13" t="s">
        <v>20</v>
      </c>
      <c r="C1554" s="13" t="s">
        <v>111</v>
      </c>
      <c r="D1554" s="14">
        <v>515</v>
      </c>
      <c r="E1554" s="15">
        <v>3</v>
      </c>
    </row>
    <row r="1555" spans="1:5" x14ac:dyDescent="0.4">
      <c r="A1555" s="13" t="s">
        <v>882</v>
      </c>
      <c r="B1555" s="13" t="s">
        <v>24</v>
      </c>
      <c r="C1555" s="13" t="s">
        <v>27</v>
      </c>
      <c r="D1555" s="14">
        <v>515</v>
      </c>
      <c r="E1555" s="15">
        <v>0</v>
      </c>
    </row>
    <row r="1556" spans="1:5" x14ac:dyDescent="0.4">
      <c r="A1556" s="13" t="s">
        <v>1506</v>
      </c>
      <c r="B1556" s="13" t="s">
        <v>24</v>
      </c>
      <c r="C1556" s="13" t="s">
        <v>43</v>
      </c>
      <c r="D1556" s="14">
        <v>515</v>
      </c>
      <c r="E1556" s="15">
        <v>0</v>
      </c>
    </row>
    <row r="1557" spans="1:5" x14ac:dyDescent="0.4">
      <c r="A1557" s="13" t="s">
        <v>398</v>
      </c>
      <c r="B1557" s="13" t="s">
        <v>26</v>
      </c>
      <c r="C1557" s="13" t="s">
        <v>27</v>
      </c>
      <c r="D1557" s="14">
        <v>516</v>
      </c>
      <c r="E1557" s="15">
        <v>3</v>
      </c>
    </row>
    <row r="1558" spans="1:5" x14ac:dyDescent="0.4">
      <c r="A1558" s="13" t="s">
        <v>1605</v>
      </c>
      <c r="B1558" s="13" t="s">
        <v>24</v>
      </c>
      <c r="C1558" s="13" t="s">
        <v>62</v>
      </c>
      <c r="D1558" s="14">
        <v>516</v>
      </c>
      <c r="E1558" s="15">
        <v>5</v>
      </c>
    </row>
    <row r="1559" spans="1:5" x14ac:dyDescent="0.4">
      <c r="A1559" s="13" t="s">
        <v>402</v>
      </c>
      <c r="B1559" s="13" t="s">
        <v>20</v>
      </c>
      <c r="C1559" s="13" t="s">
        <v>40</v>
      </c>
      <c r="D1559" s="14">
        <v>517</v>
      </c>
      <c r="E1559" s="15">
        <v>2</v>
      </c>
    </row>
    <row r="1560" spans="1:5" x14ac:dyDescent="0.4">
      <c r="A1560" s="13" t="s">
        <v>705</v>
      </c>
      <c r="B1560" s="13" t="s">
        <v>20</v>
      </c>
      <c r="C1560" s="13" t="s">
        <v>27</v>
      </c>
      <c r="D1560" s="14">
        <v>518</v>
      </c>
      <c r="E1560" s="15">
        <v>1</v>
      </c>
    </row>
    <row r="1561" spans="1:5" x14ac:dyDescent="0.4">
      <c r="A1561" s="13" t="s">
        <v>1771</v>
      </c>
      <c r="B1561" s="13" t="s">
        <v>26</v>
      </c>
      <c r="C1561" s="13" t="s">
        <v>44</v>
      </c>
      <c r="D1561" s="14">
        <v>518</v>
      </c>
      <c r="E1561" s="15">
        <v>0</v>
      </c>
    </row>
    <row r="1562" spans="1:5" x14ac:dyDescent="0.4">
      <c r="A1562" s="13" t="s">
        <v>247</v>
      </c>
      <c r="B1562" s="13" t="s">
        <v>24</v>
      </c>
      <c r="C1562" s="13" t="s">
        <v>44</v>
      </c>
      <c r="D1562" s="14">
        <v>519</v>
      </c>
      <c r="E1562" s="15">
        <v>2</v>
      </c>
    </row>
    <row r="1563" spans="1:5" x14ac:dyDescent="0.4">
      <c r="A1563" s="13" t="s">
        <v>311</v>
      </c>
      <c r="B1563" s="13" t="s">
        <v>24</v>
      </c>
      <c r="C1563" s="13" t="s">
        <v>32</v>
      </c>
      <c r="D1563" s="14">
        <v>519</v>
      </c>
      <c r="E1563" s="15">
        <v>0</v>
      </c>
    </row>
    <row r="1564" spans="1:5" x14ac:dyDescent="0.4">
      <c r="A1564" s="13" t="s">
        <v>697</v>
      </c>
      <c r="B1564" s="13" t="s">
        <v>20</v>
      </c>
      <c r="C1564" s="13" t="s">
        <v>44</v>
      </c>
      <c r="D1564" s="14">
        <v>519</v>
      </c>
      <c r="E1564" s="15">
        <v>0</v>
      </c>
    </row>
    <row r="1565" spans="1:5" x14ac:dyDescent="0.4">
      <c r="A1565" s="13" t="s">
        <v>700</v>
      </c>
      <c r="B1565" s="13" t="s">
        <v>24</v>
      </c>
      <c r="C1565" s="13" t="s">
        <v>62</v>
      </c>
      <c r="D1565" s="14">
        <v>519</v>
      </c>
      <c r="E1565" s="15">
        <v>1</v>
      </c>
    </row>
    <row r="1566" spans="1:5" x14ac:dyDescent="0.4">
      <c r="A1566" s="13" t="s">
        <v>797</v>
      </c>
      <c r="B1566" s="13" t="s">
        <v>24</v>
      </c>
      <c r="C1566" s="13" t="s">
        <v>43</v>
      </c>
      <c r="D1566" s="14">
        <v>519</v>
      </c>
      <c r="E1566" s="15">
        <v>7</v>
      </c>
    </row>
    <row r="1567" spans="1:5" x14ac:dyDescent="0.4">
      <c r="A1567" s="13" t="s">
        <v>1059</v>
      </c>
      <c r="B1567" s="13" t="s">
        <v>26</v>
      </c>
      <c r="C1567" s="13" t="s">
        <v>30</v>
      </c>
      <c r="D1567" s="14">
        <v>519</v>
      </c>
      <c r="E1567" s="15">
        <v>0</v>
      </c>
    </row>
    <row r="1568" spans="1:5" x14ac:dyDescent="0.4">
      <c r="A1568" s="13" t="s">
        <v>1811</v>
      </c>
      <c r="B1568" s="13" t="s">
        <v>20</v>
      </c>
      <c r="C1568" s="13" t="s">
        <v>32</v>
      </c>
      <c r="D1568" s="14">
        <v>519</v>
      </c>
      <c r="E1568" s="15">
        <v>3</v>
      </c>
    </row>
    <row r="1569" spans="1:5" x14ac:dyDescent="0.4">
      <c r="A1569" s="13" t="s">
        <v>152</v>
      </c>
      <c r="B1569" s="13" t="s">
        <v>24</v>
      </c>
      <c r="C1569" s="13" t="s">
        <v>40</v>
      </c>
      <c r="D1569" s="14">
        <v>520</v>
      </c>
      <c r="E1569" s="15">
        <v>7</v>
      </c>
    </row>
    <row r="1570" spans="1:5" x14ac:dyDescent="0.4">
      <c r="A1570" s="13" t="s">
        <v>1168</v>
      </c>
      <c r="B1570" s="13" t="s">
        <v>26</v>
      </c>
      <c r="C1570" s="13" t="s">
        <v>44</v>
      </c>
      <c r="D1570" s="14">
        <v>520</v>
      </c>
      <c r="E1570" s="15">
        <v>0</v>
      </c>
    </row>
    <row r="1571" spans="1:5" x14ac:dyDescent="0.4">
      <c r="A1571" s="13" t="s">
        <v>1359</v>
      </c>
      <c r="B1571" s="13" t="s">
        <v>20</v>
      </c>
      <c r="C1571" s="13" t="s">
        <v>34</v>
      </c>
      <c r="D1571" s="14">
        <v>520</v>
      </c>
      <c r="E1571" s="15">
        <v>9</v>
      </c>
    </row>
    <row r="1572" spans="1:5" x14ac:dyDescent="0.4">
      <c r="A1572" s="13" t="s">
        <v>1732</v>
      </c>
      <c r="B1572" s="13" t="s">
        <v>26</v>
      </c>
      <c r="C1572" s="13" t="s">
        <v>39</v>
      </c>
      <c r="D1572" s="14">
        <v>520</v>
      </c>
      <c r="E1572" s="15">
        <v>1</v>
      </c>
    </row>
    <row r="1573" spans="1:5" x14ac:dyDescent="0.4">
      <c r="A1573" s="13" t="s">
        <v>1136</v>
      </c>
      <c r="B1573" s="13" t="s">
        <v>20</v>
      </c>
      <c r="C1573" s="13" t="s">
        <v>44</v>
      </c>
      <c r="D1573" s="14">
        <v>521</v>
      </c>
      <c r="E1573" s="15">
        <v>0</v>
      </c>
    </row>
    <row r="1574" spans="1:5" x14ac:dyDescent="0.4">
      <c r="A1574" s="13" t="s">
        <v>1825</v>
      </c>
      <c r="B1574" s="13" t="s">
        <v>24</v>
      </c>
      <c r="C1574" s="13" t="s">
        <v>44</v>
      </c>
      <c r="D1574" s="14">
        <v>521</v>
      </c>
      <c r="E1574" s="15">
        <v>6</v>
      </c>
    </row>
    <row r="1575" spans="1:5" x14ac:dyDescent="0.4">
      <c r="A1575" s="13" t="s">
        <v>1940</v>
      </c>
      <c r="B1575" s="13" t="s">
        <v>26</v>
      </c>
      <c r="C1575" s="13" t="s">
        <v>44</v>
      </c>
      <c r="D1575" s="14">
        <v>521</v>
      </c>
      <c r="E1575" s="15">
        <v>0</v>
      </c>
    </row>
    <row r="1576" spans="1:5" x14ac:dyDescent="0.4">
      <c r="A1576" s="13" t="s">
        <v>188</v>
      </c>
      <c r="B1576" s="13" t="s">
        <v>24</v>
      </c>
      <c r="C1576" s="13" t="s">
        <v>27</v>
      </c>
      <c r="D1576" s="14">
        <v>522</v>
      </c>
      <c r="E1576" s="15">
        <v>3</v>
      </c>
    </row>
    <row r="1577" spans="1:5" x14ac:dyDescent="0.4">
      <c r="A1577" s="13" t="s">
        <v>1232</v>
      </c>
      <c r="B1577" s="13" t="s">
        <v>26</v>
      </c>
      <c r="C1577" s="13" t="s">
        <v>30</v>
      </c>
      <c r="D1577" s="14">
        <v>522</v>
      </c>
      <c r="E1577" s="15">
        <v>0</v>
      </c>
    </row>
    <row r="1578" spans="1:5" x14ac:dyDescent="0.4">
      <c r="A1578" s="13" t="s">
        <v>335</v>
      </c>
      <c r="B1578" s="13" t="s">
        <v>20</v>
      </c>
      <c r="C1578" s="13" t="s">
        <v>5</v>
      </c>
      <c r="D1578" s="14">
        <v>523</v>
      </c>
      <c r="E1578" s="15">
        <v>4</v>
      </c>
    </row>
    <row r="1579" spans="1:5" x14ac:dyDescent="0.4">
      <c r="A1579" s="13" t="s">
        <v>366</v>
      </c>
      <c r="B1579" s="13" t="s">
        <v>24</v>
      </c>
      <c r="C1579" s="13" t="s">
        <v>62</v>
      </c>
      <c r="D1579" s="14">
        <v>523</v>
      </c>
      <c r="E1579" s="15">
        <v>1</v>
      </c>
    </row>
    <row r="1580" spans="1:5" x14ac:dyDescent="0.4">
      <c r="A1580" s="13" t="s">
        <v>1435</v>
      </c>
      <c r="B1580" s="13" t="s">
        <v>24</v>
      </c>
      <c r="C1580" s="13" t="s">
        <v>111</v>
      </c>
      <c r="D1580" s="14">
        <v>523</v>
      </c>
      <c r="E1580" s="15">
        <v>0</v>
      </c>
    </row>
    <row r="1581" spans="1:5" x14ac:dyDescent="0.4">
      <c r="A1581" s="13" t="s">
        <v>1893</v>
      </c>
      <c r="B1581" s="13" t="s">
        <v>26</v>
      </c>
      <c r="C1581" s="13" t="s">
        <v>39</v>
      </c>
      <c r="D1581" s="14">
        <v>524</v>
      </c>
      <c r="E1581" s="15">
        <v>2</v>
      </c>
    </row>
    <row r="1582" spans="1:5" x14ac:dyDescent="0.4">
      <c r="A1582" s="13" t="s">
        <v>1209</v>
      </c>
      <c r="B1582" s="13" t="s">
        <v>24</v>
      </c>
      <c r="C1582" s="13" t="s">
        <v>39</v>
      </c>
      <c r="D1582" s="14">
        <v>525</v>
      </c>
      <c r="E1582" s="15">
        <v>0</v>
      </c>
    </row>
    <row r="1583" spans="1:5" x14ac:dyDescent="0.4">
      <c r="A1583" s="13" t="s">
        <v>397</v>
      </c>
      <c r="B1583" s="13" t="s">
        <v>24</v>
      </c>
      <c r="C1583" s="13" t="s">
        <v>5</v>
      </c>
      <c r="D1583" s="14">
        <v>526</v>
      </c>
      <c r="E1583" s="15">
        <v>7</v>
      </c>
    </row>
    <row r="1584" spans="1:5" x14ac:dyDescent="0.4">
      <c r="A1584" s="13" t="s">
        <v>498</v>
      </c>
      <c r="B1584" s="13" t="s">
        <v>26</v>
      </c>
      <c r="C1584" s="13" t="s">
        <v>22</v>
      </c>
      <c r="D1584" s="14">
        <v>526</v>
      </c>
      <c r="E1584" s="15">
        <v>4</v>
      </c>
    </row>
    <row r="1585" spans="1:5" x14ac:dyDescent="0.4">
      <c r="A1585" s="13" t="s">
        <v>1002</v>
      </c>
      <c r="B1585" s="13" t="s">
        <v>24</v>
      </c>
      <c r="C1585" s="13" t="s">
        <v>27</v>
      </c>
      <c r="D1585" s="14">
        <v>526</v>
      </c>
      <c r="E1585" s="15">
        <v>2</v>
      </c>
    </row>
    <row r="1586" spans="1:5" x14ac:dyDescent="0.4">
      <c r="A1586" s="13" t="s">
        <v>1291</v>
      </c>
      <c r="B1586" s="13" t="s">
        <v>26</v>
      </c>
      <c r="C1586" s="13" t="s">
        <v>32</v>
      </c>
      <c r="D1586" s="14">
        <v>526</v>
      </c>
      <c r="E1586" s="15">
        <v>0</v>
      </c>
    </row>
    <row r="1587" spans="1:5" x14ac:dyDescent="0.4">
      <c r="A1587" s="13" t="s">
        <v>1817</v>
      </c>
      <c r="B1587" s="13" t="s">
        <v>26</v>
      </c>
      <c r="C1587" s="13" t="s">
        <v>53</v>
      </c>
      <c r="D1587" s="14">
        <v>526</v>
      </c>
      <c r="E1587" s="15">
        <v>8</v>
      </c>
    </row>
    <row r="1588" spans="1:5" x14ac:dyDescent="0.4">
      <c r="A1588" s="13" t="s">
        <v>1868</v>
      </c>
      <c r="B1588" s="13" t="s">
        <v>20</v>
      </c>
      <c r="C1588" s="13" t="s">
        <v>39</v>
      </c>
      <c r="D1588" s="14">
        <v>526</v>
      </c>
      <c r="E1588" s="15">
        <v>2</v>
      </c>
    </row>
    <row r="1589" spans="1:5" x14ac:dyDescent="0.4">
      <c r="A1589" s="13" t="s">
        <v>795</v>
      </c>
      <c r="B1589" s="13" t="s">
        <v>26</v>
      </c>
      <c r="C1589" s="13" t="s">
        <v>111</v>
      </c>
      <c r="D1589" s="14">
        <v>527</v>
      </c>
      <c r="E1589" s="15">
        <v>4</v>
      </c>
    </row>
    <row r="1590" spans="1:5" x14ac:dyDescent="0.4">
      <c r="A1590" s="13" t="s">
        <v>1520</v>
      </c>
      <c r="B1590" s="13" t="s">
        <v>26</v>
      </c>
      <c r="C1590" s="13" t="s">
        <v>111</v>
      </c>
      <c r="D1590" s="14">
        <v>527</v>
      </c>
      <c r="E1590" s="15">
        <v>2</v>
      </c>
    </row>
    <row r="1591" spans="1:5" x14ac:dyDescent="0.4">
      <c r="A1591" s="13" t="s">
        <v>426</v>
      </c>
      <c r="B1591" s="13" t="s">
        <v>24</v>
      </c>
      <c r="C1591" s="13" t="s">
        <v>21</v>
      </c>
      <c r="D1591" s="14">
        <v>528</v>
      </c>
      <c r="E1591" s="15">
        <v>0</v>
      </c>
    </row>
    <row r="1592" spans="1:5" x14ac:dyDescent="0.4">
      <c r="A1592" s="13" t="s">
        <v>541</v>
      </c>
      <c r="B1592" s="13" t="s">
        <v>20</v>
      </c>
      <c r="C1592" s="13" t="s">
        <v>44</v>
      </c>
      <c r="D1592" s="14">
        <v>528</v>
      </c>
      <c r="E1592" s="15">
        <v>3</v>
      </c>
    </row>
    <row r="1593" spans="1:5" x14ac:dyDescent="0.4">
      <c r="A1593" s="13" t="s">
        <v>1760</v>
      </c>
      <c r="B1593" s="13" t="s">
        <v>20</v>
      </c>
      <c r="C1593" s="13" t="s">
        <v>44</v>
      </c>
      <c r="D1593" s="14">
        <v>528</v>
      </c>
      <c r="E1593" s="15">
        <v>0</v>
      </c>
    </row>
    <row r="1594" spans="1:5" x14ac:dyDescent="0.4">
      <c r="A1594" s="13" t="s">
        <v>663</v>
      </c>
      <c r="B1594" s="13" t="s">
        <v>26</v>
      </c>
      <c r="C1594" s="13" t="s">
        <v>34</v>
      </c>
      <c r="D1594" s="14">
        <v>529</v>
      </c>
      <c r="E1594" s="15">
        <v>0</v>
      </c>
    </row>
    <row r="1595" spans="1:5" x14ac:dyDescent="0.4">
      <c r="A1595" s="13" t="s">
        <v>1180</v>
      </c>
      <c r="B1595" s="13" t="s">
        <v>20</v>
      </c>
      <c r="C1595" s="13" t="s">
        <v>39</v>
      </c>
      <c r="D1595" s="14">
        <v>529</v>
      </c>
      <c r="E1595" s="15">
        <v>3</v>
      </c>
    </row>
    <row r="1596" spans="1:5" x14ac:dyDescent="0.4">
      <c r="A1596" s="13" t="s">
        <v>1472</v>
      </c>
      <c r="B1596" s="13" t="s">
        <v>24</v>
      </c>
      <c r="C1596" s="13" t="s">
        <v>39</v>
      </c>
      <c r="D1596" s="14">
        <v>529</v>
      </c>
      <c r="E1596" s="15">
        <v>0</v>
      </c>
    </row>
    <row r="1597" spans="1:5" x14ac:dyDescent="0.4">
      <c r="A1597" s="13" t="s">
        <v>1735</v>
      </c>
      <c r="B1597" s="13" t="s">
        <v>24</v>
      </c>
      <c r="C1597" s="13" t="s">
        <v>30</v>
      </c>
      <c r="D1597" s="14">
        <v>529</v>
      </c>
      <c r="E1597" s="15">
        <v>0</v>
      </c>
    </row>
    <row r="1598" spans="1:5" x14ac:dyDescent="0.4">
      <c r="A1598" s="13" t="s">
        <v>366</v>
      </c>
      <c r="B1598" s="13" t="s">
        <v>20</v>
      </c>
      <c r="C1598" s="13" t="s">
        <v>32</v>
      </c>
      <c r="D1598" s="14">
        <v>530</v>
      </c>
      <c r="E1598" s="15">
        <v>0</v>
      </c>
    </row>
    <row r="1599" spans="1:5" x14ac:dyDescent="0.4">
      <c r="A1599" s="13" t="s">
        <v>804</v>
      </c>
      <c r="B1599" s="13" t="s">
        <v>26</v>
      </c>
      <c r="C1599" s="13" t="s">
        <v>39</v>
      </c>
      <c r="D1599" s="14">
        <v>530</v>
      </c>
      <c r="E1599" s="15">
        <v>1</v>
      </c>
    </row>
    <row r="1600" spans="1:5" x14ac:dyDescent="0.4">
      <c r="A1600" s="13" t="s">
        <v>370</v>
      </c>
      <c r="B1600" s="13" t="s">
        <v>20</v>
      </c>
      <c r="C1600" s="13" t="s">
        <v>62</v>
      </c>
      <c r="D1600" s="14">
        <v>531</v>
      </c>
      <c r="E1600" s="15">
        <v>1</v>
      </c>
    </row>
    <row r="1601" spans="1:5" x14ac:dyDescent="0.4">
      <c r="A1601" s="13" t="s">
        <v>639</v>
      </c>
      <c r="B1601" s="13" t="s">
        <v>24</v>
      </c>
      <c r="C1601" s="13" t="s">
        <v>111</v>
      </c>
      <c r="D1601" s="14">
        <v>531</v>
      </c>
      <c r="E1601" s="15">
        <v>0</v>
      </c>
    </row>
    <row r="1602" spans="1:5" x14ac:dyDescent="0.4">
      <c r="A1602" s="13" t="s">
        <v>641</v>
      </c>
      <c r="B1602" s="13" t="s">
        <v>26</v>
      </c>
      <c r="C1602" s="13" t="s">
        <v>30</v>
      </c>
      <c r="D1602" s="14">
        <v>531</v>
      </c>
      <c r="E1602" s="15">
        <v>0</v>
      </c>
    </row>
    <row r="1603" spans="1:5" x14ac:dyDescent="0.4">
      <c r="A1603" s="13" t="s">
        <v>1368</v>
      </c>
      <c r="B1603" s="13" t="s">
        <v>24</v>
      </c>
      <c r="C1603" s="13" t="s">
        <v>39</v>
      </c>
      <c r="D1603" s="14">
        <v>531</v>
      </c>
      <c r="E1603" s="15">
        <v>0</v>
      </c>
    </row>
    <row r="1604" spans="1:5" x14ac:dyDescent="0.4">
      <c r="A1604" s="13" t="s">
        <v>1414</v>
      </c>
      <c r="B1604" s="13" t="s">
        <v>20</v>
      </c>
      <c r="C1604" s="13" t="s">
        <v>21</v>
      </c>
      <c r="D1604" s="14">
        <v>531</v>
      </c>
      <c r="E1604" s="15">
        <v>7</v>
      </c>
    </row>
    <row r="1605" spans="1:5" x14ac:dyDescent="0.4">
      <c r="A1605" s="13" t="s">
        <v>1860</v>
      </c>
      <c r="B1605" s="13" t="s">
        <v>26</v>
      </c>
      <c r="C1605" s="13" t="s">
        <v>28</v>
      </c>
      <c r="D1605" s="14">
        <v>531</v>
      </c>
      <c r="E1605" s="15">
        <v>1</v>
      </c>
    </row>
    <row r="1606" spans="1:5" x14ac:dyDescent="0.4">
      <c r="A1606" s="13" t="s">
        <v>1974</v>
      </c>
      <c r="B1606" s="13" t="s">
        <v>26</v>
      </c>
      <c r="C1606" s="13" t="s">
        <v>25</v>
      </c>
      <c r="D1606" s="14">
        <v>531</v>
      </c>
      <c r="E1606" s="15">
        <v>2</v>
      </c>
    </row>
    <row r="1607" spans="1:5" x14ac:dyDescent="0.4">
      <c r="A1607" s="13" t="s">
        <v>105</v>
      </c>
      <c r="B1607" s="13" t="s">
        <v>20</v>
      </c>
      <c r="C1607" s="13" t="s">
        <v>30</v>
      </c>
      <c r="D1607" s="14">
        <v>532</v>
      </c>
      <c r="E1607" s="15">
        <v>2</v>
      </c>
    </row>
    <row r="1608" spans="1:5" x14ac:dyDescent="0.4">
      <c r="A1608" s="13" t="s">
        <v>506</v>
      </c>
      <c r="B1608" s="13" t="s">
        <v>20</v>
      </c>
      <c r="C1608" s="13" t="s">
        <v>62</v>
      </c>
      <c r="D1608" s="14">
        <v>532</v>
      </c>
      <c r="E1608" s="15">
        <v>0</v>
      </c>
    </row>
    <row r="1609" spans="1:5" x14ac:dyDescent="0.4">
      <c r="A1609" s="13" t="s">
        <v>903</v>
      </c>
      <c r="B1609" s="13" t="s">
        <v>20</v>
      </c>
      <c r="C1609" s="13" t="s">
        <v>21</v>
      </c>
      <c r="D1609" s="14">
        <v>532</v>
      </c>
      <c r="E1609" s="15">
        <v>2</v>
      </c>
    </row>
    <row r="1610" spans="1:5" x14ac:dyDescent="0.4">
      <c r="A1610" s="13" t="s">
        <v>1558</v>
      </c>
      <c r="B1610" s="13" t="s">
        <v>24</v>
      </c>
      <c r="C1610" s="13" t="s">
        <v>40</v>
      </c>
      <c r="D1610" s="14">
        <v>532</v>
      </c>
      <c r="E1610" s="15">
        <v>0</v>
      </c>
    </row>
    <row r="1611" spans="1:5" x14ac:dyDescent="0.4">
      <c r="A1611" s="13" t="s">
        <v>453</v>
      </c>
      <c r="B1611" s="13" t="s">
        <v>24</v>
      </c>
      <c r="C1611" s="13" t="s">
        <v>28</v>
      </c>
      <c r="D1611" s="14">
        <v>534</v>
      </c>
      <c r="E1611" s="15">
        <v>2</v>
      </c>
    </row>
    <row r="1612" spans="1:5" x14ac:dyDescent="0.4">
      <c r="A1612" s="13" t="s">
        <v>898</v>
      </c>
      <c r="B1612" s="13" t="s">
        <v>20</v>
      </c>
      <c r="C1612" s="13" t="s">
        <v>53</v>
      </c>
      <c r="D1612" s="14">
        <v>536</v>
      </c>
      <c r="E1612" s="15">
        <v>7</v>
      </c>
    </row>
    <row r="1613" spans="1:5" x14ac:dyDescent="0.4">
      <c r="A1613" s="13" t="s">
        <v>1168</v>
      </c>
      <c r="B1613" s="13" t="s">
        <v>24</v>
      </c>
      <c r="C1613" s="13" t="s">
        <v>32</v>
      </c>
      <c r="D1613" s="14">
        <v>536</v>
      </c>
      <c r="E1613" s="15">
        <v>0</v>
      </c>
    </row>
    <row r="1614" spans="1:5" x14ac:dyDescent="0.4">
      <c r="A1614" s="13" t="s">
        <v>1648</v>
      </c>
      <c r="B1614" s="13" t="s">
        <v>20</v>
      </c>
      <c r="C1614" s="13" t="s">
        <v>62</v>
      </c>
      <c r="D1614" s="14">
        <v>536</v>
      </c>
      <c r="E1614" s="15">
        <v>11</v>
      </c>
    </row>
    <row r="1615" spans="1:5" x14ac:dyDescent="0.4">
      <c r="A1615" s="13" t="s">
        <v>262</v>
      </c>
      <c r="B1615" s="13" t="s">
        <v>20</v>
      </c>
      <c r="C1615" s="13" t="s">
        <v>44</v>
      </c>
      <c r="D1615" s="14">
        <v>537</v>
      </c>
      <c r="E1615" s="15">
        <v>2</v>
      </c>
    </row>
    <row r="1616" spans="1:5" x14ac:dyDescent="0.4">
      <c r="A1616" s="13" t="s">
        <v>864</v>
      </c>
      <c r="B1616" s="13" t="s">
        <v>20</v>
      </c>
      <c r="C1616" s="13" t="s">
        <v>39</v>
      </c>
      <c r="D1616" s="14">
        <v>537</v>
      </c>
      <c r="E1616" s="15">
        <v>4</v>
      </c>
    </row>
    <row r="1617" spans="1:5" x14ac:dyDescent="0.4">
      <c r="A1617" s="13" t="s">
        <v>993</v>
      </c>
      <c r="B1617" s="13" t="s">
        <v>20</v>
      </c>
      <c r="C1617" s="13" t="s">
        <v>30</v>
      </c>
      <c r="D1617" s="14">
        <v>537</v>
      </c>
      <c r="E1617" s="15">
        <v>4</v>
      </c>
    </row>
    <row r="1618" spans="1:5" x14ac:dyDescent="0.4">
      <c r="A1618" s="13" t="s">
        <v>432</v>
      </c>
      <c r="B1618" s="13" t="s">
        <v>24</v>
      </c>
      <c r="C1618" s="13" t="s">
        <v>28</v>
      </c>
      <c r="D1618" s="14">
        <v>538</v>
      </c>
      <c r="E1618" s="15">
        <v>1</v>
      </c>
    </row>
    <row r="1619" spans="1:5" x14ac:dyDescent="0.4">
      <c r="A1619" s="13" t="s">
        <v>1930</v>
      </c>
      <c r="B1619" s="13" t="s">
        <v>20</v>
      </c>
      <c r="C1619" s="13" t="s">
        <v>34</v>
      </c>
      <c r="D1619" s="14">
        <v>538</v>
      </c>
      <c r="E1619" s="15">
        <v>0</v>
      </c>
    </row>
    <row r="1620" spans="1:5" x14ac:dyDescent="0.4">
      <c r="A1620" s="13" t="s">
        <v>319</v>
      </c>
      <c r="B1620" s="13" t="s">
        <v>20</v>
      </c>
      <c r="C1620" s="13" t="s">
        <v>27</v>
      </c>
      <c r="D1620" s="14">
        <v>539</v>
      </c>
      <c r="E1620" s="15">
        <v>1</v>
      </c>
    </row>
    <row r="1621" spans="1:5" x14ac:dyDescent="0.4">
      <c r="A1621" s="13" t="s">
        <v>76</v>
      </c>
      <c r="B1621" s="13" t="s">
        <v>20</v>
      </c>
      <c r="C1621" s="13" t="s">
        <v>22</v>
      </c>
      <c r="D1621" s="14">
        <v>540</v>
      </c>
      <c r="E1621" s="15">
        <v>0</v>
      </c>
    </row>
    <row r="1622" spans="1:5" x14ac:dyDescent="0.4">
      <c r="A1622" s="13" t="s">
        <v>138</v>
      </c>
      <c r="B1622" s="13" t="s">
        <v>20</v>
      </c>
      <c r="C1622" s="13" t="s">
        <v>39</v>
      </c>
      <c r="D1622" s="14">
        <v>540</v>
      </c>
      <c r="E1622" s="15">
        <v>0</v>
      </c>
    </row>
    <row r="1623" spans="1:5" x14ac:dyDescent="0.4">
      <c r="A1623" s="13" t="s">
        <v>213</v>
      </c>
      <c r="B1623" s="13" t="s">
        <v>26</v>
      </c>
      <c r="C1623" s="13" t="s">
        <v>62</v>
      </c>
      <c r="D1623" s="14">
        <v>541</v>
      </c>
      <c r="E1623" s="15">
        <v>2</v>
      </c>
    </row>
    <row r="1624" spans="1:5" x14ac:dyDescent="0.4">
      <c r="A1624" s="13" t="s">
        <v>485</v>
      </c>
      <c r="B1624" s="13" t="s">
        <v>20</v>
      </c>
      <c r="C1624" s="13" t="s">
        <v>21</v>
      </c>
      <c r="D1624" s="14">
        <v>541</v>
      </c>
      <c r="E1624" s="15">
        <v>0</v>
      </c>
    </row>
    <row r="1625" spans="1:5" x14ac:dyDescent="0.4">
      <c r="A1625" s="13" t="s">
        <v>950</v>
      </c>
      <c r="B1625" s="13" t="s">
        <v>26</v>
      </c>
      <c r="C1625" s="13" t="s">
        <v>5</v>
      </c>
      <c r="D1625" s="14">
        <v>541</v>
      </c>
      <c r="E1625" s="15">
        <v>2</v>
      </c>
    </row>
    <row r="1626" spans="1:5" x14ac:dyDescent="0.4">
      <c r="A1626" s="13" t="s">
        <v>1392</v>
      </c>
      <c r="B1626" s="13" t="s">
        <v>24</v>
      </c>
      <c r="C1626" s="13" t="s">
        <v>21</v>
      </c>
      <c r="D1626" s="14">
        <v>541</v>
      </c>
      <c r="E1626" s="15">
        <v>12</v>
      </c>
    </row>
    <row r="1627" spans="1:5" x14ac:dyDescent="0.4">
      <c r="A1627" s="13" t="s">
        <v>433</v>
      </c>
      <c r="B1627" s="13" t="s">
        <v>26</v>
      </c>
      <c r="C1627" s="13" t="s">
        <v>44</v>
      </c>
      <c r="D1627" s="14">
        <v>542</v>
      </c>
      <c r="E1627" s="15">
        <v>0</v>
      </c>
    </row>
    <row r="1628" spans="1:5" x14ac:dyDescent="0.4">
      <c r="A1628" s="13" t="s">
        <v>1493</v>
      </c>
      <c r="B1628" s="13" t="s">
        <v>26</v>
      </c>
      <c r="C1628" s="13" t="s">
        <v>28</v>
      </c>
      <c r="D1628" s="14">
        <v>542</v>
      </c>
      <c r="E1628" s="15">
        <v>7</v>
      </c>
    </row>
    <row r="1629" spans="1:5" x14ac:dyDescent="0.4">
      <c r="A1629" s="13" t="s">
        <v>1674</v>
      </c>
      <c r="B1629" s="13" t="s">
        <v>20</v>
      </c>
      <c r="C1629" s="13" t="s">
        <v>39</v>
      </c>
      <c r="D1629" s="14">
        <v>542</v>
      </c>
      <c r="E1629" s="15">
        <v>7</v>
      </c>
    </row>
    <row r="1630" spans="1:5" x14ac:dyDescent="0.4">
      <c r="A1630" s="13" t="s">
        <v>1882</v>
      </c>
      <c r="B1630" s="13" t="s">
        <v>20</v>
      </c>
      <c r="C1630" s="13" t="s">
        <v>39</v>
      </c>
      <c r="D1630" s="14">
        <v>542</v>
      </c>
      <c r="E1630" s="15">
        <v>14</v>
      </c>
    </row>
    <row r="1631" spans="1:5" x14ac:dyDescent="0.4">
      <c r="A1631" s="13" t="s">
        <v>1353</v>
      </c>
      <c r="B1631" s="13" t="s">
        <v>20</v>
      </c>
      <c r="C1631" s="13" t="s">
        <v>25</v>
      </c>
      <c r="D1631" s="14">
        <v>543</v>
      </c>
      <c r="E1631" s="15">
        <v>5</v>
      </c>
    </row>
    <row r="1632" spans="1:5" x14ac:dyDescent="0.4">
      <c r="A1632" s="13" t="s">
        <v>117</v>
      </c>
      <c r="B1632" s="13" t="s">
        <v>20</v>
      </c>
      <c r="C1632" s="13" t="s">
        <v>5</v>
      </c>
      <c r="D1632" s="14">
        <v>544</v>
      </c>
      <c r="E1632" s="15">
        <v>0</v>
      </c>
    </row>
    <row r="1633" spans="1:5" x14ac:dyDescent="0.4">
      <c r="A1633" s="13" t="s">
        <v>1516</v>
      </c>
      <c r="B1633" s="13" t="s">
        <v>20</v>
      </c>
      <c r="C1633" s="13" t="s">
        <v>22</v>
      </c>
      <c r="D1633" s="14">
        <v>544</v>
      </c>
      <c r="E1633" s="15">
        <v>1</v>
      </c>
    </row>
    <row r="1634" spans="1:5" x14ac:dyDescent="0.4">
      <c r="A1634" s="13" t="s">
        <v>819</v>
      </c>
      <c r="B1634" s="13" t="s">
        <v>24</v>
      </c>
      <c r="C1634" s="13" t="s">
        <v>40</v>
      </c>
      <c r="D1634" s="14">
        <v>545</v>
      </c>
      <c r="E1634" s="15">
        <v>3</v>
      </c>
    </row>
    <row r="1635" spans="1:5" x14ac:dyDescent="0.4">
      <c r="A1635" s="13" t="s">
        <v>110</v>
      </c>
      <c r="B1635" s="13" t="s">
        <v>24</v>
      </c>
      <c r="C1635" s="13" t="s">
        <v>44</v>
      </c>
      <c r="D1635" s="14">
        <v>546</v>
      </c>
      <c r="E1635" s="15">
        <v>5</v>
      </c>
    </row>
    <row r="1636" spans="1:5" x14ac:dyDescent="0.4">
      <c r="A1636" s="13" t="s">
        <v>764</v>
      </c>
      <c r="B1636" s="13" t="s">
        <v>26</v>
      </c>
      <c r="C1636" s="13" t="s">
        <v>5</v>
      </c>
      <c r="D1636" s="14">
        <v>547</v>
      </c>
      <c r="E1636" s="15">
        <v>0</v>
      </c>
    </row>
    <row r="1637" spans="1:5" x14ac:dyDescent="0.4">
      <c r="A1637" s="13" t="s">
        <v>844</v>
      </c>
      <c r="B1637" s="13" t="s">
        <v>20</v>
      </c>
      <c r="C1637" s="13" t="s">
        <v>34</v>
      </c>
      <c r="D1637" s="14">
        <v>547</v>
      </c>
      <c r="E1637" s="15">
        <v>9</v>
      </c>
    </row>
    <row r="1638" spans="1:5" x14ac:dyDescent="0.4">
      <c r="A1638" s="13" t="s">
        <v>1733</v>
      </c>
      <c r="B1638" s="13" t="s">
        <v>26</v>
      </c>
      <c r="C1638" s="13" t="s">
        <v>43</v>
      </c>
      <c r="D1638" s="14">
        <v>547</v>
      </c>
      <c r="E1638" s="15">
        <v>0</v>
      </c>
    </row>
    <row r="1639" spans="1:5" x14ac:dyDescent="0.4">
      <c r="A1639" s="13" t="s">
        <v>1804</v>
      </c>
      <c r="B1639" s="13" t="s">
        <v>26</v>
      </c>
      <c r="C1639" s="13" t="s">
        <v>22</v>
      </c>
      <c r="D1639" s="14">
        <v>547</v>
      </c>
      <c r="E1639" s="15">
        <v>0</v>
      </c>
    </row>
    <row r="1640" spans="1:5" x14ac:dyDescent="0.4">
      <c r="A1640" s="13" t="s">
        <v>290</v>
      </c>
      <c r="B1640" s="13" t="s">
        <v>24</v>
      </c>
      <c r="C1640" s="13" t="s">
        <v>5</v>
      </c>
      <c r="D1640" s="14">
        <v>548</v>
      </c>
      <c r="E1640" s="15">
        <v>2</v>
      </c>
    </row>
    <row r="1641" spans="1:5" x14ac:dyDescent="0.4">
      <c r="A1641" s="13" t="s">
        <v>313</v>
      </c>
      <c r="B1641" s="13" t="s">
        <v>26</v>
      </c>
      <c r="C1641" s="13" t="s">
        <v>32</v>
      </c>
      <c r="D1641" s="14">
        <v>548</v>
      </c>
      <c r="E1641" s="15">
        <v>2</v>
      </c>
    </row>
    <row r="1642" spans="1:5" x14ac:dyDescent="0.4">
      <c r="A1642" s="13" t="s">
        <v>321</v>
      </c>
      <c r="B1642" s="13" t="s">
        <v>24</v>
      </c>
      <c r="C1642" s="13" t="s">
        <v>30</v>
      </c>
      <c r="D1642" s="14">
        <v>548</v>
      </c>
      <c r="E1642" s="15">
        <v>13</v>
      </c>
    </row>
    <row r="1643" spans="1:5" x14ac:dyDescent="0.4">
      <c r="A1643" s="13" t="s">
        <v>527</v>
      </c>
      <c r="B1643" s="13" t="s">
        <v>24</v>
      </c>
      <c r="C1643" s="13" t="s">
        <v>44</v>
      </c>
      <c r="D1643" s="14">
        <v>548</v>
      </c>
      <c r="E1643" s="15">
        <v>0</v>
      </c>
    </row>
    <row r="1644" spans="1:5" x14ac:dyDescent="0.4">
      <c r="A1644" s="13" t="s">
        <v>618</v>
      </c>
      <c r="B1644" s="13" t="s">
        <v>20</v>
      </c>
      <c r="C1644" s="13" t="s">
        <v>44</v>
      </c>
      <c r="D1644" s="14">
        <v>548</v>
      </c>
      <c r="E1644" s="15">
        <v>0</v>
      </c>
    </row>
    <row r="1645" spans="1:5" x14ac:dyDescent="0.4">
      <c r="A1645" s="13" t="s">
        <v>822</v>
      </c>
      <c r="B1645" s="13" t="s">
        <v>20</v>
      </c>
      <c r="C1645" s="13" t="s">
        <v>39</v>
      </c>
      <c r="D1645" s="14">
        <v>548</v>
      </c>
      <c r="E1645" s="15">
        <v>2</v>
      </c>
    </row>
    <row r="1646" spans="1:5" x14ac:dyDescent="0.4">
      <c r="A1646" s="13" t="s">
        <v>1106</v>
      </c>
      <c r="B1646" s="13" t="s">
        <v>26</v>
      </c>
      <c r="C1646" s="13" t="s">
        <v>66</v>
      </c>
      <c r="D1646" s="14">
        <v>548</v>
      </c>
      <c r="E1646" s="15">
        <v>3</v>
      </c>
    </row>
    <row r="1647" spans="1:5" x14ac:dyDescent="0.4">
      <c r="A1647" s="13" t="s">
        <v>1450</v>
      </c>
      <c r="B1647" s="13" t="s">
        <v>24</v>
      </c>
      <c r="C1647" s="13" t="s">
        <v>39</v>
      </c>
      <c r="D1647" s="14">
        <v>548</v>
      </c>
      <c r="E1647" s="15">
        <v>9</v>
      </c>
    </row>
    <row r="1648" spans="1:5" x14ac:dyDescent="0.4">
      <c r="A1648" s="13" t="s">
        <v>332</v>
      </c>
      <c r="B1648" s="13" t="s">
        <v>26</v>
      </c>
      <c r="C1648" s="13" t="s">
        <v>53</v>
      </c>
      <c r="D1648" s="14">
        <v>549</v>
      </c>
      <c r="E1648" s="15">
        <v>0</v>
      </c>
    </row>
    <row r="1649" spans="1:5" x14ac:dyDescent="0.4">
      <c r="A1649" s="13" t="s">
        <v>336</v>
      </c>
      <c r="B1649" s="13" t="s">
        <v>20</v>
      </c>
      <c r="C1649" s="13" t="s">
        <v>32</v>
      </c>
      <c r="D1649" s="14">
        <v>549</v>
      </c>
      <c r="E1649" s="15">
        <v>2</v>
      </c>
    </row>
    <row r="1650" spans="1:5" x14ac:dyDescent="0.4">
      <c r="A1650" s="13" t="s">
        <v>1190</v>
      </c>
      <c r="B1650" s="13" t="s">
        <v>24</v>
      </c>
      <c r="C1650" s="13" t="s">
        <v>44</v>
      </c>
      <c r="D1650" s="14">
        <v>549</v>
      </c>
      <c r="E1650" s="15">
        <v>8</v>
      </c>
    </row>
    <row r="1651" spans="1:5" x14ac:dyDescent="0.4">
      <c r="A1651" s="13" t="s">
        <v>1574</v>
      </c>
      <c r="B1651" s="13" t="s">
        <v>20</v>
      </c>
      <c r="C1651" s="13" t="s">
        <v>27</v>
      </c>
      <c r="D1651" s="14">
        <v>551</v>
      </c>
      <c r="E1651" s="15">
        <v>0</v>
      </c>
    </row>
    <row r="1652" spans="1:5" x14ac:dyDescent="0.4">
      <c r="A1652" s="13" t="s">
        <v>1253</v>
      </c>
      <c r="B1652" s="13" t="s">
        <v>20</v>
      </c>
      <c r="C1652" s="13" t="s">
        <v>53</v>
      </c>
      <c r="D1652" s="14">
        <v>552</v>
      </c>
      <c r="E1652" s="15">
        <v>0</v>
      </c>
    </row>
    <row r="1653" spans="1:5" x14ac:dyDescent="0.4">
      <c r="A1653" s="13" t="s">
        <v>1380</v>
      </c>
      <c r="B1653" s="13" t="s">
        <v>24</v>
      </c>
      <c r="C1653" s="13" t="s">
        <v>28</v>
      </c>
      <c r="D1653" s="14">
        <v>552</v>
      </c>
      <c r="E1653" s="15">
        <v>1</v>
      </c>
    </row>
    <row r="1654" spans="1:5" x14ac:dyDescent="0.4">
      <c r="A1654" s="13" t="s">
        <v>1363</v>
      </c>
      <c r="B1654" s="13" t="s">
        <v>26</v>
      </c>
      <c r="C1654" s="13" t="s">
        <v>33</v>
      </c>
      <c r="D1654" s="14">
        <v>553</v>
      </c>
      <c r="E1654" s="15">
        <v>0</v>
      </c>
    </row>
    <row r="1655" spans="1:5" x14ac:dyDescent="0.4">
      <c r="A1655" s="13" t="s">
        <v>1491</v>
      </c>
      <c r="B1655" s="13" t="s">
        <v>24</v>
      </c>
      <c r="C1655" s="13" t="s">
        <v>44</v>
      </c>
      <c r="D1655" s="14">
        <v>553</v>
      </c>
      <c r="E1655" s="15">
        <v>0</v>
      </c>
    </row>
    <row r="1656" spans="1:5" x14ac:dyDescent="0.4">
      <c r="A1656" s="13" t="s">
        <v>165</v>
      </c>
      <c r="B1656" s="13" t="s">
        <v>20</v>
      </c>
      <c r="C1656" s="13" t="s">
        <v>62</v>
      </c>
      <c r="D1656" s="14">
        <v>554</v>
      </c>
      <c r="E1656" s="15">
        <v>0</v>
      </c>
    </row>
    <row r="1657" spans="1:5" x14ac:dyDescent="0.4">
      <c r="A1657" s="13" t="s">
        <v>188</v>
      </c>
      <c r="B1657" s="13" t="s">
        <v>26</v>
      </c>
      <c r="C1657" s="13" t="s">
        <v>28</v>
      </c>
      <c r="D1657" s="14">
        <v>554</v>
      </c>
      <c r="E1657" s="15">
        <v>0</v>
      </c>
    </row>
    <row r="1658" spans="1:5" x14ac:dyDescent="0.4">
      <c r="A1658" s="13" t="s">
        <v>416</v>
      </c>
      <c r="B1658" s="13" t="s">
        <v>26</v>
      </c>
      <c r="C1658" s="13" t="s">
        <v>66</v>
      </c>
      <c r="D1658" s="14">
        <v>554</v>
      </c>
      <c r="E1658" s="15">
        <v>0</v>
      </c>
    </row>
    <row r="1659" spans="1:5" x14ac:dyDescent="0.4">
      <c r="A1659" s="13" t="s">
        <v>1097</v>
      </c>
      <c r="B1659" s="13" t="s">
        <v>26</v>
      </c>
      <c r="C1659" s="13" t="s">
        <v>62</v>
      </c>
      <c r="D1659" s="14">
        <v>555</v>
      </c>
      <c r="E1659" s="15">
        <v>0</v>
      </c>
    </row>
    <row r="1660" spans="1:5" x14ac:dyDescent="0.4">
      <c r="A1660" s="13" t="s">
        <v>998</v>
      </c>
      <c r="B1660" s="13" t="s">
        <v>24</v>
      </c>
      <c r="C1660" s="13" t="s">
        <v>27</v>
      </c>
      <c r="D1660" s="14">
        <v>556</v>
      </c>
      <c r="E1660" s="15">
        <v>3</v>
      </c>
    </row>
    <row r="1661" spans="1:5" x14ac:dyDescent="0.4">
      <c r="A1661" s="13" t="s">
        <v>77</v>
      </c>
      <c r="B1661" s="13" t="s">
        <v>24</v>
      </c>
      <c r="C1661" s="13" t="s">
        <v>44</v>
      </c>
      <c r="D1661" s="14">
        <v>557</v>
      </c>
      <c r="E1661" s="15">
        <v>13</v>
      </c>
    </row>
    <row r="1662" spans="1:5" x14ac:dyDescent="0.4">
      <c r="A1662" s="13" t="s">
        <v>1066</v>
      </c>
      <c r="B1662" s="13" t="s">
        <v>24</v>
      </c>
      <c r="C1662" s="13" t="s">
        <v>5</v>
      </c>
      <c r="D1662" s="14">
        <v>557</v>
      </c>
      <c r="E1662" s="15">
        <v>12</v>
      </c>
    </row>
    <row r="1663" spans="1:5" x14ac:dyDescent="0.4">
      <c r="A1663" s="13" t="s">
        <v>744</v>
      </c>
      <c r="B1663" s="13" t="s">
        <v>26</v>
      </c>
      <c r="C1663" s="13" t="s">
        <v>111</v>
      </c>
      <c r="D1663" s="14">
        <v>558</v>
      </c>
      <c r="E1663" s="15">
        <v>0</v>
      </c>
    </row>
    <row r="1664" spans="1:5" x14ac:dyDescent="0.4">
      <c r="A1664" s="13" t="s">
        <v>1393</v>
      </c>
      <c r="B1664" s="13" t="s">
        <v>24</v>
      </c>
      <c r="C1664" s="13" t="s">
        <v>27</v>
      </c>
      <c r="D1664" s="14">
        <v>558</v>
      </c>
      <c r="E1664" s="15">
        <v>1</v>
      </c>
    </row>
    <row r="1665" spans="1:5" x14ac:dyDescent="0.4">
      <c r="A1665" s="13" t="s">
        <v>576</v>
      </c>
      <c r="B1665" s="13" t="s">
        <v>20</v>
      </c>
      <c r="C1665" s="13" t="s">
        <v>5</v>
      </c>
      <c r="D1665" s="14">
        <v>559</v>
      </c>
      <c r="E1665" s="15">
        <v>1</v>
      </c>
    </row>
    <row r="1666" spans="1:5" x14ac:dyDescent="0.4">
      <c r="A1666" s="13" t="s">
        <v>879</v>
      </c>
      <c r="B1666" s="13" t="s">
        <v>20</v>
      </c>
      <c r="C1666" s="13" t="s">
        <v>27</v>
      </c>
      <c r="D1666" s="14">
        <v>559</v>
      </c>
      <c r="E1666" s="15">
        <v>0</v>
      </c>
    </row>
    <row r="1667" spans="1:5" x14ac:dyDescent="0.4">
      <c r="A1667" s="13" t="s">
        <v>299</v>
      </c>
      <c r="B1667" s="13" t="s">
        <v>20</v>
      </c>
      <c r="C1667" s="13" t="s">
        <v>53</v>
      </c>
      <c r="D1667" s="14">
        <v>560</v>
      </c>
      <c r="E1667" s="15">
        <v>2</v>
      </c>
    </row>
    <row r="1668" spans="1:5" x14ac:dyDescent="0.4">
      <c r="A1668" s="13" t="s">
        <v>1646</v>
      </c>
      <c r="B1668" s="13" t="s">
        <v>20</v>
      </c>
      <c r="C1668" s="13" t="s">
        <v>44</v>
      </c>
      <c r="D1668" s="14">
        <v>560</v>
      </c>
      <c r="E1668" s="15">
        <v>0</v>
      </c>
    </row>
    <row r="1669" spans="1:5" x14ac:dyDescent="0.4">
      <c r="A1669" s="13" t="s">
        <v>1110</v>
      </c>
      <c r="B1669" s="13" t="s">
        <v>26</v>
      </c>
      <c r="C1669" s="13" t="s">
        <v>33</v>
      </c>
      <c r="D1669" s="14">
        <v>561</v>
      </c>
      <c r="E1669" s="15">
        <v>5</v>
      </c>
    </row>
    <row r="1670" spans="1:5" x14ac:dyDescent="0.4">
      <c r="A1670" s="13" t="s">
        <v>1154</v>
      </c>
      <c r="B1670" s="13" t="s">
        <v>26</v>
      </c>
      <c r="C1670" s="13" t="s">
        <v>34</v>
      </c>
      <c r="D1670" s="14">
        <v>561</v>
      </c>
      <c r="E1670" s="15">
        <v>3</v>
      </c>
    </row>
    <row r="1671" spans="1:5" x14ac:dyDescent="0.4">
      <c r="A1671" s="13" t="s">
        <v>1923</v>
      </c>
      <c r="B1671" s="13" t="s">
        <v>20</v>
      </c>
      <c r="C1671" s="13" t="s">
        <v>22</v>
      </c>
      <c r="D1671" s="14">
        <v>561</v>
      </c>
      <c r="E1671" s="15">
        <v>0</v>
      </c>
    </row>
    <row r="1672" spans="1:5" x14ac:dyDescent="0.4">
      <c r="A1672" s="13" t="s">
        <v>541</v>
      </c>
      <c r="B1672" s="13" t="s">
        <v>26</v>
      </c>
      <c r="C1672" s="13" t="s">
        <v>22</v>
      </c>
      <c r="D1672" s="14">
        <v>562</v>
      </c>
      <c r="E1672" s="15">
        <v>5</v>
      </c>
    </row>
    <row r="1673" spans="1:5" x14ac:dyDescent="0.4">
      <c r="A1673" s="13" t="s">
        <v>605</v>
      </c>
      <c r="B1673" s="13" t="s">
        <v>24</v>
      </c>
      <c r="C1673" s="13" t="s">
        <v>39</v>
      </c>
      <c r="D1673" s="14">
        <v>562</v>
      </c>
      <c r="E1673" s="15">
        <v>0</v>
      </c>
    </row>
    <row r="1674" spans="1:5" x14ac:dyDescent="0.4">
      <c r="A1674" s="13" t="s">
        <v>1342</v>
      </c>
      <c r="B1674" s="13" t="s">
        <v>26</v>
      </c>
      <c r="C1674" s="13" t="s">
        <v>25</v>
      </c>
      <c r="D1674" s="14">
        <v>562</v>
      </c>
      <c r="E1674" s="15">
        <v>0</v>
      </c>
    </row>
    <row r="1675" spans="1:5" x14ac:dyDescent="0.4">
      <c r="A1675" s="13" t="s">
        <v>800</v>
      </c>
      <c r="B1675" s="13" t="s">
        <v>24</v>
      </c>
      <c r="C1675" s="13" t="s">
        <v>53</v>
      </c>
      <c r="D1675" s="14">
        <v>563</v>
      </c>
      <c r="E1675" s="15">
        <v>0</v>
      </c>
    </row>
    <row r="1676" spans="1:5" x14ac:dyDescent="0.4">
      <c r="A1676" s="13" t="s">
        <v>1339</v>
      </c>
      <c r="B1676" s="13" t="s">
        <v>26</v>
      </c>
      <c r="C1676" s="13" t="s">
        <v>27</v>
      </c>
      <c r="D1676" s="14">
        <v>563</v>
      </c>
      <c r="E1676" s="15">
        <v>3</v>
      </c>
    </row>
    <row r="1677" spans="1:5" x14ac:dyDescent="0.4">
      <c r="A1677" s="13" t="s">
        <v>1776</v>
      </c>
      <c r="B1677" s="13" t="s">
        <v>20</v>
      </c>
      <c r="C1677" s="13" t="s">
        <v>21</v>
      </c>
      <c r="D1677" s="14">
        <v>563</v>
      </c>
      <c r="E1677" s="15">
        <v>2</v>
      </c>
    </row>
    <row r="1678" spans="1:5" x14ac:dyDescent="0.4">
      <c r="A1678" s="13" t="s">
        <v>893</v>
      </c>
      <c r="B1678" s="13" t="s">
        <v>20</v>
      </c>
      <c r="C1678" s="13" t="s">
        <v>111</v>
      </c>
      <c r="D1678" s="14">
        <v>564</v>
      </c>
      <c r="E1678" s="15">
        <v>1</v>
      </c>
    </row>
    <row r="1679" spans="1:5" x14ac:dyDescent="0.4">
      <c r="A1679" s="13" t="s">
        <v>1766</v>
      </c>
      <c r="B1679" s="13" t="s">
        <v>24</v>
      </c>
      <c r="C1679" s="13" t="s">
        <v>66</v>
      </c>
      <c r="D1679" s="14">
        <v>564</v>
      </c>
      <c r="E1679" s="15">
        <v>0</v>
      </c>
    </row>
    <row r="1680" spans="1:5" x14ac:dyDescent="0.4">
      <c r="A1680" s="13" t="s">
        <v>221</v>
      </c>
      <c r="B1680" s="13" t="s">
        <v>24</v>
      </c>
      <c r="C1680" s="13" t="s">
        <v>43</v>
      </c>
      <c r="D1680" s="14">
        <v>565</v>
      </c>
      <c r="E1680" s="15">
        <v>0</v>
      </c>
    </row>
    <row r="1681" spans="1:5" x14ac:dyDescent="0.4">
      <c r="A1681" s="13" t="s">
        <v>426</v>
      </c>
      <c r="B1681" s="13" t="s">
        <v>24</v>
      </c>
      <c r="C1681" s="13" t="s">
        <v>44</v>
      </c>
      <c r="D1681" s="14">
        <v>565</v>
      </c>
      <c r="E1681" s="15">
        <v>2</v>
      </c>
    </row>
    <row r="1682" spans="1:5" x14ac:dyDescent="0.4">
      <c r="A1682" s="13" t="s">
        <v>800</v>
      </c>
      <c r="B1682" s="13" t="s">
        <v>20</v>
      </c>
      <c r="C1682" s="13" t="s">
        <v>44</v>
      </c>
      <c r="D1682" s="14">
        <v>565</v>
      </c>
      <c r="E1682" s="15">
        <v>1</v>
      </c>
    </row>
    <row r="1683" spans="1:5" x14ac:dyDescent="0.4">
      <c r="A1683" s="13" t="s">
        <v>931</v>
      </c>
      <c r="B1683" s="13" t="s">
        <v>20</v>
      </c>
      <c r="C1683" s="13" t="s">
        <v>28</v>
      </c>
      <c r="D1683" s="14">
        <v>565</v>
      </c>
      <c r="E1683" s="15">
        <v>7</v>
      </c>
    </row>
    <row r="1684" spans="1:5" x14ac:dyDescent="0.4">
      <c r="A1684" s="13" t="s">
        <v>1139</v>
      </c>
      <c r="B1684" s="13" t="s">
        <v>26</v>
      </c>
      <c r="C1684" s="13" t="s">
        <v>27</v>
      </c>
      <c r="D1684" s="14">
        <v>565</v>
      </c>
      <c r="E1684" s="15">
        <v>10</v>
      </c>
    </row>
    <row r="1685" spans="1:5" x14ac:dyDescent="0.4">
      <c r="A1685" s="13" t="s">
        <v>1522</v>
      </c>
      <c r="B1685" s="13" t="s">
        <v>26</v>
      </c>
      <c r="C1685" s="13" t="s">
        <v>39</v>
      </c>
      <c r="D1685" s="14">
        <v>565</v>
      </c>
      <c r="E1685" s="15">
        <v>0</v>
      </c>
    </row>
    <row r="1686" spans="1:5" x14ac:dyDescent="0.4">
      <c r="A1686" s="13" t="s">
        <v>1945</v>
      </c>
      <c r="B1686" s="13" t="s">
        <v>24</v>
      </c>
      <c r="C1686" s="13" t="s">
        <v>27</v>
      </c>
      <c r="D1686" s="14">
        <v>565</v>
      </c>
      <c r="E1686" s="15">
        <v>2</v>
      </c>
    </row>
    <row r="1687" spans="1:5" x14ac:dyDescent="0.4">
      <c r="A1687" s="13" t="s">
        <v>175</v>
      </c>
      <c r="B1687" s="13" t="s">
        <v>20</v>
      </c>
      <c r="C1687" s="13" t="s">
        <v>30</v>
      </c>
      <c r="D1687" s="14">
        <v>568</v>
      </c>
      <c r="E1687" s="15">
        <v>0</v>
      </c>
    </row>
    <row r="1688" spans="1:5" x14ac:dyDescent="0.4">
      <c r="A1688" s="13" t="s">
        <v>1333</v>
      </c>
      <c r="B1688" s="13" t="s">
        <v>24</v>
      </c>
      <c r="C1688" s="13" t="s">
        <v>34</v>
      </c>
      <c r="D1688" s="14">
        <v>568</v>
      </c>
      <c r="E1688" s="15">
        <v>8</v>
      </c>
    </row>
    <row r="1689" spans="1:5" x14ac:dyDescent="0.4">
      <c r="A1689" s="13" t="s">
        <v>1780</v>
      </c>
      <c r="B1689" s="13" t="s">
        <v>24</v>
      </c>
      <c r="C1689" s="13" t="s">
        <v>44</v>
      </c>
      <c r="D1689" s="14">
        <v>568</v>
      </c>
      <c r="E1689" s="15">
        <v>11</v>
      </c>
    </row>
    <row r="1690" spans="1:5" x14ac:dyDescent="0.4">
      <c r="A1690" s="13" t="s">
        <v>192</v>
      </c>
      <c r="B1690" s="13" t="s">
        <v>24</v>
      </c>
      <c r="C1690" s="13" t="s">
        <v>66</v>
      </c>
      <c r="D1690" s="14">
        <v>569</v>
      </c>
      <c r="E1690" s="15">
        <v>1</v>
      </c>
    </row>
    <row r="1691" spans="1:5" x14ac:dyDescent="0.4">
      <c r="A1691" s="13" t="s">
        <v>479</v>
      </c>
      <c r="B1691" s="13" t="s">
        <v>24</v>
      </c>
      <c r="C1691" s="13" t="s">
        <v>30</v>
      </c>
      <c r="D1691" s="14">
        <v>569</v>
      </c>
      <c r="E1691" s="15">
        <v>0</v>
      </c>
    </row>
    <row r="1692" spans="1:5" x14ac:dyDescent="0.4">
      <c r="A1692" s="13" t="s">
        <v>1033</v>
      </c>
      <c r="B1692" s="13" t="s">
        <v>20</v>
      </c>
      <c r="C1692" s="13" t="s">
        <v>39</v>
      </c>
      <c r="D1692" s="14">
        <v>569</v>
      </c>
      <c r="E1692" s="15">
        <v>3</v>
      </c>
    </row>
    <row r="1693" spans="1:5" x14ac:dyDescent="0.4">
      <c r="A1693" s="13" t="s">
        <v>1691</v>
      </c>
      <c r="B1693" s="13" t="s">
        <v>26</v>
      </c>
      <c r="C1693" s="13" t="s">
        <v>25</v>
      </c>
      <c r="D1693" s="14">
        <v>569</v>
      </c>
      <c r="E1693" s="15">
        <v>0</v>
      </c>
    </row>
    <row r="1694" spans="1:5" x14ac:dyDescent="0.4">
      <c r="A1694" s="13" t="s">
        <v>548</v>
      </c>
      <c r="B1694" s="13" t="s">
        <v>24</v>
      </c>
      <c r="C1694" s="13" t="s">
        <v>30</v>
      </c>
      <c r="D1694" s="14">
        <v>570</v>
      </c>
      <c r="E1694" s="15">
        <v>1</v>
      </c>
    </row>
    <row r="1695" spans="1:5" x14ac:dyDescent="0.4">
      <c r="A1695" s="13" t="s">
        <v>1488</v>
      </c>
      <c r="B1695" s="13" t="s">
        <v>26</v>
      </c>
      <c r="C1695" s="13" t="s">
        <v>44</v>
      </c>
      <c r="D1695" s="14">
        <v>570</v>
      </c>
      <c r="E1695" s="15">
        <v>2</v>
      </c>
    </row>
    <row r="1696" spans="1:5" x14ac:dyDescent="0.4">
      <c r="A1696" s="13" t="s">
        <v>155</v>
      </c>
      <c r="B1696" s="13" t="s">
        <v>20</v>
      </c>
      <c r="C1696" s="13" t="s">
        <v>44</v>
      </c>
      <c r="D1696" s="14">
        <v>571</v>
      </c>
      <c r="E1696" s="15">
        <v>5</v>
      </c>
    </row>
    <row r="1697" spans="1:5" x14ac:dyDescent="0.4">
      <c r="A1697" s="13" t="s">
        <v>349</v>
      </c>
      <c r="B1697" s="13" t="s">
        <v>24</v>
      </c>
      <c r="C1697" s="13" t="s">
        <v>44</v>
      </c>
      <c r="D1697" s="14">
        <v>571</v>
      </c>
      <c r="E1697" s="15">
        <v>1</v>
      </c>
    </row>
    <row r="1698" spans="1:5" x14ac:dyDescent="0.4">
      <c r="A1698" s="13" t="s">
        <v>597</v>
      </c>
      <c r="B1698" s="13" t="s">
        <v>26</v>
      </c>
      <c r="C1698" s="13" t="s">
        <v>27</v>
      </c>
      <c r="D1698" s="14">
        <v>571</v>
      </c>
      <c r="E1698" s="15">
        <v>2</v>
      </c>
    </row>
    <row r="1699" spans="1:5" x14ac:dyDescent="0.4">
      <c r="A1699" s="13" t="s">
        <v>1673</v>
      </c>
      <c r="B1699" s="13" t="s">
        <v>20</v>
      </c>
      <c r="C1699" s="13" t="s">
        <v>21</v>
      </c>
      <c r="D1699" s="14">
        <v>571</v>
      </c>
      <c r="E1699" s="15">
        <v>1</v>
      </c>
    </row>
    <row r="1700" spans="1:5" x14ac:dyDescent="0.4">
      <c r="A1700" s="13" t="s">
        <v>438</v>
      </c>
      <c r="B1700" s="13" t="s">
        <v>20</v>
      </c>
      <c r="C1700" s="13" t="s">
        <v>44</v>
      </c>
      <c r="D1700" s="14">
        <v>573</v>
      </c>
      <c r="E1700" s="15">
        <v>0</v>
      </c>
    </row>
    <row r="1701" spans="1:5" x14ac:dyDescent="0.4">
      <c r="A1701" s="13" t="s">
        <v>975</v>
      </c>
      <c r="B1701" s="13" t="s">
        <v>20</v>
      </c>
      <c r="C1701" s="13" t="s">
        <v>44</v>
      </c>
      <c r="D1701" s="14">
        <v>573</v>
      </c>
      <c r="E1701" s="15">
        <v>2</v>
      </c>
    </row>
    <row r="1702" spans="1:5" x14ac:dyDescent="0.4">
      <c r="A1702" s="13" t="s">
        <v>1056</v>
      </c>
      <c r="B1702" s="13" t="s">
        <v>26</v>
      </c>
      <c r="C1702" s="13" t="s">
        <v>44</v>
      </c>
      <c r="D1702" s="14">
        <v>573</v>
      </c>
      <c r="E1702" s="15">
        <v>1</v>
      </c>
    </row>
    <row r="1703" spans="1:5" x14ac:dyDescent="0.4">
      <c r="A1703" s="13" t="s">
        <v>1351</v>
      </c>
      <c r="B1703" s="13" t="s">
        <v>20</v>
      </c>
      <c r="C1703" s="13" t="s">
        <v>44</v>
      </c>
      <c r="D1703" s="14">
        <v>573</v>
      </c>
      <c r="E1703" s="15">
        <v>0</v>
      </c>
    </row>
    <row r="1704" spans="1:5" x14ac:dyDescent="0.4">
      <c r="A1704" s="13" t="s">
        <v>1576</v>
      </c>
      <c r="B1704" s="13" t="s">
        <v>20</v>
      </c>
      <c r="C1704" s="13" t="s">
        <v>62</v>
      </c>
      <c r="D1704" s="14">
        <v>573</v>
      </c>
      <c r="E1704" s="15">
        <v>0</v>
      </c>
    </row>
    <row r="1705" spans="1:5" x14ac:dyDescent="0.4">
      <c r="A1705" s="13" t="s">
        <v>694</v>
      </c>
      <c r="B1705" s="13" t="s">
        <v>24</v>
      </c>
      <c r="C1705" s="13" t="s">
        <v>34</v>
      </c>
      <c r="D1705" s="14">
        <v>574</v>
      </c>
      <c r="E1705" s="15">
        <v>3</v>
      </c>
    </row>
    <row r="1706" spans="1:5" x14ac:dyDescent="0.4">
      <c r="A1706" s="13" t="s">
        <v>728</v>
      </c>
      <c r="B1706" s="13" t="s">
        <v>24</v>
      </c>
      <c r="C1706" s="13" t="s">
        <v>44</v>
      </c>
      <c r="D1706" s="14">
        <v>574</v>
      </c>
      <c r="E1706" s="15">
        <v>2</v>
      </c>
    </row>
    <row r="1707" spans="1:5" x14ac:dyDescent="0.4">
      <c r="A1707" s="13" t="s">
        <v>919</v>
      </c>
      <c r="B1707" s="13" t="s">
        <v>26</v>
      </c>
      <c r="C1707" s="13" t="s">
        <v>27</v>
      </c>
      <c r="D1707" s="14">
        <v>574</v>
      </c>
      <c r="E1707" s="15">
        <v>1</v>
      </c>
    </row>
    <row r="1708" spans="1:5" x14ac:dyDescent="0.4">
      <c r="A1708" s="13" t="s">
        <v>1831</v>
      </c>
      <c r="B1708" s="13" t="s">
        <v>20</v>
      </c>
      <c r="C1708" s="13" t="s">
        <v>32</v>
      </c>
      <c r="D1708" s="14">
        <v>574</v>
      </c>
      <c r="E1708" s="15">
        <v>3</v>
      </c>
    </row>
    <row r="1709" spans="1:5" x14ac:dyDescent="0.4">
      <c r="A1709" s="13" t="s">
        <v>1935</v>
      </c>
      <c r="B1709" s="13" t="s">
        <v>26</v>
      </c>
      <c r="C1709" s="13" t="s">
        <v>25</v>
      </c>
      <c r="D1709" s="14">
        <v>574</v>
      </c>
      <c r="E1709" s="15">
        <v>5</v>
      </c>
    </row>
    <row r="1710" spans="1:5" x14ac:dyDescent="0.4">
      <c r="A1710" s="13" t="s">
        <v>177</v>
      </c>
      <c r="B1710" s="13" t="s">
        <v>24</v>
      </c>
      <c r="C1710" s="13" t="s">
        <v>44</v>
      </c>
      <c r="D1710" s="14">
        <v>575</v>
      </c>
      <c r="E1710" s="15">
        <v>6</v>
      </c>
    </row>
    <row r="1711" spans="1:5" x14ac:dyDescent="0.4">
      <c r="A1711" s="13" t="s">
        <v>702</v>
      </c>
      <c r="B1711" s="13" t="s">
        <v>20</v>
      </c>
      <c r="C1711" s="13" t="s">
        <v>66</v>
      </c>
      <c r="D1711" s="14">
        <v>575</v>
      </c>
      <c r="E1711" s="15">
        <v>3</v>
      </c>
    </row>
    <row r="1712" spans="1:5" x14ac:dyDescent="0.4">
      <c r="A1712" s="13" t="s">
        <v>1102</v>
      </c>
      <c r="B1712" s="13" t="s">
        <v>20</v>
      </c>
      <c r="C1712" s="13" t="s">
        <v>27</v>
      </c>
      <c r="D1712" s="14">
        <v>575</v>
      </c>
      <c r="E1712" s="15">
        <v>0</v>
      </c>
    </row>
    <row r="1713" spans="1:5" x14ac:dyDescent="0.4">
      <c r="A1713" s="13" t="s">
        <v>1256</v>
      </c>
      <c r="B1713" s="13" t="s">
        <v>20</v>
      </c>
      <c r="C1713" s="13" t="s">
        <v>44</v>
      </c>
      <c r="D1713" s="14">
        <v>575</v>
      </c>
      <c r="E1713" s="15">
        <v>1</v>
      </c>
    </row>
    <row r="1714" spans="1:5" x14ac:dyDescent="0.4">
      <c r="A1714" s="13" t="s">
        <v>574</v>
      </c>
      <c r="B1714" s="13" t="s">
        <v>20</v>
      </c>
      <c r="C1714" s="13" t="s">
        <v>22</v>
      </c>
      <c r="D1714" s="14">
        <v>576</v>
      </c>
      <c r="E1714" s="15">
        <v>0</v>
      </c>
    </row>
    <row r="1715" spans="1:5" x14ac:dyDescent="0.4">
      <c r="A1715" s="13" t="s">
        <v>726</v>
      </c>
      <c r="B1715" s="13" t="s">
        <v>24</v>
      </c>
      <c r="C1715" s="13" t="s">
        <v>43</v>
      </c>
      <c r="D1715" s="14">
        <v>576</v>
      </c>
      <c r="E1715" s="15">
        <v>0</v>
      </c>
    </row>
    <row r="1716" spans="1:5" x14ac:dyDescent="0.4">
      <c r="A1716" s="13" t="s">
        <v>994</v>
      </c>
      <c r="B1716" s="13" t="s">
        <v>24</v>
      </c>
      <c r="C1716" s="13" t="s">
        <v>28</v>
      </c>
      <c r="D1716" s="14">
        <v>576</v>
      </c>
      <c r="E1716" s="15">
        <v>5</v>
      </c>
    </row>
    <row r="1717" spans="1:5" x14ac:dyDescent="0.4">
      <c r="A1717" s="13" t="s">
        <v>1044</v>
      </c>
      <c r="B1717" s="13" t="s">
        <v>20</v>
      </c>
      <c r="C1717" s="13" t="s">
        <v>32</v>
      </c>
      <c r="D1717" s="14">
        <v>576</v>
      </c>
      <c r="E1717" s="15">
        <v>0</v>
      </c>
    </row>
    <row r="1718" spans="1:5" x14ac:dyDescent="0.4">
      <c r="A1718" s="13" t="s">
        <v>1326</v>
      </c>
      <c r="B1718" s="13" t="s">
        <v>24</v>
      </c>
      <c r="C1718" s="13" t="s">
        <v>34</v>
      </c>
      <c r="D1718" s="14">
        <v>576</v>
      </c>
      <c r="E1718" s="15">
        <v>1</v>
      </c>
    </row>
    <row r="1719" spans="1:5" x14ac:dyDescent="0.4">
      <c r="A1719" s="13" t="s">
        <v>1688</v>
      </c>
      <c r="B1719" s="13" t="s">
        <v>24</v>
      </c>
      <c r="C1719" s="13" t="s">
        <v>5</v>
      </c>
      <c r="D1719" s="14">
        <v>576</v>
      </c>
      <c r="E1719" s="15">
        <v>3</v>
      </c>
    </row>
    <row r="1720" spans="1:5" x14ac:dyDescent="0.4">
      <c r="A1720" s="13" t="s">
        <v>384</v>
      </c>
      <c r="B1720" s="13" t="s">
        <v>26</v>
      </c>
      <c r="C1720" s="13" t="s">
        <v>43</v>
      </c>
      <c r="D1720" s="14">
        <v>577</v>
      </c>
      <c r="E1720" s="15">
        <v>6</v>
      </c>
    </row>
    <row r="1721" spans="1:5" x14ac:dyDescent="0.4">
      <c r="A1721" s="13" t="s">
        <v>436</v>
      </c>
      <c r="B1721" s="13" t="s">
        <v>20</v>
      </c>
      <c r="C1721" s="13" t="s">
        <v>21</v>
      </c>
      <c r="D1721" s="14">
        <v>577</v>
      </c>
      <c r="E1721" s="15">
        <v>0</v>
      </c>
    </row>
    <row r="1722" spans="1:5" x14ac:dyDescent="0.4">
      <c r="A1722" s="13" t="s">
        <v>518</v>
      </c>
      <c r="B1722" s="13" t="s">
        <v>24</v>
      </c>
      <c r="C1722" s="13" t="s">
        <v>62</v>
      </c>
      <c r="D1722" s="14">
        <v>577</v>
      </c>
      <c r="E1722" s="15">
        <v>0</v>
      </c>
    </row>
    <row r="1723" spans="1:5" x14ac:dyDescent="0.4">
      <c r="A1723" s="13" t="s">
        <v>861</v>
      </c>
      <c r="B1723" s="13" t="s">
        <v>24</v>
      </c>
      <c r="C1723" s="13" t="s">
        <v>66</v>
      </c>
      <c r="D1723" s="14">
        <v>577</v>
      </c>
      <c r="E1723" s="15">
        <v>1</v>
      </c>
    </row>
    <row r="1724" spans="1:5" x14ac:dyDescent="0.4">
      <c r="A1724" s="13" t="s">
        <v>1115</v>
      </c>
      <c r="B1724" s="13" t="s">
        <v>26</v>
      </c>
      <c r="C1724" s="13" t="s">
        <v>43</v>
      </c>
      <c r="D1724" s="14">
        <v>577</v>
      </c>
      <c r="E1724" s="15">
        <v>3</v>
      </c>
    </row>
    <row r="1725" spans="1:5" x14ac:dyDescent="0.4">
      <c r="A1725" s="13" t="s">
        <v>38</v>
      </c>
      <c r="B1725" s="13" t="s">
        <v>20</v>
      </c>
      <c r="C1725" s="13" t="s">
        <v>39</v>
      </c>
      <c r="D1725" s="14">
        <v>578</v>
      </c>
      <c r="E1725" s="15">
        <v>1</v>
      </c>
    </row>
    <row r="1726" spans="1:5" x14ac:dyDescent="0.4">
      <c r="A1726" s="13" t="s">
        <v>1031</v>
      </c>
      <c r="B1726" s="13" t="s">
        <v>24</v>
      </c>
      <c r="C1726" s="13" t="s">
        <v>27</v>
      </c>
      <c r="D1726" s="14">
        <v>578</v>
      </c>
      <c r="E1726" s="15">
        <v>1</v>
      </c>
    </row>
    <row r="1727" spans="1:5" x14ac:dyDescent="0.4">
      <c r="A1727" s="13" t="s">
        <v>1825</v>
      </c>
      <c r="B1727" s="13" t="s">
        <v>26</v>
      </c>
      <c r="C1727" s="13" t="s">
        <v>39</v>
      </c>
      <c r="D1727" s="14">
        <v>578</v>
      </c>
      <c r="E1727" s="15">
        <v>0</v>
      </c>
    </row>
    <row r="1728" spans="1:5" x14ac:dyDescent="0.4">
      <c r="A1728" s="13" t="s">
        <v>443</v>
      </c>
      <c r="B1728" s="13" t="s">
        <v>20</v>
      </c>
      <c r="C1728" s="13" t="s">
        <v>44</v>
      </c>
      <c r="D1728" s="14">
        <v>579</v>
      </c>
      <c r="E1728" s="15">
        <v>4</v>
      </c>
    </row>
    <row r="1729" spans="1:5" x14ac:dyDescent="0.4">
      <c r="A1729" s="13" t="s">
        <v>778</v>
      </c>
      <c r="B1729" s="13" t="s">
        <v>24</v>
      </c>
      <c r="C1729" s="13" t="s">
        <v>32</v>
      </c>
      <c r="D1729" s="14">
        <v>579</v>
      </c>
      <c r="E1729" s="15">
        <v>2</v>
      </c>
    </row>
    <row r="1730" spans="1:5" x14ac:dyDescent="0.4">
      <c r="A1730" s="13" t="s">
        <v>1439</v>
      </c>
      <c r="B1730" s="13" t="s">
        <v>26</v>
      </c>
      <c r="C1730" s="13" t="s">
        <v>39</v>
      </c>
      <c r="D1730" s="14">
        <v>579</v>
      </c>
      <c r="E1730" s="15">
        <v>4</v>
      </c>
    </row>
    <row r="1731" spans="1:5" x14ac:dyDescent="0.4">
      <c r="A1731" s="13" t="s">
        <v>166</v>
      </c>
      <c r="B1731" s="13" t="s">
        <v>26</v>
      </c>
      <c r="C1731" s="13" t="s">
        <v>27</v>
      </c>
      <c r="D1731" s="14">
        <v>580</v>
      </c>
      <c r="E1731" s="15">
        <v>15</v>
      </c>
    </row>
    <row r="1732" spans="1:5" x14ac:dyDescent="0.4">
      <c r="A1732" s="13" t="s">
        <v>880</v>
      </c>
      <c r="B1732" s="13" t="s">
        <v>26</v>
      </c>
      <c r="C1732" s="13" t="s">
        <v>39</v>
      </c>
      <c r="D1732" s="14">
        <v>580</v>
      </c>
      <c r="E1732" s="15">
        <v>0</v>
      </c>
    </row>
    <row r="1733" spans="1:5" x14ac:dyDescent="0.4">
      <c r="A1733" s="13" t="s">
        <v>1021</v>
      </c>
      <c r="B1733" s="13" t="s">
        <v>24</v>
      </c>
      <c r="C1733" s="13" t="s">
        <v>66</v>
      </c>
      <c r="D1733" s="14">
        <v>580</v>
      </c>
      <c r="E1733" s="15">
        <v>2</v>
      </c>
    </row>
    <row r="1734" spans="1:5" x14ac:dyDescent="0.4">
      <c r="A1734" s="13" t="s">
        <v>1032</v>
      </c>
      <c r="B1734" s="13" t="s">
        <v>26</v>
      </c>
      <c r="C1734" s="13" t="s">
        <v>27</v>
      </c>
      <c r="D1734" s="14">
        <v>580</v>
      </c>
      <c r="E1734" s="15">
        <v>0</v>
      </c>
    </row>
    <row r="1735" spans="1:5" x14ac:dyDescent="0.4">
      <c r="A1735" s="13" t="s">
        <v>1060</v>
      </c>
      <c r="B1735" s="13" t="s">
        <v>20</v>
      </c>
      <c r="C1735" s="13" t="s">
        <v>62</v>
      </c>
      <c r="D1735" s="14">
        <v>580</v>
      </c>
      <c r="E1735" s="15">
        <v>0</v>
      </c>
    </row>
    <row r="1736" spans="1:5" x14ac:dyDescent="0.4">
      <c r="A1736" s="13" t="s">
        <v>1452</v>
      </c>
      <c r="B1736" s="13" t="s">
        <v>20</v>
      </c>
      <c r="C1736" s="13" t="s">
        <v>44</v>
      </c>
      <c r="D1736" s="14">
        <v>580</v>
      </c>
      <c r="E1736" s="15">
        <v>2</v>
      </c>
    </row>
    <row r="1737" spans="1:5" x14ac:dyDescent="0.4">
      <c r="A1737" s="13" t="s">
        <v>1840</v>
      </c>
      <c r="B1737" s="13" t="s">
        <v>24</v>
      </c>
      <c r="C1737" s="13" t="s">
        <v>44</v>
      </c>
      <c r="D1737" s="14">
        <v>580</v>
      </c>
      <c r="E1737" s="15">
        <v>0</v>
      </c>
    </row>
    <row r="1738" spans="1:5" x14ac:dyDescent="0.4">
      <c r="A1738" s="13" t="s">
        <v>267</v>
      </c>
      <c r="B1738" s="13" t="s">
        <v>20</v>
      </c>
      <c r="C1738" s="13" t="s">
        <v>27</v>
      </c>
      <c r="D1738" s="14">
        <v>581</v>
      </c>
      <c r="E1738" s="15">
        <v>0</v>
      </c>
    </row>
    <row r="1739" spans="1:5" x14ac:dyDescent="0.4">
      <c r="A1739" s="13" t="s">
        <v>382</v>
      </c>
      <c r="B1739" s="13" t="s">
        <v>24</v>
      </c>
      <c r="C1739" s="13" t="s">
        <v>34</v>
      </c>
      <c r="D1739" s="14">
        <v>581</v>
      </c>
      <c r="E1739" s="15">
        <v>0</v>
      </c>
    </row>
    <row r="1740" spans="1:5" x14ac:dyDescent="0.4">
      <c r="A1740" s="13" t="s">
        <v>641</v>
      </c>
      <c r="B1740" s="13" t="s">
        <v>20</v>
      </c>
      <c r="C1740" s="13" t="s">
        <v>21</v>
      </c>
      <c r="D1740" s="14">
        <v>581</v>
      </c>
      <c r="E1740" s="15">
        <v>7</v>
      </c>
    </row>
    <row r="1741" spans="1:5" x14ac:dyDescent="0.4">
      <c r="A1741" s="13" t="s">
        <v>1586</v>
      </c>
      <c r="B1741" s="13" t="s">
        <v>20</v>
      </c>
      <c r="C1741" s="13" t="s">
        <v>30</v>
      </c>
      <c r="D1741" s="14">
        <v>581</v>
      </c>
      <c r="E1741" s="15">
        <v>0</v>
      </c>
    </row>
    <row r="1742" spans="1:5" x14ac:dyDescent="0.4">
      <c r="A1742" s="13" t="s">
        <v>1218</v>
      </c>
      <c r="B1742" s="13" t="s">
        <v>24</v>
      </c>
      <c r="C1742" s="13" t="s">
        <v>30</v>
      </c>
      <c r="D1742" s="14">
        <v>582</v>
      </c>
      <c r="E1742" s="15">
        <v>4</v>
      </c>
    </row>
    <row r="1743" spans="1:5" x14ac:dyDescent="0.4">
      <c r="A1743" s="13" t="s">
        <v>622</v>
      </c>
      <c r="B1743" s="13" t="s">
        <v>26</v>
      </c>
      <c r="C1743" s="13" t="s">
        <v>27</v>
      </c>
      <c r="D1743" s="14">
        <v>583</v>
      </c>
      <c r="E1743" s="15">
        <v>4</v>
      </c>
    </row>
    <row r="1744" spans="1:5" x14ac:dyDescent="0.4">
      <c r="A1744" s="13" t="s">
        <v>1597</v>
      </c>
      <c r="B1744" s="13" t="s">
        <v>26</v>
      </c>
      <c r="C1744" s="13" t="s">
        <v>34</v>
      </c>
      <c r="D1744" s="14">
        <v>583</v>
      </c>
      <c r="E1744" s="15">
        <v>1</v>
      </c>
    </row>
    <row r="1745" spans="1:5" x14ac:dyDescent="0.4">
      <c r="A1745" s="13" t="s">
        <v>355</v>
      </c>
      <c r="B1745" s="13" t="s">
        <v>26</v>
      </c>
      <c r="C1745" s="13" t="s">
        <v>28</v>
      </c>
      <c r="D1745" s="14">
        <v>584</v>
      </c>
      <c r="E1745" s="15">
        <v>1</v>
      </c>
    </row>
    <row r="1746" spans="1:5" x14ac:dyDescent="0.4">
      <c r="A1746" s="13" t="s">
        <v>1243</v>
      </c>
      <c r="B1746" s="13" t="s">
        <v>20</v>
      </c>
      <c r="C1746" s="13" t="s">
        <v>40</v>
      </c>
      <c r="D1746" s="14">
        <v>584</v>
      </c>
      <c r="E1746" s="15">
        <v>2</v>
      </c>
    </row>
    <row r="1747" spans="1:5" x14ac:dyDescent="0.4">
      <c r="A1747" s="13" t="s">
        <v>1441</v>
      </c>
      <c r="B1747" s="13" t="s">
        <v>20</v>
      </c>
      <c r="C1747" s="13" t="s">
        <v>66</v>
      </c>
      <c r="D1747" s="14">
        <v>584</v>
      </c>
      <c r="E1747" s="15">
        <v>1</v>
      </c>
    </row>
    <row r="1748" spans="1:5" x14ac:dyDescent="0.4">
      <c r="A1748" s="13" t="s">
        <v>1803</v>
      </c>
      <c r="B1748" s="13" t="s">
        <v>26</v>
      </c>
      <c r="C1748" s="13" t="s">
        <v>27</v>
      </c>
      <c r="D1748" s="14">
        <v>584</v>
      </c>
      <c r="E1748" s="15">
        <v>0</v>
      </c>
    </row>
    <row r="1749" spans="1:5" x14ac:dyDescent="0.4">
      <c r="A1749" s="13" t="s">
        <v>1737</v>
      </c>
      <c r="B1749" s="13" t="s">
        <v>24</v>
      </c>
      <c r="C1749" s="13" t="s">
        <v>44</v>
      </c>
      <c r="D1749" s="14">
        <v>585</v>
      </c>
      <c r="E1749" s="15">
        <v>1</v>
      </c>
    </row>
    <row r="1750" spans="1:5" x14ac:dyDescent="0.4">
      <c r="A1750" s="13" t="s">
        <v>1285</v>
      </c>
      <c r="B1750" s="13" t="s">
        <v>24</v>
      </c>
      <c r="C1750" s="13" t="s">
        <v>111</v>
      </c>
      <c r="D1750" s="14">
        <v>586</v>
      </c>
      <c r="E1750" s="15">
        <v>0</v>
      </c>
    </row>
    <row r="1751" spans="1:5" x14ac:dyDescent="0.4">
      <c r="A1751" s="13" t="s">
        <v>1328</v>
      </c>
      <c r="B1751" s="13" t="s">
        <v>26</v>
      </c>
      <c r="C1751" s="13" t="s">
        <v>5</v>
      </c>
      <c r="D1751" s="14">
        <v>586</v>
      </c>
      <c r="E1751" s="15">
        <v>7</v>
      </c>
    </row>
    <row r="1752" spans="1:5" x14ac:dyDescent="0.4">
      <c r="A1752" s="13" t="s">
        <v>167</v>
      </c>
      <c r="B1752" s="13" t="s">
        <v>24</v>
      </c>
      <c r="C1752" s="13" t="s">
        <v>32</v>
      </c>
      <c r="D1752" s="14">
        <v>587</v>
      </c>
      <c r="E1752" s="15">
        <v>6</v>
      </c>
    </row>
    <row r="1753" spans="1:5" x14ac:dyDescent="0.4">
      <c r="A1753" s="13" t="s">
        <v>258</v>
      </c>
      <c r="B1753" s="13" t="s">
        <v>20</v>
      </c>
      <c r="C1753" s="13" t="s">
        <v>33</v>
      </c>
      <c r="D1753" s="14">
        <v>587</v>
      </c>
      <c r="E1753" s="15">
        <v>3</v>
      </c>
    </row>
    <row r="1754" spans="1:5" x14ac:dyDescent="0.4">
      <c r="A1754" s="13" t="s">
        <v>687</v>
      </c>
      <c r="B1754" s="13" t="s">
        <v>26</v>
      </c>
      <c r="C1754" s="13" t="s">
        <v>39</v>
      </c>
      <c r="D1754" s="14">
        <v>587</v>
      </c>
      <c r="E1754" s="15">
        <v>3</v>
      </c>
    </row>
    <row r="1755" spans="1:5" x14ac:dyDescent="0.4">
      <c r="A1755" s="13" t="s">
        <v>1893</v>
      </c>
      <c r="B1755" s="13" t="s">
        <v>20</v>
      </c>
      <c r="C1755" s="13" t="s">
        <v>44</v>
      </c>
      <c r="D1755" s="14">
        <v>587</v>
      </c>
      <c r="E1755" s="15">
        <v>1</v>
      </c>
    </row>
    <row r="1756" spans="1:5" x14ac:dyDescent="0.4">
      <c r="A1756" s="13" t="s">
        <v>140</v>
      </c>
      <c r="B1756" s="13" t="s">
        <v>24</v>
      </c>
      <c r="C1756" s="13" t="s">
        <v>27</v>
      </c>
      <c r="D1756" s="14">
        <v>588</v>
      </c>
      <c r="E1756" s="15">
        <v>0</v>
      </c>
    </row>
    <row r="1757" spans="1:5" x14ac:dyDescent="0.4">
      <c r="A1757" s="13" t="s">
        <v>337</v>
      </c>
      <c r="B1757" s="13" t="s">
        <v>26</v>
      </c>
      <c r="C1757" s="13" t="s">
        <v>39</v>
      </c>
      <c r="D1757" s="14">
        <v>588</v>
      </c>
      <c r="E1757" s="15">
        <v>0</v>
      </c>
    </row>
    <row r="1758" spans="1:5" x14ac:dyDescent="0.4">
      <c r="A1758" s="13" t="s">
        <v>739</v>
      </c>
      <c r="B1758" s="13" t="s">
        <v>26</v>
      </c>
      <c r="C1758" s="13" t="s">
        <v>53</v>
      </c>
      <c r="D1758" s="14">
        <v>588</v>
      </c>
      <c r="E1758" s="15">
        <v>9</v>
      </c>
    </row>
    <row r="1759" spans="1:5" x14ac:dyDescent="0.4">
      <c r="A1759" s="13" t="s">
        <v>1340</v>
      </c>
      <c r="B1759" s="13" t="s">
        <v>24</v>
      </c>
      <c r="C1759" s="13" t="s">
        <v>44</v>
      </c>
      <c r="D1759" s="14">
        <v>588</v>
      </c>
      <c r="E1759" s="15">
        <v>3</v>
      </c>
    </row>
    <row r="1760" spans="1:5" x14ac:dyDescent="0.4">
      <c r="A1760" s="13" t="s">
        <v>186</v>
      </c>
      <c r="B1760" s="13" t="s">
        <v>20</v>
      </c>
      <c r="C1760" s="13" t="s">
        <v>30</v>
      </c>
      <c r="D1760" s="14">
        <v>589</v>
      </c>
      <c r="E1760" s="15">
        <v>7</v>
      </c>
    </row>
    <row r="1761" spans="1:5" x14ac:dyDescent="0.4">
      <c r="A1761" s="13" t="s">
        <v>511</v>
      </c>
      <c r="B1761" s="13" t="s">
        <v>20</v>
      </c>
      <c r="C1761" s="13" t="s">
        <v>44</v>
      </c>
      <c r="D1761" s="14">
        <v>589</v>
      </c>
      <c r="E1761" s="15">
        <v>0</v>
      </c>
    </row>
    <row r="1762" spans="1:5" x14ac:dyDescent="0.4">
      <c r="A1762" s="13" t="s">
        <v>864</v>
      </c>
      <c r="B1762" s="13" t="s">
        <v>26</v>
      </c>
      <c r="C1762" s="13" t="s">
        <v>39</v>
      </c>
      <c r="D1762" s="14">
        <v>589</v>
      </c>
      <c r="E1762" s="15">
        <v>1</v>
      </c>
    </row>
    <row r="1763" spans="1:5" x14ac:dyDescent="0.4">
      <c r="A1763" s="13" t="s">
        <v>942</v>
      </c>
      <c r="B1763" s="13" t="s">
        <v>24</v>
      </c>
      <c r="C1763" s="13" t="s">
        <v>39</v>
      </c>
      <c r="D1763" s="14">
        <v>589</v>
      </c>
      <c r="E1763" s="15">
        <v>5</v>
      </c>
    </row>
    <row r="1764" spans="1:5" x14ac:dyDescent="0.4">
      <c r="A1764" s="13" t="s">
        <v>450</v>
      </c>
      <c r="B1764" s="13" t="s">
        <v>20</v>
      </c>
      <c r="C1764" s="13" t="s">
        <v>28</v>
      </c>
      <c r="D1764" s="14">
        <v>590</v>
      </c>
      <c r="E1764" s="15">
        <v>0</v>
      </c>
    </row>
    <row r="1765" spans="1:5" x14ac:dyDescent="0.4">
      <c r="A1765" s="13" t="s">
        <v>1023</v>
      </c>
      <c r="B1765" s="13" t="s">
        <v>20</v>
      </c>
      <c r="C1765" s="13" t="s">
        <v>66</v>
      </c>
      <c r="D1765" s="14">
        <v>590</v>
      </c>
      <c r="E1765" s="15">
        <v>2</v>
      </c>
    </row>
    <row r="1766" spans="1:5" x14ac:dyDescent="0.4">
      <c r="A1766" s="13" t="s">
        <v>806</v>
      </c>
      <c r="B1766" s="13" t="s">
        <v>26</v>
      </c>
      <c r="C1766" s="13" t="s">
        <v>25</v>
      </c>
      <c r="D1766" s="14">
        <v>591</v>
      </c>
      <c r="E1766" s="15">
        <v>4</v>
      </c>
    </row>
    <row r="1767" spans="1:5" x14ac:dyDescent="0.4">
      <c r="A1767" s="13" t="s">
        <v>873</v>
      </c>
      <c r="B1767" s="13" t="s">
        <v>20</v>
      </c>
      <c r="C1767" s="13" t="s">
        <v>5</v>
      </c>
      <c r="D1767" s="14">
        <v>591</v>
      </c>
      <c r="E1767" s="15">
        <v>7</v>
      </c>
    </row>
    <row r="1768" spans="1:5" x14ac:dyDescent="0.4">
      <c r="A1768" s="13" t="s">
        <v>73</v>
      </c>
      <c r="B1768" s="13" t="s">
        <v>26</v>
      </c>
      <c r="C1768" s="13" t="s">
        <v>44</v>
      </c>
      <c r="D1768" s="14">
        <v>592</v>
      </c>
      <c r="E1768" s="15">
        <v>0</v>
      </c>
    </row>
    <row r="1769" spans="1:5" x14ac:dyDescent="0.4">
      <c r="A1769" s="13" t="s">
        <v>150</v>
      </c>
      <c r="B1769" s="13" t="s">
        <v>26</v>
      </c>
      <c r="C1769" s="13" t="s">
        <v>39</v>
      </c>
      <c r="D1769" s="14">
        <v>592</v>
      </c>
      <c r="E1769" s="15">
        <v>0</v>
      </c>
    </row>
    <row r="1770" spans="1:5" x14ac:dyDescent="0.4">
      <c r="A1770" s="13" t="s">
        <v>788</v>
      </c>
      <c r="B1770" s="13" t="s">
        <v>26</v>
      </c>
      <c r="C1770" s="13" t="s">
        <v>25</v>
      </c>
      <c r="D1770" s="14">
        <v>592</v>
      </c>
      <c r="E1770" s="15">
        <v>3</v>
      </c>
    </row>
    <row r="1771" spans="1:5" x14ac:dyDescent="0.4">
      <c r="A1771" s="13" t="s">
        <v>987</v>
      </c>
      <c r="B1771" s="13" t="s">
        <v>26</v>
      </c>
      <c r="C1771" s="13" t="s">
        <v>28</v>
      </c>
      <c r="D1771" s="14">
        <v>592</v>
      </c>
      <c r="E1771" s="15">
        <v>0</v>
      </c>
    </row>
    <row r="1772" spans="1:5" x14ac:dyDescent="0.4">
      <c r="A1772" s="13" t="s">
        <v>978</v>
      </c>
      <c r="B1772" s="13" t="s">
        <v>26</v>
      </c>
      <c r="C1772" s="13" t="s">
        <v>111</v>
      </c>
      <c r="D1772" s="14">
        <v>593</v>
      </c>
      <c r="E1772" s="15">
        <v>2</v>
      </c>
    </row>
    <row r="1773" spans="1:5" x14ac:dyDescent="0.4">
      <c r="A1773" s="13" t="s">
        <v>1322</v>
      </c>
      <c r="B1773" s="13" t="s">
        <v>24</v>
      </c>
      <c r="C1773" s="13" t="s">
        <v>44</v>
      </c>
      <c r="D1773" s="14">
        <v>593</v>
      </c>
      <c r="E1773" s="15">
        <v>7</v>
      </c>
    </row>
    <row r="1774" spans="1:5" x14ac:dyDescent="0.4">
      <c r="A1774" s="13" t="s">
        <v>1600</v>
      </c>
      <c r="B1774" s="13" t="s">
        <v>20</v>
      </c>
      <c r="C1774" s="13" t="s">
        <v>44</v>
      </c>
      <c r="D1774" s="14">
        <v>593</v>
      </c>
      <c r="E1774" s="15">
        <v>2</v>
      </c>
    </row>
    <row r="1775" spans="1:5" x14ac:dyDescent="0.4">
      <c r="A1775" s="13" t="s">
        <v>258</v>
      </c>
      <c r="B1775" s="13" t="s">
        <v>26</v>
      </c>
      <c r="C1775" s="13" t="s">
        <v>40</v>
      </c>
      <c r="D1775" s="14">
        <v>594</v>
      </c>
      <c r="E1775" s="15">
        <v>1</v>
      </c>
    </row>
    <row r="1776" spans="1:5" x14ac:dyDescent="0.4">
      <c r="A1776" s="13" t="s">
        <v>298</v>
      </c>
      <c r="B1776" s="13" t="s">
        <v>24</v>
      </c>
      <c r="C1776" s="13" t="s">
        <v>39</v>
      </c>
      <c r="D1776" s="14">
        <v>594</v>
      </c>
      <c r="E1776" s="15">
        <v>2</v>
      </c>
    </row>
    <row r="1777" spans="1:5" x14ac:dyDescent="0.4">
      <c r="A1777" s="13" t="s">
        <v>389</v>
      </c>
      <c r="B1777" s="13" t="s">
        <v>20</v>
      </c>
      <c r="C1777" s="13" t="s">
        <v>21</v>
      </c>
      <c r="D1777" s="14">
        <v>594</v>
      </c>
      <c r="E1777" s="15">
        <v>4</v>
      </c>
    </row>
    <row r="1778" spans="1:5" x14ac:dyDescent="0.4">
      <c r="A1778" s="13" t="s">
        <v>1356</v>
      </c>
      <c r="B1778" s="13" t="s">
        <v>26</v>
      </c>
      <c r="C1778" s="13" t="s">
        <v>34</v>
      </c>
      <c r="D1778" s="14">
        <v>594</v>
      </c>
      <c r="E1778" s="15">
        <v>0</v>
      </c>
    </row>
    <row r="1779" spans="1:5" x14ac:dyDescent="0.4">
      <c r="A1779" s="13" t="s">
        <v>1908</v>
      </c>
      <c r="B1779" s="13" t="s">
        <v>24</v>
      </c>
      <c r="C1779" s="13" t="s">
        <v>32</v>
      </c>
      <c r="D1779" s="14">
        <v>594</v>
      </c>
      <c r="E1779" s="15">
        <v>4</v>
      </c>
    </row>
    <row r="1780" spans="1:5" x14ac:dyDescent="0.4">
      <c r="A1780" s="13" t="s">
        <v>230</v>
      </c>
      <c r="B1780" s="13" t="s">
        <v>24</v>
      </c>
      <c r="C1780" s="13" t="s">
        <v>40</v>
      </c>
      <c r="D1780" s="14">
        <v>595</v>
      </c>
      <c r="E1780" s="15">
        <v>4</v>
      </c>
    </row>
    <row r="1781" spans="1:5" x14ac:dyDescent="0.4">
      <c r="A1781" s="13" t="s">
        <v>564</v>
      </c>
      <c r="B1781" s="13" t="s">
        <v>20</v>
      </c>
      <c r="C1781" s="13" t="s">
        <v>44</v>
      </c>
      <c r="D1781" s="14">
        <v>595</v>
      </c>
      <c r="E1781" s="15">
        <v>6</v>
      </c>
    </row>
    <row r="1782" spans="1:5" x14ac:dyDescent="0.4">
      <c r="A1782" s="13" t="s">
        <v>652</v>
      </c>
      <c r="B1782" s="13" t="s">
        <v>24</v>
      </c>
      <c r="C1782" s="13" t="s">
        <v>33</v>
      </c>
      <c r="D1782" s="14">
        <v>595</v>
      </c>
      <c r="E1782" s="15">
        <v>7</v>
      </c>
    </row>
    <row r="1783" spans="1:5" x14ac:dyDescent="0.4">
      <c r="A1783" s="13" t="s">
        <v>921</v>
      </c>
      <c r="B1783" s="13" t="s">
        <v>20</v>
      </c>
      <c r="C1783" s="13" t="s">
        <v>44</v>
      </c>
      <c r="D1783" s="14">
        <v>595</v>
      </c>
      <c r="E1783" s="15">
        <v>1</v>
      </c>
    </row>
    <row r="1784" spans="1:5" x14ac:dyDescent="0.4">
      <c r="A1784" s="13" t="s">
        <v>1402</v>
      </c>
      <c r="B1784" s="13" t="s">
        <v>26</v>
      </c>
      <c r="C1784" s="13" t="s">
        <v>66</v>
      </c>
      <c r="D1784" s="14">
        <v>595</v>
      </c>
      <c r="E1784" s="15">
        <v>1</v>
      </c>
    </row>
    <row r="1785" spans="1:5" x14ac:dyDescent="0.4">
      <c r="A1785" s="13" t="s">
        <v>840</v>
      </c>
      <c r="B1785" s="13" t="s">
        <v>20</v>
      </c>
      <c r="C1785" s="13" t="s">
        <v>27</v>
      </c>
      <c r="D1785" s="14">
        <v>596</v>
      </c>
      <c r="E1785" s="15">
        <v>1</v>
      </c>
    </row>
    <row r="1786" spans="1:5" x14ac:dyDescent="0.4">
      <c r="A1786" s="13" t="s">
        <v>1363</v>
      </c>
      <c r="B1786" s="13" t="s">
        <v>20</v>
      </c>
      <c r="C1786" s="13" t="s">
        <v>33</v>
      </c>
      <c r="D1786" s="14">
        <v>596</v>
      </c>
      <c r="E1786" s="15">
        <v>0</v>
      </c>
    </row>
    <row r="1787" spans="1:5" x14ac:dyDescent="0.4">
      <c r="A1787" s="13" t="s">
        <v>1872</v>
      </c>
      <c r="B1787" s="13" t="s">
        <v>20</v>
      </c>
      <c r="C1787" s="13" t="s">
        <v>30</v>
      </c>
      <c r="D1787" s="14">
        <v>596</v>
      </c>
      <c r="E1787" s="15">
        <v>0</v>
      </c>
    </row>
    <row r="1788" spans="1:5" x14ac:dyDescent="0.4">
      <c r="A1788" s="13" t="s">
        <v>404</v>
      </c>
      <c r="B1788" s="13" t="s">
        <v>20</v>
      </c>
      <c r="C1788" s="13" t="s">
        <v>27</v>
      </c>
      <c r="D1788" s="14">
        <v>598</v>
      </c>
      <c r="E1788" s="15">
        <v>3</v>
      </c>
    </row>
    <row r="1789" spans="1:5" x14ac:dyDescent="0.4">
      <c r="A1789" s="13" t="s">
        <v>1220</v>
      </c>
      <c r="B1789" s="13" t="s">
        <v>26</v>
      </c>
      <c r="C1789" s="13" t="s">
        <v>39</v>
      </c>
      <c r="D1789" s="14">
        <v>598</v>
      </c>
      <c r="E1789" s="15">
        <v>14</v>
      </c>
    </row>
    <row r="1790" spans="1:5" x14ac:dyDescent="0.4">
      <c r="A1790" s="13" t="s">
        <v>1833</v>
      </c>
      <c r="B1790" s="13" t="s">
        <v>20</v>
      </c>
      <c r="C1790" s="13" t="s">
        <v>34</v>
      </c>
      <c r="D1790" s="14">
        <v>598</v>
      </c>
      <c r="E1790" s="15">
        <v>2</v>
      </c>
    </row>
    <row r="1791" spans="1:5" x14ac:dyDescent="0.4">
      <c r="A1791" s="13" t="s">
        <v>686</v>
      </c>
      <c r="B1791" s="13" t="s">
        <v>20</v>
      </c>
      <c r="C1791" s="13" t="s">
        <v>5</v>
      </c>
      <c r="D1791" s="14">
        <v>599</v>
      </c>
      <c r="E1791" s="15">
        <v>1</v>
      </c>
    </row>
    <row r="1792" spans="1:5" x14ac:dyDescent="0.4">
      <c r="A1792" s="13" t="s">
        <v>690</v>
      </c>
      <c r="B1792" s="13" t="s">
        <v>20</v>
      </c>
      <c r="C1792" s="13" t="s">
        <v>53</v>
      </c>
      <c r="D1792" s="14">
        <v>599</v>
      </c>
      <c r="E1792" s="15">
        <v>1</v>
      </c>
    </row>
    <row r="1793" spans="1:5" x14ac:dyDescent="0.4">
      <c r="A1793" s="13" t="s">
        <v>883</v>
      </c>
      <c r="B1793" s="13" t="s">
        <v>24</v>
      </c>
      <c r="C1793" s="13" t="s">
        <v>32</v>
      </c>
      <c r="D1793" s="14">
        <v>599</v>
      </c>
      <c r="E1793" s="15">
        <v>7</v>
      </c>
    </row>
    <row r="1794" spans="1:5" x14ac:dyDescent="0.4">
      <c r="A1794" s="13" t="s">
        <v>1888</v>
      </c>
      <c r="B1794" s="13" t="s">
        <v>20</v>
      </c>
      <c r="C1794" s="13" t="s">
        <v>43</v>
      </c>
      <c r="D1794" s="14">
        <v>599</v>
      </c>
      <c r="E1794" s="15">
        <v>1</v>
      </c>
    </row>
    <row r="1795" spans="1:5" x14ac:dyDescent="0.4">
      <c r="A1795" s="13" t="s">
        <v>190</v>
      </c>
      <c r="B1795" s="13" t="s">
        <v>26</v>
      </c>
      <c r="C1795" s="13" t="s">
        <v>44</v>
      </c>
      <c r="D1795" s="14">
        <v>600</v>
      </c>
      <c r="E1795" s="15">
        <v>4</v>
      </c>
    </row>
    <row r="1796" spans="1:5" x14ac:dyDescent="0.4">
      <c r="A1796" s="13" t="s">
        <v>484</v>
      </c>
      <c r="B1796" s="13" t="s">
        <v>20</v>
      </c>
      <c r="C1796" s="13" t="s">
        <v>39</v>
      </c>
      <c r="D1796" s="14">
        <v>600</v>
      </c>
      <c r="E1796" s="15">
        <v>0</v>
      </c>
    </row>
    <row r="1797" spans="1:5" x14ac:dyDescent="0.4">
      <c r="A1797" s="13" t="s">
        <v>1271</v>
      </c>
      <c r="B1797" s="13" t="s">
        <v>24</v>
      </c>
      <c r="C1797" s="13" t="s">
        <v>22</v>
      </c>
      <c r="D1797" s="14">
        <v>600</v>
      </c>
      <c r="E1797" s="15">
        <v>5</v>
      </c>
    </row>
    <row r="1798" spans="1:5" x14ac:dyDescent="0.4">
      <c r="A1798" s="13" t="s">
        <v>287</v>
      </c>
      <c r="B1798" s="13" t="s">
        <v>26</v>
      </c>
      <c r="C1798" s="13" t="s">
        <v>32</v>
      </c>
      <c r="D1798" s="14">
        <v>601</v>
      </c>
      <c r="E1798" s="15">
        <v>2</v>
      </c>
    </row>
    <row r="1799" spans="1:5" x14ac:dyDescent="0.4">
      <c r="A1799" s="13" t="s">
        <v>289</v>
      </c>
      <c r="B1799" s="13" t="s">
        <v>24</v>
      </c>
      <c r="C1799" s="13" t="s">
        <v>53</v>
      </c>
      <c r="D1799" s="14">
        <v>601</v>
      </c>
      <c r="E1799" s="15">
        <v>1</v>
      </c>
    </row>
    <row r="1800" spans="1:5" x14ac:dyDescent="0.4">
      <c r="A1800" s="13" t="s">
        <v>870</v>
      </c>
      <c r="B1800" s="13" t="s">
        <v>26</v>
      </c>
      <c r="C1800" s="13" t="s">
        <v>34</v>
      </c>
      <c r="D1800" s="14">
        <v>601</v>
      </c>
      <c r="E1800" s="15">
        <v>3</v>
      </c>
    </row>
    <row r="1801" spans="1:5" x14ac:dyDescent="0.4">
      <c r="A1801" s="13" t="s">
        <v>790</v>
      </c>
      <c r="B1801" s="13" t="s">
        <v>26</v>
      </c>
      <c r="C1801" s="13" t="s">
        <v>44</v>
      </c>
      <c r="D1801" s="14">
        <v>602</v>
      </c>
      <c r="E1801" s="15">
        <v>11</v>
      </c>
    </row>
    <row r="1802" spans="1:5" x14ac:dyDescent="0.4">
      <c r="A1802" s="13" t="s">
        <v>1431</v>
      </c>
      <c r="B1802" s="13" t="s">
        <v>26</v>
      </c>
      <c r="C1802" s="13" t="s">
        <v>25</v>
      </c>
      <c r="D1802" s="14">
        <v>603</v>
      </c>
      <c r="E1802" s="15">
        <v>4</v>
      </c>
    </row>
    <row r="1803" spans="1:5" x14ac:dyDescent="0.4">
      <c r="A1803" s="13" t="s">
        <v>1863</v>
      </c>
      <c r="B1803" s="13" t="s">
        <v>24</v>
      </c>
      <c r="C1803" s="13" t="s">
        <v>44</v>
      </c>
      <c r="D1803" s="14">
        <v>603</v>
      </c>
      <c r="E1803" s="15">
        <v>1</v>
      </c>
    </row>
    <row r="1804" spans="1:5" x14ac:dyDescent="0.4">
      <c r="A1804" s="13" t="s">
        <v>1905</v>
      </c>
      <c r="B1804" s="13" t="s">
        <v>24</v>
      </c>
      <c r="C1804" s="13" t="s">
        <v>43</v>
      </c>
      <c r="D1804" s="14">
        <v>603</v>
      </c>
      <c r="E1804" s="15">
        <v>8</v>
      </c>
    </row>
    <row r="1805" spans="1:5" x14ac:dyDescent="0.4">
      <c r="A1805" s="13" t="s">
        <v>1828</v>
      </c>
      <c r="B1805" s="13" t="s">
        <v>20</v>
      </c>
      <c r="C1805" s="13" t="s">
        <v>28</v>
      </c>
      <c r="D1805" s="14">
        <v>604</v>
      </c>
      <c r="E1805" s="15">
        <v>1</v>
      </c>
    </row>
    <row r="1806" spans="1:5" x14ac:dyDescent="0.4">
      <c r="A1806" s="13" t="s">
        <v>289</v>
      </c>
      <c r="B1806" s="13" t="s">
        <v>24</v>
      </c>
      <c r="C1806" s="13" t="s">
        <v>25</v>
      </c>
      <c r="D1806" s="14">
        <v>605</v>
      </c>
      <c r="E1806" s="15">
        <v>3</v>
      </c>
    </row>
    <row r="1807" spans="1:5" x14ac:dyDescent="0.4">
      <c r="A1807" s="13" t="s">
        <v>661</v>
      </c>
      <c r="B1807" s="13" t="s">
        <v>24</v>
      </c>
      <c r="C1807" s="13" t="s">
        <v>5</v>
      </c>
      <c r="D1807" s="14">
        <v>605</v>
      </c>
      <c r="E1807" s="15">
        <v>2</v>
      </c>
    </row>
    <row r="1808" spans="1:5" x14ac:dyDescent="0.4">
      <c r="A1808" s="13" t="s">
        <v>1399</v>
      </c>
      <c r="B1808" s="13" t="s">
        <v>20</v>
      </c>
      <c r="C1808" s="13" t="s">
        <v>30</v>
      </c>
      <c r="D1808" s="14">
        <v>605</v>
      </c>
      <c r="E1808" s="15">
        <v>2</v>
      </c>
    </row>
    <row r="1809" spans="1:5" x14ac:dyDescent="0.4">
      <c r="A1809" s="13" t="s">
        <v>1797</v>
      </c>
      <c r="B1809" s="13" t="s">
        <v>20</v>
      </c>
      <c r="C1809" s="13" t="s">
        <v>27</v>
      </c>
      <c r="D1809" s="14">
        <v>605</v>
      </c>
      <c r="E1809" s="15">
        <v>6</v>
      </c>
    </row>
    <row r="1810" spans="1:5" x14ac:dyDescent="0.4">
      <c r="A1810" s="13" t="s">
        <v>242</v>
      </c>
      <c r="B1810" s="13" t="s">
        <v>24</v>
      </c>
      <c r="C1810" s="13" t="s">
        <v>25</v>
      </c>
      <c r="D1810" s="14">
        <v>606</v>
      </c>
      <c r="E1810" s="15">
        <v>3</v>
      </c>
    </row>
    <row r="1811" spans="1:5" x14ac:dyDescent="0.4">
      <c r="A1811" s="13" t="s">
        <v>810</v>
      </c>
      <c r="B1811" s="13" t="s">
        <v>24</v>
      </c>
      <c r="C1811" s="13" t="s">
        <v>32</v>
      </c>
      <c r="D1811" s="14">
        <v>606</v>
      </c>
      <c r="E1811" s="15">
        <v>0</v>
      </c>
    </row>
    <row r="1812" spans="1:5" x14ac:dyDescent="0.4">
      <c r="A1812" s="13" t="s">
        <v>917</v>
      </c>
      <c r="B1812" s="13" t="s">
        <v>20</v>
      </c>
      <c r="C1812" s="13" t="s">
        <v>39</v>
      </c>
      <c r="D1812" s="14">
        <v>606</v>
      </c>
      <c r="E1812" s="15">
        <v>1</v>
      </c>
    </row>
    <row r="1813" spans="1:5" x14ac:dyDescent="0.4">
      <c r="A1813" s="13" t="s">
        <v>1237</v>
      </c>
      <c r="B1813" s="13" t="s">
        <v>26</v>
      </c>
      <c r="C1813" s="13" t="s">
        <v>27</v>
      </c>
      <c r="D1813" s="14">
        <v>606</v>
      </c>
      <c r="E1813" s="15">
        <v>0</v>
      </c>
    </row>
    <row r="1814" spans="1:5" x14ac:dyDescent="0.4">
      <c r="A1814" s="13" t="s">
        <v>1262</v>
      </c>
      <c r="B1814" s="13" t="s">
        <v>26</v>
      </c>
      <c r="C1814" s="13" t="s">
        <v>44</v>
      </c>
      <c r="D1814" s="14">
        <v>606</v>
      </c>
      <c r="E1814" s="15">
        <v>0</v>
      </c>
    </row>
    <row r="1815" spans="1:5" x14ac:dyDescent="0.4">
      <c r="A1815" s="13" t="s">
        <v>1939</v>
      </c>
      <c r="B1815" s="13" t="s">
        <v>24</v>
      </c>
      <c r="C1815" s="13" t="s">
        <v>44</v>
      </c>
      <c r="D1815" s="14">
        <v>606</v>
      </c>
      <c r="E1815" s="15">
        <v>1</v>
      </c>
    </row>
    <row r="1816" spans="1:5" x14ac:dyDescent="0.4">
      <c r="A1816" s="13" t="s">
        <v>116</v>
      </c>
      <c r="B1816" s="13" t="s">
        <v>24</v>
      </c>
      <c r="C1816" s="13" t="s">
        <v>30</v>
      </c>
      <c r="D1816" s="14">
        <v>607</v>
      </c>
      <c r="E1816" s="15">
        <v>2</v>
      </c>
    </row>
    <row r="1817" spans="1:5" x14ac:dyDescent="0.4">
      <c r="A1817" s="13" t="s">
        <v>944</v>
      </c>
      <c r="B1817" s="13" t="s">
        <v>24</v>
      </c>
      <c r="C1817" s="13" t="s">
        <v>22</v>
      </c>
      <c r="D1817" s="14">
        <v>607</v>
      </c>
      <c r="E1817" s="15">
        <v>5</v>
      </c>
    </row>
    <row r="1818" spans="1:5" x14ac:dyDescent="0.4">
      <c r="A1818" s="13" t="s">
        <v>1156</v>
      </c>
      <c r="B1818" s="13" t="s">
        <v>24</v>
      </c>
      <c r="C1818" s="13" t="s">
        <v>22</v>
      </c>
      <c r="D1818" s="14">
        <v>607</v>
      </c>
      <c r="E1818" s="15">
        <v>5</v>
      </c>
    </row>
    <row r="1819" spans="1:5" x14ac:dyDescent="0.4">
      <c r="A1819" s="13" t="s">
        <v>891</v>
      </c>
      <c r="B1819" s="13" t="s">
        <v>24</v>
      </c>
      <c r="C1819" s="13" t="s">
        <v>27</v>
      </c>
      <c r="D1819" s="14">
        <v>608</v>
      </c>
      <c r="E1819" s="15">
        <v>4</v>
      </c>
    </row>
    <row r="1820" spans="1:5" x14ac:dyDescent="0.4">
      <c r="A1820" s="13" t="s">
        <v>1258</v>
      </c>
      <c r="B1820" s="13" t="s">
        <v>24</v>
      </c>
      <c r="C1820" s="13" t="s">
        <v>44</v>
      </c>
      <c r="D1820" s="14">
        <v>608</v>
      </c>
      <c r="E1820" s="15">
        <v>1</v>
      </c>
    </row>
    <row r="1821" spans="1:5" x14ac:dyDescent="0.4">
      <c r="A1821" s="13" t="s">
        <v>1527</v>
      </c>
      <c r="B1821" s="13" t="s">
        <v>20</v>
      </c>
      <c r="C1821" s="13" t="s">
        <v>27</v>
      </c>
      <c r="D1821" s="14">
        <v>608</v>
      </c>
      <c r="E1821" s="15">
        <v>14</v>
      </c>
    </row>
    <row r="1822" spans="1:5" x14ac:dyDescent="0.4">
      <c r="A1822" s="13" t="s">
        <v>1805</v>
      </c>
      <c r="B1822" s="13" t="s">
        <v>20</v>
      </c>
      <c r="C1822" s="13" t="s">
        <v>53</v>
      </c>
      <c r="D1822" s="14">
        <v>608</v>
      </c>
      <c r="E1822" s="15">
        <v>3</v>
      </c>
    </row>
    <row r="1823" spans="1:5" x14ac:dyDescent="0.4">
      <c r="A1823" s="13" t="s">
        <v>1908</v>
      </c>
      <c r="B1823" s="13" t="s">
        <v>24</v>
      </c>
      <c r="C1823" s="13" t="s">
        <v>62</v>
      </c>
      <c r="D1823" s="14">
        <v>608</v>
      </c>
      <c r="E1823" s="15">
        <v>1</v>
      </c>
    </row>
    <row r="1824" spans="1:5" x14ac:dyDescent="0.4">
      <c r="A1824" s="13" t="s">
        <v>1166</v>
      </c>
      <c r="B1824" s="13" t="s">
        <v>20</v>
      </c>
      <c r="C1824" s="13" t="s">
        <v>30</v>
      </c>
      <c r="D1824" s="14">
        <v>610</v>
      </c>
      <c r="E1824" s="15">
        <v>1</v>
      </c>
    </row>
    <row r="1825" spans="1:5" x14ac:dyDescent="0.4">
      <c r="A1825" s="13" t="s">
        <v>1447</v>
      </c>
      <c r="B1825" s="13" t="s">
        <v>20</v>
      </c>
      <c r="C1825" s="13" t="s">
        <v>43</v>
      </c>
      <c r="D1825" s="14">
        <v>610</v>
      </c>
      <c r="E1825" s="15">
        <v>0</v>
      </c>
    </row>
    <row r="1826" spans="1:5" x14ac:dyDescent="0.4">
      <c r="A1826" s="13" t="s">
        <v>1872</v>
      </c>
      <c r="B1826" s="13" t="s">
        <v>20</v>
      </c>
      <c r="C1826" s="13" t="s">
        <v>62</v>
      </c>
      <c r="D1826" s="14">
        <v>610</v>
      </c>
      <c r="E1826" s="15">
        <v>0</v>
      </c>
    </row>
    <row r="1827" spans="1:5" x14ac:dyDescent="0.4">
      <c r="A1827" s="13" t="s">
        <v>1975</v>
      </c>
      <c r="B1827" s="13" t="s">
        <v>24</v>
      </c>
      <c r="C1827" s="13" t="s">
        <v>5</v>
      </c>
      <c r="D1827" s="14">
        <v>610</v>
      </c>
      <c r="E1827" s="15">
        <v>0</v>
      </c>
    </row>
    <row r="1828" spans="1:5" x14ac:dyDescent="0.4">
      <c r="A1828" s="13" t="s">
        <v>959</v>
      </c>
      <c r="B1828" s="13" t="s">
        <v>20</v>
      </c>
      <c r="C1828" s="13" t="s">
        <v>34</v>
      </c>
      <c r="D1828" s="14">
        <v>612</v>
      </c>
      <c r="E1828" s="15">
        <v>1</v>
      </c>
    </row>
    <row r="1829" spans="1:5" x14ac:dyDescent="0.4">
      <c r="A1829" s="13" t="s">
        <v>1610</v>
      </c>
      <c r="B1829" s="13" t="s">
        <v>26</v>
      </c>
      <c r="C1829" s="13" t="s">
        <v>44</v>
      </c>
      <c r="D1829" s="14">
        <v>612</v>
      </c>
      <c r="E1829" s="15">
        <v>9</v>
      </c>
    </row>
    <row r="1830" spans="1:5" x14ac:dyDescent="0.4">
      <c r="A1830" s="13" t="s">
        <v>1792</v>
      </c>
      <c r="B1830" s="13" t="s">
        <v>26</v>
      </c>
      <c r="C1830" s="13" t="s">
        <v>43</v>
      </c>
      <c r="D1830" s="14">
        <v>612</v>
      </c>
      <c r="E1830" s="15">
        <v>0</v>
      </c>
    </row>
    <row r="1831" spans="1:5" x14ac:dyDescent="0.4">
      <c r="A1831" s="13" t="s">
        <v>1146</v>
      </c>
      <c r="B1831" s="13" t="s">
        <v>20</v>
      </c>
      <c r="C1831" s="13" t="s">
        <v>43</v>
      </c>
      <c r="D1831" s="14">
        <v>613</v>
      </c>
      <c r="E1831" s="15">
        <v>0</v>
      </c>
    </row>
    <row r="1832" spans="1:5" x14ac:dyDescent="0.4">
      <c r="A1832" s="13" t="s">
        <v>807</v>
      </c>
      <c r="B1832" s="13" t="s">
        <v>24</v>
      </c>
      <c r="C1832" s="13" t="s">
        <v>44</v>
      </c>
      <c r="D1832" s="14">
        <v>614</v>
      </c>
      <c r="E1832" s="15">
        <v>2</v>
      </c>
    </row>
    <row r="1833" spans="1:5" x14ac:dyDescent="0.4">
      <c r="A1833" s="13" t="s">
        <v>255</v>
      </c>
      <c r="B1833" s="13" t="s">
        <v>20</v>
      </c>
      <c r="C1833" s="13" t="s">
        <v>44</v>
      </c>
      <c r="D1833" s="14">
        <v>615</v>
      </c>
      <c r="E1833" s="15">
        <v>3</v>
      </c>
    </row>
    <row r="1834" spans="1:5" x14ac:dyDescent="0.4">
      <c r="A1834" s="13" t="s">
        <v>768</v>
      </c>
      <c r="B1834" s="13" t="s">
        <v>26</v>
      </c>
      <c r="C1834" s="13" t="s">
        <v>25</v>
      </c>
      <c r="D1834" s="14">
        <v>615</v>
      </c>
      <c r="E1834" s="15">
        <v>0</v>
      </c>
    </row>
    <row r="1835" spans="1:5" x14ac:dyDescent="0.4">
      <c r="A1835" s="13" t="s">
        <v>934</v>
      </c>
      <c r="B1835" s="13" t="s">
        <v>20</v>
      </c>
      <c r="C1835" s="13" t="s">
        <v>62</v>
      </c>
      <c r="D1835" s="14">
        <v>615</v>
      </c>
      <c r="E1835" s="15">
        <v>0</v>
      </c>
    </row>
    <row r="1836" spans="1:5" x14ac:dyDescent="0.4">
      <c r="A1836" s="13" t="s">
        <v>1114</v>
      </c>
      <c r="B1836" s="13" t="s">
        <v>20</v>
      </c>
      <c r="C1836" s="13" t="s">
        <v>30</v>
      </c>
      <c r="D1836" s="14">
        <v>615</v>
      </c>
      <c r="E1836" s="15">
        <v>3</v>
      </c>
    </row>
    <row r="1837" spans="1:5" x14ac:dyDescent="0.4">
      <c r="A1837" s="13" t="s">
        <v>96</v>
      </c>
      <c r="B1837" s="13" t="s">
        <v>24</v>
      </c>
      <c r="C1837" s="13" t="s">
        <v>33</v>
      </c>
      <c r="D1837" s="14">
        <v>616</v>
      </c>
      <c r="E1837" s="15">
        <v>1</v>
      </c>
    </row>
    <row r="1838" spans="1:5" x14ac:dyDescent="0.4">
      <c r="A1838" s="13" t="s">
        <v>1270</v>
      </c>
      <c r="B1838" s="13" t="s">
        <v>20</v>
      </c>
      <c r="C1838" s="13" t="s">
        <v>27</v>
      </c>
      <c r="D1838" s="14">
        <v>616</v>
      </c>
      <c r="E1838" s="15">
        <v>1</v>
      </c>
    </row>
    <row r="1839" spans="1:5" x14ac:dyDescent="0.4">
      <c r="A1839" s="13" t="s">
        <v>1598</v>
      </c>
      <c r="B1839" s="13" t="s">
        <v>24</v>
      </c>
      <c r="C1839" s="13" t="s">
        <v>30</v>
      </c>
      <c r="D1839" s="14">
        <v>616</v>
      </c>
      <c r="E1839" s="15">
        <v>1</v>
      </c>
    </row>
    <row r="1840" spans="1:5" x14ac:dyDescent="0.4">
      <c r="A1840" s="13" t="s">
        <v>1815</v>
      </c>
      <c r="B1840" s="13" t="s">
        <v>20</v>
      </c>
      <c r="C1840" s="13" t="s">
        <v>44</v>
      </c>
      <c r="D1840" s="14">
        <v>617</v>
      </c>
      <c r="E1840" s="15">
        <v>5</v>
      </c>
    </row>
    <row r="1841" spans="1:5" x14ac:dyDescent="0.4">
      <c r="A1841" s="13" t="s">
        <v>1331</v>
      </c>
      <c r="B1841" s="13" t="s">
        <v>26</v>
      </c>
      <c r="C1841" s="13" t="s">
        <v>30</v>
      </c>
      <c r="D1841" s="14">
        <v>618</v>
      </c>
      <c r="E1841" s="15">
        <v>5</v>
      </c>
    </row>
    <row r="1842" spans="1:5" x14ac:dyDescent="0.4">
      <c r="A1842" s="13" t="s">
        <v>1470</v>
      </c>
      <c r="B1842" s="13" t="s">
        <v>24</v>
      </c>
      <c r="C1842" s="13" t="s">
        <v>33</v>
      </c>
      <c r="D1842" s="14">
        <v>618</v>
      </c>
      <c r="E1842" s="15">
        <v>0</v>
      </c>
    </row>
    <row r="1843" spans="1:5" x14ac:dyDescent="0.4">
      <c r="A1843" s="13" t="s">
        <v>95</v>
      </c>
      <c r="B1843" s="13" t="s">
        <v>20</v>
      </c>
      <c r="C1843" s="13" t="s">
        <v>27</v>
      </c>
      <c r="D1843" s="14">
        <v>619</v>
      </c>
      <c r="E1843" s="15">
        <v>1</v>
      </c>
    </row>
    <row r="1844" spans="1:5" x14ac:dyDescent="0.4">
      <c r="A1844" s="13" t="s">
        <v>134</v>
      </c>
      <c r="B1844" s="13" t="s">
        <v>20</v>
      </c>
      <c r="C1844" s="13" t="s">
        <v>21</v>
      </c>
      <c r="D1844" s="14">
        <v>619</v>
      </c>
      <c r="E1844" s="15">
        <v>0</v>
      </c>
    </row>
    <row r="1845" spans="1:5" x14ac:dyDescent="0.4">
      <c r="A1845" s="13" t="s">
        <v>858</v>
      </c>
      <c r="B1845" s="13" t="s">
        <v>24</v>
      </c>
      <c r="C1845" s="13" t="s">
        <v>30</v>
      </c>
      <c r="D1845" s="14">
        <v>619</v>
      </c>
      <c r="E1845" s="15">
        <v>0</v>
      </c>
    </row>
    <row r="1846" spans="1:5" x14ac:dyDescent="0.4">
      <c r="A1846" s="13" t="s">
        <v>1046</v>
      </c>
      <c r="B1846" s="13" t="s">
        <v>24</v>
      </c>
      <c r="C1846" s="13" t="s">
        <v>27</v>
      </c>
      <c r="D1846" s="14">
        <v>619</v>
      </c>
      <c r="E1846" s="15">
        <v>1</v>
      </c>
    </row>
    <row r="1847" spans="1:5" x14ac:dyDescent="0.4">
      <c r="A1847" s="13" t="s">
        <v>1083</v>
      </c>
      <c r="B1847" s="13" t="s">
        <v>24</v>
      </c>
      <c r="C1847" s="13" t="s">
        <v>44</v>
      </c>
      <c r="D1847" s="14">
        <v>619</v>
      </c>
      <c r="E1847" s="15">
        <v>0</v>
      </c>
    </row>
    <row r="1848" spans="1:5" x14ac:dyDescent="0.4">
      <c r="A1848" s="13" t="s">
        <v>1105</v>
      </c>
      <c r="B1848" s="13" t="s">
        <v>24</v>
      </c>
      <c r="C1848" s="13" t="s">
        <v>34</v>
      </c>
      <c r="D1848" s="14">
        <v>619</v>
      </c>
      <c r="E1848" s="15">
        <v>5</v>
      </c>
    </row>
    <row r="1849" spans="1:5" x14ac:dyDescent="0.4">
      <c r="A1849" s="13" t="s">
        <v>1341</v>
      </c>
      <c r="B1849" s="13" t="s">
        <v>20</v>
      </c>
      <c r="C1849" s="13" t="s">
        <v>25</v>
      </c>
      <c r="D1849" s="14">
        <v>619</v>
      </c>
      <c r="E1849" s="15">
        <v>0</v>
      </c>
    </row>
    <row r="1850" spans="1:5" x14ac:dyDescent="0.4">
      <c r="A1850" s="13" t="s">
        <v>433</v>
      </c>
      <c r="B1850" s="13" t="s">
        <v>20</v>
      </c>
      <c r="C1850" s="13" t="s">
        <v>25</v>
      </c>
      <c r="D1850" s="14">
        <v>620</v>
      </c>
      <c r="E1850" s="15">
        <v>6</v>
      </c>
    </row>
    <row r="1851" spans="1:5" x14ac:dyDescent="0.4">
      <c r="A1851" s="13" t="s">
        <v>1463</v>
      </c>
      <c r="B1851" s="13" t="s">
        <v>20</v>
      </c>
      <c r="C1851" s="13" t="s">
        <v>30</v>
      </c>
      <c r="D1851" s="14">
        <v>620</v>
      </c>
      <c r="E1851" s="15">
        <v>0</v>
      </c>
    </row>
    <row r="1852" spans="1:5" x14ac:dyDescent="0.4">
      <c r="A1852" s="13" t="s">
        <v>303</v>
      </c>
      <c r="B1852" s="13" t="s">
        <v>26</v>
      </c>
      <c r="C1852" s="13" t="s">
        <v>27</v>
      </c>
      <c r="D1852" s="14">
        <v>621</v>
      </c>
      <c r="E1852" s="15">
        <v>0</v>
      </c>
    </row>
    <row r="1853" spans="1:5" x14ac:dyDescent="0.4">
      <c r="A1853" s="13" t="s">
        <v>649</v>
      </c>
      <c r="B1853" s="13" t="s">
        <v>26</v>
      </c>
      <c r="C1853" s="13" t="s">
        <v>30</v>
      </c>
      <c r="D1853" s="14">
        <v>621</v>
      </c>
      <c r="E1853" s="15">
        <v>5</v>
      </c>
    </row>
    <row r="1854" spans="1:5" x14ac:dyDescent="0.4">
      <c r="A1854" s="13" t="s">
        <v>811</v>
      </c>
      <c r="B1854" s="13" t="s">
        <v>20</v>
      </c>
      <c r="C1854" s="13" t="s">
        <v>32</v>
      </c>
      <c r="D1854" s="14">
        <v>621</v>
      </c>
      <c r="E1854" s="15">
        <v>1</v>
      </c>
    </row>
    <row r="1855" spans="1:5" x14ac:dyDescent="0.4">
      <c r="A1855" s="13" t="s">
        <v>1406</v>
      </c>
      <c r="B1855" s="13" t="s">
        <v>24</v>
      </c>
      <c r="C1855" s="13" t="s">
        <v>40</v>
      </c>
      <c r="D1855" s="14">
        <v>621</v>
      </c>
      <c r="E1855" s="15">
        <v>1</v>
      </c>
    </row>
    <row r="1856" spans="1:5" x14ac:dyDescent="0.4">
      <c r="A1856" s="13" t="s">
        <v>1428</v>
      </c>
      <c r="B1856" s="13" t="s">
        <v>26</v>
      </c>
      <c r="C1856" s="13" t="s">
        <v>27</v>
      </c>
      <c r="D1856" s="14">
        <v>621</v>
      </c>
      <c r="E1856" s="15">
        <v>0</v>
      </c>
    </row>
    <row r="1857" spans="1:5" x14ac:dyDescent="0.4">
      <c r="A1857" s="13" t="s">
        <v>875</v>
      </c>
      <c r="B1857" s="13" t="s">
        <v>26</v>
      </c>
      <c r="C1857" s="13" t="s">
        <v>39</v>
      </c>
      <c r="D1857" s="14">
        <v>623</v>
      </c>
      <c r="E1857" s="15">
        <v>1</v>
      </c>
    </row>
    <row r="1858" spans="1:5" x14ac:dyDescent="0.4">
      <c r="A1858" s="13" t="s">
        <v>1091</v>
      </c>
      <c r="B1858" s="13" t="s">
        <v>24</v>
      </c>
      <c r="C1858" s="13" t="s">
        <v>43</v>
      </c>
      <c r="D1858" s="14">
        <v>623</v>
      </c>
      <c r="E1858" s="15">
        <v>5</v>
      </c>
    </row>
    <row r="1859" spans="1:5" x14ac:dyDescent="0.4">
      <c r="A1859" s="13" t="s">
        <v>1371</v>
      </c>
      <c r="B1859" s="13" t="s">
        <v>26</v>
      </c>
      <c r="C1859" s="13" t="s">
        <v>39</v>
      </c>
      <c r="D1859" s="14">
        <v>623</v>
      </c>
      <c r="E1859" s="15">
        <v>3</v>
      </c>
    </row>
    <row r="1860" spans="1:5" x14ac:dyDescent="0.4">
      <c r="A1860" s="13" t="s">
        <v>1002</v>
      </c>
      <c r="B1860" s="13" t="s">
        <v>26</v>
      </c>
      <c r="C1860" s="13" t="s">
        <v>30</v>
      </c>
      <c r="D1860" s="14">
        <v>624</v>
      </c>
      <c r="E1860" s="15">
        <v>0</v>
      </c>
    </row>
    <row r="1861" spans="1:5" x14ac:dyDescent="0.4">
      <c r="A1861" s="13" t="s">
        <v>1192</v>
      </c>
      <c r="B1861" s="13" t="s">
        <v>24</v>
      </c>
      <c r="C1861" s="13" t="s">
        <v>21</v>
      </c>
      <c r="D1861" s="14">
        <v>625</v>
      </c>
      <c r="E1861" s="15">
        <v>1</v>
      </c>
    </row>
    <row r="1862" spans="1:5" x14ac:dyDescent="0.4">
      <c r="A1862" s="13" t="s">
        <v>156</v>
      </c>
      <c r="B1862" s="13" t="s">
        <v>26</v>
      </c>
      <c r="C1862" s="13" t="s">
        <v>44</v>
      </c>
      <c r="D1862" s="14">
        <v>626</v>
      </c>
      <c r="E1862" s="15">
        <v>0</v>
      </c>
    </row>
    <row r="1863" spans="1:5" x14ac:dyDescent="0.4">
      <c r="A1863" s="13" t="s">
        <v>1039</v>
      </c>
      <c r="B1863" s="13" t="s">
        <v>20</v>
      </c>
      <c r="C1863" s="13" t="s">
        <v>33</v>
      </c>
      <c r="D1863" s="14">
        <v>626</v>
      </c>
      <c r="E1863" s="15">
        <v>1</v>
      </c>
    </row>
    <row r="1864" spans="1:5" x14ac:dyDescent="0.4">
      <c r="A1864" s="13" t="s">
        <v>1230</v>
      </c>
      <c r="B1864" s="13" t="s">
        <v>20</v>
      </c>
      <c r="C1864" s="13" t="s">
        <v>27</v>
      </c>
      <c r="D1864" s="14">
        <v>627</v>
      </c>
      <c r="E1864" s="15">
        <v>1</v>
      </c>
    </row>
    <row r="1865" spans="1:5" x14ac:dyDescent="0.4">
      <c r="A1865" s="13" t="s">
        <v>1331</v>
      </c>
      <c r="B1865" s="13" t="s">
        <v>24</v>
      </c>
      <c r="C1865" s="13" t="s">
        <v>32</v>
      </c>
      <c r="D1865" s="14">
        <v>627</v>
      </c>
      <c r="E1865" s="15">
        <v>0</v>
      </c>
    </row>
    <row r="1866" spans="1:5" x14ac:dyDescent="0.4">
      <c r="A1866" s="13" t="s">
        <v>1625</v>
      </c>
      <c r="B1866" s="13" t="s">
        <v>26</v>
      </c>
      <c r="C1866" s="13" t="s">
        <v>43</v>
      </c>
      <c r="D1866" s="14">
        <v>627</v>
      </c>
      <c r="E1866" s="15">
        <v>0</v>
      </c>
    </row>
    <row r="1867" spans="1:5" x14ac:dyDescent="0.4">
      <c r="A1867" s="13" t="s">
        <v>1813</v>
      </c>
      <c r="B1867" s="13" t="s">
        <v>24</v>
      </c>
      <c r="C1867" s="13" t="s">
        <v>44</v>
      </c>
      <c r="D1867" s="14">
        <v>627</v>
      </c>
      <c r="E1867" s="15">
        <v>0</v>
      </c>
    </row>
    <row r="1868" spans="1:5" x14ac:dyDescent="0.4">
      <c r="A1868" s="13" t="s">
        <v>1844</v>
      </c>
      <c r="B1868" s="13" t="s">
        <v>20</v>
      </c>
      <c r="C1868" s="13" t="s">
        <v>44</v>
      </c>
      <c r="D1868" s="14">
        <v>627</v>
      </c>
      <c r="E1868" s="15">
        <v>0</v>
      </c>
    </row>
    <row r="1869" spans="1:5" x14ac:dyDescent="0.4">
      <c r="A1869" s="13" t="s">
        <v>523</v>
      </c>
      <c r="B1869" s="13" t="s">
        <v>26</v>
      </c>
      <c r="C1869" s="13" t="s">
        <v>44</v>
      </c>
      <c r="D1869" s="14">
        <v>628</v>
      </c>
      <c r="E1869" s="15">
        <v>5</v>
      </c>
    </row>
    <row r="1870" spans="1:5" x14ac:dyDescent="0.4">
      <c r="A1870" s="13" t="s">
        <v>1309</v>
      </c>
      <c r="B1870" s="13" t="s">
        <v>26</v>
      </c>
      <c r="C1870" s="13" t="s">
        <v>44</v>
      </c>
      <c r="D1870" s="14">
        <v>628</v>
      </c>
      <c r="E1870" s="15">
        <v>0</v>
      </c>
    </row>
    <row r="1871" spans="1:5" x14ac:dyDescent="0.4">
      <c r="A1871" s="13" t="s">
        <v>1603</v>
      </c>
      <c r="B1871" s="13" t="s">
        <v>24</v>
      </c>
      <c r="C1871" s="13" t="s">
        <v>44</v>
      </c>
      <c r="D1871" s="14">
        <v>628</v>
      </c>
      <c r="E1871" s="15">
        <v>0</v>
      </c>
    </row>
    <row r="1872" spans="1:5" x14ac:dyDescent="0.4">
      <c r="A1872" s="13" t="s">
        <v>1950</v>
      </c>
      <c r="B1872" s="13" t="s">
        <v>20</v>
      </c>
      <c r="C1872" s="13" t="s">
        <v>28</v>
      </c>
      <c r="D1872" s="14">
        <v>628</v>
      </c>
      <c r="E1872" s="15">
        <v>1</v>
      </c>
    </row>
    <row r="1873" spans="1:5" x14ac:dyDescent="0.4">
      <c r="A1873" s="13" t="s">
        <v>176</v>
      </c>
      <c r="B1873" s="13" t="s">
        <v>26</v>
      </c>
      <c r="C1873" s="13" t="s">
        <v>33</v>
      </c>
      <c r="D1873" s="14">
        <v>629</v>
      </c>
      <c r="E1873" s="15">
        <v>1</v>
      </c>
    </row>
    <row r="1874" spans="1:5" x14ac:dyDescent="0.4">
      <c r="A1874" s="13" t="s">
        <v>855</v>
      </c>
      <c r="B1874" s="13" t="s">
        <v>26</v>
      </c>
      <c r="C1874" s="13" t="s">
        <v>44</v>
      </c>
      <c r="D1874" s="14">
        <v>629</v>
      </c>
      <c r="E1874" s="15">
        <v>5</v>
      </c>
    </row>
    <row r="1875" spans="1:5" x14ac:dyDescent="0.4">
      <c r="A1875" s="13" t="s">
        <v>1394</v>
      </c>
      <c r="B1875" s="13" t="s">
        <v>24</v>
      </c>
      <c r="C1875" s="13" t="s">
        <v>27</v>
      </c>
      <c r="D1875" s="14">
        <v>629</v>
      </c>
      <c r="E1875" s="15">
        <v>3</v>
      </c>
    </row>
    <row r="1876" spans="1:5" x14ac:dyDescent="0.4">
      <c r="A1876" s="13" t="s">
        <v>585</v>
      </c>
      <c r="B1876" s="13" t="s">
        <v>26</v>
      </c>
      <c r="C1876" s="13" t="s">
        <v>27</v>
      </c>
      <c r="D1876" s="14">
        <v>630</v>
      </c>
      <c r="E1876" s="15">
        <v>0</v>
      </c>
    </row>
    <row r="1877" spans="1:5" x14ac:dyDescent="0.4">
      <c r="A1877" s="13" t="s">
        <v>1167</v>
      </c>
      <c r="B1877" s="13" t="s">
        <v>20</v>
      </c>
      <c r="C1877" s="13" t="s">
        <v>40</v>
      </c>
      <c r="D1877" s="14">
        <v>630</v>
      </c>
      <c r="E1877" s="15">
        <v>0</v>
      </c>
    </row>
    <row r="1878" spans="1:5" x14ac:dyDescent="0.4">
      <c r="A1878" s="13" t="s">
        <v>1740</v>
      </c>
      <c r="B1878" s="13" t="s">
        <v>26</v>
      </c>
      <c r="C1878" s="13" t="s">
        <v>5</v>
      </c>
      <c r="D1878" s="14">
        <v>630</v>
      </c>
      <c r="E1878" s="15">
        <v>1</v>
      </c>
    </row>
    <row r="1879" spans="1:5" x14ac:dyDescent="0.4">
      <c r="A1879" s="13" t="s">
        <v>826</v>
      </c>
      <c r="B1879" s="13" t="s">
        <v>24</v>
      </c>
      <c r="C1879" s="13" t="s">
        <v>44</v>
      </c>
      <c r="D1879" s="14">
        <v>631</v>
      </c>
      <c r="E1879" s="15">
        <v>3</v>
      </c>
    </row>
    <row r="1880" spans="1:5" x14ac:dyDescent="0.4">
      <c r="A1880" s="13" t="s">
        <v>1177</v>
      </c>
      <c r="B1880" s="13" t="s">
        <v>26</v>
      </c>
      <c r="C1880" s="13" t="s">
        <v>30</v>
      </c>
      <c r="D1880" s="14">
        <v>631</v>
      </c>
      <c r="E1880" s="15">
        <v>7</v>
      </c>
    </row>
    <row r="1881" spans="1:5" x14ac:dyDescent="0.4">
      <c r="A1881" s="13" t="s">
        <v>1749</v>
      </c>
      <c r="B1881" s="13" t="s">
        <v>26</v>
      </c>
      <c r="C1881" s="13" t="s">
        <v>111</v>
      </c>
      <c r="D1881" s="14">
        <v>631</v>
      </c>
      <c r="E1881" s="15">
        <v>4</v>
      </c>
    </row>
    <row r="1882" spans="1:5" x14ac:dyDescent="0.4">
      <c r="A1882" s="13" t="s">
        <v>1757</v>
      </c>
      <c r="B1882" s="13" t="s">
        <v>24</v>
      </c>
      <c r="C1882" s="13" t="s">
        <v>27</v>
      </c>
      <c r="D1882" s="14">
        <v>632</v>
      </c>
      <c r="E1882" s="15">
        <v>2</v>
      </c>
    </row>
    <row r="1883" spans="1:5" x14ac:dyDescent="0.4">
      <c r="A1883" s="13" t="s">
        <v>377</v>
      </c>
      <c r="B1883" s="13" t="s">
        <v>24</v>
      </c>
      <c r="C1883" s="13" t="s">
        <v>22</v>
      </c>
      <c r="D1883" s="14">
        <v>633</v>
      </c>
      <c r="E1883" s="15">
        <v>6</v>
      </c>
    </row>
    <row r="1884" spans="1:5" x14ac:dyDescent="0.4">
      <c r="A1884" s="13" t="s">
        <v>767</v>
      </c>
      <c r="B1884" s="13" t="s">
        <v>20</v>
      </c>
      <c r="C1884" s="13" t="s">
        <v>5</v>
      </c>
      <c r="D1884" s="14">
        <v>633</v>
      </c>
      <c r="E1884" s="15">
        <v>1</v>
      </c>
    </row>
    <row r="1885" spans="1:5" x14ac:dyDescent="0.4">
      <c r="A1885" s="13" t="s">
        <v>1050</v>
      </c>
      <c r="B1885" s="13" t="s">
        <v>26</v>
      </c>
      <c r="C1885" s="13" t="s">
        <v>66</v>
      </c>
      <c r="D1885" s="14">
        <v>633</v>
      </c>
      <c r="E1885" s="15">
        <v>1</v>
      </c>
    </row>
    <row r="1886" spans="1:5" x14ac:dyDescent="0.4">
      <c r="A1886" s="13" t="s">
        <v>1210</v>
      </c>
      <c r="B1886" s="13" t="s">
        <v>20</v>
      </c>
      <c r="C1886" s="13" t="s">
        <v>33</v>
      </c>
      <c r="D1886" s="14">
        <v>633</v>
      </c>
      <c r="E1886" s="15">
        <v>1</v>
      </c>
    </row>
    <row r="1887" spans="1:5" x14ac:dyDescent="0.4">
      <c r="A1887" s="13" t="s">
        <v>407</v>
      </c>
      <c r="B1887" s="13" t="s">
        <v>26</v>
      </c>
      <c r="C1887" s="13" t="s">
        <v>53</v>
      </c>
      <c r="D1887" s="14">
        <v>634</v>
      </c>
      <c r="E1887" s="15">
        <v>9</v>
      </c>
    </row>
    <row r="1888" spans="1:5" x14ac:dyDescent="0.4">
      <c r="A1888" s="13" t="s">
        <v>712</v>
      </c>
      <c r="B1888" s="13" t="s">
        <v>20</v>
      </c>
      <c r="C1888" s="13" t="s">
        <v>44</v>
      </c>
      <c r="D1888" s="14">
        <v>634</v>
      </c>
      <c r="E1888" s="15">
        <v>1</v>
      </c>
    </row>
    <row r="1889" spans="1:5" x14ac:dyDescent="0.4">
      <c r="A1889" s="13" t="s">
        <v>964</v>
      </c>
      <c r="B1889" s="13" t="s">
        <v>20</v>
      </c>
      <c r="C1889" s="13" t="s">
        <v>25</v>
      </c>
      <c r="D1889" s="14">
        <v>634</v>
      </c>
      <c r="E1889" s="15">
        <v>0</v>
      </c>
    </row>
    <row r="1890" spans="1:5" x14ac:dyDescent="0.4">
      <c r="A1890" s="13" t="s">
        <v>1633</v>
      </c>
      <c r="B1890" s="13" t="s">
        <v>26</v>
      </c>
      <c r="C1890" s="13" t="s">
        <v>27</v>
      </c>
      <c r="D1890" s="14">
        <v>634</v>
      </c>
      <c r="E1890" s="15">
        <v>2</v>
      </c>
    </row>
    <row r="1891" spans="1:5" x14ac:dyDescent="0.4">
      <c r="A1891" s="13" t="s">
        <v>528</v>
      </c>
      <c r="B1891" s="13" t="s">
        <v>20</v>
      </c>
      <c r="C1891" s="13" t="s">
        <v>22</v>
      </c>
      <c r="D1891" s="14">
        <v>635</v>
      </c>
      <c r="E1891" s="15">
        <v>0</v>
      </c>
    </row>
    <row r="1892" spans="1:5" x14ac:dyDescent="0.4">
      <c r="A1892" s="13" t="s">
        <v>913</v>
      </c>
      <c r="B1892" s="13" t="s">
        <v>20</v>
      </c>
      <c r="C1892" s="13" t="s">
        <v>27</v>
      </c>
      <c r="D1892" s="14">
        <v>635</v>
      </c>
      <c r="E1892" s="15">
        <v>0</v>
      </c>
    </row>
    <row r="1893" spans="1:5" x14ac:dyDescent="0.4">
      <c r="A1893" s="13" t="s">
        <v>1588</v>
      </c>
      <c r="B1893" s="13" t="s">
        <v>24</v>
      </c>
      <c r="C1893" s="13" t="s">
        <v>39</v>
      </c>
      <c r="D1893" s="14">
        <v>635</v>
      </c>
      <c r="E1893" s="15">
        <v>0</v>
      </c>
    </row>
    <row r="1894" spans="1:5" x14ac:dyDescent="0.4">
      <c r="A1894" s="13" t="s">
        <v>366</v>
      </c>
      <c r="B1894" s="13" t="s">
        <v>26</v>
      </c>
      <c r="C1894" s="13" t="s">
        <v>27</v>
      </c>
      <c r="D1894" s="14">
        <v>636</v>
      </c>
      <c r="E1894" s="15">
        <v>0</v>
      </c>
    </row>
    <row r="1895" spans="1:5" x14ac:dyDescent="0.4">
      <c r="A1895" s="13" t="s">
        <v>1755</v>
      </c>
      <c r="B1895" s="13" t="s">
        <v>26</v>
      </c>
      <c r="C1895" s="13" t="s">
        <v>25</v>
      </c>
      <c r="D1895" s="14">
        <v>636</v>
      </c>
      <c r="E1895" s="15">
        <v>0</v>
      </c>
    </row>
    <row r="1896" spans="1:5" x14ac:dyDescent="0.4">
      <c r="A1896" s="13" t="s">
        <v>80</v>
      </c>
      <c r="B1896" s="13" t="s">
        <v>20</v>
      </c>
      <c r="C1896" s="13" t="s">
        <v>43</v>
      </c>
      <c r="D1896" s="14">
        <v>637</v>
      </c>
      <c r="E1896" s="15">
        <v>0</v>
      </c>
    </row>
    <row r="1897" spans="1:5" x14ac:dyDescent="0.4">
      <c r="A1897" s="13" t="s">
        <v>542</v>
      </c>
      <c r="B1897" s="13" t="s">
        <v>24</v>
      </c>
      <c r="C1897" s="13" t="s">
        <v>27</v>
      </c>
      <c r="D1897" s="14">
        <v>637</v>
      </c>
      <c r="E1897" s="15">
        <v>2</v>
      </c>
    </row>
    <row r="1898" spans="1:5" x14ac:dyDescent="0.4">
      <c r="A1898" s="13" t="s">
        <v>560</v>
      </c>
      <c r="B1898" s="13" t="s">
        <v>20</v>
      </c>
      <c r="C1898" s="13" t="s">
        <v>22</v>
      </c>
      <c r="D1898" s="14">
        <v>637</v>
      </c>
      <c r="E1898" s="15">
        <v>4</v>
      </c>
    </row>
    <row r="1899" spans="1:5" x14ac:dyDescent="0.4">
      <c r="A1899" s="13" t="s">
        <v>1196</v>
      </c>
      <c r="B1899" s="13" t="s">
        <v>26</v>
      </c>
      <c r="C1899" s="13" t="s">
        <v>62</v>
      </c>
      <c r="D1899" s="14">
        <v>637</v>
      </c>
      <c r="E1899" s="15">
        <v>2</v>
      </c>
    </row>
    <row r="1900" spans="1:5" x14ac:dyDescent="0.4">
      <c r="A1900" s="13" t="s">
        <v>1947</v>
      </c>
      <c r="B1900" s="13" t="s">
        <v>26</v>
      </c>
      <c r="C1900" s="13" t="s">
        <v>44</v>
      </c>
      <c r="D1900" s="14">
        <v>637</v>
      </c>
      <c r="E1900" s="15">
        <v>2</v>
      </c>
    </row>
    <row r="1901" spans="1:5" x14ac:dyDescent="0.4">
      <c r="A1901" s="13" t="s">
        <v>959</v>
      </c>
      <c r="B1901" s="13" t="s">
        <v>24</v>
      </c>
      <c r="C1901" s="13" t="s">
        <v>27</v>
      </c>
      <c r="D1901" s="14">
        <v>638</v>
      </c>
      <c r="E1901" s="15">
        <v>9</v>
      </c>
    </row>
    <row r="1902" spans="1:5" x14ac:dyDescent="0.4">
      <c r="A1902" s="13" t="s">
        <v>1823</v>
      </c>
      <c r="B1902" s="13" t="s">
        <v>20</v>
      </c>
      <c r="C1902" s="13" t="s">
        <v>27</v>
      </c>
      <c r="D1902" s="14">
        <v>638</v>
      </c>
      <c r="E1902" s="15">
        <v>2</v>
      </c>
    </row>
    <row r="1903" spans="1:5" x14ac:dyDescent="0.4">
      <c r="A1903" s="13" t="s">
        <v>1886</v>
      </c>
      <c r="B1903" s="13" t="s">
        <v>26</v>
      </c>
      <c r="C1903" s="13" t="s">
        <v>44</v>
      </c>
      <c r="D1903" s="14">
        <v>638</v>
      </c>
      <c r="E1903" s="15">
        <v>9</v>
      </c>
    </row>
    <row r="1904" spans="1:5" x14ac:dyDescent="0.4">
      <c r="A1904" s="13" t="s">
        <v>375</v>
      </c>
      <c r="B1904" s="13" t="s">
        <v>24</v>
      </c>
      <c r="C1904" s="13" t="s">
        <v>32</v>
      </c>
      <c r="D1904" s="14">
        <v>639</v>
      </c>
      <c r="E1904" s="15">
        <v>0</v>
      </c>
    </row>
    <row r="1905" spans="1:5" x14ac:dyDescent="0.4">
      <c r="A1905" s="13" t="s">
        <v>1607</v>
      </c>
      <c r="B1905" s="13" t="s">
        <v>20</v>
      </c>
      <c r="C1905" s="13" t="s">
        <v>66</v>
      </c>
      <c r="D1905" s="14">
        <v>639</v>
      </c>
      <c r="E1905" s="15">
        <v>5</v>
      </c>
    </row>
    <row r="1906" spans="1:5" x14ac:dyDescent="0.4">
      <c r="A1906" s="13" t="s">
        <v>611</v>
      </c>
      <c r="B1906" s="13" t="s">
        <v>26</v>
      </c>
      <c r="C1906" s="13" t="s">
        <v>62</v>
      </c>
      <c r="D1906" s="14">
        <v>640</v>
      </c>
      <c r="E1906" s="15">
        <v>1</v>
      </c>
    </row>
    <row r="1907" spans="1:5" x14ac:dyDescent="0.4">
      <c r="A1907" s="13" t="s">
        <v>1808</v>
      </c>
      <c r="B1907" s="13" t="s">
        <v>20</v>
      </c>
      <c r="C1907" s="13" t="s">
        <v>25</v>
      </c>
      <c r="D1907" s="14">
        <v>640</v>
      </c>
      <c r="E1907" s="15">
        <v>4</v>
      </c>
    </row>
    <row r="1908" spans="1:5" x14ac:dyDescent="0.4">
      <c r="A1908" s="13" t="s">
        <v>1855</v>
      </c>
      <c r="B1908" s="13" t="s">
        <v>26</v>
      </c>
      <c r="C1908" s="13" t="s">
        <v>39</v>
      </c>
      <c r="D1908" s="14">
        <v>640</v>
      </c>
      <c r="E1908" s="15">
        <v>0</v>
      </c>
    </row>
    <row r="1909" spans="1:5" x14ac:dyDescent="0.4">
      <c r="A1909" s="13" t="s">
        <v>295</v>
      </c>
      <c r="B1909" s="13" t="s">
        <v>24</v>
      </c>
      <c r="C1909" s="13" t="s">
        <v>53</v>
      </c>
      <c r="D1909" s="14">
        <v>641</v>
      </c>
      <c r="E1909" s="15">
        <v>3</v>
      </c>
    </row>
    <row r="1910" spans="1:5" x14ac:dyDescent="0.4">
      <c r="A1910" s="13" t="s">
        <v>1679</v>
      </c>
      <c r="B1910" s="13" t="s">
        <v>20</v>
      </c>
      <c r="C1910" s="13" t="s">
        <v>44</v>
      </c>
      <c r="D1910" s="14">
        <v>641</v>
      </c>
      <c r="E1910" s="15">
        <v>1</v>
      </c>
    </row>
    <row r="1911" spans="1:5" x14ac:dyDescent="0.4">
      <c r="A1911" s="13" t="s">
        <v>501</v>
      </c>
      <c r="B1911" s="13" t="s">
        <v>24</v>
      </c>
      <c r="C1911" s="13" t="s">
        <v>44</v>
      </c>
      <c r="D1911" s="14">
        <v>642</v>
      </c>
      <c r="E1911" s="15">
        <v>3</v>
      </c>
    </row>
    <row r="1912" spans="1:5" x14ac:dyDescent="0.4">
      <c r="A1912" s="13" t="s">
        <v>1099</v>
      </c>
      <c r="B1912" s="13" t="s">
        <v>20</v>
      </c>
      <c r="C1912" s="13" t="s">
        <v>22</v>
      </c>
      <c r="D1912" s="14">
        <v>642</v>
      </c>
      <c r="E1912" s="15">
        <v>2</v>
      </c>
    </row>
    <row r="1913" spans="1:5" x14ac:dyDescent="0.4">
      <c r="A1913" s="13" t="s">
        <v>1667</v>
      </c>
      <c r="B1913" s="13" t="s">
        <v>26</v>
      </c>
      <c r="C1913" s="13" t="s">
        <v>111</v>
      </c>
      <c r="D1913" s="14">
        <v>642</v>
      </c>
      <c r="E1913" s="15">
        <v>0</v>
      </c>
    </row>
    <row r="1914" spans="1:5" x14ac:dyDescent="0.4">
      <c r="A1914" s="13" t="s">
        <v>246</v>
      </c>
      <c r="B1914" s="13" t="s">
        <v>20</v>
      </c>
      <c r="C1914" s="13" t="s">
        <v>39</v>
      </c>
      <c r="D1914" s="14">
        <v>643</v>
      </c>
      <c r="E1914" s="15">
        <v>0</v>
      </c>
    </row>
    <row r="1915" spans="1:5" x14ac:dyDescent="0.4">
      <c r="A1915" s="13" t="s">
        <v>274</v>
      </c>
      <c r="B1915" s="13" t="s">
        <v>24</v>
      </c>
      <c r="C1915" s="13" t="s">
        <v>32</v>
      </c>
      <c r="D1915" s="14">
        <v>643</v>
      </c>
      <c r="E1915" s="15">
        <v>5</v>
      </c>
    </row>
    <row r="1916" spans="1:5" x14ac:dyDescent="0.4">
      <c r="A1916" s="13" t="s">
        <v>275</v>
      </c>
      <c r="B1916" s="13" t="s">
        <v>20</v>
      </c>
      <c r="C1916" s="13" t="s">
        <v>39</v>
      </c>
      <c r="D1916" s="14">
        <v>643</v>
      </c>
      <c r="E1916" s="15">
        <v>8</v>
      </c>
    </row>
    <row r="1917" spans="1:5" x14ac:dyDescent="0.4">
      <c r="A1917" s="13" t="s">
        <v>534</v>
      </c>
      <c r="B1917" s="13" t="s">
        <v>26</v>
      </c>
      <c r="C1917" s="13" t="s">
        <v>53</v>
      </c>
      <c r="D1917" s="14">
        <v>643</v>
      </c>
      <c r="E1917" s="15">
        <v>7</v>
      </c>
    </row>
    <row r="1918" spans="1:5" x14ac:dyDescent="0.4">
      <c r="A1918" s="13" t="s">
        <v>1766</v>
      </c>
      <c r="B1918" s="13" t="s">
        <v>20</v>
      </c>
      <c r="C1918" s="13" t="s">
        <v>33</v>
      </c>
      <c r="D1918" s="14">
        <v>643</v>
      </c>
      <c r="E1918" s="15">
        <v>1</v>
      </c>
    </row>
    <row r="1919" spans="1:5" x14ac:dyDescent="0.4">
      <c r="A1919" s="13" t="s">
        <v>1914</v>
      </c>
      <c r="B1919" s="13" t="s">
        <v>20</v>
      </c>
      <c r="C1919" s="13" t="s">
        <v>44</v>
      </c>
      <c r="D1919" s="14">
        <v>643</v>
      </c>
      <c r="E1919" s="15">
        <v>0</v>
      </c>
    </row>
    <row r="1920" spans="1:5" x14ac:dyDescent="0.4">
      <c r="A1920" s="13" t="s">
        <v>1108</v>
      </c>
      <c r="B1920" s="13" t="s">
        <v>24</v>
      </c>
      <c r="C1920" s="13" t="s">
        <v>39</v>
      </c>
      <c r="D1920" s="14">
        <v>644</v>
      </c>
      <c r="E1920" s="15">
        <v>1</v>
      </c>
    </row>
    <row r="1921" spans="1:5" x14ac:dyDescent="0.4">
      <c r="A1921" s="13" t="s">
        <v>512</v>
      </c>
      <c r="B1921" s="13" t="s">
        <v>24</v>
      </c>
      <c r="C1921" s="13" t="s">
        <v>27</v>
      </c>
      <c r="D1921" s="14">
        <v>645</v>
      </c>
      <c r="E1921" s="15">
        <v>0</v>
      </c>
    </row>
    <row r="1922" spans="1:5" x14ac:dyDescent="0.4">
      <c r="A1922" s="13" t="s">
        <v>531</v>
      </c>
      <c r="B1922" s="13" t="s">
        <v>26</v>
      </c>
      <c r="C1922" s="13" t="s">
        <v>39</v>
      </c>
      <c r="D1922" s="14">
        <v>645</v>
      </c>
      <c r="E1922" s="15">
        <v>0</v>
      </c>
    </row>
    <row r="1923" spans="1:5" x14ac:dyDescent="0.4">
      <c r="A1923" s="13" t="s">
        <v>801</v>
      </c>
      <c r="B1923" s="13" t="s">
        <v>24</v>
      </c>
      <c r="C1923" s="13" t="s">
        <v>5</v>
      </c>
      <c r="D1923" s="14">
        <v>645</v>
      </c>
      <c r="E1923" s="15">
        <v>0</v>
      </c>
    </row>
    <row r="1924" spans="1:5" x14ac:dyDescent="0.4">
      <c r="A1924" s="13" t="s">
        <v>803</v>
      </c>
      <c r="B1924" s="13" t="s">
        <v>24</v>
      </c>
      <c r="C1924" s="13" t="s">
        <v>111</v>
      </c>
      <c r="D1924" s="14">
        <v>646</v>
      </c>
      <c r="E1924" s="15">
        <v>4</v>
      </c>
    </row>
    <row r="1925" spans="1:5" x14ac:dyDescent="0.4">
      <c r="A1925" s="13" t="s">
        <v>1237</v>
      </c>
      <c r="B1925" s="13" t="s">
        <v>26</v>
      </c>
      <c r="C1925" s="13" t="s">
        <v>22</v>
      </c>
      <c r="D1925" s="14">
        <v>646</v>
      </c>
      <c r="E1925" s="15">
        <v>0</v>
      </c>
    </row>
    <row r="1926" spans="1:5" x14ac:dyDescent="0.4">
      <c r="A1926" s="13" t="s">
        <v>1854</v>
      </c>
      <c r="B1926" s="13" t="s">
        <v>26</v>
      </c>
      <c r="C1926" s="13" t="s">
        <v>66</v>
      </c>
      <c r="D1926" s="14">
        <v>646</v>
      </c>
      <c r="E1926" s="15">
        <v>3</v>
      </c>
    </row>
    <row r="1927" spans="1:5" x14ac:dyDescent="0.4">
      <c r="A1927" s="13" t="s">
        <v>385</v>
      </c>
      <c r="B1927" s="13" t="s">
        <v>24</v>
      </c>
      <c r="C1927" s="13" t="s">
        <v>44</v>
      </c>
      <c r="D1927" s="14">
        <v>647</v>
      </c>
      <c r="E1927" s="15">
        <v>1</v>
      </c>
    </row>
    <row r="1928" spans="1:5" x14ac:dyDescent="0.4">
      <c r="A1928" s="13" t="s">
        <v>1205</v>
      </c>
      <c r="B1928" s="13" t="s">
        <v>24</v>
      </c>
      <c r="C1928" s="13" t="s">
        <v>5</v>
      </c>
      <c r="D1928" s="14">
        <v>647</v>
      </c>
      <c r="E1928" s="15">
        <v>8</v>
      </c>
    </row>
    <row r="1929" spans="1:5" x14ac:dyDescent="0.4">
      <c r="A1929" s="13" t="s">
        <v>1903</v>
      </c>
      <c r="B1929" s="13" t="s">
        <v>24</v>
      </c>
      <c r="C1929" s="13" t="s">
        <v>5</v>
      </c>
      <c r="D1929" s="14">
        <v>647</v>
      </c>
      <c r="E1929" s="15">
        <v>0</v>
      </c>
    </row>
    <row r="1930" spans="1:5" x14ac:dyDescent="0.4">
      <c r="A1930" s="13" t="s">
        <v>1937</v>
      </c>
      <c r="B1930" s="13" t="s">
        <v>26</v>
      </c>
      <c r="C1930" s="13" t="s">
        <v>33</v>
      </c>
      <c r="D1930" s="14">
        <v>647</v>
      </c>
      <c r="E1930" s="15">
        <v>4</v>
      </c>
    </row>
    <row r="1931" spans="1:5" x14ac:dyDescent="0.4">
      <c r="A1931" s="13" t="s">
        <v>946</v>
      </c>
      <c r="B1931" s="13" t="s">
        <v>20</v>
      </c>
      <c r="C1931" s="13" t="s">
        <v>39</v>
      </c>
      <c r="D1931" s="14">
        <v>648</v>
      </c>
      <c r="E1931" s="15">
        <v>5</v>
      </c>
    </row>
    <row r="1932" spans="1:5" x14ac:dyDescent="0.4">
      <c r="A1932" s="13" t="s">
        <v>1024</v>
      </c>
      <c r="B1932" s="13" t="s">
        <v>24</v>
      </c>
      <c r="C1932" s="13" t="s">
        <v>5</v>
      </c>
      <c r="D1932" s="14">
        <v>648</v>
      </c>
      <c r="E1932" s="15">
        <v>0</v>
      </c>
    </row>
    <row r="1933" spans="1:5" x14ac:dyDescent="0.4">
      <c r="A1933" s="13" t="s">
        <v>586</v>
      </c>
      <c r="B1933" s="13" t="s">
        <v>20</v>
      </c>
      <c r="C1933" s="13" t="s">
        <v>27</v>
      </c>
      <c r="D1933" s="14">
        <v>649</v>
      </c>
      <c r="E1933" s="15">
        <v>9</v>
      </c>
    </row>
    <row r="1934" spans="1:5" x14ac:dyDescent="0.4">
      <c r="A1934" s="13" t="s">
        <v>1178</v>
      </c>
      <c r="B1934" s="13" t="s">
        <v>24</v>
      </c>
      <c r="C1934" s="13" t="s">
        <v>30</v>
      </c>
      <c r="D1934" s="14">
        <v>649</v>
      </c>
      <c r="E1934" s="15">
        <v>0</v>
      </c>
    </row>
    <row r="1935" spans="1:5" x14ac:dyDescent="0.4">
      <c r="A1935" s="13" t="s">
        <v>190</v>
      </c>
      <c r="B1935" s="13" t="s">
        <v>26</v>
      </c>
      <c r="C1935" s="13" t="s">
        <v>22</v>
      </c>
      <c r="D1935" s="14">
        <v>650</v>
      </c>
      <c r="E1935" s="15">
        <v>0</v>
      </c>
    </row>
    <row r="1936" spans="1:5" x14ac:dyDescent="0.4">
      <c r="A1936" s="13" t="s">
        <v>974</v>
      </c>
      <c r="B1936" s="13" t="s">
        <v>26</v>
      </c>
      <c r="C1936" s="13" t="s">
        <v>44</v>
      </c>
      <c r="D1936" s="14">
        <v>650</v>
      </c>
      <c r="E1936" s="15">
        <v>4</v>
      </c>
    </row>
    <row r="1937" spans="1:5" x14ac:dyDescent="0.4">
      <c r="A1937" s="13" t="s">
        <v>1738</v>
      </c>
      <c r="B1937" s="13" t="s">
        <v>24</v>
      </c>
      <c r="C1937" s="13" t="s">
        <v>111</v>
      </c>
      <c r="D1937" s="14">
        <v>650</v>
      </c>
      <c r="E1937" s="15">
        <v>1</v>
      </c>
    </row>
    <row r="1938" spans="1:5" x14ac:dyDescent="0.4">
      <c r="A1938" s="13" t="s">
        <v>473</v>
      </c>
      <c r="B1938" s="13" t="s">
        <v>24</v>
      </c>
      <c r="C1938" s="13" t="s">
        <v>30</v>
      </c>
      <c r="D1938" s="14">
        <v>651</v>
      </c>
      <c r="E1938" s="15">
        <v>11</v>
      </c>
    </row>
    <row r="1939" spans="1:5" x14ac:dyDescent="0.4">
      <c r="A1939" s="13" t="s">
        <v>953</v>
      </c>
      <c r="B1939" s="13" t="s">
        <v>24</v>
      </c>
      <c r="C1939" s="13" t="s">
        <v>21</v>
      </c>
      <c r="D1939" s="14">
        <v>651</v>
      </c>
      <c r="E1939" s="15">
        <v>9</v>
      </c>
    </row>
    <row r="1940" spans="1:5" x14ac:dyDescent="0.4">
      <c r="A1940" s="13" t="s">
        <v>1064</v>
      </c>
      <c r="B1940" s="13" t="s">
        <v>26</v>
      </c>
      <c r="C1940" s="13" t="s">
        <v>43</v>
      </c>
      <c r="D1940" s="14">
        <v>651</v>
      </c>
      <c r="E1940" s="15">
        <v>4</v>
      </c>
    </row>
    <row r="1941" spans="1:5" x14ac:dyDescent="0.4">
      <c r="A1941" s="13" t="s">
        <v>46</v>
      </c>
      <c r="B1941" s="13" t="s">
        <v>24</v>
      </c>
      <c r="C1941" s="13" t="s">
        <v>44</v>
      </c>
      <c r="D1941" s="14">
        <v>652</v>
      </c>
      <c r="E1941" s="15">
        <v>1</v>
      </c>
    </row>
    <row r="1942" spans="1:5" x14ac:dyDescent="0.4">
      <c r="A1942" s="13" t="s">
        <v>783</v>
      </c>
      <c r="B1942" s="13" t="s">
        <v>26</v>
      </c>
      <c r="C1942" s="13" t="s">
        <v>111</v>
      </c>
      <c r="D1942" s="14">
        <v>652</v>
      </c>
      <c r="E1942" s="15">
        <v>0</v>
      </c>
    </row>
    <row r="1943" spans="1:5" x14ac:dyDescent="0.4">
      <c r="A1943" s="13" t="s">
        <v>179</v>
      </c>
      <c r="B1943" s="13" t="s">
        <v>26</v>
      </c>
      <c r="C1943" s="13" t="s">
        <v>25</v>
      </c>
      <c r="D1943" s="14">
        <v>653</v>
      </c>
      <c r="E1943" s="15">
        <v>0</v>
      </c>
    </row>
    <row r="1944" spans="1:5" x14ac:dyDescent="0.4">
      <c r="A1944" s="13" t="s">
        <v>642</v>
      </c>
      <c r="B1944" s="13" t="s">
        <v>20</v>
      </c>
      <c r="C1944" s="13" t="s">
        <v>34</v>
      </c>
      <c r="D1944" s="14">
        <v>653</v>
      </c>
      <c r="E1944" s="15">
        <v>1</v>
      </c>
    </row>
    <row r="1945" spans="1:5" x14ac:dyDescent="0.4">
      <c r="A1945" s="13" t="s">
        <v>932</v>
      </c>
      <c r="B1945" s="13" t="s">
        <v>20</v>
      </c>
      <c r="C1945" s="13" t="s">
        <v>33</v>
      </c>
      <c r="D1945" s="14">
        <v>653</v>
      </c>
      <c r="E1945" s="15">
        <v>0</v>
      </c>
    </row>
    <row r="1946" spans="1:5" x14ac:dyDescent="0.4">
      <c r="A1946" s="13" t="s">
        <v>1708</v>
      </c>
      <c r="B1946" s="13" t="s">
        <v>24</v>
      </c>
      <c r="C1946" s="13" t="s">
        <v>44</v>
      </c>
      <c r="D1946" s="14">
        <v>653</v>
      </c>
      <c r="E1946" s="15">
        <v>0</v>
      </c>
    </row>
    <row r="1947" spans="1:5" x14ac:dyDescent="0.4">
      <c r="A1947" s="13" t="s">
        <v>264</v>
      </c>
      <c r="B1947" s="13" t="s">
        <v>26</v>
      </c>
      <c r="C1947" s="13" t="s">
        <v>44</v>
      </c>
      <c r="D1947" s="14">
        <v>654</v>
      </c>
      <c r="E1947" s="15">
        <v>3</v>
      </c>
    </row>
    <row r="1948" spans="1:5" x14ac:dyDescent="0.4">
      <c r="A1948" s="13" t="s">
        <v>292</v>
      </c>
      <c r="B1948" s="13" t="s">
        <v>26</v>
      </c>
      <c r="C1948" s="13" t="s">
        <v>44</v>
      </c>
      <c r="D1948" s="14">
        <v>654</v>
      </c>
      <c r="E1948" s="15">
        <v>0</v>
      </c>
    </row>
    <row r="1949" spans="1:5" x14ac:dyDescent="0.4">
      <c r="A1949" s="13" t="s">
        <v>375</v>
      </c>
      <c r="B1949" s="13" t="s">
        <v>20</v>
      </c>
      <c r="C1949" s="13" t="s">
        <v>39</v>
      </c>
      <c r="D1949" s="14">
        <v>654</v>
      </c>
      <c r="E1949" s="15">
        <v>4</v>
      </c>
    </row>
    <row r="1950" spans="1:5" x14ac:dyDescent="0.4">
      <c r="A1950" s="13" t="s">
        <v>634</v>
      </c>
      <c r="B1950" s="13" t="s">
        <v>20</v>
      </c>
      <c r="C1950" s="13" t="s">
        <v>66</v>
      </c>
      <c r="D1950" s="14">
        <v>654</v>
      </c>
      <c r="E1950" s="15">
        <v>3</v>
      </c>
    </row>
    <row r="1951" spans="1:5" x14ac:dyDescent="0.4">
      <c r="A1951" s="13" t="s">
        <v>1771</v>
      </c>
      <c r="B1951" s="13" t="s">
        <v>24</v>
      </c>
      <c r="C1951" s="13" t="s">
        <v>43</v>
      </c>
      <c r="D1951" s="14">
        <v>654</v>
      </c>
      <c r="E1951" s="15">
        <v>0</v>
      </c>
    </row>
    <row r="1952" spans="1:5" x14ac:dyDescent="0.4">
      <c r="A1952" s="13" t="s">
        <v>1899</v>
      </c>
      <c r="B1952" s="13" t="s">
        <v>24</v>
      </c>
      <c r="C1952" s="13" t="s">
        <v>5</v>
      </c>
      <c r="D1952" s="14">
        <v>654</v>
      </c>
      <c r="E1952" s="15">
        <v>9</v>
      </c>
    </row>
    <row r="1953" spans="1:5" x14ac:dyDescent="0.4">
      <c r="A1953" s="13" t="s">
        <v>193</v>
      </c>
      <c r="B1953" s="13" t="s">
        <v>24</v>
      </c>
      <c r="C1953" s="13" t="s">
        <v>33</v>
      </c>
      <c r="D1953" s="14">
        <v>655</v>
      </c>
      <c r="E1953" s="15">
        <v>4</v>
      </c>
    </row>
    <row r="1954" spans="1:5" x14ac:dyDescent="0.4">
      <c r="A1954" s="13" t="s">
        <v>401</v>
      </c>
      <c r="B1954" s="13" t="s">
        <v>26</v>
      </c>
      <c r="C1954" s="13" t="s">
        <v>30</v>
      </c>
      <c r="D1954" s="14">
        <v>655</v>
      </c>
      <c r="E1954" s="15">
        <v>7</v>
      </c>
    </row>
    <row r="1955" spans="1:5" x14ac:dyDescent="0.4">
      <c r="A1955" s="13" t="s">
        <v>115</v>
      </c>
      <c r="B1955" s="13" t="s">
        <v>24</v>
      </c>
      <c r="C1955" s="13" t="s">
        <v>44</v>
      </c>
      <c r="D1955" s="14">
        <v>656</v>
      </c>
      <c r="E1955" s="15">
        <v>10</v>
      </c>
    </row>
    <row r="1956" spans="1:5" x14ac:dyDescent="0.4">
      <c r="A1956" s="13" t="s">
        <v>1329</v>
      </c>
      <c r="B1956" s="13" t="s">
        <v>24</v>
      </c>
      <c r="C1956" s="13" t="s">
        <v>28</v>
      </c>
      <c r="D1956" s="14">
        <v>656</v>
      </c>
      <c r="E1956" s="15">
        <v>2</v>
      </c>
    </row>
    <row r="1957" spans="1:5" x14ac:dyDescent="0.4">
      <c r="A1957" s="13" t="s">
        <v>1916</v>
      </c>
      <c r="B1957" s="13" t="s">
        <v>20</v>
      </c>
      <c r="C1957" s="13" t="s">
        <v>33</v>
      </c>
      <c r="D1957" s="14">
        <v>656</v>
      </c>
      <c r="E1957" s="15">
        <v>1</v>
      </c>
    </row>
    <row r="1958" spans="1:5" x14ac:dyDescent="0.4">
      <c r="A1958" s="13" t="s">
        <v>1555</v>
      </c>
      <c r="B1958" s="13" t="s">
        <v>26</v>
      </c>
      <c r="C1958" s="13" t="s">
        <v>66</v>
      </c>
      <c r="D1958" s="14">
        <v>657</v>
      </c>
      <c r="E1958" s="15">
        <v>1</v>
      </c>
    </row>
    <row r="1959" spans="1:5" x14ac:dyDescent="0.4">
      <c r="A1959" s="13" t="s">
        <v>367</v>
      </c>
      <c r="B1959" s="13" t="s">
        <v>24</v>
      </c>
      <c r="C1959" s="13" t="s">
        <v>40</v>
      </c>
      <c r="D1959" s="14">
        <v>658</v>
      </c>
      <c r="E1959" s="15">
        <v>3</v>
      </c>
    </row>
    <row r="1960" spans="1:5" x14ac:dyDescent="0.4">
      <c r="A1960" s="13" t="s">
        <v>215</v>
      </c>
      <c r="B1960" s="13" t="s">
        <v>26</v>
      </c>
      <c r="C1960" s="13" t="s">
        <v>25</v>
      </c>
      <c r="D1960" s="14">
        <v>659</v>
      </c>
      <c r="E1960" s="15">
        <v>0</v>
      </c>
    </row>
    <row r="1961" spans="1:5" x14ac:dyDescent="0.4">
      <c r="A1961" s="13" t="s">
        <v>364</v>
      </c>
      <c r="B1961" s="13" t="s">
        <v>24</v>
      </c>
      <c r="C1961" s="13" t="s">
        <v>66</v>
      </c>
      <c r="D1961" s="14">
        <v>659</v>
      </c>
      <c r="E1961" s="15">
        <v>0</v>
      </c>
    </row>
    <row r="1962" spans="1:5" x14ac:dyDescent="0.4">
      <c r="A1962" s="13" t="s">
        <v>480</v>
      </c>
      <c r="B1962" s="13" t="s">
        <v>26</v>
      </c>
      <c r="C1962" s="13" t="s">
        <v>27</v>
      </c>
      <c r="D1962" s="14">
        <v>659</v>
      </c>
      <c r="E1962" s="15">
        <v>0</v>
      </c>
    </row>
    <row r="1963" spans="1:5" x14ac:dyDescent="0.4">
      <c r="A1963" s="13" t="s">
        <v>606</v>
      </c>
      <c r="B1963" s="13" t="s">
        <v>26</v>
      </c>
      <c r="C1963" s="13" t="s">
        <v>62</v>
      </c>
      <c r="D1963" s="14">
        <v>659</v>
      </c>
      <c r="E1963" s="15">
        <v>2</v>
      </c>
    </row>
    <row r="1964" spans="1:5" x14ac:dyDescent="0.4">
      <c r="A1964" s="13" t="s">
        <v>617</v>
      </c>
      <c r="B1964" s="13" t="s">
        <v>26</v>
      </c>
      <c r="C1964" s="13" t="s">
        <v>28</v>
      </c>
      <c r="D1964" s="14">
        <v>659</v>
      </c>
      <c r="E1964" s="15">
        <v>15</v>
      </c>
    </row>
    <row r="1965" spans="1:5" x14ac:dyDescent="0.4">
      <c r="A1965" s="13" t="s">
        <v>757</v>
      </c>
      <c r="B1965" s="13" t="s">
        <v>26</v>
      </c>
      <c r="C1965" s="13" t="s">
        <v>44</v>
      </c>
      <c r="D1965" s="14">
        <v>659</v>
      </c>
      <c r="E1965" s="15">
        <v>0</v>
      </c>
    </row>
    <row r="1966" spans="1:5" x14ac:dyDescent="0.4">
      <c r="A1966" s="13" t="s">
        <v>947</v>
      </c>
      <c r="B1966" s="13" t="s">
        <v>20</v>
      </c>
      <c r="C1966" s="13" t="s">
        <v>111</v>
      </c>
      <c r="D1966" s="14">
        <v>659</v>
      </c>
      <c r="E1966" s="15">
        <v>0</v>
      </c>
    </row>
    <row r="1967" spans="1:5" x14ac:dyDescent="0.4">
      <c r="A1967" s="13" t="s">
        <v>995</v>
      </c>
      <c r="B1967" s="13" t="s">
        <v>24</v>
      </c>
      <c r="C1967" s="13" t="s">
        <v>44</v>
      </c>
      <c r="D1967" s="14">
        <v>659</v>
      </c>
      <c r="E1967" s="15">
        <v>1</v>
      </c>
    </row>
    <row r="1968" spans="1:5" x14ac:dyDescent="0.4">
      <c r="A1968" s="13" t="s">
        <v>1851</v>
      </c>
      <c r="B1968" s="13" t="s">
        <v>20</v>
      </c>
      <c r="C1968" s="13" t="s">
        <v>39</v>
      </c>
      <c r="D1968" s="14">
        <v>659</v>
      </c>
      <c r="E1968" s="15">
        <v>9</v>
      </c>
    </row>
    <row r="1969" spans="1:5" x14ac:dyDescent="0.4">
      <c r="A1969" s="13" t="s">
        <v>109</v>
      </c>
      <c r="B1969" s="13" t="s">
        <v>26</v>
      </c>
      <c r="C1969" s="13" t="s">
        <v>30</v>
      </c>
      <c r="D1969" s="14">
        <v>660</v>
      </c>
      <c r="E1969" s="15">
        <v>3</v>
      </c>
    </row>
    <row r="1970" spans="1:5" x14ac:dyDescent="0.4">
      <c r="A1970" s="13" t="s">
        <v>1182</v>
      </c>
      <c r="B1970" s="13" t="s">
        <v>26</v>
      </c>
      <c r="C1970" s="13" t="s">
        <v>33</v>
      </c>
      <c r="D1970" s="14">
        <v>660</v>
      </c>
      <c r="E1970" s="15">
        <v>4</v>
      </c>
    </row>
    <row r="1971" spans="1:5" x14ac:dyDescent="0.4">
      <c r="A1971" s="13" t="s">
        <v>1952</v>
      </c>
      <c r="B1971" s="13" t="s">
        <v>20</v>
      </c>
      <c r="C1971" s="13" t="s">
        <v>5</v>
      </c>
      <c r="D1971" s="14">
        <v>660</v>
      </c>
      <c r="E1971" s="15">
        <v>1</v>
      </c>
    </row>
    <row r="1972" spans="1:5" x14ac:dyDescent="0.4">
      <c r="A1972" s="13" t="s">
        <v>364</v>
      </c>
      <c r="B1972" s="13" t="s">
        <v>20</v>
      </c>
      <c r="C1972" s="13" t="s">
        <v>32</v>
      </c>
      <c r="D1972" s="14">
        <v>661</v>
      </c>
      <c r="E1972" s="15">
        <v>1</v>
      </c>
    </row>
    <row r="1973" spans="1:5" x14ac:dyDescent="0.4">
      <c r="A1973" s="13" t="s">
        <v>1896</v>
      </c>
      <c r="B1973" s="13" t="s">
        <v>20</v>
      </c>
      <c r="C1973" s="13" t="s">
        <v>34</v>
      </c>
      <c r="D1973" s="14">
        <v>661</v>
      </c>
      <c r="E1973" s="15">
        <v>2</v>
      </c>
    </row>
    <row r="1974" spans="1:5" x14ac:dyDescent="0.4">
      <c r="A1974" s="13" t="s">
        <v>1008</v>
      </c>
      <c r="B1974" s="13" t="s">
        <v>24</v>
      </c>
      <c r="C1974" s="13" t="s">
        <v>39</v>
      </c>
      <c r="D1974" s="14">
        <v>662</v>
      </c>
      <c r="E1974" s="15">
        <v>4</v>
      </c>
    </row>
    <row r="1975" spans="1:5" x14ac:dyDescent="0.4">
      <c r="A1975" s="13" t="s">
        <v>1244</v>
      </c>
      <c r="B1975" s="13" t="s">
        <v>26</v>
      </c>
      <c r="C1975" s="13" t="s">
        <v>25</v>
      </c>
      <c r="D1975" s="14">
        <v>662</v>
      </c>
      <c r="E1975" s="15">
        <v>3</v>
      </c>
    </row>
    <row r="1976" spans="1:5" x14ac:dyDescent="0.4">
      <c r="A1976" s="13" t="s">
        <v>1518</v>
      </c>
      <c r="B1976" s="13" t="s">
        <v>24</v>
      </c>
      <c r="C1976" s="13" t="s">
        <v>22</v>
      </c>
      <c r="D1976" s="14">
        <v>662</v>
      </c>
      <c r="E1976" s="15">
        <v>0</v>
      </c>
    </row>
    <row r="1977" spans="1:5" x14ac:dyDescent="0.4">
      <c r="A1977" s="13" t="s">
        <v>67</v>
      </c>
      <c r="B1977" s="13" t="s">
        <v>26</v>
      </c>
      <c r="C1977" s="13" t="s">
        <v>32</v>
      </c>
      <c r="D1977" s="14">
        <v>663</v>
      </c>
      <c r="E1977" s="15">
        <v>2</v>
      </c>
    </row>
    <row r="1978" spans="1:5" x14ac:dyDescent="0.4">
      <c r="A1978" s="13" t="s">
        <v>1203</v>
      </c>
      <c r="B1978" s="13" t="s">
        <v>20</v>
      </c>
      <c r="C1978" s="13" t="s">
        <v>44</v>
      </c>
      <c r="D1978" s="14">
        <v>663</v>
      </c>
      <c r="E1978" s="15">
        <v>2</v>
      </c>
    </row>
    <row r="1979" spans="1:5" x14ac:dyDescent="0.4">
      <c r="A1979" s="13" t="s">
        <v>238</v>
      </c>
      <c r="B1979" s="13" t="s">
        <v>20</v>
      </c>
      <c r="C1979" s="13" t="s">
        <v>66</v>
      </c>
      <c r="D1979" s="14">
        <v>664</v>
      </c>
      <c r="E1979" s="15">
        <v>1</v>
      </c>
    </row>
    <row r="1980" spans="1:5" x14ac:dyDescent="0.4">
      <c r="A1980" s="13" t="s">
        <v>1711</v>
      </c>
      <c r="B1980" s="13" t="s">
        <v>20</v>
      </c>
      <c r="C1980" s="13" t="s">
        <v>111</v>
      </c>
      <c r="D1980" s="14">
        <v>664</v>
      </c>
      <c r="E1980" s="15">
        <v>3</v>
      </c>
    </row>
    <row r="1981" spans="1:5" x14ac:dyDescent="0.4">
      <c r="A1981" s="13" t="s">
        <v>1785</v>
      </c>
      <c r="B1981" s="13" t="s">
        <v>20</v>
      </c>
      <c r="C1981" s="13" t="s">
        <v>43</v>
      </c>
      <c r="D1981" s="14">
        <v>664</v>
      </c>
      <c r="E1981" s="15">
        <v>1</v>
      </c>
    </row>
    <row r="1982" spans="1:5" x14ac:dyDescent="0.4">
      <c r="A1982" s="13" t="s">
        <v>550</v>
      </c>
      <c r="B1982" s="13" t="s">
        <v>20</v>
      </c>
      <c r="C1982" s="13" t="s">
        <v>33</v>
      </c>
      <c r="D1982" s="14">
        <v>665</v>
      </c>
      <c r="E1982" s="15">
        <v>0</v>
      </c>
    </row>
    <row r="1983" spans="1:5" x14ac:dyDescent="0.4">
      <c r="A1983" s="13" t="s">
        <v>800</v>
      </c>
      <c r="B1983" s="13" t="s">
        <v>26</v>
      </c>
      <c r="C1983" s="13" t="s">
        <v>39</v>
      </c>
      <c r="D1983" s="14">
        <v>665</v>
      </c>
      <c r="E1983" s="15">
        <v>0</v>
      </c>
    </row>
    <row r="1984" spans="1:5" x14ac:dyDescent="0.4">
      <c r="A1984" s="13" t="s">
        <v>1200</v>
      </c>
      <c r="B1984" s="13" t="s">
        <v>24</v>
      </c>
      <c r="C1984" s="13" t="s">
        <v>44</v>
      </c>
      <c r="D1984" s="14">
        <v>665</v>
      </c>
      <c r="E1984" s="15">
        <v>4</v>
      </c>
    </row>
    <row r="1985" spans="1:5" x14ac:dyDescent="0.4">
      <c r="A1985" s="13" t="s">
        <v>1894</v>
      </c>
      <c r="B1985" s="13" t="s">
        <v>26</v>
      </c>
      <c r="C1985" s="13" t="s">
        <v>5</v>
      </c>
      <c r="D1985" s="14">
        <v>665</v>
      </c>
      <c r="E1985" s="15">
        <v>1</v>
      </c>
    </row>
    <row r="1986" spans="1:5" x14ac:dyDescent="0.4">
      <c r="A1986" s="13" t="s">
        <v>1902</v>
      </c>
      <c r="B1986" s="13" t="s">
        <v>20</v>
      </c>
      <c r="C1986" s="13" t="s">
        <v>44</v>
      </c>
      <c r="D1986" s="14">
        <v>665</v>
      </c>
      <c r="E1986" s="15">
        <v>1</v>
      </c>
    </row>
    <row r="1987" spans="1:5" x14ac:dyDescent="0.4">
      <c r="A1987" s="13" t="s">
        <v>492</v>
      </c>
      <c r="B1987" s="13" t="s">
        <v>24</v>
      </c>
      <c r="C1987" s="13" t="s">
        <v>28</v>
      </c>
      <c r="D1987" s="14">
        <v>666</v>
      </c>
      <c r="E1987" s="15">
        <v>1</v>
      </c>
    </row>
    <row r="1988" spans="1:5" x14ac:dyDescent="0.4">
      <c r="A1988" s="13" t="s">
        <v>917</v>
      </c>
      <c r="B1988" s="13" t="s">
        <v>24</v>
      </c>
      <c r="C1988" s="13" t="s">
        <v>44</v>
      </c>
      <c r="D1988" s="14">
        <v>666</v>
      </c>
      <c r="E1988" s="15">
        <v>0</v>
      </c>
    </row>
    <row r="1989" spans="1:5" x14ac:dyDescent="0.4">
      <c r="A1989" s="13" t="s">
        <v>1645</v>
      </c>
      <c r="B1989" s="13" t="s">
        <v>26</v>
      </c>
      <c r="C1989" s="13" t="s">
        <v>44</v>
      </c>
      <c r="D1989" s="14">
        <v>666</v>
      </c>
      <c r="E1989" s="15">
        <v>6</v>
      </c>
    </row>
    <row r="1990" spans="1:5" x14ac:dyDescent="0.4">
      <c r="A1990" s="13" t="s">
        <v>418</v>
      </c>
      <c r="B1990" s="13" t="s">
        <v>26</v>
      </c>
      <c r="C1990" s="13" t="s">
        <v>44</v>
      </c>
      <c r="D1990" s="14">
        <v>667</v>
      </c>
      <c r="E1990" s="15">
        <v>7</v>
      </c>
    </row>
    <row r="1991" spans="1:5" x14ac:dyDescent="0.4">
      <c r="A1991" s="13" t="s">
        <v>1734</v>
      </c>
      <c r="B1991" s="13" t="s">
        <v>24</v>
      </c>
      <c r="C1991" s="13" t="s">
        <v>27</v>
      </c>
      <c r="D1991" s="14">
        <v>667</v>
      </c>
      <c r="E1991" s="15">
        <v>0</v>
      </c>
    </row>
    <row r="1992" spans="1:5" x14ac:dyDescent="0.4">
      <c r="A1992" s="13" t="s">
        <v>200</v>
      </c>
      <c r="B1992" s="13" t="s">
        <v>20</v>
      </c>
      <c r="C1992" s="13" t="s">
        <v>21</v>
      </c>
      <c r="D1992" s="14">
        <v>668</v>
      </c>
      <c r="E1992" s="15">
        <v>1</v>
      </c>
    </row>
    <row r="1993" spans="1:5" x14ac:dyDescent="0.4">
      <c r="A1993" s="13" t="s">
        <v>688</v>
      </c>
      <c r="B1993" s="13" t="s">
        <v>20</v>
      </c>
      <c r="C1993" s="13" t="s">
        <v>5</v>
      </c>
      <c r="D1993" s="14">
        <v>668</v>
      </c>
      <c r="E1993" s="15">
        <v>0</v>
      </c>
    </row>
    <row r="1994" spans="1:5" x14ac:dyDescent="0.4">
      <c r="A1994" s="13" t="s">
        <v>696</v>
      </c>
      <c r="B1994" s="13" t="s">
        <v>26</v>
      </c>
      <c r="C1994" s="13" t="s">
        <v>44</v>
      </c>
      <c r="D1994" s="14">
        <v>668</v>
      </c>
      <c r="E1994" s="15">
        <v>0</v>
      </c>
    </row>
    <row r="1995" spans="1:5" x14ac:dyDescent="0.4">
      <c r="A1995" s="13" t="s">
        <v>429</v>
      </c>
      <c r="B1995" s="13" t="s">
        <v>24</v>
      </c>
      <c r="C1995" s="13" t="s">
        <v>44</v>
      </c>
      <c r="D1995" s="14">
        <v>669</v>
      </c>
      <c r="E1995" s="15">
        <v>5</v>
      </c>
    </row>
    <row r="1996" spans="1:5" x14ac:dyDescent="0.4">
      <c r="A1996" s="13" t="s">
        <v>1800</v>
      </c>
      <c r="B1996" s="13" t="s">
        <v>20</v>
      </c>
      <c r="C1996" s="13" t="s">
        <v>34</v>
      </c>
      <c r="D1996" s="14">
        <v>669</v>
      </c>
      <c r="E1996" s="15">
        <v>0</v>
      </c>
    </row>
    <row r="1997" spans="1:5" x14ac:dyDescent="0.4">
      <c r="A1997" s="13" t="s">
        <v>666</v>
      </c>
      <c r="B1997" s="13" t="s">
        <v>26</v>
      </c>
      <c r="C1997" s="13" t="s">
        <v>44</v>
      </c>
      <c r="D1997" s="14">
        <v>670</v>
      </c>
      <c r="E1997" s="15">
        <v>1</v>
      </c>
    </row>
    <row r="1998" spans="1:5" x14ac:dyDescent="0.4">
      <c r="A1998" s="13" t="s">
        <v>777</v>
      </c>
      <c r="B1998" s="13" t="s">
        <v>24</v>
      </c>
      <c r="C1998" s="13" t="s">
        <v>27</v>
      </c>
      <c r="D1998" s="14">
        <v>670</v>
      </c>
      <c r="E1998" s="15">
        <v>0</v>
      </c>
    </row>
    <row r="1999" spans="1:5" x14ac:dyDescent="0.4">
      <c r="A1999" s="13" t="s">
        <v>822</v>
      </c>
      <c r="B1999" s="13" t="s">
        <v>26</v>
      </c>
      <c r="C1999" s="13" t="s">
        <v>34</v>
      </c>
      <c r="D1999" s="14">
        <v>670</v>
      </c>
      <c r="E1999" s="15">
        <v>1</v>
      </c>
    </row>
    <row r="2000" spans="1:5" x14ac:dyDescent="0.4">
      <c r="A2000" s="13" t="s">
        <v>1963</v>
      </c>
      <c r="B2000" s="13" t="s">
        <v>26</v>
      </c>
      <c r="C2000" s="13" t="s">
        <v>39</v>
      </c>
      <c r="D2000" s="14">
        <v>670</v>
      </c>
      <c r="E2000" s="15">
        <v>2</v>
      </c>
    </row>
    <row r="2001" spans="1:5" x14ac:dyDescent="0.4">
      <c r="A2001" s="13" t="s">
        <v>107</v>
      </c>
      <c r="B2001" s="13" t="s">
        <v>26</v>
      </c>
      <c r="C2001" s="13" t="s">
        <v>34</v>
      </c>
      <c r="D2001" s="14">
        <v>671</v>
      </c>
      <c r="E2001" s="15">
        <v>0</v>
      </c>
    </row>
    <row r="2002" spans="1:5" x14ac:dyDescent="0.4">
      <c r="A2002" s="13" t="s">
        <v>147</v>
      </c>
      <c r="B2002" s="13" t="s">
        <v>26</v>
      </c>
      <c r="C2002" s="13" t="s">
        <v>30</v>
      </c>
      <c r="D2002" s="14">
        <v>671</v>
      </c>
      <c r="E2002" s="15">
        <v>1</v>
      </c>
    </row>
    <row r="2003" spans="1:5" x14ac:dyDescent="0.4">
      <c r="A2003" s="13" t="s">
        <v>770</v>
      </c>
      <c r="B2003" s="13" t="s">
        <v>20</v>
      </c>
      <c r="C2003" s="13" t="s">
        <v>39</v>
      </c>
      <c r="D2003" s="14">
        <v>671</v>
      </c>
      <c r="E2003" s="15">
        <v>0</v>
      </c>
    </row>
    <row r="2004" spans="1:5" x14ac:dyDescent="0.4">
      <c r="A2004" s="13" t="s">
        <v>966</v>
      </c>
      <c r="B2004" s="13" t="s">
        <v>24</v>
      </c>
      <c r="C2004" s="13" t="s">
        <v>62</v>
      </c>
      <c r="D2004" s="14">
        <v>671</v>
      </c>
      <c r="E2004" s="15">
        <v>0</v>
      </c>
    </row>
    <row r="2005" spans="1:5" x14ac:dyDescent="0.4">
      <c r="A2005" s="13" t="s">
        <v>979</v>
      </c>
      <c r="B2005" s="13" t="s">
        <v>24</v>
      </c>
      <c r="C2005" s="13" t="s">
        <v>27</v>
      </c>
      <c r="D2005" s="14">
        <v>671</v>
      </c>
      <c r="E2005" s="15">
        <v>4</v>
      </c>
    </row>
    <row r="2006" spans="1:5" x14ac:dyDescent="0.4">
      <c r="A2006" s="13" t="s">
        <v>1772</v>
      </c>
      <c r="B2006" s="13" t="s">
        <v>24</v>
      </c>
      <c r="C2006" s="13" t="s">
        <v>22</v>
      </c>
      <c r="D2006" s="14">
        <v>671</v>
      </c>
      <c r="E2006" s="15">
        <v>8</v>
      </c>
    </row>
    <row r="2007" spans="1:5" x14ac:dyDescent="0.4">
      <c r="A2007" s="13" t="s">
        <v>1821</v>
      </c>
      <c r="B2007" s="13" t="s">
        <v>26</v>
      </c>
      <c r="C2007" s="13" t="s">
        <v>40</v>
      </c>
      <c r="D2007" s="14">
        <v>671</v>
      </c>
      <c r="E2007" s="15">
        <v>8</v>
      </c>
    </row>
    <row r="2008" spans="1:5" x14ac:dyDescent="0.4">
      <c r="A2008" s="13" t="s">
        <v>251</v>
      </c>
      <c r="B2008" s="13" t="s">
        <v>20</v>
      </c>
      <c r="C2008" s="13" t="s">
        <v>30</v>
      </c>
      <c r="D2008" s="14">
        <v>673</v>
      </c>
      <c r="E2008" s="15">
        <v>2</v>
      </c>
    </row>
    <row r="2009" spans="1:5" x14ac:dyDescent="0.4">
      <c r="A2009" s="13" t="s">
        <v>1528</v>
      </c>
      <c r="B2009" s="13" t="s">
        <v>20</v>
      </c>
      <c r="C2009" s="13" t="s">
        <v>30</v>
      </c>
      <c r="D2009" s="14">
        <v>673</v>
      </c>
      <c r="E2009" s="15">
        <v>0</v>
      </c>
    </row>
    <row r="2010" spans="1:5" x14ac:dyDescent="0.4">
      <c r="A2010" s="13" t="s">
        <v>692</v>
      </c>
      <c r="B2010" s="13" t="s">
        <v>26</v>
      </c>
      <c r="C2010" s="13" t="s">
        <v>44</v>
      </c>
      <c r="D2010" s="14">
        <v>674</v>
      </c>
      <c r="E2010" s="15">
        <v>3</v>
      </c>
    </row>
    <row r="2011" spans="1:5" x14ac:dyDescent="0.4">
      <c r="A2011" s="13" t="s">
        <v>761</v>
      </c>
      <c r="B2011" s="13" t="s">
        <v>26</v>
      </c>
      <c r="C2011" s="13" t="s">
        <v>39</v>
      </c>
      <c r="D2011" s="14">
        <v>674</v>
      </c>
      <c r="E2011" s="15">
        <v>2</v>
      </c>
    </row>
    <row r="2012" spans="1:5" x14ac:dyDescent="0.4">
      <c r="A2012" s="13" t="s">
        <v>1786</v>
      </c>
      <c r="B2012" s="13" t="s">
        <v>26</v>
      </c>
      <c r="C2012" s="13" t="s">
        <v>21</v>
      </c>
      <c r="D2012" s="14">
        <v>674</v>
      </c>
      <c r="E2012" s="15">
        <v>1</v>
      </c>
    </row>
    <row r="2013" spans="1:5" x14ac:dyDescent="0.4">
      <c r="A2013" s="13" t="s">
        <v>500</v>
      </c>
      <c r="B2013" s="13" t="s">
        <v>26</v>
      </c>
      <c r="C2013" s="13" t="s">
        <v>22</v>
      </c>
      <c r="D2013" s="14">
        <v>675</v>
      </c>
      <c r="E2013" s="15">
        <v>7</v>
      </c>
    </row>
    <row r="2014" spans="1:5" x14ac:dyDescent="0.4">
      <c r="A2014" s="13" t="s">
        <v>804</v>
      </c>
      <c r="B2014" s="13" t="s">
        <v>20</v>
      </c>
      <c r="C2014" s="13" t="s">
        <v>44</v>
      </c>
      <c r="D2014" s="14">
        <v>675</v>
      </c>
      <c r="E2014" s="15">
        <v>2</v>
      </c>
    </row>
    <row r="2015" spans="1:5" x14ac:dyDescent="0.4">
      <c r="A2015" s="13" t="s">
        <v>1895</v>
      </c>
      <c r="B2015" s="13" t="s">
        <v>26</v>
      </c>
      <c r="C2015" s="13" t="s">
        <v>39</v>
      </c>
      <c r="D2015" s="14">
        <v>675</v>
      </c>
      <c r="E2015" s="15">
        <v>0</v>
      </c>
    </row>
    <row r="2016" spans="1:5" x14ac:dyDescent="0.4">
      <c r="A2016" s="13" t="s">
        <v>81</v>
      </c>
      <c r="B2016" s="13" t="s">
        <v>24</v>
      </c>
      <c r="C2016" s="13" t="s">
        <v>40</v>
      </c>
      <c r="D2016" s="14">
        <v>676</v>
      </c>
      <c r="E2016" s="15">
        <v>3</v>
      </c>
    </row>
    <row r="2017" spans="1:5" x14ac:dyDescent="0.4">
      <c r="A2017" s="13" t="s">
        <v>1594</v>
      </c>
      <c r="B2017" s="13" t="s">
        <v>20</v>
      </c>
      <c r="C2017" s="13" t="s">
        <v>39</v>
      </c>
      <c r="D2017" s="14">
        <v>676</v>
      </c>
      <c r="E2017" s="15">
        <v>1</v>
      </c>
    </row>
    <row r="2018" spans="1:5" x14ac:dyDescent="0.4">
      <c r="A2018" s="13" t="s">
        <v>606</v>
      </c>
      <c r="B2018" s="13" t="s">
        <v>26</v>
      </c>
      <c r="C2018" s="13" t="s">
        <v>44</v>
      </c>
      <c r="D2018" s="14">
        <v>677</v>
      </c>
      <c r="E2018" s="15">
        <v>0</v>
      </c>
    </row>
    <row r="2019" spans="1:5" x14ac:dyDescent="0.4">
      <c r="A2019" s="13" t="s">
        <v>1390</v>
      </c>
      <c r="B2019" s="13" t="s">
        <v>20</v>
      </c>
      <c r="C2019" s="13" t="s">
        <v>34</v>
      </c>
      <c r="D2019" s="14">
        <v>677</v>
      </c>
      <c r="E2019" s="15">
        <v>5</v>
      </c>
    </row>
    <row r="2020" spans="1:5" x14ac:dyDescent="0.4">
      <c r="A2020" s="13" t="s">
        <v>1966</v>
      </c>
      <c r="B2020" s="13" t="s">
        <v>20</v>
      </c>
      <c r="C2020" s="13" t="s">
        <v>25</v>
      </c>
      <c r="D2020" s="14">
        <v>678</v>
      </c>
      <c r="E2020" s="15">
        <v>0</v>
      </c>
    </row>
    <row r="2021" spans="1:5" x14ac:dyDescent="0.4">
      <c r="A2021" s="13" t="s">
        <v>663</v>
      </c>
      <c r="B2021" s="13" t="s">
        <v>24</v>
      </c>
      <c r="C2021" s="13" t="s">
        <v>40</v>
      </c>
      <c r="D2021" s="14">
        <v>680</v>
      </c>
      <c r="E2021" s="15">
        <v>0</v>
      </c>
    </row>
    <row r="2022" spans="1:5" x14ac:dyDescent="0.4">
      <c r="A2022" s="13" t="s">
        <v>1122</v>
      </c>
      <c r="B2022" s="13" t="s">
        <v>26</v>
      </c>
      <c r="C2022" s="13" t="s">
        <v>33</v>
      </c>
      <c r="D2022" s="14">
        <v>680</v>
      </c>
      <c r="E2022" s="15">
        <v>2</v>
      </c>
    </row>
    <row r="2023" spans="1:5" x14ac:dyDescent="0.4">
      <c r="A2023" s="13" t="s">
        <v>137</v>
      </c>
      <c r="B2023" s="13" t="s">
        <v>24</v>
      </c>
      <c r="C2023" s="13" t="s">
        <v>44</v>
      </c>
      <c r="D2023" s="14">
        <v>681</v>
      </c>
      <c r="E2023" s="15">
        <v>0</v>
      </c>
    </row>
    <row r="2024" spans="1:5" x14ac:dyDescent="0.4">
      <c r="A2024" s="13" t="s">
        <v>320</v>
      </c>
      <c r="B2024" s="13" t="s">
        <v>24</v>
      </c>
      <c r="C2024" s="13" t="s">
        <v>44</v>
      </c>
      <c r="D2024" s="14">
        <v>681</v>
      </c>
      <c r="E2024" s="15">
        <v>0</v>
      </c>
    </row>
    <row r="2025" spans="1:5" x14ac:dyDescent="0.4">
      <c r="A2025" s="13" t="s">
        <v>486</v>
      </c>
      <c r="B2025" s="13" t="s">
        <v>24</v>
      </c>
      <c r="C2025" s="13" t="s">
        <v>44</v>
      </c>
      <c r="D2025" s="14">
        <v>681</v>
      </c>
      <c r="E2025" s="15">
        <v>0</v>
      </c>
    </row>
    <row r="2026" spans="1:5" x14ac:dyDescent="0.4">
      <c r="A2026" s="13" t="s">
        <v>905</v>
      </c>
      <c r="B2026" s="13" t="s">
        <v>20</v>
      </c>
      <c r="C2026" s="13" t="s">
        <v>39</v>
      </c>
      <c r="D2026" s="14">
        <v>681</v>
      </c>
      <c r="E2026" s="15">
        <v>1</v>
      </c>
    </row>
    <row r="2027" spans="1:5" x14ac:dyDescent="0.4">
      <c r="A2027" s="13" t="s">
        <v>1017</v>
      </c>
      <c r="B2027" s="13" t="s">
        <v>26</v>
      </c>
      <c r="C2027" s="13" t="s">
        <v>27</v>
      </c>
      <c r="D2027" s="14">
        <v>681</v>
      </c>
      <c r="E2027" s="15">
        <v>6</v>
      </c>
    </row>
    <row r="2028" spans="1:5" x14ac:dyDescent="0.4">
      <c r="A2028" s="13" t="s">
        <v>1142</v>
      </c>
      <c r="B2028" s="13" t="s">
        <v>24</v>
      </c>
      <c r="C2028" s="13" t="s">
        <v>25</v>
      </c>
      <c r="D2028" s="14">
        <v>681</v>
      </c>
      <c r="E2028" s="15">
        <v>1</v>
      </c>
    </row>
    <row r="2029" spans="1:5" x14ac:dyDescent="0.4">
      <c r="A2029" s="13" t="s">
        <v>1601</v>
      </c>
      <c r="B2029" s="13" t="s">
        <v>20</v>
      </c>
      <c r="C2029" s="13" t="s">
        <v>44</v>
      </c>
      <c r="D2029" s="14">
        <v>681</v>
      </c>
      <c r="E2029" s="15">
        <v>0</v>
      </c>
    </row>
    <row r="2030" spans="1:5" x14ac:dyDescent="0.4">
      <c r="A2030" s="13" t="s">
        <v>1668</v>
      </c>
      <c r="B2030" s="13" t="s">
        <v>20</v>
      </c>
      <c r="C2030" s="13" t="s">
        <v>66</v>
      </c>
      <c r="D2030" s="14">
        <v>681</v>
      </c>
      <c r="E2030" s="15">
        <v>0</v>
      </c>
    </row>
    <row r="2031" spans="1:5" x14ac:dyDescent="0.4">
      <c r="A2031" s="13" t="s">
        <v>1692</v>
      </c>
      <c r="B2031" s="13" t="s">
        <v>24</v>
      </c>
      <c r="C2031" s="13" t="s">
        <v>28</v>
      </c>
      <c r="D2031" s="14">
        <v>681</v>
      </c>
      <c r="E2031" s="15">
        <v>0</v>
      </c>
    </row>
    <row r="2032" spans="1:5" x14ac:dyDescent="0.4">
      <c r="A2032" s="13" t="s">
        <v>1055</v>
      </c>
      <c r="B2032" s="13" t="s">
        <v>26</v>
      </c>
      <c r="C2032" s="13" t="s">
        <v>111</v>
      </c>
      <c r="D2032" s="14">
        <v>682</v>
      </c>
      <c r="E2032" s="15">
        <v>0</v>
      </c>
    </row>
    <row r="2033" spans="1:5" x14ac:dyDescent="0.4">
      <c r="A2033" s="13" t="s">
        <v>1438</v>
      </c>
      <c r="B2033" s="13" t="s">
        <v>24</v>
      </c>
      <c r="C2033" s="13" t="s">
        <v>30</v>
      </c>
      <c r="D2033" s="14">
        <v>682</v>
      </c>
      <c r="E2033" s="15">
        <v>5</v>
      </c>
    </row>
    <row r="2034" spans="1:5" x14ac:dyDescent="0.4">
      <c r="A2034" s="13" t="s">
        <v>322</v>
      </c>
      <c r="B2034" s="13" t="s">
        <v>20</v>
      </c>
      <c r="C2034" s="13" t="s">
        <v>27</v>
      </c>
      <c r="D2034" s="14">
        <v>683</v>
      </c>
      <c r="E2034" s="15">
        <v>3</v>
      </c>
    </row>
    <row r="2035" spans="1:5" x14ac:dyDescent="0.4">
      <c r="A2035" s="13" t="s">
        <v>397</v>
      </c>
      <c r="B2035" s="13" t="s">
        <v>24</v>
      </c>
      <c r="C2035" s="13" t="s">
        <v>27</v>
      </c>
      <c r="D2035" s="14">
        <v>683</v>
      </c>
      <c r="E2035" s="15">
        <v>0</v>
      </c>
    </row>
    <row r="2036" spans="1:5" x14ac:dyDescent="0.4">
      <c r="A2036" s="13" t="s">
        <v>493</v>
      </c>
      <c r="B2036" s="13" t="s">
        <v>20</v>
      </c>
      <c r="C2036" s="13" t="s">
        <v>27</v>
      </c>
      <c r="D2036" s="14">
        <v>683</v>
      </c>
      <c r="E2036" s="15">
        <v>1</v>
      </c>
    </row>
    <row r="2037" spans="1:5" x14ac:dyDescent="0.4">
      <c r="A2037" s="13" t="s">
        <v>1009</v>
      </c>
      <c r="B2037" s="13" t="s">
        <v>24</v>
      </c>
      <c r="C2037" s="13" t="s">
        <v>66</v>
      </c>
      <c r="D2037" s="14">
        <v>683</v>
      </c>
      <c r="E2037" s="15">
        <v>5</v>
      </c>
    </row>
    <row r="2038" spans="1:5" x14ac:dyDescent="0.4">
      <c r="A2038" s="13" t="s">
        <v>252</v>
      </c>
      <c r="B2038" s="13" t="s">
        <v>26</v>
      </c>
      <c r="C2038" s="13" t="s">
        <v>5</v>
      </c>
      <c r="D2038" s="14">
        <v>684</v>
      </c>
      <c r="E2038" s="15">
        <v>0</v>
      </c>
    </row>
    <row r="2039" spans="1:5" x14ac:dyDescent="0.4">
      <c r="A2039" s="13" t="s">
        <v>312</v>
      </c>
      <c r="B2039" s="13" t="s">
        <v>20</v>
      </c>
      <c r="C2039" s="13" t="s">
        <v>111</v>
      </c>
      <c r="D2039" s="14">
        <v>684</v>
      </c>
      <c r="E2039" s="15">
        <v>10</v>
      </c>
    </row>
    <row r="2040" spans="1:5" x14ac:dyDescent="0.4">
      <c r="A2040" s="13" t="s">
        <v>811</v>
      </c>
      <c r="B2040" s="13" t="s">
        <v>24</v>
      </c>
      <c r="C2040" s="13" t="s">
        <v>32</v>
      </c>
      <c r="D2040" s="14">
        <v>684</v>
      </c>
      <c r="E2040" s="15">
        <v>1</v>
      </c>
    </row>
    <row r="2041" spans="1:5" x14ac:dyDescent="0.4">
      <c r="A2041" s="13" t="s">
        <v>927</v>
      </c>
      <c r="B2041" s="13" t="s">
        <v>26</v>
      </c>
      <c r="C2041" s="13" t="s">
        <v>27</v>
      </c>
      <c r="D2041" s="14">
        <v>684</v>
      </c>
      <c r="E2041" s="15">
        <v>12</v>
      </c>
    </row>
    <row r="2042" spans="1:5" x14ac:dyDescent="0.4">
      <c r="A2042" s="13" t="s">
        <v>980</v>
      </c>
      <c r="B2042" s="13" t="s">
        <v>26</v>
      </c>
      <c r="C2042" s="13" t="s">
        <v>5</v>
      </c>
      <c r="D2042" s="14">
        <v>684</v>
      </c>
      <c r="E2042" s="15">
        <v>0</v>
      </c>
    </row>
    <row r="2043" spans="1:5" x14ac:dyDescent="0.4">
      <c r="A2043" s="13" t="s">
        <v>85</v>
      </c>
      <c r="B2043" s="13" t="s">
        <v>26</v>
      </c>
      <c r="C2043" s="13" t="s">
        <v>43</v>
      </c>
      <c r="D2043" s="14">
        <v>685</v>
      </c>
      <c r="E2043" s="15">
        <v>1</v>
      </c>
    </row>
    <row r="2044" spans="1:5" x14ac:dyDescent="0.4">
      <c r="A2044" s="13" t="s">
        <v>325</v>
      </c>
      <c r="B2044" s="13" t="s">
        <v>24</v>
      </c>
      <c r="C2044" s="13" t="s">
        <v>44</v>
      </c>
      <c r="D2044" s="14">
        <v>685</v>
      </c>
      <c r="E2044" s="15">
        <v>0</v>
      </c>
    </row>
    <row r="2045" spans="1:5" x14ac:dyDescent="0.4">
      <c r="A2045" s="13" t="s">
        <v>1314</v>
      </c>
      <c r="B2045" s="13" t="s">
        <v>20</v>
      </c>
      <c r="C2045" s="13" t="s">
        <v>40</v>
      </c>
      <c r="D2045" s="14">
        <v>685</v>
      </c>
      <c r="E2045" s="15">
        <v>0</v>
      </c>
    </row>
    <row r="2046" spans="1:5" x14ac:dyDescent="0.4">
      <c r="A2046" s="13" t="s">
        <v>1656</v>
      </c>
      <c r="B2046" s="13" t="s">
        <v>26</v>
      </c>
      <c r="C2046" s="13" t="s">
        <v>39</v>
      </c>
      <c r="D2046" s="14">
        <v>685</v>
      </c>
      <c r="E2046" s="15">
        <v>0</v>
      </c>
    </row>
    <row r="2047" spans="1:5" x14ac:dyDescent="0.4">
      <c r="A2047" s="13" t="s">
        <v>1658</v>
      </c>
      <c r="B2047" s="13" t="s">
        <v>24</v>
      </c>
      <c r="C2047" s="13" t="s">
        <v>43</v>
      </c>
      <c r="D2047" s="14">
        <v>685</v>
      </c>
      <c r="E2047" s="15">
        <v>0</v>
      </c>
    </row>
    <row r="2048" spans="1:5" x14ac:dyDescent="0.4">
      <c r="A2048" s="13" t="s">
        <v>1903</v>
      </c>
      <c r="B2048" s="13" t="s">
        <v>20</v>
      </c>
      <c r="C2048" s="13" t="s">
        <v>21</v>
      </c>
      <c r="D2048" s="14">
        <v>685</v>
      </c>
      <c r="E2048" s="15">
        <v>0</v>
      </c>
    </row>
    <row r="2049" spans="1:5" x14ac:dyDescent="0.4">
      <c r="A2049" s="13" t="s">
        <v>294</v>
      </c>
      <c r="B2049" s="13" t="s">
        <v>20</v>
      </c>
      <c r="C2049" s="13" t="s">
        <v>44</v>
      </c>
      <c r="D2049" s="14">
        <v>686</v>
      </c>
      <c r="E2049" s="15">
        <v>0</v>
      </c>
    </row>
    <row r="2050" spans="1:5" x14ac:dyDescent="0.4">
      <c r="A2050" s="13" t="s">
        <v>1577</v>
      </c>
      <c r="B2050" s="13" t="s">
        <v>26</v>
      </c>
      <c r="C2050" s="13" t="s">
        <v>5</v>
      </c>
      <c r="D2050" s="14">
        <v>686</v>
      </c>
      <c r="E2050" s="15">
        <v>0</v>
      </c>
    </row>
    <row r="2051" spans="1:5" x14ac:dyDescent="0.4">
      <c r="A2051" s="13" t="s">
        <v>170</v>
      </c>
      <c r="B2051" s="13" t="s">
        <v>20</v>
      </c>
      <c r="C2051" s="13" t="s">
        <v>34</v>
      </c>
      <c r="D2051" s="14">
        <v>687</v>
      </c>
      <c r="E2051" s="15">
        <v>7</v>
      </c>
    </row>
    <row r="2052" spans="1:5" x14ac:dyDescent="0.4">
      <c r="A2052" s="13" t="s">
        <v>360</v>
      </c>
      <c r="B2052" s="13" t="s">
        <v>24</v>
      </c>
      <c r="C2052" s="13" t="s">
        <v>44</v>
      </c>
      <c r="D2052" s="14">
        <v>687</v>
      </c>
      <c r="E2052" s="15">
        <v>2</v>
      </c>
    </row>
    <row r="2053" spans="1:5" x14ac:dyDescent="0.4">
      <c r="A2053" s="13" t="s">
        <v>1016</v>
      </c>
      <c r="B2053" s="13" t="s">
        <v>24</v>
      </c>
      <c r="C2053" s="13" t="s">
        <v>33</v>
      </c>
      <c r="D2053" s="14">
        <v>687</v>
      </c>
      <c r="E2053" s="15">
        <v>0</v>
      </c>
    </row>
    <row r="2054" spans="1:5" x14ac:dyDescent="0.4">
      <c r="A2054" s="13" t="s">
        <v>1124</v>
      </c>
      <c r="B2054" s="13" t="s">
        <v>24</v>
      </c>
      <c r="C2054" s="13" t="s">
        <v>39</v>
      </c>
      <c r="D2054" s="14">
        <v>687</v>
      </c>
      <c r="E2054" s="15">
        <v>3</v>
      </c>
    </row>
    <row r="2055" spans="1:5" x14ac:dyDescent="0.4">
      <c r="A2055" s="13" t="s">
        <v>1233</v>
      </c>
      <c r="B2055" s="13" t="s">
        <v>26</v>
      </c>
      <c r="C2055" s="13" t="s">
        <v>43</v>
      </c>
      <c r="D2055" s="14">
        <v>687</v>
      </c>
      <c r="E2055" s="15">
        <v>13</v>
      </c>
    </row>
    <row r="2056" spans="1:5" x14ac:dyDescent="0.4">
      <c r="A2056" s="13" t="s">
        <v>645</v>
      </c>
      <c r="B2056" s="13" t="s">
        <v>20</v>
      </c>
      <c r="C2056" s="13" t="s">
        <v>5</v>
      </c>
      <c r="D2056" s="14">
        <v>688</v>
      </c>
      <c r="E2056" s="15">
        <v>7</v>
      </c>
    </row>
    <row r="2057" spans="1:5" x14ac:dyDescent="0.4">
      <c r="A2057" s="13" t="s">
        <v>646</v>
      </c>
      <c r="B2057" s="13" t="s">
        <v>24</v>
      </c>
      <c r="C2057" s="13" t="s">
        <v>39</v>
      </c>
      <c r="D2057" s="14">
        <v>688</v>
      </c>
      <c r="E2057" s="15">
        <v>0</v>
      </c>
    </row>
    <row r="2058" spans="1:5" x14ac:dyDescent="0.4">
      <c r="A2058" s="13" t="s">
        <v>1358</v>
      </c>
      <c r="B2058" s="13" t="s">
        <v>20</v>
      </c>
      <c r="C2058" s="13" t="s">
        <v>27</v>
      </c>
      <c r="D2058" s="14">
        <v>688</v>
      </c>
      <c r="E2058" s="15">
        <v>3</v>
      </c>
    </row>
    <row r="2059" spans="1:5" x14ac:dyDescent="0.4">
      <c r="A2059" s="13" t="s">
        <v>1409</v>
      </c>
      <c r="B2059" s="13" t="s">
        <v>24</v>
      </c>
      <c r="C2059" s="13" t="s">
        <v>39</v>
      </c>
      <c r="D2059" s="14">
        <v>688</v>
      </c>
      <c r="E2059" s="15">
        <v>0</v>
      </c>
    </row>
    <row r="2060" spans="1:5" x14ac:dyDescent="0.4">
      <c r="A2060" s="13" t="s">
        <v>51</v>
      </c>
      <c r="B2060" s="13" t="s">
        <v>20</v>
      </c>
      <c r="C2060" s="13" t="s">
        <v>25</v>
      </c>
      <c r="D2060" s="14">
        <v>689</v>
      </c>
      <c r="E2060" s="15">
        <v>0</v>
      </c>
    </row>
    <row r="2061" spans="1:5" x14ac:dyDescent="0.4">
      <c r="A2061" s="13" t="s">
        <v>551</v>
      </c>
      <c r="B2061" s="13" t="s">
        <v>26</v>
      </c>
      <c r="C2061" s="13" t="s">
        <v>44</v>
      </c>
      <c r="D2061" s="14">
        <v>689</v>
      </c>
      <c r="E2061" s="15">
        <v>0</v>
      </c>
    </row>
    <row r="2062" spans="1:5" x14ac:dyDescent="0.4">
      <c r="A2062" s="13" t="s">
        <v>799</v>
      </c>
      <c r="B2062" s="13" t="s">
        <v>26</v>
      </c>
      <c r="C2062" s="13" t="s">
        <v>39</v>
      </c>
      <c r="D2062" s="14">
        <v>689</v>
      </c>
      <c r="E2062" s="15">
        <v>15</v>
      </c>
    </row>
    <row r="2063" spans="1:5" x14ac:dyDescent="0.4">
      <c r="A2063" s="13" t="s">
        <v>161</v>
      </c>
      <c r="B2063" s="13" t="s">
        <v>20</v>
      </c>
      <c r="C2063" s="13" t="s">
        <v>27</v>
      </c>
      <c r="D2063" s="14">
        <v>690</v>
      </c>
      <c r="E2063" s="15">
        <v>0</v>
      </c>
    </row>
    <row r="2064" spans="1:5" x14ac:dyDescent="0.4">
      <c r="A2064" s="13" t="s">
        <v>234</v>
      </c>
      <c r="B2064" s="13" t="s">
        <v>26</v>
      </c>
      <c r="C2064" s="13" t="s">
        <v>44</v>
      </c>
      <c r="D2064" s="14">
        <v>690</v>
      </c>
      <c r="E2064" s="15">
        <v>9</v>
      </c>
    </row>
    <row r="2065" spans="1:5" x14ac:dyDescent="0.4">
      <c r="A2065" s="13" t="s">
        <v>292</v>
      </c>
      <c r="B2065" s="13" t="s">
        <v>20</v>
      </c>
      <c r="C2065" s="13" t="s">
        <v>43</v>
      </c>
      <c r="D2065" s="14">
        <v>690</v>
      </c>
      <c r="E2065" s="15">
        <v>0</v>
      </c>
    </row>
    <row r="2066" spans="1:5" x14ac:dyDescent="0.4">
      <c r="A2066" s="13" t="s">
        <v>299</v>
      </c>
      <c r="B2066" s="13" t="s">
        <v>26</v>
      </c>
      <c r="C2066" s="13" t="s">
        <v>62</v>
      </c>
      <c r="D2066" s="14">
        <v>691</v>
      </c>
      <c r="E2066" s="15">
        <v>0</v>
      </c>
    </row>
    <row r="2067" spans="1:5" x14ac:dyDescent="0.4">
      <c r="A2067" s="13" t="s">
        <v>668</v>
      </c>
      <c r="B2067" s="13" t="s">
        <v>26</v>
      </c>
      <c r="C2067" s="13" t="s">
        <v>21</v>
      </c>
      <c r="D2067" s="14">
        <v>691</v>
      </c>
      <c r="E2067" s="15">
        <v>2</v>
      </c>
    </row>
    <row r="2068" spans="1:5" x14ac:dyDescent="0.4">
      <c r="A2068" s="13" t="s">
        <v>1273</v>
      </c>
      <c r="B2068" s="13" t="s">
        <v>20</v>
      </c>
      <c r="C2068" s="13" t="s">
        <v>44</v>
      </c>
      <c r="D2068" s="14">
        <v>691</v>
      </c>
      <c r="E2068" s="15">
        <v>10</v>
      </c>
    </row>
    <row r="2069" spans="1:5" x14ac:dyDescent="0.4">
      <c r="A2069" s="13" t="s">
        <v>1419</v>
      </c>
      <c r="B2069" s="13" t="s">
        <v>24</v>
      </c>
      <c r="C2069" s="13" t="s">
        <v>5</v>
      </c>
      <c r="D2069" s="14">
        <v>691</v>
      </c>
      <c r="E2069" s="15">
        <v>0</v>
      </c>
    </row>
    <row r="2070" spans="1:5" x14ac:dyDescent="0.4">
      <c r="A2070" s="13" t="s">
        <v>455</v>
      </c>
      <c r="B2070" s="13" t="s">
        <v>20</v>
      </c>
      <c r="C2070" s="13" t="s">
        <v>44</v>
      </c>
      <c r="D2070" s="14">
        <v>692</v>
      </c>
      <c r="E2070" s="15">
        <v>0</v>
      </c>
    </row>
    <row r="2071" spans="1:5" x14ac:dyDescent="0.4">
      <c r="A2071" s="13" t="s">
        <v>1495</v>
      </c>
      <c r="B2071" s="13" t="s">
        <v>26</v>
      </c>
      <c r="C2071" s="13" t="s">
        <v>30</v>
      </c>
      <c r="D2071" s="14">
        <v>692</v>
      </c>
      <c r="E2071" s="15">
        <v>0</v>
      </c>
    </row>
    <row r="2072" spans="1:5" x14ac:dyDescent="0.4">
      <c r="A2072" s="13" t="s">
        <v>1509</v>
      </c>
      <c r="B2072" s="13" t="s">
        <v>20</v>
      </c>
      <c r="C2072" s="13" t="s">
        <v>66</v>
      </c>
      <c r="D2072" s="14">
        <v>692</v>
      </c>
      <c r="E2072" s="15">
        <v>4</v>
      </c>
    </row>
    <row r="2073" spans="1:5" x14ac:dyDescent="0.4">
      <c r="A2073" s="13" t="s">
        <v>1587</v>
      </c>
      <c r="B2073" s="13" t="s">
        <v>26</v>
      </c>
      <c r="C2073" s="13" t="s">
        <v>34</v>
      </c>
      <c r="D2073" s="14">
        <v>692</v>
      </c>
      <c r="E2073" s="15">
        <v>0</v>
      </c>
    </row>
    <row r="2074" spans="1:5" x14ac:dyDescent="0.4">
      <c r="A2074" s="13" t="s">
        <v>1597</v>
      </c>
      <c r="B2074" s="13" t="s">
        <v>24</v>
      </c>
      <c r="C2074" s="13" t="s">
        <v>33</v>
      </c>
      <c r="D2074" s="14">
        <v>692</v>
      </c>
      <c r="E2074" s="15">
        <v>1</v>
      </c>
    </row>
    <row r="2075" spans="1:5" x14ac:dyDescent="0.4">
      <c r="A2075" s="13" t="s">
        <v>493</v>
      </c>
      <c r="B2075" s="13" t="s">
        <v>26</v>
      </c>
      <c r="C2075" s="13" t="s">
        <v>32</v>
      </c>
      <c r="D2075" s="14">
        <v>693</v>
      </c>
      <c r="E2075" s="15">
        <v>1</v>
      </c>
    </row>
    <row r="2076" spans="1:5" x14ac:dyDescent="0.4">
      <c r="A2076" s="13" t="s">
        <v>549</v>
      </c>
      <c r="B2076" s="13" t="s">
        <v>20</v>
      </c>
      <c r="C2076" s="13" t="s">
        <v>33</v>
      </c>
      <c r="D2076" s="14">
        <v>693</v>
      </c>
      <c r="E2076" s="15">
        <v>6</v>
      </c>
    </row>
    <row r="2077" spans="1:5" x14ac:dyDescent="0.4">
      <c r="A2077" s="13" t="s">
        <v>763</v>
      </c>
      <c r="B2077" s="13" t="s">
        <v>26</v>
      </c>
      <c r="C2077" s="13" t="s">
        <v>28</v>
      </c>
      <c r="D2077" s="14">
        <v>693</v>
      </c>
      <c r="E2077" s="15">
        <v>7</v>
      </c>
    </row>
    <row r="2078" spans="1:5" x14ac:dyDescent="0.4">
      <c r="A2078" s="13" t="s">
        <v>1216</v>
      </c>
      <c r="B2078" s="13" t="s">
        <v>20</v>
      </c>
      <c r="C2078" s="13" t="s">
        <v>39</v>
      </c>
      <c r="D2078" s="14">
        <v>693</v>
      </c>
      <c r="E2078" s="15">
        <v>2</v>
      </c>
    </row>
    <row r="2079" spans="1:5" x14ac:dyDescent="0.4">
      <c r="A2079" s="13" t="s">
        <v>1742</v>
      </c>
      <c r="B2079" s="13" t="s">
        <v>20</v>
      </c>
      <c r="C2079" s="13" t="s">
        <v>25</v>
      </c>
      <c r="D2079" s="14">
        <v>693</v>
      </c>
      <c r="E2079" s="15">
        <v>0</v>
      </c>
    </row>
    <row r="2080" spans="1:5" x14ac:dyDescent="0.4">
      <c r="A2080" s="13" t="s">
        <v>274</v>
      </c>
      <c r="B2080" s="13" t="s">
        <v>26</v>
      </c>
      <c r="C2080" s="13" t="s">
        <v>28</v>
      </c>
      <c r="D2080" s="14">
        <v>694</v>
      </c>
      <c r="E2080" s="15">
        <v>0</v>
      </c>
    </row>
    <row r="2081" spans="1:5" x14ac:dyDescent="0.4">
      <c r="A2081" s="13" t="s">
        <v>827</v>
      </c>
      <c r="B2081" s="13" t="s">
        <v>20</v>
      </c>
      <c r="C2081" s="13" t="s">
        <v>44</v>
      </c>
      <c r="D2081" s="14">
        <v>694</v>
      </c>
      <c r="E2081" s="15">
        <v>2</v>
      </c>
    </row>
    <row r="2082" spans="1:5" x14ac:dyDescent="0.4">
      <c r="A2082" s="13" t="s">
        <v>1416</v>
      </c>
      <c r="B2082" s="13" t="s">
        <v>20</v>
      </c>
      <c r="C2082" s="13" t="s">
        <v>27</v>
      </c>
      <c r="D2082" s="14">
        <v>694</v>
      </c>
      <c r="E2082" s="15">
        <v>1</v>
      </c>
    </row>
    <row r="2083" spans="1:5" x14ac:dyDescent="0.4">
      <c r="A2083" s="13" t="s">
        <v>1670</v>
      </c>
      <c r="B2083" s="13" t="s">
        <v>26</v>
      </c>
      <c r="C2083" s="13" t="s">
        <v>44</v>
      </c>
      <c r="D2083" s="14">
        <v>694</v>
      </c>
      <c r="E2083" s="15">
        <v>3</v>
      </c>
    </row>
    <row r="2084" spans="1:5" x14ac:dyDescent="0.4">
      <c r="A2084" s="13" t="s">
        <v>1754</v>
      </c>
      <c r="B2084" s="13" t="s">
        <v>20</v>
      </c>
      <c r="C2084" s="13" t="s">
        <v>5</v>
      </c>
      <c r="D2084" s="14">
        <v>695</v>
      </c>
      <c r="E2084" s="15">
        <v>5</v>
      </c>
    </row>
    <row r="2085" spans="1:5" x14ac:dyDescent="0.4">
      <c r="A2085" s="13" t="s">
        <v>1962</v>
      </c>
      <c r="B2085" s="13" t="s">
        <v>26</v>
      </c>
      <c r="C2085" s="13" t="s">
        <v>40</v>
      </c>
      <c r="D2085" s="14">
        <v>695</v>
      </c>
      <c r="E2085" s="15">
        <v>0</v>
      </c>
    </row>
    <row r="2086" spans="1:5" x14ac:dyDescent="0.4">
      <c r="A2086" s="13" t="s">
        <v>453</v>
      </c>
      <c r="B2086" s="13" t="s">
        <v>26</v>
      </c>
      <c r="C2086" s="13" t="s">
        <v>44</v>
      </c>
      <c r="D2086" s="14">
        <v>696</v>
      </c>
      <c r="E2086" s="15">
        <v>4</v>
      </c>
    </row>
    <row r="2087" spans="1:5" x14ac:dyDescent="0.4">
      <c r="A2087" s="13" t="s">
        <v>209</v>
      </c>
      <c r="B2087" s="13" t="s">
        <v>20</v>
      </c>
      <c r="C2087" s="13" t="s">
        <v>25</v>
      </c>
      <c r="D2087" s="14">
        <v>697</v>
      </c>
      <c r="E2087" s="15">
        <v>0</v>
      </c>
    </row>
    <row r="2088" spans="1:5" x14ac:dyDescent="0.4">
      <c r="A2088" s="13" t="s">
        <v>641</v>
      </c>
      <c r="B2088" s="13" t="s">
        <v>26</v>
      </c>
      <c r="C2088" s="13" t="s">
        <v>5</v>
      </c>
      <c r="D2088" s="14">
        <v>697</v>
      </c>
      <c r="E2088" s="15">
        <v>5</v>
      </c>
    </row>
    <row r="2089" spans="1:5" x14ac:dyDescent="0.4">
      <c r="A2089" s="13" t="s">
        <v>1576</v>
      </c>
      <c r="B2089" s="13" t="s">
        <v>24</v>
      </c>
      <c r="C2089" s="13" t="s">
        <v>34</v>
      </c>
      <c r="D2089" s="14">
        <v>697</v>
      </c>
      <c r="E2089" s="15">
        <v>5</v>
      </c>
    </row>
    <row r="2090" spans="1:5" x14ac:dyDescent="0.4">
      <c r="A2090" s="13" t="s">
        <v>1901</v>
      </c>
      <c r="B2090" s="13" t="s">
        <v>20</v>
      </c>
      <c r="C2090" s="13" t="s">
        <v>44</v>
      </c>
      <c r="D2090" s="14">
        <v>697</v>
      </c>
      <c r="E2090" s="15">
        <v>0</v>
      </c>
    </row>
    <row r="2091" spans="1:5" x14ac:dyDescent="0.4">
      <c r="A2091" s="13" t="s">
        <v>290</v>
      </c>
      <c r="B2091" s="13" t="s">
        <v>26</v>
      </c>
      <c r="C2091" s="13" t="s">
        <v>62</v>
      </c>
      <c r="D2091" s="14">
        <v>698</v>
      </c>
      <c r="E2091" s="15">
        <v>5</v>
      </c>
    </row>
    <row r="2092" spans="1:5" x14ac:dyDescent="0.4">
      <c r="A2092" s="13" t="s">
        <v>668</v>
      </c>
      <c r="B2092" s="13" t="s">
        <v>24</v>
      </c>
      <c r="C2092" s="13" t="s">
        <v>39</v>
      </c>
      <c r="D2092" s="14">
        <v>698</v>
      </c>
      <c r="E2092" s="15">
        <v>0</v>
      </c>
    </row>
    <row r="2093" spans="1:5" x14ac:dyDescent="0.4">
      <c r="A2093" s="13" t="s">
        <v>969</v>
      </c>
      <c r="B2093" s="13" t="s">
        <v>26</v>
      </c>
      <c r="C2093" s="13" t="s">
        <v>44</v>
      </c>
      <c r="D2093" s="14">
        <v>698</v>
      </c>
      <c r="E2093" s="15">
        <v>0</v>
      </c>
    </row>
    <row r="2094" spans="1:5" x14ac:dyDescent="0.4">
      <c r="A2094" s="13" t="s">
        <v>1416</v>
      </c>
      <c r="B2094" s="13" t="s">
        <v>24</v>
      </c>
      <c r="C2094" s="13" t="s">
        <v>22</v>
      </c>
      <c r="D2094" s="14">
        <v>698</v>
      </c>
      <c r="E2094" s="15">
        <v>1</v>
      </c>
    </row>
    <row r="2095" spans="1:5" x14ac:dyDescent="0.4">
      <c r="A2095" s="13" t="s">
        <v>709</v>
      </c>
      <c r="B2095" s="13" t="s">
        <v>26</v>
      </c>
      <c r="C2095" s="13" t="s">
        <v>39</v>
      </c>
      <c r="D2095" s="14">
        <v>699</v>
      </c>
      <c r="E2095" s="15">
        <v>0</v>
      </c>
    </row>
    <row r="2096" spans="1:5" x14ac:dyDescent="0.4">
      <c r="A2096" s="13" t="s">
        <v>1125</v>
      </c>
      <c r="B2096" s="13" t="s">
        <v>20</v>
      </c>
      <c r="C2096" s="13" t="s">
        <v>27</v>
      </c>
      <c r="D2096" s="14">
        <v>699</v>
      </c>
      <c r="E2096" s="15">
        <v>2</v>
      </c>
    </row>
    <row r="2097" spans="1:5" x14ac:dyDescent="0.4">
      <c r="A2097" s="13" t="s">
        <v>1147</v>
      </c>
      <c r="B2097" s="13" t="s">
        <v>24</v>
      </c>
      <c r="C2097" s="13" t="s">
        <v>32</v>
      </c>
      <c r="D2097" s="14">
        <v>699</v>
      </c>
      <c r="E2097" s="15">
        <v>0</v>
      </c>
    </row>
    <row r="2098" spans="1:5" x14ac:dyDescent="0.4">
      <c r="A2098" s="13" t="s">
        <v>140</v>
      </c>
      <c r="B2098" s="13" t="s">
        <v>26</v>
      </c>
      <c r="C2098" s="13" t="s">
        <v>39</v>
      </c>
      <c r="D2098" s="14">
        <v>700</v>
      </c>
      <c r="E2098" s="15">
        <v>5</v>
      </c>
    </row>
    <row r="2099" spans="1:5" x14ac:dyDescent="0.4">
      <c r="A2099" s="13" t="s">
        <v>1251</v>
      </c>
      <c r="B2099" s="13" t="s">
        <v>24</v>
      </c>
      <c r="C2099" s="13" t="s">
        <v>27</v>
      </c>
      <c r="D2099" s="14">
        <v>700</v>
      </c>
      <c r="E2099" s="15">
        <v>1</v>
      </c>
    </row>
    <row r="2100" spans="1:5" x14ac:dyDescent="0.4">
      <c r="A2100" s="13" t="s">
        <v>1835</v>
      </c>
      <c r="B2100" s="13" t="s">
        <v>20</v>
      </c>
      <c r="C2100" s="13" t="s">
        <v>53</v>
      </c>
      <c r="D2100" s="14">
        <v>700</v>
      </c>
      <c r="E2100" s="15">
        <v>4</v>
      </c>
    </row>
    <row r="2101" spans="1:5" x14ac:dyDescent="0.4">
      <c r="A2101" s="13" t="s">
        <v>640</v>
      </c>
      <c r="B2101" s="13" t="s">
        <v>26</v>
      </c>
      <c r="C2101" s="13" t="s">
        <v>44</v>
      </c>
      <c r="D2101" s="14">
        <v>701</v>
      </c>
      <c r="E2101" s="15">
        <v>0</v>
      </c>
    </row>
    <row r="2102" spans="1:5" x14ac:dyDescent="0.4">
      <c r="A2102" s="13" t="s">
        <v>1506</v>
      </c>
      <c r="B2102" s="13" t="s">
        <v>26</v>
      </c>
      <c r="C2102" s="13" t="s">
        <v>62</v>
      </c>
      <c r="D2102" s="14">
        <v>701</v>
      </c>
      <c r="E2102" s="15">
        <v>0</v>
      </c>
    </row>
    <row r="2103" spans="1:5" x14ac:dyDescent="0.4">
      <c r="A2103" s="13" t="s">
        <v>97</v>
      </c>
      <c r="B2103" s="13" t="s">
        <v>24</v>
      </c>
      <c r="C2103" s="13" t="s">
        <v>39</v>
      </c>
      <c r="D2103" s="14">
        <v>702</v>
      </c>
      <c r="E2103" s="15">
        <v>1</v>
      </c>
    </row>
    <row r="2104" spans="1:5" x14ac:dyDescent="0.4">
      <c r="A2104" s="13" t="s">
        <v>1207</v>
      </c>
      <c r="B2104" s="13" t="s">
        <v>24</v>
      </c>
      <c r="C2104" s="13" t="s">
        <v>21</v>
      </c>
      <c r="D2104" s="14">
        <v>702</v>
      </c>
      <c r="E2104" s="15">
        <v>0</v>
      </c>
    </row>
    <row r="2105" spans="1:5" x14ac:dyDescent="0.4">
      <c r="A2105" s="13" t="s">
        <v>1775</v>
      </c>
      <c r="B2105" s="13" t="s">
        <v>24</v>
      </c>
      <c r="C2105" s="13" t="s">
        <v>5</v>
      </c>
      <c r="D2105" s="14">
        <v>702</v>
      </c>
      <c r="E2105" s="15">
        <v>1</v>
      </c>
    </row>
    <row r="2106" spans="1:5" x14ac:dyDescent="0.4">
      <c r="A2106" s="13" t="s">
        <v>854</v>
      </c>
      <c r="B2106" s="13" t="s">
        <v>20</v>
      </c>
      <c r="C2106" s="13" t="s">
        <v>22</v>
      </c>
      <c r="D2106" s="14">
        <v>703</v>
      </c>
      <c r="E2106" s="15">
        <v>0</v>
      </c>
    </row>
    <row r="2107" spans="1:5" x14ac:dyDescent="0.4">
      <c r="A2107" s="13" t="s">
        <v>962</v>
      </c>
      <c r="B2107" s="13" t="s">
        <v>26</v>
      </c>
      <c r="C2107" s="13" t="s">
        <v>28</v>
      </c>
      <c r="D2107" s="14">
        <v>703</v>
      </c>
      <c r="E2107" s="15">
        <v>5</v>
      </c>
    </row>
    <row r="2108" spans="1:5" x14ac:dyDescent="0.4">
      <c r="A2108" s="13" t="s">
        <v>1657</v>
      </c>
      <c r="B2108" s="13" t="s">
        <v>24</v>
      </c>
      <c r="C2108" s="13" t="s">
        <v>25</v>
      </c>
      <c r="D2108" s="14">
        <v>703</v>
      </c>
      <c r="E2108" s="15">
        <v>1</v>
      </c>
    </row>
    <row r="2109" spans="1:5" x14ac:dyDescent="0.4">
      <c r="A2109" s="13" t="s">
        <v>818</v>
      </c>
      <c r="B2109" s="13" t="s">
        <v>24</v>
      </c>
      <c r="C2109" s="13" t="s">
        <v>32</v>
      </c>
      <c r="D2109" s="14">
        <v>704</v>
      </c>
      <c r="E2109" s="15">
        <v>0</v>
      </c>
    </row>
    <row r="2110" spans="1:5" x14ac:dyDescent="0.4">
      <c r="A2110" s="13" t="s">
        <v>984</v>
      </c>
      <c r="B2110" s="13" t="s">
        <v>24</v>
      </c>
      <c r="C2110" s="13" t="s">
        <v>44</v>
      </c>
      <c r="D2110" s="14">
        <v>704</v>
      </c>
      <c r="E2110" s="15">
        <v>2</v>
      </c>
    </row>
    <row r="2111" spans="1:5" x14ac:dyDescent="0.4">
      <c r="A2111" s="13" t="s">
        <v>1242</v>
      </c>
      <c r="B2111" s="13" t="s">
        <v>20</v>
      </c>
      <c r="C2111" s="13" t="s">
        <v>44</v>
      </c>
      <c r="D2111" s="14">
        <v>704</v>
      </c>
      <c r="E2111" s="15">
        <v>0</v>
      </c>
    </row>
    <row r="2112" spans="1:5" x14ac:dyDescent="0.4">
      <c r="A2112" s="13" t="s">
        <v>1410</v>
      </c>
      <c r="B2112" s="13" t="s">
        <v>20</v>
      </c>
      <c r="C2112" s="13" t="s">
        <v>39</v>
      </c>
      <c r="D2112" s="14">
        <v>704</v>
      </c>
      <c r="E2112" s="15">
        <v>3</v>
      </c>
    </row>
    <row r="2113" spans="1:5" x14ac:dyDescent="0.4">
      <c r="A2113" s="13" t="s">
        <v>1831</v>
      </c>
      <c r="B2113" s="13" t="s">
        <v>20</v>
      </c>
      <c r="C2113" s="13" t="s">
        <v>30</v>
      </c>
      <c r="D2113" s="14">
        <v>704</v>
      </c>
      <c r="E2113" s="15">
        <v>0</v>
      </c>
    </row>
    <row r="2114" spans="1:5" x14ac:dyDescent="0.4">
      <c r="A2114" s="13" t="s">
        <v>245</v>
      </c>
      <c r="B2114" s="13" t="s">
        <v>26</v>
      </c>
      <c r="C2114" s="13" t="s">
        <v>5</v>
      </c>
      <c r="D2114" s="14">
        <v>705</v>
      </c>
      <c r="E2114" s="15">
        <v>1</v>
      </c>
    </row>
    <row r="2115" spans="1:5" x14ac:dyDescent="0.4">
      <c r="A2115" s="13" t="s">
        <v>1366</v>
      </c>
      <c r="B2115" s="13" t="s">
        <v>20</v>
      </c>
      <c r="C2115" s="13" t="s">
        <v>39</v>
      </c>
      <c r="D2115" s="14">
        <v>705</v>
      </c>
      <c r="E2115" s="15">
        <v>0</v>
      </c>
    </row>
    <row r="2116" spans="1:5" x14ac:dyDescent="0.4">
      <c r="A2116" s="13" t="s">
        <v>1697</v>
      </c>
      <c r="B2116" s="13" t="s">
        <v>26</v>
      </c>
      <c r="C2116" s="13" t="s">
        <v>43</v>
      </c>
      <c r="D2116" s="14">
        <v>705</v>
      </c>
      <c r="E2116" s="15">
        <v>2</v>
      </c>
    </row>
    <row r="2117" spans="1:5" x14ac:dyDescent="0.4">
      <c r="A2117" s="13" t="s">
        <v>202</v>
      </c>
      <c r="B2117" s="13" t="s">
        <v>24</v>
      </c>
      <c r="C2117" s="13" t="s">
        <v>111</v>
      </c>
      <c r="D2117" s="14">
        <v>706</v>
      </c>
      <c r="E2117" s="15">
        <v>0</v>
      </c>
    </row>
    <row r="2118" spans="1:5" x14ac:dyDescent="0.4">
      <c r="A2118" s="13" t="s">
        <v>746</v>
      </c>
      <c r="B2118" s="13" t="s">
        <v>24</v>
      </c>
      <c r="C2118" s="13" t="s">
        <v>34</v>
      </c>
      <c r="D2118" s="14">
        <v>707</v>
      </c>
      <c r="E2118" s="15">
        <v>5</v>
      </c>
    </row>
    <row r="2119" spans="1:5" x14ac:dyDescent="0.4">
      <c r="A2119" s="13" t="s">
        <v>1668</v>
      </c>
      <c r="B2119" s="13" t="s">
        <v>20</v>
      </c>
      <c r="C2119" s="13" t="s">
        <v>28</v>
      </c>
      <c r="D2119" s="14">
        <v>707</v>
      </c>
      <c r="E2119" s="15">
        <v>2</v>
      </c>
    </row>
    <row r="2120" spans="1:5" x14ac:dyDescent="0.4">
      <c r="A2120" s="13" t="s">
        <v>1889</v>
      </c>
      <c r="B2120" s="13" t="s">
        <v>26</v>
      </c>
      <c r="C2120" s="13" t="s">
        <v>62</v>
      </c>
      <c r="D2120" s="14">
        <v>707</v>
      </c>
      <c r="E2120" s="15">
        <v>0</v>
      </c>
    </row>
    <row r="2121" spans="1:5" x14ac:dyDescent="0.4">
      <c r="A2121" s="13" t="s">
        <v>342</v>
      </c>
      <c r="B2121" s="13" t="s">
        <v>24</v>
      </c>
      <c r="C2121" s="13" t="s">
        <v>30</v>
      </c>
      <c r="D2121" s="14">
        <v>708</v>
      </c>
      <c r="E2121" s="15">
        <v>4</v>
      </c>
    </row>
    <row r="2122" spans="1:5" x14ac:dyDescent="0.4">
      <c r="A2122" s="13" t="s">
        <v>669</v>
      </c>
      <c r="B2122" s="13" t="s">
        <v>20</v>
      </c>
      <c r="C2122" s="13" t="s">
        <v>5</v>
      </c>
      <c r="D2122" s="14">
        <v>708</v>
      </c>
      <c r="E2122" s="15">
        <v>0</v>
      </c>
    </row>
    <row r="2123" spans="1:5" x14ac:dyDescent="0.4">
      <c r="A2123" s="13" t="s">
        <v>679</v>
      </c>
      <c r="B2123" s="13" t="s">
        <v>20</v>
      </c>
      <c r="C2123" s="13" t="s">
        <v>44</v>
      </c>
      <c r="D2123" s="14">
        <v>708</v>
      </c>
      <c r="E2123" s="15">
        <v>4</v>
      </c>
    </row>
    <row r="2124" spans="1:5" x14ac:dyDescent="0.4">
      <c r="A2124" s="13" t="s">
        <v>1436</v>
      </c>
      <c r="B2124" s="13" t="s">
        <v>24</v>
      </c>
      <c r="C2124" s="13" t="s">
        <v>44</v>
      </c>
      <c r="D2124" s="14">
        <v>708</v>
      </c>
      <c r="E2124" s="15">
        <v>0</v>
      </c>
    </row>
    <row r="2125" spans="1:5" x14ac:dyDescent="0.4">
      <c r="A2125" s="13" t="s">
        <v>508</v>
      </c>
      <c r="B2125" s="13" t="s">
        <v>20</v>
      </c>
      <c r="C2125" s="13" t="s">
        <v>111</v>
      </c>
      <c r="D2125" s="14">
        <v>709</v>
      </c>
      <c r="E2125" s="15">
        <v>1</v>
      </c>
    </row>
    <row r="2126" spans="1:5" x14ac:dyDescent="0.4">
      <c r="A2126" s="13" t="s">
        <v>1768</v>
      </c>
      <c r="B2126" s="13" t="s">
        <v>26</v>
      </c>
      <c r="C2126" s="13" t="s">
        <v>44</v>
      </c>
      <c r="D2126" s="14">
        <v>709</v>
      </c>
      <c r="E2126" s="15">
        <v>0</v>
      </c>
    </row>
    <row r="2127" spans="1:5" x14ac:dyDescent="0.4">
      <c r="A2127" s="13" t="s">
        <v>754</v>
      </c>
      <c r="B2127" s="13" t="s">
        <v>20</v>
      </c>
      <c r="C2127" s="13" t="s">
        <v>27</v>
      </c>
      <c r="D2127" s="14">
        <v>710</v>
      </c>
      <c r="E2127" s="15">
        <v>0</v>
      </c>
    </row>
    <row r="2128" spans="1:5" x14ac:dyDescent="0.4">
      <c r="A2128" s="13" t="s">
        <v>1435</v>
      </c>
      <c r="B2128" s="13" t="s">
        <v>26</v>
      </c>
      <c r="C2128" s="13" t="s">
        <v>25</v>
      </c>
      <c r="D2128" s="14">
        <v>710</v>
      </c>
      <c r="E2128" s="15">
        <v>0</v>
      </c>
    </row>
    <row r="2129" spans="1:5" x14ac:dyDescent="0.4">
      <c r="A2129" s="13" t="s">
        <v>1943</v>
      </c>
      <c r="B2129" s="13" t="s">
        <v>24</v>
      </c>
      <c r="C2129" s="13" t="s">
        <v>27</v>
      </c>
      <c r="D2129" s="14">
        <v>710</v>
      </c>
      <c r="E2129" s="15">
        <v>1</v>
      </c>
    </row>
    <row r="2130" spans="1:5" x14ac:dyDescent="0.4">
      <c r="A2130" s="13" t="s">
        <v>673</v>
      </c>
      <c r="B2130" s="13" t="s">
        <v>20</v>
      </c>
      <c r="C2130" s="13" t="s">
        <v>40</v>
      </c>
      <c r="D2130" s="14">
        <v>711</v>
      </c>
      <c r="E2130" s="15">
        <v>1</v>
      </c>
    </row>
    <row r="2131" spans="1:5" x14ac:dyDescent="0.4">
      <c r="A2131" s="13" t="s">
        <v>965</v>
      </c>
      <c r="B2131" s="13" t="s">
        <v>20</v>
      </c>
      <c r="C2131" s="13" t="s">
        <v>34</v>
      </c>
      <c r="D2131" s="14">
        <v>712</v>
      </c>
      <c r="E2131" s="15">
        <v>0</v>
      </c>
    </row>
    <row r="2132" spans="1:5" x14ac:dyDescent="0.4">
      <c r="A2132" s="13" t="s">
        <v>432</v>
      </c>
      <c r="B2132" s="13" t="s">
        <v>26</v>
      </c>
      <c r="C2132" s="13" t="s">
        <v>44</v>
      </c>
      <c r="D2132" s="14">
        <v>713</v>
      </c>
      <c r="E2132" s="15">
        <v>0</v>
      </c>
    </row>
    <row r="2133" spans="1:5" x14ac:dyDescent="0.4">
      <c r="A2133" s="13" t="s">
        <v>346</v>
      </c>
      <c r="B2133" s="13" t="s">
        <v>24</v>
      </c>
      <c r="C2133" s="13" t="s">
        <v>39</v>
      </c>
      <c r="D2133" s="14">
        <v>714</v>
      </c>
      <c r="E2133" s="15">
        <v>10</v>
      </c>
    </row>
    <row r="2134" spans="1:5" x14ac:dyDescent="0.4">
      <c r="A2134" s="13" t="s">
        <v>1000</v>
      </c>
      <c r="B2134" s="13" t="s">
        <v>26</v>
      </c>
      <c r="C2134" s="13" t="s">
        <v>39</v>
      </c>
      <c r="D2134" s="14">
        <v>714</v>
      </c>
      <c r="E2134" s="15">
        <v>4</v>
      </c>
    </row>
    <row r="2135" spans="1:5" x14ac:dyDescent="0.4">
      <c r="A2135" s="13" t="s">
        <v>1368</v>
      </c>
      <c r="B2135" s="13" t="s">
        <v>26</v>
      </c>
      <c r="C2135" s="13" t="s">
        <v>53</v>
      </c>
      <c r="D2135" s="14">
        <v>714</v>
      </c>
      <c r="E2135" s="15">
        <v>0</v>
      </c>
    </row>
    <row r="2136" spans="1:5" x14ac:dyDescent="0.4">
      <c r="A2136" s="13" t="s">
        <v>1440</v>
      </c>
      <c r="B2136" s="13" t="s">
        <v>26</v>
      </c>
      <c r="C2136" s="13" t="s">
        <v>25</v>
      </c>
      <c r="D2136" s="14">
        <v>714</v>
      </c>
      <c r="E2136" s="15">
        <v>0</v>
      </c>
    </row>
    <row r="2137" spans="1:5" x14ac:dyDescent="0.4">
      <c r="A2137" s="13" t="s">
        <v>490</v>
      </c>
      <c r="B2137" s="13" t="s">
        <v>20</v>
      </c>
      <c r="C2137" s="13" t="s">
        <v>28</v>
      </c>
      <c r="D2137" s="14">
        <v>715</v>
      </c>
      <c r="E2137" s="15">
        <v>3</v>
      </c>
    </row>
    <row r="2138" spans="1:5" x14ac:dyDescent="0.4">
      <c r="A2138" s="13" t="s">
        <v>491</v>
      </c>
      <c r="B2138" s="13" t="s">
        <v>24</v>
      </c>
      <c r="C2138" s="13" t="s">
        <v>43</v>
      </c>
      <c r="D2138" s="14">
        <v>715</v>
      </c>
      <c r="E2138" s="15">
        <v>3</v>
      </c>
    </row>
    <row r="2139" spans="1:5" x14ac:dyDescent="0.4">
      <c r="A2139" s="13" t="s">
        <v>1327</v>
      </c>
      <c r="B2139" s="13" t="s">
        <v>24</v>
      </c>
      <c r="C2139" s="13" t="s">
        <v>30</v>
      </c>
      <c r="D2139" s="14">
        <v>715</v>
      </c>
      <c r="E2139" s="15">
        <v>5</v>
      </c>
    </row>
    <row r="2140" spans="1:5" x14ac:dyDescent="0.4">
      <c r="A2140" s="13" t="s">
        <v>1398</v>
      </c>
      <c r="B2140" s="13" t="s">
        <v>24</v>
      </c>
      <c r="C2140" s="13" t="s">
        <v>53</v>
      </c>
      <c r="D2140" s="14">
        <v>715</v>
      </c>
      <c r="E2140" s="15">
        <v>4</v>
      </c>
    </row>
    <row r="2141" spans="1:5" x14ac:dyDescent="0.4">
      <c r="A2141" s="13" t="s">
        <v>1544</v>
      </c>
      <c r="B2141" s="13" t="s">
        <v>24</v>
      </c>
      <c r="C2141" s="13" t="s">
        <v>62</v>
      </c>
      <c r="D2141" s="14">
        <v>715</v>
      </c>
      <c r="E2141" s="15">
        <v>1</v>
      </c>
    </row>
    <row r="2142" spans="1:5" x14ac:dyDescent="0.4">
      <c r="A2142" s="13" t="s">
        <v>1661</v>
      </c>
      <c r="B2142" s="13" t="s">
        <v>26</v>
      </c>
      <c r="C2142" s="13" t="s">
        <v>27</v>
      </c>
      <c r="D2142" s="14">
        <v>715</v>
      </c>
      <c r="E2142" s="15">
        <v>0</v>
      </c>
    </row>
    <row r="2143" spans="1:5" x14ac:dyDescent="0.4">
      <c r="A2143" s="13" t="s">
        <v>1911</v>
      </c>
      <c r="B2143" s="13" t="s">
        <v>20</v>
      </c>
      <c r="C2143" s="13" t="s">
        <v>44</v>
      </c>
      <c r="D2143" s="14">
        <v>715</v>
      </c>
      <c r="E2143" s="15">
        <v>11</v>
      </c>
    </row>
    <row r="2144" spans="1:5" x14ac:dyDescent="0.4">
      <c r="A2144" s="13" t="s">
        <v>136</v>
      </c>
      <c r="B2144" s="13" t="s">
        <v>24</v>
      </c>
      <c r="C2144" s="13" t="s">
        <v>30</v>
      </c>
      <c r="D2144" s="14">
        <v>716</v>
      </c>
      <c r="E2144" s="15">
        <v>0</v>
      </c>
    </row>
    <row r="2145" spans="1:5" x14ac:dyDescent="0.4">
      <c r="A2145" s="13" t="s">
        <v>368</v>
      </c>
      <c r="B2145" s="13" t="s">
        <v>20</v>
      </c>
      <c r="C2145" s="13" t="s">
        <v>44</v>
      </c>
      <c r="D2145" s="14">
        <v>716</v>
      </c>
      <c r="E2145" s="15">
        <v>6</v>
      </c>
    </row>
    <row r="2146" spans="1:5" x14ac:dyDescent="0.4">
      <c r="A2146" s="13" t="s">
        <v>909</v>
      </c>
      <c r="B2146" s="13" t="s">
        <v>20</v>
      </c>
      <c r="C2146" s="13" t="s">
        <v>25</v>
      </c>
      <c r="D2146" s="14">
        <v>716</v>
      </c>
      <c r="E2146" s="15">
        <v>3</v>
      </c>
    </row>
    <row r="2147" spans="1:5" x14ac:dyDescent="0.4">
      <c r="A2147" s="13" t="s">
        <v>1915</v>
      </c>
      <c r="B2147" s="13" t="s">
        <v>26</v>
      </c>
      <c r="C2147" s="13" t="s">
        <v>53</v>
      </c>
      <c r="D2147" s="14">
        <v>716</v>
      </c>
      <c r="E2147" s="15">
        <v>1</v>
      </c>
    </row>
    <row r="2148" spans="1:5" x14ac:dyDescent="0.4">
      <c r="A2148" s="13" t="s">
        <v>41</v>
      </c>
      <c r="B2148" s="13" t="s">
        <v>26</v>
      </c>
      <c r="C2148" s="13" t="s">
        <v>27</v>
      </c>
      <c r="D2148" s="14">
        <v>717</v>
      </c>
      <c r="E2148" s="15">
        <v>4</v>
      </c>
    </row>
    <row r="2149" spans="1:5" x14ac:dyDescent="0.4">
      <c r="A2149" s="13" t="s">
        <v>573</v>
      </c>
      <c r="B2149" s="13" t="s">
        <v>26</v>
      </c>
      <c r="C2149" s="13" t="s">
        <v>5</v>
      </c>
      <c r="D2149" s="14">
        <v>717</v>
      </c>
      <c r="E2149" s="15">
        <v>1</v>
      </c>
    </row>
    <row r="2150" spans="1:5" x14ac:dyDescent="0.4">
      <c r="A2150" s="13" t="s">
        <v>859</v>
      </c>
      <c r="B2150" s="13" t="s">
        <v>24</v>
      </c>
      <c r="C2150" s="13" t="s">
        <v>111</v>
      </c>
      <c r="D2150" s="14">
        <v>717</v>
      </c>
      <c r="E2150" s="15">
        <v>0</v>
      </c>
    </row>
    <row r="2151" spans="1:5" x14ac:dyDescent="0.4">
      <c r="A2151" s="13" t="s">
        <v>1004</v>
      </c>
      <c r="B2151" s="13" t="s">
        <v>26</v>
      </c>
      <c r="C2151" s="13" t="s">
        <v>43</v>
      </c>
      <c r="D2151" s="14">
        <v>717</v>
      </c>
      <c r="E2151" s="15">
        <v>14</v>
      </c>
    </row>
    <row r="2152" spans="1:5" x14ac:dyDescent="0.4">
      <c r="A2152" s="13" t="s">
        <v>1129</v>
      </c>
      <c r="B2152" s="13" t="s">
        <v>24</v>
      </c>
      <c r="C2152" s="13" t="s">
        <v>66</v>
      </c>
      <c r="D2152" s="14">
        <v>717</v>
      </c>
      <c r="E2152" s="15">
        <v>0</v>
      </c>
    </row>
    <row r="2153" spans="1:5" x14ac:dyDescent="0.4">
      <c r="A2153" s="13" t="s">
        <v>1202</v>
      </c>
      <c r="B2153" s="13" t="s">
        <v>20</v>
      </c>
      <c r="C2153" s="13" t="s">
        <v>28</v>
      </c>
      <c r="D2153" s="14">
        <v>717</v>
      </c>
      <c r="E2153" s="15">
        <v>0</v>
      </c>
    </row>
    <row r="2154" spans="1:5" x14ac:dyDescent="0.4">
      <c r="A2154" s="13" t="s">
        <v>1958</v>
      </c>
      <c r="B2154" s="13" t="s">
        <v>20</v>
      </c>
      <c r="C2154" s="13" t="s">
        <v>27</v>
      </c>
      <c r="D2154" s="14">
        <v>717</v>
      </c>
      <c r="E2154" s="15">
        <v>4</v>
      </c>
    </row>
    <row r="2155" spans="1:5" x14ac:dyDescent="0.4">
      <c r="A2155" s="13" t="s">
        <v>1968</v>
      </c>
      <c r="B2155" s="13" t="s">
        <v>24</v>
      </c>
      <c r="C2155" s="13" t="s">
        <v>44</v>
      </c>
      <c r="D2155" s="14">
        <v>717</v>
      </c>
      <c r="E2155" s="15">
        <v>2</v>
      </c>
    </row>
    <row r="2156" spans="1:5" x14ac:dyDescent="0.4">
      <c r="A2156" s="13" t="s">
        <v>169</v>
      </c>
      <c r="B2156" s="13" t="s">
        <v>24</v>
      </c>
      <c r="C2156" s="13" t="s">
        <v>44</v>
      </c>
      <c r="D2156" s="14">
        <v>718</v>
      </c>
      <c r="E2156" s="15">
        <v>5</v>
      </c>
    </row>
    <row r="2157" spans="1:5" x14ac:dyDescent="0.4">
      <c r="A2157" s="13" t="s">
        <v>1357</v>
      </c>
      <c r="B2157" s="13" t="s">
        <v>26</v>
      </c>
      <c r="C2157" s="13" t="s">
        <v>5</v>
      </c>
      <c r="D2157" s="14">
        <v>718</v>
      </c>
      <c r="E2157" s="15">
        <v>1</v>
      </c>
    </row>
    <row r="2158" spans="1:5" x14ac:dyDescent="0.4">
      <c r="A2158" s="13" t="s">
        <v>1558</v>
      </c>
      <c r="B2158" s="13" t="s">
        <v>26</v>
      </c>
      <c r="C2158" s="13" t="s">
        <v>21</v>
      </c>
      <c r="D2158" s="14">
        <v>718</v>
      </c>
      <c r="E2158" s="15">
        <v>0</v>
      </c>
    </row>
    <row r="2159" spans="1:5" x14ac:dyDescent="0.4">
      <c r="A2159" s="13" t="s">
        <v>689</v>
      </c>
      <c r="B2159" s="13" t="s">
        <v>24</v>
      </c>
      <c r="C2159" s="13" t="s">
        <v>5</v>
      </c>
      <c r="D2159" s="14">
        <v>719</v>
      </c>
      <c r="E2159" s="15">
        <v>0</v>
      </c>
    </row>
    <row r="2160" spans="1:5" x14ac:dyDescent="0.4">
      <c r="A2160" s="13" t="s">
        <v>754</v>
      </c>
      <c r="B2160" s="13" t="s">
        <v>20</v>
      </c>
      <c r="C2160" s="13" t="s">
        <v>39</v>
      </c>
      <c r="D2160" s="14">
        <v>720</v>
      </c>
      <c r="E2160" s="15">
        <v>6</v>
      </c>
    </row>
    <row r="2161" spans="1:5" x14ac:dyDescent="0.4">
      <c r="A2161" s="13" t="s">
        <v>1070</v>
      </c>
      <c r="B2161" s="13" t="s">
        <v>24</v>
      </c>
      <c r="C2161" s="13" t="s">
        <v>44</v>
      </c>
      <c r="D2161" s="14">
        <v>720</v>
      </c>
      <c r="E2161" s="15">
        <v>0</v>
      </c>
    </row>
    <row r="2162" spans="1:5" x14ac:dyDescent="0.4">
      <c r="A2162" s="13" t="s">
        <v>161</v>
      </c>
      <c r="B2162" s="13" t="s">
        <v>20</v>
      </c>
      <c r="C2162" s="13" t="s">
        <v>66</v>
      </c>
      <c r="D2162" s="14">
        <v>721</v>
      </c>
      <c r="E2162" s="15">
        <v>2</v>
      </c>
    </row>
    <row r="2163" spans="1:5" x14ac:dyDescent="0.4">
      <c r="A2163" s="13" t="s">
        <v>458</v>
      </c>
      <c r="B2163" s="13" t="s">
        <v>26</v>
      </c>
      <c r="C2163" s="13" t="s">
        <v>25</v>
      </c>
      <c r="D2163" s="14">
        <v>721</v>
      </c>
      <c r="E2163" s="15">
        <v>0</v>
      </c>
    </row>
    <row r="2164" spans="1:5" x14ac:dyDescent="0.4">
      <c r="A2164" s="13" t="s">
        <v>620</v>
      </c>
      <c r="B2164" s="13" t="s">
        <v>20</v>
      </c>
      <c r="C2164" s="13" t="s">
        <v>5</v>
      </c>
      <c r="D2164" s="14">
        <v>721</v>
      </c>
      <c r="E2164" s="15">
        <v>2</v>
      </c>
    </row>
    <row r="2165" spans="1:5" x14ac:dyDescent="0.4">
      <c r="A2165" s="13" t="s">
        <v>696</v>
      </c>
      <c r="B2165" s="13" t="s">
        <v>24</v>
      </c>
      <c r="C2165" s="13" t="s">
        <v>39</v>
      </c>
      <c r="D2165" s="14">
        <v>721</v>
      </c>
      <c r="E2165" s="15">
        <v>0</v>
      </c>
    </row>
    <row r="2166" spans="1:5" x14ac:dyDescent="0.4">
      <c r="A2166" s="13" t="s">
        <v>342</v>
      </c>
      <c r="B2166" s="13" t="s">
        <v>26</v>
      </c>
      <c r="C2166" s="13" t="s">
        <v>44</v>
      </c>
      <c r="D2166" s="14">
        <v>722</v>
      </c>
      <c r="E2166" s="15">
        <v>1</v>
      </c>
    </row>
    <row r="2167" spans="1:5" x14ac:dyDescent="0.4">
      <c r="A2167" s="13" t="s">
        <v>410</v>
      </c>
      <c r="B2167" s="13" t="s">
        <v>26</v>
      </c>
      <c r="C2167" s="13" t="s">
        <v>30</v>
      </c>
      <c r="D2167" s="14">
        <v>722</v>
      </c>
      <c r="E2167" s="15">
        <v>7</v>
      </c>
    </row>
    <row r="2168" spans="1:5" x14ac:dyDescent="0.4">
      <c r="A2168" s="13" t="s">
        <v>513</v>
      </c>
      <c r="B2168" s="13" t="s">
        <v>24</v>
      </c>
      <c r="C2168" s="13" t="s">
        <v>44</v>
      </c>
      <c r="D2168" s="14">
        <v>722</v>
      </c>
      <c r="E2168" s="15">
        <v>0</v>
      </c>
    </row>
    <row r="2169" spans="1:5" x14ac:dyDescent="0.4">
      <c r="A2169" s="13" t="s">
        <v>787</v>
      </c>
      <c r="B2169" s="13" t="s">
        <v>26</v>
      </c>
      <c r="C2169" s="13" t="s">
        <v>44</v>
      </c>
      <c r="D2169" s="14">
        <v>722</v>
      </c>
      <c r="E2169" s="15">
        <v>0</v>
      </c>
    </row>
    <row r="2170" spans="1:5" x14ac:dyDescent="0.4">
      <c r="A2170" s="13" t="s">
        <v>1486</v>
      </c>
      <c r="B2170" s="13" t="s">
        <v>20</v>
      </c>
      <c r="C2170" s="13" t="s">
        <v>5</v>
      </c>
      <c r="D2170" s="14">
        <v>722</v>
      </c>
      <c r="E2170" s="15">
        <v>0</v>
      </c>
    </row>
    <row r="2171" spans="1:5" x14ac:dyDescent="0.4">
      <c r="A2171" s="13" t="s">
        <v>745</v>
      </c>
      <c r="B2171" s="13" t="s">
        <v>26</v>
      </c>
      <c r="C2171" s="13" t="s">
        <v>30</v>
      </c>
      <c r="D2171" s="14">
        <v>724</v>
      </c>
      <c r="E2171" s="15">
        <v>2</v>
      </c>
    </row>
    <row r="2172" spans="1:5" x14ac:dyDescent="0.4">
      <c r="A2172" s="13" t="s">
        <v>1514</v>
      </c>
      <c r="B2172" s="13" t="s">
        <v>20</v>
      </c>
      <c r="C2172" s="13" t="s">
        <v>111</v>
      </c>
      <c r="D2172" s="14">
        <v>724</v>
      </c>
      <c r="E2172" s="15">
        <v>1</v>
      </c>
    </row>
    <row r="2173" spans="1:5" x14ac:dyDescent="0.4">
      <c r="A2173" s="13" t="s">
        <v>552</v>
      </c>
      <c r="B2173" s="13" t="s">
        <v>26</v>
      </c>
      <c r="C2173" s="13" t="s">
        <v>22</v>
      </c>
      <c r="D2173" s="14">
        <v>725</v>
      </c>
      <c r="E2173" s="15">
        <v>13</v>
      </c>
    </row>
    <row r="2174" spans="1:5" x14ac:dyDescent="0.4">
      <c r="A2174" s="13" t="s">
        <v>870</v>
      </c>
      <c r="B2174" s="13" t="s">
        <v>26</v>
      </c>
      <c r="C2174" s="13" t="s">
        <v>111</v>
      </c>
      <c r="D2174" s="14">
        <v>725</v>
      </c>
      <c r="E2174" s="15">
        <v>1</v>
      </c>
    </row>
    <row r="2175" spans="1:5" x14ac:dyDescent="0.4">
      <c r="A2175" s="13" t="s">
        <v>791</v>
      </c>
      <c r="B2175" s="13" t="s">
        <v>20</v>
      </c>
      <c r="C2175" s="13" t="s">
        <v>44</v>
      </c>
      <c r="D2175" s="14">
        <v>726</v>
      </c>
      <c r="E2175" s="15">
        <v>5</v>
      </c>
    </row>
    <row r="2176" spans="1:5" x14ac:dyDescent="0.4">
      <c r="A2176" s="13" t="s">
        <v>862</v>
      </c>
      <c r="B2176" s="13" t="s">
        <v>26</v>
      </c>
      <c r="C2176" s="13" t="s">
        <v>27</v>
      </c>
      <c r="D2176" s="14">
        <v>726</v>
      </c>
      <c r="E2176" s="15">
        <v>2</v>
      </c>
    </row>
    <row r="2177" spans="1:5" x14ac:dyDescent="0.4">
      <c r="A2177" s="13" t="s">
        <v>913</v>
      </c>
      <c r="B2177" s="13" t="s">
        <v>20</v>
      </c>
      <c r="C2177" s="13" t="s">
        <v>43</v>
      </c>
      <c r="D2177" s="14">
        <v>727</v>
      </c>
      <c r="E2177" s="15">
        <v>1</v>
      </c>
    </row>
    <row r="2178" spans="1:5" x14ac:dyDescent="0.4">
      <c r="A2178" s="13" t="s">
        <v>1350</v>
      </c>
      <c r="B2178" s="13" t="s">
        <v>24</v>
      </c>
      <c r="C2178" s="13" t="s">
        <v>39</v>
      </c>
      <c r="D2178" s="14">
        <v>727</v>
      </c>
      <c r="E2178" s="15">
        <v>5</v>
      </c>
    </row>
    <row r="2179" spans="1:5" x14ac:dyDescent="0.4">
      <c r="A2179" s="13" t="s">
        <v>1474</v>
      </c>
      <c r="B2179" s="13" t="s">
        <v>20</v>
      </c>
      <c r="C2179" s="13" t="s">
        <v>32</v>
      </c>
      <c r="D2179" s="14">
        <v>727</v>
      </c>
      <c r="E2179" s="15">
        <v>15</v>
      </c>
    </row>
    <row r="2180" spans="1:5" x14ac:dyDescent="0.4">
      <c r="A2180" s="13" t="s">
        <v>1532</v>
      </c>
      <c r="B2180" s="13" t="s">
        <v>24</v>
      </c>
      <c r="C2180" s="13" t="s">
        <v>40</v>
      </c>
      <c r="D2180" s="14">
        <v>727</v>
      </c>
      <c r="E2180" s="15">
        <v>8</v>
      </c>
    </row>
    <row r="2181" spans="1:5" x14ac:dyDescent="0.4">
      <c r="A2181" s="13" t="s">
        <v>1629</v>
      </c>
      <c r="B2181" s="13" t="s">
        <v>26</v>
      </c>
      <c r="C2181" s="13" t="s">
        <v>21</v>
      </c>
      <c r="D2181" s="14">
        <v>727</v>
      </c>
      <c r="E2181" s="15">
        <v>0</v>
      </c>
    </row>
    <row r="2182" spans="1:5" x14ac:dyDescent="0.4">
      <c r="A2182" s="13" t="s">
        <v>361</v>
      </c>
      <c r="B2182" s="13" t="s">
        <v>26</v>
      </c>
      <c r="C2182" s="13" t="s">
        <v>22</v>
      </c>
      <c r="D2182" s="14">
        <v>728</v>
      </c>
      <c r="E2182" s="15">
        <v>1</v>
      </c>
    </row>
    <row r="2183" spans="1:5" x14ac:dyDescent="0.4">
      <c r="A2183" s="13" t="s">
        <v>415</v>
      </c>
      <c r="B2183" s="13" t="s">
        <v>24</v>
      </c>
      <c r="C2183" s="13" t="s">
        <v>25</v>
      </c>
      <c r="D2183" s="14">
        <v>728</v>
      </c>
      <c r="E2183" s="15">
        <v>1</v>
      </c>
    </row>
    <row r="2184" spans="1:5" x14ac:dyDescent="0.4">
      <c r="A2184" s="13" t="s">
        <v>461</v>
      </c>
      <c r="B2184" s="13" t="s">
        <v>24</v>
      </c>
      <c r="C2184" s="13" t="s">
        <v>34</v>
      </c>
      <c r="D2184" s="14">
        <v>728</v>
      </c>
      <c r="E2184" s="15">
        <v>5</v>
      </c>
    </row>
    <row r="2185" spans="1:5" x14ac:dyDescent="0.4">
      <c r="A2185" s="13" t="s">
        <v>1041</v>
      </c>
      <c r="B2185" s="13" t="s">
        <v>20</v>
      </c>
      <c r="C2185" s="13" t="s">
        <v>111</v>
      </c>
      <c r="D2185" s="14">
        <v>728</v>
      </c>
      <c r="E2185" s="15">
        <v>3</v>
      </c>
    </row>
    <row r="2186" spans="1:5" x14ac:dyDescent="0.4">
      <c r="A2186" s="13" t="s">
        <v>1921</v>
      </c>
      <c r="B2186" s="13" t="s">
        <v>24</v>
      </c>
      <c r="C2186" s="13" t="s">
        <v>5</v>
      </c>
      <c r="D2186" s="14">
        <v>728</v>
      </c>
      <c r="E2186" s="15">
        <v>2</v>
      </c>
    </row>
    <row r="2187" spans="1:5" x14ac:dyDescent="0.4">
      <c r="A2187" s="13" t="s">
        <v>1229</v>
      </c>
      <c r="B2187" s="13" t="s">
        <v>26</v>
      </c>
      <c r="C2187" s="13" t="s">
        <v>25</v>
      </c>
      <c r="D2187" s="14">
        <v>729</v>
      </c>
      <c r="E2187" s="15">
        <v>0</v>
      </c>
    </row>
    <row r="2188" spans="1:5" x14ac:dyDescent="0.4">
      <c r="A2188" s="13" t="s">
        <v>1534</v>
      </c>
      <c r="B2188" s="13" t="s">
        <v>24</v>
      </c>
      <c r="C2188" s="13" t="s">
        <v>25</v>
      </c>
      <c r="D2188" s="14">
        <v>729</v>
      </c>
      <c r="E2188" s="15">
        <v>0</v>
      </c>
    </row>
    <row r="2189" spans="1:5" x14ac:dyDescent="0.4">
      <c r="A2189" s="13" t="s">
        <v>384</v>
      </c>
      <c r="B2189" s="13" t="s">
        <v>24</v>
      </c>
      <c r="C2189" s="13" t="s">
        <v>53</v>
      </c>
      <c r="D2189" s="14">
        <v>730</v>
      </c>
      <c r="E2189" s="15">
        <v>0</v>
      </c>
    </row>
    <row r="2190" spans="1:5" x14ac:dyDescent="0.4">
      <c r="A2190" s="13" t="s">
        <v>1246</v>
      </c>
      <c r="B2190" s="13" t="s">
        <v>26</v>
      </c>
      <c r="C2190" s="13" t="s">
        <v>21</v>
      </c>
      <c r="D2190" s="14">
        <v>730</v>
      </c>
      <c r="E2190" s="15">
        <v>1</v>
      </c>
    </row>
    <row r="2191" spans="1:5" x14ac:dyDescent="0.4">
      <c r="A2191" s="13" t="s">
        <v>233</v>
      </c>
      <c r="B2191" s="13" t="s">
        <v>24</v>
      </c>
      <c r="C2191" s="13" t="s">
        <v>32</v>
      </c>
      <c r="D2191" s="14">
        <v>731</v>
      </c>
      <c r="E2191" s="15">
        <v>0</v>
      </c>
    </row>
    <row r="2192" spans="1:5" x14ac:dyDescent="0.4">
      <c r="A2192" s="13" t="s">
        <v>550</v>
      </c>
      <c r="B2192" s="13" t="s">
        <v>24</v>
      </c>
      <c r="C2192" s="13" t="s">
        <v>39</v>
      </c>
      <c r="D2192" s="14">
        <v>731</v>
      </c>
      <c r="E2192" s="15">
        <v>0</v>
      </c>
    </row>
    <row r="2193" spans="1:5" x14ac:dyDescent="0.4">
      <c r="A2193" s="13" t="s">
        <v>1878</v>
      </c>
      <c r="B2193" s="13" t="s">
        <v>26</v>
      </c>
      <c r="C2193" s="13" t="s">
        <v>30</v>
      </c>
      <c r="D2193" s="14">
        <v>731</v>
      </c>
      <c r="E2193" s="15">
        <v>1</v>
      </c>
    </row>
    <row r="2194" spans="1:5" x14ac:dyDescent="0.4">
      <c r="A2194" s="13" t="s">
        <v>1894</v>
      </c>
      <c r="B2194" s="13" t="s">
        <v>24</v>
      </c>
      <c r="C2194" s="13" t="s">
        <v>27</v>
      </c>
      <c r="D2194" s="14">
        <v>731</v>
      </c>
      <c r="E2194" s="15">
        <v>3</v>
      </c>
    </row>
    <row r="2195" spans="1:5" x14ac:dyDescent="0.4">
      <c r="A2195" s="13" t="s">
        <v>911</v>
      </c>
      <c r="B2195" s="13" t="s">
        <v>26</v>
      </c>
      <c r="C2195" s="13" t="s">
        <v>22</v>
      </c>
      <c r="D2195" s="14">
        <v>732</v>
      </c>
      <c r="E2195" s="15">
        <v>6</v>
      </c>
    </row>
    <row r="2196" spans="1:5" x14ac:dyDescent="0.4">
      <c r="A2196" s="13" t="s">
        <v>1545</v>
      </c>
      <c r="B2196" s="13" t="s">
        <v>24</v>
      </c>
      <c r="C2196" s="13" t="s">
        <v>22</v>
      </c>
      <c r="D2196" s="14">
        <v>732</v>
      </c>
      <c r="E2196" s="15">
        <v>3</v>
      </c>
    </row>
    <row r="2197" spans="1:5" x14ac:dyDescent="0.4">
      <c r="A2197" s="13" t="s">
        <v>1562</v>
      </c>
      <c r="B2197" s="13" t="s">
        <v>20</v>
      </c>
      <c r="C2197" s="13" t="s">
        <v>43</v>
      </c>
      <c r="D2197" s="14">
        <v>732</v>
      </c>
      <c r="E2197" s="15">
        <v>3</v>
      </c>
    </row>
    <row r="2198" spans="1:5" x14ac:dyDescent="0.4">
      <c r="A2198" s="13" t="s">
        <v>654</v>
      </c>
      <c r="B2198" s="13" t="s">
        <v>26</v>
      </c>
      <c r="C2198" s="13" t="s">
        <v>30</v>
      </c>
      <c r="D2198" s="14">
        <v>733</v>
      </c>
      <c r="E2198" s="15">
        <v>1</v>
      </c>
    </row>
    <row r="2199" spans="1:5" x14ac:dyDescent="0.4">
      <c r="A2199" s="13" t="s">
        <v>1338</v>
      </c>
      <c r="B2199" s="13" t="s">
        <v>20</v>
      </c>
      <c r="C2199" s="13" t="s">
        <v>27</v>
      </c>
      <c r="D2199" s="14">
        <v>733</v>
      </c>
      <c r="E2199" s="15">
        <v>2</v>
      </c>
    </row>
    <row r="2200" spans="1:5" x14ac:dyDescent="0.4">
      <c r="A2200" s="13" t="s">
        <v>1426</v>
      </c>
      <c r="B2200" s="13" t="s">
        <v>24</v>
      </c>
      <c r="C2200" s="13" t="s">
        <v>27</v>
      </c>
      <c r="D2200" s="14">
        <v>733</v>
      </c>
      <c r="E2200" s="15">
        <v>0</v>
      </c>
    </row>
    <row r="2201" spans="1:5" x14ac:dyDescent="0.4">
      <c r="A2201" s="13" t="s">
        <v>1458</v>
      </c>
      <c r="B2201" s="13" t="s">
        <v>20</v>
      </c>
      <c r="C2201" s="13" t="s">
        <v>44</v>
      </c>
      <c r="D2201" s="14">
        <v>733</v>
      </c>
      <c r="E2201" s="15">
        <v>4</v>
      </c>
    </row>
    <row r="2202" spans="1:5" x14ac:dyDescent="0.4">
      <c r="A2202" s="13" t="s">
        <v>885</v>
      </c>
      <c r="B2202" s="13" t="s">
        <v>20</v>
      </c>
      <c r="C2202" s="13" t="s">
        <v>44</v>
      </c>
      <c r="D2202" s="14">
        <v>734</v>
      </c>
      <c r="E2202" s="15">
        <v>3</v>
      </c>
    </row>
    <row r="2203" spans="1:5" x14ac:dyDescent="0.4">
      <c r="A2203" s="13" t="s">
        <v>315</v>
      </c>
      <c r="B2203" s="13" t="s">
        <v>20</v>
      </c>
      <c r="C2203" s="13" t="s">
        <v>5</v>
      </c>
      <c r="D2203" s="14">
        <v>735</v>
      </c>
      <c r="E2203" s="15">
        <v>1</v>
      </c>
    </row>
    <row r="2204" spans="1:5" x14ac:dyDescent="0.4">
      <c r="A2204" s="13" t="s">
        <v>937</v>
      </c>
      <c r="B2204" s="13" t="s">
        <v>20</v>
      </c>
      <c r="C2204" s="13" t="s">
        <v>32</v>
      </c>
      <c r="D2204" s="14">
        <v>735</v>
      </c>
      <c r="E2204" s="15">
        <v>4</v>
      </c>
    </row>
    <row r="2205" spans="1:5" x14ac:dyDescent="0.4">
      <c r="A2205" s="13" t="s">
        <v>1430</v>
      </c>
      <c r="B2205" s="13" t="s">
        <v>20</v>
      </c>
      <c r="C2205" s="13" t="s">
        <v>27</v>
      </c>
      <c r="D2205" s="14">
        <v>735</v>
      </c>
      <c r="E2205" s="15">
        <v>0</v>
      </c>
    </row>
    <row r="2206" spans="1:5" x14ac:dyDescent="0.4">
      <c r="A2206" s="13" t="s">
        <v>1743</v>
      </c>
      <c r="B2206" s="13" t="s">
        <v>24</v>
      </c>
      <c r="C2206" s="13" t="s">
        <v>44</v>
      </c>
      <c r="D2206" s="14">
        <v>735</v>
      </c>
      <c r="E2206" s="15">
        <v>0</v>
      </c>
    </row>
    <row r="2207" spans="1:5" x14ac:dyDescent="0.4">
      <c r="A2207" s="13" t="s">
        <v>667</v>
      </c>
      <c r="B2207" s="13" t="s">
        <v>24</v>
      </c>
      <c r="C2207" s="13" t="s">
        <v>30</v>
      </c>
      <c r="D2207" s="14">
        <v>736</v>
      </c>
      <c r="E2207" s="15">
        <v>2</v>
      </c>
    </row>
    <row r="2208" spans="1:5" x14ac:dyDescent="0.4">
      <c r="A2208" s="13" t="s">
        <v>1703</v>
      </c>
      <c r="B2208" s="13" t="s">
        <v>20</v>
      </c>
      <c r="C2208" s="13" t="s">
        <v>44</v>
      </c>
      <c r="D2208" s="14">
        <v>736</v>
      </c>
      <c r="E2208" s="15">
        <v>5</v>
      </c>
    </row>
    <row r="2209" spans="1:5" x14ac:dyDescent="0.4">
      <c r="A2209" s="13" t="s">
        <v>566</v>
      </c>
      <c r="B2209" s="13" t="s">
        <v>26</v>
      </c>
      <c r="C2209" s="13" t="s">
        <v>44</v>
      </c>
      <c r="D2209" s="14">
        <v>737</v>
      </c>
      <c r="E2209" s="15">
        <v>0</v>
      </c>
    </row>
    <row r="2210" spans="1:5" x14ac:dyDescent="0.4">
      <c r="A2210" s="13" t="s">
        <v>657</v>
      </c>
      <c r="B2210" s="13" t="s">
        <v>26</v>
      </c>
      <c r="C2210" s="13" t="s">
        <v>44</v>
      </c>
      <c r="D2210" s="14">
        <v>737</v>
      </c>
      <c r="E2210" s="15">
        <v>0</v>
      </c>
    </row>
    <row r="2211" spans="1:5" x14ac:dyDescent="0.4">
      <c r="A2211" s="13" t="s">
        <v>940</v>
      </c>
      <c r="B2211" s="13" t="s">
        <v>24</v>
      </c>
      <c r="C2211" s="13" t="s">
        <v>27</v>
      </c>
      <c r="D2211" s="14">
        <v>737</v>
      </c>
      <c r="E2211" s="15">
        <v>1</v>
      </c>
    </row>
    <row r="2212" spans="1:5" x14ac:dyDescent="0.4">
      <c r="A2212" s="13" t="s">
        <v>1106</v>
      </c>
      <c r="B2212" s="13" t="s">
        <v>20</v>
      </c>
      <c r="C2212" s="13" t="s">
        <v>30</v>
      </c>
      <c r="D2212" s="14">
        <v>737</v>
      </c>
      <c r="E2212" s="15">
        <v>2</v>
      </c>
    </row>
    <row r="2213" spans="1:5" x14ac:dyDescent="0.4">
      <c r="A2213" s="13" t="s">
        <v>1160</v>
      </c>
      <c r="B2213" s="13" t="s">
        <v>20</v>
      </c>
      <c r="C2213" s="13" t="s">
        <v>34</v>
      </c>
      <c r="D2213" s="14">
        <v>737</v>
      </c>
      <c r="E2213" s="15">
        <v>1</v>
      </c>
    </row>
    <row r="2214" spans="1:5" x14ac:dyDescent="0.4">
      <c r="A2214" s="13" t="s">
        <v>1413</v>
      </c>
      <c r="B2214" s="13" t="s">
        <v>24</v>
      </c>
      <c r="C2214" s="13" t="s">
        <v>34</v>
      </c>
      <c r="D2214" s="14">
        <v>737</v>
      </c>
      <c r="E2214" s="15">
        <v>3</v>
      </c>
    </row>
    <row r="2215" spans="1:5" x14ac:dyDescent="0.4">
      <c r="A2215" s="13" t="s">
        <v>41</v>
      </c>
      <c r="B2215" s="13" t="s">
        <v>24</v>
      </c>
      <c r="C2215" s="13" t="s">
        <v>34</v>
      </c>
      <c r="D2215" s="14">
        <v>738</v>
      </c>
      <c r="E2215" s="15">
        <v>2</v>
      </c>
    </row>
    <row r="2216" spans="1:5" x14ac:dyDescent="0.4">
      <c r="A2216" s="13" t="s">
        <v>880</v>
      </c>
      <c r="B2216" s="13" t="s">
        <v>26</v>
      </c>
      <c r="C2216" s="13" t="s">
        <v>66</v>
      </c>
      <c r="D2216" s="14">
        <v>738</v>
      </c>
      <c r="E2216" s="15">
        <v>1</v>
      </c>
    </row>
    <row r="2217" spans="1:5" x14ac:dyDescent="0.4">
      <c r="A2217" s="13" t="s">
        <v>1622</v>
      </c>
      <c r="B2217" s="13" t="s">
        <v>20</v>
      </c>
      <c r="C2217" s="13" t="s">
        <v>27</v>
      </c>
      <c r="D2217" s="14">
        <v>738</v>
      </c>
      <c r="E2217" s="15">
        <v>4</v>
      </c>
    </row>
    <row r="2218" spans="1:5" x14ac:dyDescent="0.4">
      <c r="A2218" s="13" t="s">
        <v>1966</v>
      </c>
      <c r="B2218" s="13" t="s">
        <v>20</v>
      </c>
      <c r="C2218" s="13" t="s">
        <v>39</v>
      </c>
      <c r="D2218" s="14">
        <v>738</v>
      </c>
      <c r="E2218" s="15">
        <v>5</v>
      </c>
    </row>
    <row r="2219" spans="1:5" x14ac:dyDescent="0.4">
      <c r="A2219" s="13" t="s">
        <v>403</v>
      </c>
      <c r="B2219" s="13" t="s">
        <v>24</v>
      </c>
      <c r="C2219" s="13" t="s">
        <v>27</v>
      </c>
      <c r="D2219" s="14">
        <v>739</v>
      </c>
      <c r="E2219" s="15">
        <v>0</v>
      </c>
    </row>
    <row r="2220" spans="1:5" x14ac:dyDescent="0.4">
      <c r="A2220" s="13" t="s">
        <v>1557</v>
      </c>
      <c r="B2220" s="13" t="s">
        <v>20</v>
      </c>
      <c r="C2220" s="13" t="s">
        <v>39</v>
      </c>
      <c r="D2220" s="14">
        <v>739</v>
      </c>
      <c r="E2220" s="15">
        <v>1</v>
      </c>
    </row>
    <row r="2221" spans="1:5" x14ac:dyDescent="0.4">
      <c r="A2221" s="13" t="s">
        <v>890</v>
      </c>
      <c r="B2221" s="13" t="s">
        <v>20</v>
      </c>
      <c r="C2221" s="13" t="s">
        <v>44</v>
      </c>
      <c r="D2221" s="14">
        <v>740</v>
      </c>
      <c r="E2221" s="15">
        <v>7</v>
      </c>
    </row>
    <row r="2222" spans="1:5" x14ac:dyDescent="0.4">
      <c r="A2222" s="13" t="s">
        <v>1346</v>
      </c>
      <c r="B2222" s="13" t="s">
        <v>26</v>
      </c>
      <c r="C2222" s="13" t="s">
        <v>44</v>
      </c>
      <c r="D2222" s="14">
        <v>740</v>
      </c>
      <c r="E2222" s="15">
        <v>0</v>
      </c>
    </row>
    <row r="2223" spans="1:5" x14ac:dyDescent="0.4">
      <c r="A2223" s="13" t="s">
        <v>537</v>
      </c>
      <c r="B2223" s="13" t="s">
        <v>26</v>
      </c>
      <c r="C2223" s="13" t="s">
        <v>5</v>
      </c>
      <c r="D2223" s="14">
        <v>741</v>
      </c>
      <c r="E2223" s="15">
        <v>0</v>
      </c>
    </row>
    <row r="2224" spans="1:5" x14ac:dyDescent="0.4">
      <c r="A2224" s="13" t="s">
        <v>703</v>
      </c>
      <c r="B2224" s="13" t="s">
        <v>24</v>
      </c>
      <c r="C2224" s="13" t="s">
        <v>32</v>
      </c>
      <c r="D2224" s="14">
        <v>741</v>
      </c>
      <c r="E2224" s="15">
        <v>0</v>
      </c>
    </row>
    <row r="2225" spans="1:5" x14ac:dyDescent="0.4">
      <c r="A2225" s="13" t="s">
        <v>856</v>
      </c>
      <c r="B2225" s="13" t="s">
        <v>24</v>
      </c>
      <c r="C2225" s="13" t="s">
        <v>21</v>
      </c>
      <c r="D2225" s="14">
        <v>741</v>
      </c>
      <c r="E2225" s="15">
        <v>5</v>
      </c>
    </row>
    <row r="2226" spans="1:5" x14ac:dyDescent="0.4">
      <c r="A2226" s="13" t="s">
        <v>1396</v>
      </c>
      <c r="B2226" s="13" t="s">
        <v>20</v>
      </c>
      <c r="C2226" s="13" t="s">
        <v>5</v>
      </c>
      <c r="D2226" s="14">
        <v>741</v>
      </c>
      <c r="E2226" s="15">
        <v>0</v>
      </c>
    </row>
    <row r="2227" spans="1:5" x14ac:dyDescent="0.4">
      <c r="A2227" s="13" t="s">
        <v>1478</v>
      </c>
      <c r="B2227" s="13" t="s">
        <v>20</v>
      </c>
      <c r="C2227" s="13" t="s">
        <v>21</v>
      </c>
      <c r="D2227" s="14">
        <v>742</v>
      </c>
      <c r="E2227" s="15">
        <v>7</v>
      </c>
    </row>
    <row r="2228" spans="1:5" x14ac:dyDescent="0.4">
      <c r="A2228" s="13" t="s">
        <v>1898</v>
      </c>
      <c r="B2228" s="13" t="s">
        <v>26</v>
      </c>
      <c r="C2228" s="13" t="s">
        <v>44</v>
      </c>
      <c r="D2228" s="14">
        <v>742</v>
      </c>
      <c r="E2228" s="15">
        <v>0</v>
      </c>
    </row>
    <row r="2229" spans="1:5" x14ac:dyDescent="0.4">
      <c r="A2229" s="13" t="s">
        <v>147</v>
      </c>
      <c r="B2229" s="13" t="s">
        <v>20</v>
      </c>
      <c r="C2229" s="13" t="s">
        <v>34</v>
      </c>
      <c r="D2229" s="14">
        <v>743</v>
      </c>
      <c r="E2229" s="15">
        <v>2</v>
      </c>
    </row>
    <row r="2230" spans="1:5" x14ac:dyDescent="0.4">
      <c r="A2230" s="13" t="s">
        <v>329</v>
      </c>
      <c r="B2230" s="13" t="s">
        <v>26</v>
      </c>
      <c r="C2230" s="13" t="s">
        <v>34</v>
      </c>
      <c r="D2230" s="14">
        <v>743</v>
      </c>
      <c r="E2230" s="15">
        <v>4</v>
      </c>
    </row>
    <row r="2231" spans="1:5" x14ac:dyDescent="0.4">
      <c r="A2231" s="13" t="s">
        <v>595</v>
      </c>
      <c r="B2231" s="13" t="s">
        <v>20</v>
      </c>
      <c r="C2231" s="13" t="s">
        <v>40</v>
      </c>
      <c r="D2231" s="14">
        <v>743</v>
      </c>
      <c r="E2231" s="15">
        <v>0</v>
      </c>
    </row>
    <row r="2232" spans="1:5" x14ac:dyDescent="0.4">
      <c r="A2232" s="13" t="s">
        <v>742</v>
      </c>
      <c r="B2232" s="13" t="s">
        <v>20</v>
      </c>
      <c r="C2232" s="13" t="s">
        <v>43</v>
      </c>
      <c r="D2232" s="14">
        <v>743</v>
      </c>
      <c r="E2232" s="15">
        <v>12</v>
      </c>
    </row>
    <row r="2233" spans="1:5" x14ac:dyDescent="0.4">
      <c r="A2233" s="13" t="s">
        <v>1318</v>
      </c>
      <c r="B2233" s="13" t="s">
        <v>20</v>
      </c>
      <c r="C2233" s="13" t="s">
        <v>44</v>
      </c>
      <c r="D2233" s="14">
        <v>743</v>
      </c>
      <c r="E2233" s="15">
        <v>3</v>
      </c>
    </row>
    <row r="2234" spans="1:5" x14ac:dyDescent="0.4">
      <c r="A2234" s="13" t="s">
        <v>1496</v>
      </c>
      <c r="B2234" s="13" t="s">
        <v>26</v>
      </c>
      <c r="C2234" s="13" t="s">
        <v>5</v>
      </c>
      <c r="D2234" s="14">
        <v>743</v>
      </c>
      <c r="E2234" s="15">
        <v>0</v>
      </c>
    </row>
    <row r="2235" spans="1:5" x14ac:dyDescent="0.4">
      <c r="A2235" s="13" t="s">
        <v>468</v>
      </c>
      <c r="B2235" s="13" t="s">
        <v>20</v>
      </c>
      <c r="C2235" s="13" t="s">
        <v>44</v>
      </c>
      <c r="D2235" s="14">
        <v>744</v>
      </c>
      <c r="E2235" s="15">
        <v>0</v>
      </c>
    </row>
    <row r="2236" spans="1:5" x14ac:dyDescent="0.4">
      <c r="A2236" s="13" t="s">
        <v>568</v>
      </c>
      <c r="B2236" s="13" t="s">
        <v>26</v>
      </c>
      <c r="C2236" s="13" t="s">
        <v>40</v>
      </c>
      <c r="D2236" s="14">
        <v>744</v>
      </c>
      <c r="E2236" s="15">
        <v>8</v>
      </c>
    </row>
    <row r="2237" spans="1:5" x14ac:dyDescent="0.4">
      <c r="A2237" s="13" t="s">
        <v>1219</v>
      </c>
      <c r="B2237" s="13" t="s">
        <v>26</v>
      </c>
      <c r="C2237" s="13" t="s">
        <v>25</v>
      </c>
      <c r="D2237" s="14">
        <v>744</v>
      </c>
      <c r="E2237" s="15">
        <v>0</v>
      </c>
    </row>
    <row r="2238" spans="1:5" x14ac:dyDescent="0.4">
      <c r="A2238" s="13" t="s">
        <v>1612</v>
      </c>
      <c r="B2238" s="13" t="s">
        <v>24</v>
      </c>
      <c r="C2238" s="13" t="s">
        <v>27</v>
      </c>
      <c r="D2238" s="14">
        <v>744</v>
      </c>
      <c r="E2238" s="15">
        <v>2</v>
      </c>
    </row>
    <row r="2239" spans="1:5" x14ac:dyDescent="0.4">
      <c r="A2239" s="13" t="s">
        <v>355</v>
      </c>
      <c r="B2239" s="13" t="s">
        <v>20</v>
      </c>
      <c r="C2239" s="13" t="s">
        <v>53</v>
      </c>
      <c r="D2239" s="14">
        <v>745</v>
      </c>
      <c r="E2239" s="15">
        <v>1</v>
      </c>
    </row>
    <row r="2240" spans="1:5" x14ac:dyDescent="0.4">
      <c r="A2240" s="13" t="s">
        <v>524</v>
      </c>
      <c r="B2240" s="13" t="s">
        <v>20</v>
      </c>
      <c r="C2240" s="13" t="s">
        <v>33</v>
      </c>
      <c r="D2240" s="14">
        <v>745</v>
      </c>
      <c r="E2240" s="15">
        <v>5</v>
      </c>
    </row>
    <row r="2241" spans="1:5" x14ac:dyDescent="0.4">
      <c r="A2241" s="13" t="s">
        <v>1567</v>
      </c>
      <c r="B2241" s="13" t="s">
        <v>20</v>
      </c>
      <c r="C2241" s="13" t="s">
        <v>27</v>
      </c>
      <c r="D2241" s="14">
        <v>745</v>
      </c>
      <c r="E2241" s="15">
        <v>2</v>
      </c>
    </row>
    <row r="2242" spans="1:5" x14ac:dyDescent="0.4">
      <c r="A2242" s="13" t="s">
        <v>1828</v>
      </c>
      <c r="B2242" s="13" t="s">
        <v>26</v>
      </c>
      <c r="C2242" s="13" t="s">
        <v>44</v>
      </c>
      <c r="D2242" s="14">
        <v>745</v>
      </c>
      <c r="E2242" s="15">
        <v>3</v>
      </c>
    </row>
    <row r="2243" spans="1:5" x14ac:dyDescent="0.4">
      <c r="A2243" s="13" t="s">
        <v>204</v>
      </c>
      <c r="B2243" s="13" t="s">
        <v>24</v>
      </c>
      <c r="C2243" s="13" t="s">
        <v>30</v>
      </c>
      <c r="D2243" s="14">
        <v>746</v>
      </c>
      <c r="E2243" s="15">
        <v>12</v>
      </c>
    </row>
    <row r="2244" spans="1:5" x14ac:dyDescent="0.4">
      <c r="A2244" s="13" t="s">
        <v>598</v>
      </c>
      <c r="B2244" s="13" t="s">
        <v>20</v>
      </c>
      <c r="C2244" s="13" t="s">
        <v>44</v>
      </c>
      <c r="D2244" s="14">
        <v>747</v>
      </c>
      <c r="E2244" s="15">
        <v>4</v>
      </c>
    </row>
    <row r="2245" spans="1:5" x14ac:dyDescent="0.4">
      <c r="A2245" s="13" t="s">
        <v>1335</v>
      </c>
      <c r="B2245" s="13" t="s">
        <v>24</v>
      </c>
      <c r="C2245" s="13" t="s">
        <v>44</v>
      </c>
      <c r="D2245" s="14">
        <v>747</v>
      </c>
      <c r="E2245" s="15">
        <v>1</v>
      </c>
    </row>
    <row r="2246" spans="1:5" x14ac:dyDescent="0.4">
      <c r="A2246" s="13" t="s">
        <v>453</v>
      </c>
      <c r="B2246" s="13" t="s">
        <v>20</v>
      </c>
      <c r="C2246" s="13" t="s">
        <v>25</v>
      </c>
      <c r="D2246" s="14">
        <v>748</v>
      </c>
      <c r="E2246" s="15">
        <v>0</v>
      </c>
    </row>
    <row r="2247" spans="1:5" x14ac:dyDescent="0.4">
      <c r="A2247" s="13" t="s">
        <v>1068</v>
      </c>
      <c r="B2247" s="13" t="s">
        <v>20</v>
      </c>
      <c r="C2247" s="13" t="s">
        <v>111</v>
      </c>
      <c r="D2247" s="14">
        <v>748</v>
      </c>
      <c r="E2247" s="15">
        <v>0</v>
      </c>
    </row>
    <row r="2248" spans="1:5" x14ac:dyDescent="0.4">
      <c r="A2248" s="13" t="s">
        <v>145</v>
      </c>
      <c r="B2248" s="13" t="s">
        <v>26</v>
      </c>
      <c r="C2248" s="13" t="s">
        <v>44</v>
      </c>
      <c r="D2248" s="14">
        <v>749</v>
      </c>
      <c r="E2248" s="15">
        <v>3</v>
      </c>
    </row>
    <row r="2249" spans="1:5" x14ac:dyDescent="0.4">
      <c r="A2249" s="13" t="s">
        <v>1459</v>
      </c>
      <c r="B2249" s="13" t="s">
        <v>20</v>
      </c>
      <c r="C2249" s="13" t="s">
        <v>34</v>
      </c>
      <c r="D2249" s="14">
        <v>749</v>
      </c>
      <c r="E2249" s="15">
        <v>1</v>
      </c>
    </row>
    <row r="2250" spans="1:5" x14ac:dyDescent="0.4">
      <c r="A2250" s="13" t="s">
        <v>399</v>
      </c>
      <c r="B2250" s="13" t="s">
        <v>24</v>
      </c>
      <c r="C2250" s="13" t="s">
        <v>40</v>
      </c>
      <c r="D2250" s="14">
        <v>750</v>
      </c>
      <c r="E2250" s="15">
        <v>1</v>
      </c>
    </row>
    <row r="2251" spans="1:5" x14ac:dyDescent="0.4">
      <c r="A2251" s="13" t="s">
        <v>1405</v>
      </c>
      <c r="B2251" s="13" t="s">
        <v>20</v>
      </c>
      <c r="C2251" s="13" t="s">
        <v>39</v>
      </c>
      <c r="D2251" s="14">
        <v>750</v>
      </c>
      <c r="E2251" s="15">
        <v>0</v>
      </c>
    </row>
    <row r="2252" spans="1:5" x14ac:dyDescent="0.4">
      <c r="A2252" s="13" t="s">
        <v>1954</v>
      </c>
      <c r="B2252" s="13" t="s">
        <v>26</v>
      </c>
      <c r="C2252" s="13" t="s">
        <v>44</v>
      </c>
      <c r="D2252" s="14">
        <v>750</v>
      </c>
      <c r="E2252" s="15">
        <v>11</v>
      </c>
    </row>
    <row r="2253" spans="1:5" x14ac:dyDescent="0.4">
      <c r="A2253" s="13" t="s">
        <v>373</v>
      </c>
      <c r="B2253" s="13" t="s">
        <v>24</v>
      </c>
      <c r="C2253" s="13" t="s">
        <v>22</v>
      </c>
      <c r="D2253" s="14">
        <v>751</v>
      </c>
      <c r="E2253" s="15">
        <v>3</v>
      </c>
    </row>
    <row r="2254" spans="1:5" x14ac:dyDescent="0.4">
      <c r="A2254" s="13" t="s">
        <v>427</v>
      </c>
      <c r="B2254" s="13" t="s">
        <v>26</v>
      </c>
      <c r="C2254" s="13" t="s">
        <v>39</v>
      </c>
      <c r="D2254" s="14">
        <v>751</v>
      </c>
      <c r="E2254" s="15">
        <v>2</v>
      </c>
    </row>
    <row r="2255" spans="1:5" x14ac:dyDescent="0.4">
      <c r="A2255" s="13" t="s">
        <v>722</v>
      </c>
      <c r="B2255" s="13" t="s">
        <v>20</v>
      </c>
      <c r="C2255" s="13" t="s">
        <v>44</v>
      </c>
      <c r="D2255" s="14">
        <v>752</v>
      </c>
      <c r="E2255" s="15">
        <v>1</v>
      </c>
    </row>
    <row r="2256" spans="1:5" x14ac:dyDescent="0.4">
      <c r="A2256" s="13" t="s">
        <v>1241</v>
      </c>
      <c r="B2256" s="13" t="s">
        <v>20</v>
      </c>
      <c r="C2256" s="13" t="s">
        <v>30</v>
      </c>
      <c r="D2256" s="14">
        <v>752</v>
      </c>
      <c r="E2256" s="15">
        <v>0</v>
      </c>
    </row>
    <row r="2257" spans="1:5" x14ac:dyDescent="0.4">
      <c r="A2257" s="13" t="s">
        <v>129</v>
      </c>
      <c r="B2257" s="13" t="s">
        <v>20</v>
      </c>
      <c r="C2257" s="13" t="s">
        <v>5</v>
      </c>
      <c r="D2257" s="14">
        <v>753</v>
      </c>
      <c r="E2257" s="15">
        <v>0</v>
      </c>
    </row>
    <row r="2258" spans="1:5" x14ac:dyDescent="0.4">
      <c r="A2258" s="13" t="s">
        <v>215</v>
      </c>
      <c r="B2258" s="13" t="s">
        <v>20</v>
      </c>
      <c r="C2258" s="13" t="s">
        <v>27</v>
      </c>
      <c r="D2258" s="14">
        <v>753</v>
      </c>
      <c r="E2258" s="15">
        <v>4</v>
      </c>
    </row>
    <row r="2259" spans="1:5" x14ac:dyDescent="0.4">
      <c r="A2259" s="13" t="s">
        <v>1395</v>
      </c>
      <c r="B2259" s="13" t="s">
        <v>26</v>
      </c>
      <c r="C2259" s="13" t="s">
        <v>43</v>
      </c>
      <c r="D2259" s="14">
        <v>753</v>
      </c>
      <c r="E2259" s="15">
        <v>0</v>
      </c>
    </row>
    <row r="2260" spans="1:5" x14ac:dyDescent="0.4">
      <c r="A2260" s="13" t="s">
        <v>1774</v>
      </c>
      <c r="B2260" s="13" t="s">
        <v>24</v>
      </c>
      <c r="C2260" s="13" t="s">
        <v>62</v>
      </c>
      <c r="D2260" s="14">
        <v>753</v>
      </c>
      <c r="E2260" s="15">
        <v>0</v>
      </c>
    </row>
    <row r="2261" spans="1:5" x14ac:dyDescent="0.4">
      <c r="A2261" s="13" t="s">
        <v>342</v>
      </c>
      <c r="B2261" s="13" t="s">
        <v>20</v>
      </c>
      <c r="C2261" s="13" t="s">
        <v>111</v>
      </c>
      <c r="D2261" s="14">
        <v>754</v>
      </c>
      <c r="E2261" s="15">
        <v>8</v>
      </c>
    </row>
    <row r="2262" spans="1:5" x14ac:dyDescent="0.4">
      <c r="A2262" s="13" t="s">
        <v>1738</v>
      </c>
      <c r="B2262" s="13" t="s">
        <v>24</v>
      </c>
      <c r="C2262" s="13" t="s">
        <v>44</v>
      </c>
      <c r="D2262" s="14">
        <v>754</v>
      </c>
      <c r="E2262" s="15">
        <v>0</v>
      </c>
    </row>
    <row r="2263" spans="1:5" x14ac:dyDescent="0.4">
      <c r="A2263" s="13" t="s">
        <v>55</v>
      </c>
      <c r="B2263" s="13" t="s">
        <v>24</v>
      </c>
      <c r="C2263" s="13" t="s">
        <v>40</v>
      </c>
      <c r="D2263" s="14">
        <v>755</v>
      </c>
      <c r="E2263" s="15">
        <v>5</v>
      </c>
    </row>
    <row r="2264" spans="1:5" x14ac:dyDescent="0.4">
      <c r="A2264" s="13" t="s">
        <v>1676</v>
      </c>
      <c r="B2264" s="13" t="s">
        <v>26</v>
      </c>
      <c r="C2264" s="13" t="s">
        <v>44</v>
      </c>
      <c r="D2264" s="14">
        <v>755</v>
      </c>
      <c r="E2264" s="15">
        <v>0</v>
      </c>
    </row>
    <row r="2265" spans="1:5" x14ac:dyDescent="0.4">
      <c r="A2265" s="13" t="s">
        <v>582</v>
      </c>
      <c r="B2265" s="13" t="s">
        <v>26</v>
      </c>
      <c r="C2265" s="13" t="s">
        <v>43</v>
      </c>
      <c r="D2265" s="14">
        <v>756</v>
      </c>
      <c r="E2265" s="15">
        <v>1</v>
      </c>
    </row>
    <row r="2266" spans="1:5" x14ac:dyDescent="0.4">
      <c r="A2266" s="13" t="s">
        <v>854</v>
      </c>
      <c r="B2266" s="13" t="s">
        <v>24</v>
      </c>
      <c r="C2266" s="13" t="s">
        <v>66</v>
      </c>
      <c r="D2266" s="14">
        <v>756</v>
      </c>
      <c r="E2266" s="15">
        <v>10</v>
      </c>
    </row>
    <row r="2267" spans="1:5" x14ac:dyDescent="0.4">
      <c r="A2267" s="13" t="s">
        <v>1098</v>
      </c>
      <c r="B2267" s="13" t="s">
        <v>24</v>
      </c>
      <c r="C2267" s="13" t="s">
        <v>27</v>
      </c>
      <c r="D2267" s="14">
        <v>756</v>
      </c>
      <c r="E2267" s="15">
        <v>0</v>
      </c>
    </row>
    <row r="2268" spans="1:5" x14ac:dyDescent="0.4">
      <c r="A2268" s="13" t="s">
        <v>1387</v>
      </c>
      <c r="B2268" s="13" t="s">
        <v>26</v>
      </c>
      <c r="C2268" s="13" t="s">
        <v>25</v>
      </c>
      <c r="D2268" s="14">
        <v>756</v>
      </c>
      <c r="E2268" s="15">
        <v>7</v>
      </c>
    </row>
    <row r="2269" spans="1:5" x14ac:dyDescent="0.4">
      <c r="A2269" s="13" t="s">
        <v>1498</v>
      </c>
      <c r="B2269" s="13" t="s">
        <v>20</v>
      </c>
      <c r="C2269" s="13" t="s">
        <v>62</v>
      </c>
      <c r="D2269" s="14">
        <v>756</v>
      </c>
      <c r="E2269" s="15">
        <v>0</v>
      </c>
    </row>
    <row r="2270" spans="1:5" x14ac:dyDescent="0.4">
      <c r="A2270" s="13" t="s">
        <v>103</v>
      </c>
      <c r="B2270" s="13" t="s">
        <v>20</v>
      </c>
      <c r="C2270" s="13" t="s">
        <v>27</v>
      </c>
      <c r="D2270" s="14">
        <v>757</v>
      </c>
      <c r="E2270" s="15">
        <v>2</v>
      </c>
    </row>
    <row r="2271" spans="1:5" x14ac:dyDescent="0.4">
      <c r="A2271" s="13" t="s">
        <v>1324</v>
      </c>
      <c r="B2271" s="13" t="s">
        <v>26</v>
      </c>
      <c r="C2271" s="13" t="s">
        <v>28</v>
      </c>
      <c r="D2271" s="14">
        <v>757</v>
      </c>
      <c r="E2271" s="15">
        <v>0</v>
      </c>
    </row>
    <row r="2272" spans="1:5" x14ac:dyDescent="0.4">
      <c r="A2272" s="13" t="s">
        <v>1712</v>
      </c>
      <c r="B2272" s="13" t="s">
        <v>20</v>
      </c>
      <c r="C2272" s="13" t="s">
        <v>40</v>
      </c>
      <c r="D2272" s="14">
        <v>757</v>
      </c>
      <c r="E2272" s="15">
        <v>2</v>
      </c>
    </row>
    <row r="2273" spans="1:5" x14ac:dyDescent="0.4">
      <c r="A2273" s="13" t="s">
        <v>637</v>
      </c>
      <c r="B2273" s="13" t="s">
        <v>20</v>
      </c>
      <c r="C2273" s="13" t="s">
        <v>5</v>
      </c>
      <c r="D2273" s="14">
        <v>758</v>
      </c>
      <c r="E2273" s="15">
        <v>5</v>
      </c>
    </row>
    <row r="2274" spans="1:5" x14ac:dyDescent="0.4">
      <c r="A2274" s="13" t="s">
        <v>1897</v>
      </c>
      <c r="B2274" s="13" t="s">
        <v>26</v>
      </c>
      <c r="C2274" s="13" t="s">
        <v>30</v>
      </c>
      <c r="D2274" s="14">
        <v>758</v>
      </c>
      <c r="E2274" s="15">
        <v>0</v>
      </c>
    </row>
    <row r="2275" spans="1:5" x14ac:dyDescent="0.4">
      <c r="A2275" s="13" t="s">
        <v>92</v>
      </c>
      <c r="B2275" s="13" t="s">
        <v>24</v>
      </c>
      <c r="C2275" s="13" t="s">
        <v>44</v>
      </c>
      <c r="D2275" s="14">
        <v>759</v>
      </c>
      <c r="E2275" s="15">
        <v>0</v>
      </c>
    </row>
    <row r="2276" spans="1:5" x14ac:dyDescent="0.4">
      <c r="A2276" s="13" t="s">
        <v>453</v>
      </c>
      <c r="B2276" s="13" t="s">
        <v>20</v>
      </c>
      <c r="C2276" s="13" t="s">
        <v>39</v>
      </c>
      <c r="D2276" s="14">
        <v>759</v>
      </c>
      <c r="E2276" s="15">
        <v>2</v>
      </c>
    </row>
    <row r="2277" spans="1:5" x14ac:dyDescent="0.4">
      <c r="A2277" s="13" t="s">
        <v>580</v>
      </c>
      <c r="B2277" s="13" t="s">
        <v>20</v>
      </c>
      <c r="C2277" s="13" t="s">
        <v>44</v>
      </c>
      <c r="D2277" s="14">
        <v>759</v>
      </c>
      <c r="E2277" s="15">
        <v>1</v>
      </c>
    </row>
    <row r="2278" spans="1:5" x14ac:dyDescent="0.4">
      <c r="A2278" s="13" t="s">
        <v>738</v>
      </c>
      <c r="B2278" s="13" t="s">
        <v>24</v>
      </c>
      <c r="C2278" s="13" t="s">
        <v>30</v>
      </c>
      <c r="D2278" s="14">
        <v>760</v>
      </c>
      <c r="E2278" s="15">
        <v>0</v>
      </c>
    </row>
    <row r="2279" spans="1:5" x14ac:dyDescent="0.4">
      <c r="A2279" s="13" t="s">
        <v>789</v>
      </c>
      <c r="B2279" s="13" t="s">
        <v>24</v>
      </c>
      <c r="C2279" s="13" t="s">
        <v>32</v>
      </c>
      <c r="D2279" s="14">
        <v>760</v>
      </c>
      <c r="E2279" s="15">
        <v>0</v>
      </c>
    </row>
    <row r="2280" spans="1:5" x14ac:dyDescent="0.4">
      <c r="A2280" s="13" t="s">
        <v>1506</v>
      </c>
      <c r="B2280" s="13" t="s">
        <v>24</v>
      </c>
      <c r="C2280" s="13" t="s">
        <v>25</v>
      </c>
      <c r="D2280" s="14">
        <v>760</v>
      </c>
      <c r="E2280" s="15">
        <v>0</v>
      </c>
    </row>
    <row r="2281" spans="1:5" x14ac:dyDescent="0.4">
      <c r="A2281" s="13" t="s">
        <v>357</v>
      </c>
      <c r="B2281" s="13" t="s">
        <v>26</v>
      </c>
      <c r="C2281" s="13" t="s">
        <v>43</v>
      </c>
      <c r="D2281" s="14">
        <v>761</v>
      </c>
      <c r="E2281" s="15">
        <v>2</v>
      </c>
    </row>
    <row r="2282" spans="1:5" x14ac:dyDescent="0.4">
      <c r="A2282" s="13" t="s">
        <v>439</v>
      </c>
      <c r="B2282" s="13" t="s">
        <v>20</v>
      </c>
      <c r="C2282" s="13" t="s">
        <v>30</v>
      </c>
      <c r="D2282" s="14">
        <v>761</v>
      </c>
      <c r="E2282" s="15">
        <v>0</v>
      </c>
    </row>
    <row r="2283" spans="1:5" x14ac:dyDescent="0.4">
      <c r="A2283" s="13" t="s">
        <v>1076</v>
      </c>
      <c r="B2283" s="13" t="s">
        <v>24</v>
      </c>
      <c r="C2283" s="13" t="s">
        <v>25</v>
      </c>
      <c r="D2283" s="14">
        <v>761</v>
      </c>
      <c r="E2283" s="15">
        <v>7</v>
      </c>
    </row>
    <row r="2284" spans="1:5" x14ac:dyDescent="0.4">
      <c r="A2284" s="13" t="s">
        <v>584</v>
      </c>
      <c r="B2284" s="13" t="s">
        <v>24</v>
      </c>
      <c r="C2284" s="13" t="s">
        <v>32</v>
      </c>
      <c r="D2284" s="14">
        <v>762</v>
      </c>
      <c r="E2284" s="15">
        <v>9</v>
      </c>
    </row>
    <row r="2285" spans="1:5" x14ac:dyDescent="0.4">
      <c r="A2285" s="13" t="s">
        <v>929</v>
      </c>
      <c r="B2285" s="13" t="s">
        <v>26</v>
      </c>
      <c r="C2285" s="13" t="s">
        <v>30</v>
      </c>
      <c r="D2285" s="14">
        <v>762</v>
      </c>
      <c r="E2285" s="15">
        <v>4</v>
      </c>
    </row>
    <row r="2286" spans="1:5" x14ac:dyDescent="0.4">
      <c r="A2286" s="13" t="s">
        <v>1176</v>
      </c>
      <c r="B2286" s="13" t="s">
        <v>26</v>
      </c>
      <c r="C2286" s="13" t="s">
        <v>25</v>
      </c>
      <c r="D2286" s="14">
        <v>762</v>
      </c>
      <c r="E2286" s="15">
        <v>0</v>
      </c>
    </row>
    <row r="2287" spans="1:5" x14ac:dyDescent="0.4">
      <c r="A2287" s="13" t="s">
        <v>1378</v>
      </c>
      <c r="B2287" s="13" t="s">
        <v>26</v>
      </c>
      <c r="C2287" s="13" t="s">
        <v>5</v>
      </c>
      <c r="D2287" s="14">
        <v>762</v>
      </c>
      <c r="E2287" s="15">
        <v>0</v>
      </c>
    </row>
    <row r="2288" spans="1:5" x14ac:dyDescent="0.4">
      <c r="A2288" s="13" t="s">
        <v>1833</v>
      </c>
      <c r="B2288" s="13" t="s">
        <v>20</v>
      </c>
      <c r="C2288" s="13" t="s">
        <v>39</v>
      </c>
      <c r="D2288" s="14">
        <v>762</v>
      </c>
      <c r="E2288" s="15">
        <v>1</v>
      </c>
    </row>
    <row r="2289" spans="1:5" x14ac:dyDescent="0.4">
      <c r="A2289" s="13" t="s">
        <v>1460</v>
      </c>
      <c r="B2289" s="13" t="s">
        <v>26</v>
      </c>
      <c r="C2289" s="13" t="s">
        <v>44</v>
      </c>
      <c r="D2289" s="14">
        <v>763</v>
      </c>
      <c r="E2289" s="15">
        <v>0</v>
      </c>
    </row>
    <row r="2290" spans="1:5" x14ac:dyDescent="0.4">
      <c r="A2290" s="13" t="s">
        <v>1751</v>
      </c>
      <c r="B2290" s="13" t="s">
        <v>24</v>
      </c>
      <c r="C2290" s="13" t="s">
        <v>34</v>
      </c>
      <c r="D2290" s="14">
        <v>763</v>
      </c>
      <c r="E2290" s="15">
        <v>0</v>
      </c>
    </row>
    <row r="2291" spans="1:5" x14ac:dyDescent="0.4">
      <c r="A2291" s="13" t="s">
        <v>101</v>
      </c>
      <c r="B2291" s="13" t="s">
        <v>24</v>
      </c>
      <c r="C2291" s="13" t="s">
        <v>5</v>
      </c>
      <c r="D2291" s="14">
        <v>764</v>
      </c>
      <c r="E2291" s="15">
        <v>1</v>
      </c>
    </row>
    <row r="2292" spans="1:5" x14ac:dyDescent="0.4">
      <c r="A2292" s="13" t="s">
        <v>310</v>
      </c>
      <c r="B2292" s="13" t="s">
        <v>20</v>
      </c>
      <c r="C2292" s="13" t="s">
        <v>66</v>
      </c>
      <c r="D2292" s="14">
        <v>764</v>
      </c>
      <c r="E2292" s="15">
        <v>4</v>
      </c>
    </row>
    <row r="2293" spans="1:5" x14ac:dyDescent="0.4">
      <c r="A2293" s="13" t="s">
        <v>1445</v>
      </c>
      <c r="B2293" s="13" t="s">
        <v>26</v>
      </c>
      <c r="C2293" s="13" t="s">
        <v>39</v>
      </c>
      <c r="D2293" s="14">
        <v>764</v>
      </c>
      <c r="E2293" s="15">
        <v>1</v>
      </c>
    </row>
    <row r="2294" spans="1:5" x14ac:dyDescent="0.4">
      <c r="A2294" s="13" t="s">
        <v>1787</v>
      </c>
      <c r="B2294" s="13" t="s">
        <v>24</v>
      </c>
      <c r="C2294" s="13" t="s">
        <v>62</v>
      </c>
      <c r="D2294" s="14">
        <v>764</v>
      </c>
      <c r="E2294" s="15">
        <v>3</v>
      </c>
    </row>
    <row r="2295" spans="1:5" x14ac:dyDescent="0.4">
      <c r="A2295" s="13" t="s">
        <v>260</v>
      </c>
      <c r="B2295" s="13" t="s">
        <v>24</v>
      </c>
      <c r="C2295" s="13" t="s">
        <v>21</v>
      </c>
      <c r="D2295" s="14">
        <v>765</v>
      </c>
      <c r="E2295" s="15">
        <v>0</v>
      </c>
    </row>
    <row r="2296" spans="1:5" x14ac:dyDescent="0.4">
      <c r="A2296" s="13" t="s">
        <v>421</v>
      </c>
      <c r="B2296" s="13" t="s">
        <v>20</v>
      </c>
      <c r="C2296" s="13" t="s">
        <v>30</v>
      </c>
      <c r="D2296" s="14">
        <v>765</v>
      </c>
      <c r="E2296" s="15">
        <v>0</v>
      </c>
    </row>
    <row r="2297" spans="1:5" x14ac:dyDescent="0.4">
      <c r="A2297" s="13" t="s">
        <v>759</v>
      </c>
      <c r="B2297" s="13" t="s">
        <v>20</v>
      </c>
      <c r="C2297" s="13" t="s">
        <v>34</v>
      </c>
      <c r="D2297" s="14">
        <v>765</v>
      </c>
      <c r="E2297" s="15">
        <v>1</v>
      </c>
    </row>
    <row r="2298" spans="1:5" x14ac:dyDescent="0.4">
      <c r="A2298" s="13" t="s">
        <v>616</v>
      </c>
      <c r="B2298" s="13" t="s">
        <v>26</v>
      </c>
      <c r="C2298" s="13" t="s">
        <v>39</v>
      </c>
      <c r="D2298" s="14">
        <v>766</v>
      </c>
      <c r="E2298" s="15">
        <v>2</v>
      </c>
    </row>
    <row r="2299" spans="1:5" x14ac:dyDescent="0.4">
      <c r="A2299" s="13" t="s">
        <v>624</v>
      </c>
      <c r="B2299" s="13" t="s">
        <v>26</v>
      </c>
      <c r="C2299" s="13" t="s">
        <v>44</v>
      </c>
      <c r="D2299" s="14">
        <v>766</v>
      </c>
      <c r="E2299" s="15">
        <v>1</v>
      </c>
    </row>
    <row r="2300" spans="1:5" x14ac:dyDescent="0.4">
      <c r="A2300" s="13" t="s">
        <v>781</v>
      </c>
      <c r="B2300" s="13" t="s">
        <v>26</v>
      </c>
      <c r="C2300" s="13" t="s">
        <v>33</v>
      </c>
      <c r="D2300" s="14">
        <v>766</v>
      </c>
      <c r="E2300" s="15">
        <v>9</v>
      </c>
    </row>
    <row r="2301" spans="1:5" x14ac:dyDescent="0.4">
      <c r="A2301" s="13" t="s">
        <v>968</v>
      </c>
      <c r="B2301" s="13" t="s">
        <v>20</v>
      </c>
      <c r="C2301" s="13" t="s">
        <v>21</v>
      </c>
      <c r="D2301" s="14">
        <v>766</v>
      </c>
      <c r="E2301" s="15">
        <v>0</v>
      </c>
    </row>
    <row r="2302" spans="1:5" x14ac:dyDescent="0.4">
      <c r="A2302" s="13" t="s">
        <v>1067</v>
      </c>
      <c r="B2302" s="13" t="s">
        <v>20</v>
      </c>
      <c r="C2302" s="13" t="s">
        <v>5</v>
      </c>
      <c r="D2302" s="14">
        <v>766</v>
      </c>
      <c r="E2302" s="15">
        <v>0</v>
      </c>
    </row>
    <row r="2303" spans="1:5" x14ac:dyDescent="0.4">
      <c r="A2303" s="13" t="s">
        <v>1806</v>
      </c>
      <c r="B2303" s="13" t="s">
        <v>20</v>
      </c>
      <c r="C2303" s="13" t="s">
        <v>53</v>
      </c>
      <c r="D2303" s="14">
        <v>766</v>
      </c>
      <c r="E2303" s="15">
        <v>8</v>
      </c>
    </row>
    <row r="2304" spans="1:5" x14ac:dyDescent="0.4">
      <c r="A2304" s="13" t="s">
        <v>1946</v>
      </c>
      <c r="B2304" s="13" t="s">
        <v>20</v>
      </c>
      <c r="C2304" s="13" t="s">
        <v>5</v>
      </c>
      <c r="D2304" s="14">
        <v>766</v>
      </c>
      <c r="E2304" s="15">
        <v>1</v>
      </c>
    </row>
    <row r="2305" spans="1:5" x14ac:dyDescent="0.4">
      <c r="A2305" s="13" t="s">
        <v>122</v>
      </c>
      <c r="B2305" s="13" t="s">
        <v>24</v>
      </c>
      <c r="C2305" s="13" t="s">
        <v>43</v>
      </c>
      <c r="D2305" s="14">
        <v>767</v>
      </c>
      <c r="E2305" s="15">
        <v>0</v>
      </c>
    </row>
    <row r="2306" spans="1:5" x14ac:dyDescent="0.4">
      <c r="A2306" s="13" t="s">
        <v>150</v>
      </c>
      <c r="B2306" s="13" t="s">
        <v>20</v>
      </c>
      <c r="C2306" s="13" t="s">
        <v>39</v>
      </c>
      <c r="D2306" s="14">
        <v>767</v>
      </c>
      <c r="E2306" s="15">
        <v>5</v>
      </c>
    </row>
    <row r="2307" spans="1:5" x14ac:dyDescent="0.4">
      <c r="A2307" s="13" t="s">
        <v>228</v>
      </c>
      <c r="B2307" s="13" t="s">
        <v>24</v>
      </c>
      <c r="C2307" s="13" t="s">
        <v>44</v>
      </c>
      <c r="D2307" s="14">
        <v>767</v>
      </c>
      <c r="E2307" s="15">
        <v>2</v>
      </c>
    </row>
    <row r="2308" spans="1:5" x14ac:dyDescent="0.4">
      <c r="A2308" s="13" t="s">
        <v>495</v>
      </c>
      <c r="B2308" s="13" t="s">
        <v>20</v>
      </c>
      <c r="C2308" s="13" t="s">
        <v>32</v>
      </c>
      <c r="D2308" s="14">
        <v>767</v>
      </c>
      <c r="E2308" s="15">
        <v>1</v>
      </c>
    </row>
    <row r="2309" spans="1:5" x14ac:dyDescent="0.4">
      <c r="A2309" s="13" t="s">
        <v>1526</v>
      </c>
      <c r="B2309" s="13" t="s">
        <v>24</v>
      </c>
      <c r="C2309" s="13" t="s">
        <v>44</v>
      </c>
      <c r="D2309" s="14">
        <v>767</v>
      </c>
      <c r="E2309" s="15">
        <v>1</v>
      </c>
    </row>
    <row r="2310" spans="1:5" x14ac:dyDescent="0.4">
      <c r="A2310" s="13" t="s">
        <v>1532</v>
      </c>
      <c r="B2310" s="13" t="s">
        <v>20</v>
      </c>
      <c r="C2310" s="13" t="s">
        <v>30</v>
      </c>
      <c r="D2310" s="14">
        <v>767</v>
      </c>
      <c r="E2310" s="15">
        <v>1</v>
      </c>
    </row>
    <row r="2311" spans="1:5" x14ac:dyDescent="0.4">
      <c r="A2311" s="13" t="s">
        <v>875</v>
      </c>
      <c r="B2311" s="13" t="s">
        <v>20</v>
      </c>
      <c r="C2311" s="13" t="s">
        <v>44</v>
      </c>
      <c r="D2311" s="14">
        <v>768</v>
      </c>
      <c r="E2311" s="15">
        <v>0</v>
      </c>
    </row>
    <row r="2312" spans="1:5" x14ac:dyDescent="0.4">
      <c r="A2312" s="13" t="s">
        <v>1067</v>
      </c>
      <c r="B2312" s="13" t="s">
        <v>20</v>
      </c>
      <c r="C2312" s="13" t="s">
        <v>28</v>
      </c>
      <c r="D2312" s="14">
        <v>768</v>
      </c>
      <c r="E2312" s="15">
        <v>0</v>
      </c>
    </row>
    <row r="2313" spans="1:5" x14ac:dyDescent="0.4">
      <c r="A2313" s="13" t="s">
        <v>1495</v>
      </c>
      <c r="B2313" s="13" t="s">
        <v>20</v>
      </c>
      <c r="C2313" s="13" t="s">
        <v>44</v>
      </c>
      <c r="D2313" s="14">
        <v>768</v>
      </c>
      <c r="E2313" s="15">
        <v>0</v>
      </c>
    </row>
    <row r="2314" spans="1:5" x14ac:dyDescent="0.4">
      <c r="A2314" s="13" t="s">
        <v>835</v>
      </c>
      <c r="B2314" s="13" t="s">
        <v>24</v>
      </c>
      <c r="C2314" s="13" t="s">
        <v>34</v>
      </c>
      <c r="D2314" s="14">
        <v>769</v>
      </c>
      <c r="E2314" s="15">
        <v>2</v>
      </c>
    </row>
    <row r="2315" spans="1:5" x14ac:dyDescent="0.4">
      <c r="A2315" s="13" t="s">
        <v>856</v>
      </c>
      <c r="B2315" s="13" t="s">
        <v>20</v>
      </c>
      <c r="C2315" s="13" t="s">
        <v>21</v>
      </c>
      <c r="D2315" s="14">
        <v>769</v>
      </c>
      <c r="E2315" s="15">
        <v>2</v>
      </c>
    </row>
    <row r="2316" spans="1:5" x14ac:dyDescent="0.4">
      <c r="A2316" s="13" t="s">
        <v>1187</v>
      </c>
      <c r="B2316" s="13" t="s">
        <v>24</v>
      </c>
      <c r="C2316" s="13" t="s">
        <v>34</v>
      </c>
      <c r="D2316" s="14">
        <v>770</v>
      </c>
      <c r="E2316" s="15">
        <v>12</v>
      </c>
    </row>
    <row r="2317" spans="1:5" x14ac:dyDescent="0.4">
      <c r="A2317" s="13" t="s">
        <v>1365</v>
      </c>
      <c r="B2317" s="13" t="s">
        <v>24</v>
      </c>
      <c r="C2317" s="13" t="s">
        <v>53</v>
      </c>
      <c r="D2317" s="14">
        <v>771</v>
      </c>
      <c r="E2317" s="15">
        <v>4</v>
      </c>
    </row>
    <row r="2318" spans="1:5" x14ac:dyDescent="0.4">
      <c r="A2318" s="13" t="s">
        <v>1807</v>
      </c>
      <c r="B2318" s="13" t="s">
        <v>20</v>
      </c>
      <c r="C2318" s="13" t="s">
        <v>5</v>
      </c>
      <c r="D2318" s="14">
        <v>771</v>
      </c>
      <c r="E2318" s="15">
        <v>5</v>
      </c>
    </row>
    <row r="2319" spans="1:5" x14ac:dyDescent="0.4">
      <c r="A2319" s="13" t="s">
        <v>552</v>
      </c>
      <c r="B2319" s="13" t="s">
        <v>26</v>
      </c>
      <c r="C2319" s="13" t="s">
        <v>5</v>
      </c>
      <c r="D2319" s="14">
        <v>772</v>
      </c>
      <c r="E2319" s="15">
        <v>0</v>
      </c>
    </row>
    <row r="2320" spans="1:5" x14ac:dyDescent="0.4">
      <c r="A2320" s="13" t="s">
        <v>936</v>
      </c>
      <c r="B2320" s="13" t="s">
        <v>26</v>
      </c>
      <c r="C2320" s="13" t="s">
        <v>66</v>
      </c>
      <c r="D2320" s="14">
        <v>772</v>
      </c>
      <c r="E2320" s="15">
        <v>2</v>
      </c>
    </row>
    <row r="2321" spans="1:5" x14ac:dyDescent="0.4">
      <c r="A2321" s="13" t="s">
        <v>383</v>
      </c>
      <c r="B2321" s="13" t="s">
        <v>20</v>
      </c>
      <c r="C2321" s="13" t="s">
        <v>53</v>
      </c>
      <c r="D2321" s="14">
        <v>773</v>
      </c>
      <c r="E2321" s="15">
        <v>0</v>
      </c>
    </row>
    <row r="2322" spans="1:5" x14ac:dyDescent="0.4">
      <c r="A2322" s="13" t="s">
        <v>674</v>
      </c>
      <c r="B2322" s="13" t="s">
        <v>26</v>
      </c>
      <c r="C2322" s="13" t="s">
        <v>5</v>
      </c>
      <c r="D2322" s="14">
        <v>773</v>
      </c>
      <c r="E2322" s="15">
        <v>5</v>
      </c>
    </row>
    <row r="2323" spans="1:5" x14ac:dyDescent="0.4">
      <c r="A2323" s="13" t="s">
        <v>1316</v>
      </c>
      <c r="B2323" s="13" t="s">
        <v>20</v>
      </c>
      <c r="C2323" s="13" t="s">
        <v>28</v>
      </c>
      <c r="D2323" s="14">
        <v>773</v>
      </c>
      <c r="E2323" s="15">
        <v>2</v>
      </c>
    </row>
    <row r="2324" spans="1:5" x14ac:dyDescent="0.4">
      <c r="A2324" s="13" t="s">
        <v>1376</v>
      </c>
      <c r="B2324" s="13" t="s">
        <v>24</v>
      </c>
      <c r="C2324" s="13" t="s">
        <v>22</v>
      </c>
      <c r="D2324" s="14">
        <v>773</v>
      </c>
      <c r="E2324" s="15">
        <v>0</v>
      </c>
    </row>
    <row r="2325" spans="1:5" x14ac:dyDescent="0.4">
      <c r="A2325" s="13" t="s">
        <v>132</v>
      </c>
      <c r="B2325" s="13" t="s">
        <v>26</v>
      </c>
      <c r="C2325" s="13" t="s">
        <v>33</v>
      </c>
      <c r="D2325" s="14">
        <v>774</v>
      </c>
      <c r="E2325" s="15">
        <v>4</v>
      </c>
    </row>
    <row r="2326" spans="1:5" x14ac:dyDescent="0.4">
      <c r="A2326" s="13" t="s">
        <v>195</v>
      </c>
      <c r="B2326" s="13" t="s">
        <v>20</v>
      </c>
      <c r="C2326" s="13" t="s">
        <v>30</v>
      </c>
      <c r="D2326" s="14">
        <v>774</v>
      </c>
      <c r="E2326" s="15">
        <v>0</v>
      </c>
    </row>
    <row r="2327" spans="1:5" x14ac:dyDescent="0.4">
      <c r="A2327" s="13" t="s">
        <v>462</v>
      </c>
      <c r="B2327" s="13" t="s">
        <v>20</v>
      </c>
      <c r="C2327" s="13" t="s">
        <v>27</v>
      </c>
      <c r="D2327" s="14">
        <v>775</v>
      </c>
      <c r="E2327" s="15">
        <v>5</v>
      </c>
    </row>
    <row r="2328" spans="1:5" x14ac:dyDescent="0.4">
      <c r="A2328" s="13" t="s">
        <v>700</v>
      </c>
      <c r="B2328" s="13" t="s">
        <v>24</v>
      </c>
      <c r="C2328" s="13" t="s">
        <v>43</v>
      </c>
      <c r="D2328" s="14">
        <v>775</v>
      </c>
      <c r="E2328" s="15">
        <v>3</v>
      </c>
    </row>
    <row r="2329" spans="1:5" x14ac:dyDescent="0.4">
      <c r="A2329" s="13" t="s">
        <v>815</v>
      </c>
      <c r="B2329" s="13" t="s">
        <v>24</v>
      </c>
      <c r="C2329" s="13" t="s">
        <v>111</v>
      </c>
      <c r="D2329" s="14">
        <v>775</v>
      </c>
      <c r="E2329" s="15">
        <v>9</v>
      </c>
    </row>
    <row r="2330" spans="1:5" x14ac:dyDescent="0.4">
      <c r="A2330" s="13" t="s">
        <v>962</v>
      </c>
      <c r="B2330" s="13" t="s">
        <v>26</v>
      </c>
      <c r="C2330" s="13" t="s">
        <v>62</v>
      </c>
      <c r="D2330" s="14">
        <v>776</v>
      </c>
      <c r="E2330" s="15">
        <v>12</v>
      </c>
    </row>
    <row r="2331" spans="1:5" x14ac:dyDescent="0.4">
      <c r="A2331" s="13" t="s">
        <v>1093</v>
      </c>
      <c r="B2331" s="13" t="s">
        <v>20</v>
      </c>
      <c r="C2331" s="13" t="s">
        <v>25</v>
      </c>
      <c r="D2331" s="14">
        <v>776</v>
      </c>
      <c r="E2331" s="15">
        <v>4</v>
      </c>
    </row>
    <row r="2332" spans="1:5" x14ac:dyDescent="0.4">
      <c r="A2332" s="13" t="s">
        <v>1139</v>
      </c>
      <c r="B2332" s="13" t="s">
        <v>24</v>
      </c>
      <c r="C2332" s="13" t="s">
        <v>39</v>
      </c>
      <c r="D2332" s="14">
        <v>776</v>
      </c>
      <c r="E2332" s="15">
        <v>6</v>
      </c>
    </row>
    <row r="2333" spans="1:5" x14ac:dyDescent="0.4">
      <c r="A2333" s="13" t="s">
        <v>849</v>
      </c>
      <c r="B2333" s="13" t="s">
        <v>26</v>
      </c>
      <c r="C2333" s="13" t="s">
        <v>111</v>
      </c>
      <c r="D2333" s="14">
        <v>777</v>
      </c>
      <c r="E2333" s="15">
        <v>0</v>
      </c>
    </row>
    <row r="2334" spans="1:5" x14ac:dyDescent="0.4">
      <c r="A2334" s="13" t="s">
        <v>1088</v>
      </c>
      <c r="B2334" s="13" t="s">
        <v>20</v>
      </c>
      <c r="C2334" s="13" t="s">
        <v>22</v>
      </c>
      <c r="D2334" s="14">
        <v>777</v>
      </c>
      <c r="E2334" s="15">
        <v>4</v>
      </c>
    </row>
    <row r="2335" spans="1:5" x14ac:dyDescent="0.4">
      <c r="A2335" s="13" t="s">
        <v>173</v>
      </c>
      <c r="B2335" s="13" t="s">
        <v>24</v>
      </c>
      <c r="C2335" s="13" t="s">
        <v>44</v>
      </c>
      <c r="D2335" s="14">
        <v>778</v>
      </c>
      <c r="E2335" s="15">
        <v>17</v>
      </c>
    </row>
    <row r="2336" spans="1:5" x14ac:dyDescent="0.4">
      <c r="A2336" s="13" t="s">
        <v>271</v>
      </c>
      <c r="B2336" s="13" t="s">
        <v>20</v>
      </c>
      <c r="C2336" s="13" t="s">
        <v>25</v>
      </c>
      <c r="D2336" s="14">
        <v>778</v>
      </c>
      <c r="E2336" s="15">
        <v>8</v>
      </c>
    </row>
    <row r="2337" spans="1:5" x14ac:dyDescent="0.4">
      <c r="A2337" s="13" t="s">
        <v>792</v>
      </c>
      <c r="B2337" s="13" t="s">
        <v>20</v>
      </c>
      <c r="C2337" s="13" t="s">
        <v>27</v>
      </c>
      <c r="D2337" s="14">
        <v>778</v>
      </c>
      <c r="E2337" s="15">
        <v>1</v>
      </c>
    </row>
    <row r="2338" spans="1:5" x14ac:dyDescent="0.4">
      <c r="A2338" s="13" t="s">
        <v>1434</v>
      </c>
      <c r="B2338" s="13" t="s">
        <v>24</v>
      </c>
      <c r="C2338" s="13" t="s">
        <v>111</v>
      </c>
      <c r="D2338" s="14">
        <v>778</v>
      </c>
      <c r="E2338" s="15">
        <v>3</v>
      </c>
    </row>
    <row r="2339" spans="1:5" x14ac:dyDescent="0.4">
      <c r="A2339" s="13" t="s">
        <v>1733</v>
      </c>
      <c r="B2339" s="13" t="s">
        <v>26</v>
      </c>
      <c r="C2339" s="13" t="s">
        <v>44</v>
      </c>
      <c r="D2339" s="14">
        <v>778</v>
      </c>
      <c r="E2339" s="15">
        <v>1</v>
      </c>
    </row>
    <row r="2340" spans="1:5" x14ac:dyDescent="0.4">
      <c r="A2340" s="13" t="s">
        <v>1009</v>
      </c>
      <c r="B2340" s="13" t="s">
        <v>20</v>
      </c>
      <c r="C2340" s="13" t="s">
        <v>44</v>
      </c>
      <c r="D2340" s="14">
        <v>779</v>
      </c>
      <c r="E2340" s="15">
        <v>0</v>
      </c>
    </row>
    <row r="2341" spans="1:5" x14ac:dyDescent="0.4">
      <c r="A2341" s="13" t="s">
        <v>1402</v>
      </c>
      <c r="B2341" s="13" t="s">
        <v>20</v>
      </c>
      <c r="C2341" s="13" t="s">
        <v>22</v>
      </c>
      <c r="D2341" s="14">
        <v>779</v>
      </c>
      <c r="E2341" s="15">
        <v>3</v>
      </c>
    </row>
    <row r="2342" spans="1:5" x14ac:dyDescent="0.4">
      <c r="A2342" s="13" t="s">
        <v>387</v>
      </c>
      <c r="B2342" s="13" t="s">
        <v>26</v>
      </c>
      <c r="C2342" s="13" t="s">
        <v>44</v>
      </c>
      <c r="D2342" s="14">
        <v>780</v>
      </c>
      <c r="E2342" s="15">
        <v>2</v>
      </c>
    </row>
    <row r="2343" spans="1:5" x14ac:dyDescent="0.4">
      <c r="A2343" s="13" t="s">
        <v>623</v>
      </c>
      <c r="B2343" s="13" t="s">
        <v>24</v>
      </c>
      <c r="C2343" s="13" t="s">
        <v>22</v>
      </c>
      <c r="D2343" s="14">
        <v>780</v>
      </c>
      <c r="E2343" s="15">
        <v>1</v>
      </c>
    </row>
    <row r="2344" spans="1:5" x14ac:dyDescent="0.4">
      <c r="A2344" s="13" t="s">
        <v>756</v>
      </c>
      <c r="B2344" s="13" t="s">
        <v>20</v>
      </c>
      <c r="C2344" s="13" t="s">
        <v>43</v>
      </c>
      <c r="D2344" s="14">
        <v>780</v>
      </c>
      <c r="E2344" s="15">
        <v>0</v>
      </c>
    </row>
    <row r="2345" spans="1:5" x14ac:dyDescent="0.4">
      <c r="A2345" s="13" t="s">
        <v>1636</v>
      </c>
      <c r="B2345" s="13" t="s">
        <v>20</v>
      </c>
      <c r="C2345" s="13" t="s">
        <v>27</v>
      </c>
      <c r="D2345" s="14">
        <v>780</v>
      </c>
      <c r="E2345" s="15">
        <v>0</v>
      </c>
    </row>
    <row r="2346" spans="1:5" x14ac:dyDescent="0.4">
      <c r="A2346" s="13" t="s">
        <v>581</v>
      </c>
      <c r="B2346" s="13" t="s">
        <v>24</v>
      </c>
      <c r="C2346" s="13" t="s">
        <v>39</v>
      </c>
      <c r="D2346" s="14">
        <v>782</v>
      </c>
      <c r="E2346" s="15">
        <v>4</v>
      </c>
    </row>
    <row r="2347" spans="1:5" x14ac:dyDescent="0.4">
      <c r="A2347" s="13" t="s">
        <v>1523</v>
      </c>
      <c r="B2347" s="13" t="s">
        <v>20</v>
      </c>
      <c r="C2347" s="13" t="s">
        <v>40</v>
      </c>
      <c r="D2347" s="14">
        <v>782</v>
      </c>
      <c r="E2347" s="15">
        <v>0</v>
      </c>
    </row>
    <row r="2348" spans="1:5" x14ac:dyDescent="0.4">
      <c r="A2348" s="13" t="s">
        <v>1778</v>
      </c>
      <c r="B2348" s="13" t="s">
        <v>26</v>
      </c>
      <c r="C2348" s="13" t="s">
        <v>39</v>
      </c>
      <c r="D2348" s="14">
        <v>782</v>
      </c>
      <c r="E2348" s="15">
        <v>1</v>
      </c>
    </row>
    <row r="2349" spans="1:5" x14ac:dyDescent="0.4">
      <c r="A2349" s="13" t="s">
        <v>1733</v>
      </c>
      <c r="B2349" s="13" t="s">
        <v>26</v>
      </c>
      <c r="C2349" s="13" t="s">
        <v>22</v>
      </c>
      <c r="D2349" s="14">
        <v>783</v>
      </c>
      <c r="E2349" s="15">
        <v>0</v>
      </c>
    </row>
    <row r="2350" spans="1:5" x14ac:dyDescent="0.4">
      <c r="A2350" s="13" t="s">
        <v>887</v>
      </c>
      <c r="B2350" s="13" t="s">
        <v>24</v>
      </c>
      <c r="C2350" s="13" t="s">
        <v>62</v>
      </c>
      <c r="D2350" s="14">
        <v>784</v>
      </c>
      <c r="E2350" s="15">
        <v>3</v>
      </c>
    </row>
    <row r="2351" spans="1:5" x14ac:dyDescent="0.4">
      <c r="A2351" s="13" t="s">
        <v>1865</v>
      </c>
      <c r="B2351" s="13" t="s">
        <v>26</v>
      </c>
      <c r="C2351" s="13" t="s">
        <v>33</v>
      </c>
      <c r="D2351" s="14">
        <v>784</v>
      </c>
      <c r="E2351" s="15">
        <v>3</v>
      </c>
    </row>
    <row r="2352" spans="1:5" x14ac:dyDescent="0.4">
      <c r="A2352" s="13" t="s">
        <v>633</v>
      </c>
      <c r="B2352" s="13" t="s">
        <v>20</v>
      </c>
      <c r="C2352" s="13" t="s">
        <v>27</v>
      </c>
      <c r="D2352" s="14">
        <v>785</v>
      </c>
      <c r="E2352" s="15">
        <v>0</v>
      </c>
    </row>
    <row r="2353" spans="1:5" x14ac:dyDescent="0.4">
      <c r="A2353" s="13" t="s">
        <v>965</v>
      </c>
      <c r="B2353" s="13" t="s">
        <v>26</v>
      </c>
      <c r="C2353" s="13" t="s">
        <v>27</v>
      </c>
      <c r="D2353" s="14">
        <v>785</v>
      </c>
      <c r="E2353" s="15">
        <v>0</v>
      </c>
    </row>
    <row r="2354" spans="1:5" x14ac:dyDescent="0.4">
      <c r="A2354" s="13" t="s">
        <v>1584</v>
      </c>
      <c r="B2354" s="13" t="s">
        <v>24</v>
      </c>
      <c r="C2354" s="13" t="s">
        <v>28</v>
      </c>
      <c r="D2354" s="14">
        <v>785</v>
      </c>
      <c r="E2354" s="15">
        <v>15</v>
      </c>
    </row>
    <row r="2355" spans="1:5" x14ac:dyDescent="0.4">
      <c r="A2355" s="13" t="s">
        <v>596</v>
      </c>
      <c r="B2355" s="13" t="s">
        <v>26</v>
      </c>
      <c r="C2355" s="13" t="s">
        <v>34</v>
      </c>
      <c r="D2355" s="14">
        <v>786</v>
      </c>
      <c r="E2355" s="15">
        <v>0</v>
      </c>
    </row>
    <row r="2356" spans="1:5" x14ac:dyDescent="0.4">
      <c r="A2356" s="13" t="s">
        <v>860</v>
      </c>
      <c r="B2356" s="13" t="s">
        <v>24</v>
      </c>
      <c r="C2356" s="13" t="s">
        <v>44</v>
      </c>
      <c r="D2356" s="14">
        <v>786</v>
      </c>
      <c r="E2356" s="15">
        <v>0</v>
      </c>
    </row>
    <row r="2357" spans="1:5" x14ac:dyDescent="0.4">
      <c r="A2357" s="13" t="s">
        <v>1951</v>
      </c>
      <c r="B2357" s="13" t="s">
        <v>26</v>
      </c>
      <c r="C2357" s="13" t="s">
        <v>40</v>
      </c>
      <c r="D2357" s="14">
        <v>786</v>
      </c>
      <c r="E2357" s="15">
        <v>5</v>
      </c>
    </row>
    <row r="2358" spans="1:5" x14ac:dyDescent="0.4">
      <c r="A2358" s="13" t="s">
        <v>604</v>
      </c>
      <c r="B2358" s="13" t="s">
        <v>20</v>
      </c>
      <c r="C2358" s="13" t="s">
        <v>44</v>
      </c>
      <c r="D2358" s="14">
        <v>787</v>
      </c>
      <c r="E2358" s="15">
        <v>2</v>
      </c>
    </row>
    <row r="2359" spans="1:5" x14ac:dyDescent="0.4">
      <c r="A2359" s="13" t="s">
        <v>647</v>
      </c>
      <c r="B2359" s="13" t="s">
        <v>26</v>
      </c>
      <c r="C2359" s="13" t="s">
        <v>27</v>
      </c>
      <c r="D2359" s="14">
        <v>787</v>
      </c>
      <c r="E2359" s="15">
        <v>0</v>
      </c>
    </row>
    <row r="2360" spans="1:5" x14ac:dyDescent="0.4">
      <c r="A2360" s="13" t="s">
        <v>959</v>
      </c>
      <c r="B2360" s="13" t="s">
        <v>20</v>
      </c>
      <c r="C2360" s="13" t="s">
        <v>66</v>
      </c>
      <c r="D2360" s="14">
        <v>788</v>
      </c>
      <c r="E2360" s="15">
        <v>0</v>
      </c>
    </row>
    <row r="2361" spans="1:5" x14ac:dyDescent="0.4">
      <c r="A2361" s="13" t="s">
        <v>1044</v>
      </c>
      <c r="B2361" s="13" t="s">
        <v>20</v>
      </c>
      <c r="C2361" s="13" t="s">
        <v>30</v>
      </c>
      <c r="D2361" s="14">
        <v>788</v>
      </c>
      <c r="E2361" s="15">
        <v>0</v>
      </c>
    </row>
    <row r="2362" spans="1:5" x14ac:dyDescent="0.4">
      <c r="A2362" s="13" t="s">
        <v>1077</v>
      </c>
      <c r="B2362" s="13" t="s">
        <v>20</v>
      </c>
      <c r="C2362" s="13" t="s">
        <v>44</v>
      </c>
      <c r="D2362" s="14">
        <v>788</v>
      </c>
      <c r="E2362" s="15">
        <v>0</v>
      </c>
    </row>
    <row r="2363" spans="1:5" x14ac:dyDescent="0.4">
      <c r="A2363" s="13" t="s">
        <v>1086</v>
      </c>
      <c r="B2363" s="13" t="s">
        <v>26</v>
      </c>
      <c r="C2363" s="13" t="s">
        <v>33</v>
      </c>
      <c r="D2363" s="14">
        <v>788</v>
      </c>
      <c r="E2363" s="15">
        <v>1</v>
      </c>
    </row>
    <row r="2364" spans="1:5" x14ac:dyDescent="0.4">
      <c r="A2364" s="13" t="s">
        <v>1315</v>
      </c>
      <c r="B2364" s="13" t="s">
        <v>20</v>
      </c>
      <c r="C2364" s="13" t="s">
        <v>43</v>
      </c>
      <c r="D2364" s="14">
        <v>788</v>
      </c>
      <c r="E2364" s="15">
        <v>0</v>
      </c>
    </row>
    <row r="2365" spans="1:5" x14ac:dyDescent="0.4">
      <c r="A2365" s="13" t="s">
        <v>1846</v>
      </c>
      <c r="B2365" s="13" t="s">
        <v>26</v>
      </c>
      <c r="C2365" s="13" t="s">
        <v>21</v>
      </c>
      <c r="D2365" s="14">
        <v>788</v>
      </c>
      <c r="E2365" s="15">
        <v>0</v>
      </c>
    </row>
    <row r="2366" spans="1:5" x14ac:dyDescent="0.4">
      <c r="A2366" s="13" t="s">
        <v>1883</v>
      </c>
      <c r="B2366" s="13" t="s">
        <v>24</v>
      </c>
      <c r="C2366" s="13" t="s">
        <v>5</v>
      </c>
      <c r="D2366" s="14">
        <v>788</v>
      </c>
      <c r="E2366" s="15">
        <v>0</v>
      </c>
    </row>
    <row r="2367" spans="1:5" x14ac:dyDescent="0.4">
      <c r="A2367" s="13" t="s">
        <v>64</v>
      </c>
      <c r="B2367" s="13" t="s">
        <v>20</v>
      </c>
      <c r="C2367" s="13" t="s">
        <v>30</v>
      </c>
      <c r="D2367" s="14">
        <v>789</v>
      </c>
      <c r="E2367" s="15">
        <v>5</v>
      </c>
    </row>
    <row r="2368" spans="1:5" x14ac:dyDescent="0.4">
      <c r="A2368" s="13" t="s">
        <v>269</v>
      </c>
      <c r="B2368" s="13" t="s">
        <v>26</v>
      </c>
      <c r="C2368" s="13" t="s">
        <v>111</v>
      </c>
      <c r="D2368" s="14">
        <v>789</v>
      </c>
      <c r="E2368" s="15">
        <v>0</v>
      </c>
    </row>
    <row r="2369" spans="1:5" x14ac:dyDescent="0.4">
      <c r="A2369" s="13" t="s">
        <v>343</v>
      </c>
      <c r="B2369" s="13" t="s">
        <v>26</v>
      </c>
      <c r="C2369" s="13" t="s">
        <v>43</v>
      </c>
      <c r="D2369" s="14">
        <v>789</v>
      </c>
      <c r="E2369" s="15">
        <v>1</v>
      </c>
    </row>
    <row r="2370" spans="1:5" x14ac:dyDescent="0.4">
      <c r="A2370" s="13" t="s">
        <v>753</v>
      </c>
      <c r="B2370" s="13" t="s">
        <v>20</v>
      </c>
      <c r="C2370" s="13" t="s">
        <v>44</v>
      </c>
      <c r="D2370" s="14">
        <v>789</v>
      </c>
      <c r="E2370" s="15">
        <v>1</v>
      </c>
    </row>
    <row r="2371" spans="1:5" x14ac:dyDescent="0.4">
      <c r="A2371" s="13" t="s">
        <v>1597</v>
      </c>
      <c r="B2371" s="13" t="s">
        <v>20</v>
      </c>
      <c r="C2371" s="13" t="s">
        <v>111</v>
      </c>
      <c r="D2371" s="14">
        <v>789</v>
      </c>
      <c r="E2371" s="15">
        <v>0</v>
      </c>
    </row>
    <row r="2372" spans="1:5" x14ac:dyDescent="0.4">
      <c r="A2372" s="13" t="s">
        <v>279</v>
      </c>
      <c r="B2372" s="13" t="s">
        <v>20</v>
      </c>
      <c r="C2372" s="13" t="s">
        <v>30</v>
      </c>
      <c r="D2372" s="14">
        <v>790</v>
      </c>
      <c r="E2372" s="15">
        <v>6</v>
      </c>
    </row>
    <row r="2373" spans="1:5" x14ac:dyDescent="0.4">
      <c r="A2373" s="13" t="s">
        <v>711</v>
      </c>
      <c r="B2373" s="13" t="s">
        <v>26</v>
      </c>
      <c r="C2373" s="13" t="s">
        <v>53</v>
      </c>
      <c r="D2373" s="14">
        <v>790</v>
      </c>
      <c r="E2373" s="15">
        <v>8</v>
      </c>
    </row>
    <row r="2374" spans="1:5" x14ac:dyDescent="0.4">
      <c r="A2374" s="13" t="s">
        <v>134</v>
      </c>
      <c r="B2374" s="13" t="s">
        <v>24</v>
      </c>
      <c r="C2374" s="13" t="s">
        <v>30</v>
      </c>
      <c r="D2374" s="14">
        <v>791</v>
      </c>
      <c r="E2374" s="15">
        <v>0</v>
      </c>
    </row>
    <row r="2375" spans="1:5" x14ac:dyDescent="0.4">
      <c r="A2375" s="13" t="s">
        <v>876</v>
      </c>
      <c r="B2375" s="13" t="s">
        <v>24</v>
      </c>
      <c r="C2375" s="13" t="s">
        <v>39</v>
      </c>
      <c r="D2375" s="14">
        <v>791</v>
      </c>
      <c r="E2375" s="15">
        <v>0</v>
      </c>
    </row>
    <row r="2376" spans="1:5" x14ac:dyDescent="0.4">
      <c r="A2376" s="13" t="s">
        <v>1297</v>
      </c>
      <c r="B2376" s="13" t="s">
        <v>24</v>
      </c>
      <c r="C2376" s="13" t="s">
        <v>27</v>
      </c>
      <c r="D2376" s="14">
        <v>791</v>
      </c>
      <c r="E2376" s="15">
        <v>4</v>
      </c>
    </row>
    <row r="2377" spans="1:5" x14ac:dyDescent="0.4">
      <c r="A2377" s="13" t="s">
        <v>1696</v>
      </c>
      <c r="B2377" s="13" t="s">
        <v>24</v>
      </c>
      <c r="C2377" s="13" t="s">
        <v>25</v>
      </c>
      <c r="D2377" s="14">
        <v>791</v>
      </c>
      <c r="E2377" s="15">
        <v>2</v>
      </c>
    </row>
    <row r="2378" spans="1:5" x14ac:dyDescent="0.4">
      <c r="A2378" s="13" t="s">
        <v>1887</v>
      </c>
      <c r="B2378" s="13" t="s">
        <v>20</v>
      </c>
      <c r="C2378" s="13" t="s">
        <v>33</v>
      </c>
      <c r="D2378" s="14">
        <v>792</v>
      </c>
      <c r="E2378" s="15">
        <v>4</v>
      </c>
    </row>
    <row r="2379" spans="1:5" x14ac:dyDescent="0.4">
      <c r="A2379" s="13" t="s">
        <v>430</v>
      </c>
      <c r="B2379" s="13" t="s">
        <v>26</v>
      </c>
      <c r="C2379" s="13" t="s">
        <v>66</v>
      </c>
      <c r="D2379" s="14">
        <v>793</v>
      </c>
      <c r="E2379" s="15">
        <v>3</v>
      </c>
    </row>
    <row r="2380" spans="1:5" x14ac:dyDescent="0.4">
      <c r="A2380" s="13" t="s">
        <v>553</v>
      </c>
      <c r="B2380" s="13" t="s">
        <v>26</v>
      </c>
      <c r="C2380" s="13" t="s">
        <v>27</v>
      </c>
      <c r="D2380" s="14">
        <v>793</v>
      </c>
      <c r="E2380" s="15">
        <v>1</v>
      </c>
    </row>
    <row r="2381" spans="1:5" x14ac:dyDescent="0.4">
      <c r="A2381" s="13" t="s">
        <v>557</v>
      </c>
      <c r="B2381" s="13" t="s">
        <v>26</v>
      </c>
      <c r="C2381" s="13" t="s">
        <v>33</v>
      </c>
      <c r="D2381" s="14">
        <v>793</v>
      </c>
      <c r="E2381" s="15">
        <v>2</v>
      </c>
    </row>
    <row r="2382" spans="1:5" x14ac:dyDescent="0.4">
      <c r="A2382" s="13" t="s">
        <v>494</v>
      </c>
      <c r="B2382" s="13" t="s">
        <v>24</v>
      </c>
      <c r="C2382" s="13" t="s">
        <v>66</v>
      </c>
      <c r="D2382" s="14">
        <v>794</v>
      </c>
      <c r="E2382" s="15">
        <v>1</v>
      </c>
    </row>
    <row r="2383" spans="1:5" x14ac:dyDescent="0.4">
      <c r="A2383" s="13" t="s">
        <v>86</v>
      </c>
      <c r="B2383" s="13" t="s">
        <v>20</v>
      </c>
      <c r="C2383" s="13" t="s">
        <v>25</v>
      </c>
      <c r="D2383" s="14">
        <v>795</v>
      </c>
      <c r="E2383" s="15">
        <v>4</v>
      </c>
    </row>
    <row r="2384" spans="1:5" x14ac:dyDescent="0.4">
      <c r="A2384" s="13" t="s">
        <v>325</v>
      </c>
      <c r="B2384" s="13" t="s">
        <v>26</v>
      </c>
      <c r="C2384" s="13" t="s">
        <v>44</v>
      </c>
      <c r="D2384" s="14">
        <v>795</v>
      </c>
      <c r="E2384" s="15">
        <v>2</v>
      </c>
    </row>
    <row r="2385" spans="1:5" x14ac:dyDescent="0.4">
      <c r="A2385" s="13" t="s">
        <v>1459</v>
      </c>
      <c r="B2385" s="13" t="s">
        <v>24</v>
      </c>
      <c r="C2385" s="13" t="s">
        <v>34</v>
      </c>
      <c r="D2385" s="14">
        <v>795</v>
      </c>
      <c r="E2385" s="15">
        <v>2</v>
      </c>
    </row>
    <row r="2386" spans="1:5" x14ac:dyDescent="0.4">
      <c r="A2386" s="13" t="s">
        <v>1468</v>
      </c>
      <c r="B2386" s="13" t="s">
        <v>26</v>
      </c>
      <c r="C2386" s="13" t="s">
        <v>22</v>
      </c>
      <c r="D2386" s="14">
        <v>795</v>
      </c>
      <c r="E2386" s="15">
        <v>3</v>
      </c>
    </row>
    <row r="2387" spans="1:5" x14ac:dyDescent="0.4">
      <c r="A2387" s="13" t="s">
        <v>1719</v>
      </c>
      <c r="B2387" s="13" t="s">
        <v>26</v>
      </c>
      <c r="C2387" s="13" t="s">
        <v>66</v>
      </c>
      <c r="D2387" s="14">
        <v>795</v>
      </c>
      <c r="E2387" s="15">
        <v>3</v>
      </c>
    </row>
    <row r="2388" spans="1:5" x14ac:dyDescent="0.4">
      <c r="A2388" s="13" t="s">
        <v>1522</v>
      </c>
      <c r="B2388" s="13" t="s">
        <v>24</v>
      </c>
      <c r="C2388" s="13" t="s">
        <v>40</v>
      </c>
      <c r="D2388" s="14">
        <v>796</v>
      </c>
      <c r="E2388" s="15">
        <v>5</v>
      </c>
    </row>
    <row r="2389" spans="1:5" x14ac:dyDescent="0.4">
      <c r="A2389" s="13" t="s">
        <v>1255</v>
      </c>
      <c r="B2389" s="13" t="s">
        <v>20</v>
      </c>
      <c r="C2389" s="13" t="s">
        <v>27</v>
      </c>
      <c r="D2389" s="14">
        <v>797</v>
      </c>
      <c r="E2389" s="15">
        <v>0</v>
      </c>
    </row>
    <row r="2390" spans="1:5" x14ac:dyDescent="0.4">
      <c r="A2390" s="13" t="s">
        <v>1578</v>
      </c>
      <c r="B2390" s="13" t="s">
        <v>24</v>
      </c>
      <c r="C2390" s="13" t="s">
        <v>44</v>
      </c>
      <c r="D2390" s="14">
        <v>797</v>
      </c>
      <c r="E2390" s="15">
        <v>1</v>
      </c>
    </row>
    <row r="2391" spans="1:5" x14ac:dyDescent="0.4">
      <c r="A2391" s="13" t="s">
        <v>35</v>
      </c>
      <c r="B2391" s="13" t="s">
        <v>20</v>
      </c>
      <c r="C2391" s="13" t="s">
        <v>22</v>
      </c>
      <c r="D2391" s="14">
        <v>798</v>
      </c>
      <c r="E2391" s="15">
        <v>2</v>
      </c>
    </row>
    <row r="2392" spans="1:5" x14ac:dyDescent="0.4">
      <c r="A2392" s="13" t="s">
        <v>84</v>
      </c>
      <c r="B2392" s="13" t="s">
        <v>26</v>
      </c>
      <c r="C2392" s="13" t="s">
        <v>27</v>
      </c>
      <c r="D2392" s="14">
        <v>798</v>
      </c>
      <c r="E2392" s="15">
        <v>1</v>
      </c>
    </row>
    <row r="2393" spans="1:5" x14ac:dyDescent="0.4">
      <c r="A2393" s="13" t="s">
        <v>348</v>
      </c>
      <c r="B2393" s="13" t="s">
        <v>26</v>
      </c>
      <c r="C2393" s="13" t="s">
        <v>66</v>
      </c>
      <c r="D2393" s="14">
        <v>799</v>
      </c>
      <c r="E2393" s="15">
        <v>0</v>
      </c>
    </row>
    <row r="2394" spans="1:5" x14ac:dyDescent="0.4">
      <c r="A2394" s="13" t="s">
        <v>1308</v>
      </c>
      <c r="B2394" s="13" t="s">
        <v>26</v>
      </c>
      <c r="C2394" s="13" t="s">
        <v>40</v>
      </c>
      <c r="D2394" s="14">
        <v>800</v>
      </c>
      <c r="E2394" s="15">
        <v>9</v>
      </c>
    </row>
    <row r="2395" spans="1:5" x14ac:dyDescent="0.4">
      <c r="A2395" s="13" t="s">
        <v>510</v>
      </c>
      <c r="B2395" s="13" t="s">
        <v>24</v>
      </c>
      <c r="C2395" s="13" t="s">
        <v>111</v>
      </c>
      <c r="D2395" s="14">
        <v>801</v>
      </c>
      <c r="E2395" s="15">
        <v>0</v>
      </c>
    </row>
    <row r="2396" spans="1:5" x14ac:dyDescent="0.4">
      <c r="A2396" s="13" t="s">
        <v>1709</v>
      </c>
      <c r="B2396" s="13" t="s">
        <v>24</v>
      </c>
      <c r="C2396" s="13" t="s">
        <v>5</v>
      </c>
      <c r="D2396" s="14">
        <v>801</v>
      </c>
      <c r="E2396" s="15">
        <v>0</v>
      </c>
    </row>
    <row r="2397" spans="1:5" x14ac:dyDescent="0.4">
      <c r="A2397" s="13" t="s">
        <v>1912</v>
      </c>
      <c r="B2397" s="13" t="s">
        <v>20</v>
      </c>
      <c r="C2397" s="13" t="s">
        <v>25</v>
      </c>
      <c r="D2397" s="14">
        <v>801</v>
      </c>
      <c r="E2397" s="15">
        <v>1</v>
      </c>
    </row>
    <row r="2398" spans="1:5" x14ac:dyDescent="0.4">
      <c r="A2398" s="13" t="s">
        <v>673</v>
      </c>
      <c r="B2398" s="13" t="s">
        <v>26</v>
      </c>
      <c r="C2398" s="13" t="s">
        <v>5</v>
      </c>
      <c r="D2398" s="14">
        <v>803</v>
      </c>
      <c r="E2398" s="15">
        <v>2</v>
      </c>
    </row>
    <row r="2399" spans="1:5" x14ac:dyDescent="0.4">
      <c r="A2399" s="13" t="s">
        <v>821</v>
      </c>
      <c r="B2399" s="13" t="s">
        <v>24</v>
      </c>
      <c r="C2399" s="13" t="s">
        <v>53</v>
      </c>
      <c r="D2399" s="14">
        <v>803</v>
      </c>
      <c r="E2399" s="15">
        <v>2</v>
      </c>
    </row>
    <row r="2400" spans="1:5" x14ac:dyDescent="0.4">
      <c r="A2400" s="13" t="s">
        <v>1550</v>
      </c>
      <c r="B2400" s="13" t="s">
        <v>26</v>
      </c>
      <c r="C2400" s="13" t="s">
        <v>22</v>
      </c>
      <c r="D2400" s="14">
        <v>803</v>
      </c>
      <c r="E2400" s="15">
        <v>0</v>
      </c>
    </row>
    <row r="2401" spans="1:5" x14ac:dyDescent="0.4">
      <c r="A2401" s="13" t="s">
        <v>1617</v>
      </c>
      <c r="B2401" s="13" t="s">
        <v>20</v>
      </c>
      <c r="C2401" s="13" t="s">
        <v>28</v>
      </c>
      <c r="D2401" s="14">
        <v>803</v>
      </c>
      <c r="E2401" s="15">
        <v>0</v>
      </c>
    </row>
    <row r="2402" spans="1:5" x14ac:dyDescent="0.4">
      <c r="A2402" s="13" t="s">
        <v>283</v>
      </c>
      <c r="B2402" s="13" t="s">
        <v>20</v>
      </c>
      <c r="C2402" s="13" t="s">
        <v>33</v>
      </c>
      <c r="D2402" s="14">
        <v>804</v>
      </c>
      <c r="E2402" s="15">
        <v>0</v>
      </c>
    </row>
    <row r="2403" spans="1:5" x14ac:dyDescent="0.4">
      <c r="A2403" s="13" t="s">
        <v>1125</v>
      </c>
      <c r="B2403" s="13" t="s">
        <v>26</v>
      </c>
      <c r="C2403" s="13" t="s">
        <v>22</v>
      </c>
      <c r="D2403" s="14">
        <v>804</v>
      </c>
      <c r="E2403" s="15">
        <v>0</v>
      </c>
    </row>
    <row r="2404" spans="1:5" x14ac:dyDescent="0.4">
      <c r="A2404" s="13" t="s">
        <v>341</v>
      </c>
      <c r="B2404" s="13" t="s">
        <v>26</v>
      </c>
      <c r="C2404" s="13" t="s">
        <v>44</v>
      </c>
      <c r="D2404" s="14">
        <v>805</v>
      </c>
      <c r="E2404" s="15">
        <v>0</v>
      </c>
    </row>
    <row r="2405" spans="1:5" x14ac:dyDescent="0.4">
      <c r="A2405" s="13" t="s">
        <v>1003</v>
      </c>
      <c r="B2405" s="13" t="s">
        <v>24</v>
      </c>
      <c r="C2405" s="13" t="s">
        <v>27</v>
      </c>
      <c r="D2405" s="14">
        <v>805</v>
      </c>
      <c r="E2405" s="15">
        <v>2</v>
      </c>
    </row>
    <row r="2406" spans="1:5" x14ac:dyDescent="0.4">
      <c r="A2406" s="13" t="s">
        <v>109</v>
      </c>
      <c r="B2406" s="13" t="s">
        <v>24</v>
      </c>
      <c r="C2406" s="13" t="s">
        <v>44</v>
      </c>
      <c r="D2406" s="14">
        <v>806</v>
      </c>
      <c r="E2406" s="15">
        <v>2</v>
      </c>
    </row>
    <row r="2407" spans="1:5" x14ac:dyDescent="0.4">
      <c r="A2407" s="13" t="s">
        <v>807</v>
      </c>
      <c r="B2407" s="13" t="s">
        <v>26</v>
      </c>
      <c r="C2407" s="13" t="s">
        <v>40</v>
      </c>
      <c r="D2407" s="14">
        <v>806</v>
      </c>
      <c r="E2407" s="15">
        <v>0</v>
      </c>
    </row>
    <row r="2408" spans="1:5" x14ac:dyDescent="0.4">
      <c r="A2408" s="13" t="s">
        <v>1793</v>
      </c>
      <c r="B2408" s="13" t="s">
        <v>24</v>
      </c>
      <c r="C2408" s="13" t="s">
        <v>32</v>
      </c>
      <c r="D2408" s="14">
        <v>806</v>
      </c>
      <c r="E2408" s="15">
        <v>0</v>
      </c>
    </row>
    <row r="2409" spans="1:5" x14ac:dyDescent="0.4">
      <c r="A2409" s="13" t="s">
        <v>1923</v>
      </c>
      <c r="B2409" s="13" t="s">
        <v>26</v>
      </c>
      <c r="C2409" s="13" t="s">
        <v>28</v>
      </c>
      <c r="D2409" s="14">
        <v>806</v>
      </c>
      <c r="E2409" s="15">
        <v>0</v>
      </c>
    </row>
    <row r="2410" spans="1:5" x14ac:dyDescent="0.4">
      <c r="A2410" s="13" t="s">
        <v>55</v>
      </c>
      <c r="B2410" s="13" t="s">
        <v>26</v>
      </c>
      <c r="C2410" s="13" t="s">
        <v>43</v>
      </c>
      <c r="D2410" s="14">
        <v>807</v>
      </c>
      <c r="E2410" s="15">
        <v>4</v>
      </c>
    </row>
    <row r="2411" spans="1:5" x14ac:dyDescent="0.4">
      <c r="A2411" s="13" t="s">
        <v>283</v>
      </c>
      <c r="B2411" s="13" t="s">
        <v>20</v>
      </c>
      <c r="C2411" s="13" t="s">
        <v>44</v>
      </c>
      <c r="D2411" s="14">
        <v>807</v>
      </c>
      <c r="E2411" s="15">
        <v>3</v>
      </c>
    </row>
    <row r="2412" spans="1:5" x14ac:dyDescent="0.4">
      <c r="A2412" s="13" t="s">
        <v>848</v>
      </c>
      <c r="B2412" s="13" t="s">
        <v>20</v>
      </c>
      <c r="C2412" s="13" t="s">
        <v>22</v>
      </c>
      <c r="D2412" s="14">
        <v>807</v>
      </c>
      <c r="E2412" s="15">
        <v>0</v>
      </c>
    </row>
    <row r="2413" spans="1:5" x14ac:dyDescent="0.4">
      <c r="A2413" s="13" t="s">
        <v>1819</v>
      </c>
      <c r="B2413" s="13" t="s">
        <v>20</v>
      </c>
      <c r="C2413" s="13" t="s">
        <v>30</v>
      </c>
      <c r="D2413" s="14">
        <v>807</v>
      </c>
      <c r="E2413" s="15">
        <v>4</v>
      </c>
    </row>
    <row r="2414" spans="1:5" x14ac:dyDescent="0.4">
      <c r="A2414" s="13" t="s">
        <v>904</v>
      </c>
      <c r="B2414" s="13" t="s">
        <v>20</v>
      </c>
      <c r="C2414" s="13" t="s">
        <v>39</v>
      </c>
      <c r="D2414" s="14">
        <v>808</v>
      </c>
      <c r="E2414" s="15">
        <v>1</v>
      </c>
    </row>
    <row r="2415" spans="1:5" x14ac:dyDescent="0.4">
      <c r="A2415" s="13" t="s">
        <v>1863</v>
      </c>
      <c r="B2415" s="13" t="s">
        <v>20</v>
      </c>
      <c r="C2415" s="13" t="s">
        <v>22</v>
      </c>
      <c r="D2415" s="14">
        <v>808</v>
      </c>
      <c r="E2415" s="15">
        <v>0</v>
      </c>
    </row>
    <row r="2416" spans="1:5" x14ac:dyDescent="0.4">
      <c r="A2416" s="13" t="s">
        <v>587</v>
      </c>
      <c r="B2416" s="13" t="s">
        <v>24</v>
      </c>
      <c r="C2416" s="13" t="s">
        <v>27</v>
      </c>
      <c r="D2416" s="14">
        <v>809</v>
      </c>
      <c r="E2416" s="15">
        <v>2</v>
      </c>
    </row>
    <row r="2417" spans="1:5" x14ac:dyDescent="0.4">
      <c r="A2417" s="13" t="s">
        <v>602</v>
      </c>
      <c r="B2417" s="13" t="s">
        <v>26</v>
      </c>
      <c r="C2417" s="13" t="s">
        <v>40</v>
      </c>
      <c r="D2417" s="14">
        <v>809</v>
      </c>
      <c r="E2417" s="15">
        <v>1</v>
      </c>
    </row>
    <row r="2418" spans="1:5" x14ac:dyDescent="0.4">
      <c r="A2418" s="13" t="s">
        <v>1579</v>
      </c>
      <c r="B2418" s="13" t="s">
        <v>20</v>
      </c>
      <c r="C2418" s="13" t="s">
        <v>25</v>
      </c>
      <c r="D2418" s="14">
        <v>809</v>
      </c>
      <c r="E2418" s="15">
        <v>0</v>
      </c>
    </row>
    <row r="2419" spans="1:5" x14ac:dyDescent="0.4">
      <c r="A2419" s="13" t="s">
        <v>1673</v>
      </c>
      <c r="B2419" s="13" t="s">
        <v>20</v>
      </c>
      <c r="C2419" s="13" t="s">
        <v>32</v>
      </c>
      <c r="D2419" s="14">
        <v>809</v>
      </c>
      <c r="E2419" s="15">
        <v>5</v>
      </c>
    </row>
    <row r="2420" spans="1:5" x14ac:dyDescent="0.4">
      <c r="A2420" s="13" t="s">
        <v>1677</v>
      </c>
      <c r="B2420" s="13" t="s">
        <v>26</v>
      </c>
      <c r="C2420" s="13" t="s">
        <v>44</v>
      </c>
      <c r="D2420" s="14">
        <v>809</v>
      </c>
      <c r="E2420" s="15">
        <v>3</v>
      </c>
    </row>
    <row r="2421" spans="1:5" x14ac:dyDescent="0.4">
      <c r="A2421" s="13" t="s">
        <v>1791</v>
      </c>
      <c r="B2421" s="13" t="s">
        <v>20</v>
      </c>
      <c r="C2421" s="13" t="s">
        <v>39</v>
      </c>
      <c r="D2421" s="14">
        <v>809</v>
      </c>
      <c r="E2421" s="15">
        <v>2</v>
      </c>
    </row>
    <row r="2422" spans="1:5" x14ac:dyDescent="0.4">
      <c r="A2422" s="13" t="s">
        <v>920</v>
      </c>
      <c r="B2422" s="13" t="s">
        <v>20</v>
      </c>
      <c r="C2422" s="13" t="s">
        <v>30</v>
      </c>
      <c r="D2422" s="14">
        <v>810</v>
      </c>
      <c r="E2422" s="15">
        <v>2</v>
      </c>
    </row>
    <row r="2423" spans="1:5" x14ac:dyDescent="0.4">
      <c r="A2423" s="13" t="s">
        <v>1217</v>
      </c>
      <c r="B2423" s="13" t="s">
        <v>24</v>
      </c>
      <c r="C2423" s="13" t="s">
        <v>39</v>
      </c>
      <c r="D2423" s="14">
        <v>810</v>
      </c>
      <c r="E2423" s="15">
        <v>11</v>
      </c>
    </row>
    <row r="2424" spans="1:5" x14ac:dyDescent="0.4">
      <c r="A2424" s="13" t="s">
        <v>246</v>
      </c>
      <c r="B2424" s="13" t="s">
        <v>26</v>
      </c>
      <c r="C2424" s="13" t="s">
        <v>66</v>
      </c>
      <c r="D2424" s="14">
        <v>811</v>
      </c>
      <c r="E2424" s="15">
        <v>2</v>
      </c>
    </row>
    <row r="2425" spans="1:5" x14ac:dyDescent="0.4">
      <c r="A2425" s="13" t="s">
        <v>1023</v>
      </c>
      <c r="B2425" s="13" t="s">
        <v>20</v>
      </c>
      <c r="C2425" s="13" t="s">
        <v>39</v>
      </c>
      <c r="D2425" s="14">
        <v>811</v>
      </c>
      <c r="E2425" s="15">
        <v>0</v>
      </c>
    </row>
    <row r="2426" spans="1:5" x14ac:dyDescent="0.4">
      <c r="A2426" s="13" t="s">
        <v>1453</v>
      </c>
      <c r="B2426" s="13" t="s">
        <v>24</v>
      </c>
      <c r="C2426" s="13" t="s">
        <v>44</v>
      </c>
      <c r="D2426" s="14">
        <v>811</v>
      </c>
      <c r="E2426" s="15">
        <v>0</v>
      </c>
    </row>
    <row r="2427" spans="1:5" x14ac:dyDescent="0.4">
      <c r="A2427" s="13" t="s">
        <v>56</v>
      </c>
      <c r="B2427" s="13" t="s">
        <v>20</v>
      </c>
      <c r="C2427" s="13" t="s">
        <v>39</v>
      </c>
      <c r="D2427" s="14">
        <v>812</v>
      </c>
      <c r="E2427" s="15">
        <v>1</v>
      </c>
    </row>
    <row r="2428" spans="1:5" x14ac:dyDescent="0.4">
      <c r="A2428" s="13" t="s">
        <v>216</v>
      </c>
      <c r="B2428" s="13" t="s">
        <v>20</v>
      </c>
      <c r="C2428" s="13" t="s">
        <v>34</v>
      </c>
      <c r="D2428" s="14">
        <v>812</v>
      </c>
      <c r="E2428" s="15">
        <v>2</v>
      </c>
    </row>
    <row r="2429" spans="1:5" x14ac:dyDescent="0.4">
      <c r="A2429" s="13" t="s">
        <v>351</v>
      </c>
      <c r="B2429" s="13" t="s">
        <v>24</v>
      </c>
      <c r="C2429" s="13" t="s">
        <v>30</v>
      </c>
      <c r="D2429" s="14">
        <v>812</v>
      </c>
      <c r="E2429" s="15">
        <v>0</v>
      </c>
    </row>
    <row r="2430" spans="1:5" x14ac:dyDescent="0.4">
      <c r="A2430" s="13" t="s">
        <v>309</v>
      </c>
      <c r="B2430" s="13" t="s">
        <v>24</v>
      </c>
      <c r="C2430" s="13" t="s">
        <v>22</v>
      </c>
      <c r="D2430" s="14">
        <v>813</v>
      </c>
      <c r="E2430" s="15">
        <v>0</v>
      </c>
    </row>
    <row r="2431" spans="1:5" x14ac:dyDescent="0.4">
      <c r="A2431" s="13" t="s">
        <v>857</v>
      </c>
      <c r="B2431" s="13" t="s">
        <v>26</v>
      </c>
      <c r="C2431" s="13" t="s">
        <v>27</v>
      </c>
      <c r="D2431" s="14">
        <v>813</v>
      </c>
      <c r="E2431" s="15">
        <v>0</v>
      </c>
    </row>
    <row r="2432" spans="1:5" x14ac:dyDescent="0.4">
      <c r="A2432" s="13" t="s">
        <v>1703</v>
      </c>
      <c r="B2432" s="13" t="s">
        <v>24</v>
      </c>
      <c r="C2432" s="13" t="s">
        <v>28</v>
      </c>
      <c r="D2432" s="14">
        <v>813</v>
      </c>
      <c r="E2432" s="15">
        <v>1</v>
      </c>
    </row>
    <row r="2433" spans="1:5" x14ac:dyDescent="0.4">
      <c r="A2433" s="13" t="s">
        <v>1919</v>
      </c>
      <c r="B2433" s="13" t="s">
        <v>20</v>
      </c>
      <c r="C2433" s="13" t="s">
        <v>53</v>
      </c>
      <c r="D2433" s="14">
        <v>813</v>
      </c>
      <c r="E2433" s="15">
        <v>2</v>
      </c>
    </row>
    <row r="2434" spans="1:5" x14ac:dyDescent="0.4">
      <c r="A2434" s="13" t="s">
        <v>1752</v>
      </c>
      <c r="B2434" s="13" t="s">
        <v>24</v>
      </c>
      <c r="C2434" s="13" t="s">
        <v>22</v>
      </c>
      <c r="D2434" s="14">
        <v>814</v>
      </c>
      <c r="E2434" s="15">
        <v>1</v>
      </c>
    </row>
    <row r="2435" spans="1:5" x14ac:dyDescent="0.4">
      <c r="A2435" s="13" t="s">
        <v>227</v>
      </c>
      <c r="B2435" s="13" t="s">
        <v>24</v>
      </c>
      <c r="C2435" s="13" t="s">
        <v>44</v>
      </c>
      <c r="D2435" s="14">
        <v>815</v>
      </c>
      <c r="E2435" s="15">
        <v>4</v>
      </c>
    </row>
    <row r="2436" spans="1:5" x14ac:dyDescent="0.4">
      <c r="A2436" s="13" t="s">
        <v>855</v>
      </c>
      <c r="B2436" s="13" t="s">
        <v>20</v>
      </c>
      <c r="C2436" s="13" t="s">
        <v>111</v>
      </c>
      <c r="D2436" s="14">
        <v>815</v>
      </c>
      <c r="E2436" s="15">
        <v>3</v>
      </c>
    </row>
    <row r="2437" spans="1:5" x14ac:dyDescent="0.4">
      <c r="A2437" s="13" t="s">
        <v>884</v>
      </c>
      <c r="B2437" s="13" t="s">
        <v>24</v>
      </c>
      <c r="C2437" s="13" t="s">
        <v>44</v>
      </c>
      <c r="D2437" s="14">
        <v>815</v>
      </c>
      <c r="E2437" s="15">
        <v>2</v>
      </c>
    </row>
    <row r="2438" spans="1:5" x14ac:dyDescent="0.4">
      <c r="A2438" s="13" t="s">
        <v>1608</v>
      </c>
      <c r="B2438" s="13" t="s">
        <v>26</v>
      </c>
      <c r="C2438" s="13" t="s">
        <v>30</v>
      </c>
      <c r="D2438" s="14">
        <v>815</v>
      </c>
      <c r="E2438" s="15">
        <v>2</v>
      </c>
    </row>
    <row r="2439" spans="1:5" x14ac:dyDescent="0.4">
      <c r="A2439" s="13" t="s">
        <v>1170</v>
      </c>
      <c r="B2439" s="13" t="s">
        <v>20</v>
      </c>
      <c r="C2439" s="13" t="s">
        <v>44</v>
      </c>
      <c r="D2439" s="14">
        <v>816</v>
      </c>
      <c r="E2439" s="15">
        <v>0</v>
      </c>
    </row>
    <row r="2440" spans="1:5" x14ac:dyDescent="0.4">
      <c r="A2440" s="13" t="s">
        <v>1503</v>
      </c>
      <c r="B2440" s="13" t="s">
        <v>24</v>
      </c>
      <c r="C2440" s="13" t="s">
        <v>33</v>
      </c>
      <c r="D2440" s="14">
        <v>816</v>
      </c>
      <c r="E2440" s="15">
        <v>8</v>
      </c>
    </row>
    <row r="2441" spans="1:5" x14ac:dyDescent="0.4">
      <c r="A2441" s="13" t="s">
        <v>1649</v>
      </c>
      <c r="B2441" s="13" t="s">
        <v>24</v>
      </c>
      <c r="C2441" s="13" t="s">
        <v>53</v>
      </c>
      <c r="D2441" s="14">
        <v>816</v>
      </c>
      <c r="E2441" s="15">
        <v>0</v>
      </c>
    </row>
    <row r="2442" spans="1:5" x14ac:dyDescent="0.4">
      <c r="A2442" s="13" t="s">
        <v>671</v>
      </c>
      <c r="B2442" s="13" t="s">
        <v>26</v>
      </c>
      <c r="C2442" s="13" t="s">
        <v>27</v>
      </c>
      <c r="D2442" s="14">
        <v>817</v>
      </c>
      <c r="E2442" s="15">
        <v>1</v>
      </c>
    </row>
    <row r="2443" spans="1:5" x14ac:dyDescent="0.4">
      <c r="A2443" s="13" t="s">
        <v>1690</v>
      </c>
      <c r="B2443" s="13" t="s">
        <v>24</v>
      </c>
      <c r="C2443" s="13" t="s">
        <v>53</v>
      </c>
      <c r="D2443" s="14">
        <v>817</v>
      </c>
      <c r="E2443" s="15">
        <v>0</v>
      </c>
    </row>
    <row r="2444" spans="1:5" x14ac:dyDescent="0.4">
      <c r="A2444" s="13" t="s">
        <v>663</v>
      </c>
      <c r="B2444" s="13" t="s">
        <v>24</v>
      </c>
      <c r="C2444" s="13" t="s">
        <v>39</v>
      </c>
      <c r="D2444" s="14">
        <v>818</v>
      </c>
      <c r="E2444" s="15">
        <v>3</v>
      </c>
    </row>
    <row r="2445" spans="1:5" x14ac:dyDescent="0.4">
      <c r="A2445" s="13" t="s">
        <v>946</v>
      </c>
      <c r="B2445" s="13" t="s">
        <v>20</v>
      </c>
      <c r="C2445" s="13" t="s">
        <v>5</v>
      </c>
      <c r="D2445" s="14">
        <v>818</v>
      </c>
      <c r="E2445" s="15">
        <v>4</v>
      </c>
    </row>
    <row r="2446" spans="1:5" x14ac:dyDescent="0.4">
      <c r="A2446" s="13" t="s">
        <v>531</v>
      </c>
      <c r="B2446" s="13" t="s">
        <v>26</v>
      </c>
      <c r="C2446" s="13" t="s">
        <v>27</v>
      </c>
      <c r="D2446" s="14">
        <v>819</v>
      </c>
      <c r="E2446" s="15">
        <v>4</v>
      </c>
    </row>
    <row r="2447" spans="1:5" x14ac:dyDescent="0.4">
      <c r="A2447" s="13" t="s">
        <v>623</v>
      </c>
      <c r="B2447" s="13" t="s">
        <v>24</v>
      </c>
      <c r="C2447" s="13" t="s">
        <v>34</v>
      </c>
      <c r="D2447" s="14">
        <v>819</v>
      </c>
      <c r="E2447" s="15">
        <v>0</v>
      </c>
    </row>
    <row r="2448" spans="1:5" x14ac:dyDescent="0.4">
      <c r="A2448" s="13" t="s">
        <v>769</v>
      </c>
      <c r="B2448" s="13" t="s">
        <v>26</v>
      </c>
      <c r="C2448" s="13" t="s">
        <v>62</v>
      </c>
      <c r="D2448" s="14">
        <v>819</v>
      </c>
      <c r="E2448" s="15">
        <v>1</v>
      </c>
    </row>
    <row r="2449" spans="1:5" x14ac:dyDescent="0.4">
      <c r="A2449" s="13" t="s">
        <v>1669</v>
      </c>
      <c r="B2449" s="13" t="s">
        <v>26</v>
      </c>
      <c r="C2449" s="13" t="s">
        <v>30</v>
      </c>
      <c r="D2449" s="14">
        <v>819</v>
      </c>
      <c r="E2449" s="15">
        <v>3</v>
      </c>
    </row>
    <row r="2450" spans="1:5" x14ac:dyDescent="0.4">
      <c r="A2450" s="13" t="s">
        <v>507</v>
      </c>
      <c r="B2450" s="13" t="s">
        <v>24</v>
      </c>
      <c r="C2450" s="13" t="s">
        <v>39</v>
      </c>
      <c r="D2450" s="14">
        <v>820</v>
      </c>
      <c r="E2450" s="15">
        <v>0</v>
      </c>
    </row>
    <row r="2451" spans="1:5" x14ac:dyDescent="0.4">
      <c r="A2451" s="13" t="s">
        <v>1374</v>
      </c>
      <c r="B2451" s="13" t="s">
        <v>24</v>
      </c>
      <c r="C2451" s="13" t="s">
        <v>27</v>
      </c>
      <c r="D2451" s="14">
        <v>820</v>
      </c>
      <c r="E2451" s="15">
        <v>1</v>
      </c>
    </row>
    <row r="2452" spans="1:5" x14ac:dyDescent="0.4">
      <c r="A2452" s="13" t="s">
        <v>1537</v>
      </c>
      <c r="B2452" s="13" t="s">
        <v>20</v>
      </c>
      <c r="C2452" s="13" t="s">
        <v>53</v>
      </c>
      <c r="D2452" s="14">
        <v>820</v>
      </c>
      <c r="E2452" s="15">
        <v>9</v>
      </c>
    </row>
    <row r="2453" spans="1:5" x14ac:dyDescent="0.4">
      <c r="A2453" s="13" t="s">
        <v>1821</v>
      </c>
      <c r="B2453" s="13" t="s">
        <v>20</v>
      </c>
      <c r="C2453" s="13" t="s">
        <v>44</v>
      </c>
      <c r="D2453" s="14">
        <v>820</v>
      </c>
      <c r="E2453" s="15">
        <v>0</v>
      </c>
    </row>
    <row r="2454" spans="1:5" x14ac:dyDescent="0.4">
      <c r="A2454" s="13" t="s">
        <v>1979</v>
      </c>
      <c r="B2454" s="13" t="s">
        <v>26</v>
      </c>
      <c r="C2454" s="13" t="s">
        <v>34</v>
      </c>
      <c r="D2454" s="14">
        <v>820</v>
      </c>
      <c r="E2454" s="15">
        <v>3</v>
      </c>
    </row>
    <row r="2455" spans="1:5" x14ac:dyDescent="0.4">
      <c r="A2455" s="13" t="s">
        <v>45</v>
      </c>
      <c r="B2455" s="13" t="s">
        <v>20</v>
      </c>
      <c r="C2455" s="13" t="s">
        <v>39</v>
      </c>
      <c r="D2455" s="14">
        <v>821</v>
      </c>
      <c r="E2455" s="15">
        <v>0</v>
      </c>
    </row>
    <row r="2456" spans="1:5" x14ac:dyDescent="0.4">
      <c r="A2456" s="13" t="s">
        <v>289</v>
      </c>
      <c r="B2456" s="13" t="s">
        <v>24</v>
      </c>
      <c r="C2456" s="13" t="s">
        <v>44</v>
      </c>
      <c r="D2456" s="14">
        <v>821</v>
      </c>
      <c r="E2456" s="15">
        <v>2</v>
      </c>
    </row>
    <row r="2457" spans="1:5" x14ac:dyDescent="0.4">
      <c r="A2457" s="13" t="s">
        <v>423</v>
      </c>
      <c r="B2457" s="13" t="s">
        <v>20</v>
      </c>
      <c r="C2457" s="13" t="s">
        <v>34</v>
      </c>
      <c r="D2457" s="14">
        <v>821</v>
      </c>
      <c r="E2457" s="15">
        <v>0</v>
      </c>
    </row>
    <row r="2458" spans="1:5" x14ac:dyDescent="0.4">
      <c r="A2458" s="13" t="s">
        <v>1309</v>
      </c>
      <c r="B2458" s="13" t="s">
        <v>24</v>
      </c>
      <c r="C2458" s="13" t="s">
        <v>33</v>
      </c>
      <c r="D2458" s="14">
        <v>821</v>
      </c>
      <c r="E2458" s="15">
        <v>10</v>
      </c>
    </row>
    <row r="2459" spans="1:5" x14ac:dyDescent="0.4">
      <c r="A2459" s="13" t="s">
        <v>1569</v>
      </c>
      <c r="B2459" s="13" t="s">
        <v>20</v>
      </c>
      <c r="C2459" s="13" t="s">
        <v>44</v>
      </c>
      <c r="D2459" s="14">
        <v>821</v>
      </c>
      <c r="E2459" s="15">
        <v>6</v>
      </c>
    </row>
    <row r="2460" spans="1:5" x14ac:dyDescent="0.4">
      <c r="A2460" s="13" t="s">
        <v>169</v>
      </c>
      <c r="B2460" s="13" t="s">
        <v>20</v>
      </c>
      <c r="C2460" s="13" t="s">
        <v>39</v>
      </c>
      <c r="D2460" s="14">
        <v>822</v>
      </c>
      <c r="E2460" s="15">
        <v>1</v>
      </c>
    </row>
    <row r="2461" spans="1:5" x14ac:dyDescent="0.4">
      <c r="A2461" s="13" t="s">
        <v>1709</v>
      </c>
      <c r="B2461" s="13" t="s">
        <v>24</v>
      </c>
      <c r="C2461" s="13" t="s">
        <v>39</v>
      </c>
      <c r="D2461" s="14">
        <v>822</v>
      </c>
      <c r="E2461" s="15">
        <v>11</v>
      </c>
    </row>
    <row r="2462" spans="1:5" x14ac:dyDescent="0.4">
      <c r="A2462" s="13" t="s">
        <v>1410</v>
      </c>
      <c r="B2462" s="13" t="s">
        <v>20</v>
      </c>
      <c r="C2462" s="13" t="s">
        <v>21</v>
      </c>
      <c r="D2462" s="14">
        <v>823</v>
      </c>
      <c r="E2462" s="15">
        <v>1</v>
      </c>
    </row>
    <row r="2463" spans="1:5" x14ac:dyDescent="0.4">
      <c r="A2463" s="13" t="s">
        <v>558</v>
      </c>
      <c r="B2463" s="13" t="s">
        <v>20</v>
      </c>
      <c r="C2463" s="13" t="s">
        <v>27</v>
      </c>
      <c r="D2463" s="14">
        <v>824</v>
      </c>
      <c r="E2463" s="15">
        <v>2</v>
      </c>
    </row>
    <row r="2464" spans="1:5" x14ac:dyDescent="0.4">
      <c r="A2464" s="13" t="s">
        <v>1686</v>
      </c>
      <c r="B2464" s="13" t="s">
        <v>26</v>
      </c>
      <c r="C2464" s="13" t="s">
        <v>30</v>
      </c>
      <c r="D2464" s="14">
        <v>824</v>
      </c>
      <c r="E2464" s="15">
        <v>4</v>
      </c>
    </row>
    <row r="2465" spans="1:5" x14ac:dyDescent="0.4">
      <c r="A2465" s="13" t="s">
        <v>1711</v>
      </c>
      <c r="B2465" s="13" t="s">
        <v>24</v>
      </c>
      <c r="C2465" s="13" t="s">
        <v>39</v>
      </c>
      <c r="D2465" s="14">
        <v>824</v>
      </c>
      <c r="E2465" s="15">
        <v>2</v>
      </c>
    </row>
    <row r="2466" spans="1:5" x14ac:dyDescent="0.4">
      <c r="A2466" s="13" t="s">
        <v>376</v>
      </c>
      <c r="B2466" s="13" t="s">
        <v>20</v>
      </c>
      <c r="C2466" s="13" t="s">
        <v>22</v>
      </c>
      <c r="D2466" s="14">
        <v>825</v>
      </c>
      <c r="E2466" s="15">
        <v>0</v>
      </c>
    </row>
    <row r="2467" spans="1:5" x14ac:dyDescent="0.4">
      <c r="A2467" s="13" t="s">
        <v>499</v>
      </c>
      <c r="B2467" s="13" t="s">
        <v>24</v>
      </c>
      <c r="C2467" s="13" t="s">
        <v>32</v>
      </c>
      <c r="D2467" s="14">
        <v>825</v>
      </c>
      <c r="E2467" s="15">
        <v>1</v>
      </c>
    </row>
    <row r="2468" spans="1:5" x14ac:dyDescent="0.4">
      <c r="A2468" s="13" t="s">
        <v>1451</v>
      </c>
      <c r="B2468" s="13" t="s">
        <v>20</v>
      </c>
      <c r="C2468" s="13" t="s">
        <v>111</v>
      </c>
      <c r="D2468" s="14">
        <v>825</v>
      </c>
      <c r="E2468" s="15">
        <v>3</v>
      </c>
    </row>
    <row r="2469" spans="1:5" x14ac:dyDescent="0.4">
      <c r="A2469" s="13" t="s">
        <v>424</v>
      </c>
      <c r="B2469" s="13" t="s">
        <v>26</v>
      </c>
      <c r="C2469" s="13" t="s">
        <v>44</v>
      </c>
      <c r="D2469" s="14">
        <v>826</v>
      </c>
      <c r="E2469" s="15">
        <v>5</v>
      </c>
    </row>
    <row r="2470" spans="1:5" x14ac:dyDescent="0.4">
      <c r="A2470" s="13" t="s">
        <v>822</v>
      </c>
      <c r="B2470" s="13" t="s">
        <v>26</v>
      </c>
      <c r="C2470" s="13" t="s">
        <v>30</v>
      </c>
      <c r="D2470" s="14">
        <v>826</v>
      </c>
      <c r="E2470" s="15">
        <v>0</v>
      </c>
    </row>
    <row r="2471" spans="1:5" x14ac:dyDescent="0.4">
      <c r="A2471" s="13" t="s">
        <v>1134</v>
      </c>
      <c r="B2471" s="13" t="s">
        <v>24</v>
      </c>
      <c r="C2471" s="13" t="s">
        <v>44</v>
      </c>
      <c r="D2471" s="14">
        <v>826</v>
      </c>
      <c r="E2471" s="15">
        <v>0</v>
      </c>
    </row>
    <row r="2472" spans="1:5" x14ac:dyDescent="0.4">
      <c r="A2472" s="13" t="s">
        <v>1457</v>
      </c>
      <c r="B2472" s="13" t="s">
        <v>20</v>
      </c>
      <c r="C2472" s="13" t="s">
        <v>44</v>
      </c>
      <c r="D2472" s="14">
        <v>826</v>
      </c>
      <c r="E2472" s="15">
        <v>3</v>
      </c>
    </row>
    <row r="2473" spans="1:5" x14ac:dyDescent="0.4">
      <c r="A2473" s="13" t="s">
        <v>171</v>
      </c>
      <c r="B2473" s="13" t="s">
        <v>24</v>
      </c>
      <c r="C2473" s="13" t="s">
        <v>34</v>
      </c>
      <c r="D2473" s="14">
        <v>827</v>
      </c>
      <c r="E2473" s="15">
        <v>8</v>
      </c>
    </row>
    <row r="2474" spans="1:5" x14ac:dyDescent="0.4">
      <c r="A2474" s="13" t="s">
        <v>283</v>
      </c>
      <c r="B2474" s="13" t="s">
        <v>20</v>
      </c>
      <c r="C2474" s="13" t="s">
        <v>43</v>
      </c>
      <c r="D2474" s="14">
        <v>827</v>
      </c>
      <c r="E2474" s="15">
        <v>2</v>
      </c>
    </row>
    <row r="2475" spans="1:5" x14ac:dyDescent="0.4">
      <c r="A2475" s="13" t="s">
        <v>1126</v>
      </c>
      <c r="B2475" s="13" t="s">
        <v>24</v>
      </c>
      <c r="C2475" s="13" t="s">
        <v>39</v>
      </c>
      <c r="D2475" s="14">
        <v>827</v>
      </c>
      <c r="E2475" s="15">
        <v>3</v>
      </c>
    </row>
    <row r="2476" spans="1:5" x14ac:dyDescent="0.4">
      <c r="A2476" s="13" t="s">
        <v>1289</v>
      </c>
      <c r="B2476" s="13" t="s">
        <v>26</v>
      </c>
      <c r="C2476" s="13" t="s">
        <v>66</v>
      </c>
      <c r="D2476" s="14">
        <v>827</v>
      </c>
      <c r="E2476" s="15">
        <v>0</v>
      </c>
    </row>
    <row r="2477" spans="1:5" x14ac:dyDescent="0.4">
      <c r="A2477" s="13" t="s">
        <v>96</v>
      </c>
      <c r="B2477" s="13" t="s">
        <v>24</v>
      </c>
      <c r="C2477" s="13" t="s">
        <v>27</v>
      </c>
      <c r="D2477" s="14">
        <v>828</v>
      </c>
      <c r="E2477" s="15">
        <v>0</v>
      </c>
    </row>
    <row r="2478" spans="1:5" x14ac:dyDescent="0.4">
      <c r="A2478" s="13" t="s">
        <v>192</v>
      </c>
      <c r="B2478" s="13" t="s">
        <v>20</v>
      </c>
      <c r="C2478" s="13" t="s">
        <v>30</v>
      </c>
      <c r="D2478" s="14">
        <v>828</v>
      </c>
      <c r="E2478" s="15">
        <v>0</v>
      </c>
    </row>
    <row r="2479" spans="1:5" x14ac:dyDescent="0.4">
      <c r="A2479" s="13" t="s">
        <v>1280</v>
      </c>
      <c r="B2479" s="13" t="s">
        <v>20</v>
      </c>
      <c r="C2479" s="13" t="s">
        <v>43</v>
      </c>
      <c r="D2479" s="14">
        <v>828</v>
      </c>
      <c r="E2479" s="15">
        <v>2</v>
      </c>
    </row>
    <row r="2480" spans="1:5" x14ac:dyDescent="0.4">
      <c r="A2480" s="13" t="s">
        <v>200</v>
      </c>
      <c r="B2480" s="13" t="s">
        <v>24</v>
      </c>
      <c r="C2480" s="13" t="s">
        <v>39</v>
      </c>
      <c r="D2480" s="14">
        <v>829</v>
      </c>
      <c r="E2480" s="15">
        <v>3</v>
      </c>
    </row>
    <row r="2481" spans="1:5" x14ac:dyDescent="0.4">
      <c r="A2481" s="13" t="s">
        <v>1917</v>
      </c>
      <c r="B2481" s="13" t="s">
        <v>26</v>
      </c>
      <c r="C2481" s="13" t="s">
        <v>30</v>
      </c>
      <c r="D2481" s="14">
        <v>829</v>
      </c>
      <c r="E2481" s="15">
        <v>0</v>
      </c>
    </row>
    <row r="2482" spans="1:5" x14ac:dyDescent="0.4">
      <c r="A2482" s="13" t="s">
        <v>144</v>
      </c>
      <c r="B2482" s="13" t="s">
        <v>24</v>
      </c>
      <c r="C2482" s="13" t="s">
        <v>27</v>
      </c>
      <c r="D2482" s="14">
        <v>830</v>
      </c>
      <c r="E2482" s="15">
        <v>3</v>
      </c>
    </row>
    <row r="2483" spans="1:5" x14ac:dyDescent="0.4">
      <c r="A2483" s="13" t="s">
        <v>817</v>
      </c>
      <c r="B2483" s="13" t="s">
        <v>26</v>
      </c>
      <c r="C2483" s="13" t="s">
        <v>21</v>
      </c>
      <c r="D2483" s="14">
        <v>830</v>
      </c>
      <c r="E2483" s="15">
        <v>0</v>
      </c>
    </row>
    <row r="2484" spans="1:5" x14ac:dyDescent="0.4">
      <c r="A2484" s="13" t="s">
        <v>1465</v>
      </c>
      <c r="B2484" s="13" t="s">
        <v>24</v>
      </c>
      <c r="C2484" s="13" t="s">
        <v>21</v>
      </c>
      <c r="D2484" s="14">
        <v>830</v>
      </c>
      <c r="E2484" s="15">
        <v>0</v>
      </c>
    </row>
    <row r="2485" spans="1:5" x14ac:dyDescent="0.4">
      <c r="A2485" s="13" t="s">
        <v>1533</v>
      </c>
      <c r="B2485" s="13" t="s">
        <v>20</v>
      </c>
      <c r="C2485" s="13" t="s">
        <v>66</v>
      </c>
      <c r="D2485" s="14">
        <v>830</v>
      </c>
      <c r="E2485" s="15">
        <v>3</v>
      </c>
    </row>
    <row r="2486" spans="1:5" x14ac:dyDescent="0.4">
      <c r="A2486" s="13" t="s">
        <v>519</v>
      </c>
      <c r="B2486" s="13" t="s">
        <v>20</v>
      </c>
      <c r="C2486" s="13" t="s">
        <v>27</v>
      </c>
      <c r="D2486" s="14">
        <v>831</v>
      </c>
      <c r="E2486" s="15">
        <v>7</v>
      </c>
    </row>
    <row r="2487" spans="1:5" x14ac:dyDescent="0.4">
      <c r="A2487" s="13" t="s">
        <v>1738</v>
      </c>
      <c r="B2487" s="13" t="s">
        <v>20</v>
      </c>
      <c r="C2487" s="13" t="s">
        <v>30</v>
      </c>
      <c r="D2487" s="14">
        <v>831</v>
      </c>
      <c r="E2487" s="15">
        <v>13</v>
      </c>
    </row>
    <row r="2488" spans="1:5" x14ac:dyDescent="0.4">
      <c r="A2488" s="13" t="s">
        <v>91</v>
      </c>
      <c r="B2488" s="13" t="s">
        <v>20</v>
      </c>
      <c r="C2488" s="13" t="s">
        <v>66</v>
      </c>
      <c r="D2488" s="14">
        <v>832</v>
      </c>
      <c r="E2488" s="15">
        <v>1</v>
      </c>
    </row>
    <row r="2489" spans="1:5" x14ac:dyDescent="0.4">
      <c r="A2489" s="13" t="s">
        <v>572</v>
      </c>
      <c r="B2489" s="13" t="s">
        <v>26</v>
      </c>
      <c r="C2489" s="13" t="s">
        <v>21</v>
      </c>
      <c r="D2489" s="14">
        <v>832</v>
      </c>
      <c r="E2489" s="15">
        <v>1</v>
      </c>
    </row>
    <row r="2490" spans="1:5" x14ac:dyDescent="0.4">
      <c r="A2490" s="13" t="s">
        <v>1934</v>
      </c>
      <c r="B2490" s="13" t="s">
        <v>26</v>
      </c>
      <c r="C2490" s="13" t="s">
        <v>22</v>
      </c>
      <c r="D2490" s="14">
        <v>832</v>
      </c>
      <c r="E2490" s="15">
        <v>2</v>
      </c>
    </row>
    <row r="2491" spans="1:5" x14ac:dyDescent="0.4">
      <c r="A2491" s="13" t="s">
        <v>227</v>
      </c>
      <c r="B2491" s="13" t="s">
        <v>24</v>
      </c>
      <c r="C2491" s="13" t="s">
        <v>111</v>
      </c>
      <c r="D2491" s="14">
        <v>833</v>
      </c>
      <c r="E2491" s="15">
        <v>0</v>
      </c>
    </row>
    <row r="2492" spans="1:5" x14ac:dyDescent="0.4">
      <c r="A2492" s="13" t="s">
        <v>223</v>
      </c>
      <c r="B2492" s="13" t="s">
        <v>20</v>
      </c>
      <c r="C2492" s="13" t="s">
        <v>43</v>
      </c>
      <c r="D2492" s="14">
        <v>834</v>
      </c>
      <c r="E2492" s="15">
        <v>10</v>
      </c>
    </row>
    <row r="2493" spans="1:5" x14ac:dyDescent="0.4">
      <c r="A2493" s="13" t="s">
        <v>643</v>
      </c>
      <c r="B2493" s="13" t="s">
        <v>20</v>
      </c>
      <c r="C2493" s="13" t="s">
        <v>44</v>
      </c>
      <c r="D2493" s="14">
        <v>834</v>
      </c>
      <c r="E2493" s="15">
        <v>0</v>
      </c>
    </row>
    <row r="2494" spans="1:5" x14ac:dyDescent="0.4">
      <c r="A2494" s="13" t="s">
        <v>373</v>
      </c>
      <c r="B2494" s="13" t="s">
        <v>20</v>
      </c>
      <c r="C2494" s="13" t="s">
        <v>30</v>
      </c>
      <c r="D2494" s="14">
        <v>835</v>
      </c>
      <c r="E2494" s="15">
        <v>4</v>
      </c>
    </row>
    <row r="2495" spans="1:5" x14ac:dyDescent="0.4">
      <c r="A2495" s="13" t="s">
        <v>1609</v>
      </c>
      <c r="B2495" s="13" t="s">
        <v>24</v>
      </c>
      <c r="C2495" s="13" t="s">
        <v>111</v>
      </c>
      <c r="D2495" s="14">
        <v>835</v>
      </c>
      <c r="E2495" s="15">
        <v>7</v>
      </c>
    </row>
    <row r="2496" spans="1:5" x14ac:dyDescent="0.4">
      <c r="A2496" s="13" t="s">
        <v>1190</v>
      </c>
      <c r="B2496" s="13" t="s">
        <v>26</v>
      </c>
      <c r="C2496" s="13" t="s">
        <v>40</v>
      </c>
      <c r="D2496" s="14">
        <v>836</v>
      </c>
      <c r="E2496" s="15">
        <v>6</v>
      </c>
    </row>
    <row r="2497" spans="1:5" x14ac:dyDescent="0.4">
      <c r="A2497" s="13" t="s">
        <v>751</v>
      </c>
      <c r="B2497" s="13" t="s">
        <v>24</v>
      </c>
      <c r="C2497" s="13" t="s">
        <v>44</v>
      </c>
      <c r="D2497" s="14">
        <v>837</v>
      </c>
      <c r="E2497" s="15">
        <v>0</v>
      </c>
    </row>
    <row r="2498" spans="1:5" x14ac:dyDescent="0.4">
      <c r="A2498" s="13" t="s">
        <v>1148</v>
      </c>
      <c r="B2498" s="13" t="s">
        <v>26</v>
      </c>
      <c r="C2498" s="13" t="s">
        <v>39</v>
      </c>
      <c r="D2498" s="14">
        <v>837</v>
      </c>
      <c r="E2498" s="15">
        <v>0</v>
      </c>
    </row>
    <row r="2499" spans="1:5" x14ac:dyDescent="0.4">
      <c r="A2499" s="13" t="s">
        <v>586</v>
      </c>
      <c r="B2499" s="13" t="s">
        <v>26</v>
      </c>
      <c r="C2499" s="13" t="s">
        <v>30</v>
      </c>
      <c r="D2499" s="14">
        <v>838</v>
      </c>
      <c r="E2499" s="15">
        <v>0</v>
      </c>
    </row>
    <row r="2500" spans="1:5" x14ac:dyDescent="0.4">
      <c r="A2500" s="13" t="s">
        <v>641</v>
      </c>
      <c r="B2500" s="13" t="s">
        <v>20</v>
      </c>
      <c r="C2500" s="13" t="s">
        <v>62</v>
      </c>
      <c r="D2500" s="14">
        <v>838</v>
      </c>
      <c r="E2500" s="15">
        <v>3</v>
      </c>
    </row>
    <row r="2501" spans="1:5" x14ac:dyDescent="0.4">
      <c r="A2501" s="13" t="s">
        <v>1523</v>
      </c>
      <c r="B2501" s="13" t="s">
        <v>24</v>
      </c>
      <c r="C2501" s="13" t="s">
        <v>33</v>
      </c>
      <c r="D2501" s="14">
        <v>838</v>
      </c>
      <c r="E2501" s="15">
        <v>4</v>
      </c>
    </row>
    <row r="2502" spans="1:5" x14ac:dyDescent="0.4">
      <c r="A2502" s="13" t="s">
        <v>141</v>
      </c>
      <c r="B2502" s="13" t="s">
        <v>26</v>
      </c>
      <c r="C2502" s="13" t="s">
        <v>27</v>
      </c>
      <c r="D2502" s="14">
        <v>839</v>
      </c>
      <c r="E2502" s="15">
        <v>9</v>
      </c>
    </row>
    <row r="2503" spans="1:5" x14ac:dyDescent="0.4">
      <c r="A2503" s="13" t="s">
        <v>1320</v>
      </c>
      <c r="B2503" s="13" t="s">
        <v>20</v>
      </c>
      <c r="C2503" s="13" t="s">
        <v>25</v>
      </c>
      <c r="D2503" s="14">
        <v>839</v>
      </c>
      <c r="E2503" s="15">
        <v>1</v>
      </c>
    </row>
    <row r="2504" spans="1:5" x14ac:dyDescent="0.4">
      <c r="A2504" s="13" t="s">
        <v>181</v>
      </c>
      <c r="B2504" s="13" t="s">
        <v>26</v>
      </c>
      <c r="C2504" s="13" t="s">
        <v>39</v>
      </c>
      <c r="D2504" s="14">
        <v>840</v>
      </c>
      <c r="E2504" s="15">
        <v>2</v>
      </c>
    </row>
    <row r="2505" spans="1:5" x14ac:dyDescent="0.4">
      <c r="A2505" s="13" t="s">
        <v>419</v>
      </c>
      <c r="B2505" s="13" t="s">
        <v>26</v>
      </c>
      <c r="C2505" s="13" t="s">
        <v>39</v>
      </c>
      <c r="D2505" s="14">
        <v>840</v>
      </c>
      <c r="E2505" s="15">
        <v>2</v>
      </c>
    </row>
    <row r="2506" spans="1:5" x14ac:dyDescent="0.4">
      <c r="A2506" s="13" t="s">
        <v>490</v>
      </c>
      <c r="B2506" s="13" t="s">
        <v>26</v>
      </c>
      <c r="C2506" s="13" t="s">
        <v>5</v>
      </c>
      <c r="D2506" s="14">
        <v>840</v>
      </c>
      <c r="E2506" s="15">
        <v>8</v>
      </c>
    </row>
    <row r="2507" spans="1:5" x14ac:dyDescent="0.4">
      <c r="A2507" s="13" t="s">
        <v>543</v>
      </c>
      <c r="B2507" s="13" t="s">
        <v>24</v>
      </c>
      <c r="C2507" s="13" t="s">
        <v>27</v>
      </c>
      <c r="D2507" s="14">
        <v>840</v>
      </c>
      <c r="E2507" s="15">
        <v>10</v>
      </c>
    </row>
    <row r="2508" spans="1:5" x14ac:dyDescent="0.4">
      <c r="A2508" s="13" t="s">
        <v>897</v>
      </c>
      <c r="B2508" s="13" t="s">
        <v>24</v>
      </c>
      <c r="C2508" s="13" t="s">
        <v>34</v>
      </c>
      <c r="D2508" s="14">
        <v>840</v>
      </c>
      <c r="E2508" s="15">
        <v>2</v>
      </c>
    </row>
    <row r="2509" spans="1:5" x14ac:dyDescent="0.4">
      <c r="A2509" s="13" t="s">
        <v>1382</v>
      </c>
      <c r="B2509" s="13" t="s">
        <v>24</v>
      </c>
      <c r="C2509" s="13" t="s">
        <v>33</v>
      </c>
      <c r="D2509" s="14">
        <v>841</v>
      </c>
      <c r="E2509" s="15">
        <v>1</v>
      </c>
    </row>
    <row r="2510" spans="1:5" x14ac:dyDescent="0.4">
      <c r="A2510" s="13" t="s">
        <v>68</v>
      </c>
      <c r="B2510" s="13" t="s">
        <v>20</v>
      </c>
      <c r="C2510" s="13" t="s">
        <v>5</v>
      </c>
      <c r="D2510" s="14">
        <v>842</v>
      </c>
      <c r="E2510" s="15">
        <v>1</v>
      </c>
    </row>
    <row r="2511" spans="1:5" x14ac:dyDescent="0.4">
      <c r="A2511" s="13" t="s">
        <v>271</v>
      </c>
      <c r="B2511" s="13" t="s">
        <v>24</v>
      </c>
      <c r="C2511" s="13" t="s">
        <v>40</v>
      </c>
      <c r="D2511" s="14">
        <v>842</v>
      </c>
      <c r="E2511" s="15">
        <v>0</v>
      </c>
    </row>
    <row r="2512" spans="1:5" x14ac:dyDescent="0.4">
      <c r="A2512" s="13" t="s">
        <v>549</v>
      </c>
      <c r="B2512" s="13" t="s">
        <v>24</v>
      </c>
      <c r="C2512" s="13" t="s">
        <v>28</v>
      </c>
      <c r="D2512" s="14">
        <v>842</v>
      </c>
      <c r="E2512" s="15">
        <v>0</v>
      </c>
    </row>
    <row r="2513" spans="1:5" x14ac:dyDescent="0.4">
      <c r="A2513" s="13" t="s">
        <v>1159</v>
      </c>
      <c r="B2513" s="13" t="s">
        <v>26</v>
      </c>
      <c r="C2513" s="13" t="s">
        <v>40</v>
      </c>
      <c r="D2513" s="14">
        <v>842</v>
      </c>
      <c r="E2513" s="15">
        <v>6</v>
      </c>
    </row>
    <row r="2514" spans="1:5" x14ac:dyDescent="0.4">
      <c r="A2514" s="13" t="s">
        <v>1239</v>
      </c>
      <c r="B2514" s="13" t="s">
        <v>20</v>
      </c>
      <c r="C2514" s="13" t="s">
        <v>44</v>
      </c>
      <c r="D2514" s="14">
        <v>842</v>
      </c>
      <c r="E2514" s="15">
        <v>4</v>
      </c>
    </row>
    <row r="2515" spans="1:5" x14ac:dyDescent="0.4">
      <c r="A2515" s="13" t="s">
        <v>1283</v>
      </c>
      <c r="B2515" s="13" t="s">
        <v>20</v>
      </c>
      <c r="C2515" s="13" t="s">
        <v>66</v>
      </c>
      <c r="D2515" s="14">
        <v>842</v>
      </c>
      <c r="E2515" s="15">
        <v>1</v>
      </c>
    </row>
    <row r="2516" spans="1:5" x14ac:dyDescent="0.4">
      <c r="A2516" s="13" t="s">
        <v>1601</v>
      </c>
      <c r="B2516" s="13" t="s">
        <v>26</v>
      </c>
      <c r="C2516" s="13" t="s">
        <v>66</v>
      </c>
      <c r="D2516" s="14">
        <v>842</v>
      </c>
      <c r="E2516" s="15">
        <v>1</v>
      </c>
    </row>
    <row r="2517" spans="1:5" x14ac:dyDescent="0.4">
      <c r="A2517" s="13" t="s">
        <v>496</v>
      </c>
      <c r="B2517" s="13" t="s">
        <v>24</v>
      </c>
      <c r="C2517" s="13" t="s">
        <v>27</v>
      </c>
      <c r="D2517" s="14">
        <v>843</v>
      </c>
      <c r="E2517" s="15">
        <v>3</v>
      </c>
    </row>
    <row r="2518" spans="1:5" x14ac:dyDescent="0.4">
      <c r="A2518" s="13" t="s">
        <v>1080</v>
      </c>
      <c r="B2518" s="13" t="s">
        <v>26</v>
      </c>
      <c r="C2518" s="13" t="s">
        <v>27</v>
      </c>
      <c r="D2518" s="14">
        <v>843</v>
      </c>
      <c r="E2518" s="15">
        <v>1</v>
      </c>
    </row>
    <row r="2519" spans="1:5" x14ac:dyDescent="0.4">
      <c r="A2519" s="13" t="s">
        <v>1361</v>
      </c>
      <c r="B2519" s="13" t="s">
        <v>24</v>
      </c>
      <c r="C2519" s="13" t="s">
        <v>53</v>
      </c>
      <c r="D2519" s="14">
        <v>843</v>
      </c>
      <c r="E2519" s="15">
        <v>3</v>
      </c>
    </row>
    <row r="2520" spans="1:5" x14ac:dyDescent="0.4">
      <c r="A2520" s="13" t="s">
        <v>1547</v>
      </c>
      <c r="B2520" s="13" t="s">
        <v>20</v>
      </c>
      <c r="C2520" s="13" t="s">
        <v>39</v>
      </c>
      <c r="D2520" s="14">
        <v>843</v>
      </c>
      <c r="E2520" s="15">
        <v>1</v>
      </c>
    </row>
    <row r="2521" spans="1:5" x14ac:dyDescent="0.4">
      <c r="A2521" s="13" t="s">
        <v>302</v>
      </c>
      <c r="B2521" s="13" t="s">
        <v>20</v>
      </c>
      <c r="C2521" s="13" t="s">
        <v>62</v>
      </c>
      <c r="D2521" s="14">
        <v>844</v>
      </c>
      <c r="E2521" s="15">
        <v>2</v>
      </c>
    </row>
    <row r="2522" spans="1:5" x14ac:dyDescent="0.4">
      <c r="A2522" s="13" t="s">
        <v>659</v>
      </c>
      <c r="B2522" s="13" t="s">
        <v>20</v>
      </c>
      <c r="C2522" s="13" t="s">
        <v>27</v>
      </c>
      <c r="D2522" s="14">
        <v>844</v>
      </c>
      <c r="E2522" s="15">
        <v>7</v>
      </c>
    </row>
    <row r="2523" spans="1:5" x14ac:dyDescent="0.4">
      <c r="A2523" s="13" t="s">
        <v>753</v>
      </c>
      <c r="B2523" s="13" t="s">
        <v>24</v>
      </c>
      <c r="C2523" s="13" t="s">
        <v>39</v>
      </c>
      <c r="D2523" s="14">
        <v>844</v>
      </c>
      <c r="E2523" s="15">
        <v>1</v>
      </c>
    </row>
    <row r="2524" spans="1:5" x14ac:dyDescent="0.4">
      <c r="A2524" s="13" t="s">
        <v>1589</v>
      </c>
      <c r="B2524" s="13" t="s">
        <v>24</v>
      </c>
      <c r="C2524" s="13" t="s">
        <v>44</v>
      </c>
      <c r="D2524" s="14">
        <v>844</v>
      </c>
      <c r="E2524" s="15">
        <v>5</v>
      </c>
    </row>
    <row r="2525" spans="1:5" x14ac:dyDescent="0.4">
      <c r="A2525" s="13" t="s">
        <v>196</v>
      </c>
      <c r="B2525" s="13" t="s">
        <v>26</v>
      </c>
      <c r="C2525" s="13" t="s">
        <v>30</v>
      </c>
      <c r="D2525" s="14">
        <v>845</v>
      </c>
      <c r="E2525" s="15">
        <v>2</v>
      </c>
    </row>
    <row r="2526" spans="1:5" x14ac:dyDescent="0.4">
      <c r="A2526" s="13" t="s">
        <v>312</v>
      </c>
      <c r="B2526" s="13" t="s">
        <v>20</v>
      </c>
      <c r="C2526" s="13" t="s">
        <v>44</v>
      </c>
      <c r="D2526" s="14">
        <v>845</v>
      </c>
      <c r="E2526" s="15">
        <v>0</v>
      </c>
    </row>
    <row r="2527" spans="1:5" x14ac:dyDescent="0.4">
      <c r="A2527" s="13" t="s">
        <v>317</v>
      </c>
      <c r="B2527" s="13" t="s">
        <v>24</v>
      </c>
      <c r="C2527" s="13" t="s">
        <v>5</v>
      </c>
      <c r="D2527" s="14">
        <v>845</v>
      </c>
      <c r="E2527" s="15">
        <v>1</v>
      </c>
    </row>
    <row r="2528" spans="1:5" x14ac:dyDescent="0.4">
      <c r="A2528" s="13" t="s">
        <v>1128</v>
      </c>
      <c r="B2528" s="13" t="s">
        <v>24</v>
      </c>
      <c r="C2528" s="13" t="s">
        <v>39</v>
      </c>
      <c r="D2528" s="14">
        <v>845</v>
      </c>
      <c r="E2528" s="15">
        <v>0</v>
      </c>
    </row>
    <row r="2529" spans="1:5" x14ac:dyDescent="0.4">
      <c r="A2529" s="13" t="s">
        <v>918</v>
      </c>
      <c r="B2529" s="13" t="s">
        <v>24</v>
      </c>
      <c r="C2529" s="13" t="s">
        <v>111</v>
      </c>
      <c r="D2529" s="14">
        <v>846</v>
      </c>
      <c r="E2529" s="15">
        <v>0</v>
      </c>
    </row>
    <row r="2530" spans="1:5" x14ac:dyDescent="0.4">
      <c r="A2530" s="13" t="s">
        <v>1713</v>
      </c>
      <c r="B2530" s="13" t="s">
        <v>24</v>
      </c>
      <c r="C2530" s="13" t="s">
        <v>27</v>
      </c>
      <c r="D2530" s="14">
        <v>846</v>
      </c>
      <c r="E2530" s="15">
        <v>1</v>
      </c>
    </row>
    <row r="2531" spans="1:5" x14ac:dyDescent="0.4">
      <c r="A2531" s="13" t="s">
        <v>362</v>
      </c>
      <c r="B2531" s="13" t="s">
        <v>26</v>
      </c>
      <c r="C2531" s="13" t="s">
        <v>43</v>
      </c>
      <c r="D2531" s="14">
        <v>847</v>
      </c>
      <c r="E2531" s="15">
        <v>3</v>
      </c>
    </row>
    <row r="2532" spans="1:5" x14ac:dyDescent="0.4">
      <c r="A2532" s="13" t="s">
        <v>720</v>
      </c>
      <c r="B2532" s="13" t="s">
        <v>24</v>
      </c>
      <c r="C2532" s="13" t="s">
        <v>44</v>
      </c>
      <c r="D2532" s="14">
        <v>847</v>
      </c>
      <c r="E2532" s="15">
        <v>5</v>
      </c>
    </row>
    <row r="2533" spans="1:5" x14ac:dyDescent="0.4">
      <c r="A2533" s="13" t="s">
        <v>1824</v>
      </c>
      <c r="B2533" s="13" t="s">
        <v>26</v>
      </c>
      <c r="C2533" s="13" t="s">
        <v>53</v>
      </c>
      <c r="D2533" s="14">
        <v>847</v>
      </c>
      <c r="E2533" s="15">
        <v>0</v>
      </c>
    </row>
    <row r="2534" spans="1:5" x14ac:dyDescent="0.4">
      <c r="A2534" s="13" t="s">
        <v>1837</v>
      </c>
      <c r="B2534" s="13" t="s">
        <v>26</v>
      </c>
      <c r="C2534" s="13" t="s">
        <v>39</v>
      </c>
      <c r="D2534" s="14">
        <v>847</v>
      </c>
      <c r="E2534" s="15">
        <v>0</v>
      </c>
    </row>
    <row r="2535" spans="1:5" x14ac:dyDescent="0.4">
      <c r="A2535" s="13" t="s">
        <v>250</v>
      </c>
      <c r="B2535" s="13" t="s">
        <v>20</v>
      </c>
      <c r="C2535" s="13" t="s">
        <v>39</v>
      </c>
      <c r="D2535" s="14">
        <v>848</v>
      </c>
      <c r="E2535" s="15">
        <v>0</v>
      </c>
    </row>
    <row r="2536" spans="1:5" x14ac:dyDescent="0.4">
      <c r="A2536" s="13" t="s">
        <v>530</v>
      </c>
      <c r="B2536" s="13" t="s">
        <v>24</v>
      </c>
      <c r="C2536" s="13" t="s">
        <v>27</v>
      </c>
      <c r="D2536" s="14">
        <v>848</v>
      </c>
      <c r="E2536" s="15">
        <v>5</v>
      </c>
    </row>
    <row r="2537" spans="1:5" x14ac:dyDescent="0.4">
      <c r="A2537" s="13" t="s">
        <v>1052</v>
      </c>
      <c r="B2537" s="13" t="s">
        <v>20</v>
      </c>
      <c r="C2537" s="13" t="s">
        <v>39</v>
      </c>
      <c r="D2537" s="14">
        <v>848</v>
      </c>
      <c r="E2537" s="15">
        <v>1</v>
      </c>
    </row>
    <row r="2538" spans="1:5" x14ac:dyDescent="0.4">
      <c r="A2538" s="13" t="s">
        <v>1137</v>
      </c>
      <c r="B2538" s="13" t="s">
        <v>24</v>
      </c>
      <c r="C2538" s="13" t="s">
        <v>40</v>
      </c>
      <c r="D2538" s="14">
        <v>848</v>
      </c>
      <c r="E2538" s="15">
        <v>4</v>
      </c>
    </row>
    <row r="2539" spans="1:5" x14ac:dyDescent="0.4">
      <c r="A2539" s="13" t="s">
        <v>1862</v>
      </c>
      <c r="B2539" s="13" t="s">
        <v>26</v>
      </c>
      <c r="C2539" s="13" t="s">
        <v>30</v>
      </c>
      <c r="D2539" s="14">
        <v>848</v>
      </c>
      <c r="E2539" s="15">
        <v>6</v>
      </c>
    </row>
    <row r="2540" spans="1:5" x14ac:dyDescent="0.4">
      <c r="A2540" s="13" t="s">
        <v>579</v>
      </c>
      <c r="B2540" s="13" t="s">
        <v>24</v>
      </c>
      <c r="C2540" s="13" t="s">
        <v>44</v>
      </c>
      <c r="D2540" s="14">
        <v>849</v>
      </c>
      <c r="E2540" s="15">
        <v>8</v>
      </c>
    </row>
    <row r="2541" spans="1:5" x14ac:dyDescent="0.4">
      <c r="A2541" s="13" t="s">
        <v>1306</v>
      </c>
      <c r="B2541" s="13" t="s">
        <v>26</v>
      </c>
      <c r="C2541" s="13" t="s">
        <v>44</v>
      </c>
      <c r="D2541" s="14">
        <v>849</v>
      </c>
      <c r="E2541" s="15">
        <v>0</v>
      </c>
    </row>
    <row r="2542" spans="1:5" x14ac:dyDescent="0.4">
      <c r="A2542" s="13" t="s">
        <v>1533</v>
      </c>
      <c r="B2542" s="13" t="s">
        <v>26</v>
      </c>
      <c r="C2542" s="13" t="s">
        <v>44</v>
      </c>
      <c r="D2542" s="14">
        <v>849</v>
      </c>
      <c r="E2542" s="15">
        <v>4</v>
      </c>
    </row>
    <row r="2543" spans="1:5" x14ac:dyDescent="0.4">
      <c r="A2543" s="13" t="s">
        <v>1683</v>
      </c>
      <c r="B2543" s="13" t="s">
        <v>24</v>
      </c>
      <c r="C2543" s="13" t="s">
        <v>39</v>
      </c>
      <c r="D2543" s="14">
        <v>849</v>
      </c>
      <c r="E2543" s="15">
        <v>8</v>
      </c>
    </row>
    <row r="2544" spans="1:5" x14ac:dyDescent="0.4">
      <c r="A2544" s="13" t="s">
        <v>1849</v>
      </c>
      <c r="B2544" s="13" t="s">
        <v>20</v>
      </c>
      <c r="C2544" s="13" t="s">
        <v>39</v>
      </c>
      <c r="D2544" s="14">
        <v>849</v>
      </c>
      <c r="E2544" s="15">
        <v>0</v>
      </c>
    </row>
    <row r="2545" spans="1:5" x14ac:dyDescent="0.4">
      <c r="A2545" s="13" t="s">
        <v>991</v>
      </c>
      <c r="B2545" s="13" t="s">
        <v>26</v>
      </c>
      <c r="C2545" s="13" t="s">
        <v>44</v>
      </c>
      <c r="D2545" s="14">
        <v>850</v>
      </c>
      <c r="E2545" s="15">
        <v>0</v>
      </c>
    </row>
    <row r="2546" spans="1:5" x14ac:dyDescent="0.4">
      <c r="A2546" s="13" t="s">
        <v>1287</v>
      </c>
      <c r="B2546" s="13" t="s">
        <v>20</v>
      </c>
      <c r="C2546" s="13" t="s">
        <v>44</v>
      </c>
      <c r="D2546" s="14">
        <v>850</v>
      </c>
      <c r="E2546" s="15">
        <v>1</v>
      </c>
    </row>
    <row r="2547" spans="1:5" x14ac:dyDescent="0.4">
      <c r="A2547" s="13" t="s">
        <v>250</v>
      </c>
      <c r="B2547" s="13" t="s">
        <v>20</v>
      </c>
      <c r="C2547" s="13" t="s">
        <v>44</v>
      </c>
      <c r="D2547" s="14">
        <v>851</v>
      </c>
      <c r="E2547" s="15">
        <v>0</v>
      </c>
    </row>
    <row r="2548" spans="1:5" x14ac:dyDescent="0.4">
      <c r="A2548" s="13" t="s">
        <v>539</v>
      </c>
      <c r="B2548" s="13" t="s">
        <v>26</v>
      </c>
      <c r="C2548" s="13" t="s">
        <v>27</v>
      </c>
      <c r="D2548" s="14">
        <v>851</v>
      </c>
      <c r="E2548" s="15">
        <v>1</v>
      </c>
    </row>
    <row r="2549" spans="1:5" x14ac:dyDescent="0.4">
      <c r="A2549" s="13" t="s">
        <v>985</v>
      </c>
      <c r="B2549" s="13" t="s">
        <v>20</v>
      </c>
      <c r="C2549" s="13" t="s">
        <v>27</v>
      </c>
      <c r="D2549" s="14">
        <v>851</v>
      </c>
      <c r="E2549" s="15">
        <v>0</v>
      </c>
    </row>
    <row r="2550" spans="1:5" x14ac:dyDescent="0.4">
      <c r="A2550" s="13" t="s">
        <v>1866</v>
      </c>
      <c r="B2550" s="13" t="s">
        <v>24</v>
      </c>
      <c r="C2550" s="13" t="s">
        <v>44</v>
      </c>
      <c r="D2550" s="14">
        <v>851</v>
      </c>
      <c r="E2550" s="15">
        <v>1</v>
      </c>
    </row>
    <row r="2551" spans="1:5" x14ac:dyDescent="0.4">
      <c r="A2551" s="13" t="s">
        <v>323</v>
      </c>
      <c r="B2551" s="13" t="s">
        <v>20</v>
      </c>
      <c r="C2551" s="13" t="s">
        <v>53</v>
      </c>
      <c r="D2551" s="14">
        <v>852</v>
      </c>
      <c r="E2551" s="15">
        <v>5</v>
      </c>
    </row>
    <row r="2552" spans="1:5" x14ac:dyDescent="0.4">
      <c r="A2552" s="13" t="s">
        <v>795</v>
      </c>
      <c r="B2552" s="13" t="s">
        <v>24</v>
      </c>
      <c r="C2552" s="13" t="s">
        <v>22</v>
      </c>
      <c r="D2552" s="14">
        <v>852</v>
      </c>
      <c r="E2552" s="15">
        <v>2</v>
      </c>
    </row>
    <row r="2553" spans="1:5" x14ac:dyDescent="0.4">
      <c r="A2553" s="13" t="s">
        <v>958</v>
      </c>
      <c r="B2553" s="13" t="s">
        <v>24</v>
      </c>
      <c r="C2553" s="13" t="s">
        <v>44</v>
      </c>
      <c r="D2553" s="14">
        <v>852</v>
      </c>
      <c r="E2553" s="15">
        <v>2</v>
      </c>
    </row>
    <row r="2554" spans="1:5" x14ac:dyDescent="0.4">
      <c r="A2554" s="13" t="s">
        <v>1197</v>
      </c>
      <c r="B2554" s="13" t="s">
        <v>20</v>
      </c>
      <c r="C2554" s="13" t="s">
        <v>111</v>
      </c>
      <c r="D2554" s="14">
        <v>852</v>
      </c>
      <c r="E2554" s="15">
        <v>0</v>
      </c>
    </row>
    <row r="2555" spans="1:5" x14ac:dyDescent="0.4">
      <c r="A2555" s="13" t="s">
        <v>748</v>
      </c>
      <c r="B2555" s="13" t="s">
        <v>26</v>
      </c>
      <c r="C2555" s="13" t="s">
        <v>44</v>
      </c>
      <c r="D2555" s="14">
        <v>853</v>
      </c>
      <c r="E2555" s="15">
        <v>13</v>
      </c>
    </row>
    <row r="2556" spans="1:5" x14ac:dyDescent="0.4">
      <c r="A2556" s="13" t="s">
        <v>137</v>
      </c>
      <c r="B2556" s="13" t="s">
        <v>20</v>
      </c>
      <c r="C2556" s="13" t="s">
        <v>66</v>
      </c>
      <c r="D2556" s="14">
        <v>854</v>
      </c>
      <c r="E2556" s="15">
        <v>0</v>
      </c>
    </row>
    <row r="2557" spans="1:5" x14ac:dyDescent="0.4">
      <c r="A2557" s="13" t="s">
        <v>186</v>
      </c>
      <c r="B2557" s="13" t="s">
        <v>26</v>
      </c>
      <c r="C2557" s="13" t="s">
        <v>25</v>
      </c>
      <c r="D2557" s="14">
        <v>854</v>
      </c>
      <c r="E2557" s="15">
        <v>0</v>
      </c>
    </row>
    <row r="2558" spans="1:5" x14ac:dyDescent="0.4">
      <c r="A2558" s="13" t="s">
        <v>802</v>
      </c>
      <c r="B2558" s="13" t="s">
        <v>26</v>
      </c>
      <c r="C2558" s="13" t="s">
        <v>27</v>
      </c>
      <c r="D2558" s="14">
        <v>854</v>
      </c>
      <c r="E2558" s="15">
        <v>12</v>
      </c>
    </row>
    <row r="2559" spans="1:5" x14ac:dyDescent="0.4">
      <c r="A2559" s="13" t="s">
        <v>1477</v>
      </c>
      <c r="B2559" s="13" t="s">
        <v>20</v>
      </c>
      <c r="C2559" s="13" t="s">
        <v>25</v>
      </c>
      <c r="D2559" s="14">
        <v>854</v>
      </c>
      <c r="E2559" s="15">
        <v>1</v>
      </c>
    </row>
    <row r="2560" spans="1:5" x14ac:dyDescent="0.4">
      <c r="A2560" s="13" t="s">
        <v>1705</v>
      </c>
      <c r="B2560" s="13" t="s">
        <v>24</v>
      </c>
      <c r="C2560" s="13" t="s">
        <v>34</v>
      </c>
      <c r="D2560" s="14">
        <v>854</v>
      </c>
      <c r="E2560" s="15">
        <v>0</v>
      </c>
    </row>
    <row r="2561" spans="1:5" x14ac:dyDescent="0.4">
      <c r="A2561" s="13" t="s">
        <v>1729</v>
      </c>
      <c r="B2561" s="13" t="s">
        <v>24</v>
      </c>
      <c r="C2561" s="13" t="s">
        <v>44</v>
      </c>
      <c r="D2561" s="14">
        <v>854</v>
      </c>
      <c r="E2561" s="15">
        <v>5</v>
      </c>
    </row>
    <row r="2562" spans="1:5" x14ac:dyDescent="0.4">
      <c r="A2562" s="13" t="s">
        <v>1794</v>
      </c>
      <c r="B2562" s="13" t="s">
        <v>20</v>
      </c>
      <c r="C2562" s="13" t="s">
        <v>5</v>
      </c>
      <c r="D2562" s="14">
        <v>854</v>
      </c>
      <c r="E2562" s="15">
        <v>0</v>
      </c>
    </row>
    <row r="2563" spans="1:5" x14ac:dyDescent="0.4">
      <c r="A2563" s="13" t="s">
        <v>1865</v>
      </c>
      <c r="B2563" s="13" t="s">
        <v>20</v>
      </c>
      <c r="C2563" s="13" t="s">
        <v>43</v>
      </c>
      <c r="D2563" s="14">
        <v>854</v>
      </c>
      <c r="E2563" s="15">
        <v>0</v>
      </c>
    </row>
    <row r="2564" spans="1:5" x14ac:dyDescent="0.4">
      <c r="A2564" s="13" t="s">
        <v>1006</v>
      </c>
      <c r="B2564" s="13" t="s">
        <v>20</v>
      </c>
      <c r="C2564" s="13" t="s">
        <v>39</v>
      </c>
      <c r="D2564" s="14">
        <v>855</v>
      </c>
      <c r="E2564" s="15">
        <v>2</v>
      </c>
    </row>
    <row r="2565" spans="1:5" x14ac:dyDescent="0.4">
      <c r="A2565" s="13" t="s">
        <v>1158</v>
      </c>
      <c r="B2565" s="13" t="s">
        <v>24</v>
      </c>
      <c r="C2565" s="13" t="s">
        <v>5</v>
      </c>
      <c r="D2565" s="14">
        <v>855</v>
      </c>
      <c r="E2565" s="15">
        <v>4</v>
      </c>
    </row>
    <row r="2566" spans="1:5" x14ac:dyDescent="0.4">
      <c r="A2566" s="13" t="s">
        <v>1632</v>
      </c>
      <c r="B2566" s="13" t="s">
        <v>20</v>
      </c>
      <c r="C2566" s="13" t="s">
        <v>34</v>
      </c>
      <c r="D2566" s="14">
        <v>855</v>
      </c>
      <c r="E2566" s="15">
        <v>0</v>
      </c>
    </row>
    <row r="2567" spans="1:5" x14ac:dyDescent="0.4">
      <c r="A2567" s="13" t="s">
        <v>1264</v>
      </c>
      <c r="B2567" s="13" t="s">
        <v>26</v>
      </c>
      <c r="C2567" s="13" t="s">
        <v>39</v>
      </c>
      <c r="D2567" s="14">
        <v>856</v>
      </c>
      <c r="E2567" s="15">
        <v>4</v>
      </c>
    </row>
    <row r="2568" spans="1:5" x14ac:dyDescent="0.4">
      <c r="A2568" s="13" t="s">
        <v>802</v>
      </c>
      <c r="B2568" s="13" t="s">
        <v>20</v>
      </c>
      <c r="C2568" s="13" t="s">
        <v>30</v>
      </c>
      <c r="D2568" s="14">
        <v>857</v>
      </c>
      <c r="E2568" s="15">
        <v>1</v>
      </c>
    </row>
    <row r="2569" spans="1:5" x14ac:dyDescent="0.4">
      <c r="A2569" s="13" t="s">
        <v>883</v>
      </c>
      <c r="B2569" s="13" t="s">
        <v>24</v>
      </c>
      <c r="C2569" s="13" t="s">
        <v>62</v>
      </c>
      <c r="D2569" s="14">
        <v>857</v>
      </c>
      <c r="E2569" s="15">
        <v>0</v>
      </c>
    </row>
    <row r="2570" spans="1:5" x14ac:dyDescent="0.4">
      <c r="A2570" s="13" t="s">
        <v>1705</v>
      </c>
      <c r="B2570" s="13" t="s">
        <v>24</v>
      </c>
      <c r="C2570" s="13" t="s">
        <v>22</v>
      </c>
      <c r="D2570" s="14">
        <v>857</v>
      </c>
      <c r="E2570" s="15">
        <v>2</v>
      </c>
    </row>
    <row r="2571" spans="1:5" x14ac:dyDescent="0.4">
      <c r="A2571" s="13" t="s">
        <v>1759</v>
      </c>
      <c r="B2571" s="13" t="s">
        <v>24</v>
      </c>
      <c r="C2571" s="13" t="s">
        <v>43</v>
      </c>
      <c r="D2571" s="14">
        <v>857</v>
      </c>
      <c r="E2571" s="15">
        <v>5</v>
      </c>
    </row>
    <row r="2572" spans="1:5" x14ac:dyDescent="0.4">
      <c r="A2572" s="13" t="s">
        <v>1938</v>
      </c>
      <c r="B2572" s="13" t="s">
        <v>26</v>
      </c>
      <c r="C2572" s="13" t="s">
        <v>32</v>
      </c>
      <c r="D2572" s="14">
        <v>857</v>
      </c>
      <c r="E2572" s="15">
        <v>6</v>
      </c>
    </row>
    <row r="2573" spans="1:5" x14ac:dyDescent="0.4">
      <c r="A2573" s="13" t="s">
        <v>1802</v>
      </c>
      <c r="B2573" s="13" t="s">
        <v>24</v>
      </c>
      <c r="C2573" s="13" t="s">
        <v>27</v>
      </c>
      <c r="D2573" s="14">
        <v>858</v>
      </c>
      <c r="E2573" s="15">
        <v>0</v>
      </c>
    </row>
    <row r="2574" spans="1:5" x14ac:dyDescent="0.4">
      <c r="A2574" s="13" t="s">
        <v>1859</v>
      </c>
      <c r="B2574" s="13" t="s">
        <v>24</v>
      </c>
      <c r="C2574" s="13" t="s">
        <v>39</v>
      </c>
      <c r="D2574" s="14">
        <v>858</v>
      </c>
      <c r="E2574" s="15">
        <v>0</v>
      </c>
    </row>
    <row r="2575" spans="1:5" x14ac:dyDescent="0.4">
      <c r="A2575" s="13" t="s">
        <v>199</v>
      </c>
      <c r="B2575" s="13" t="s">
        <v>26</v>
      </c>
      <c r="C2575" s="13" t="s">
        <v>5</v>
      </c>
      <c r="D2575" s="14">
        <v>859</v>
      </c>
      <c r="E2575" s="15">
        <v>2</v>
      </c>
    </row>
    <row r="2576" spans="1:5" x14ac:dyDescent="0.4">
      <c r="A2576" s="13" t="s">
        <v>339</v>
      </c>
      <c r="B2576" s="13" t="s">
        <v>24</v>
      </c>
      <c r="C2576" s="13" t="s">
        <v>44</v>
      </c>
      <c r="D2576" s="14">
        <v>859</v>
      </c>
      <c r="E2576" s="15">
        <v>1</v>
      </c>
    </row>
    <row r="2577" spans="1:5" x14ac:dyDescent="0.4">
      <c r="A2577" s="13" t="s">
        <v>1096</v>
      </c>
      <c r="B2577" s="13" t="s">
        <v>26</v>
      </c>
      <c r="C2577" s="13" t="s">
        <v>22</v>
      </c>
      <c r="D2577" s="14">
        <v>859</v>
      </c>
      <c r="E2577" s="15">
        <v>1</v>
      </c>
    </row>
    <row r="2578" spans="1:5" x14ac:dyDescent="0.4">
      <c r="A2578" s="13" t="s">
        <v>1165</v>
      </c>
      <c r="B2578" s="13" t="s">
        <v>26</v>
      </c>
      <c r="C2578" s="13" t="s">
        <v>39</v>
      </c>
      <c r="D2578" s="14">
        <v>859</v>
      </c>
      <c r="E2578" s="15">
        <v>3</v>
      </c>
    </row>
    <row r="2579" spans="1:5" x14ac:dyDescent="0.4">
      <c r="A2579" s="13" t="s">
        <v>411</v>
      </c>
      <c r="B2579" s="13" t="s">
        <v>24</v>
      </c>
      <c r="C2579" s="13" t="s">
        <v>62</v>
      </c>
      <c r="D2579" s="14">
        <v>861</v>
      </c>
      <c r="E2579" s="15">
        <v>0</v>
      </c>
    </row>
    <row r="2580" spans="1:5" x14ac:dyDescent="0.4">
      <c r="A2580" s="13" t="s">
        <v>467</v>
      </c>
      <c r="B2580" s="13" t="s">
        <v>24</v>
      </c>
      <c r="C2580" s="13" t="s">
        <v>25</v>
      </c>
      <c r="D2580" s="14">
        <v>861</v>
      </c>
      <c r="E2580" s="15">
        <v>0</v>
      </c>
    </row>
    <row r="2581" spans="1:5" x14ac:dyDescent="0.4">
      <c r="A2581" s="13" t="s">
        <v>149</v>
      </c>
      <c r="B2581" s="13" t="s">
        <v>20</v>
      </c>
      <c r="C2581" s="13" t="s">
        <v>33</v>
      </c>
      <c r="D2581" s="14">
        <v>862</v>
      </c>
      <c r="E2581" s="15">
        <v>0</v>
      </c>
    </row>
    <row r="2582" spans="1:5" x14ac:dyDescent="0.4">
      <c r="A2582" s="13" t="s">
        <v>717</v>
      </c>
      <c r="B2582" s="13" t="s">
        <v>24</v>
      </c>
      <c r="C2582" s="13" t="s">
        <v>62</v>
      </c>
      <c r="D2582" s="14">
        <v>863</v>
      </c>
      <c r="E2582" s="15">
        <v>0</v>
      </c>
    </row>
    <row r="2583" spans="1:5" x14ac:dyDescent="0.4">
      <c r="A2583" s="13" t="s">
        <v>1843</v>
      </c>
      <c r="B2583" s="13" t="s">
        <v>20</v>
      </c>
      <c r="C2583" s="13" t="s">
        <v>30</v>
      </c>
      <c r="D2583" s="14">
        <v>864</v>
      </c>
      <c r="E2583" s="15">
        <v>2</v>
      </c>
    </row>
    <row r="2584" spans="1:5" x14ac:dyDescent="0.4">
      <c r="A2584" s="13" t="s">
        <v>214</v>
      </c>
      <c r="B2584" s="13" t="s">
        <v>24</v>
      </c>
      <c r="C2584" s="13" t="s">
        <v>66</v>
      </c>
      <c r="D2584" s="14">
        <v>865</v>
      </c>
      <c r="E2584" s="15">
        <v>0</v>
      </c>
    </row>
    <row r="2585" spans="1:5" x14ac:dyDescent="0.4">
      <c r="A2585" s="13" t="s">
        <v>386</v>
      </c>
      <c r="B2585" s="13" t="s">
        <v>24</v>
      </c>
      <c r="C2585" s="13" t="s">
        <v>25</v>
      </c>
      <c r="D2585" s="14">
        <v>865</v>
      </c>
      <c r="E2585" s="15">
        <v>6</v>
      </c>
    </row>
    <row r="2586" spans="1:5" x14ac:dyDescent="0.4">
      <c r="A2586" s="13" t="s">
        <v>1615</v>
      </c>
      <c r="B2586" s="13" t="s">
        <v>26</v>
      </c>
      <c r="C2586" s="13" t="s">
        <v>34</v>
      </c>
      <c r="D2586" s="14">
        <v>865</v>
      </c>
      <c r="E2586" s="15">
        <v>0</v>
      </c>
    </row>
    <row r="2587" spans="1:5" x14ac:dyDescent="0.4">
      <c r="A2587" s="13" t="s">
        <v>1361</v>
      </c>
      <c r="B2587" s="13" t="s">
        <v>26</v>
      </c>
      <c r="C2587" s="13" t="s">
        <v>25</v>
      </c>
      <c r="D2587" s="14">
        <v>866</v>
      </c>
      <c r="E2587" s="15">
        <v>0</v>
      </c>
    </row>
    <row r="2588" spans="1:5" x14ac:dyDescent="0.4">
      <c r="A2588" s="13" t="s">
        <v>220</v>
      </c>
      <c r="B2588" s="13" t="s">
        <v>24</v>
      </c>
      <c r="C2588" s="13" t="s">
        <v>32</v>
      </c>
      <c r="D2588" s="14">
        <v>868</v>
      </c>
      <c r="E2588" s="15">
        <v>0</v>
      </c>
    </row>
    <row r="2589" spans="1:5" x14ac:dyDescent="0.4">
      <c r="A2589" s="13" t="s">
        <v>647</v>
      </c>
      <c r="B2589" s="13" t="s">
        <v>20</v>
      </c>
      <c r="C2589" s="13" t="s">
        <v>40</v>
      </c>
      <c r="D2589" s="14">
        <v>868</v>
      </c>
      <c r="E2589" s="15">
        <v>3</v>
      </c>
    </row>
    <row r="2590" spans="1:5" x14ac:dyDescent="0.4">
      <c r="A2590" s="13" t="s">
        <v>1015</v>
      </c>
      <c r="B2590" s="13" t="s">
        <v>24</v>
      </c>
      <c r="C2590" s="13" t="s">
        <v>28</v>
      </c>
      <c r="D2590" s="14">
        <v>868</v>
      </c>
      <c r="E2590" s="15">
        <v>0</v>
      </c>
    </row>
    <row r="2591" spans="1:5" x14ac:dyDescent="0.4">
      <c r="A2591" s="13" t="s">
        <v>1519</v>
      </c>
      <c r="B2591" s="13" t="s">
        <v>20</v>
      </c>
      <c r="C2591" s="13" t="s">
        <v>27</v>
      </c>
      <c r="D2591" s="14">
        <v>868</v>
      </c>
      <c r="E2591" s="15">
        <v>0</v>
      </c>
    </row>
    <row r="2592" spans="1:5" x14ac:dyDescent="0.4">
      <c r="A2592" s="13" t="s">
        <v>1650</v>
      </c>
      <c r="B2592" s="13" t="s">
        <v>26</v>
      </c>
      <c r="C2592" s="13" t="s">
        <v>39</v>
      </c>
      <c r="D2592" s="14">
        <v>868</v>
      </c>
      <c r="E2592" s="15">
        <v>4</v>
      </c>
    </row>
    <row r="2593" spans="1:5" x14ac:dyDescent="0.4">
      <c r="A2593" s="13" t="s">
        <v>351</v>
      </c>
      <c r="B2593" s="13" t="s">
        <v>26</v>
      </c>
      <c r="C2593" s="13" t="s">
        <v>30</v>
      </c>
      <c r="D2593" s="14">
        <v>869</v>
      </c>
      <c r="E2593" s="15">
        <v>0</v>
      </c>
    </row>
    <row r="2594" spans="1:5" x14ac:dyDescent="0.4">
      <c r="A2594" s="13" t="s">
        <v>584</v>
      </c>
      <c r="B2594" s="13" t="s">
        <v>26</v>
      </c>
      <c r="C2594" s="13" t="s">
        <v>66</v>
      </c>
      <c r="D2594" s="14">
        <v>869</v>
      </c>
      <c r="E2594" s="15">
        <v>0</v>
      </c>
    </row>
    <row r="2595" spans="1:5" x14ac:dyDescent="0.4">
      <c r="A2595" s="13" t="s">
        <v>1916</v>
      </c>
      <c r="B2595" s="13" t="s">
        <v>20</v>
      </c>
      <c r="C2595" s="13" t="s">
        <v>111</v>
      </c>
      <c r="D2595" s="14">
        <v>869</v>
      </c>
      <c r="E2595" s="15">
        <v>2</v>
      </c>
    </row>
    <row r="2596" spans="1:5" x14ac:dyDescent="0.4">
      <c r="A2596" s="13" t="s">
        <v>1130</v>
      </c>
      <c r="B2596" s="13" t="s">
        <v>26</v>
      </c>
      <c r="C2596" s="13" t="s">
        <v>27</v>
      </c>
      <c r="D2596" s="14">
        <v>870</v>
      </c>
      <c r="E2596" s="15">
        <v>0</v>
      </c>
    </row>
    <row r="2597" spans="1:5" x14ac:dyDescent="0.4">
      <c r="A2597" s="13" t="s">
        <v>1854</v>
      </c>
      <c r="B2597" s="13" t="s">
        <v>20</v>
      </c>
      <c r="C2597" s="13" t="s">
        <v>22</v>
      </c>
      <c r="D2597" s="14">
        <v>870</v>
      </c>
      <c r="E2597" s="15">
        <v>1</v>
      </c>
    </row>
    <row r="2598" spans="1:5" x14ac:dyDescent="0.4">
      <c r="A2598" s="13" t="s">
        <v>470</v>
      </c>
      <c r="B2598" s="13" t="s">
        <v>20</v>
      </c>
      <c r="C2598" s="13" t="s">
        <v>30</v>
      </c>
      <c r="D2598" s="14">
        <v>872</v>
      </c>
      <c r="E2598" s="15">
        <v>0</v>
      </c>
    </row>
    <row r="2599" spans="1:5" x14ac:dyDescent="0.4">
      <c r="A2599" s="13" t="s">
        <v>441</v>
      </c>
      <c r="B2599" s="13" t="s">
        <v>26</v>
      </c>
      <c r="C2599" s="13" t="s">
        <v>44</v>
      </c>
      <c r="D2599" s="14">
        <v>873</v>
      </c>
      <c r="E2599" s="15">
        <v>3</v>
      </c>
    </row>
    <row r="2600" spans="1:5" x14ac:dyDescent="0.4">
      <c r="A2600" s="13" t="s">
        <v>857</v>
      </c>
      <c r="B2600" s="13" t="s">
        <v>20</v>
      </c>
      <c r="C2600" s="13" t="s">
        <v>28</v>
      </c>
      <c r="D2600" s="14">
        <v>873</v>
      </c>
      <c r="E2600" s="15">
        <v>1</v>
      </c>
    </row>
    <row r="2601" spans="1:5" x14ac:dyDescent="0.4">
      <c r="A2601" s="13" t="s">
        <v>1091</v>
      </c>
      <c r="B2601" s="13" t="s">
        <v>26</v>
      </c>
      <c r="C2601" s="13" t="s">
        <v>30</v>
      </c>
      <c r="D2601" s="14">
        <v>873</v>
      </c>
      <c r="E2601" s="15">
        <v>0</v>
      </c>
    </row>
    <row r="2602" spans="1:5" x14ac:dyDescent="0.4">
      <c r="A2602" s="13" t="s">
        <v>126</v>
      </c>
      <c r="B2602" s="13" t="s">
        <v>24</v>
      </c>
      <c r="C2602" s="13" t="s">
        <v>40</v>
      </c>
      <c r="D2602" s="14">
        <v>874</v>
      </c>
      <c r="E2602" s="15">
        <v>1</v>
      </c>
    </row>
    <row r="2603" spans="1:5" x14ac:dyDescent="0.4">
      <c r="A2603" s="13" t="s">
        <v>561</v>
      </c>
      <c r="B2603" s="13" t="s">
        <v>26</v>
      </c>
      <c r="C2603" s="13" t="s">
        <v>34</v>
      </c>
      <c r="D2603" s="14">
        <v>874</v>
      </c>
      <c r="E2603" s="15">
        <v>2</v>
      </c>
    </row>
    <row r="2604" spans="1:5" x14ac:dyDescent="0.4">
      <c r="A2604" s="13" t="s">
        <v>895</v>
      </c>
      <c r="B2604" s="13" t="s">
        <v>26</v>
      </c>
      <c r="C2604" s="13" t="s">
        <v>5</v>
      </c>
      <c r="D2604" s="14">
        <v>874</v>
      </c>
      <c r="E2604" s="15">
        <v>4</v>
      </c>
    </row>
    <row r="2605" spans="1:5" x14ac:dyDescent="0.4">
      <c r="A2605" s="13" t="s">
        <v>1672</v>
      </c>
      <c r="B2605" s="13" t="s">
        <v>24</v>
      </c>
      <c r="C2605" s="13" t="s">
        <v>25</v>
      </c>
      <c r="D2605" s="14">
        <v>874</v>
      </c>
      <c r="E2605" s="15">
        <v>1</v>
      </c>
    </row>
    <row r="2606" spans="1:5" x14ac:dyDescent="0.4">
      <c r="A2606" s="13" t="s">
        <v>708</v>
      </c>
      <c r="B2606" s="13" t="s">
        <v>20</v>
      </c>
      <c r="C2606" s="13" t="s">
        <v>30</v>
      </c>
      <c r="D2606" s="14">
        <v>875</v>
      </c>
      <c r="E2606" s="15">
        <v>0</v>
      </c>
    </row>
    <row r="2607" spans="1:5" x14ac:dyDescent="0.4">
      <c r="A2607" s="13" t="s">
        <v>1013</v>
      </c>
      <c r="B2607" s="13" t="s">
        <v>24</v>
      </c>
      <c r="C2607" s="13" t="s">
        <v>30</v>
      </c>
      <c r="D2607" s="14">
        <v>875</v>
      </c>
      <c r="E2607" s="15">
        <v>0</v>
      </c>
    </row>
    <row r="2608" spans="1:5" x14ac:dyDescent="0.4">
      <c r="A2608" s="13" t="s">
        <v>1268</v>
      </c>
      <c r="B2608" s="13" t="s">
        <v>20</v>
      </c>
      <c r="C2608" s="13" t="s">
        <v>66</v>
      </c>
      <c r="D2608" s="14">
        <v>875</v>
      </c>
      <c r="E2608" s="15">
        <v>0</v>
      </c>
    </row>
    <row r="2609" spans="1:5" x14ac:dyDescent="0.4">
      <c r="A2609" s="13" t="s">
        <v>941</v>
      </c>
      <c r="B2609" s="13" t="s">
        <v>24</v>
      </c>
      <c r="C2609" s="13" t="s">
        <v>44</v>
      </c>
      <c r="D2609" s="14">
        <v>876</v>
      </c>
      <c r="E2609" s="15">
        <v>4</v>
      </c>
    </row>
    <row r="2610" spans="1:5" x14ac:dyDescent="0.4">
      <c r="A2610" s="13" t="s">
        <v>363</v>
      </c>
      <c r="B2610" s="13" t="s">
        <v>24</v>
      </c>
      <c r="C2610" s="13" t="s">
        <v>111</v>
      </c>
      <c r="D2610" s="14">
        <v>877</v>
      </c>
      <c r="E2610" s="15">
        <v>2</v>
      </c>
    </row>
    <row r="2611" spans="1:5" x14ac:dyDescent="0.4">
      <c r="A2611" s="13" t="s">
        <v>730</v>
      </c>
      <c r="B2611" s="13" t="s">
        <v>26</v>
      </c>
      <c r="C2611" s="13" t="s">
        <v>39</v>
      </c>
      <c r="D2611" s="14">
        <v>877</v>
      </c>
      <c r="E2611" s="15">
        <v>0</v>
      </c>
    </row>
    <row r="2612" spans="1:5" x14ac:dyDescent="0.4">
      <c r="A2612" s="13" t="s">
        <v>736</v>
      </c>
      <c r="B2612" s="13" t="s">
        <v>20</v>
      </c>
      <c r="C2612" s="13" t="s">
        <v>44</v>
      </c>
      <c r="D2612" s="14">
        <v>877</v>
      </c>
      <c r="E2612" s="15">
        <v>0</v>
      </c>
    </row>
    <row r="2613" spans="1:5" x14ac:dyDescent="0.4">
      <c r="A2613" s="13" t="s">
        <v>1323</v>
      </c>
      <c r="B2613" s="13" t="s">
        <v>20</v>
      </c>
      <c r="C2613" s="13" t="s">
        <v>111</v>
      </c>
      <c r="D2613" s="14">
        <v>877</v>
      </c>
      <c r="E2613" s="15">
        <v>3</v>
      </c>
    </row>
    <row r="2614" spans="1:5" x14ac:dyDescent="0.4">
      <c r="A2614" s="13" t="s">
        <v>334</v>
      </c>
      <c r="B2614" s="13" t="s">
        <v>26</v>
      </c>
      <c r="C2614" s="13" t="s">
        <v>34</v>
      </c>
      <c r="D2614" s="14">
        <v>878</v>
      </c>
      <c r="E2614" s="15">
        <v>1</v>
      </c>
    </row>
    <row r="2615" spans="1:5" x14ac:dyDescent="0.4">
      <c r="A2615" s="13" t="s">
        <v>1043</v>
      </c>
      <c r="B2615" s="13" t="s">
        <v>26</v>
      </c>
      <c r="C2615" s="13" t="s">
        <v>33</v>
      </c>
      <c r="D2615" s="14">
        <v>878</v>
      </c>
      <c r="E2615" s="15">
        <v>2</v>
      </c>
    </row>
    <row r="2616" spans="1:5" x14ac:dyDescent="0.4">
      <c r="A2616" s="13" t="s">
        <v>1315</v>
      </c>
      <c r="B2616" s="13" t="s">
        <v>26</v>
      </c>
      <c r="C2616" s="13" t="s">
        <v>66</v>
      </c>
      <c r="D2616" s="14">
        <v>878</v>
      </c>
      <c r="E2616" s="15">
        <v>4</v>
      </c>
    </row>
    <row r="2617" spans="1:5" x14ac:dyDescent="0.4">
      <c r="A2617" s="13" t="s">
        <v>1443</v>
      </c>
      <c r="B2617" s="13" t="s">
        <v>24</v>
      </c>
      <c r="C2617" s="13" t="s">
        <v>5</v>
      </c>
      <c r="D2617" s="14">
        <v>878</v>
      </c>
      <c r="E2617" s="15">
        <v>4</v>
      </c>
    </row>
    <row r="2618" spans="1:5" x14ac:dyDescent="0.4">
      <c r="A2618" s="13" t="s">
        <v>1805</v>
      </c>
      <c r="B2618" s="13" t="s">
        <v>20</v>
      </c>
      <c r="C2618" s="13" t="s">
        <v>39</v>
      </c>
      <c r="D2618" s="14">
        <v>878</v>
      </c>
      <c r="E2618" s="15">
        <v>2</v>
      </c>
    </row>
    <row r="2619" spans="1:5" x14ac:dyDescent="0.4">
      <c r="A2619" s="13" t="s">
        <v>1951</v>
      </c>
      <c r="B2619" s="13" t="s">
        <v>26</v>
      </c>
      <c r="C2619" s="13" t="s">
        <v>27</v>
      </c>
      <c r="D2619" s="14">
        <v>878</v>
      </c>
      <c r="E2619" s="15">
        <v>2</v>
      </c>
    </row>
    <row r="2620" spans="1:5" x14ac:dyDescent="0.4">
      <c r="A2620" s="13" t="s">
        <v>1539</v>
      </c>
      <c r="B2620" s="13" t="s">
        <v>24</v>
      </c>
      <c r="C2620" s="13" t="s">
        <v>39</v>
      </c>
      <c r="D2620" s="14">
        <v>879</v>
      </c>
      <c r="E2620" s="15">
        <v>7</v>
      </c>
    </row>
    <row r="2621" spans="1:5" x14ac:dyDescent="0.4">
      <c r="A2621" s="13" t="s">
        <v>1726</v>
      </c>
      <c r="B2621" s="13" t="s">
        <v>24</v>
      </c>
      <c r="C2621" s="13" t="s">
        <v>21</v>
      </c>
      <c r="D2621" s="14">
        <v>879</v>
      </c>
      <c r="E2621" s="15">
        <v>2</v>
      </c>
    </row>
    <row r="2622" spans="1:5" x14ac:dyDescent="0.4">
      <c r="A2622" s="13" t="s">
        <v>1751</v>
      </c>
      <c r="B2622" s="13" t="s">
        <v>26</v>
      </c>
      <c r="C2622" s="13" t="s">
        <v>30</v>
      </c>
      <c r="D2622" s="14">
        <v>879</v>
      </c>
      <c r="E2622" s="15">
        <v>1</v>
      </c>
    </row>
    <row r="2623" spans="1:5" x14ac:dyDescent="0.4">
      <c r="A2623" s="13" t="s">
        <v>67</v>
      </c>
      <c r="B2623" s="13" t="s">
        <v>26</v>
      </c>
      <c r="C2623" s="13" t="s">
        <v>27</v>
      </c>
      <c r="D2623" s="14">
        <v>880</v>
      </c>
      <c r="E2623" s="15">
        <v>0</v>
      </c>
    </row>
    <row r="2624" spans="1:5" x14ac:dyDescent="0.4">
      <c r="A2624" s="13" t="s">
        <v>447</v>
      </c>
      <c r="B2624" s="13" t="s">
        <v>20</v>
      </c>
      <c r="C2624" s="13" t="s">
        <v>27</v>
      </c>
      <c r="D2624" s="14">
        <v>880</v>
      </c>
      <c r="E2624" s="15">
        <v>1</v>
      </c>
    </row>
    <row r="2625" spans="1:5" x14ac:dyDescent="0.4">
      <c r="A2625" s="13" t="s">
        <v>504</v>
      </c>
      <c r="B2625" s="13" t="s">
        <v>26</v>
      </c>
      <c r="C2625" s="13" t="s">
        <v>5</v>
      </c>
      <c r="D2625" s="14">
        <v>880</v>
      </c>
      <c r="E2625" s="15">
        <v>0</v>
      </c>
    </row>
    <row r="2626" spans="1:5" x14ac:dyDescent="0.4">
      <c r="A2626" s="13" t="s">
        <v>871</v>
      </c>
      <c r="B2626" s="13" t="s">
        <v>26</v>
      </c>
      <c r="C2626" s="13" t="s">
        <v>30</v>
      </c>
      <c r="D2626" s="14">
        <v>880</v>
      </c>
      <c r="E2626" s="15">
        <v>0</v>
      </c>
    </row>
    <row r="2627" spans="1:5" x14ac:dyDescent="0.4">
      <c r="A2627" s="13" t="s">
        <v>904</v>
      </c>
      <c r="B2627" s="13" t="s">
        <v>26</v>
      </c>
      <c r="C2627" s="13" t="s">
        <v>27</v>
      </c>
      <c r="D2627" s="14">
        <v>880</v>
      </c>
      <c r="E2627" s="15">
        <v>1</v>
      </c>
    </row>
    <row r="2628" spans="1:5" x14ac:dyDescent="0.4">
      <c r="A2628" s="13" t="s">
        <v>977</v>
      </c>
      <c r="B2628" s="13" t="s">
        <v>26</v>
      </c>
      <c r="C2628" s="13" t="s">
        <v>39</v>
      </c>
      <c r="D2628" s="14">
        <v>880</v>
      </c>
      <c r="E2628" s="15">
        <v>3</v>
      </c>
    </row>
    <row r="2629" spans="1:5" x14ac:dyDescent="0.4">
      <c r="A2629" s="13" t="s">
        <v>1112</v>
      </c>
      <c r="B2629" s="13" t="s">
        <v>24</v>
      </c>
      <c r="C2629" s="13" t="s">
        <v>30</v>
      </c>
      <c r="D2629" s="14">
        <v>880</v>
      </c>
      <c r="E2629" s="15">
        <v>3</v>
      </c>
    </row>
    <row r="2630" spans="1:5" x14ac:dyDescent="0.4">
      <c r="A2630" s="13" t="s">
        <v>1462</v>
      </c>
      <c r="B2630" s="13" t="s">
        <v>26</v>
      </c>
      <c r="C2630" s="13" t="s">
        <v>21</v>
      </c>
      <c r="D2630" s="14">
        <v>880</v>
      </c>
      <c r="E2630" s="15">
        <v>0</v>
      </c>
    </row>
    <row r="2631" spans="1:5" x14ac:dyDescent="0.4">
      <c r="A2631" s="13" t="s">
        <v>144</v>
      </c>
      <c r="B2631" s="13" t="s">
        <v>20</v>
      </c>
      <c r="C2631" s="13" t="s">
        <v>33</v>
      </c>
      <c r="D2631" s="14">
        <v>881</v>
      </c>
      <c r="E2631" s="15">
        <v>0</v>
      </c>
    </row>
    <row r="2632" spans="1:5" x14ac:dyDescent="0.4">
      <c r="A2632" s="13" t="s">
        <v>714</v>
      </c>
      <c r="B2632" s="13" t="s">
        <v>26</v>
      </c>
      <c r="C2632" s="13" t="s">
        <v>30</v>
      </c>
      <c r="D2632" s="14">
        <v>881</v>
      </c>
      <c r="E2632" s="15">
        <v>2</v>
      </c>
    </row>
    <row r="2633" spans="1:5" x14ac:dyDescent="0.4">
      <c r="A2633" s="13" t="s">
        <v>965</v>
      </c>
      <c r="B2633" s="13" t="s">
        <v>26</v>
      </c>
      <c r="C2633" s="13" t="s">
        <v>44</v>
      </c>
      <c r="D2633" s="14">
        <v>881</v>
      </c>
      <c r="E2633" s="15">
        <v>1</v>
      </c>
    </row>
    <row r="2634" spans="1:5" x14ac:dyDescent="0.4">
      <c r="A2634" s="13" t="s">
        <v>1044</v>
      </c>
      <c r="B2634" s="13" t="s">
        <v>26</v>
      </c>
      <c r="C2634" s="13" t="s">
        <v>53</v>
      </c>
      <c r="D2634" s="14">
        <v>881</v>
      </c>
      <c r="E2634" s="15">
        <v>1</v>
      </c>
    </row>
    <row r="2635" spans="1:5" x14ac:dyDescent="0.4">
      <c r="A2635" s="13" t="s">
        <v>1582</v>
      </c>
      <c r="B2635" s="13" t="s">
        <v>20</v>
      </c>
      <c r="C2635" s="13" t="s">
        <v>111</v>
      </c>
      <c r="D2635" s="14">
        <v>881</v>
      </c>
      <c r="E2635" s="15">
        <v>10</v>
      </c>
    </row>
    <row r="2636" spans="1:5" x14ac:dyDescent="0.4">
      <c r="A2636" s="13" t="s">
        <v>1906</v>
      </c>
      <c r="B2636" s="13" t="s">
        <v>20</v>
      </c>
      <c r="C2636" s="13" t="s">
        <v>66</v>
      </c>
      <c r="D2636" s="14">
        <v>881</v>
      </c>
      <c r="E2636" s="15">
        <v>1</v>
      </c>
    </row>
    <row r="2637" spans="1:5" x14ac:dyDescent="0.4">
      <c r="A2637" s="13" t="s">
        <v>663</v>
      </c>
      <c r="B2637" s="13" t="s">
        <v>20</v>
      </c>
      <c r="C2637" s="13" t="s">
        <v>30</v>
      </c>
      <c r="D2637" s="14">
        <v>883</v>
      </c>
      <c r="E2637" s="15">
        <v>3</v>
      </c>
    </row>
    <row r="2638" spans="1:5" x14ac:dyDescent="0.4">
      <c r="A2638" s="13" t="s">
        <v>1805</v>
      </c>
      <c r="B2638" s="13" t="s">
        <v>24</v>
      </c>
      <c r="C2638" s="13" t="s">
        <v>25</v>
      </c>
      <c r="D2638" s="14">
        <v>883</v>
      </c>
      <c r="E2638" s="15">
        <v>4</v>
      </c>
    </row>
    <row r="2639" spans="1:5" x14ac:dyDescent="0.4">
      <c r="A2639" s="13" t="s">
        <v>428</v>
      </c>
      <c r="B2639" s="13" t="s">
        <v>24</v>
      </c>
      <c r="C2639" s="13" t="s">
        <v>40</v>
      </c>
      <c r="D2639" s="14">
        <v>884</v>
      </c>
      <c r="E2639" s="15">
        <v>8</v>
      </c>
    </row>
    <row r="2640" spans="1:5" x14ac:dyDescent="0.4">
      <c r="A2640" s="13" t="s">
        <v>833</v>
      </c>
      <c r="B2640" s="13" t="s">
        <v>20</v>
      </c>
      <c r="C2640" s="13" t="s">
        <v>21</v>
      </c>
      <c r="D2640" s="14">
        <v>884</v>
      </c>
      <c r="E2640" s="15">
        <v>2</v>
      </c>
    </row>
    <row r="2641" spans="1:5" x14ac:dyDescent="0.4">
      <c r="A2641" s="13" t="s">
        <v>333</v>
      </c>
      <c r="B2641" s="13" t="s">
        <v>24</v>
      </c>
      <c r="C2641" s="13" t="s">
        <v>5</v>
      </c>
      <c r="D2641" s="14">
        <v>885</v>
      </c>
      <c r="E2641" s="15">
        <v>0</v>
      </c>
    </row>
    <row r="2642" spans="1:5" x14ac:dyDescent="0.4">
      <c r="A2642" s="13" t="s">
        <v>628</v>
      </c>
      <c r="B2642" s="13" t="s">
        <v>24</v>
      </c>
      <c r="C2642" s="13" t="s">
        <v>43</v>
      </c>
      <c r="D2642" s="14">
        <v>885</v>
      </c>
      <c r="E2642" s="15">
        <v>2</v>
      </c>
    </row>
    <row r="2643" spans="1:5" x14ac:dyDescent="0.4">
      <c r="A2643" s="13" t="s">
        <v>747</v>
      </c>
      <c r="B2643" s="13" t="s">
        <v>24</v>
      </c>
      <c r="C2643" s="13" t="s">
        <v>27</v>
      </c>
      <c r="D2643" s="14">
        <v>885</v>
      </c>
      <c r="E2643" s="15">
        <v>7</v>
      </c>
    </row>
    <row r="2644" spans="1:5" x14ac:dyDescent="0.4">
      <c r="A2644" s="13" t="s">
        <v>1525</v>
      </c>
      <c r="B2644" s="13" t="s">
        <v>24</v>
      </c>
      <c r="C2644" s="13" t="s">
        <v>27</v>
      </c>
      <c r="D2644" s="14">
        <v>885</v>
      </c>
      <c r="E2644" s="15">
        <v>0</v>
      </c>
    </row>
    <row r="2645" spans="1:5" x14ac:dyDescent="0.4">
      <c r="A2645" s="13" t="s">
        <v>31</v>
      </c>
      <c r="B2645" s="13" t="s">
        <v>20</v>
      </c>
      <c r="C2645" s="13" t="s">
        <v>34</v>
      </c>
      <c r="D2645" s="14">
        <v>886</v>
      </c>
      <c r="E2645" s="15">
        <v>0</v>
      </c>
    </row>
    <row r="2646" spans="1:5" x14ac:dyDescent="0.4">
      <c r="A2646" s="13" t="s">
        <v>397</v>
      </c>
      <c r="B2646" s="13" t="s">
        <v>20</v>
      </c>
      <c r="C2646" s="13" t="s">
        <v>39</v>
      </c>
      <c r="D2646" s="14">
        <v>886</v>
      </c>
      <c r="E2646" s="15">
        <v>1</v>
      </c>
    </row>
    <row r="2647" spans="1:5" x14ac:dyDescent="0.4">
      <c r="A2647" s="13" t="s">
        <v>1069</v>
      </c>
      <c r="B2647" s="13" t="s">
        <v>26</v>
      </c>
      <c r="C2647" s="13" t="s">
        <v>27</v>
      </c>
      <c r="D2647" s="14">
        <v>886</v>
      </c>
      <c r="E2647" s="15">
        <v>0</v>
      </c>
    </row>
    <row r="2648" spans="1:5" x14ac:dyDescent="0.4">
      <c r="A2648" s="13" t="s">
        <v>1193</v>
      </c>
      <c r="B2648" s="13" t="s">
        <v>26</v>
      </c>
      <c r="C2648" s="13" t="s">
        <v>22</v>
      </c>
      <c r="D2648" s="14">
        <v>886</v>
      </c>
      <c r="E2648" s="15">
        <v>7</v>
      </c>
    </row>
    <row r="2649" spans="1:5" x14ac:dyDescent="0.4">
      <c r="A2649" s="13" t="s">
        <v>434</v>
      </c>
      <c r="B2649" s="13" t="s">
        <v>26</v>
      </c>
      <c r="C2649" s="13" t="s">
        <v>5</v>
      </c>
      <c r="D2649" s="14">
        <v>887</v>
      </c>
      <c r="E2649" s="15">
        <v>2</v>
      </c>
    </row>
    <row r="2650" spans="1:5" x14ac:dyDescent="0.4">
      <c r="A2650" s="13" t="s">
        <v>896</v>
      </c>
      <c r="B2650" s="13" t="s">
        <v>26</v>
      </c>
      <c r="C2650" s="13" t="s">
        <v>32</v>
      </c>
      <c r="D2650" s="14">
        <v>887</v>
      </c>
      <c r="E2650" s="15">
        <v>0</v>
      </c>
    </row>
    <row r="2651" spans="1:5" x14ac:dyDescent="0.4">
      <c r="A2651" s="13" t="s">
        <v>1099</v>
      </c>
      <c r="B2651" s="13" t="s">
        <v>20</v>
      </c>
      <c r="C2651" s="13" t="s">
        <v>28</v>
      </c>
      <c r="D2651" s="14">
        <v>887</v>
      </c>
      <c r="E2651" s="15">
        <v>2</v>
      </c>
    </row>
    <row r="2652" spans="1:5" x14ac:dyDescent="0.4">
      <c r="A2652" s="13" t="s">
        <v>1840</v>
      </c>
      <c r="B2652" s="13" t="s">
        <v>20</v>
      </c>
      <c r="C2652" s="13" t="s">
        <v>44</v>
      </c>
      <c r="D2652" s="14">
        <v>887</v>
      </c>
      <c r="E2652" s="15">
        <v>1</v>
      </c>
    </row>
    <row r="2653" spans="1:5" x14ac:dyDescent="0.4">
      <c r="A2653" s="13" t="s">
        <v>1048</v>
      </c>
      <c r="B2653" s="13" t="s">
        <v>26</v>
      </c>
      <c r="C2653" s="13" t="s">
        <v>27</v>
      </c>
      <c r="D2653" s="14">
        <v>888</v>
      </c>
      <c r="E2653" s="15">
        <v>14</v>
      </c>
    </row>
    <row r="2654" spans="1:5" x14ac:dyDescent="0.4">
      <c r="A2654" s="13" t="s">
        <v>1272</v>
      </c>
      <c r="B2654" s="13" t="s">
        <v>20</v>
      </c>
      <c r="C2654" s="13" t="s">
        <v>62</v>
      </c>
      <c r="D2654" s="14">
        <v>888</v>
      </c>
      <c r="E2654" s="15">
        <v>2</v>
      </c>
    </row>
    <row r="2655" spans="1:5" x14ac:dyDescent="0.4">
      <c r="A2655" s="13" t="s">
        <v>1286</v>
      </c>
      <c r="B2655" s="13" t="s">
        <v>26</v>
      </c>
      <c r="C2655" s="13" t="s">
        <v>28</v>
      </c>
      <c r="D2655" s="14">
        <v>888</v>
      </c>
      <c r="E2655" s="15">
        <v>5</v>
      </c>
    </row>
    <row r="2656" spans="1:5" x14ac:dyDescent="0.4">
      <c r="A2656" s="13" t="s">
        <v>1554</v>
      </c>
      <c r="B2656" s="13" t="s">
        <v>24</v>
      </c>
      <c r="C2656" s="13" t="s">
        <v>66</v>
      </c>
      <c r="D2656" s="14">
        <v>888</v>
      </c>
      <c r="E2656" s="15">
        <v>1</v>
      </c>
    </row>
    <row r="2657" spans="1:5" x14ac:dyDescent="0.4">
      <c r="A2657" s="13" t="s">
        <v>1836</v>
      </c>
      <c r="B2657" s="13" t="s">
        <v>26</v>
      </c>
      <c r="C2657" s="13" t="s">
        <v>66</v>
      </c>
      <c r="D2657" s="14">
        <v>888</v>
      </c>
      <c r="E2657" s="15">
        <v>4</v>
      </c>
    </row>
    <row r="2658" spans="1:5" x14ac:dyDescent="0.4">
      <c r="A2658" s="13" t="s">
        <v>1853</v>
      </c>
      <c r="B2658" s="13" t="s">
        <v>26</v>
      </c>
      <c r="C2658" s="13" t="s">
        <v>30</v>
      </c>
      <c r="D2658" s="14">
        <v>888</v>
      </c>
      <c r="E2658" s="15">
        <v>11</v>
      </c>
    </row>
    <row r="2659" spans="1:5" x14ac:dyDescent="0.4">
      <c r="A2659" s="13" t="s">
        <v>1595</v>
      </c>
      <c r="B2659" s="13" t="s">
        <v>26</v>
      </c>
      <c r="C2659" s="13" t="s">
        <v>30</v>
      </c>
      <c r="D2659" s="14">
        <v>889</v>
      </c>
      <c r="E2659" s="15">
        <v>13</v>
      </c>
    </row>
    <row r="2660" spans="1:5" x14ac:dyDescent="0.4">
      <c r="A2660" s="13" t="s">
        <v>1634</v>
      </c>
      <c r="B2660" s="13" t="s">
        <v>26</v>
      </c>
      <c r="C2660" s="13" t="s">
        <v>30</v>
      </c>
      <c r="D2660" s="14">
        <v>889</v>
      </c>
      <c r="E2660" s="15">
        <v>10</v>
      </c>
    </row>
    <row r="2661" spans="1:5" x14ac:dyDescent="0.4">
      <c r="A2661" s="13" t="s">
        <v>231</v>
      </c>
      <c r="B2661" s="13" t="s">
        <v>26</v>
      </c>
      <c r="C2661" s="13" t="s">
        <v>27</v>
      </c>
      <c r="D2661" s="14">
        <v>891</v>
      </c>
      <c r="E2661" s="15">
        <v>0</v>
      </c>
    </row>
    <row r="2662" spans="1:5" x14ac:dyDescent="0.4">
      <c r="A2662" s="13" t="s">
        <v>1038</v>
      </c>
      <c r="B2662" s="13" t="s">
        <v>26</v>
      </c>
      <c r="C2662" s="13" t="s">
        <v>5</v>
      </c>
      <c r="D2662" s="14">
        <v>891</v>
      </c>
      <c r="E2662" s="15">
        <v>0</v>
      </c>
    </row>
    <row r="2663" spans="1:5" x14ac:dyDescent="0.4">
      <c r="A2663" s="13" t="s">
        <v>1971</v>
      </c>
      <c r="B2663" s="13" t="s">
        <v>20</v>
      </c>
      <c r="C2663" s="13" t="s">
        <v>62</v>
      </c>
      <c r="D2663" s="14">
        <v>891</v>
      </c>
      <c r="E2663" s="15">
        <v>1</v>
      </c>
    </row>
    <row r="2664" spans="1:5" x14ac:dyDescent="0.4">
      <c r="A2664" s="13" t="s">
        <v>706</v>
      </c>
      <c r="B2664" s="13" t="s">
        <v>20</v>
      </c>
      <c r="C2664" s="13" t="s">
        <v>34</v>
      </c>
      <c r="D2664" s="14">
        <v>892</v>
      </c>
      <c r="E2664" s="15">
        <v>0</v>
      </c>
    </row>
    <row r="2665" spans="1:5" x14ac:dyDescent="0.4">
      <c r="A2665" s="13" t="s">
        <v>1032</v>
      </c>
      <c r="B2665" s="13" t="s">
        <v>26</v>
      </c>
      <c r="C2665" s="13" t="s">
        <v>40</v>
      </c>
      <c r="D2665" s="14">
        <v>892</v>
      </c>
      <c r="E2665" s="15">
        <v>1</v>
      </c>
    </row>
    <row r="2666" spans="1:5" x14ac:dyDescent="0.4">
      <c r="A2666" s="13" t="s">
        <v>1035</v>
      </c>
      <c r="B2666" s="13" t="s">
        <v>24</v>
      </c>
      <c r="C2666" s="13" t="s">
        <v>40</v>
      </c>
      <c r="D2666" s="14">
        <v>892</v>
      </c>
      <c r="E2666" s="15">
        <v>5</v>
      </c>
    </row>
    <row r="2667" spans="1:5" x14ac:dyDescent="0.4">
      <c r="A2667" s="13" t="s">
        <v>1305</v>
      </c>
      <c r="B2667" s="13" t="s">
        <v>24</v>
      </c>
      <c r="C2667" s="13" t="s">
        <v>44</v>
      </c>
      <c r="D2667" s="14">
        <v>892</v>
      </c>
      <c r="E2667" s="15">
        <v>2</v>
      </c>
    </row>
    <row r="2668" spans="1:5" x14ac:dyDescent="0.4">
      <c r="A2668" s="13" t="s">
        <v>1918</v>
      </c>
      <c r="B2668" s="13" t="s">
        <v>24</v>
      </c>
      <c r="C2668" s="13" t="s">
        <v>33</v>
      </c>
      <c r="D2668" s="14">
        <v>892</v>
      </c>
      <c r="E2668" s="15">
        <v>0</v>
      </c>
    </row>
    <row r="2669" spans="1:5" x14ac:dyDescent="0.4">
      <c r="A2669" s="13" t="s">
        <v>1360</v>
      </c>
      <c r="B2669" s="13" t="s">
        <v>20</v>
      </c>
      <c r="C2669" s="13" t="s">
        <v>39</v>
      </c>
      <c r="D2669" s="14">
        <v>893</v>
      </c>
      <c r="E2669" s="15">
        <v>3</v>
      </c>
    </row>
    <row r="2670" spans="1:5" x14ac:dyDescent="0.4">
      <c r="A2670" s="13" t="s">
        <v>563</v>
      </c>
      <c r="B2670" s="13" t="s">
        <v>26</v>
      </c>
      <c r="C2670" s="13" t="s">
        <v>30</v>
      </c>
      <c r="D2670" s="14">
        <v>894</v>
      </c>
      <c r="E2670" s="15">
        <v>0</v>
      </c>
    </row>
    <row r="2671" spans="1:5" x14ac:dyDescent="0.4">
      <c r="A2671" s="13" t="s">
        <v>1124</v>
      </c>
      <c r="B2671" s="13" t="s">
        <v>26</v>
      </c>
      <c r="C2671" s="13" t="s">
        <v>25</v>
      </c>
      <c r="D2671" s="14">
        <v>894</v>
      </c>
      <c r="E2671" s="15">
        <v>2</v>
      </c>
    </row>
    <row r="2672" spans="1:5" x14ac:dyDescent="0.4">
      <c r="A2672" s="13" t="s">
        <v>1639</v>
      </c>
      <c r="B2672" s="13" t="s">
        <v>24</v>
      </c>
      <c r="C2672" s="13" t="s">
        <v>39</v>
      </c>
      <c r="D2672" s="14">
        <v>894</v>
      </c>
      <c r="E2672" s="15">
        <v>4</v>
      </c>
    </row>
    <row r="2673" spans="1:5" x14ac:dyDescent="0.4">
      <c r="A2673" s="13" t="s">
        <v>469</v>
      </c>
      <c r="B2673" s="13" t="s">
        <v>26</v>
      </c>
      <c r="C2673" s="13" t="s">
        <v>21</v>
      </c>
      <c r="D2673" s="14">
        <v>895</v>
      </c>
      <c r="E2673" s="15">
        <v>6</v>
      </c>
    </row>
    <row r="2674" spans="1:5" x14ac:dyDescent="0.4">
      <c r="A2674" s="13" t="s">
        <v>488</v>
      </c>
      <c r="B2674" s="13" t="s">
        <v>20</v>
      </c>
      <c r="C2674" s="13" t="s">
        <v>27</v>
      </c>
      <c r="D2674" s="14">
        <v>895</v>
      </c>
      <c r="E2674" s="15">
        <v>1</v>
      </c>
    </row>
    <row r="2675" spans="1:5" x14ac:dyDescent="0.4">
      <c r="A2675" s="13" t="s">
        <v>575</v>
      </c>
      <c r="B2675" s="13" t="s">
        <v>26</v>
      </c>
      <c r="C2675" s="13" t="s">
        <v>62</v>
      </c>
      <c r="D2675" s="14">
        <v>896</v>
      </c>
      <c r="E2675" s="15">
        <v>1</v>
      </c>
    </row>
    <row r="2676" spans="1:5" x14ac:dyDescent="0.4">
      <c r="A2676" s="13" t="s">
        <v>1917</v>
      </c>
      <c r="B2676" s="13" t="s">
        <v>24</v>
      </c>
      <c r="C2676" s="13" t="s">
        <v>62</v>
      </c>
      <c r="D2676" s="14">
        <v>896</v>
      </c>
      <c r="E2676" s="15">
        <v>5</v>
      </c>
    </row>
    <row r="2677" spans="1:5" x14ac:dyDescent="0.4">
      <c r="A2677" s="13" t="s">
        <v>1523</v>
      </c>
      <c r="B2677" s="13" t="s">
        <v>26</v>
      </c>
      <c r="C2677" s="13" t="s">
        <v>62</v>
      </c>
      <c r="D2677" s="14">
        <v>897</v>
      </c>
      <c r="E2677" s="15">
        <v>0</v>
      </c>
    </row>
    <row r="2678" spans="1:5" x14ac:dyDescent="0.4">
      <c r="A2678" s="13" t="s">
        <v>78</v>
      </c>
      <c r="B2678" s="13" t="s">
        <v>24</v>
      </c>
      <c r="C2678" s="13" t="s">
        <v>33</v>
      </c>
      <c r="D2678" s="14">
        <v>898</v>
      </c>
      <c r="E2678" s="15">
        <v>4</v>
      </c>
    </row>
    <row r="2679" spans="1:5" x14ac:dyDescent="0.4">
      <c r="A2679" s="13" t="s">
        <v>417</v>
      </c>
      <c r="B2679" s="13" t="s">
        <v>26</v>
      </c>
      <c r="C2679" s="13" t="s">
        <v>28</v>
      </c>
      <c r="D2679" s="14">
        <v>898</v>
      </c>
      <c r="E2679" s="15">
        <v>0</v>
      </c>
    </row>
    <row r="2680" spans="1:5" x14ac:dyDescent="0.4">
      <c r="A2680" s="13" t="s">
        <v>1556</v>
      </c>
      <c r="B2680" s="13" t="s">
        <v>24</v>
      </c>
      <c r="C2680" s="13" t="s">
        <v>32</v>
      </c>
      <c r="D2680" s="14">
        <v>898</v>
      </c>
      <c r="E2680" s="15">
        <v>2</v>
      </c>
    </row>
    <row r="2681" spans="1:5" x14ac:dyDescent="0.4">
      <c r="A2681" s="13" t="s">
        <v>1854</v>
      </c>
      <c r="B2681" s="13" t="s">
        <v>26</v>
      </c>
      <c r="C2681" s="13" t="s">
        <v>30</v>
      </c>
      <c r="D2681" s="14">
        <v>898</v>
      </c>
      <c r="E2681" s="15">
        <v>0</v>
      </c>
    </row>
    <row r="2682" spans="1:5" x14ac:dyDescent="0.4">
      <c r="A2682" s="13" t="s">
        <v>69</v>
      </c>
      <c r="B2682" s="13" t="s">
        <v>20</v>
      </c>
      <c r="C2682" s="13" t="s">
        <v>62</v>
      </c>
      <c r="D2682" s="14">
        <v>899</v>
      </c>
      <c r="E2682" s="15">
        <v>0</v>
      </c>
    </row>
    <row r="2683" spans="1:5" x14ac:dyDescent="0.4">
      <c r="A2683" s="13" t="s">
        <v>1371</v>
      </c>
      <c r="B2683" s="13" t="s">
        <v>24</v>
      </c>
      <c r="C2683" s="13" t="s">
        <v>5</v>
      </c>
      <c r="D2683" s="14">
        <v>899</v>
      </c>
      <c r="E2683" s="15">
        <v>0</v>
      </c>
    </row>
    <row r="2684" spans="1:5" x14ac:dyDescent="0.4">
      <c r="A2684" s="13" t="s">
        <v>1431</v>
      </c>
      <c r="B2684" s="13" t="s">
        <v>20</v>
      </c>
      <c r="C2684" s="13" t="s">
        <v>32</v>
      </c>
      <c r="D2684" s="14">
        <v>899</v>
      </c>
      <c r="E2684" s="15">
        <v>3</v>
      </c>
    </row>
    <row r="2685" spans="1:5" x14ac:dyDescent="0.4">
      <c r="A2685" s="13" t="s">
        <v>1744</v>
      </c>
      <c r="B2685" s="13" t="s">
        <v>24</v>
      </c>
      <c r="C2685" s="13" t="s">
        <v>33</v>
      </c>
      <c r="D2685" s="14">
        <v>899</v>
      </c>
      <c r="E2685" s="15">
        <v>1</v>
      </c>
    </row>
    <row r="2686" spans="1:5" x14ac:dyDescent="0.4">
      <c r="A2686" s="13" t="s">
        <v>1874</v>
      </c>
      <c r="B2686" s="13" t="s">
        <v>24</v>
      </c>
      <c r="C2686" s="13" t="s">
        <v>43</v>
      </c>
      <c r="D2686" s="14">
        <v>899</v>
      </c>
      <c r="E2686" s="15">
        <v>10</v>
      </c>
    </row>
    <row r="2687" spans="1:5" x14ac:dyDescent="0.4">
      <c r="A2687" s="13" t="s">
        <v>338</v>
      </c>
      <c r="B2687" s="13" t="s">
        <v>24</v>
      </c>
      <c r="C2687" s="13" t="s">
        <v>44</v>
      </c>
      <c r="D2687" s="14">
        <v>900</v>
      </c>
      <c r="E2687" s="15">
        <v>7</v>
      </c>
    </row>
    <row r="2688" spans="1:5" x14ac:dyDescent="0.4">
      <c r="A2688" s="13" t="s">
        <v>1469</v>
      </c>
      <c r="B2688" s="13" t="s">
        <v>26</v>
      </c>
      <c r="C2688" s="13" t="s">
        <v>34</v>
      </c>
      <c r="D2688" s="14">
        <v>900</v>
      </c>
      <c r="E2688" s="15">
        <v>6</v>
      </c>
    </row>
    <row r="2689" spans="1:5" x14ac:dyDescent="0.4">
      <c r="A2689" s="13" t="s">
        <v>106</v>
      </c>
      <c r="B2689" s="13" t="s">
        <v>20</v>
      </c>
      <c r="C2689" s="13" t="s">
        <v>34</v>
      </c>
      <c r="D2689" s="14">
        <v>901</v>
      </c>
      <c r="E2689" s="15">
        <v>9</v>
      </c>
    </row>
    <row r="2690" spans="1:5" x14ac:dyDescent="0.4">
      <c r="A2690" s="13" t="s">
        <v>1505</v>
      </c>
      <c r="B2690" s="13" t="s">
        <v>20</v>
      </c>
      <c r="C2690" s="13" t="s">
        <v>44</v>
      </c>
      <c r="D2690" s="14">
        <v>901</v>
      </c>
      <c r="E2690" s="15">
        <v>0</v>
      </c>
    </row>
    <row r="2691" spans="1:5" x14ac:dyDescent="0.4">
      <c r="A2691" s="13" t="s">
        <v>186</v>
      </c>
      <c r="B2691" s="13" t="s">
        <v>20</v>
      </c>
      <c r="C2691" s="13" t="s">
        <v>28</v>
      </c>
      <c r="D2691" s="14">
        <v>902</v>
      </c>
      <c r="E2691" s="15">
        <v>2</v>
      </c>
    </row>
    <row r="2692" spans="1:5" x14ac:dyDescent="0.4">
      <c r="A2692" s="13" t="s">
        <v>71</v>
      </c>
      <c r="B2692" s="13" t="s">
        <v>24</v>
      </c>
      <c r="C2692" s="13" t="s">
        <v>44</v>
      </c>
      <c r="D2692" s="14">
        <v>903</v>
      </c>
      <c r="E2692" s="15">
        <v>0</v>
      </c>
    </row>
    <row r="2693" spans="1:5" x14ac:dyDescent="0.4">
      <c r="A2693" s="13" t="s">
        <v>1104</v>
      </c>
      <c r="B2693" s="13" t="s">
        <v>24</v>
      </c>
      <c r="C2693" s="13" t="s">
        <v>22</v>
      </c>
      <c r="D2693" s="14">
        <v>903</v>
      </c>
      <c r="E2693" s="15">
        <v>0</v>
      </c>
    </row>
    <row r="2694" spans="1:5" x14ac:dyDescent="0.4">
      <c r="A2694" s="13" t="s">
        <v>414</v>
      </c>
      <c r="B2694" s="13" t="s">
        <v>20</v>
      </c>
      <c r="C2694" s="13" t="s">
        <v>111</v>
      </c>
      <c r="D2694" s="14">
        <v>904</v>
      </c>
      <c r="E2694" s="15">
        <v>3</v>
      </c>
    </row>
    <row r="2695" spans="1:5" x14ac:dyDescent="0.4">
      <c r="A2695" s="13" t="s">
        <v>1832</v>
      </c>
      <c r="B2695" s="13" t="s">
        <v>26</v>
      </c>
      <c r="C2695" s="13" t="s">
        <v>44</v>
      </c>
      <c r="D2695" s="14">
        <v>904</v>
      </c>
      <c r="E2695" s="15">
        <v>0</v>
      </c>
    </row>
    <row r="2696" spans="1:5" x14ac:dyDescent="0.4">
      <c r="A2696" s="13" t="s">
        <v>1397</v>
      </c>
      <c r="B2696" s="13" t="s">
        <v>20</v>
      </c>
      <c r="C2696" s="13" t="s">
        <v>39</v>
      </c>
      <c r="D2696" s="14">
        <v>905</v>
      </c>
      <c r="E2696" s="15">
        <v>2</v>
      </c>
    </row>
    <row r="2697" spans="1:5" x14ac:dyDescent="0.4">
      <c r="A2697" s="13" t="s">
        <v>413</v>
      </c>
      <c r="B2697" s="13" t="s">
        <v>20</v>
      </c>
      <c r="C2697" s="13" t="s">
        <v>66</v>
      </c>
      <c r="D2697" s="14">
        <v>906</v>
      </c>
      <c r="E2697" s="15">
        <v>0</v>
      </c>
    </row>
    <row r="2698" spans="1:5" x14ac:dyDescent="0.4">
      <c r="A2698" s="13" t="s">
        <v>925</v>
      </c>
      <c r="B2698" s="13" t="s">
        <v>20</v>
      </c>
      <c r="C2698" s="13" t="s">
        <v>62</v>
      </c>
      <c r="D2698" s="14">
        <v>906</v>
      </c>
      <c r="E2698" s="15">
        <v>1</v>
      </c>
    </row>
    <row r="2699" spans="1:5" x14ac:dyDescent="0.4">
      <c r="A2699" s="13" t="s">
        <v>1058</v>
      </c>
      <c r="B2699" s="13" t="s">
        <v>26</v>
      </c>
      <c r="C2699" s="13" t="s">
        <v>111</v>
      </c>
      <c r="D2699" s="14">
        <v>906</v>
      </c>
      <c r="E2699" s="15">
        <v>0</v>
      </c>
    </row>
    <row r="2700" spans="1:5" x14ac:dyDescent="0.4">
      <c r="A2700" s="13" t="s">
        <v>1480</v>
      </c>
      <c r="B2700" s="13" t="s">
        <v>20</v>
      </c>
      <c r="C2700" s="13" t="s">
        <v>40</v>
      </c>
      <c r="D2700" s="14">
        <v>906</v>
      </c>
      <c r="E2700" s="15">
        <v>0</v>
      </c>
    </row>
    <row r="2701" spans="1:5" x14ac:dyDescent="0.4">
      <c r="A2701" s="13" t="s">
        <v>1775</v>
      </c>
      <c r="B2701" s="13" t="s">
        <v>24</v>
      </c>
      <c r="C2701" s="13" t="s">
        <v>43</v>
      </c>
      <c r="D2701" s="14">
        <v>906</v>
      </c>
      <c r="E2701" s="15">
        <v>0</v>
      </c>
    </row>
    <row r="2702" spans="1:5" x14ac:dyDescent="0.4">
      <c r="A2702" s="13" t="s">
        <v>1955</v>
      </c>
      <c r="B2702" s="13" t="s">
        <v>26</v>
      </c>
      <c r="C2702" s="13" t="s">
        <v>44</v>
      </c>
      <c r="D2702" s="14">
        <v>906</v>
      </c>
      <c r="E2702" s="15">
        <v>0</v>
      </c>
    </row>
    <row r="2703" spans="1:5" x14ac:dyDescent="0.4">
      <c r="A2703" s="13" t="s">
        <v>408</v>
      </c>
      <c r="B2703" s="13" t="s">
        <v>24</v>
      </c>
      <c r="C2703" s="13" t="s">
        <v>5</v>
      </c>
      <c r="D2703" s="14">
        <v>907</v>
      </c>
      <c r="E2703" s="15">
        <v>0</v>
      </c>
    </row>
    <row r="2704" spans="1:5" x14ac:dyDescent="0.4">
      <c r="A2704" s="13" t="s">
        <v>1485</v>
      </c>
      <c r="B2704" s="13" t="s">
        <v>24</v>
      </c>
      <c r="C2704" s="13" t="s">
        <v>39</v>
      </c>
      <c r="D2704" s="14">
        <v>907</v>
      </c>
      <c r="E2704" s="15">
        <v>2</v>
      </c>
    </row>
    <row r="2705" spans="1:5" x14ac:dyDescent="0.4">
      <c r="A2705" s="13" t="s">
        <v>1476</v>
      </c>
      <c r="B2705" s="13" t="s">
        <v>20</v>
      </c>
      <c r="C2705" s="13" t="s">
        <v>25</v>
      </c>
      <c r="D2705" s="14">
        <v>908</v>
      </c>
      <c r="E2705" s="15">
        <v>0</v>
      </c>
    </row>
    <row r="2706" spans="1:5" x14ac:dyDescent="0.4">
      <c r="A2706" s="13" t="s">
        <v>1482</v>
      </c>
      <c r="B2706" s="13" t="s">
        <v>20</v>
      </c>
      <c r="C2706" s="13" t="s">
        <v>22</v>
      </c>
      <c r="D2706" s="14">
        <v>909</v>
      </c>
      <c r="E2706" s="15">
        <v>3</v>
      </c>
    </row>
    <row r="2707" spans="1:5" x14ac:dyDescent="0.4">
      <c r="A2707" s="13" t="s">
        <v>130</v>
      </c>
      <c r="B2707" s="13" t="s">
        <v>24</v>
      </c>
      <c r="C2707" s="13" t="s">
        <v>5</v>
      </c>
      <c r="D2707" s="14">
        <v>910</v>
      </c>
      <c r="E2707" s="15">
        <v>0</v>
      </c>
    </row>
    <row r="2708" spans="1:5" x14ac:dyDescent="0.4">
      <c r="A2708" s="13" t="s">
        <v>812</v>
      </c>
      <c r="B2708" s="13" t="s">
        <v>24</v>
      </c>
      <c r="C2708" s="13" t="s">
        <v>27</v>
      </c>
      <c r="D2708" s="14">
        <v>910</v>
      </c>
      <c r="E2708" s="15">
        <v>12</v>
      </c>
    </row>
    <row r="2709" spans="1:5" x14ac:dyDescent="0.4">
      <c r="A2709" s="13" t="s">
        <v>865</v>
      </c>
      <c r="B2709" s="13" t="s">
        <v>24</v>
      </c>
      <c r="C2709" s="13" t="s">
        <v>27</v>
      </c>
      <c r="D2709" s="14">
        <v>910</v>
      </c>
      <c r="E2709" s="15">
        <v>0</v>
      </c>
    </row>
    <row r="2710" spans="1:5" x14ac:dyDescent="0.4">
      <c r="A2710" s="13" t="s">
        <v>1484</v>
      </c>
      <c r="B2710" s="13" t="s">
        <v>20</v>
      </c>
      <c r="C2710" s="13" t="s">
        <v>5</v>
      </c>
      <c r="D2710" s="14">
        <v>910</v>
      </c>
      <c r="E2710" s="15">
        <v>0</v>
      </c>
    </row>
    <row r="2711" spans="1:5" x14ac:dyDescent="0.4">
      <c r="A2711" s="13" t="s">
        <v>1429</v>
      </c>
      <c r="B2711" s="13" t="s">
        <v>26</v>
      </c>
      <c r="C2711" s="13" t="s">
        <v>44</v>
      </c>
      <c r="D2711" s="14">
        <v>911</v>
      </c>
      <c r="E2711" s="15">
        <v>12</v>
      </c>
    </row>
    <row r="2712" spans="1:5" x14ac:dyDescent="0.4">
      <c r="A2712" s="13" t="s">
        <v>1875</v>
      </c>
      <c r="B2712" s="13" t="s">
        <v>24</v>
      </c>
      <c r="C2712" s="13" t="s">
        <v>39</v>
      </c>
      <c r="D2712" s="14">
        <v>911</v>
      </c>
      <c r="E2712" s="15">
        <v>4</v>
      </c>
    </row>
    <row r="2713" spans="1:5" x14ac:dyDescent="0.4">
      <c r="A2713" s="13" t="s">
        <v>90</v>
      </c>
      <c r="B2713" s="13" t="s">
        <v>24</v>
      </c>
      <c r="C2713" s="13" t="s">
        <v>44</v>
      </c>
      <c r="D2713" s="14">
        <v>912</v>
      </c>
      <c r="E2713" s="15">
        <v>2</v>
      </c>
    </row>
    <row r="2714" spans="1:5" x14ac:dyDescent="0.4">
      <c r="A2714" s="13" t="s">
        <v>275</v>
      </c>
      <c r="B2714" s="13" t="s">
        <v>24</v>
      </c>
      <c r="C2714" s="13" t="s">
        <v>30</v>
      </c>
      <c r="D2714" s="14">
        <v>912</v>
      </c>
      <c r="E2714" s="15">
        <v>0</v>
      </c>
    </row>
    <row r="2715" spans="1:5" x14ac:dyDescent="0.4">
      <c r="A2715" s="13" t="s">
        <v>59</v>
      </c>
      <c r="B2715" s="13" t="s">
        <v>24</v>
      </c>
      <c r="C2715" s="13" t="s">
        <v>27</v>
      </c>
      <c r="D2715" s="14">
        <v>913</v>
      </c>
      <c r="E2715" s="15">
        <v>2</v>
      </c>
    </row>
    <row r="2716" spans="1:5" x14ac:dyDescent="0.4">
      <c r="A2716" s="13" t="s">
        <v>829</v>
      </c>
      <c r="B2716" s="13" t="s">
        <v>20</v>
      </c>
      <c r="C2716" s="13" t="s">
        <v>44</v>
      </c>
      <c r="D2716" s="14">
        <v>913</v>
      </c>
      <c r="E2716" s="15">
        <v>0</v>
      </c>
    </row>
    <row r="2717" spans="1:5" x14ac:dyDescent="0.4">
      <c r="A2717" s="13" t="s">
        <v>1041</v>
      </c>
      <c r="B2717" s="13" t="s">
        <v>24</v>
      </c>
      <c r="C2717" s="13" t="s">
        <v>39</v>
      </c>
      <c r="D2717" s="14">
        <v>913</v>
      </c>
      <c r="E2717" s="15">
        <v>0</v>
      </c>
    </row>
    <row r="2718" spans="1:5" x14ac:dyDescent="0.4">
      <c r="A2718" s="13" t="s">
        <v>1051</v>
      </c>
      <c r="B2718" s="13" t="s">
        <v>20</v>
      </c>
      <c r="C2718" s="13" t="s">
        <v>39</v>
      </c>
      <c r="D2718" s="14">
        <v>913</v>
      </c>
      <c r="E2718" s="15">
        <v>2</v>
      </c>
    </row>
    <row r="2719" spans="1:5" x14ac:dyDescent="0.4">
      <c r="A2719" s="13" t="s">
        <v>1327</v>
      </c>
      <c r="B2719" s="13" t="s">
        <v>24</v>
      </c>
      <c r="C2719" s="13" t="s">
        <v>21</v>
      </c>
      <c r="D2719" s="14">
        <v>913</v>
      </c>
      <c r="E2719" s="15">
        <v>3</v>
      </c>
    </row>
    <row r="2720" spans="1:5" x14ac:dyDescent="0.4">
      <c r="A2720" s="13" t="s">
        <v>1352</v>
      </c>
      <c r="B2720" s="13" t="s">
        <v>24</v>
      </c>
      <c r="C2720" s="13" t="s">
        <v>27</v>
      </c>
      <c r="D2720" s="14">
        <v>913</v>
      </c>
      <c r="E2720" s="15">
        <v>0</v>
      </c>
    </row>
    <row r="2721" spans="1:5" x14ac:dyDescent="0.4">
      <c r="A2721" s="13" t="s">
        <v>1473</v>
      </c>
      <c r="B2721" s="13" t="s">
        <v>24</v>
      </c>
      <c r="C2721" s="13" t="s">
        <v>44</v>
      </c>
      <c r="D2721" s="14">
        <v>913</v>
      </c>
      <c r="E2721" s="15">
        <v>0</v>
      </c>
    </row>
    <row r="2722" spans="1:5" x14ac:dyDescent="0.4">
      <c r="A2722" s="13" t="s">
        <v>660</v>
      </c>
      <c r="B2722" s="13" t="s">
        <v>20</v>
      </c>
      <c r="C2722" s="13" t="s">
        <v>43</v>
      </c>
      <c r="D2722" s="14">
        <v>914</v>
      </c>
      <c r="E2722" s="15">
        <v>0</v>
      </c>
    </row>
    <row r="2723" spans="1:5" x14ac:dyDescent="0.4">
      <c r="A2723" s="13" t="s">
        <v>766</v>
      </c>
      <c r="B2723" s="13" t="s">
        <v>24</v>
      </c>
      <c r="C2723" s="13" t="s">
        <v>27</v>
      </c>
      <c r="D2723" s="14">
        <v>914</v>
      </c>
      <c r="E2723" s="15">
        <v>3</v>
      </c>
    </row>
    <row r="2724" spans="1:5" x14ac:dyDescent="0.4">
      <c r="A2724" s="13" t="s">
        <v>1019</v>
      </c>
      <c r="B2724" s="13" t="s">
        <v>24</v>
      </c>
      <c r="C2724" s="13" t="s">
        <v>30</v>
      </c>
      <c r="D2724" s="14">
        <v>914</v>
      </c>
      <c r="E2724" s="15">
        <v>5</v>
      </c>
    </row>
    <row r="2725" spans="1:5" x14ac:dyDescent="0.4">
      <c r="A2725" s="13" t="s">
        <v>1131</v>
      </c>
      <c r="B2725" s="13" t="s">
        <v>24</v>
      </c>
      <c r="C2725" s="13" t="s">
        <v>28</v>
      </c>
      <c r="D2725" s="14">
        <v>914</v>
      </c>
      <c r="E2725" s="15">
        <v>1</v>
      </c>
    </row>
    <row r="2726" spans="1:5" x14ac:dyDescent="0.4">
      <c r="A2726" s="13" t="s">
        <v>437</v>
      </c>
      <c r="B2726" s="13" t="s">
        <v>26</v>
      </c>
      <c r="C2726" s="13" t="s">
        <v>27</v>
      </c>
      <c r="D2726" s="14">
        <v>915</v>
      </c>
      <c r="E2726" s="15">
        <v>0</v>
      </c>
    </row>
    <row r="2727" spans="1:5" x14ac:dyDescent="0.4">
      <c r="A2727" s="13" t="s">
        <v>1791</v>
      </c>
      <c r="B2727" s="13" t="s">
        <v>20</v>
      </c>
      <c r="C2727" s="13" t="s">
        <v>30</v>
      </c>
      <c r="D2727" s="14">
        <v>915</v>
      </c>
      <c r="E2727" s="15">
        <v>3</v>
      </c>
    </row>
    <row r="2728" spans="1:5" x14ac:dyDescent="0.4">
      <c r="A2728" s="13" t="s">
        <v>503</v>
      </c>
      <c r="B2728" s="13" t="s">
        <v>20</v>
      </c>
      <c r="C2728" s="13" t="s">
        <v>32</v>
      </c>
      <c r="D2728" s="14">
        <v>916</v>
      </c>
      <c r="E2728" s="15">
        <v>2</v>
      </c>
    </row>
    <row r="2729" spans="1:5" x14ac:dyDescent="0.4">
      <c r="A2729" s="13" t="s">
        <v>719</v>
      </c>
      <c r="B2729" s="13" t="s">
        <v>20</v>
      </c>
      <c r="C2729" s="13" t="s">
        <v>39</v>
      </c>
      <c r="D2729" s="14">
        <v>916</v>
      </c>
      <c r="E2729" s="15">
        <v>0</v>
      </c>
    </row>
    <row r="2730" spans="1:5" x14ac:dyDescent="0.4">
      <c r="A2730" s="13" t="s">
        <v>1626</v>
      </c>
      <c r="B2730" s="13" t="s">
        <v>26</v>
      </c>
      <c r="C2730" s="13" t="s">
        <v>27</v>
      </c>
      <c r="D2730" s="14">
        <v>916</v>
      </c>
      <c r="E2730" s="15">
        <v>2</v>
      </c>
    </row>
    <row r="2731" spans="1:5" x14ac:dyDescent="0.4">
      <c r="A2731" s="13" t="s">
        <v>1078</v>
      </c>
      <c r="B2731" s="13" t="s">
        <v>26</v>
      </c>
      <c r="C2731" s="13" t="s">
        <v>27</v>
      </c>
      <c r="D2731" s="14">
        <v>917</v>
      </c>
      <c r="E2731" s="15">
        <v>1</v>
      </c>
    </row>
    <row r="2732" spans="1:5" x14ac:dyDescent="0.4">
      <c r="A2732" s="13" t="s">
        <v>1289</v>
      </c>
      <c r="B2732" s="13" t="s">
        <v>20</v>
      </c>
      <c r="C2732" s="13" t="s">
        <v>39</v>
      </c>
      <c r="D2732" s="14">
        <v>917</v>
      </c>
      <c r="E2732" s="15">
        <v>0</v>
      </c>
    </row>
    <row r="2733" spans="1:5" x14ac:dyDescent="0.4">
      <c r="A2733" s="13" t="s">
        <v>1603</v>
      </c>
      <c r="B2733" s="13" t="s">
        <v>24</v>
      </c>
      <c r="C2733" s="13" t="s">
        <v>27</v>
      </c>
      <c r="D2733" s="14">
        <v>917</v>
      </c>
      <c r="E2733" s="15">
        <v>0</v>
      </c>
    </row>
    <row r="2734" spans="1:5" x14ac:dyDescent="0.4">
      <c r="A2734" s="13" t="s">
        <v>391</v>
      </c>
      <c r="B2734" s="13" t="s">
        <v>26</v>
      </c>
      <c r="C2734" s="13" t="s">
        <v>62</v>
      </c>
      <c r="D2734" s="14">
        <v>918</v>
      </c>
      <c r="E2734" s="15">
        <v>4</v>
      </c>
    </row>
    <row r="2735" spans="1:5" x14ac:dyDescent="0.4">
      <c r="A2735" s="13" t="s">
        <v>1801</v>
      </c>
      <c r="B2735" s="13" t="s">
        <v>24</v>
      </c>
      <c r="C2735" s="13" t="s">
        <v>30</v>
      </c>
      <c r="D2735" s="14">
        <v>918</v>
      </c>
      <c r="E2735" s="15">
        <v>0</v>
      </c>
    </row>
    <row r="2736" spans="1:5" x14ac:dyDescent="0.4">
      <c r="A2736" s="13" t="s">
        <v>148</v>
      </c>
      <c r="B2736" s="13" t="s">
        <v>26</v>
      </c>
      <c r="C2736" s="13" t="s">
        <v>5</v>
      </c>
      <c r="D2736" s="14">
        <v>919</v>
      </c>
      <c r="E2736" s="15">
        <v>2</v>
      </c>
    </row>
    <row r="2737" spans="1:5" x14ac:dyDescent="0.4">
      <c r="A2737" s="13" t="s">
        <v>1277</v>
      </c>
      <c r="B2737" s="13" t="s">
        <v>26</v>
      </c>
      <c r="C2737" s="13" t="s">
        <v>44</v>
      </c>
      <c r="D2737" s="14">
        <v>919</v>
      </c>
      <c r="E2737" s="15">
        <v>4</v>
      </c>
    </row>
    <row r="2738" spans="1:5" x14ac:dyDescent="0.4">
      <c r="A2738" s="13" t="s">
        <v>1474</v>
      </c>
      <c r="B2738" s="13" t="s">
        <v>20</v>
      </c>
      <c r="C2738" s="13" t="s">
        <v>39</v>
      </c>
      <c r="D2738" s="14">
        <v>919</v>
      </c>
      <c r="E2738" s="15">
        <v>0</v>
      </c>
    </row>
    <row r="2739" spans="1:5" x14ac:dyDescent="0.4">
      <c r="A2739" s="13" t="s">
        <v>1844</v>
      </c>
      <c r="B2739" s="13" t="s">
        <v>24</v>
      </c>
      <c r="C2739" s="13" t="s">
        <v>25</v>
      </c>
      <c r="D2739" s="14">
        <v>919</v>
      </c>
      <c r="E2739" s="15">
        <v>4</v>
      </c>
    </row>
    <row r="2740" spans="1:5" x14ac:dyDescent="0.4">
      <c r="A2740" s="13" t="s">
        <v>61</v>
      </c>
      <c r="B2740" s="13" t="s">
        <v>26</v>
      </c>
      <c r="C2740" s="13" t="s">
        <v>62</v>
      </c>
      <c r="D2740" s="14">
        <v>920</v>
      </c>
      <c r="E2740" s="15">
        <v>0</v>
      </c>
    </row>
    <row r="2741" spans="1:5" x14ac:dyDescent="0.4">
      <c r="A2741" s="13" t="s">
        <v>284</v>
      </c>
      <c r="B2741" s="13" t="s">
        <v>20</v>
      </c>
      <c r="C2741" s="13" t="s">
        <v>53</v>
      </c>
      <c r="D2741" s="14">
        <v>920</v>
      </c>
      <c r="E2741" s="15">
        <v>11</v>
      </c>
    </row>
    <row r="2742" spans="1:5" x14ac:dyDescent="0.4">
      <c r="A2742" s="13" t="s">
        <v>570</v>
      </c>
      <c r="B2742" s="13" t="s">
        <v>24</v>
      </c>
      <c r="C2742" s="13" t="s">
        <v>39</v>
      </c>
      <c r="D2742" s="14">
        <v>920</v>
      </c>
      <c r="E2742" s="15">
        <v>0</v>
      </c>
    </row>
    <row r="2743" spans="1:5" x14ac:dyDescent="0.4">
      <c r="A2743" s="13" t="s">
        <v>794</v>
      </c>
      <c r="B2743" s="13" t="s">
        <v>20</v>
      </c>
      <c r="C2743" s="13" t="s">
        <v>40</v>
      </c>
      <c r="D2743" s="14">
        <v>920</v>
      </c>
      <c r="E2743" s="15">
        <v>8</v>
      </c>
    </row>
    <row r="2744" spans="1:5" x14ac:dyDescent="0.4">
      <c r="A2744" s="13" t="s">
        <v>830</v>
      </c>
      <c r="B2744" s="13" t="s">
        <v>24</v>
      </c>
      <c r="C2744" s="13" t="s">
        <v>21</v>
      </c>
      <c r="D2744" s="14">
        <v>920</v>
      </c>
      <c r="E2744" s="15">
        <v>13</v>
      </c>
    </row>
    <row r="2745" spans="1:5" x14ac:dyDescent="0.4">
      <c r="A2745" s="13" t="s">
        <v>938</v>
      </c>
      <c r="B2745" s="13" t="s">
        <v>26</v>
      </c>
      <c r="C2745" s="13" t="s">
        <v>53</v>
      </c>
      <c r="D2745" s="14">
        <v>920</v>
      </c>
      <c r="E2745" s="15">
        <v>13</v>
      </c>
    </row>
    <row r="2746" spans="1:5" x14ac:dyDescent="0.4">
      <c r="A2746" s="13" t="s">
        <v>1175</v>
      </c>
      <c r="B2746" s="13" t="s">
        <v>20</v>
      </c>
      <c r="C2746" s="13" t="s">
        <v>34</v>
      </c>
      <c r="D2746" s="14">
        <v>920</v>
      </c>
      <c r="E2746" s="15">
        <v>0</v>
      </c>
    </row>
    <row r="2747" spans="1:5" x14ac:dyDescent="0.4">
      <c r="A2747" s="13" t="s">
        <v>1642</v>
      </c>
      <c r="B2747" s="13" t="s">
        <v>26</v>
      </c>
      <c r="C2747" s="13" t="s">
        <v>25</v>
      </c>
      <c r="D2747" s="14">
        <v>920</v>
      </c>
      <c r="E2747" s="15">
        <v>10</v>
      </c>
    </row>
    <row r="2748" spans="1:5" x14ac:dyDescent="0.4">
      <c r="A2748" s="13" t="s">
        <v>198</v>
      </c>
      <c r="B2748" s="13" t="s">
        <v>20</v>
      </c>
      <c r="C2748" s="13" t="s">
        <v>27</v>
      </c>
      <c r="D2748" s="14">
        <v>921</v>
      </c>
      <c r="E2748" s="15">
        <v>0</v>
      </c>
    </row>
    <row r="2749" spans="1:5" x14ac:dyDescent="0.4">
      <c r="A2749" s="13" t="s">
        <v>1118</v>
      </c>
      <c r="B2749" s="13" t="s">
        <v>20</v>
      </c>
      <c r="C2749" s="13" t="s">
        <v>39</v>
      </c>
      <c r="D2749" s="14">
        <v>921</v>
      </c>
      <c r="E2749" s="15">
        <v>0</v>
      </c>
    </row>
    <row r="2750" spans="1:5" x14ac:dyDescent="0.4">
      <c r="A2750" s="13" t="s">
        <v>1441</v>
      </c>
      <c r="B2750" s="13" t="s">
        <v>20</v>
      </c>
      <c r="C2750" s="13" t="s">
        <v>30</v>
      </c>
      <c r="D2750" s="14">
        <v>921</v>
      </c>
      <c r="E2750" s="15">
        <v>0</v>
      </c>
    </row>
    <row r="2751" spans="1:5" x14ac:dyDescent="0.4">
      <c r="A2751" s="13" t="s">
        <v>1563</v>
      </c>
      <c r="B2751" s="13" t="s">
        <v>24</v>
      </c>
      <c r="C2751" s="13" t="s">
        <v>27</v>
      </c>
      <c r="D2751" s="14">
        <v>921</v>
      </c>
      <c r="E2751" s="15">
        <v>4</v>
      </c>
    </row>
    <row r="2752" spans="1:5" x14ac:dyDescent="0.4">
      <c r="A2752" s="13" t="s">
        <v>82</v>
      </c>
      <c r="B2752" s="13" t="s">
        <v>24</v>
      </c>
      <c r="C2752" s="13" t="s">
        <v>22</v>
      </c>
      <c r="D2752" s="14">
        <v>922</v>
      </c>
      <c r="E2752" s="15">
        <v>4</v>
      </c>
    </row>
    <row r="2753" spans="1:5" x14ac:dyDescent="0.4">
      <c r="A2753" s="13" t="s">
        <v>1474</v>
      </c>
      <c r="B2753" s="13" t="s">
        <v>24</v>
      </c>
      <c r="C2753" s="13" t="s">
        <v>44</v>
      </c>
      <c r="D2753" s="14">
        <v>922</v>
      </c>
      <c r="E2753" s="15">
        <v>0</v>
      </c>
    </row>
    <row r="2754" spans="1:5" x14ac:dyDescent="0.4">
      <c r="A2754" s="13" t="s">
        <v>1928</v>
      </c>
      <c r="B2754" s="13" t="s">
        <v>24</v>
      </c>
      <c r="C2754" s="13" t="s">
        <v>28</v>
      </c>
      <c r="D2754" s="14">
        <v>922</v>
      </c>
      <c r="E2754" s="15">
        <v>0</v>
      </c>
    </row>
    <row r="2755" spans="1:5" x14ac:dyDescent="0.4">
      <c r="A2755" s="13" t="s">
        <v>458</v>
      </c>
      <c r="B2755" s="13" t="s">
        <v>24</v>
      </c>
      <c r="C2755" s="13" t="s">
        <v>40</v>
      </c>
      <c r="D2755" s="14">
        <v>923</v>
      </c>
      <c r="E2755" s="15">
        <v>1</v>
      </c>
    </row>
    <row r="2756" spans="1:5" x14ac:dyDescent="0.4">
      <c r="A2756" s="13" t="s">
        <v>600</v>
      </c>
      <c r="B2756" s="13" t="s">
        <v>20</v>
      </c>
      <c r="C2756" s="13" t="s">
        <v>5</v>
      </c>
      <c r="D2756" s="14">
        <v>923</v>
      </c>
      <c r="E2756" s="15">
        <v>2</v>
      </c>
    </row>
    <row r="2757" spans="1:5" x14ac:dyDescent="0.4">
      <c r="A2757" s="13" t="s">
        <v>621</v>
      </c>
      <c r="B2757" s="13" t="s">
        <v>24</v>
      </c>
      <c r="C2757" s="13" t="s">
        <v>28</v>
      </c>
      <c r="D2757" s="14">
        <v>923</v>
      </c>
      <c r="E2757" s="15">
        <v>0</v>
      </c>
    </row>
    <row r="2758" spans="1:5" x14ac:dyDescent="0.4">
      <c r="A2758" s="13" t="s">
        <v>471</v>
      </c>
      <c r="B2758" s="13" t="s">
        <v>24</v>
      </c>
      <c r="C2758" s="13" t="s">
        <v>62</v>
      </c>
      <c r="D2758" s="14">
        <v>924</v>
      </c>
      <c r="E2758" s="15">
        <v>7</v>
      </c>
    </row>
    <row r="2759" spans="1:5" x14ac:dyDescent="0.4">
      <c r="A2759" s="13" t="s">
        <v>790</v>
      </c>
      <c r="B2759" s="13" t="s">
        <v>24</v>
      </c>
      <c r="C2759" s="13" t="s">
        <v>21</v>
      </c>
      <c r="D2759" s="14">
        <v>924</v>
      </c>
      <c r="E2759" s="15">
        <v>0</v>
      </c>
    </row>
    <row r="2760" spans="1:5" x14ac:dyDescent="0.4">
      <c r="A2760" s="13" t="s">
        <v>908</v>
      </c>
      <c r="B2760" s="13" t="s">
        <v>26</v>
      </c>
      <c r="C2760" s="13" t="s">
        <v>32</v>
      </c>
      <c r="D2760" s="14">
        <v>924</v>
      </c>
      <c r="E2760" s="15">
        <v>2</v>
      </c>
    </row>
    <row r="2761" spans="1:5" x14ac:dyDescent="0.4">
      <c r="A2761" s="13" t="s">
        <v>1278</v>
      </c>
      <c r="B2761" s="13" t="s">
        <v>24</v>
      </c>
      <c r="C2761" s="13" t="s">
        <v>30</v>
      </c>
      <c r="D2761" s="14">
        <v>924</v>
      </c>
      <c r="E2761" s="15">
        <v>0</v>
      </c>
    </row>
    <row r="2762" spans="1:5" x14ac:dyDescent="0.4">
      <c r="A2762" s="13" t="s">
        <v>1849</v>
      </c>
      <c r="B2762" s="13" t="s">
        <v>24</v>
      </c>
      <c r="C2762" s="13" t="s">
        <v>34</v>
      </c>
      <c r="D2762" s="14">
        <v>924</v>
      </c>
      <c r="E2762" s="15">
        <v>2</v>
      </c>
    </row>
    <row r="2763" spans="1:5" x14ac:dyDescent="0.4">
      <c r="A2763" s="13" t="s">
        <v>156</v>
      </c>
      <c r="B2763" s="13" t="s">
        <v>20</v>
      </c>
      <c r="C2763" s="13" t="s">
        <v>27</v>
      </c>
      <c r="D2763" s="14">
        <v>925</v>
      </c>
      <c r="E2763" s="15">
        <v>1</v>
      </c>
    </row>
    <row r="2764" spans="1:5" x14ac:dyDescent="0.4">
      <c r="A2764" s="13" t="s">
        <v>558</v>
      </c>
      <c r="B2764" s="13" t="s">
        <v>26</v>
      </c>
      <c r="C2764" s="13" t="s">
        <v>66</v>
      </c>
      <c r="D2764" s="14">
        <v>925</v>
      </c>
      <c r="E2764" s="15">
        <v>1</v>
      </c>
    </row>
    <row r="2765" spans="1:5" x14ac:dyDescent="0.4">
      <c r="A2765" s="13" t="s">
        <v>1790</v>
      </c>
      <c r="B2765" s="13" t="s">
        <v>26</v>
      </c>
      <c r="C2765" s="13" t="s">
        <v>5</v>
      </c>
      <c r="D2765" s="14">
        <v>925</v>
      </c>
      <c r="E2765" s="15">
        <v>1</v>
      </c>
    </row>
    <row r="2766" spans="1:5" x14ac:dyDescent="0.4">
      <c r="A2766" s="13" t="s">
        <v>50</v>
      </c>
      <c r="B2766" s="13" t="s">
        <v>24</v>
      </c>
      <c r="C2766" s="13" t="s">
        <v>28</v>
      </c>
      <c r="D2766" s="14">
        <v>926</v>
      </c>
      <c r="E2766" s="15">
        <v>0</v>
      </c>
    </row>
    <row r="2767" spans="1:5" x14ac:dyDescent="0.4">
      <c r="A2767" s="13" t="s">
        <v>626</v>
      </c>
      <c r="B2767" s="13" t="s">
        <v>20</v>
      </c>
      <c r="C2767" s="13" t="s">
        <v>34</v>
      </c>
      <c r="D2767" s="14">
        <v>926</v>
      </c>
      <c r="E2767" s="15">
        <v>3</v>
      </c>
    </row>
    <row r="2768" spans="1:5" x14ac:dyDescent="0.4">
      <c r="A2768" s="13" t="s">
        <v>220</v>
      </c>
      <c r="B2768" s="13" t="s">
        <v>20</v>
      </c>
      <c r="C2768" s="13" t="s">
        <v>44</v>
      </c>
      <c r="D2768" s="14">
        <v>927</v>
      </c>
      <c r="E2768" s="15">
        <v>1</v>
      </c>
    </row>
    <row r="2769" spans="1:5" x14ac:dyDescent="0.4">
      <c r="A2769" s="13" t="s">
        <v>302</v>
      </c>
      <c r="B2769" s="13" t="s">
        <v>24</v>
      </c>
      <c r="C2769" s="13" t="s">
        <v>44</v>
      </c>
      <c r="D2769" s="14">
        <v>927</v>
      </c>
      <c r="E2769" s="15">
        <v>1</v>
      </c>
    </row>
    <row r="2770" spans="1:5" x14ac:dyDescent="0.4">
      <c r="A2770" s="13" t="s">
        <v>423</v>
      </c>
      <c r="B2770" s="13" t="s">
        <v>20</v>
      </c>
      <c r="C2770" s="13" t="s">
        <v>28</v>
      </c>
      <c r="D2770" s="14">
        <v>927</v>
      </c>
      <c r="E2770" s="15">
        <v>2</v>
      </c>
    </row>
    <row r="2771" spans="1:5" x14ac:dyDescent="0.4">
      <c r="A2771" s="13" t="s">
        <v>1396</v>
      </c>
      <c r="B2771" s="13" t="s">
        <v>26</v>
      </c>
      <c r="C2771" s="13" t="s">
        <v>5</v>
      </c>
      <c r="D2771" s="14">
        <v>927</v>
      </c>
      <c r="E2771" s="15">
        <v>1</v>
      </c>
    </row>
    <row r="2772" spans="1:5" x14ac:dyDescent="0.4">
      <c r="A2772" s="13" t="s">
        <v>562</v>
      </c>
      <c r="B2772" s="13" t="s">
        <v>26</v>
      </c>
      <c r="C2772" s="13" t="s">
        <v>44</v>
      </c>
      <c r="D2772" s="14">
        <v>928</v>
      </c>
      <c r="E2772" s="15">
        <v>1</v>
      </c>
    </row>
    <row r="2773" spans="1:5" x14ac:dyDescent="0.4">
      <c r="A2773" s="13" t="s">
        <v>887</v>
      </c>
      <c r="B2773" s="13" t="s">
        <v>24</v>
      </c>
      <c r="C2773" s="13" t="s">
        <v>53</v>
      </c>
      <c r="D2773" s="14">
        <v>928</v>
      </c>
      <c r="E2773" s="15">
        <v>3</v>
      </c>
    </row>
    <row r="2774" spans="1:5" x14ac:dyDescent="0.4">
      <c r="A2774" s="13" t="s">
        <v>925</v>
      </c>
      <c r="B2774" s="13" t="s">
        <v>24</v>
      </c>
      <c r="C2774" s="13" t="s">
        <v>44</v>
      </c>
      <c r="D2774" s="14">
        <v>928</v>
      </c>
      <c r="E2774" s="15">
        <v>2</v>
      </c>
    </row>
    <row r="2775" spans="1:5" x14ac:dyDescent="0.4">
      <c r="A2775" s="13" t="s">
        <v>1144</v>
      </c>
      <c r="B2775" s="13" t="s">
        <v>20</v>
      </c>
      <c r="C2775" s="13" t="s">
        <v>5</v>
      </c>
      <c r="D2775" s="14">
        <v>928</v>
      </c>
      <c r="E2775" s="15">
        <v>0</v>
      </c>
    </row>
    <row r="2776" spans="1:5" x14ac:dyDescent="0.4">
      <c r="A2776" s="13" t="s">
        <v>1216</v>
      </c>
      <c r="B2776" s="13" t="s">
        <v>26</v>
      </c>
      <c r="C2776" s="13" t="s">
        <v>30</v>
      </c>
      <c r="D2776" s="14">
        <v>928</v>
      </c>
      <c r="E2776" s="15">
        <v>0</v>
      </c>
    </row>
    <row r="2777" spans="1:5" x14ac:dyDescent="0.4">
      <c r="A2777" s="13" t="s">
        <v>1610</v>
      </c>
      <c r="B2777" s="13" t="s">
        <v>26</v>
      </c>
      <c r="C2777" s="13" t="s">
        <v>43</v>
      </c>
      <c r="D2777" s="14">
        <v>928</v>
      </c>
      <c r="E2777" s="15">
        <v>0</v>
      </c>
    </row>
    <row r="2778" spans="1:5" x14ac:dyDescent="0.4">
      <c r="A2778" s="13" t="s">
        <v>284</v>
      </c>
      <c r="B2778" s="13" t="s">
        <v>20</v>
      </c>
      <c r="C2778" s="13" t="s">
        <v>27</v>
      </c>
      <c r="D2778" s="14">
        <v>929</v>
      </c>
      <c r="E2778" s="15">
        <v>0</v>
      </c>
    </row>
    <row r="2779" spans="1:5" x14ac:dyDescent="0.4">
      <c r="A2779" s="13" t="s">
        <v>303</v>
      </c>
      <c r="B2779" s="13" t="s">
        <v>24</v>
      </c>
      <c r="C2779" s="13" t="s">
        <v>66</v>
      </c>
      <c r="D2779" s="14">
        <v>929</v>
      </c>
      <c r="E2779" s="15">
        <v>0</v>
      </c>
    </row>
    <row r="2780" spans="1:5" x14ac:dyDescent="0.4">
      <c r="A2780" s="13" t="s">
        <v>409</v>
      </c>
      <c r="B2780" s="13" t="s">
        <v>20</v>
      </c>
      <c r="C2780" s="13" t="s">
        <v>27</v>
      </c>
      <c r="D2780" s="14">
        <v>929</v>
      </c>
      <c r="E2780" s="15">
        <v>0</v>
      </c>
    </row>
    <row r="2781" spans="1:5" x14ac:dyDescent="0.4">
      <c r="A2781" s="13" t="s">
        <v>427</v>
      </c>
      <c r="B2781" s="13" t="s">
        <v>24</v>
      </c>
      <c r="C2781" s="13" t="s">
        <v>62</v>
      </c>
      <c r="D2781" s="14">
        <v>929</v>
      </c>
      <c r="E2781" s="15">
        <v>1</v>
      </c>
    </row>
    <row r="2782" spans="1:5" x14ac:dyDescent="0.4">
      <c r="A2782" s="13" t="s">
        <v>731</v>
      </c>
      <c r="B2782" s="13" t="s">
        <v>20</v>
      </c>
      <c r="C2782" s="13" t="s">
        <v>21</v>
      </c>
      <c r="D2782" s="14">
        <v>930</v>
      </c>
      <c r="E2782" s="15">
        <v>0</v>
      </c>
    </row>
    <row r="2783" spans="1:5" x14ac:dyDescent="0.4">
      <c r="A2783" s="13" t="s">
        <v>1479</v>
      </c>
      <c r="B2783" s="13" t="s">
        <v>24</v>
      </c>
      <c r="C2783" s="13" t="s">
        <v>5</v>
      </c>
      <c r="D2783" s="14">
        <v>930</v>
      </c>
      <c r="E2783" s="15">
        <v>2</v>
      </c>
    </row>
    <row r="2784" spans="1:5" x14ac:dyDescent="0.4">
      <c r="A2784" s="13" t="s">
        <v>1862</v>
      </c>
      <c r="B2784" s="13" t="s">
        <v>24</v>
      </c>
      <c r="C2784" s="13" t="s">
        <v>33</v>
      </c>
      <c r="D2784" s="14">
        <v>930</v>
      </c>
      <c r="E2784" s="15">
        <v>0</v>
      </c>
    </row>
    <row r="2785" spans="1:5" x14ac:dyDescent="0.4">
      <c r="A2785" s="13" t="s">
        <v>229</v>
      </c>
      <c r="B2785" s="13" t="s">
        <v>26</v>
      </c>
      <c r="C2785" s="13" t="s">
        <v>44</v>
      </c>
      <c r="D2785" s="14">
        <v>931</v>
      </c>
      <c r="E2785" s="15">
        <v>0</v>
      </c>
    </row>
    <row r="2786" spans="1:5" x14ac:dyDescent="0.4">
      <c r="A2786" s="13" t="s">
        <v>280</v>
      </c>
      <c r="B2786" s="13" t="s">
        <v>26</v>
      </c>
      <c r="C2786" s="13" t="s">
        <v>39</v>
      </c>
      <c r="D2786" s="14">
        <v>931</v>
      </c>
      <c r="E2786" s="15">
        <v>2</v>
      </c>
    </row>
    <row r="2787" spans="1:5" x14ac:dyDescent="0.4">
      <c r="A2787" s="13" t="s">
        <v>547</v>
      </c>
      <c r="B2787" s="13" t="s">
        <v>20</v>
      </c>
      <c r="C2787" s="13" t="s">
        <v>33</v>
      </c>
      <c r="D2787" s="14">
        <v>932</v>
      </c>
      <c r="E2787" s="15">
        <v>0</v>
      </c>
    </row>
    <row r="2788" spans="1:5" x14ac:dyDescent="0.4">
      <c r="A2788" s="13" t="s">
        <v>631</v>
      </c>
      <c r="B2788" s="13" t="s">
        <v>24</v>
      </c>
      <c r="C2788" s="13" t="s">
        <v>62</v>
      </c>
      <c r="D2788" s="14">
        <v>932</v>
      </c>
      <c r="E2788" s="15">
        <v>6</v>
      </c>
    </row>
    <row r="2789" spans="1:5" x14ac:dyDescent="0.4">
      <c r="A2789" s="13" t="s">
        <v>1378</v>
      </c>
      <c r="B2789" s="13" t="s">
        <v>24</v>
      </c>
      <c r="C2789" s="13" t="s">
        <v>44</v>
      </c>
      <c r="D2789" s="14">
        <v>932</v>
      </c>
      <c r="E2789" s="15">
        <v>2</v>
      </c>
    </row>
    <row r="2790" spans="1:5" x14ac:dyDescent="0.4">
      <c r="A2790" s="13" t="s">
        <v>1599</v>
      </c>
      <c r="B2790" s="13" t="s">
        <v>20</v>
      </c>
      <c r="C2790" s="13" t="s">
        <v>28</v>
      </c>
      <c r="D2790" s="14">
        <v>932</v>
      </c>
      <c r="E2790" s="15">
        <v>0</v>
      </c>
    </row>
    <row r="2791" spans="1:5" x14ac:dyDescent="0.4">
      <c r="A2791" s="13" t="s">
        <v>1573</v>
      </c>
      <c r="B2791" s="13" t="s">
        <v>26</v>
      </c>
      <c r="C2791" s="13" t="s">
        <v>34</v>
      </c>
      <c r="D2791" s="14">
        <v>933</v>
      </c>
      <c r="E2791" s="15">
        <v>14</v>
      </c>
    </row>
    <row r="2792" spans="1:5" x14ac:dyDescent="0.4">
      <c r="A2792" s="13" t="s">
        <v>307</v>
      </c>
      <c r="B2792" s="13" t="s">
        <v>24</v>
      </c>
      <c r="C2792" s="13" t="s">
        <v>25</v>
      </c>
      <c r="D2792" s="14">
        <v>934</v>
      </c>
      <c r="E2792" s="15">
        <v>5</v>
      </c>
    </row>
    <row r="2793" spans="1:5" x14ac:dyDescent="0.4">
      <c r="A2793" s="13" t="s">
        <v>350</v>
      </c>
      <c r="B2793" s="13" t="s">
        <v>26</v>
      </c>
      <c r="C2793" s="13" t="s">
        <v>111</v>
      </c>
      <c r="D2793" s="14">
        <v>934</v>
      </c>
      <c r="E2793" s="15">
        <v>4</v>
      </c>
    </row>
    <row r="2794" spans="1:5" x14ac:dyDescent="0.4">
      <c r="A2794" s="13" t="s">
        <v>1363</v>
      </c>
      <c r="B2794" s="13" t="s">
        <v>24</v>
      </c>
      <c r="C2794" s="13" t="s">
        <v>111</v>
      </c>
      <c r="D2794" s="14">
        <v>934</v>
      </c>
      <c r="E2794" s="15">
        <v>0</v>
      </c>
    </row>
    <row r="2795" spans="1:5" x14ac:dyDescent="0.4">
      <c r="A2795" s="13" t="s">
        <v>1419</v>
      </c>
      <c r="B2795" s="13" t="s">
        <v>26</v>
      </c>
      <c r="C2795" s="13" t="s">
        <v>27</v>
      </c>
      <c r="D2795" s="14">
        <v>934</v>
      </c>
      <c r="E2795" s="15">
        <v>3</v>
      </c>
    </row>
    <row r="2796" spans="1:5" x14ac:dyDescent="0.4">
      <c r="A2796" s="13" t="s">
        <v>1842</v>
      </c>
      <c r="B2796" s="13" t="s">
        <v>20</v>
      </c>
      <c r="C2796" s="13" t="s">
        <v>53</v>
      </c>
      <c r="D2796" s="14">
        <v>934</v>
      </c>
      <c r="E2796" s="15">
        <v>1</v>
      </c>
    </row>
    <row r="2797" spans="1:5" x14ac:dyDescent="0.4">
      <c r="A2797" s="13" t="s">
        <v>175</v>
      </c>
      <c r="B2797" s="13" t="s">
        <v>26</v>
      </c>
      <c r="C2797" s="13" t="s">
        <v>21</v>
      </c>
      <c r="D2797" s="14">
        <v>935</v>
      </c>
      <c r="E2797" s="15">
        <v>0</v>
      </c>
    </row>
    <row r="2798" spans="1:5" x14ac:dyDescent="0.4">
      <c r="A2798" s="13" t="s">
        <v>392</v>
      </c>
      <c r="B2798" s="13" t="s">
        <v>26</v>
      </c>
      <c r="C2798" s="13" t="s">
        <v>27</v>
      </c>
      <c r="D2798" s="14">
        <v>935</v>
      </c>
      <c r="E2798" s="15">
        <v>2</v>
      </c>
    </row>
    <row r="2799" spans="1:5" x14ac:dyDescent="0.4">
      <c r="A2799" s="13" t="s">
        <v>401</v>
      </c>
      <c r="B2799" s="13" t="s">
        <v>20</v>
      </c>
      <c r="C2799" s="13" t="s">
        <v>27</v>
      </c>
      <c r="D2799" s="14">
        <v>935</v>
      </c>
      <c r="E2799" s="15">
        <v>0</v>
      </c>
    </row>
    <row r="2800" spans="1:5" x14ac:dyDescent="0.4">
      <c r="A2800" s="13" t="s">
        <v>784</v>
      </c>
      <c r="B2800" s="13" t="s">
        <v>26</v>
      </c>
      <c r="C2800" s="13" t="s">
        <v>28</v>
      </c>
      <c r="D2800" s="14">
        <v>935</v>
      </c>
      <c r="E2800" s="15">
        <v>0</v>
      </c>
    </row>
    <row r="2801" spans="1:5" x14ac:dyDescent="0.4">
      <c r="A2801" s="13" t="s">
        <v>908</v>
      </c>
      <c r="B2801" s="13" t="s">
        <v>20</v>
      </c>
      <c r="C2801" s="13" t="s">
        <v>39</v>
      </c>
      <c r="D2801" s="14">
        <v>935</v>
      </c>
      <c r="E2801" s="15">
        <v>3</v>
      </c>
    </row>
    <row r="2802" spans="1:5" x14ac:dyDescent="0.4">
      <c r="A2802" s="13" t="s">
        <v>309</v>
      </c>
      <c r="B2802" s="13" t="s">
        <v>24</v>
      </c>
      <c r="C2802" s="13" t="s">
        <v>5</v>
      </c>
      <c r="D2802" s="14">
        <v>936</v>
      </c>
      <c r="E2802" s="15">
        <v>0</v>
      </c>
    </row>
    <row r="2803" spans="1:5" x14ac:dyDescent="0.4">
      <c r="A2803" s="13" t="s">
        <v>1186</v>
      </c>
      <c r="B2803" s="13" t="s">
        <v>24</v>
      </c>
      <c r="C2803" s="13" t="s">
        <v>22</v>
      </c>
      <c r="D2803" s="14">
        <v>936</v>
      </c>
      <c r="E2803" s="15">
        <v>0</v>
      </c>
    </row>
    <row r="2804" spans="1:5" x14ac:dyDescent="0.4">
      <c r="A2804" s="13" t="s">
        <v>1655</v>
      </c>
      <c r="B2804" s="13" t="s">
        <v>24</v>
      </c>
      <c r="C2804" s="13" t="s">
        <v>5</v>
      </c>
      <c r="D2804" s="14">
        <v>936</v>
      </c>
      <c r="E2804" s="15">
        <v>2</v>
      </c>
    </row>
    <row r="2805" spans="1:5" x14ac:dyDescent="0.4">
      <c r="A2805" s="13" t="s">
        <v>1933</v>
      </c>
      <c r="B2805" s="13" t="s">
        <v>24</v>
      </c>
      <c r="C2805" s="13" t="s">
        <v>22</v>
      </c>
      <c r="D2805" s="14">
        <v>936</v>
      </c>
      <c r="E2805" s="15">
        <v>0</v>
      </c>
    </row>
    <row r="2806" spans="1:5" x14ac:dyDescent="0.4">
      <c r="A2806" s="13" t="s">
        <v>408</v>
      </c>
      <c r="B2806" s="13" t="s">
        <v>24</v>
      </c>
      <c r="C2806" s="13" t="s">
        <v>44</v>
      </c>
      <c r="D2806" s="14">
        <v>937</v>
      </c>
      <c r="E2806" s="15">
        <v>2</v>
      </c>
    </row>
    <row r="2807" spans="1:5" x14ac:dyDescent="0.4">
      <c r="A2807" s="13" t="s">
        <v>1150</v>
      </c>
      <c r="B2807" s="13" t="s">
        <v>26</v>
      </c>
      <c r="C2807" s="13" t="s">
        <v>39</v>
      </c>
      <c r="D2807" s="14">
        <v>937</v>
      </c>
      <c r="E2807" s="15">
        <v>5</v>
      </c>
    </row>
    <row r="2808" spans="1:5" x14ac:dyDescent="0.4">
      <c r="A2808" s="13" t="s">
        <v>294</v>
      </c>
      <c r="B2808" s="13" t="s">
        <v>24</v>
      </c>
      <c r="C2808" s="13" t="s">
        <v>30</v>
      </c>
      <c r="D2808" s="14">
        <v>938</v>
      </c>
      <c r="E2808" s="15">
        <v>2</v>
      </c>
    </row>
    <row r="2809" spans="1:5" x14ac:dyDescent="0.4">
      <c r="A2809" s="13" t="s">
        <v>452</v>
      </c>
      <c r="B2809" s="13" t="s">
        <v>24</v>
      </c>
      <c r="C2809" s="13" t="s">
        <v>25</v>
      </c>
      <c r="D2809" s="14">
        <v>938</v>
      </c>
      <c r="E2809" s="15">
        <v>0</v>
      </c>
    </row>
    <row r="2810" spans="1:5" x14ac:dyDescent="0.4">
      <c r="A2810" s="13" t="s">
        <v>1842</v>
      </c>
      <c r="B2810" s="13" t="s">
        <v>26</v>
      </c>
      <c r="C2810" s="13" t="s">
        <v>43</v>
      </c>
      <c r="D2810" s="14">
        <v>938</v>
      </c>
      <c r="E2810" s="15">
        <v>3</v>
      </c>
    </row>
    <row r="2811" spans="1:5" x14ac:dyDescent="0.4">
      <c r="A2811" s="13" t="s">
        <v>1232</v>
      </c>
      <c r="B2811" s="13" t="s">
        <v>20</v>
      </c>
      <c r="C2811" s="13" t="s">
        <v>44</v>
      </c>
      <c r="D2811" s="14">
        <v>939</v>
      </c>
      <c r="E2811" s="15">
        <v>5</v>
      </c>
    </row>
    <row r="2812" spans="1:5" x14ac:dyDescent="0.4">
      <c r="A2812" s="13" t="s">
        <v>1375</v>
      </c>
      <c r="B2812" s="13" t="s">
        <v>20</v>
      </c>
      <c r="C2812" s="13" t="s">
        <v>111</v>
      </c>
      <c r="D2812" s="14">
        <v>939</v>
      </c>
      <c r="E2812" s="15">
        <v>2</v>
      </c>
    </row>
    <row r="2813" spans="1:5" x14ac:dyDescent="0.4">
      <c r="A2813" s="13" t="s">
        <v>1487</v>
      </c>
      <c r="B2813" s="13" t="s">
        <v>20</v>
      </c>
      <c r="C2813" s="13" t="s">
        <v>66</v>
      </c>
      <c r="D2813" s="14">
        <v>939</v>
      </c>
      <c r="E2813" s="15">
        <v>3</v>
      </c>
    </row>
    <row r="2814" spans="1:5" x14ac:dyDescent="0.4">
      <c r="A2814" s="13" t="s">
        <v>362</v>
      </c>
      <c r="B2814" s="13" t="s">
        <v>20</v>
      </c>
      <c r="C2814" s="13" t="s">
        <v>27</v>
      </c>
      <c r="D2814" s="14">
        <v>940</v>
      </c>
      <c r="E2814" s="15">
        <v>15</v>
      </c>
    </row>
    <row r="2815" spans="1:5" x14ac:dyDescent="0.4">
      <c r="A2815" s="13" t="s">
        <v>1628</v>
      </c>
      <c r="B2815" s="13" t="s">
        <v>26</v>
      </c>
      <c r="C2815" s="13" t="s">
        <v>27</v>
      </c>
      <c r="D2815" s="14">
        <v>940</v>
      </c>
      <c r="E2815" s="15">
        <v>0</v>
      </c>
    </row>
    <row r="2816" spans="1:5" x14ac:dyDescent="0.4">
      <c r="A2816" s="13" t="s">
        <v>1956</v>
      </c>
      <c r="B2816" s="13" t="s">
        <v>20</v>
      </c>
      <c r="C2816" s="13" t="s">
        <v>22</v>
      </c>
      <c r="D2816" s="14">
        <v>940</v>
      </c>
      <c r="E2816" s="15">
        <v>1</v>
      </c>
    </row>
    <row r="2817" spans="1:5" x14ac:dyDescent="0.4">
      <c r="A2817" s="13" t="s">
        <v>651</v>
      </c>
      <c r="B2817" s="13" t="s">
        <v>26</v>
      </c>
      <c r="C2817" s="13" t="s">
        <v>28</v>
      </c>
      <c r="D2817" s="14">
        <v>941</v>
      </c>
      <c r="E2817" s="15">
        <v>0</v>
      </c>
    </row>
    <row r="2818" spans="1:5" x14ac:dyDescent="0.4">
      <c r="A2818" s="13" t="s">
        <v>632</v>
      </c>
      <c r="B2818" s="13" t="s">
        <v>26</v>
      </c>
      <c r="C2818" s="13" t="s">
        <v>34</v>
      </c>
      <c r="D2818" s="14">
        <v>942</v>
      </c>
      <c r="E2818" s="15">
        <v>1</v>
      </c>
    </row>
    <row r="2819" spans="1:5" x14ac:dyDescent="0.4">
      <c r="A2819" s="13" t="s">
        <v>718</v>
      </c>
      <c r="B2819" s="13" t="s">
        <v>26</v>
      </c>
      <c r="C2819" s="13" t="s">
        <v>62</v>
      </c>
      <c r="D2819" s="14">
        <v>942</v>
      </c>
      <c r="E2819" s="15">
        <v>5</v>
      </c>
    </row>
    <row r="2820" spans="1:5" x14ac:dyDescent="0.4">
      <c r="A2820" s="13" t="s">
        <v>1033</v>
      </c>
      <c r="B2820" s="13" t="s">
        <v>20</v>
      </c>
      <c r="C2820" s="13" t="s">
        <v>30</v>
      </c>
      <c r="D2820" s="14">
        <v>942</v>
      </c>
      <c r="E2820" s="15">
        <v>1</v>
      </c>
    </row>
    <row r="2821" spans="1:5" x14ac:dyDescent="0.4">
      <c r="A2821" s="13" t="s">
        <v>1479</v>
      </c>
      <c r="B2821" s="13" t="s">
        <v>26</v>
      </c>
      <c r="C2821" s="13" t="s">
        <v>62</v>
      </c>
      <c r="D2821" s="14">
        <v>942</v>
      </c>
      <c r="E2821" s="15">
        <v>4</v>
      </c>
    </row>
    <row r="2822" spans="1:5" x14ac:dyDescent="0.4">
      <c r="A2822" s="13" t="s">
        <v>724</v>
      </c>
      <c r="B2822" s="13" t="s">
        <v>24</v>
      </c>
      <c r="C2822" s="13" t="s">
        <v>28</v>
      </c>
      <c r="D2822" s="14">
        <v>943</v>
      </c>
      <c r="E2822" s="15">
        <v>0</v>
      </c>
    </row>
    <row r="2823" spans="1:5" x14ac:dyDescent="0.4">
      <c r="A2823" s="13" t="s">
        <v>1214</v>
      </c>
      <c r="B2823" s="13" t="s">
        <v>24</v>
      </c>
      <c r="C2823" s="13" t="s">
        <v>44</v>
      </c>
      <c r="D2823" s="14">
        <v>943</v>
      </c>
      <c r="E2823" s="15">
        <v>0</v>
      </c>
    </row>
    <row r="2824" spans="1:5" x14ac:dyDescent="0.4">
      <c r="A2824" s="13" t="s">
        <v>1769</v>
      </c>
      <c r="B2824" s="13" t="s">
        <v>24</v>
      </c>
      <c r="C2824" s="13" t="s">
        <v>34</v>
      </c>
      <c r="D2824" s="14">
        <v>943</v>
      </c>
      <c r="E2824" s="15">
        <v>2</v>
      </c>
    </row>
    <row r="2825" spans="1:5" x14ac:dyDescent="0.4">
      <c r="A2825" s="13" t="s">
        <v>995</v>
      </c>
      <c r="B2825" s="13" t="s">
        <v>20</v>
      </c>
      <c r="C2825" s="13" t="s">
        <v>66</v>
      </c>
      <c r="D2825" s="14">
        <v>944</v>
      </c>
      <c r="E2825" s="15">
        <v>0</v>
      </c>
    </row>
    <row r="2826" spans="1:5" x14ac:dyDescent="0.4">
      <c r="A2826" s="13" t="s">
        <v>1117</v>
      </c>
      <c r="B2826" s="13" t="s">
        <v>26</v>
      </c>
      <c r="C2826" s="13" t="s">
        <v>43</v>
      </c>
      <c r="D2826" s="14">
        <v>944</v>
      </c>
      <c r="E2826" s="15">
        <v>0</v>
      </c>
    </row>
    <row r="2827" spans="1:5" x14ac:dyDescent="0.4">
      <c r="A2827" s="13" t="s">
        <v>1270</v>
      </c>
      <c r="B2827" s="13" t="s">
        <v>26</v>
      </c>
      <c r="C2827" s="13" t="s">
        <v>44</v>
      </c>
      <c r="D2827" s="14">
        <v>944</v>
      </c>
      <c r="E2827" s="15">
        <v>0</v>
      </c>
    </row>
    <row r="2828" spans="1:5" x14ac:dyDescent="0.4">
      <c r="A2828" s="13" t="s">
        <v>166</v>
      </c>
      <c r="B2828" s="13" t="s">
        <v>26</v>
      </c>
      <c r="C2828" s="13" t="s">
        <v>40</v>
      </c>
      <c r="D2828" s="14">
        <v>945</v>
      </c>
      <c r="E2828" s="15">
        <v>0</v>
      </c>
    </row>
    <row r="2829" spans="1:5" x14ac:dyDescent="0.4">
      <c r="A2829" s="13" t="s">
        <v>1358</v>
      </c>
      <c r="B2829" s="13" t="s">
        <v>26</v>
      </c>
      <c r="C2829" s="13" t="s">
        <v>30</v>
      </c>
      <c r="D2829" s="14">
        <v>945</v>
      </c>
      <c r="E2829" s="15">
        <v>4</v>
      </c>
    </row>
    <row r="2830" spans="1:5" x14ac:dyDescent="0.4">
      <c r="A2830" s="13" t="s">
        <v>31</v>
      </c>
      <c r="B2830" s="13" t="s">
        <v>20</v>
      </c>
      <c r="C2830" s="13" t="s">
        <v>33</v>
      </c>
      <c r="D2830" s="14">
        <v>946</v>
      </c>
      <c r="E2830" s="15">
        <v>2</v>
      </c>
    </row>
    <row r="2831" spans="1:5" x14ac:dyDescent="0.4">
      <c r="A2831" s="13" t="s">
        <v>576</v>
      </c>
      <c r="B2831" s="13" t="s">
        <v>20</v>
      </c>
      <c r="C2831" s="13" t="s">
        <v>25</v>
      </c>
      <c r="D2831" s="14">
        <v>946</v>
      </c>
      <c r="E2831" s="15">
        <v>1</v>
      </c>
    </row>
    <row r="2832" spans="1:5" x14ac:dyDescent="0.4">
      <c r="A2832" s="13" t="s">
        <v>1403</v>
      </c>
      <c r="B2832" s="13" t="s">
        <v>24</v>
      </c>
      <c r="C2832" s="13" t="s">
        <v>34</v>
      </c>
      <c r="D2832" s="14">
        <v>946</v>
      </c>
      <c r="E2832" s="15">
        <v>5</v>
      </c>
    </row>
    <row r="2833" spans="1:5" x14ac:dyDescent="0.4">
      <c r="A2833" s="13" t="s">
        <v>1633</v>
      </c>
      <c r="B2833" s="13" t="s">
        <v>20</v>
      </c>
      <c r="C2833" s="13" t="s">
        <v>44</v>
      </c>
      <c r="D2833" s="14">
        <v>946</v>
      </c>
      <c r="E2833" s="15">
        <v>2</v>
      </c>
    </row>
    <row r="2834" spans="1:5" x14ac:dyDescent="0.4">
      <c r="A2834" s="13" t="s">
        <v>396</v>
      </c>
      <c r="B2834" s="13" t="s">
        <v>24</v>
      </c>
      <c r="C2834" s="13" t="s">
        <v>21</v>
      </c>
      <c r="D2834" s="14">
        <v>947</v>
      </c>
      <c r="E2834" s="15">
        <v>0</v>
      </c>
    </row>
    <row r="2835" spans="1:5" x14ac:dyDescent="0.4">
      <c r="A2835" s="13" t="s">
        <v>765</v>
      </c>
      <c r="B2835" s="13" t="s">
        <v>20</v>
      </c>
      <c r="C2835" s="13" t="s">
        <v>30</v>
      </c>
      <c r="D2835" s="14">
        <v>947</v>
      </c>
      <c r="E2835" s="15">
        <v>2</v>
      </c>
    </row>
    <row r="2836" spans="1:5" x14ac:dyDescent="0.4">
      <c r="A2836" s="13" t="s">
        <v>1184</v>
      </c>
      <c r="B2836" s="13" t="s">
        <v>20</v>
      </c>
      <c r="C2836" s="13" t="s">
        <v>21</v>
      </c>
      <c r="D2836" s="14">
        <v>947</v>
      </c>
      <c r="E2836" s="15">
        <v>1</v>
      </c>
    </row>
    <row r="2837" spans="1:5" x14ac:dyDescent="0.4">
      <c r="A2837" s="13" t="s">
        <v>72</v>
      </c>
      <c r="B2837" s="13" t="s">
        <v>26</v>
      </c>
      <c r="C2837" s="13" t="s">
        <v>44</v>
      </c>
      <c r="D2837" s="14">
        <v>948</v>
      </c>
      <c r="E2837" s="15">
        <v>2</v>
      </c>
    </row>
    <row r="2838" spans="1:5" x14ac:dyDescent="0.4">
      <c r="A2838" s="13" t="s">
        <v>159</v>
      </c>
      <c r="B2838" s="13" t="s">
        <v>24</v>
      </c>
      <c r="C2838" s="13" t="s">
        <v>21</v>
      </c>
      <c r="D2838" s="14">
        <v>948</v>
      </c>
      <c r="E2838" s="15">
        <v>2</v>
      </c>
    </row>
    <row r="2839" spans="1:5" x14ac:dyDescent="0.4">
      <c r="A2839" s="13" t="s">
        <v>240</v>
      </c>
      <c r="B2839" s="13" t="s">
        <v>20</v>
      </c>
      <c r="C2839" s="13" t="s">
        <v>53</v>
      </c>
      <c r="D2839" s="14">
        <v>948</v>
      </c>
      <c r="E2839" s="15">
        <v>0</v>
      </c>
    </row>
    <row r="2840" spans="1:5" x14ac:dyDescent="0.4">
      <c r="A2840" s="13" t="s">
        <v>1387</v>
      </c>
      <c r="B2840" s="13" t="s">
        <v>20</v>
      </c>
      <c r="C2840" s="13" t="s">
        <v>22</v>
      </c>
      <c r="D2840" s="14">
        <v>948</v>
      </c>
      <c r="E2840" s="15">
        <v>3</v>
      </c>
    </row>
    <row r="2841" spans="1:5" x14ac:dyDescent="0.4">
      <c r="A2841" s="13" t="s">
        <v>1561</v>
      </c>
      <c r="B2841" s="13" t="s">
        <v>26</v>
      </c>
      <c r="C2841" s="13" t="s">
        <v>28</v>
      </c>
      <c r="D2841" s="14">
        <v>948</v>
      </c>
      <c r="E2841" s="15">
        <v>0</v>
      </c>
    </row>
    <row r="2842" spans="1:5" x14ac:dyDescent="0.4">
      <c r="A2842" s="13" t="s">
        <v>656</v>
      </c>
      <c r="B2842" s="13" t="s">
        <v>26</v>
      </c>
      <c r="C2842" s="13" t="s">
        <v>111</v>
      </c>
      <c r="D2842" s="14">
        <v>949</v>
      </c>
      <c r="E2842" s="15">
        <v>2</v>
      </c>
    </row>
    <row r="2843" spans="1:5" x14ac:dyDescent="0.4">
      <c r="A2843" s="13" t="s">
        <v>1448</v>
      </c>
      <c r="B2843" s="13" t="s">
        <v>20</v>
      </c>
      <c r="C2843" s="13" t="s">
        <v>28</v>
      </c>
      <c r="D2843" s="14">
        <v>949</v>
      </c>
      <c r="E2843" s="15">
        <v>7</v>
      </c>
    </row>
    <row r="2844" spans="1:5" x14ac:dyDescent="0.4">
      <c r="A2844" s="13" t="s">
        <v>1456</v>
      </c>
      <c r="B2844" s="13" t="s">
        <v>20</v>
      </c>
      <c r="C2844" s="13" t="s">
        <v>30</v>
      </c>
      <c r="D2844" s="14">
        <v>950</v>
      </c>
      <c r="E2844" s="15">
        <v>3</v>
      </c>
    </row>
    <row r="2845" spans="1:5" x14ac:dyDescent="0.4">
      <c r="A2845" s="13" t="s">
        <v>1806</v>
      </c>
      <c r="B2845" s="13" t="s">
        <v>24</v>
      </c>
      <c r="C2845" s="13" t="s">
        <v>39</v>
      </c>
      <c r="D2845" s="14">
        <v>950</v>
      </c>
      <c r="E2845" s="15">
        <v>3</v>
      </c>
    </row>
    <row r="2846" spans="1:5" x14ac:dyDescent="0.4">
      <c r="A2846" s="13" t="s">
        <v>943</v>
      </c>
      <c r="B2846" s="13" t="s">
        <v>20</v>
      </c>
      <c r="C2846" s="13" t="s">
        <v>44</v>
      </c>
      <c r="D2846" s="14">
        <v>951</v>
      </c>
      <c r="E2846" s="15">
        <v>12</v>
      </c>
    </row>
    <row r="2847" spans="1:5" x14ac:dyDescent="0.4">
      <c r="A2847" s="13" t="s">
        <v>1651</v>
      </c>
      <c r="B2847" s="13" t="s">
        <v>24</v>
      </c>
      <c r="C2847" s="13" t="s">
        <v>33</v>
      </c>
      <c r="D2847" s="14">
        <v>951</v>
      </c>
      <c r="E2847" s="15">
        <v>0</v>
      </c>
    </row>
    <row r="2848" spans="1:5" x14ac:dyDescent="0.4">
      <c r="A2848" s="13" t="s">
        <v>732</v>
      </c>
      <c r="B2848" s="13" t="s">
        <v>24</v>
      </c>
      <c r="C2848" s="13" t="s">
        <v>28</v>
      </c>
      <c r="D2848" s="14">
        <v>952</v>
      </c>
      <c r="E2848" s="15">
        <v>3</v>
      </c>
    </row>
    <row r="2849" spans="1:5" x14ac:dyDescent="0.4">
      <c r="A2849" s="13" t="s">
        <v>980</v>
      </c>
      <c r="B2849" s="13" t="s">
        <v>24</v>
      </c>
      <c r="C2849" s="13" t="s">
        <v>44</v>
      </c>
      <c r="D2849" s="14">
        <v>952</v>
      </c>
      <c r="E2849" s="15">
        <v>1</v>
      </c>
    </row>
    <row r="2850" spans="1:5" x14ac:dyDescent="0.4">
      <c r="A2850" s="13" t="s">
        <v>1841</v>
      </c>
      <c r="B2850" s="13" t="s">
        <v>20</v>
      </c>
      <c r="C2850" s="13" t="s">
        <v>22</v>
      </c>
      <c r="D2850" s="14">
        <v>952</v>
      </c>
      <c r="E2850" s="15">
        <v>0</v>
      </c>
    </row>
    <row r="2851" spans="1:5" x14ac:dyDescent="0.4">
      <c r="A2851" s="13" t="s">
        <v>189</v>
      </c>
      <c r="B2851" s="13" t="s">
        <v>24</v>
      </c>
      <c r="C2851" s="13" t="s">
        <v>28</v>
      </c>
      <c r="D2851" s="14">
        <v>953</v>
      </c>
      <c r="E2851" s="15">
        <v>1</v>
      </c>
    </row>
    <row r="2852" spans="1:5" x14ac:dyDescent="0.4">
      <c r="A2852" s="13" t="s">
        <v>1950</v>
      </c>
      <c r="B2852" s="13" t="s">
        <v>20</v>
      </c>
      <c r="C2852" s="13" t="s">
        <v>27</v>
      </c>
      <c r="D2852" s="14">
        <v>953</v>
      </c>
      <c r="E2852" s="15">
        <v>0</v>
      </c>
    </row>
    <row r="2853" spans="1:5" x14ac:dyDescent="0.4">
      <c r="A2853" s="13" t="s">
        <v>180</v>
      </c>
      <c r="B2853" s="13" t="s">
        <v>24</v>
      </c>
      <c r="C2853" s="13" t="s">
        <v>66</v>
      </c>
      <c r="D2853" s="14">
        <v>954</v>
      </c>
      <c r="E2853" s="15">
        <v>1</v>
      </c>
    </row>
    <row r="2854" spans="1:5" x14ac:dyDescent="0.4">
      <c r="A2854" s="13" t="s">
        <v>358</v>
      </c>
      <c r="B2854" s="13" t="s">
        <v>20</v>
      </c>
      <c r="C2854" s="13" t="s">
        <v>27</v>
      </c>
      <c r="D2854" s="14">
        <v>954</v>
      </c>
      <c r="E2854" s="15">
        <v>0</v>
      </c>
    </row>
    <row r="2855" spans="1:5" x14ac:dyDescent="0.4">
      <c r="A2855" s="13" t="s">
        <v>839</v>
      </c>
      <c r="B2855" s="13" t="s">
        <v>20</v>
      </c>
      <c r="C2855" s="13" t="s">
        <v>32</v>
      </c>
      <c r="D2855" s="14">
        <v>954</v>
      </c>
      <c r="E2855" s="15">
        <v>0</v>
      </c>
    </row>
    <row r="2856" spans="1:5" x14ac:dyDescent="0.4">
      <c r="A2856" s="13" t="s">
        <v>1250</v>
      </c>
      <c r="B2856" s="13" t="s">
        <v>20</v>
      </c>
      <c r="C2856" s="13" t="s">
        <v>53</v>
      </c>
      <c r="D2856" s="14">
        <v>954</v>
      </c>
      <c r="E2856" s="15">
        <v>2</v>
      </c>
    </row>
    <row r="2857" spans="1:5" x14ac:dyDescent="0.4">
      <c r="A2857" s="13" t="s">
        <v>1412</v>
      </c>
      <c r="B2857" s="13" t="s">
        <v>20</v>
      </c>
      <c r="C2857" s="13" t="s">
        <v>27</v>
      </c>
      <c r="D2857" s="14">
        <v>954</v>
      </c>
      <c r="E2857" s="15">
        <v>0</v>
      </c>
    </row>
    <row r="2858" spans="1:5" x14ac:dyDescent="0.4">
      <c r="A2858" s="13" t="s">
        <v>1968</v>
      </c>
      <c r="B2858" s="13" t="s">
        <v>26</v>
      </c>
      <c r="C2858" s="13" t="s">
        <v>53</v>
      </c>
      <c r="D2858" s="14">
        <v>954</v>
      </c>
      <c r="E2858" s="15">
        <v>3</v>
      </c>
    </row>
    <row r="2859" spans="1:5" x14ac:dyDescent="0.4">
      <c r="A2859" s="13" t="s">
        <v>458</v>
      </c>
      <c r="B2859" s="13" t="s">
        <v>20</v>
      </c>
      <c r="C2859" s="13" t="s">
        <v>66</v>
      </c>
      <c r="D2859" s="14">
        <v>955</v>
      </c>
      <c r="E2859" s="15">
        <v>0</v>
      </c>
    </row>
    <row r="2860" spans="1:5" x14ac:dyDescent="0.4">
      <c r="A2860" s="13" t="s">
        <v>1383</v>
      </c>
      <c r="B2860" s="13" t="s">
        <v>24</v>
      </c>
      <c r="C2860" s="13" t="s">
        <v>27</v>
      </c>
      <c r="D2860" s="14">
        <v>955</v>
      </c>
      <c r="E2860" s="15">
        <v>0</v>
      </c>
    </row>
    <row r="2861" spans="1:5" x14ac:dyDescent="0.4">
      <c r="A2861" s="13" t="s">
        <v>1432</v>
      </c>
      <c r="B2861" s="13" t="s">
        <v>20</v>
      </c>
      <c r="C2861" s="13" t="s">
        <v>30</v>
      </c>
      <c r="D2861" s="14">
        <v>955</v>
      </c>
      <c r="E2861" s="15">
        <v>1</v>
      </c>
    </row>
    <row r="2862" spans="1:5" x14ac:dyDescent="0.4">
      <c r="A2862" s="13" t="s">
        <v>1763</v>
      </c>
      <c r="B2862" s="13" t="s">
        <v>20</v>
      </c>
      <c r="C2862" s="13" t="s">
        <v>30</v>
      </c>
      <c r="D2862" s="14">
        <v>955</v>
      </c>
      <c r="E2862" s="15">
        <v>3</v>
      </c>
    </row>
    <row r="2863" spans="1:5" x14ac:dyDescent="0.4">
      <c r="A2863" s="13" t="s">
        <v>1867</v>
      </c>
      <c r="B2863" s="13" t="s">
        <v>26</v>
      </c>
      <c r="C2863" s="13" t="s">
        <v>30</v>
      </c>
      <c r="D2863" s="14">
        <v>955</v>
      </c>
      <c r="E2863" s="15">
        <v>0</v>
      </c>
    </row>
    <row r="2864" spans="1:5" x14ac:dyDescent="0.4">
      <c r="A2864" s="13" t="s">
        <v>1091</v>
      </c>
      <c r="B2864" s="13" t="s">
        <v>20</v>
      </c>
      <c r="C2864" s="13" t="s">
        <v>44</v>
      </c>
      <c r="D2864" s="14">
        <v>956</v>
      </c>
      <c r="E2864" s="15">
        <v>0</v>
      </c>
    </row>
    <row r="2865" spans="1:5" x14ac:dyDescent="0.4">
      <c r="A2865" s="13" t="s">
        <v>1170</v>
      </c>
      <c r="B2865" s="13" t="s">
        <v>20</v>
      </c>
      <c r="C2865" s="13" t="s">
        <v>27</v>
      </c>
      <c r="D2865" s="14">
        <v>956</v>
      </c>
      <c r="E2865" s="15">
        <v>0</v>
      </c>
    </row>
    <row r="2866" spans="1:5" x14ac:dyDescent="0.4">
      <c r="A2866" s="13" t="s">
        <v>100</v>
      </c>
      <c r="B2866" s="13" t="s">
        <v>24</v>
      </c>
      <c r="C2866" s="13" t="s">
        <v>5</v>
      </c>
      <c r="D2866" s="14">
        <v>957</v>
      </c>
      <c r="E2866" s="15">
        <v>5</v>
      </c>
    </row>
    <row r="2867" spans="1:5" x14ac:dyDescent="0.4">
      <c r="A2867" s="13" t="s">
        <v>1265</v>
      </c>
      <c r="B2867" s="13" t="s">
        <v>24</v>
      </c>
      <c r="C2867" s="13" t="s">
        <v>44</v>
      </c>
      <c r="D2867" s="14">
        <v>957</v>
      </c>
      <c r="E2867" s="15">
        <v>6</v>
      </c>
    </row>
    <row r="2868" spans="1:5" x14ac:dyDescent="0.4">
      <c r="A2868" s="13" t="s">
        <v>1879</v>
      </c>
      <c r="B2868" s="13" t="s">
        <v>26</v>
      </c>
      <c r="C2868" s="13" t="s">
        <v>43</v>
      </c>
      <c r="D2868" s="14">
        <v>957</v>
      </c>
      <c r="E2868" s="15">
        <v>0</v>
      </c>
    </row>
    <row r="2869" spans="1:5" x14ac:dyDescent="0.4">
      <c r="A2869" s="13" t="s">
        <v>481</v>
      </c>
      <c r="B2869" s="13" t="s">
        <v>26</v>
      </c>
      <c r="C2869" s="13" t="s">
        <v>66</v>
      </c>
      <c r="D2869" s="14">
        <v>958</v>
      </c>
      <c r="E2869" s="15">
        <v>3</v>
      </c>
    </row>
    <row r="2870" spans="1:5" x14ac:dyDescent="0.4">
      <c r="A2870" s="13" t="s">
        <v>1372</v>
      </c>
      <c r="B2870" s="13" t="s">
        <v>26</v>
      </c>
      <c r="C2870" s="13" t="s">
        <v>21</v>
      </c>
      <c r="D2870" s="14">
        <v>958</v>
      </c>
      <c r="E2870" s="15">
        <v>8</v>
      </c>
    </row>
    <row r="2871" spans="1:5" x14ac:dyDescent="0.4">
      <c r="A2871" s="13" t="s">
        <v>1622</v>
      </c>
      <c r="B2871" s="13" t="s">
        <v>24</v>
      </c>
      <c r="C2871" s="13" t="s">
        <v>111</v>
      </c>
      <c r="D2871" s="14">
        <v>958</v>
      </c>
      <c r="E2871" s="15">
        <v>1</v>
      </c>
    </row>
    <row r="2872" spans="1:5" x14ac:dyDescent="0.4">
      <c r="A2872" s="13" t="s">
        <v>1978</v>
      </c>
      <c r="B2872" s="13" t="s">
        <v>20</v>
      </c>
      <c r="C2872" s="13" t="s">
        <v>44</v>
      </c>
      <c r="D2872" s="14">
        <v>958</v>
      </c>
      <c r="E2872" s="15">
        <v>2</v>
      </c>
    </row>
    <row r="2873" spans="1:5" x14ac:dyDescent="0.4">
      <c r="A2873" s="13" t="s">
        <v>352</v>
      </c>
      <c r="B2873" s="13" t="s">
        <v>24</v>
      </c>
      <c r="C2873" s="13" t="s">
        <v>5</v>
      </c>
      <c r="D2873" s="14">
        <v>960</v>
      </c>
      <c r="E2873" s="15">
        <v>0</v>
      </c>
    </row>
    <row r="2874" spans="1:5" x14ac:dyDescent="0.4">
      <c r="A2874" s="13" t="s">
        <v>1423</v>
      </c>
      <c r="B2874" s="13" t="s">
        <v>24</v>
      </c>
      <c r="C2874" s="13" t="s">
        <v>21</v>
      </c>
      <c r="D2874" s="14">
        <v>960</v>
      </c>
      <c r="E2874" s="15">
        <v>0</v>
      </c>
    </row>
    <row r="2875" spans="1:5" x14ac:dyDescent="0.4">
      <c r="A2875" s="13" t="s">
        <v>1592</v>
      </c>
      <c r="B2875" s="13" t="s">
        <v>24</v>
      </c>
      <c r="C2875" s="13" t="s">
        <v>33</v>
      </c>
      <c r="D2875" s="14">
        <v>960</v>
      </c>
      <c r="E2875" s="15">
        <v>1</v>
      </c>
    </row>
    <row r="2876" spans="1:5" x14ac:dyDescent="0.4">
      <c r="A2876" s="13" t="s">
        <v>522</v>
      </c>
      <c r="B2876" s="13" t="s">
        <v>20</v>
      </c>
      <c r="C2876" s="13" t="s">
        <v>25</v>
      </c>
      <c r="D2876" s="14">
        <v>961</v>
      </c>
      <c r="E2876" s="15">
        <v>3</v>
      </c>
    </row>
    <row r="2877" spans="1:5" x14ac:dyDescent="0.4">
      <c r="A2877" s="13" t="s">
        <v>1013</v>
      </c>
      <c r="B2877" s="13" t="s">
        <v>26</v>
      </c>
      <c r="C2877" s="13" t="s">
        <v>25</v>
      </c>
      <c r="D2877" s="14">
        <v>961</v>
      </c>
      <c r="E2877" s="15">
        <v>2</v>
      </c>
    </row>
    <row r="2878" spans="1:5" x14ac:dyDescent="0.4">
      <c r="A2878" s="13" t="s">
        <v>1739</v>
      </c>
      <c r="B2878" s="13" t="s">
        <v>20</v>
      </c>
      <c r="C2878" s="13" t="s">
        <v>25</v>
      </c>
      <c r="D2878" s="14">
        <v>961</v>
      </c>
      <c r="E2878" s="15">
        <v>2</v>
      </c>
    </row>
    <row r="2879" spans="1:5" x14ac:dyDescent="0.4">
      <c r="A2879" s="13" t="s">
        <v>654</v>
      </c>
      <c r="B2879" s="13" t="s">
        <v>20</v>
      </c>
      <c r="C2879" s="13" t="s">
        <v>34</v>
      </c>
      <c r="D2879" s="14">
        <v>962</v>
      </c>
      <c r="E2879" s="15">
        <v>0</v>
      </c>
    </row>
    <row r="2880" spans="1:5" x14ac:dyDescent="0.4">
      <c r="A2880" s="13" t="s">
        <v>149</v>
      </c>
      <c r="B2880" s="13" t="s">
        <v>20</v>
      </c>
      <c r="C2880" s="13" t="s">
        <v>111</v>
      </c>
      <c r="D2880" s="14">
        <v>963</v>
      </c>
      <c r="E2880" s="15">
        <v>6</v>
      </c>
    </row>
    <row r="2881" spans="1:5" x14ac:dyDescent="0.4">
      <c r="A2881" s="13" t="s">
        <v>605</v>
      </c>
      <c r="B2881" s="13" t="s">
        <v>20</v>
      </c>
      <c r="C2881" s="13" t="s">
        <v>43</v>
      </c>
      <c r="D2881" s="14">
        <v>963</v>
      </c>
      <c r="E2881" s="15">
        <v>0</v>
      </c>
    </row>
    <row r="2882" spans="1:5" x14ac:dyDescent="0.4">
      <c r="A2882" s="13" t="s">
        <v>146</v>
      </c>
      <c r="B2882" s="13" t="s">
        <v>26</v>
      </c>
      <c r="C2882" s="13" t="s">
        <v>43</v>
      </c>
      <c r="D2882" s="14">
        <v>964</v>
      </c>
      <c r="E2882" s="15">
        <v>2</v>
      </c>
    </row>
    <row r="2883" spans="1:5" x14ac:dyDescent="0.4">
      <c r="A2883" s="13" t="s">
        <v>1306</v>
      </c>
      <c r="B2883" s="13" t="s">
        <v>20</v>
      </c>
      <c r="C2883" s="13" t="s">
        <v>33</v>
      </c>
      <c r="D2883" s="14">
        <v>964</v>
      </c>
      <c r="E2883" s="15">
        <v>1</v>
      </c>
    </row>
    <row r="2884" spans="1:5" x14ac:dyDescent="0.4">
      <c r="A2884" s="13" t="s">
        <v>114</v>
      </c>
      <c r="B2884" s="13" t="s">
        <v>20</v>
      </c>
      <c r="C2884" s="13" t="s">
        <v>43</v>
      </c>
      <c r="D2884" s="14">
        <v>965</v>
      </c>
      <c r="E2884" s="15">
        <v>1</v>
      </c>
    </row>
    <row r="2885" spans="1:5" x14ac:dyDescent="0.4">
      <c r="A2885" s="13" t="s">
        <v>774</v>
      </c>
      <c r="B2885" s="13" t="s">
        <v>20</v>
      </c>
      <c r="C2885" s="13" t="s">
        <v>44</v>
      </c>
      <c r="D2885" s="14">
        <v>965</v>
      </c>
      <c r="E2885" s="15">
        <v>10</v>
      </c>
    </row>
    <row r="2886" spans="1:5" x14ac:dyDescent="0.4">
      <c r="A2886" s="13" t="s">
        <v>1652</v>
      </c>
      <c r="B2886" s="13" t="s">
        <v>20</v>
      </c>
      <c r="C2886" s="13" t="s">
        <v>62</v>
      </c>
      <c r="D2886" s="14">
        <v>965</v>
      </c>
      <c r="E2886" s="15">
        <v>3</v>
      </c>
    </row>
    <row r="2887" spans="1:5" x14ac:dyDescent="0.4">
      <c r="A2887" s="13" t="s">
        <v>1683</v>
      </c>
      <c r="B2887" s="13" t="s">
        <v>26</v>
      </c>
      <c r="C2887" s="13" t="s">
        <v>5</v>
      </c>
      <c r="D2887" s="14">
        <v>965</v>
      </c>
      <c r="E2887" s="15">
        <v>0</v>
      </c>
    </row>
    <row r="2888" spans="1:5" x14ac:dyDescent="0.4">
      <c r="A2888" s="13" t="s">
        <v>475</v>
      </c>
      <c r="B2888" s="13" t="s">
        <v>26</v>
      </c>
      <c r="C2888" s="13" t="s">
        <v>44</v>
      </c>
      <c r="D2888" s="14">
        <v>966</v>
      </c>
      <c r="E2888" s="15">
        <v>5</v>
      </c>
    </row>
    <row r="2889" spans="1:5" x14ac:dyDescent="0.4">
      <c r="A2889" s="13" t="s">
        <v>1816</v>
      </c>
      <c r="B2889" s="13" t="s">
        <v>24</v>
      </c>
      <c r="C2889" s="13" t="s">
        <v>27</v>
      </c>
      <c r="D2889" s="14">
        <v>966</v>
      </c>
      <c r="E2889" s="15">
        <v>1</v>
      </c>
    </row>
    <row r="2890" spans="1:5" x14ac:dyDescent="0.4">
      <c r="A2890" s="13" t="s">
        <v>672</v>
      </c>
      <c r="B2890" s="13" t="s">
        <v>24</v>
      </c>
      <c r="C2890" s="13" t="s">
        <v>43</v>
      </c>
      <c r="D2890" s="14">
        <v>967</v>
      </c>
      <c r="E2890" s="15">
        <v>0</v>
      </c>
    </row>
    <row r="2891" spans="1:5" x14ac:dyDescent="0.4">
      <c r="A2891" s="13" t="s">
        <v>1698</v>
      </c>
      <c r="B2891" s="13" t="s">
        <v>20</v>
      </c>
      <c r="C2891" s="13" t="s">
        <v>30</v>
      </c>
      <c r="D2891" s="14">
        <v>967</v>
      </c>
      <c r="E2891" s="15">
        <v>1</v>
      </c>
    </row>
    <row r="2892" spans="1:5" x14ac:dyDescent="0.4">
      <c r="A2892" s="13" t="s">
        <v>211</v>
      </c>
      <c r="B2892" s="13" t="s">
        <v>26</v>
      </c>
      <c r="C2892" s="13" t="s">
        <v>32</v>
      </c>
      <c r="D2892" s="14">
        <v>968</v>
      </c>
      <c r="E2892" s="15">
        <v>7</v>
      </c>
    </row>
    <row r="2893" spans="1:5" x14ac:dyDescent="0.4">
      <c r="A2893" s="13" t="s">
        <v>1321</v>
      </c>
      <c r="B2893" s="13" t="s">
        <v>26</v>
      </c>
      <c r="C2893" s="13" t="s">
        <v>27</v>
      </c>
      <c r="D2893" s="14">
        <v>968</v>
      </c>
      <c r="E2893" s="15">
        <v>3</v>
      </c>
    </row>
    <row r="2894" spans="1:5" x14ac:dyDescent="0.4">
      <c r="A2894" s="13" t="s">
        <v>330</v>
      </c>
      <c r="B2894" s="13" t="s">
        <v>24</v>
      </c>
      <c r="C2894" s="13" t="s">
        <v>66</v>
      </c>
      <c r="D2894" s="14">
        <v>970</v>
      </c>
      <c r="E2894" s="15">
        <v>3</v>
      </c>
    </row>
    <row r="2895" spans="1:5" x14ac:dyDescent="0.4">
      <c r="A2895" s="13" t="s">
        <v>684</v>
      </c>
      <c r="B2895" s="13" t="s">
        <v>24</v>
      </c>
      <c r="C2895" s="13" t="s">
        <v>44</v>
      </c>
      <c r="D2895" s="14">
        <v>970</v>
      </c>
      <c r="E2895" s="15">
        <v>3</v>
      </c>
    </row>
    <row r="2896" spans="1:5" x14ac:dyDescent="0.4">
      <c r="A2896" s="13" t="s">
        <v>1031</v>
      </c>
      <c r="B2896" s="13" t="s">
        <v>26</v>
      </c>
      <c r="C2896" s="13" t="s">
        <v>39</v>
      </c>
      <c r="D2896" s="14">
        <v>970</v>
      </c>
      <c r="E2896" s="15">
        <v>0</v>
      </c>
    </row>
    <row r="2897" spans="1:5" x14ac:dyDescent="0.4">
      <c r="A2897" s="13" t="s">
        <v>1213</v>
      </c>
      <c r="B2897" s="13" t="s">
        <v>20</v>
      </c>
      <c r="C2897" s="13" t="s">
        <v>44</v>
      </c>
      <c r="D2897" s="14">
        <v>970</v>
      </c>
      <c r="E2897" s="15">
        <v>2</v>
      </c>
    </row>
    <row r="2898" spans="1:5" x14ac:dyDescent="0.4">
      <c r="A2898" s="13" t="s">
        <v>191</v>
      </c>
      <c r="B2898" s="13" t="s">
        <v>26</v>
      </c>
      <c r="C2898" s="13" t="s">
        <v>44</v>
      </c>
      <c r="D2898" s="14">
        <v>971</v>
      </c>
      <c r="E2898" s="15">
        <v>15</v>
      </c>
    </row>
    <row r="2899" spans="1:5" x14ac:dyDescent="0.4">
      <c r="A2899" s="13" t="s">
        <v>1231</v>
      </c>
      <c r="B2899" s="13" t="s">
        <v>20</v>
      </c>
      <c r="C2899" s="13" t="s">
        <v>27</v>
      </c>
      <c r="D2899" s="14">
        <v>971</v>
      </c>
      <c r="E2899" s="15">
        <v>0</v>
      </c>
    </row>
    <row r="2900" spans="1:5" x14ac:dyDescent="0.4">
      <c r="A2900" s="13" t="s">
        <v>1237</v>
      </c>
      <c r="B2900" s="13" t="s">
        <v>20</v>
      </c>
      <c r="C2900" s="13" t="s">
        <v>39</v>
      </c>
      <c r="D2900" s="14">
        <v>971</v>
      </c>
      <c r="E2900" s="15">
        <v>0</v>
      </c>
    </row>
    <row r="2901" spans="1:5" x14ac:dyDescent="0.4">
      <c r="A2901" s="13" t="s">
        <v>1932</v>
      </c>
      <c r="B2901" s="13" t="s">
        <v>24</v>
      </c>
      <c r="C2901" s="13" t="s">
        <v>27</v>
      </c>
      <c r="D2901" s="14">
        <v>971</v>
      </c>
      <c r="E2901" s="15">
        <v>0</v>
      </c>
    </row>
    <row r="2902" spans="1:5" x14ac:dyDescent="0.4">
      <c r="A2902" s="13" t="s">
        <v>276</v>
      </c>
      <c r="B2902" s="13" t="s">
        <v>26</v>
      </c>
      <c r="C2902" s="13" t="s">
        <v>25</v>
      </c>
      <c r="D2902" s="14">
        <v>972</v>
      </c>
      <c r="E2902" s="15">
        <v>5</v>
      </c>
    </row>
    <row r="2903" spans="1:5" x14ac:dyDescent="0.4">
      <c r="A2903" s="13" t="s">
        <v>804</v>
      </c>
      <c r="B2903" s="13" t="s">
        <v>26</v>
      </c>
      <c r="C2903" s="13" t="s">
        <v>44</v>
      </c>
      <c r="D2903" s="14">
        <v>973</v>
      </c>
      <c r="E2903" s="15">
        <v>0</v>
      </c>
    </row>
    <row r="2904" spans="1:5" x14ac:dyDescent="0.4">
      <c r="A2904" s="13" t="s">
        <v>1304</v>
      </c>
      <c r="B2904" s="13" t="s">
        <v>24</v>
      </c>
      <c r="C2904" s="13" t="s">
        <v>33</v>
      </c>
      <c r="D2904" s="14">
        <v>973</v>
      </c>
      <c r="E2904" s="15">
        <v>7</v>
      </c>
    </row>
    <row r="2905" spans="1:5" x14ac:dyDescent="0.4">
      <c r="A2905" s="13" t="s">
        <v>741</v>
      </c>
      <c r="B2905" s="13" t="s">
        <v>26</v>
      </c>
      <c r="C2905" s="13" t="s">
        <v>40</v>
      </c>
      <c r="D2905" s="14">
        <v>974</v>
      </c>
      <c r="E2905" s="15">
        <v>2</v>
      </c>
    </row>
    <row r="2906" spans="1:5" x14ac:dyDescent="0.4">
      <c r="A2906" s="13" t="s">
        <v>1494</v>
      </c>
      <c r="B2906" s="13" t="s">
        <v>26</v>
      </c>
      <c r="C2906" s="13" t="s">
        <v>30</v>
      </c>
      <c r="D2906" s="14">
        <v>974</v>
      </c>
      <c r="E2906" s="15">
        <v>0</v>
      </c>
    </row>
    <row r="2907" spans="1:5" x14ac:dyDescent="0.4">
      <c r="A2907" s="13" t="s">
        <v>1818</v>
      </c>
      <c r="B2907" s="13" t="s">
        <v>24</v>
      </c>
      <c r="C2907" s="13" t="s">
        <v>21</v>
      </c>
      <c r="D2907" s="14">
        <v>974</v>
      </c>
      <c r="E2907" s="15">
        <v>2</v>
      </c>
    </row>
    <row r="2908" spans="1:5" x14ac:dyDescent="0.4">
      <c r="A2908" s="13" t="s">
        <v>886</v>
      </c>
      <c r="B2908" s="13" t="s">
        <v>26</v>
      </c>
      <c r="C2908" s="13" t="s">
        <v>28</v>
      </c>
      <c r="D2908" s="14">
        <v>975</v>
      </c>
      <c r="E2908" s="15">
        <v>2</v>
      </c>
    </row>
    <row r="2909" spans="1:5" x14ac:dyDescent="0.4">
      <c r="A2909" s="13" t="s">
        <v>1213</v>
      </c>
      <c r="B2909" s="13" t="s">
        <v>24</v>
      </c>
      <c r="C2909" s="13" t="s">
        <v>21</v>
      </c>
      <c r="D2909" s="14">
        <v>975</v>
      </c>
      <c r="E2909" s="15">
        <v>9</v>
      </c>
    </row>
    <row r="2910" spans="1:5" x14ac:dyDescent="0.4">
      <c r="A2910" s="13" t="s">
        <v>1362</v>
      </c>
      <c r="B2910" s="13" t="s">
        <v>26</v>
      </c>
      <c r="C2910" s="13" t="s">
        <v>44</v>
      </c>
      <c r="D2910" s="14">
        <v>975</v>
      </c>
      <c r="E2910" s="15">
        <v>1</v>
      </c>
    </row>
    <row r="2911" spans="1:5" x14ac:dyDescent="0.4">
      <c r="A2911" s="13" t="s">
        <v>316</v>
      </c>
      <c r="B2911" s="13" t="s">
        <v>24</v>
      </c>
      <c r="C2911" s="13" t="s">
        <v>39</v>
      </c>
      <c r="D2911" s="14">
        <v>976</v>
      </c>
      <c r="E2911" s="15">
        <v>3</v>
      </c>
    </row>
    <row r="2912" spans="1:5" x14ac:dyDescent="0.4">
      <c r="A2912" s="13" t="s">
        <v>1657</v>
      </c>
      <c r="B2912" s="13" t="s">
        <v>24</v>
      </c>
      <c r="C2912" s="13" t="s">
        <v>39</v>
      </c>
      <c r="D2912" s="14">
        <v>976</v>
      </c>
      <c r="E2912" s="15">
        <v>2</v>
      </c>
    </row>
    <row r="2913" spans="1:5" x14ac:dyDescent="0.4">
      <c r="A2913" s="13" t="s">
        <v>1886</v>
      </c>
      <c r="B2913" s="13" t="s">
        <v>26</v>
      </c>
      <c r="C2913" s="13" t="s">
        <v>30</v>
      </c>
      <c r="D2913" s="14">
        <v>976</v>
      </c>
      <c r="E2913" s="15">
        <v>0</v>
      </c>
    </row>
    <row r="2914" spans="1:5" x14ac:dyDescent="0.4">
      <c r="A2914" s="13" t="s">
        <v>536</v>
      </c>
      <c r="B2914" s="13" t="s">
        <v>20</v>
      </c>
      <c r="C2914" s="13" t="s">
        <v>22</v>
      </c>
      <c r="D2914" s="14">
        <v>977</v>
      </c>
      <c r="E2914" s="15">
        <v>0</v>
      </c>
    </row>
    <row r="2915" spans="1:5" x14ac:dyDescent="0.4">
      <c r="A2915" s="13" t="s">
        <v>600</v>
      </c>
      <c r="B2915" s="13" t="s">
        <v>20</v>
      </c>
      <c r="C2915" s="13" t="s">
        <v>44</v>
      </c>
      <c r="D2915" s="14">
        <v>977</v>
      </c>
      <c r="E2915" s="15">
        <v>0</v>
      </c>
    </row>
    <row r="2916" spans="1:5" x14ac:dyDescent="0.4">
      <c r="A2916" s="13" t="s">
        <v>629</v>
      </c>
      <c r="B2916" s="13" t="s">
        <v>26</v>
      </c>
      <c r="C2916" s="13" t="s">
        <v>22</v>
      </c>
      <c r="D2916" s="14">
        <v>977</v>
      </c>
      <c r="E2916" s="15">
        <v>8</v>
      </c>
    </row>
    <row r="2917" spans="1:5" x14ac:dyDescent="0.4">
      <c r="A2917" s="13" t="s">
        <v>1085</v>
      </c>
      <c r="B2917" s="13" t="s">
        <v>26</v>
      </c>
      <c r="C2917" s="13" t="s">
        <v>30</v>
      </c>
      <c r="D2917" s="14">
        <v>977</v>
      </c>
      <c r="E2917" s="15">
        <v>5</v>
      </c>
    </row>
    <row r="2918" spans="1:5" x14ac:dyDescent="0.4">
      <c r="A2918" s="13" t="s">
        <v>996</v>
      </c>
      <c r="B2918" s="13" t="s">
        <v>26</v>
      </c>
      <c r="C2918" s="13" t="s">
        <v>30</v>
      </c>
      <c r="D2918" s="14">
        <v>978</v>
      </c>
      <c r="E2918" s="15">
        <v>0</v>
      </c>
    </row>
    <row r="2919" spans="1:5" x14ac:dyDescent="0.4">
      <c r="A2919" s="13" t="s">
        <v>1054</v>
      </c>
      <c r="B2919" s="13" t="s">
        <v>24</v>
      </c>
      <c r="C2919" s="13" t="s">
        <v>44</v>
      </c>
      <c r="D2919" s="14">
        <v>978</v>
      </c>
      <c r="E2919" s="15">
        <v>4</v>
      </c>
    </row>
    <row r="2920" spans="1:5" x14ac:dyDescent="0.4">
      <c r="A2920" s="13" t="s">
        <v>1758</v>
      </c>
      <c r="B2920" s="13" t="s">
        <v>20</v>
      </c>
      <c r="C2920" s="13" t="s">
        <v>27</v>
      </c>
      <c r="D2920" s="14">
        <v>978</v>
      </c>
      <c r="E2920" s="15">
        <v>1</v>
      </c>
    </row>
    <row r="2921" spans="1:5" x14ac:dyDescent="0.4">
      <c r="A2921" s="13" t="s">
        <v>1761</v>
      </c>
      <c r="B2921" s="13" t="s">
        <v>20</v>
      </c>
      <c r="C2921" s="13" t="s">
        <v>44</v>
      </c>
      <c r="D2921" s="14">
        <v>978</v>
      </c>
      <c r="E2921" s="15">
        <v>17</v>
      </c>
    </row>
    <row r="2922" spans="1:5" x14ac:dyDescent="0.4">
      <c r="A2922" s="13" t="s">
        <v>583</v>
      </c>
      <c r="B2922" s="13" t="s">
        <v>20</v>
      </c>
      <c r="C2922" s="13" t="s">
        <v>44</v>
      </c>
      <c r="D2922" s="14">
        <v>979</v>
      </c>
      <c r="E2922" s="15">
        <v>3</v>
      </c>
    </row>
    <row r="2923" spans="1:5" x14ac:dyDescent="0.4">
      <c r="A2923" s="13" t="s">
        <v>1527</v>
      </c>
      <c r="B2923" s="13" t="s">
        <v>20</v>
      </c>
      <c r="C2923" s="13" t="s">
        <v>34</v>
      </c>
      <c r="D2923" s="14">
        <v>979</v>
      </c>
      <c r="E2923" s="15">
        <v>2</v>
      </c>
    </row>
    <row r="2924" spans="1:5" x14ac:dyDescent="0.4">
      <c r="A2924" s="13" t="s">
        <v>1546</v>
      </c>
      <c r="B2924" s="13" t="s">
        <v>26</v>
      </c>
      <c r="C2924" s="13" t="s">
        <v>111</v>
      </c>
      <c r="D2924" s="14">
        <v>979</v>
      </c>
      <c r="E2924" s="15">
        <v>0</v>
      </c>
    </row>
    <row r="2925" spans="1:5" x14ac:dyDescent="0.4">
      <c r="A2925" s="13" t="s">
        <v>1552</v>
      </c>
      <c r="B2925" s="13" t="s">
        <v>24</v>
      </c>
      <c r="C2925" s="13" t="s">
        <v>53</v>
      </c>
      <c r="D2925" s="14">
        <v>979</v>
      </c>
      <c r="E2925" s="15">
        <v>5</v>
      </c>
    </row>
    <row r="2926" spans="1:5" x14ac:dyDescent="0.4">
      <c r="A2926" s="13" t="s">
        <v>94</v>
      </c>
      <c r="B2926" s="13" t="s">
        <v>24</v>
      </c>
      <c r="C2926" s="13" t="s">
        <v>32</v>
      </c>
      <c r="D2926" s="14">
        <v>980</v>
      </c>
      <c r="E2926" s="15">
        <v>4</v>
      </c>
    </row>
    <row r="2927" spans="1:5" x14ac:dyDescent="0.4">
      <c r="A2927" s="13" t="s">
        <v>182</v>
      </c>
      <c r="B2927" s="13" t="s">
        <v>26</v>
      </c>
      <c r="C2927" s="13" t="s">
        <v>27</v>
      </c>
      <c r="D2927" s="14">
        <v>980</v>
      </c>
      <c r="E2927" s="15">
        <v>7</v>
      </c>
    </row>
    <row r="2928" spans="1:5" x14ac:dyDescent="0.4">
      <c r="A2928" s="13" t="s">
        <v>1087</v>
      </c>
      <c r="B2928" s="13" t="s">
        <v>20</v>
      </c>
      <c r="C2928" s="13" t="s">
        <v>44</v>
      </c>
      <c r="D2928" s="14">
        <v>980</v>
      </c>
      <c r="E2928" s="15">
        <v>8</v>
      </c>
    </row>
    <row r="2929" spans="1:5" x14ac:dyDescent="0.4">
      <c r="A2929" s="13" t="s">
        <v>1235</v>
      </c>
      <c r="B2929" s="13" t="s">
        <v>24</v>
      </c>
      <c r="C2929" s="13" t="s">
        <v>28</v>
      </c>
      <c r="D2929" s="14">
        <v>980</v>
      </c>
      <c r="E2929" s="15">
        <v>0</v>
      </c>
    </row>
    <row r="2930" spans="1:5" x14ac:dyDescent="0.4">
      <c r="A2930" s="13" t="s">
        <v>1520</v>
      </c>
      <c r="B2930" s="13" t="s">
        <v>26</v>
      </c>
      <c r="C2930" s="13" t="s">
        <v>53</v>
      </c>
      <c r="D2930" s="14">
        <v>980</v>
      </c>
      <c r="E2930" s="15">
        <v>0</v>
      </c>
    </row>
    <row r="2931" spans="1:5" x14ac:dyDescent="0.4">
      <c r="A2931" s="13" t="s">
        <v>1581</v>
      </c>
      <c r="B2931" s="13" t="s">
        <v>26</v>
      </c>
      <c r="C2931" s="13" t="s">
        <v>39</v>
      </c>
      <c r="D2931" s="14">
        <v>980</v>
      </c>
      <c r="E2931" s="15">
        <v>0</v>
      </c>
    </row>
    <row r="2932" spans="1:5" x14ac:dyDescent="0.4">
      <c r="A2932" s="13" t="s">
        <v>1627</v>
      </c>
      <c r="B2932" s="13" t="s">
        <v>20</v>
      </c>
      <c r="C2932" s="13" t="s">
        <v>53</v>
      </c>
      <c r="D2932" s="14">
        <v>980</v>
      </c>
      <c r="E2932" s="15">
        <v>0</v>
      </c>
    </row>
    <row r="2933" spans="1:5" x14ac:dyDescent="0.4">
      <c r="A2933" s="13" t="s">
        <v>263</v>
      </c>
      <c r="B2933" s="13" t="s">
        <v>20</v>
      </c>
      <c r="C2933" s="13" t="s">
        <v>25</v>
      </c>
      <c r="D2933" s="14">
        <v>981</v>
      </c>
      <c r="E2933" s="15">
        <v>0</v>
      </c>
    </row>
    <row r="2934" spans="1:5" x14ac:dyDescent="0.4">
      <c r="A2934" s="13" t="s">
        <v>857</v>
      </c>
      <c r="B2934" s="13" t="s">
        <v>24</v>
      </c>
      <c r="C2934" s="13" t="s">
        <v>28</v>
      </c>
      <c r="D2934" s="14">
        <v>981</v>
      </c>
      <c r="E2934" s="15">
        <v>0</v>
      </c>
    </row>
    <row r="2935" spans="1:5" x14ac:dyDescent="0.4">
      <c r="A2935" s="13" t="s">
        <v>892</v>
      </c>
      <c r="B2935" s="13" t="s">
        <v>20</v>
      </c>
      <c r="C2935" s="13" t="s">
        <v>27</v>
      </c>
      <c r="D2935" s="14">
        <v>981</v>
      </c>
      <c r="E2935" s="15">
        <v>1</v>
      </c>
    </row>
    <row r="2936" spans="1:5" x14ac:dyDescent="0.4">
      <c r="A2936" s="13" t="s">
        <v>914</v>
      </c>
      <c r="B2936" s="13" t="s">
        <v>26</v>
      </c>
      <c r="C2936" s="13" t="s">
        <v>30</v>
      </c>
      <c r="D2936" s="14">
        <v>981</v>
      </c>
      <c r="E2936" s="15">
        <v>0</v>
      </c>
    </row>
    <row r="2937" spans="1:5" x14ac:dyDescent="0.4">
      <c r="A2937" s="13" t="s">
        <v>1823</v>
      </c>
      <c r="B2937" s="13" t="s">
        <v>26</v>
      </c>
      <c r="C2937" s="13" t="s">
        <v>34</v>
      </c>
      <c r="D2937" s="14">
        <v>981</v>
      </c>
      <c r="E2937" s="15">
        <v>9</v>
      </c>
    </row>
    <row r="2938" spans="1:5" x14ac:dyDescent="0.4">
      <c r="A2938" s="13" t="s">
        <v>988</v>
      </c>
      <c r="B2938" s="13" t="s">
        <v>20</v>
      </c>
      <c r="C2938" s="13" t="s">
        <v>27</v>
      </c>
      <c r="D2938" s="14">
        <v>983</v>
      </c>
      <c r="E2938" s="15">
        <v>2</v>
      </c>
    </row>
    <row r="2939" spans="1:5" x14ac:dyDescent="0.4">
      <c r="A2939" s="13" t="s">
        <v>1696</v>
      </c>
      <c r="B2939" s="13" t="s">
        <v>24</v>
      </c>
      <c r="C2939" s="13" t="s">
        <v>44</v>
      </c>
      <c r="D2939" s="14">
        <v>984</v>
      </c>
      <c r="E2939" s="15">
        <v>1</v>
      </c>
    </row>
    <row r="2940" spans="1:5" x14ac:dyDescent="0.4">
      <c r="A2940" s="13" t="s">
        <v>1808</v>
      </c>
      <c r="B2940" s="13" t="s">
        <v>26</v>
      </c>
      <c r="C2940" s="13" t="s">
        <v>111</v>
      </c>
      <c r="D2940" s="14">
        <v>984</v>
      </c>
      <c r="E2940" s="15">
        <v>5</v>
      </c>
    </row>
    <row r="2941" spans="1:5" x14ac:dyDescent="0.4">
      <c r="A2941" s="13" t="s">
        <v>1143</v>
      </c>
      <c r="B2941" s="13" t="s">
        <v>24</v>
      </c>
      <c r="C2941" s="13" t="s">
        <v>27</v>
      </c>
      <c r="D2941" s="14">
        <v>985</v>
      </c>
      <c r="E2941" s="15">
        <v>0</v>
      </c>
    </row>
    <row r="2942" spans="1:5" x14ac:dyDescent="0.4">
      <c r="A2942" s="13" t="s">
        <v>1976</v>
      </c>
      <c r="B2942" s="13" t="s">
        <v>24</v>
      </c>
      <c r="C2942" s="13" t="s">
        <v>32</v>
      </c>
      <c r="D2942" s="14">
        <v>985</v>
      </c>
      <c r="E2942" s="15">
        <v>3</v>
      </c>
    </row>
    <row r="2943" spans="1:5" x14ac:dyDescent="0.4">
      <c r="A2943" s="13" t="s">
        <v>124</v>
      </c>
      <c r="B2943" s="13" t="s">
        <v>24</v>
      </c>
      <c r="C2943" s="13" t="s">
        <v>44</v>
      </c>
      <c r="D2943" s="14">
        <v>986</v>
      </c>
      <c r="E2943" s="15">
        <v>2</v>
      </c>
    </row>
    <row r="2944" spans="1:5" x14ac:dyDescent="0.4">
      <c r="A2944" s="13" t="s">
        <v>1489</v>
      </c>
      <c r="B2944" s="13" t="s">
        <v>20</v>
      </c>
      <c r="C2944" s="13" t="s">
        <v>44</v>
      </c>
      <c r="D2944" s="14">
        <v>986</v>
      </c>
      <c r="E2944" s="15">
        <v>0</v>
      </c>
    </row>
    <row r="2945" spans="1:5" x14ac:dyDescent="0.4">
      <c r="A2945" s="13" t="s">
        <v>1503</v>
      </c>
      <c r="B2945" s="13" t="s">
        <v>24</v>
      </c>
      <c r="C2945" s="13" t="s">
        <v>27</v>
      </c>
      <c r="D2945" s="14">
        <v>987</v>
      </c>
      <c r="E2945" s="15">
        <v>0</v>
      </c>
    </row>
    <row r="2946" spans="1:5" x14ac:dyDescent="0.4">
      <c r="A2946" s="13" t="s">
        <v>1647</v>
      </c>
      <c r="B2946" s="13" t="s">
        <v>24</v>
      </c>
      <c r="C2946" s="13" t="s">
        <v>21</v>
      </c>
      <c r="D2946" s="14">
        <v>987</v>
      </c>
      <c r="E2946" s="15">
        <v>3</v>
      </c>
    </row>
    <row r="2947" spans="1:5" x14ac:dyDescent="0.4">
      <c r="A2947" s="13" t="s">
        <v>631</v>
      </c>
      <c r="B2947" s="13" t="s">
        <v>24</v>
      </c>
      <c r="C2947" s="13" t="s">
        <v>43</v>
      </c>
      <c r="D2947" s="14">
        <v>988</v>
      </c>
      <c r="E2947" s="15">
        <v>2</v>
      </c>
    </row>
    <row r="2948" spans="1:5" x14ac:dyDescent="0.4">
      <c r="A2948" s="13" t="s">
        <v>1254</v>
      </c>
      <c r="B2948" s="13" t="s">
        <v>24</v>
      </c>
      <c r="C2948" s="13" t="s">
        <v>21</v>
      </c>
      <c r="D2948" s="14">
        <v>988</v>
      </c>
      <c r="E2948" s="15">
        <v>0</v>
      </c>
    </row>
    <row r="2949" spans="1:5" x14ac:dyDescent="0.4">
      <c r="A2949" s="13" t="s">
        <v>288</v>
      </c>
      <c r="B2949" s="13" t="s">
        <v>24</v>
      </c>
      <c r="C2949" s="13" t="s">
        <v>28</v>
      </c>
      <c r="D2949" s="14">
        <v>989</v>
      </c>
      <c r="E2949" s="15">
        <v>0</v>
      </c>
    </row>
    <row r="2950" spans="1:5" x14ac:dyDescent="0.4">
      <c r="A2950" s="13" t="s">
        <v>578</v>
      </c>
      <c r="B2950" s="13" t="s">
        <v>24</v>
      </c>
      <c r="C2950" s="13" t="s">
        <v>66</v>
      </c>
      <c r="D2950" s="14">
        <v>991</v>
      </c>
      <c r="E2950" s="15">
        <v>0</v>
      </c>
    </row>
    <row r="2951" spans="1:5" x14ac:dyDescent="0.4">
      <c r="A2951" s="13" t="s">
        <v>901</v>
      </c>
      <c r="B2951" s="13" t="s">
        <v>26</v>
      </c>
      <c r="C2951" s="13" t="s">
        <v>44</v>
      </c>
      <c r="D2951" s="14">
        <v>991</v>
      </c>
      <c r="E2951" s="15">
        <v>6</v>
      </c>
    </row>
    <row r="2952" spans="1:5" x14ac:dyDescent="0.4">
      <c r="A2952" s="13" t="s">
        <v>949</v>
      </c>
      <c r="B2952" s="13" t="s">
        <v>20</v>
      </c>
      <c r="C2952" s="13" t="s">
        <v>22</v>
      </c>
      <c r="D2952" s="14">
        <v>991</v>
      </c>
      <c r="E2952" s="15">
        <v>4</v>
      </c>
    </row>
    <row r="2953" spans="1:5" x14ac:dyDescent="0.4">
      <c r="A2953" s="13" t="s">
        <v>1580</v>
      </c>
      <c r="B2953" s="13" t="s">
        <v>24</v>
      </c>
      <c r="C2953" s="13" t="s">
        <v>5</v>
      </c>
      <c r="D2953" s="14">
        <v>991</v>
      </c>
      <c r="E2953" s="15">
        <v>7</v>
      </c>
    </row>
    <row r="2954" spans="1:5" x14ac:dyDescent="0.4">
      <c r="A2954" s="13" t="s">
        <v>1633</v>
      </c>
      <c r="B2954" s="13" t="s">
        <v>26</v>
      </c>
      <c r="C2954" s="13" t="s">
        <v>39</v>
      </c>
      <c r="D2954" s="14">
        <v>991</v>
      </c>
      <c r="E2954" s="15">
        <v>6</v>
      </c>
    </row>
    <row r="2955" spans="1:5" x14ac:dyDescent="0.4">
      <c r="A2955" s="13" t="s">
        <v>1903</v>
      </c>
      <c r="B2955" s="13" t="s">
        <v>26</v>
      </c>
      <c r="C2955" s="13" t="s">
        <v>34</v>
      </c>
      <c r="D2955" s="14">
        <v>991</v>
      </c>
      <c r="E2955" s="15">
        <v>0</v>
      </c>
    </row>
    <row r="2956" spans="1:5" x14ac:dyDescent="0.4">
      <c r="A2956" s="13" t="s">
        <v>122</v>
      </c>
      <c r="B2956" s="13" t="s">
        <v>26</v>
      </c>
      <c r="C2956" s="13" t="s">
        <v>27</v>
      </c>
      <c r="D2956" s="14">
        <v>992</v>
      </c>
      <c r="E2956" s="15">
        <v>0</v>
      </c>
    </row>
    <row r="2957" spans="1:5" x14ac:dyDescent="0.4">
      <c r="A2957" s="13" t="s">
        <v>1409</v>
      </c>
      <c r="B2957" s="13" t="s">
        <v>26</v>
      </c>
      <c r="C2957" s="13" t="s">
        <v>111</v>
      </c>
      <c r="D2957" s="14">
        <v>992</v>
      </c>
      <c r="E2957" s="15">
        <v>0</v>
      </c>
    </row>
    <row r="2958" spans="1:5" x14ac:dyDescent="0.4">
      <c r="A2958" s="13" t="s">
        <v>1418</v>
      </c>
      <c r="B2958" s="13" t="s">
        <v>26</v>
      </c>
      <c r="C2958" s="13" t="s">
        <v>30</v>
      </c>
      <c r="D2958" s="14">
        <v>992</v>
      </c>
      <c r="E2958" s="15">
        <v>1</v>
      </c>
    </row>
    <row r="2959" spans="1:5" x14ac:dyDescent="0.4">
      <c r="A2959" s="13" t="s">
        <v>1735</v>
      </c>
      <c r="B2959" s="13" t="s">
        <v>24</v>
      </c>
      <c r="C2959" s="13" t="s">
        <v>66</v>
      </c>
      <c r="D2959" s="14">
        <v>992</v>
      </c>
      <c r="E2959" s="15">
        <v>0</v>
      </c>
    </row>
    <row r="2960" spans="1:5" x14ac:dyDescent="0.4">
      <c r="A2960" s="13" t="s">
        <v>1375</v>
      </c>
      <c r="B2960" s="13" t="s">
        <v>20</v>
      </c>
      <c r="C2960" s="13" t="s">
        <v>53</v>
      </c>
      <c r="D2960" s="14">
        <v>993</v>
      </c>
      <c r="E2960" s="15">
        <v>2</v>
      </c>
    </row>
    <row r="2961" spans="1:5" x14ac:dyDescent="0.4">
      <c r="A2961" s="13" t="s">
        <v>193</v>
      </c>
      <c r="B2961" s="13" t="s">
        <v>24</v>
      </c>
      <c r="C2961" s="13" t="s">
        <v>66</v>
      </c>
      <c r="D2961" s="14">
        <v>994</v>
      </c>
      <c r="E2961" s="15">
        <v>0</v>
      </c>
    </row>
    <row r="2962" spans="1:5" x14ac:dyDescent="0.4">
      <c r="A2962" s="13" t="s">
        <v>1782</v>
      </c>
      <c r="B2962" s="13" t="s">
        <v>20</v>
      </c>
      <c r="C2962" s="13" t="s">
        <v>111</v>
      </c>
      <c r="D2962" s="14">
        <v>994</v>
      </c>
      <c r="E2962" s="15">
        <v>14</v>
      </c>
    </row>
    <row r="2963" spans="1:5" x14ac:dyDescent="0.4">
      <c r="A2963" s="13" t="s">
        <v>1495</v>
      </c>
      <c r="B2963" s="13" t="s">
        <v>26</v>
      </c>
      <c r="C2963" s="13" t="s">
        <v>21</v>
      </c>
      <c r="D2963" s="14">
        <v>995</v>
      </c>
      <c r="E2963" s="15">
        <v>0</v>
      </c>
    </row>
    <row r="2964" spans="1:5" x14ac:dyDescent="0.4">
      <c r="A2964" s="13" t="s">
        <v>1834</v>
      </c>
      <c r="B2964" s="13" t="s">
        <v>24</v>
      </c>
      <c r="C2964" s="13" t="s">
        <v>44</v>
      </c>
      <c r="D2964" s="14">
        <v>995</v>
      </c>
      <c r="E2964" s="15">
        <v>2</v>
      </c>
    </row>
    <row r="2965" spans="1:5" x14ac:dyDescent="0.4">
      <c r="A2965" s="13" t="s">
        <v>128</v>
      </c>
      <c r="B2965" s="13" t="s">
        <v>20</v>
      </c>
      <c r="C2965" s="13" t="s">
        <v>62</v>
      </c>
      <c r="D2965" s="14">
        <v>996</v>
      </c>
      <c r="E2965" s="15">
        <v>1</v>
      </c>
    </row>
    <row r="2966" spans="1:5" x14ac:dyDescent="0.4">
      <c r="A2966" s="13" t="s">
        <v>162</v>
      </c>
      <c r="B2966" s="13" t="s">
        <v>24</v>
      </c>
      <c r="C2966" s="13" t="s">
        <v>30</v>
      </c>
      <c r="D2966" s="14">
        <v>996</v>
      </c>
      <c r="E2966" s="15">
        <v>9</v>
      </c>
    </row>
    <row r="2967" spans="1:5" x14ac:dyDescent="0.4">
      <c r="A2967" s="13" t="s">
        <v>1223</v>
      </c>
      <c r="B2967" s="13" t="s">
        <v>26</v>
      </c>
      <c r="C2967" s="13" t="s">
        <v>44</v>
      </c>
      <c r="D2967" s="14">
        <v>996</v>
      </c>
      <c r="E2967" s="15">
        <v>2</v>
      </c>
    </row>
    <row r="2968" spans="1:5" x14ac:dyDescent="0.4">
      <c r="A2968" s="13" t="s">
        <v>1473</v>
      </c>
      <c r="B2968" s="13" t="s">
        <v>24</v>
      </c>
      <c r="C2968" s="13" t="s">
        <v>5</v>
      </c>
      <c r="D2968" s="14">
        <v>996</v>
      </c>
      <c r="E2968" s="15">
        <v>0</v>
      </c>
    </row>
    <row r="2969" spans="1:5" x14ac:dyDescent="0.4">
      <c r="A2969" s="13" t="s">
        <v>1624</v>
      </c>
      <c r="B2969" s="13" t="s">
        <v>26</v>
      </c>
      <c r="C2969" s="13" t="s">
        <v>44</v>
      </c>
      <c r="D2969" s="14">
        <v>996</v>
      </c>
      <c r="E2969" s="15">
        <v>3</v>
      </c>
    </row>
    <row r="2970" spans="1:5" x14ac:dyDescent="0.4">
      <c r="A2970" s="13" t="s">
        <v>825</v>
      </c>
      <c r="B2970" s="13" t="s">
        <v>20</v>
      </c>
      <c r="C2970" s="13" t="s">
        <v>21</v>
      </c>
      <c r="D2970" s="14">
        <v>997</v>
      </c>
      <c r="E2970" s="15">
        <v>2</v>
      </c>
    </row>
    <row r="2971" spans="1:5" x14ac:dyDescent="0.4">
      <c r="A2971" s="13" t="s">
        <v>1025</v>
      </c>
      <c r="B2971" s="13" t="s">
        <v>20</v>
      </c>
      <c r="C2971" s="13" t="s">
        <v>28</v>
      </c>
      <c r="D2971" s="14">
        <v>997</v>
      </c>
      <c r="E2971" s="15">
        <v>3</v>
      </c>
    </row>
    <row r="2972" spans="1:5" ht="36.9" x14ac:dyDescent="0.4">
      <c r="A2972" s="26" t="s">
        <v>1482</v>
      </c>
      <c r="B2972" s="13" t="s">
        <v>24</v>
      </c>
      <c r="C2972" s="13" t="s">
        <v>44</v>
      </c>
      <c r="D2972" s="14">
        <v>997</v>
      </c>
      <c r="E2972" s="15">
        <v>5</v>
      </c>
    </row>
    <row r="2973" spans="1:5" x14ac:dyDescent="0.4">
      <c r="A2973" s="13" t="s">
        <v>1501</v>
      </c>
      <c r="B2973" s="13" t="s">
        <v>24</v>
      </c>
      <c r="C2973" s="13" t="s">
        <v>27</v>
      </c>
      <c r="D2973" s="14">
        <v>997</v>
      </c>
      <c r="E2973" s="15">
        <v>2</v>
      </c>
    </row>
    <row r="2974" spans="1:5" x14ac:dyDescent="0.4">
      <c r="A2974" s="13" t="s">
        <v>1884</v>
      </c>
      <c r="B2974" s="13" t="s">
        <v>24</v>
      </c>
      <c r="C2974" s="13" t="s">
        <v>32</v>
      </c>
      <c r="D2974" s="14">
        <v>997</v>
      </c>
      <c r="E2974" s="15">
        <v>1</v>
      </c>
    </row>
    <row r="2975" spans="1:5" x14ac:dyDescent="0.4">
      <c r="A2975" s="13" t="s">
        <v>58</v>
      </c>
      <c r="B2975" s="13" t="s">
        <v>26</v>
      </c>
      <c r="C2975" s="13" t="s">
        <v>21</v>
      </c>
      <c r="D2975" s="14">
        <v>998</v>
      </c>
      <c r="E2975" s="15">
        <v>1</v>
      </c>
    </row>
    <row r="2976" spans="1:5" x14ac:dyDescent="0.4">
      <c r="A2976" s="13" t="s">
        <v>222</v>
      </c>
      <c r="B2976" s="13" t="s">
        <v>24</v>
      </c>
      <c r="C2976" s="13" t="s">
        <v>53</v>
      </c>
      <c r="D2976" s="14">
        <v>999</v>
      </c>
      <c r="E2976" s="15">
        <v>0</v>
      </c>
    </row>
    <row r="2977" spans="1:5" x14ac:dyDescent="0.4">
      <c r="A2977" s="13" t="s">
        <v>756</v>
      </c>
      <c r="B2977" s="13" t="s">
        <v>24</v>
      </c>
      <c r="C2977" s="13" t="s">
        <v>27</v>
      </c>
      <c r="D2977" s="14">
        <v>999</v>
      </c>
      <c r="E2977" s="15">
        <v>5</v>
      </c>
    </row>
    <row r="2978" spans="1:5" x14ac:dyDescent="0.4">
      <c r="A2978" s="13" t="s">
        <v>1115</v>
      </c>
      <c r="B2978" s="13" t="s">
        <v>24</v>
      </c>
      <c r="C2978" s="13" t="s">
        <v>27</v>
      </c>
      <c r="D2978" s="14">
        <v>999</v>
      </c>
      <c r="E2978" s="15">
        <v>1</v>
      </c>
    </row>
    <row r="2979" spans="1:5" x14ac:dyDescent="0.4">
      <c r="A2979" s="13" t="s">
        <v>484</v>
      </c>
      <c r="B2979" s="13" t="s">
        <v>26</v>
      </c>
      <c r="C2979" s="13" t="s">
        <v>66</v>
      </c>
      <c r="D2979" s="14">
        <v>1000</v>
      </c>
      <c r="E2979" s="15">
        <v>0</v>
      </c>
    </row>
  </sheetData>
  <autoFilter ref="A1:E2979" xr:uid="{6F791C87-5E8F-4B78-9F1E-20B57C98F2A6}">
    <sortState xmlns:xlrd2="http://schemas.microsoft.com/office/spreadsheetml/2017/richdata2" ref="A2:E2979">
      <sortCondition ref="D1:D297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D3B4-9C60-41D4-8B56-A83DA4A2FCE2}">
  <dimension ref="A1:Y601"/>
  <sheetViews>
    <sheetView tabSelected="1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Y6" sqref="Y6"/>
    </sheetView>
  </sheetViews>
  <sheetFormatPr defaultRowHeight="12.3" x14ac:dyDescent="0.4"/>
  <cols>
    <col min="2" max="2" width="57.5546875" bestFit="1" customWidth="1"/>
    <col min="3" max="3" width="10.1640625" bestFit="1" customWidth="1"/>
    <col min="4" max="4" width="12.83203125" bestFit="1" customWidth="1"/>
    <col min="5" max="5" width="16.83203125" bestFit="1" customWidth="1"/>
    <col min="6" max="6" width="16.27734375" bestFit="1" customWidth="1"/>
  </cols>
  <sheetData>
    <row r="1" spans="1:25" ht="49.2" x14ac:dyDescent="0.4">
      <c r="A1" s="23" t="s">
        <v>1988</v>
      </c>
      <c r="B1" s="19" t="s">
        <v>1989</v>
      </c>
      <c r="C1" s="19" t="s">
        <v>1990</v>
      </c>
      <c r="D1" s="19" t="s">
        <v>1991</v>
      </c>
      <c r="E1" s="19" t="s">
        <v>1992</v>
      </c>
      <c r="F1" s="19" t="s">
        <v>1993</v>
      </c>
      <c r="G1" s="19" t="s">
        <v>1994</v>
      </c>
      <c r="H1" s="19" t="s">
        <v>1995</v>
      </c>
      <c r="I1" s="19" t="s">
        <v>1996</v>
      </c>
      <c r="J1" s="19" t="s">
        <v>1997</v>
      </c>
      <c r="K1" s="19" t="s">
        <v>1998</v>
      </c>
      <c r="L1" s="19" t="s">
        <v>1999</v>
      </c>
      <c r="M1" s="19" t="s">
        <v>2000</v>
      </c>
      <c r="N1" s="19" t="s">
        <v>2001</v>
      </c>
      <c r="O1" s="19" t="s">
        <v>2002</v>
      </c>
      <c r="P1" s="19" t="s">
        <v>2003</v>
      </c>
      <c r="Q1" s="19" t="s">
        <v>2004</v>
      </c>
      <c r="R1" s="19" t="s">
        <v>2005</v>
      </c>
      <c r="S1" s="19" t="s">
        <v>2006</v>
      </c>
      <c r="T1" s="19" t="s">
        <v>2007</v>
      </c>
      <c r="U1" s="19" t="s">
        <v>2008</v>
      </c>
      <c r="V1" s="19" t="s">
        <v>2009</v>
      </c>
      <c r="W1" s="19" t="s">
        <v>2010</v>
      </c>
      <c r="X1" s="19" t="s">
        <v>2011</v>
      </c>
      <c r="Y1" s="19" t="s">
        <v>2012</v>
      </c>
    </row>
    <row r="2" spans="1:25" x14ac:dyDescent="0.4">
      <c r="A2" s="24" t="s">
        <v>2013</v>
      </c>
      <c r="B2" s="24" t="s">
        <v>2014</v>
      </c>
      <c r="C2" s="25">
        <v>42484</v>
      </c>
      <c r="D2" s="24" t="s">
        <v>2015</v>
      </c>
      <c r="E2" s="24" t="s">
        <v>2016</v>
      </c>
      <c r="F2" s="24" t="s">
        <v>2017</v>
      </c>
      <c r="G2" s="24">
        <v>648</v>
      </c>
      <c r="H2" s="24">
        <v>231336</v>
      </c>
      <c r="I2" s="24">
        <v>693</v>
      </c>
      <c r="J2" s="24">
        <v>214137</v>
      </c>
      <c r="K2" s="24">
        <v>187</v>
      </c>
      <c r="L2" s="24">
        <v>66198</v>
      </c>
      <c r="M2" s="24">
        <v>251</v>
      </c>
      <c r="N2" s="24">
        <v>97388</v>
      </c>
      <c r="O2" s="24">
        <v>445</v>
      </c>
      <c r="P2" s="24">
        <v>195355</v>
      </c>
      <c r="Q2" s="24">
        <v>713</v>
      </c>
      <c r="R2" s="24">
        <v>300886</v>
      </c>
      <c r="S2" s="24">
        <v>355</v>
      </c>
      <c r="T2" s="24">
        <v>158685</v>
      </c>
      <c r="U2" s="24">
        <v>389</v>
      </c>
      <c r="V2" s="24">
        <v>152099</v>
      </c>
      <c r="W2" s="24">
        <v>556</v>
      </c>
      <c r="X2" s="24">
        <v>247420</v>
      </c>
      <c r="Y2">
        <f>SUMIF($G$1:$X$1,"Количество*",G2:X2)</f>
        <v>4237</v>
      </c>
    </row>
    <row r="3" spans="1:25" x14ac:dyDescent="0.4">
      <c r="A3" s="24" t="s">
        <v>2018</v>
      </c>
      <c r="B3" s="24" t="s">
        <v>2019</v>
      </c>
      <c r="C3" s="25">
        <v>42609</v>
      </c>
      <c r="D3" s="24" t="s">
        <v>2015</v>
      </c>
      <c r="E3" s="24" t="s">
        <v>2020</v>
      </c>
      <c r="F3" s="24" t="s">
        <v>2017</v>
      </c>
      <c r="G3" s="24">
        <v>157</v>
      </c>
      <c r="H3" s="24">
        <v>47100</v>
      </c>
      <c r="I3" s="24">
        <v>505</v>
      </c>
      <c r="J3" s="24">
        <v>211090</v>
      </c>
      <c r="K3" s="24">
        <v>213</v>
      </c>
      <c r="L3" s="24">
        <v>74550</v>
      </c>
      <c r="M3" s="24">
        <v>463</v>
      </c>
      <c r="N3" s="24">
        <v>193071</v>
      </c>
      <c r="O3" s="24">
        <v>161</v>
      </c>
      <c r="P3" s="24">
        <v>48461</v>
      </c>
      <c r="Q3" s="24">
        <v>332</v>
      </c>
      <c r="R3" s="24">
        <v>118524</v>
      </c>
      <c r="S3" s="24">
        <v>372</v>
      </c>
      <c r="T3" s="24">
        <v>113088</v>
      </c>
      <c r="U3" s="24">
        <v>172</v>
      </c>
      <c r="V3" s="24">
        <v>62092</v>
      </c>
      <c r="W3" s="24">
        <v>564</v>
      </c>
      <c r="X3" s="24">
        <v>184992</v>
      </c>
      <c r="Y3">
        <f t="shared" ref="Y3:Y66" si="0">SUMIF($G$1:$X$1,"Количество*",G3:X3)</f>
        <v>2939</v>
      </c>
    </row>
    <row r="4" spans="1:25" x14ac:dyDescent="0.4">
      <c r="A4" s="24" t="s">
        <v>2021</v>
      </c>
      <c r="B4" s="24" t="s">
        <v>2022</v>
      </c>
      <c r="C4" s="25">
        <v>43385</v>
      </c>
      <c r="D4" s="24" t="s">
        <v>2015</v>
      </c>
      <c r="E4" s="24" t="s">
        <v>2016</v>
      </c>
      <c r="F4" s="24" t="s">
        <v>2017</v>
      </c>
      <c r="G4" s="24">
        <v>785</v>
      </c>
      <c r="H4" s="24">
        <v>306150</v>
      </c>
      <c r="I4" s="24">
        <v>102</v>
      </c>
      <c r="J4" s="24">
        <v>43860</v>
      </c>
      <c r="K4" s="24">
        <v>508</v>
      </c>
      <c r="L4" s="24">
        <v>228600</v>
      </c>
      <c r="M4" s="24">
        <v>154</v>
      </c>
      <c r="N4" s="24">
        <v>58520</v>
      </c>
      <c r="O4" s="24">
        <v>478</v>
      </c>
      <c r="P4" s="24">
        <v>149136</v>
      </c>
      <c r="Q4" s="24">
        <v>146</v>
      </c>
      <c r="R4" s="24">
        <v>44968</v>
      </c>
      <c r="S4" s="24">
        <v>365</v>
      </c>
      <c r="T4" s="24">
        <v>123370</v>
      </c>
      <c r="U4" s="24">
        <v>234</v>
      </c>
      <c r="V4" s="24">
        <v>73008</v>
      </c>
      <c r="W4" s="24">
        <v>641</v>
      </c>
      <c r="X4" s="24">
        <v>200633</v>
      </c>
      <c r="Y4">
        <f t="shared" si="0"/>
        <v>3413</v>
      </c>
    </row>
    <row r="5" spans="1:25" x14ac:dyDescent="0.4">
      <c r="A5" s="24" t="s">
        <v>2023</v>
      </c>
      <c r="B5" s="24" t="s">
        <v>2024</v>
      </c>
      <c r="C5" s="25">
        <v>42908</v>
      </c>
      <c r="D5" s="24" t="s">
        <v>2015</v>
      </c>
      <c r="E5" s="24" t="s">
        <v>2020</v>
      </c>
      <c r="F5" s="24" t="s">
        <v>2017</v>
      </c>
      <c r="G5" s="24">
        <v>537</v>
      </c>
      <c r="H5" s="24">
        <v>177747</v>
      </c>
      <c r="I5" s="24">
        <v>441</v>
      </c>
      <c r="J5" s="24">
        <v>158319</v>
      </c>
      <c r="K5" s="24">
        <v>238</v>
      </c>
      <c r="L5" s="24">
        <v>99246</v>
      </c>
      <c r="M5" s="24">
        <v>238</v>
      </c>
      <c r="N5" s="24">
        <v>85204</v>
      </c>
      <c r="O5" s="24">
        <v>595</v>
      </c>
      <c r="P5" s="24">
        <v>257040</v>
      </c>
      <c r="Q5" s="24">
        <v>320</v>
      </c>
      <c r="R5" s="24">
        <v>100480</v>
      </c>
      <c r="S5" s="24">
        <v>130</v>
      </c>
      <c r="T5" s="24">
        <v>46670</v>
      </c>
      <c r="U5" s="24">
        <v>264</v>
      </c>
      <c r="V5" s="24">
        <v>101112</v>
      </c>
      <c r="W5" s="24">
        <v>706</v>
      </c>
      <c r="X5" s="24">
        <v>240746</v>
      </c>
      <c r="Y5">
        <f>SUMIF($G$1:$X$1,"Количество*",G5:X5)</f>
        <v>3469</v>
      </c>
    </row>
    <row r="6" spans="1:25" x14ac:dyDescent="0.4">
      <c r="A6" s="24" t="s">
        <v>2025</v>
      </c>
      <c r="B6" s="24" t="s">
        <v>2026</v>
      </c>
      <c r="C6" s="25">
        <v>42104</v>
      </c>
      <c r="D6" s="24" t="s">
        <v>2027</v>
      </c>
      <c r="E6" s="24" t="s">
        <v>2028</v>
      </c>
      <c r="F6" s="24" t="s">
        <v>2017</v>
      </c>
      <c r="G6" s="24">
        <v>482</v>
      </c>
      <c r="H6" s="24">
        <v>215936</v>
      </c>
      <c r="I6" s="24">
        <v>341</v>
      </c>
      <c r="J6" s="24">
        <v>121396</v>
      </c>
      <c r="K6" s="24">
        <v>623</v>
      </c>
      <c r="L6" s="24">
        <v>218050</v>
      </c>
      <c r="M6" s="24">
        <v>600</v>
      </c>
      <c r="N6" s="24">
        <v>205200</v>
      </c>
      <c r="O6" s="24">
        <v>441</v>
      </c>
      <c r="P6" s="24">
        <v>145530</v>
      </c>
      <c r="Q6" s="24">
        <v>519</v>
      </c>
      <c r="R6" s="24">
        <v>167637</v>
      </c>
      <c r="S6" s="24">
        <v>667</v>
      </c>
      <c r="T6" s="24">
        <v>252126</v>
      </c>
      <c r="U6" s="24">
        <v>575</v>
      </c>
      <c r="V6" s="24">
        <v>192050</v>
      </c>
      <c r="W6" s="24">
        <v>572</v>
      </c>
      <c r="X6" s="24">
        <v>195052</v>
      </c>
      <c r="Y6">
        <f t="shared" si="0"/>
        <v>4820</v>
      </c>
    </row>
    <row r="7" spans="1:25" x14ac:dyDescent="0.4">
      <c r="A7" s="24" t="s">
        <v>2029</v>
      </c>
      <c r="B7" s="24" t="s">
        <v>2030</v>
      </c>
      <c r="C7" s="25">
        <v>44108</v>
      </c>
      <c r="D7" s="24" t="s">
        <v>2027</v>
      </c>
      <c r="E7" s="24" t="s">
        <v>2028</v>
      </c>
      <c r="F7" s="24" t="s">
        <v>2017</v>
      </c>
      <c r="G7" s="24">
        <v>625</v>
      </c>
      <c r="H7" s="24">
        <v>200000</v>
      </c>
      <c r="I7" s="24">
        <v>638</v>
      </c>
      <c r="J7" s="24">
        <v>225214</v>
      </c>
      <c r="K7" s="24">
        <v>247</v>
      </c>
      <c r="L7" s="24">
        <v>108186</v>
      </c>
      <c r="M7" s="24">
        <v>674</v>
      </c>
      <c r="N7" s="24">
        <v>291168</v>
      </c>
      <c r="O7" s="24">
        <v>542</v>
      </c>
      <c r="P7" s="24">
        <v>209212</v>
      </c>
      <c r="Q7" s="24">
        <v>788</v>
      </c>
      <c r="R7" s="24">
        <v>276588</v>
      </c>
      <c r="S7" s="24">
        <v>780</v>
      </c>
      <c r="T7" s="24">
        <v>293280</v>
      </c>
      <c r="U7" s="24">
        <v>496</v>
      </c>
      <c r="V7" s="24">
        <v>211296</v>
      </c>
      <c r="W7" s="24">
        <v>103</v>
      </c>
      <c r="X7" s="24">
        <v>40273</v>
      </c>
      <c r="Y7">
        <f t="shared" si="0"/>
        <v>4893</v>
      </c>
    </row>
    <row r="8" spans="1:25" x14ac:dyDescent="0.4">
      <c r="A8" s="24" t="s">
        <v>2031</v>
      </c>
      <c r="B8" s="24" t="s">
        <v>2032</v>
      </c>
      <c r="C8" s="25">
        <v>42806</v>
      </c>
      <c r="D8" s="24" t="s">
        <v>2027</v>
      </c>
      <c r="E8" s="24" t="s">
        <v>2028</v>
      </c>
      <c r="F8" s="24" t="s">
        <v>2017</v>
      </c>
      <c r="G8" s="24">
        <v>291</v>
      </c>
      <c r="H8" s="24">
        <v>107379</v>
      </c>
      <c r="I8" s="24">
        <v>530</v>
      </c>
      <c r="J8" s="24">
        <v>209880</v>
      </c>
      <c r="K8" s="24">
        <v>752</v>
      </c>
      <c r="L8" s="24">
        <v>273728</v>
      </c>
      <c r="M8" s="24">
        <v>629</v>
      </c>
      <c r="N8" s="24">
        <v>227698</v>
      </c>
      <c r="O8" s="24">
        <v>218</v>
      </c>
      <c r="P8" s="24">
        <v>73466</v>
      </c>
      <c r="Q8" s="24">
        <v>633</v>
      </c>
      <c r="R8" s="24">
        <v>239274</v>
      </c>
      <c r="S8" s="24">
        <v>257</v>
      </c>
      <c r="T8" s="24">
        <v>77614</v>
      </c>
      <c r="U8" s="24">
        <v>642</v>
      </c>
      <c r="V8" s="24">
        <v>263220</v>
      </c>
      <c r="W8" s="24">
        <v>392</v>
      </c>
      <c r="X8" s="24">
        <v>175224</v>
      </c>
      <c r="Y8">
        <f t="shared" si="0"/>
        <v>4344</v>
      </c>
    </row>
    <row r="9" spans="1:25" x14ac:dyDescent="0.4">
      <c r="A9" s="24" t="s">
        <v>2033</v>
      </c>
      <c r="B9" s="24" t="s">
        <v>2034</v>
      </c>
      <c r="C9" s="25">
        <v>42736</v>
      </c>
      <c r="D9" s="24" t="s">
        <v>2015</v>
      </c>
      <c r="E9" s="24" t="s">
        <v>2016</v>
      </c>
      <c r="F9" s="24" t="s">
        <v>2017</v>
      </c>
      <c r="G9" s="24">
        <v>656</v>
      </c>
      <c r="H9" s="24">
        <v>292576</v>
      </c>
      <c r="I9" s="24">
        <v>190</v>
      </c>
      <c r="J9" s="24">
        <v>57190</v>
      </c>
      <c r="K9" s="24">
        <v>131</v>
      </c>
      <c r="L9" s="24">
        <v>45981</v>
      </c>
      <c r="M9" s="24">
        <v>252</v>
      </c>
      <c r="N9" s="24">
        <v>80892</v>
      </c>
      <c r="O9" s="24">
        <v>626</v>
      </c>
      <c r="P9" s="24">
        <v>259164</v>
      </c>
      <c r="Q9" s="24">
        <v>105</v>
      </c>
      <c r="R9" s="24">
        <v>39480</v>
      </c>
      <c r="S9" s="24">
        <v>600</v>
      </c>
      <c r="T9" s="24">
        <v>202200</v>
      </c>
      <c r="U9" s="24">
        <v>313</v>
      </c>
      <c r="V9" s="24">
        <v>140850</v>
      </c>
      <c r="W9" s="24">
        <v>142</v>
      </c>
      <c r="X9" s="24">
        <v>44730</v>
      </c>
      <c r="Y9">
        <f t="shared" si="0"/>
        <v>3015</v>
      </c>
    </row>
    <row r="10" spans="1:25" x14ac:dyDescent="0.4">
      <c r="A10" s="24" t="s">
        <v>2035</v>
      </c>
      <c r="B10" s="24" t="s">
        <v>2036</v>
      </c>
      <c r="C10" s="25">
        <v>43556</v>
      </c>
      <c r="D10" s="24" t="s">
        <v>2015</v>
      </c>
      <c r="E10" s="24" t="s">
        <v>2020</v>
      </c>
      <c r="F10" s="24" t="s">
        <v>2017</v>
      </c>
      <c r="G10" s="24">
        <v>126</v>
      </c>
      <c r="H10" s="24">
        <v>49266</v>
      </c>
      <c r="I10" s="24">
        <v>723</v>
      </c>
      <c r="J10" s="24">
        <v>324627</v>
      </c>
      <c r="K10" s="24">
        <v>602</v>
      </c>
      <c r="L10" s="24">
        <v>199864</v>
      </c>
      <c r="M10" s="24">
        <v>255</v>
      </c>
      <c r="N10" s="24">
        <v>109140</v>
      </c>
      <c r="O10" s="24">
        <v>537</v>
      </c>
      <c r="P10" s="24">
        <v>234669</v>
      </c>
      <c r="Q10" s="24">
        <v>606</v>
      </c>
      <c r="R10" s="24">
        <v>253914</v>
      </c>
      <c r="S10" s="24">
        <v>450</v>
      </c>
      <c r="T10" s="24">
        <v>177300</v>
      </c>
      <c r="U10" s="24">
        <v>174</v>
      </c>
      <c r="V10" s="24">
        <v>74820</v>
      </c>
      <c r="W10" s="24">
        <v>154</v>
      </c>
      <c r="X10" s="24">
        <v>68530</v>
      </c>
      <c r="Y10">
        <f t="shared" si="0"/>
        <v>3627</v>
      </c>
    </row>
    <row r="11" spans="1:25" x14ac:dyDescent="0.4">
      <c r="A11" s="24" t="s">
        <v>2037</v>
      </c>
      <c r="B11" s="24" t="s">
        <v>2038</v>
      </c>
      <c r="C11" s="25">
        <v>43747</v>
      </c>
      <c r="D11" s="24" t="s">
        <v>2027</v>
      </c>
      <c r="E11" s="24" t="s">
        <v>2016</v>
      </c>
      <c r="F11" s="24" t="s">
        <v>2017</v>
      </c>
      <c r="G11" s="24">
        <v>575</v>
      </c>
      <c r="H11" s="24">
        <v>213325</v>
      </c>
      <c r="I11" s="24">
        <v>264</v>
      </c>
      <c r="J11" s="24">
        <v>110616</v>
      </c>
      <c r="K11" s="24">
        <v>477</v>
      </c>
      <c r="L11" s="24">
        <v>191754</v>
      </c>
      <c r="M11" s="24">
        <v>323</v>
      </c>
      <c r="N11" s="24">
        <v>112727</v>
      </c>
      <c r="O11" s="24">
        <v>701</v>
      </c>
      <c r="P11" s="24">
        <v>231330</v>
      </c>
      <c r="Q11" s="24">
        <v>479</v>
      </c>
      <c r="R11" s="24">
        <v>145137</v>
      </c>
      <c r="S11" s="24">
        <v>738</v>
      </c>
      <c r="T11" s="24">
        <v>249444</v>
      </c>
      <c r="U11" s="24">
        <v>167</v>
      </c>
      <c r="V11" s="24">
        <v>60287</v>
      </c>
      <c r="W11" s="24">
        <v>469</v>
      </c>
      <c r="X11" s="24">
        <v>172592</v>
      </c>
      <c r="Y11">
        <f t="shared" si="0"/>
        <v>4193</v>
      </c>
    </row>
    <row r="12" spans="1:25" x14ac:dyDescent="0.4">
      <c r="A12" s="24" t="s">
        <v>2039</v>
      </c>
      <c r="B12" s="24" t="s">
        <v>2040</v>
      </c>
      <c r="C12" s="25">
        <v>44073</v>
      </c>
      <c r="D12" s="24" t="s">
        <v>2027</v>
      </c>
      <c r="E12" s="24" t="s">
        <v>2016</v>
      </c>
      <c r="F12" s="24" t="s">
        <v>2017</v>
      </c>
      <c r="G12" s="24">
        <v>147</v>
      </c>
      <c r="H12" s="24">
        <v>61299</v>
      </c>
      <c r="I12" s="24">
        <v>565</v>
      </c>
      <c r="J12" s="24">
        <v>253120</v>
      </c>
      <c r="K12" s="24">
        <v>314</v>
      </c>
      <c r="L12" s="24">
        <v>117750</v>
      </c>
      <c r="M12" s="24">
        <v>284</v>
      </c>
      <c r="N12" s="24">
        <v>117008</v>
      </c>
      <c r="O12" s="24">
        <v>179</v>
      </c>
      <c r="P12" s="24">
        <v>80192</v>
      </c>
      <c r="Q12" s="24">
        <v>321</v>
      </c>
      <c r="R12" s="24">
        <v>110103</v>
      </c>
      <c r="S12" s="24">
        <v>491</v>
      </c>
      <c r="T12" s="24">
        <v>163994</v>
      </c>
      <c r="U12" s="24">
        <v>129</v>
      </c>
      <c r="V12" s="24">
        <v>49020</v>
      </c>
      <c r="W12" s="24">
        <v>433</v>
      </c>
      <c r="X12" s="24">
        <v>179262</v>
      </c>
      <c r="Y12">
        <f t="shared" si="0"/>
        <v>2863</v>
      </c>
    </row>
    <row r="13" spans="1:25" x14ac:dyDescent="0.4">
      <c r="A13" s="24" t="s">
        <v>2041</v>
      </c>
      <c r="B13" s="24" t="s">
        <v>2042</v>
      </c>
      <c r="C13" s="25">
        <v>43435</v>
      </c>
      <c r="D13" s="24" t="s">
        <v>2027</v>
      </c>
      <c r="E13" s="24" t="s">
        <v>2016</v>
      </c>
      <c r="F13" s="24" t="s">
        <v>2017</v>
      </c>
      <c r="G13" s="24">
        <v>185</v>
      </c>
      <c r="H13" s="24">
        <v>76035</v>
      </c>
      <c r="I13" s="24">
        <v>416</v>
      </c>
      <c r="J13" s="24">
        <v>169728</v>
      </c>
      <c r="K13" s="24">
        <v>220</v>
      </c>
      <c r="L13" s="24">
        <v>72380</v>
      </c>
      <c r="M13" s="24">
        <v>494</v>
      </c>
      <c r="N13" s="24">
        <v>183274</v>
      </c>
      <c r="O13" s="24">
        <v>158</v>
      </c>
      <c r="P13" s="24">
        <v>47558</v>
      </c>
      <c r="Q13" s="24">
        <v>613</v>
      </c>
      <c r="R13" s="24">
        <v>265429</v>
      </c>
      <c r="S13" s="24">
        <v>101</v>
      </c>
      <c r="T13" s="24">
        <v>35350</v>
      </c>
      <c r="U13" s="24">
        <v>497</v>
      </c>
      <c r="V13" s="24">
        <v>193830</v>
      </c>
      <c r="W13" s="24">
        <v>614</v>
      </c>
      <c r="X13" s="24">
        <v>184200</v>
      </c>
      <c r="Y13">
        <f t="shared" si="0"/>
        <v>3298</v>
      </c>
    </row>
    <row r="14" spans="1:25" x14ac:dyDescent="0.4">
      <c r="A14" s="24" t="s">
        <v>2043</v>
      </c>
      <c r="B14" s="24" t="s">
        <v>2044</v>
      </c>
      <c r="C14" s="25">
        <v>42229</v>
      </c>
      <c r="D14" s="24" t="s">
        <v>2015</v>
      </c>
      <c r="E14" s="24" t="s">
        <v>2028</v>
      </c>
      <c r="F14" s="24" t="s">
        <v>2017</v>
      </c>
      <c r="G14" s="24">
        <v>439</v>
      </c>
      <c r="H14" s="24">
        <v>140041</v>
      </c>
      <c r="I14" s="24">
        <v>419</v>
      </c>
      <c r="J14" s="24">
        <v>170533</v>
      </c>
      <c r="K14" s="24">
        <v>433</v>
      </c>
      <c r="L14" s="24">
        <v>193551</v>
      </c>
      <c r="M14" s="24">
        <v>568</v>
      </c>
      <c r="N14" s="24">
        <v>186304</v>
      </c>
      <c r="O14" s="24">
        <v>273</v>
      </c>
      <c r="P14" s="24">
        <v>114933</v>
      </c>
      <c r="Q14" s="24">
        <v>149</v>
      </c>
      <c r="R14" s="24">
        <v>54236</v>
      </c>
      <c r="S14" s="24">
        <v>428</v>
      </c>
      <c r="T14" s="24">
        <v>173768</v>
      </c>
      <c r="U14" s="24">
        <v>270</v>
      </c>
      <c r="V14" s="24">
        <v>91800</v>
      </c>
      <c r="W14" s="24">
        <v>409</v>
      </c>
      <c r="X14" s="24">
        <v>174234</v>
      </c>
      <c r="Y14">
        <f t="shared" si="0"/>
        <v>3388</v>
      </c>
    </row>
    <row r="15" spans="1:25" x14ac:dyDescent="0.4">
      <c r="A15" s="24" t="s">
        <v>2045</v>
      </c>
      <c r="B15" s="24" t="s">
        <v>2046</v>
      </c>
      <c r="C15" s="25">
        <v>43695</v>
      </c>
      <c r="D15" s="24" t="s">
        <v>2027</v>
      </c>
      <c r="E15" s="24" t="s">
        <v>2016</v>
      </c>
      <c r="F15" s="24" t="s">
        <v>2017</v>
      </c>
      <c r="G15" s="24">
        <v>159</v>
      </c>
      <c r="H15" s="24">
        <v>61692</v>
      </c>
      <c r="I15" s="24">
        <v>776</v>
      </c>
      <c r="J15" s="24">
        <v>348424</v>
      </c>
      <c r="K15" s="24">
        <v>384</v>
      </c>
      <c r="L15" s="24">
        <v>160128</v>
      </c>
      <c r="M15" s="24">
        <v>244</v>
      </c>
      <c r="N15" s="24">
        <v>97600</v>
      </c>
      <c r="O15" s="24">
        <v>346</v>
      </c>
      <c r="P15" s="24">
        <v>144282</v>
      </c>
      <c r="Q15" s="24">
        <v>151</v>
      </c>
      <c r="R15" s="24">
        <v>48773</v>
      </c>
      <c r="S15" s="24">
        <v>370</v>
      </c>
      <c r="T15" s="24">
        <v>154660</v>
      </c>
      <c r="U15" s="24">
        <v>508</v>
      </c>
      <c r="V15" s="24">
        <v>158496</v>
      </c>
      <c r="W15" s="24">
        <v>748</v>
      </c>
      <c r="X15" s="24">
        <v>232628</v>
      </c>
      <c r="Y15">
        <f t="shared" si="0"/>
        <v>3686</v>
      </c>
    </row>
    <row r="16" spans="1:25" x14ac:dyDescent="0.4">
      <c r="A16" s="24" t="s">
        <v>2047</v>
      </c>
      <c r="B16" s="24" t="s">
        <v>2048</v>
      </c>
      <c r="C16" s="25">
        <v>42241</v>
      </c>
      <c r="D16" s="24" t="s">
        <v>2015</v>
      </c>
      <c r="E16" s="24" t="s">
        <v>2016</v>
      </c>
      <c r="F16" s="24" t="s">
        <v>2017</v>
      </c>
      <c r="G16" s="24">
        <v>320</v>
      </c>
      <c r="H16" s="24">
        <v>113280</v>
      </c>
      <c r="I16" s="24">
        <v>133</v>
      </c>
      <c r="J16" s="24">
        <v>54397</v>
      </c>
      <c r="K16" s="24">
        <v>678</v>
      </c>
      <c r="L16" s="24">
        <v>250860</v>
      </c>
      <c r="M16" s="24">
        <v>592</v>
      </c>
      <c r="N16" s="24">
        <v>222000</v>
      </c>
      <c r="O16" s="24">
        <v>662</v>
      </c>
      <c r="P16" s="24">
        <v>297238</v>
      </c>
      <c r="Q16" s="24">
        <v>335</v>
      </c>
      <c r="R16" s="24">
        <v>113900</v>
      </c>
      <c r="S16" s="24">
        <v>483</v>
      </c>
      <c r="T16" s="24">
        <v>189819</v>
      </c>
      <c r="U16" s="24">
        <v>583</v>
      </c>
      <c r="V16" s="24">
        <v>191224</v>
      </c>
      <c r="W16" s="24">
        <v>152</v>
      </c>
      <c r="X16" s="24">
        <v>56088</v>
      </c>
      <c r="Y16">
        <f t="shared" si="0"/>
        <v>3938</v>
      </c>
    </row>
    <row r="17" spans="1:25" x14ac:dyDescent="0.4">
      <c r="A17" s="24" t="s">
        <v>2049</v>
      </c>
      <c r="B17" s="24" t="s">
        <v>2050</v>
      </c>
      <c r="C17" s="25">
        <v>42700</v>
      </c>
      <c r="D17" s="24" t="s">
        <v>2015</v>
      </c>
      <c r="E17" s="24" t="s">
        <v>2016</v>
      </c>
      <c r="F17" s="24" t="s">
        <v>2017</v>
      </c>
      <c r="G17" s="24">
        <v>463</v>
      </c>
      <c r="H17" s="24">
        <v>192608</v>
      </c>
      <c r="I17" s="24">
        <v>577</v>
      </c>
      <c r="J17" s="24">
        <v>175408</v>
      </c>
      <c r="K17" s="24">
        <v>426</v>
      </c>
      <c r="L17" s="24">
        <v>190848</v>
      </c>
      <c r="M17" s="24">
        <v>496</v>
      </c>
      <c r="N17" s="24">
        <v>154256</v>
      </c>
      <c r="O17" s="24">
        <v>184</v>
      </c>
      <c r="P17" s="24">
        <v>55936</v>
      </c>
      <c r="Q17" s="24">
        <v>388</v>
      </c>
      <c r="R17" s="24">
        <v>122608</v>
      </c>
      <c r="S17" s="24">
        <v>454</v>
      </c>
      <c r="T17" s="24">
        <v>141194</v>
      </c>
      <c r="U17" s="24">
        <v>324</v>
      </c>
      <c r="V17" s="24">
        <v>145152</v>
      </c>
      <c r="W17" s="24">
        <v>275</v>
      </c>
      <c r="X17" s="24">
        <v>119900</v>
      </c>
      <c r="Y17">
        <f t="shared" si="0"/>
        <v>3587</v>
      </c>
    </row>
    <row r="18" spans="1:25" x14ac:dyDescent="0.4">
      <c r="A18" s="24" t="s">
        <v>2051</v>
      </c>
      <c r="B18" s="24" t="s">
        <v>2052</v>
      </c>
      <c r="C18" s="25">
        <v>43442</v>
      </c>
      <c r="D18" s="24" t="s">
        <v>2015</v>
      </c>
      <c r="E18" s="24" t="s">
        <v>2020</v>
      </c>
      <c r="F18" s="24" t="s">
        <v>2017</v>
      </c>
      <c r="G18" s="24">
        <v>159</v>
      </c>
      <c r="H18" s="24">
        <v>67734</v>
      </c>
      <c r="I18" s="24">
        <v>483</v>
      </c>
      <c r="J18" s="24">
        <v>214935</v>
      </c>
      <c r="K18" s="24">
        <v>695</v>
      </c>
      <c r="L18" s="24">
        <v>300240</v>
      </c>
      <c r="M18" s="24">
        <v>511</v>
      </c>
      <c r="N18" s="24">
        <v>212065</v>
      </c>
      <c r="O18" s="24">
        <v>236</v>
      </c>
      <c r="P18" s="24">
        <v>80476</v>
      </c>
      <c r="Q18" s="24">
        <v>411</v>
      </c>
      <c r="R18" s="24">
        <v>142206</v>
      </c>
      <c r="S18" s="24">
        <v>530</v>
      </c>
      <c r="T18" s="24">
        <v>180730</v>
      </c>
      <c r="U18" s="24">
        <v>264</v>
      </c>
      <c r="V18" s="24">
        <v>84216</v>
      </c>
      <c r="W18" s="24">
        <v>597</v>
      </c>
      <c r="X18" s="24">
        <v>227457</v>
      </c>
      <c r="Y18">
        <f t="shared" si="0"/>
        <v>3886</v>
      </c>
    </row>
    <row r="19" spans="1:25" x14ac:dyDescent="0.4">
      <c r="A19" s="24" t="s">
        <v>2053</v>
      </c>
      <c r="B19" s="24" t="s">
        <v>2054</v>
      </c>
      <c r="C19" s="25">
        <v>44110</v>
      </c>
      <c r="D19" s="24" t="s">
        <v>2027</v>
      </c>
      <c r="E19" s="24" t="s">
        <v>2020</v>
      </c>
      <c r="F19" s="24" t="s">
        <v>2017</v>
      </c>
      <c r="G19" s="24">
        <v>480</v>
      </c>
      <c r="H19" s="24">
        <v>186240</v>
      </c>
      <c r="I19" s="24">
        <v>366</v>
      </c>
      <c r="J19" s="24">
        <v>148230</v>
      </c>
      <c r="K19" s="24">
        <v>135</v>
      </c>
      <c r="L19" s="24">
        <v>46035</v>
      </c>
      <c r="M19" s="24">
        <v>125</v>
      </c>
      <c r="N19" s="24">
        <v>50625</v>
      </c>
      <c r="O19" s="24">
        <v>786</v>
      </c>
      <c r="P19" s="24">
        <v>242874</v>
      </c>
      <c r="Q19" s="24">
        <v>317</v>
      </c>
      <c r="R19" s="24">
        <v>105244</v>
      </c>
      <c r="S19" s="24">
        <v>227</v>
      </c>
      <c r="T19" s="24">
        <v>83082</v>
      </c>
      <c r="U19" s="24">
        <v>582</v>
      </c>
      <c r="V19" s="24">
        <v>175764</v>
      </c>
      <c r="W19" s="24">
        <v>354</v>
      </c>
      <c r="X19" s="24">
        <v>158946</v>
      </c>
      <c r="Y19">
        <f t="shared" si="0"/>
        <v>3372</v>
      </c>
    </row>
    <row r="20" spans="1:25" x14ac:dyDescent="0.4">
      <c r="A20" s="24" t="s">
        <v>2055</v>
      </c>
      <c r="B20" s="24" t="s">
        <v>2056</v>
      </c>
      <c r="C20" s="25">
        <v>43417</v>
      </c>
      <c r="D20" s="24" t="s">
        <v>2015</v>
      </c>
      <c r="E20" s="24" t="s">
        <v>2020</v>
      </c>
      <c r="F20" s="24" t="s">
        <v>2017</v>
      </c>
      <c r="G20" s="24">
        <v>628</v>
      </c>
      <c r="H20" s="24">
        <v>197820</v>
      </c>
      <c r="I20" s="24">
        <v>457</v>
      </c>
      <c r="J20" s="24">
        <v>157665</v>
      </c>
      <c r="K20" s="24">
        <v>264</v>
      </c>
      <c r="L20" s="24">
        <v>102432</v>
      </c>
      <c r="M20" s="24">
        <v>768</v>
      </c>
      <c r="N20" s="24">
        <v>331776</v>
      </c>
      <c r="O20" s="24">
        <v>173</v>
      </c>
      <c r="P20" s="24">
        <v>75947</v>
      </c>
      <c r="Q20" s="24">
        <v>228</v>
      </c>
      <c r="R20" s="24">
        <v>86184</v>
      </c>
      <c r="S20" s="24">
        <v>557</v>
      </c>
      <c r="T20" s="24">
        <v>234497</v>
      </c>
      <c r="U20" s="24">
        <v>270</v>
      </c>
      <c r="V20" s="24">
        <v>95040</v>
      </c>
      <c r="W20" s="24">
        <v>352</v>
      </c>
      <c r="X20" s="24">
        <v>126368</v>
      </c>
      <c r="Y20">
        <f t="shared" si="0"/>
        <v>3697</v>
      </c>
    </row>
    <row r="21" spans="1:25" x14ac:dyDescent="0.4">
      <c r="A21" s="24" t="s">
        <v>2057</v>
      </c>
      <c r="B21" s="24" t="s">
        <v>2058</v>
      </c>
      <c r="C21" s="25">
        <v>42169</v>
      </c>
      <c r="D21" s="24" t="s">
        <v>2027</v>
      </c>
      <c r="E21" s="24" t="s">
        <v>2020</v>
      </c>
      <c r="F21" s="24" t="s">
        <v>2017</v>
      </c>
      <c r="G21" s="24">
        <v>377</v>
      </c>
      <c r="H21" s="24">
        <v>134966</v>
      </c>
      <c r="I21" s="24">
        <v>748</v>
      </c>
      <c r="J21" s="24">
        <v>288728</v>
      </c>
      <c r="K21" s="24">
        <v>517</v>
      </c>
      <c r="L21" s="24">
        <v>176814</v>
      </c>
      <c r="M21" s="24">
        <v>341</v>
      </c>
      <c r="N21" s="24">
        <v>106051</v>
      </c>
      <c r="O21" s="24">
        <v>135</v>
      </c>
      <c r="P21" s="24">
        <v>46845</v>
      </c>
      <c r="Q21" s="24">
        <v>334</v>
      </c>
      <c r="R21" s="24">
        <v>108216</v>
      </c>
      <c r="S21" s="24">
        <v>553</v>
      </c>
      <c r="T21" s="24">
        <v>168665</v>
      </c>
      <c r="U21" s="24">
        <v>766</v>
      </c>
      <c r="V21" s="24">
        <v>249716</v>
      </c>
      <c r="W21" s="24">
        <v>484</v>
      </c>
      <c r="X21" s="24">
        <v>184888</v>
      </c>
      <c r="Y21">
        <f t="shared" si="0"/>
        <v>4255</v>
      </c>
    </row>
    <row r="22" spans="1:25" x14ac:dyDescent="0.4">
      <c r="A22" s="24" t="s">
        <v>2059</v>
      </c>
      <c r="B22" s="24" t="s">
        <v>2060</v>
      </c>
      <c r="C22" s="25">
        <v>43086</v>
      </c>
      <c r="D22" s="24" t="s">
        <v>2027</v>
      </c>
      <c r="E22" s="24" t="s">
        <v>2028</v>
      </c>
      <c r="F22" s="24" t="s">
        <v>2017</v>
      </c>
      <c r="G22" s="24">
        <v>305</v>
      </c>
      <c r="H22" s="24">
        <v>130540</v>
      </c>
      <c r="I22" s="24">
        <v>186</v>
      </c>
      <c r="J22" s="24">
        <v>67518</v>
      </c>
      <c r="K22" s="24">
        <v>587</v>
      </c>
      <c r="L22" s="24">
        <v>220712</v>
      </c>
      <c r="M22" s="24">
        <v>402</v>
      </c>
      <c r="N22" s="24">
        <v>151956</v>
      </c>
      <c r="O22" s="24">
        <v>371</v>
      </c>
      <c r="P22" s="24">
        <v>150997</v>
      </c>
      <c r="Q22" s="24">
        <v>356</v>
      </c>
      <c r="R22" s="24">
        <v>119616</v>
      </c>
      <c r="S22" s="24">
        <v>748</v>
      </c>
      <c r="T22" s="24">
        <v>296208</v>
      </c>
      <c r="U22" s="24">
        <v>390</v>
      </c>
      <c r="V22" s="24">
        <v>154830</v>
      </c>
      <c r="W22" s="24">
        <v>509</v>
      </c>
      <c r="X22" s="24">
        <v>220397</v>
      </c>
      <c r="Y22">
        <f t="shared" si="0"/>
        <v>3854</v>
      </c>
    </row>
    <row r="23" spans="1:25" x14ac:dyDescent="0.4">
      <c r="A23" s="24" t="s">
        <v>2061</v>
      </c>
      <c r="B23" s="24" t="s">
        <v>2062</v>
      </c>
      <c r="C23" s="25">
        <v>42569</v>
      </c>
      <c r="D23" s="24" t="s">
        <v>2027</v>
      </c>
      <c r="E23" s="24" t="s">
        <v>2016</v>
      </c>
      <c r="F23" s="24" t="s">
        <v>2017</v>
      </c>
      <c r="G23" s="24">
        <v>790</v>
      </c>
      <c r="H23" s="24">
        <v>349180</v>
      </c>
      <c r="I23" s="24">
        <v>553</v>
      </c>
      <c r="J23" s="24">
        <v>235025</v>
      </c>
      <c r="K23" s="24">
        <v>571</v>
      </c>
      <c r="L23" s="24">
        <v>250098</v>
      </c>
      <c r="M23" s="24">
        <v>238</v>
      </c>
      <c r="N23" s="24">
        <v>98056</v>
      </c>
      <c r="O23" s="24">
        <v>317</v>
      </c>
      <c r="P23" s="24">
        <v>139480</v>
      </c>
      <c r="Q23" s="24">
        <v>677</v>
      </c>
      <c r="R23" s="24">
        <v>303296</v>
      </c>
      <c r="S23" s="24">
        <v>115</v>
      </c>
      <c r="T23" s="24">
        <v>49450</v>
      </c>
      <c r="U23" s="24">
        <v>623</v>
      </c>
      <c r="V23" s="24">
        <v>269759</v>
      </c>
      <c r="W23" s="24">
        <v>474</v>
      </c>
      <c r="X23" s="24">
        <v>155946</v>
      </c>
      <c r="Y23">
        <f t="shared" si="0"/>
        <v>4358</v>
      </c>
    </row>
    <row r="24" spans="1:25" x14ac:dyDescent="0.4">
      <c r="A24" s="24" t="s">
        <v>2063</v>
      </c>
      <c r="B24" s="24" t="s">
        <v>2064</v>
      </c>
      <c r="C24" s="25">
        <v>43238</v>
      </c>
      <c r="D24" s="24" t="s">
        <v>2027</v>
      </c>
      <c r="E24" s="24" t="s">
        <v>2020</v>
      </c>
      <c r="F24" s="24" t="s">
        <v>2017</v>
      </c>
      <c r="G24" s="24">
        <v>461</v>
      </c>
      <c r="H24" s="24">
        <v>180251</v>
      </c>
      <c r="I24" s="24">
        <v>604</v>
      </c>
      <c r="J24" s="24">
        <v>215628</v>
      </c>
      <c r="K24" s="24">
        <v>464</v>
      </c>
      <c r="L24" s="24">
        <v>206016</v>
      </c>
      <c r="M24" s="24">
        <v>498</v>
      </c>
      <c r="N24" s="24">
        <v>196710</v>
      </c>
      <c r="O24" s="24">
        <v>650</v>
      </c>
      <c r="P24" s="24">
        <v>265200</v>
      </c>
      <c r="Q24" s="24">
        <v>296</v>
      </c>
      <c r="R24" s="24">
        <v>95904</v>
      </c>
      <c r="S24" s="24">
        <v>394</v>
      </c>
      <c r="T24" s="24">
        <v>128838</v>
      </c>
      <c r="U24" s="24">
        <v>594</v>
      </c>
      <c r="V24" s="24">
        <v>220968</v>
      </c>
      <c r="W24" s="24">
        <v>582</v>
      </c>
      <c r="X24" s="24">
        <v>246768</v>
      </c>
      <c r="Y24">
        <f t="shared" si="0"/>
        <v>4543</v>
      </c>
    </row>
    <row r="25" spans="1:25" x14ac:dyDescent="0.4">
      <c r="A25" s="24" t="s">
        <v>2065</v>
      </c>
      <c r="B25" s="24" t="s">
        <v>2066</v>
      </c>
      <c r="C25" s="25">
        <v>42218</v>
      </c>
      <c r="D25" s="24" t="s">
        <v>2015</v>
      </c>
      <c r="E25" s="24" t="s">
        <v>2020</v>
      </c>
      <c r="F25" s="24" t="s">
        <v>2017</v>
      </c>
      <c r="G25" s="24">
        <v>791</v>
      </c>
      <c r="H25" s="24">
        <v>262612</v>
      </c>
      <c r="I25" s="24">
        <v>617</v>
      </c>
      <c r="J25" s="24">
        <v>186951</v>
      </c>
      <c r="K25" s="24">
        <v>711</v>
      </c>
      <c r="L25" s="24">
        <v>255960</v>
      </c>
      <c r="M25" s="24">
        <v>202</v>
      </c>
      <c r="N25" s="24">
        <v>77770</v>
      </c>
      <c r="O25" s="24">
        <v>202</v>
      </c>
      <c r="P25" s="24">
        <v>61004</v>
      </c>
      <c r="Q25" s="24">
        <v>538</v>
      </c>
      <c r="R25" s="24">
        <v>167856</v>
      </c>
      <c r="S25" s="24">
        <v>582</v>
      </c>
      <c r="T25" s="24">
        <v>222906</v>
      </c>
      <c r="U25" s="24">
        <v>669</v>
      </c>
      <c r="V25" s="24">
        <v>236157</v>
      </c>
      <c r="W25" s="24">
        <v>412</v>
      </c>
      <c r="X25" s="24">
        <v>147084</v>
      </c>
      <c r="Y25">
        <f t="shared" si="0"/>
        <v>4724</v>
      </c>
    </row>
    <row r="26" spans="1:25" x14ac:dyDescent="0.4">
      <c r="A26" s="24" t="s">
        <v>2067</v>
      </c>
      <c r="B26" s="24" t="s">
        <v>2068</v>
      </c>
      <c r="C26" s="25">
        <v>43565</v>
      </c>
      <c r="D26" s="24" t="s">
        <v>2015</v>
      </c>
      <c r="E26" s="24" t="s">
        <v>2020</v>
      </c>
      <c r="F26" s="24" t="s">
        <v>2017</v>
      </c>
      <c r="G26" s="24">
        <v>760</v>
      </c>
      <c r="H26" s="24">
        <v>292600</v>
      </c>
      <c r="I26" s="24">
        <v>764</v>
      </c>
      <c r="J26" s="24">
        <v>269692</v>
      </c>
      <c r="K26" s="24">
        <v>260</v>
      </c>
      <c r="L26" s="24">
        <v>79300</v>
      </c>
      <c r="M26" s="24">
        <v>419</v>
      </c>
      <c r="N26" s="24">
        <v>131147</v>
      </c>
      <c r="O26" s="24">
        <v>540</v>
      </c>
      <c r="P26" s="24">
        <v>193860</v>
      </c>
      <c r="Q26" s="24">
        <v>684</v>
      </c>
      <c r="R26" s="24">
        <v>269496</v>
      </c>
      <c r="S26" s="24">
        <v>290</v>
      </c>
      <c r="T26" s="24">
        <v>117450</v>
      </c>
      <c r="U26" s="24">
        <v>494</v>
      </c>
      <c r="V26" s="24">
        <v>183768</v>
      </c>
      <c r="W26" s="24">
        <v>719</v>
      </c>
      <c r="X26" s="24">
        <v>301261</v>
      </c>
      <c r="Y26">
        <f t="shared" si="0"/>
        <v>4930</v>
      </c>
    </row>
    <row r="27" spans="1:25" x14ac:dyDescent="0.4">
      <c r="A27" s="24" t="s">
        <v>2069</v>
      </c>
      <c r="B27" s="24" t="s">
        <v>2070</v>
      </c>
      <c r="C27" s="25">
        <v>42643</v>
      </c>
      <c r="D27" s="24" t="s">
        <v>2027</v>
      </c>
      <c r="E27" s="24" t="s">
        <v>2020</v>
      </c>
      <c r="F27" s="24" t="s">
        <v>2017</v>
      </c>
      <c r="G27" s="24">
        <v>264</v>
      </c>
      <c r="H27" s="24">
        <v>94512</v>
      </c>
      <c r="I27" s="24">
        <v>371</v>
      </c>
      <c r="J27" s="24">
        <v>143577</v>
      </c>
      <c r="K27" s="24">
        <v>548</v>
      </c>
      <c r="L27" s="24">
        <v>183580</v>
      </c>
      <c r="M27" s="24">
        <v>673</v>
      </c>
      <c r="N27" s="24">
        <v>251029</v>
      </c>
      <c r="O27" s="24">
        <v>182</v>
      </c>
      <c r="P27" s="24">
        <v>70434</v>
      </c>
      <c r="Q27" s="24">
        <v>543</v>
      </c>
      <c r="R27" s="24">
        <v>200910</v>
      </c>
      <c r="S27" s="24">
        <v>272</v>
      </c>
      <c r="T27" s="24">
        <v>117776</v>
      </c>
      <c r="U27" s="24">
        <v>441</v>
      </c>
      <c r="V27" s="24">
        <v>143766</v>
      </c>
      <c r="W27" s="24">
        <v>271</v>
      </c>
      <c r="X27" s="24">
        <v>115175</v>
      </c>
      <c r="Y27">
        <f t="shared" si="0"/>
        <v>3565</v>
      </c>
    </row>
    <row r="28" spans="1:25" x14ac:dyDescent="0.4">
      <c r="A28" s="24" t="s">
        <v>2071</v>
      </c>
      <c r="B28" s="24" t="s">
        <v>2072</v>
      </c>
      <c r="C28" s="25">
        <v>43025</v>
      </c>
      <c r="D28" s="24" t="s">
        <v>2015</v>
      </c>
      <c r="E28" s="24" t="s">
        <v>2016</v>
      </c>
      <c r="F28" s="24" t="s">
        <v>2017</v>
      </c>
      <c r="G28" s="24">
        <v>113</v>
      </c>
      <c r="H28" s="24">
        <v>49833</v>
      </c>
      <c r="I28" s="24">
        <v>129</v>
      </c>
      <c r="J28" s="24">
        <v>54567</v>
      </c>
      <c r="K28" s="24">
        <v>381</v>
      </c>
      <c r="L28" s="24">
        <v>138303</v>
      </c>
      <c r="M28" s="24">
        <v>607</v>
      </c>
      <c r="N28" s="24">
        <v>236730</v>
      </c>
      <c r="O28" s="24">
        <v>593</v>
      </c>
      <c r="P28" s="24">
        <v>233049</v>
      </c>
      <c r="Q28" s="24">
        <v>730</v>
      </c>
      <c r="R28" s="24">
        <v>243820</v>
      </c>
      <c r="S28" s="24">
        <v>698</v>
      </c>
      <c r="T28" s="24">
        <v>314100</v>
      </c>
      <c r="U28" s="24">
        <v>651</v>
      </c>
      <c r="V28" s="24">
        <v>278628</v>
      </c>
      <c r="W28" s="24">
        <v>224</v>
      </c>
      <c r="X28" s="24">
        <v>77728</v>
      </c>
      <c r="Y28">
        <f t="shared" si="0"/>
        <v>4126</v>
      </c>
    </row>
    <row r="29" spans="1:25" x14ac:dyDescent="0.4">
      <c r="A29" s="24" t="s">
        <v>2073</v>
      </c>
      <c r="B29" s="24" t="s">
        <v>2074</v>
      </c>
      <c r="C29" s="25">
        <v>42917</v>
      </c>
      <c r="D29" s="24" t="s">
        <v>2027</v>
      </c>
      <c r="E29" s="24" t="s">
        <v>2016</v>
      </c>
      <c r="F29" s="24" t="s">
        <v>2017</v>
      </c>
      <c r="G29" s="24">
        <v>714</v>
      </c>
      <c r="H29" s="24">
        <v>290598</v>
      </c>
      <c r="I29" s="24">
        <v>203</v>
      </c>
      <c r="J29" s="24">
        <v>64960</v>
      </c>
      <c r="K29" s="24">
        <v>399</v>
      </c>
      <c r="L29" s="24">
        <v>167979</v>
      </c>
      <c r="M29" s="24">
        <v>672</v>
      </c>
      <c r="N29" s="24">
        <v>240576</v>
      </c>
      <c r="O29" s="24">
        <v>309</v>
      </c>
      <c r="P29" s="24">
        <v>105369</v>
      </c>
      <c r="Q29" s="24">
        <v>572</v>
      </c>
      <c r="R29" s="24">
        <v>242528</v>
      </c>
      <c r="S29" s="24">
        <v>421</v>
      </c>
      <c r="T29" s="24">
        <v>127563</v>
      </c>
      <c r="U29" s="24">
        <v>760</v>
      </c>
      <c r="V29" s="24">
        <v>266760</v>
      </c>
      <c r="W29" s="24">
        <v>763</v>
      </c>
      <c r="X29" s="24">
        <v>264761</v>
      </c>
      <c r="Y29">
        <f t="shared" si="0"/>
        <v>4813</v>
      </c>
    </row>
    <row r="30" spans="1:25" x14ac:dyDescent="0.4">
      <c r="A30" s="24" t="s">
        <v>2075</v>
      </c>
      <c r="B30" s="24" t="s">
        <v>2076</v>
      </c>
      <c r="C30" s="25">
        <v>42638</v>
      </c>
      <c r="D30" s="24" t="s">
        <v>2015</v>
      </c>
      <c r="E30" s="24" t="s">
        <v>2016</v>
      </c>
      <c r="F30" s="24" t="s">
        <v>2017</v>
      </c>
      <c r="G30" s="24">
        <v>452</v>
      </c>
      <c r="H30" s="24">
        <v>159556</v>
      </c>
      <c r="I30" s="24">
        <v>615</v>
      </c>
      <c r="J30" s="24">
        <v>202950</v>
      </c>
      <c r="K30" s="24">
        <v>349</v>
      </c>
      <c r="L30" s="24">
        <v>116566</v>
      </c>
      <c r="M30" s="24">
        <v>771</v>
      </c>
      <c r="N30" s="24">
        <v>257514</v>
      </c>
      <c r="O30" s="24">
        <v>212</v>
      </c>
      <c r="P30" s="24">
        <v>82892</v>
      </c>
      <c r="Q30" s="24">
        <v>668</v>
      </c>
      <c r="R30" s="24">
        <v>235804</v>
      </c>
      <c r="S30" s="24">
        <v>453</v>
      </c>
      <c r="T30" s="24">
        <v>157191</v>
      </c>
      <c r="U30" s="24">
        <v>381</v>
      </c>
      <c r="V30" s="24">
        <v>130302</v>
      </c>
      <c r="W30" s="24">
        <v>360</v>
      </c>
      <c r="X30" s="24">
        <v>158400</v>
      </c>
      <c r="Y30">
        <f t="shared" si="0"/>
        <v>4261</v>
      </c>
    </row>
    <row r="31" spans="1:25" x14ac:dyDescent="0.4">
      <c r="A31" s="24" t="s">
        <v>2077</v>
      </c>
      <c r="B31" s="24" t="s">
        <v>2078</v>
      </c>
      <c r="C31" s="25">
        <v>42306</v>
      </c>
      <c r="D31" s="24" t="s">
        <v>2015</v>
      </c>
      <c r="E31" s="24" t="s">
        <v>2020</v>
      </c>
      <c r="F31" s="24" t="s">
        <v>2017</v>
      </c>
      <c r="G31" s="24">
        <v>735</v>
      </c>
      <c r="H31" s="24">
        <v>321195</v>
      </c>
      <c r="I31" s="24">
        <v>205</v>
      </c>
      <c r="J31" s="24">
        <v>87125</v>
      </c>
      <c r="K31" s="24">
        <v>723</v>
      </c>
      <c r="L31" s="24">
        <v>301491</v>
      </c>
      <c r="M31" s="24">
        <v>641</v>
      </c>
      <c r="N31" s="24">
        <v>221786</v>
      </c>
      <c r="O31" s="24">
        <v>730</v>
      </c>
      <c r="P31" s="24">
        <v>223380</v>
      </c>
      <c r="Q31" s="24">
        <v>318</v>
      </c>
      <c r="R31" s="24">
        <v>112254</v>
      </c>
      <c r="S31" s="24">
        <v>227</v>
      </c>
      <c r="T31" s="24">
        <v>100334</v>
      </c>
      <c r="U31" s="24">
        <v>721</v>
      </c>
      <c r="V31" s="24">
        <v>237930</v>
      </c>
      <c r="W31" s="24">
        <v>698</v>
      </c>
      <c r="X31" s="24">
        <v>239414</v>
      </c>
      <c r="Y31">
        <f t="shared" si="0"/>
        <v>4998</v>
      </c>
    </row>
    <row r="32" spans="1:25" x14ac:dyDescent="0.4">
      <c r="A32" s="24" t="s">
        <v>2079</v>
      </c>
      <c r="B32" s="24" t="s">
        <v>2080</v>
      </c>
      <c r="C32" s="25">
        <v>43821</v>
      </c>
      <c r="D32" s="24" t="s">
        <v>2015</v>
      </c>
      <c r="E32" s="24" t="s">
        <v>2016</v>
      </c>
      <c r="F32" s="24" t="s">
        <v>2017</v>
      </c>
      <c r="G32" s="24">
        <v>526</v>
      </c>
      <c r="H32" s="24">
        <v>199354</v>
      </c>
      <c r="I32" s="24">
        <v>335</v>
      </c>
      <c r="J32" s="24">
        <v>111555</v>
      </c>
      <c r="K32" s="24">
        <v>468</v>
      </c>
      <c r="L32" s="24">
        <v>143676</v>
      </c>
      <c r="M32" s="24">
        <v>755</v>
      </c>
      <c r="N32" s="24">
        <v>267270</v>
      </c>
      <c r="O32" s="24">
        <v>769</v>
      </c>
      <c r="P32" s="24">
        <v>299910</v>
      </c>
      <c r="Q32" s="24">
        <v>377</v>
      </c>
      <c r="R32" s="24">
        <v>168142</v>
      </c>
      <c r="S32" s="24">
        <v>465</v>
      </c>
      <c r="T32" s="24">
        <v>185535</v>
      </c>
      <c r="U32" s="24">
        <v>708</v>
      </c>
      <c r="V32" s="24">
        <v>223728</v>
      </c>
      <c r="W32" s="24">
        <v>650</v>
      </c>
      <c r="X32" s="24">
        <v>224900</v>
      </c>
      <c r="Y32">
        <f t="shared" si="0"/>
        <v>5053</v>
      </c>
    </row>
    <row r="33" spans="1:25" x14ac:dyDescent="0.4">
      <c r="A33" s="24" t="s">
        <v>2081</v>
      </c>
      <c r="B33" s="24" t="s">
        <v>2082</v>
      </c>
      <c r="C33" s="25">
        <v>42767</v>
      </c>
      <c r="D33" s="24" t="s">
        <v>2027</v>
      </c>
      <c r="E33" s="24" t="s">
        <v>2020</v>
      </c>
      <c r="F33" s="24" t="s">
        <v>2017</v>
      </c>
      <c r="G33" s="24">
        <v>312</v>
      </c>
      <c r="H33" s="24">
        <v>115752</v>
      </c>
      <c r="I33" s="24">
        <v>287</v>
      </c>
      <c r="J33" s="24">
        <v>116809</v>
      </c>
      <c r="K33" s="24">
        <v>439</v>
      </c>
      <c r="L33" s="24">
        <v>188331</v>
      </c>
      <c r="M33" s="24">
        <v>196</v>
      </c>
      <c r="N33" s="24">
        <v>72912</v>
      </c>
      <c r="O33" s="24">
        <v>457</v>
      </c>
      <c r="P33" s="24">
        <v>175031</v>
      </c>
      <c r="Q33" s="24">
        <v>101</v>
      </c>
      <c r="R33" s="24">
        <v>41006</v>
      </c>
      <c r="S33" s="24">
        <v>254</v>
      </c>
      <c r="T33" s="24">
        <v>77470</v>
      </c>
      <c r="U33" s="24">
        <v>480</v>
      </c>
      <c r="V33" s="24">
        <v>176640</v>
      </c>
      <c r="W33" s="24">
        <v>321</v>
      </c>
      <c r="X33" s="24">
        <v>115560</v>
      </c>
      <c r="Y33">
        <f t="shared" si="0"/>
        <v>2847</v>
      </c>
    </row>
    <row r="34" spans="1:25" x14ac:dyDescent="0.4">
      <c r="A34" s="24" t="s">
        <v>2083</v>
      </c>
      <c r="B34" s="24" t="s">
        <v>2084</v>
      </c>
      <c r="C34" s="25">
        <v>43203</v>
      </c>
      <c r="D34" s="24" t="s">
        <v>2015</v>
      </c>
      <c r="E34" s="24" t="s">
        <v>2028</v>
      </c>
      <c r="F34" s="24" t="s">
        <v>2017</v>
      </c>
      <c r="G34" s="24">
        <v>529</v>
      </c>
      <c r="H34" s="24">
        <v>197846</v>
      </c>
      <c r="I34" s="24">
        <v>329</v>
      </c>
      <c r="J34" s="24">
        <v>124691</v>
      </c>
      <c r="K34" s="24">
        <v>450</v>
      </c>
      <c r="L34" s="24">
        <v>147150</v>
      </c>
      <c r="M34" s="24">
        <v>153</v>
      </c>
      <c r="N34" s="24">
        <v>61659</v>
      </c>
      <c r="O34" s="24">
        <v>166</v>
      </c>
      <c r="P34" s="24">
        <v>59096</v>
      </c>
      <c r="Q34" s="24">
        <v>259</v>
      </c>
      <c r="R34" s="24">
        <v>94276</v>
      </c>
      <c r="S34" s="24">
        <v>319</v>
      </c>
      <c r="T34" s="24">
        <v>112607</v>
      </c>
      <c r="U34" s="24">
        <v>589</v>
      </c>
      <c r="V34" s="24">
        <v>262105</v>
      </c>
      <c r="W34" s="24">
        <v>657</v>
      </c>
      <c r="X34" s="24">
        <v>216153</v>
      </c>
      <c r="Y34">
        <f t="shared" si="0"/>
        <v>3451</v>
      </c>
    </row>
    <row r="35" spans="1:25" x14ac:dyDescent="0.4">
      <c r="A35" s="24" t="s">
        <v>2085</v>
      </c>
      <c r="B35" s="24" t="s">
        <v>2086</v>
      </c>
      <c r="C35" s="25">
        <v>43598</v>
      </c>
      <c r="D35" s="24" t="s">
        <v>2015</v>
      </c>
      <c r="E35" s="24" t="s">
        <v>2028</v>
      </c>
      <c r="F35" s="24" t="s">
        <v>2017</v>
      </c>
      <c r="G35" s="24">
        <v>536</v>
      </c>
      <c r="H35" s="24">
        <v>210648</v>
      </c>
      <c r="I35" s="24">
        <v>492</v>
      </c>
      <c r="J35" s="24">
        <v>195324</v>
      </c>
      <c r="K35" s="24">
        <v>793</v>
      </c>
      <c r="L35" s="24">
        <v>310856</v>
      </c>
      <c r="M35" s="24">
        <v>683</v>
      </c>
      <c r="N35" s="24">
        <v>260906</v>
      </c>
      <c r="O35" s="24">
        <v>121</v>
      </c>
      <c r="P35" s="24">
        <v>39809</v>
      </c>
      <c r="Q35" s="24">
        <v>603</v>
      </c>
      <c r="R35" s="24">
        <v>187533</v>
      </c>
      <c r="S35" s="24">
        <v>745</v>
      </c>
      <c r="T35" s="24">
        <v>327055</v>
      </c>
      <c r="U35" s="24">
        <v>516</v>
      </c>
      <c r="V35" s="24">
        <v>173376</v>
      </c>
      <c r="W35" s="24">
        <v>605</v>
      </c>
      <c r="X35" s="24">
        <v>220220</v>
      </c>
      <c r="Y35">
        <f t="shared" si="0"/>
        <v>5094</v>
      </c>
    </row>
    <row r="36" spans="1:25" x14ac:dyDescent="0.4">
      <c r="A36" s="24" t="s">
        <v>2087</v>
      </c>
      <c r="B36" s="24" t="s">
        <v>2088</v>
      </c>
      <c r="C36" s="25">
        <v>43374</v>
      </c>
      <c r="D36" s="24" t="s">
        <v>2015</v>
      </c>
      <c r="E36" s="24" t="s">
        <v>2028</v>
      </c>
      <c r="F36" s="24" t="s">
        <v>2017</v>
      </c>
      <c r="G36" s="24">
        <v>537</v>
      </c>
      <c r="H36" s="24">
        <v>187950</v>
      </c>
      <c r="I36" s="24">
        <v>653</v>
      </c>
      <c r="J36" s="24">
        <v>199818</v>
      </c>
      <c r="K36" s="24">
        <v>472</v>
      </c>
      <c r="L36" s="24">
        <v>147264</v>
      </c>
      <c r="M36" s="24">
        <v>139</v>
      </c>
      <c r="N36" s="24">
        <v>47538</v>
      </c>
      <c r="O36" s="24">
        <v>759</v>
      </c>
      <c r="P36" s="24">
        <v>273240</v>
      </c>
      <c r="Q36" s="24">
        <v>397</v>
      </c>
      <c r="R36" s="24">
        <v>120291</v>
      </c>
      <c r="S36" s="24">
        <v>256</v>
      </c>
      <c r="T36" s="24">
        <v>77824</v>
      </c>
      <c r="U36" s="24">
        <v>426</v>
      </c>
      <c r="V36" s="24">
        <v>143136</v>
      </c>
      <c r="W36" s="24">
        <v>145</v>
      </c>
      <c r="X36" s="24">
        <v>44515</v>
      </c>
      <c r="Y36">
        <f t="shared" si="0"/>
        <v>3784</v>
      </c>
    </row>
    <row r="37" spans="1:25" x14ac:dyDescent="0.4">
      <c r="A37" s="24" t="s">
        <v>2089</v>
      </c>
      <c r="B37" s="24" t="s">
        <v>2090</v>
      </c>
      <c r="C37" s="25">
        <v>42503</v>
      </c>
      <c r="D37" s="24" t="s">
        <v>2027</v>
      </c>
      <c r="E37" s="24" t="s">
        <v>2020</v>
      </c>
      <c r="F37" s="24" t="s">
        <v>2017</v>
      </c>
      <c r="G37" s="24">
        <v>549</v>
      </c>
      <c r="H37" s="24">
        <v>210267</v>
      </c>
      <c r="I37" s="24">
        <v>255</v>
      </c>
      <c r="J37" s="24">
        <v>105060</v>
      </c>
      <c r="K37" s="24">
        <v>701</v>
      </c>
      <c r="L37" s="24">
        <v>312646</v>
      </c>
      <c r="M37" s="24">
        <v>598</v>
      </c>
      <c r="N37" s="24">
        <v>218868</v>
      </c>
      <c r="O37" s="24">
        <v>119</v>
      </c>
      <c r="P37" s="24">
        <v>39627</v>
      </c>
      <c r="Q37" s="24">
        <v>438</v>
      </c>
      <c r="R37" s="24">
        <v>175638</v>
      </c>
      <c r="S37" s="24">
        <v>353</v>
      </c>
      <c r="T37" s="24">
        <v>141553</v>
      </c>
      <c r="U37" s="24">
        <v>107</v>
      </c>
      <c r="V37" s="24">
        <v>41516</v>
      </c>
      <c r="W37" s="24">
        <v>553</v>
      </c>
      <c r="X37" s="24">
        <v>225624</v>
      </c>
      <c r="Y37">
        <f t="shared" si="0"/>
        <v>3673</v>
      </c>
    </row>
    <row r="38" spans="1:25" x14ac:dyDescent="0.4">
      <c r="A38" s="24" t="s">
        <v>2091</v>
      </c>
      <c r="B38" s="24" t="s">
        <v>2092</v>
      </c>
      <c r="C38" s="25">
        <v>44147</v>
      </c>
      <c r="D38" s="24" t="s">
        <v>2015</v>
      </c>
      <c r="E38" s="24" t="s">
        <v>2016</v>
      </c>
      <c r="F38" s="24" t="s">
        <v>2017</v>
      </c>
      <c r="G38" s="24">
        <v>428</v>
      </c>
      <c r="H38" s="24">
        <v>166492</v>
      </c>
      <c r="I38" s="24">
        <v>319</v>
      </c>
      <c r="J38" s="24">
        <v>120263</v>
      </c>
      <c r="K38" s="24">
        <v>607</v>
      </c>
      <c r="L38" s="24">
        <v>191205</v>
      </c>
      <c r="M38" s="24">
        <v>355</v>
      </c>
      <c r="N38" s="24">
        <v>138450</v>
      </c>
      <c r="O38" s="24">
        <v>610</v>
      </c>
      <c r="P38" s="24">
        <v>187880</v>
      </c>
      <c r="Q38" s="24">
        <v>710</v>
      </c>
      <c r="R38" s="24">
        <v>318080</v>
      </c>
      <c r="S38" s="24">
        <v>491</v>
      </c>
      <c r="T38" s="24">
        <v>198855</v>
      </c>
      <c r="U38" s="24">
        <v>389</v>
      </c>
      <c r="V38" s="24">
        <v>118256</v>
      </c>
      <c r="W38" s="24">
        <v>755</v>
      </c>
      <c r="X38" s="24">
        <v>324650</v>
      </c>
      <c r="Y38">
        <f t="shared" si="0"/>
        <v>4664</v>
      </c>
    </row>
    <row r="39" spans="1:25" x14ac:dyDescent="0.4">
      <c r="A39" s="24" t="s">
        <v>2093</v>
      </c>
      <c r="B39" s="24" t="s">
        <v>2094</v>
      </c>
      <c r="C39" s="25">
        <v>42510</v>
      </c>
      <c r="D39" s="24" t="s">
        <v>2027</v>
      </c>
      <c r="E39" s="24" t="s">
        <v>2028</v>
      </c>
      <c r="F39" s="24" t="s">
        <v>2017</v>
      </c>
      <c r="G39" s="24">
        <v>472</v>
      </c>
      <c r="H39" s="24">
        <v>157176</v>
      </c>
      <c r="I39" s="24">
        <v>137</v>
      </c>
      <c r="J39" s="24">
        <v>49046</v>
      </c>
      <c r="K39" s="24">
        <v>357</v>
      </c>
      <c r="L39" s="24">
        <v>117810</v>
      </c>
      <c r="M39" s="24">
        <v>668</v>
      </c>
      <c r="N39" s="24">
        <v>236472</v>
      </c>
      <c r="O39" s="24">
        <v>119</v>
      </c>
      <c r="P39" s="24">
        <v>51408</v>
      </c>
      <c r="Q39" s="24">
        <v>349</v>
      </c>
      <c r="R39" s="24">
        <v>134365</v>
      </c>
      <c r="S39" s="24">
        <v>563</v>
      </c>
      <c r="T39" s="24">
        <v>233082</v>
      </c>
      <c r="U39" s="24">
        <v>509</v>
      </c>
      <c r="V39" s="24">
        <v>191893</v>
      </c>
      <c r="W39" s="24">
        <v>617</v>
      </c>
      <c r="X39" s="24">
        <v>214716</v>
      </c>
      <c r="Y39">
        <f t="shared" si="0"/>
        <v>3791</v>
      </c>
    </row>
    <row r="40" spans="1:25" x14ac:dyDescent="0.4">
      <c r="A40" s="24" t="s">
        <v>2095</v>
      </c>
      <c r="B40" s="24" t="s">
        <v>2096</v>
      </c>
      <c r="C40" s="25">
        <v>42211</v>
      </c>
      <c r="D40" s="24" t="s">
        <v>2027</v>
      </c>
      <c r="E40" s="24" t="s">
        <v>2020</v>
      </c>
      <c r="F40" s="24" t="s">
        <v>2017</v>
      </c>
      <c r="G40" s="24">
        <v>162</v>
      </c>
      <c r="H40" s="24">
        <v>62532</v>
      </c>
      <c r="I40" s="24">
        <v>152</v>
      </c>
      <c r="J40" s="24">
        <v>63992</v>
      </c>
      <c r="K40" s="24">
        <v>348</v>
      </c>
      <c r="L40" s="24">
        <v>110316</v>
      </c>
      <c r="M40" s="24">
        <v>719</v>
      </c>
      <c r="N40" s="24">
        <v>225047</v>
      </c>
      <c r="O40" s="24">
        <v>371</v>
      </c>
      <c r="P40" s="24">
        <v>128737</v>
      </c>
      <c r="Q40" s="24">
        <v>526</v>
      </c>
      <c r="R40" s="24">
        <v>207770</v>
      </c>
      <c r="S40" s="24">
        <v>489</v>
      </c>
      <c r="T40" s="24">
        <v>161370</v>
      </c>
      <c r="U40" s="24">
        <v>217</v>
      </c>
      <c r="V40" s="24">
        <v>78120</v>
      </c>
      <c r="W40" s="24">
        <v>256</v>
      </c>
      <c r="X40" s="24">
        <v>78592</v>
      </c>
      <c r="Y40">
        <f t="shared" si="0"/>
        <v>3240</v>
      </c>
    </row>
    <row r="41" spans="1:25" x14ac:dyDescent="0.4">
      <c r="A41" s="24" t="s">
        <v>2097</v>
      </c>
      <c r="B41" s="24" t="s">
        <v>2098</v>
      </c>
      <c r="C41" s="25">
        <v>44048</v>
      </c>
      <c r="D41" s="24" t="s">
        <v>2015</v>
      </c>
      <c r="E41" s="24" t="s">
        <v>2020</v>
      </c>
      <c r="F41" s="24" t="s">
        <v>2017</v>
      </c>
      <c r="G41" s="24">
        <v>426</v>
      </c>
      <c r="H41" s="24">
        <v>137598</v>
      </c>
      <c r="I41" s="24">
        <v>377</v>
      </c>
      <c r="J41" s="24">
        <v>116116</v>
      </c>
      <c r="K41" s="24">
        <v>131</v>
      </c>
      <c r="L41" s="24">
        <v>58295</v>
      </c>
      <c r="M41" s="24">
        <v>400</v>
      </c>
      <c r="N41" s="24">
        <v>171600</v>
      </c>
      <c r="O41" s="24">
        <v>434</v>
      </c>
      <c r="P41" s="24">
        <v>156240</v>
      </c>
      <c r="Q41" s="24">
        <v>411</v>
      </c>
      <c r="R41" s="24">
        <v>170565</v>
      </c>
      <c r="S41" s="24">
        <v>287</v>
      </c>
      <c r="T41" s="24">
        <v>91553</v>
      </c>
      <c r="U41" s="24">
        <v>410</v>
      </c>
      <c r="V41" s="24">
        <v>171790</v>
      </c>
      <c r="W41" s="24">
        <v>657</v>
      </c>
      <c r="X41" s="24">
        <v>259515</v>
      </c>
      <c r="Y41">
        <f t="shared" si="0"/>
        <v>3533</v>
      </c>
    </row>
    <row r="42" spans="1:25" x14ac:dyDescent="0.4">
      <c r="A42" s="24" t="s">
        <v>2099</v>
      </c>
      <c r="B42" s="24" t="s">
        <v>2100</v>
      </c>
      <c r="C42" s="25">
        <v>44039</v>
      </c>
      <c r="D42" s="24" t="s">
        <v>2027</v>
      </c>
      <c r="E42" s="24" t="s">
        <v>2020</v>
      </c>
      <c r="F42" s="24" t="s">
        <v>2017</v>
      </c>
      <c r="G42" s="24">
        <v>489</v>
      </c>
      <c r="H42" s="24">
        <v>163815</v>
      </c>
      <c r="I42" s="24">
        <v>225</v>
      </c>
      <c r="J42" s="24">
        <v>76050</v>
      </c>
      <c r="K42" s="24">
        <v>773</v>
      </c>
      <c r="L42" s="24">
        <v>248906</v>
      </c>
      <c r="M42" s="24">
        <v>469</v>
      </c>
      <c r="N42" s="24">
        <v>199325</v>
      </c>
      <c r="O42" s="24">
        <v>664</v>
      </c>
      <c r="P42" s="24">
        <v>272904</v>
      </c>
      <c r="Q42" s="24">
        <v>788</v>
      </c>
      <c r="R42" s="24">
        <v>345144</v>
      </c>
      <c r="S42" s="24">
        <v>212</v>
      </c>
      <c r="T42" s="24">
        <v>69748</v>
      </c>
      <c r="U42" s="24">
        <v>618</v>
      </c>
      <c r="V42" s="24">
        <v>195906</v>
      </c>
      <c r="W42" s="24">
        <v>689</v>
      </c>
      <c r="X42" s="24">
        <v>295581</v>
      </c>
      <c r="Y42">
        <f t="shared" si="0"/>
        <v>4927</v>
      </c>
    </row>
    <row r="43" spans="1:25" x14ac:dyDescent="0.4">
      <c r="A43" s="24" t="s">
        <v>2101</v>
      </c>
      <c r="B43" s="24" t="s">
        <v>2102</v>
      </c>
      <c r="C43" s="25">
        <v>42360</v>
      </c>
      <c r="D43" s="24" t="s">
        <v>2027</v>
      </c>
      <c r="E43" s="24" t="s">
        <v>2016</v>
      </c>
      <c r="F43" s="24" t="s">
        <v>2017</v>
      </c>
      <c r="G43" s="24">
        <v>355</v>
      </c>
      <c r="H43" s="24">
        <v>119990</v>
      </c>
      <c r="I43" s="24">
        <v>152</v>
      </c>
      <c r="J43" s="24">
        <v>62928</v>
      </c>
      <c r="K43" s="24">
        <v>225</v>
      </c>
      <c r="L43" s="24">
        <v>97425</v>
      </c>
      <c r="M43" s="24">
        <v>309</v>
      </c>
      <c r="N43" s="24">
        <v>119892</v>
      </c>
      <c r="O43" s="24">
        <v>513</v>
      </c>
      <c r="P43" s="24">
        <v>227772</v>
      </c>
      <c r="Q43" s="24">
        <v>521</v>
      </c>
      <c r="R43" s="24">
        <v>227156</v>
      </c>
      <c r="S43" s="24">
        <v>294</v>
      </c>
      <c r="T43" s="24">
        <v>94374</v>
      </c>
      <c r="U43" s="24">
        <v>299</v>
      </c>
      <c r="V43" s="24">
        <v>90298</v>
      </c>
      <c r="W43" s="24">
        <v>401</v>
      </c>
      <c r="X43" s="24">
        <v>144761</v>
      </c>
      <c r="Y43">
        <f t="shared" si="0"/>
        <v>3069</v>
      </c>
    </row>
    <row r="44" spans="1:25" x14ac:dyDescent="0.4">
      <c r="A44" s="24" t="s">
        <v>2103</v>
      </c>
      <c r="B44" s="24" t="s">
        <v>2104</v>
      </c>
      <c r="C44" s="25">
        <v>43940</v>
      </c>
      <c r="D44" s="24" t="s">
        <v>2015</v>
      </c>
      <c r="E44" s="24" t="s">
        <v>2020</v>
      </c>
      <c r="F44" s="24" t="s">
        <v>2017</v>
      </c>
      <c r="G44" s="24">
        <v>601</v>
      </c>
      <c r="H44" s="24">
        <v>269248</v>
      </c>
      <c r="I44" s="24">
        <v>551</v>
      </c>
      <c r="J44" s="24">
        <v>210482</v>
      </c>
      <c r="K44" s="24">
        <v>368</v>
      </c>
      <c r="L44" s="24">
        <v>117024</v>
      </c>
      <c r="M44" s="24">
        <v>261</v>
      </c>
      <c r="N44" s="24">
        <v>90306</v>
      </c>
      <c r="O44" s="24">
        <v>275</v>
      </c>
      <c r="P44" s="24">
        <v>84150</v>
      </c>
      <c r="Q44" s="24">
        <v>629</v>
      </c>
      <c r="R44" s="24">
        <v>266696</v>
      </c>
      <c r="S44" s="24">
        <v>524</v>
      </c>
      <c r="T44" s="24">
        <v>165584</v>
      </c>
      <c r="U44" s="24">
        <v>698</v>
      </c>
      <c r="V44" s="24">
        <v>261052</v>
      </c>
      <c r="W44" s="24">
        <v>800</v>
      </c>
      <c r="X44" s="24">
        <v>327200</v>
      </c>
      <c r="Y44">
        <f t="shared" si="0"/>
        <v>4707</v>
      </c>
    </row>
    <row r="45" spans="1:25" x14ac:dyDescent="0.4">
      <c r="A45" s="24" t="s">
        <v>2105</v>
      </c>
      <c r="B45" s="24" t="s">
        <v>2106</v>
      </c>
      <c r="C45" s="25">
        <v>43521</v>
      </c>
      <c r="D45" s="24" t="s">
        <v>2015</v>
      </c>
      <c r="E45" s="24" t="s">
        <v>2028</v>
      </c>
      <c r="F45" s="24" t="s">
        <v>2017</v>
      </c>
      <c r="G45" s="24">
        <v>503</v>
      </c>
      <c r="H45" s="24">
        <v>189128</v>
      </c>
      <c r="I45" s="24">
        <v>127</v>
      </c>
      <c r="J45" s="24">
        <v>48006</v>
      </c>
      <c r="K45" s="24">
        <v>406</v>
      </c>
      <c r="L45" s="24">
        <v>149002</v>
      </c>
      <c r="M45" s="24">
        <v>260</v>
      </c>
      <c r="N45" s="24">
        <v>93600</v>
      </c>
      <c r="O45" s="24">
        <v>749</v>
      </c>
      <c r="P45" s="24">
        <v>274134</v>
      </c>
      <c r="Q45" s="24">
        <v>103</v>
      </c>
      <c r="R45" s="24">
        <v>43260</v>
      </c>
      <c r="S45" s="24">
        <v>742</v>
      </c>
      <c r="T45" s="24">
        <v>273798</v>
      </c>
      <c r="U45" s="24">
        <v>574</v>
      </c>
      <c r="V45" s="24">
        <v>185402</v>
      </c>
      <c r="W45" s="24">
        <v>609</v>
      </c>
      <c r="X45" s="24">
        <v>251517</v>
      </c>
      <c r="Y45">
        <f t="shared" si="0"/>
        <v>4073</v>
      </c>
    </row>
    <row r="46" spans="1:25" x14ac:dyDescent="0.4">
      <c r="A46" s="24" t="s">
        <v>2107</v>
      </c>
      <c r="B46" s="24" t="s">
        <v>2108</v>
      </c>
      <c r="C46" s="25">
        <v>43639</v>
      </c>
      <c r="D46" s="24" t="s">
        <v>2027</v>
      </c>
      <c r="E46" s="24" t="s">
        <v>2020</v>
      </c>
      <c r="F46" s="24" t="s">
        <v>2017</v>
      </c>
      <c r="G46" s="24">
        <v>663</v>
      </c>
      <c r="H46" s="24">
        <v>292383</v>
      </c>
      <c r="I46" s="24">
        <v>645</v>
      </c>
      <c r="J46" s="24">
        <v>206400</v>
      </c>
      <c r="K46" s="24">
        <v>517</v>
      </c>
      <c r="L46" s="24">
        <v>178365</v>
      </c>
      <c r="M46" s="24">
        <v>118</v>
      </c>
      <c r="N46" s="24">
        <v>50622</v>
      </c>
      <c r="O46" s="24">
        <v>799</v>
      </c>
      <c r="P46" s="24">
        <v>258876</v>
      </c>
      <c r="Q46" s="24">
        <v>484</v>
      </c>
      <c r="R46" s="24">
        <v>205216</v>
      </c>
      <c r="S46" s="24">
        <v>586</v>
      </c>
      <c r="T46" s="24">
        <v>256668</v>
      </c>
      <c r="U46" s="24">
        <v>293</v>
      </c>
      <c r="V46" s="24">
        <v>102257</v>
      </c>
      <c r="W46" s="24">
        <v>491</v>
      </c>
      <c r="X46" s="24">
        <v>184616</v>
      </c>
      <c r="Y46">
        <f t="shared" si="0"/>
        <v>4596</v>
      </c>
    </row>
    <row r="47" spans="1:25" x14ac:dyDescent="0.4">
      <c r="A47" s="24" t="s">
        <v>2109</v>
      </c>
      <c r="B47" s="24" t="s">
        <v>2110</v>
      </c>
      <c r="C47" s="25">
        <v>43727</v>
      </c>
      <c r="D47" s="24" t="s">
        <v>2015</v>
      </c>
      <c r="E47" s="24" t="s">
        <v>2016</v>
      </c>
      <c r="F47" s="24" t="s">
        <v>2017</v>
      </c>
      <c r="G47" s="24">
        <v>711</v>
      </c>
      <c r="H47" s="24">
        <v>228231</v>
      </c>
      <c r="I47" s="24">
        <v>708</v>
      </c>
      <c r="J47" s="24">
        <v>228684</v>
      </c>
      <c r="K47" s="24">
        <v>309</v>
      </c>
      <c r="L47" s="24">
        <v>125763</v>
      </c>
      <c r="M47" s="24">
        <v>662</v>
      </c>
      <c r="N47" s="24">
        <v>238320</v>
      </c>
      <c r="O47" s="24">
        <v>643</v>
      </c>
      <c r="P47" s="24">
        <v>207046</v>
      </c>
      <c r="Q47" s="24">
        <v>693</v>
      </c>
      <c r="R47" s="24">
        <v>238392</v>
      </c>
      <c r="S47" s="24">
        <v>380</v>
      </c>
      <c r="T47" s="24">
        <v>150100</v>
      </c>
      <c r="U47" s="24">
        <v>141</v>
      </c>
      <c r="V47" s="24">
        <v>61335</v>
      </c>
      <c r="W47" s="24">
        <v>705</v>
      </c>
      <c r="X47" s="24">
        <v>234765</v>
      </c>
      <c r="Y47">
        <f t="shared" si="0"/>
        <v>4952</v>
      </c>
    </row>
    <row r="48" spans="1:25" x14ac:dyDescent="0.4">
      <c r="A48" s="24" t="s">
        <v>2111</v>
      </c>
      <c r="B48" s="24" t="s">
        <v>2112</v>
      </c>
      <c r="C48" s="25">
        <v>43584</v>
      </c>
      <c r="D48" s="24" t="s">
        <v>2015</v>
      </c>
      <c r="E48" s="24" t="s">
        <v>2016</v>
      </c>
      <c r="F48" s="24" t="s">
        <v>2017</v>
      </c>
      <c r="G48" s="24">
        <v>476</v>
      </c>
      <c r="H48" s="24">
        <v>190876</v>
      </c>
      <c r="I48" s="24">
        <v>444</v>
      </c>
      <c r="J48" s="24">
        <v>149628</v>
      </c>
      <c r="K48" s="24">
        <v>499</v>
      </c>
      <c r="L48" s="24">
        <v>151696</v>
      </c>
      <c r="M48" s="24">
        <v>667</v>
      </c>
      <c r="N48" s="24">
        <v>266800</v>
      </c>
      <c r="O48" s="24">
        <v>371</v>
      </c>
      <c r="P48" s="24">
        <v>155820</v>
      </c>
      <c r="Q48" s="24">
        <v>693</v>
      </c>
      <c r="R48" s="24">
        <v>259182</v>
      </c>
      <c r="S48" s="24">
        <v>748</v>
      </c>
      <c r="T48" s="24">
        <v>305932</v>
      </c>
      <c r="U48" s="24">
        <v>163</v>
      </c>
      <c r="V48" s="24">
        <v>54605</v>
      </c>
      <c r="W48" s="24">
        <v>638</v>
      </c>
      <c r="X48" s="24">
        <v>281996</v>
      </c>
      <c r="Y48">
        <f t="shared" si="0"/>
        <v>4699</v>
      </c>
    </row>
    <row r="49" spans="1:25" x14ac:dyDescent="0.4">
      <c r="A49" s="24" t="s">
        <v>2113</v>
      </c>
      <c r="B49" s="24" t="s">
        <v>2114</v>
      </c>
      <c r="C49" s="25">
        <v>43217</v>
      </c>
      <c r="D49" s="24" t="s">
        <v>2015</v>
      </c>
      <c r="E49" s="24" t="s">
        <v>2028</v>
      </c>
      <c r="F49" s="24" t="s">
        <v>2017</v>
      </c>
      <c r="G49" s="24">
        <v>495</v>
      </c>
      <c r="H49" s="24">
        <v>212355</v>
      </c>
      <c r="I49" s="24">
        <v>371</v>
      </c>
      <c r="J49" s="24">
        <v>150626</v>
      </c>
      <c r="K49" s="24">
        <v>492</v>
      </c>
      <c r="L49" s="24">
        <v>191388</v>
      </c>
      <c r="M49" s="24">
        <v>531</v>
      </c>
      <c r="N49" s="24">
        <v>224082</v>
      </c>
      <c r="O49" s="24">
        <v>786</v>
      </c>
      <c r="P49" s="24">
        <v>268812</v>
      </c>
      <c r="Q49" s="24">
        <v>431</v>
      </c>
      <c r="R49" s="24">
        <v>181451</v>
      </c>
      <c r="S49" s="24">
        <v>456</v>
      </c>
      <c r="T49" s="24">
        <v>138168</v>
      </c>
      <c r="U49" s="24">
        <v>772</v>
      </c>
      <c r="V49" s="24">
        <v>275604</v>
      </c>
      <c r="W49" s="24">
        <v>320</v>
      </c>
      <c r="X49" s="24">
        <v>106240</v>
      </c>
      <c r="Y49">
        <f t="shared" si="0"/>
        <v>4654</v>
      </c>
    </row>
    <row r="50" spans="1:25" x14ac:dyDescent="0.4">
      <c r="A50" s="24" t="s">
        <v>2115</v>
      </c>
      <c r="B50" s="24" t="s">
        <v>2116</v>
      </c>
      <c r="C50" s="25">
        <v>43245</v>
      </c>
      <c r="D50" s="24" t="s">
        <v>2015</v>
      </c>
      <c r="E50" s="24" t="s">
        <v>2028</v>
      </c>
      <c r="F50" s="24" t="s">
        <v>2017</v>
      </c>
      <c r="G50" s="24">
        <v>194</v>
      </c>
      <c r="H50" s="24">
        <v>74884</v>
      </c>
      <c r="I50" s="24">
        <v>747</v>
      </c>
      <c r="J50" s="24">
        <v>272655</v>
      </c>
      <c r="K50" s="24">
        <v>299</v>
      </c>
      <c r="L50" s="24">
        <v>106145</v>
      </c>
      <c r="M50" s="24">
        <v>120</v>
      </c>
      <c r="N50" s="24">
        <v>40080</v>
      </c>
      <c r="O50" s="24">
        <v>350</v>
      </c>
      <c r="P50" s="24">
        <v>113400</v>
      </c>
      <c r="Q50" s="24">
        <v>553</v>
      </c>
      <c r="R50" s="24">
        <v>189679</v>
      </c>
      <c r="S50" s="24">
        <v>561</v>
      </c>
      <c r="T50" s="24">
        <v>170544</v>
      </c>
      <c r="U50" s="24">
        <v>246</v>
      </c>
      <c r="V50" s="24">
        <v>100614</v>
      </c>
      <c r="W50" s="24">
        <v>582</v>
      </c>
      <c r="X50" s="24">
        <v>249096</v>
      </c>
      <c r="Y50">
        <f t="shared" si="0"/>
        <v>3652</v>
      </c>
    </row>
    <row r="51" spans="1:25" x14ac:dyDescent="0.4">
      <c r="A51" s="24" t="s">
        <v>2117</v>
      </c>
      <c r="B51" s="24" t="s">
        <v>2118</v>
      </c>
      <c r="C51" s="25">
        <v>42464</v>
      </c>
      <c r="D51" s="24" t="s">
        <v>2027</v>
      </c>
      <c r="E51" s="24" t="s">
        <v>2020</v>
      </c>
      <c r="F51" s="24" t="s">
        <v>2017</v>
      </c>
      <c r="G51" s="24">
        <v>334</v>
      </c>
      <c r="H51" s="24">
        <v>141616</v>
      </c>
      <c r="I51" s="24">
        <v>671</v>
      </c>
      <c r="J51" s="24">
        <v>204655</v>
      </c>
      <c r="K51" s="24">
        <v>624</v>
      </c>
      <c r="L51" s="24">
        <v>279552</v>
      </c>
      <c r="M51" s="24">
        <v>158</v>
      </c>
      <c r="N51" s="24">
        <v>71100</v>
      </c>
      <c r="O51" s="24">
        <v>492</v>
      </c>
      <c r="P51" s="24">
        <v>161376</v>
      </c>
      <c r="Q51" s="24">
        <v>506</v>
      </c>
      <c r="R51" s="24">
        <v>191268</v>
      </c>
      <c r="S51" s="24">
        <v>269</v>
      </c>
      <c r="T51" s="24">
        <v>87963</v>
      </c>
      <c r="U51" s="24">
        <v>718</v>
      </c>
      <c r="V51" s="24">
        <v>243402</v>
      </c>
      <c r="W51" s="24">
        <v>481</v>
      </c>
      <c r="X51" s="24">
        <v>193362</v>
      </c>
      <c r="Y51">
        <f t="shared" si="0"/>
        <v>4253</v>
      </c>
    </row>
    <row r="52" spans="1:25" x14ac:dyDescent="0.4">
      <c r="A52" s="24" t="s">
        <v>2119</v>
      </c>
      <c r="B52" s="24" t="s">
        <v>2120</v>
      </c>
      <c r="C52" s="25">
        <v>43940</v>
      </c>
      <c r="D52" s="24" t="s">
        <v>2027</v>
      </c>
      <c r="E52" s="24" t="s">
        <v>2028</v>
      </c>
      <c r="F52" s="24" t="s">
        <v>2017</v>
      </c>
      <c r="G52" s="24">
        <v>534</v>
      </c>
      <c r="H52" s="24">
        <v>200250</v>
      </c>
      <c r="I52" s="24">
        <v>790</v>
      </c>
      <c r="J52" s="24">
        <v>241740</v>
      </c>
      <c r="K52" s="24">
        <v>590</v>
      </c>
      <c r="L52" s="24">
        <v>205320</v>
      </c>
      <c r="M52" s="24">
        <v>572</v>
      </c>
      <c r="N52" s="24">
        <v>221936</v>
      </c>
      <c r="O52" s="24">
        <v>670</v>
      </c>
      <c r="P52" s="24">
        <v>276040</v>
      </c>
      <c r="Q52" s="24">
        <v>640</v>
      </c>
      <c r="R52" s="24">
        <v>270080</v>
      </c>
      <c r="S52" s="24">
        <v>644</v>
      </c>
      <c r="T52" s="24">
        <v>208012</v>
      </c>
      <c r="U52" s="24">
        <v>434</v>
      </c>
      <c r="V52" s="24">
        <v>157542</v>
      </c>
      <c r="W52" s="24">
        <v>367</v>
      </c>
      <c r="X52" s="24">
        <v>146433</v>
      </c>
      <c r="Y52">
        <f t="shared" si="0"/>
        <v>5241</v>
      </c>
    </row>
    <row r="53" spans="1:25" x14ac:dyDescent="0.4">
      <c r="A53" s="24" t="s">
        <v>2121</v>
      </c>
      <c r="B53" s="24" t="s">
        <v>2122</v>
      </c>
      <c r="C53" s="25">
        <v>42641</v>
      </c>
      <c r="D53" s="24" t="s">
        <v>2015</v>
      </c>
      <c r="E53" s="24" t="s">
        <v>2016</v>
      </c>
      <c r="F53" s="24" t="s">
        <v>2017</v>
      </c>
      <c r="G53" s="24">
        <v>296</v>
      </c>
      <c r="H53" s="24">
        <v>91464</v>
      </c>
      <c r="I53" s="24">
        <v>150</v>
      </c>
      <c r="J53" s="24">
        <v>56700</v>
      </c>
      <c r="K53" s="24">
        <v>690</v>
      </c>
      <c r="L53" s="24">
        <v>251850</v>
      </c>
      <c r="M53" s="24">
        <v>288</v>
      </c>
      <c r="N53" s="24">
        <v>89568</v>
      </c>
      <c r="O53" s="24">
        <v>722</v>
      </c>
      <c r="P53" s="24">
        <v>284468</v>
      </c>
      <c r="Q53" s="24">
        <v>156</v>
      </c>
      <c r="R53" s="24">
        <v>50076</v>
      </c>
      <c r="S53" s="24">
        <v>225</v>
      </c>
      <c r="T53" s="24">
        <v>91125</v>
      </c>
      <c r="U53" s="24">
        <v>637</v>
      </c>
      <c r="V53" s="24">
        <v>250341</v>
      </c>
      <c r="W53" s="24">
        <v>773</v>
      </c>
      <c r="X53" s="24">
        <v>300697</v>
      </c>
      <c r="Y53">
        <f t="shared" si="0"/>
        <v>3937</v>
      </c>
    </row>
    <row r="54" spans="1:25" x14ac:dyDescent="0.4">
      <c r="A54" s="24" t="s">
        <v>2123</v>
      </c>
      <c r="B54" s="24" t="s">
        <v>2124</v>
      </c>
      <c r="C54" s="25">
        <v>42083</v>
      </c>
      <c r="D54" s="24" t="s">
        <v>2015</v>
      </c>
      <c r="E54" s="24" t="s">
        <v>2020</v>
      </c>
      <c r="F54" s="24" t="s">
        <v>2017</v>
      </c>
      <c r="G54" s="24">
        <v>664</v>
      </c>
      <c r="H54" s="24">
        <v>237048</v>
      </c>
      <c r="I54" s="24">
        <v>420</v>
      </c>
      <c r="J54" s="24">
        <v>139440</v>
      </c>
      <c r="K54" s="24">
        <v>556</v>
      </c>
      <c r="L54" s="24">
        <v>242416</v>
      </c>
      <c r="M54" s="24">
        <v>543</v>
      </c>
      <c r="N54" s="24">
        <v>171045</v>
      </c>
      <c r="O54" s="24">
        <v>193</v>
      </c>
      <c r="P54" s="24">
        <v>72375</v>
      </c>
      <c r="Q54" s="24">
        <v>132</v>
      </c>
      <c r="R54" s="24">
        <v>47916</v>
      </c>
      <c r="S54" s="24">
        <v>466</v>
      </c>
      <c r="T54" s="24">
        <v>186400</v>
      </c>
      <c r="U54" s="24">
        <v>366</v>
      </c>
      <c r="V54" s="24">
        <v>143106</v>
      </c>
      <c r="W54" s="24">
        <v>221</v>
      </c>
      <c r="X54" s="24">
        <v>69836</v>
      </c>
      <c r="Y54">
        <f t="shared" si="0"/>
        <v>3561</v>
      </c>
    </row>
    <row r="55" spans="1:25" x14ac:dyDescent="0.4">
      <c r="A55" s="24" t="s">
        <v>2125</v>
      </c>
      <c r="B55" s="24" t="s">
        <v>2126</v>
      </c>
      <c r="C55" s="25">
        <v>43777</v>
      </c>
      <c r="D55" s="24" t="s">
        <v>2027</v>
      </c>
      <c r="E55" s="24" t="s">
        <v>2020</v>
      </c>
      <c r="F55" s="24" t="s">
        <v>2017</v>
      </c>
      <c r="G55" s="24">
        <v>268</v>
      </c>
      <c r="H55" s="24">
        <v>112560</v>
      </c>
      <c r="I55" s="24">
        <v>557</v>
      </c>
      <c r="J55" s="24">
        <v>183253</v>
      </c>
      <c r="K55" s="24">
        <v>442</v>
      </c>
      <c r="L55" s="24">
        <v>163982</v>
      </c>
      <c r="M55" s="24">
        <v>641</v>
      </c>
      <c r="N55" s="24">
        <v>213453</v>
      </c>
      <c r="O55" s="24">
        <v>731</v>
      </c>
      <c r="P55" s="24">
        <v>315792</v>
      </c>
      <c r="Q55" s="24">
        <v>587</v>
      </c>
      <c r="R55" s="24">
        <v>263563</v>
      </c>
      <c r="S55" s="24">
        <v>674</v>
      </c>
      <c r="T55" s="24">
        <v>250054</v>
      </c>
      <c r="U55" s="24">
        <v>457</v>
      </c>
      <c r="V55" s="24">
        <v>189198</v>
      </c>
      <c r="W55" s="24">
        <v>330</v>
      </c>
      <c r="X55" s="24">
        <v>132000</v>
      </c>
      <c r="Y55">
        <f t="shared" si="0"/>
        <v>4687</v>
      </c>
    </row>
    <row r="56" spans="1:25" x14ac:dyDescent="0.4">
      <c r="A56" s="24" t="s">
        <v>2127</v>
      </c>
      <c r="B56" s="24" t="s">
        <v>2128</v>
      </c>
      <c r="C56" s="25">
        <v>43919</v>
      </c>
      <c r="D56" s="24" t="s">
        <v>2015</v>
      </c>
      <c r="E56" s="24" t="s">
        <v>2028</v>
      </c>
      <c r="F56" s="24" t="s">
        <v>2017</v>
      </c>
      <c r="G56" s="24">
        <v>281</v>
      </c>
      <c r="H56" s="24">
        <v>92449</v>
      </c>
      <c r="I56" s="24">
        <v>447</v>
      </c>
      <c r="J56" s="24">
        <v>200703</v>
      </c>
      <c r="K56" s="24">
        <v>504</v>
      </c>
      <c r="L56" s="24">
        <v>186480</v>
      </c>
      <c r="M56" s="24">
        <v>664</v>
      </c>
      <c r="N56" s="24">
        <v>203184</v>
      </c>
      <c r="O56" s="24">
        <v>664</v>
      </c>
      <c r="P56" s="24">
        <v>292160</v>
      </c>
      <c r="Q56" s="24">
        <v>465</v>
      </c>
      <c r="R56" s="24">
        <v>181350</v>
      </c>
      <c r="S56" s="24">
        <v>321</v>
      </c>
      <c r="T56" s="24">
        <v>119733</v>
      </c>
      <c r="U56" s="24">
        <v>640</v>
      </c>
      <c r="V56" s="24">
        <v>282240</v>
      </c>
      <c r="W56" s="24">
        <v>145</v>
      </c>
      <c r="X56" s="24">
        <v>62350</v>
      </c>
      <c r="Y56">
        <f t="shared" si="0"/>
        <v>4131</v>
      </c>
    </row>
    <row r="57" spans="1:25" x14ac:dyDescent="0.4">
      <c r="A57" s="24" t="s">
        <v>2129</v>
      </c>
      <c r="B57" s="24" t="s">
        <v>2130</v>
      </c>
      <c r="C57" s="25">
        <v>42879</v>
      </c>
      <c r="D57" s="24" t="s">
        <v>2027</v>
      </c>
      <c r="E57" s="24" t="s">
        <v>2016</v>
      </c>
      <c r="F57" s="24" t="s">
        <v>2017</v>
      </c>
      <c r="G57" s="24">
        <v>599</v>
      </c>
      <c r="H57" s="24">
        <v>214442</v>
      </c>
      <c r="I57" s="24">
        <v>282</v>
      </c>
      <c r="J57" s="24">
        <v>108570</v>
      </c>
      <c r="K57" s="24">
        <v>143</v>
      </c>
      <c r="L57" s="24">
        <v>62634</v>
      </c>
      <c r="M57" s="24">
        <v>798</v>
      </c>
      <c r="N57" s="24">
        <v>304038</v>
      </c>
      <c r="O57" s="24">
        <v>152</v>
      </c>
      <c r="P57" s="24">
        <v>47728</v>
      </c>
      <c r="Q57" s="24">
        <v>219</v>
      </c>
      <c r="R57" s="24">
        <v>96798</v>
      </c>
      <c r="S57" s="24">
        <v>767</v>
      </c>
      <c r="T57" s="24">
        <v>299130</v>
      </c>
      <c r="U57" s="24">
        <v>217</v>
      </c>
      <c r="V57" s="24">
        <v>81592</v>
      </c>
      <c r="W57" s="24">
        <v>643</v>
      </c>
      <c r="X57" s="24">
        <v>273918</v>
      </c>
      <c r="Y57">
        <f t="shared" si="0"/>
        <v>3820</v>
      </c>
    </row>
    <row r="58" spans="1:25" x14ac:dyDescent="0.4">
      <c r="A58" s="24" t="s">
        <v>2131</v>
      </c>
      <c r="B58" s="24" t="s">
        <v>2132</v>
      </c>
      <c r="C58" s="25">
        <v>43746</v>
      </c>
      <c r="D58" s="24" t="s">
        <v>2015</v>
      </c>
      <c r="E58" s="24" t="s">
        <v>2020</v>
      </c>
      <c r="F58" s="24" t="s">
        <v>2017</v>
      </c>
      <c r="G58" s="24">
        <v>383</v>
      </c>
      <c r="H58" s="24">
        <v>133667</v>
      </c>
      <c r="I58" s="24">
        <v>634</v>
      </c>
      <c r="J58" s="24">
        <v>270718</v>
      </c>
      <c r="K58" s="24">
        <v>725</v>
      </c>
      <c r="L58" s="24">
        <v>288550</v>
      </c>
      <c r="M58" s="24">
        <v>531</v>
      </c>
      <c r="N58" s="24">
        <v>237888</v>
      </c>
      <c r="O58" s="24">
        <v>515</v>
      </c>
      <c r="P58" s="24">
        <v>197760</v>
      </c>
      <c r="Q58" s="24">
        <v>370</v>
      </c>
      <c r="R58" s="24">
        <v>130610</v>
      </c>
      <c r="S58" s="24">
        <v>520</v>
      </c>
      <c r="T58" s="24">
        <v>226200</v>
      </c>
      <c r="U58" s="24">
        <v>372</v>
      </c>
      <c r="V58" s="24">
        <v>161820</v>
      </c>
      <c r="W58" s="24">
        <v>507</v>
      </c>
      <c r="X58" s="24">
        <v>198237</v>
      </c>
      <c r="Y58">
        <f t="shared" si="0"/>
        <v>4557</v>
      </c>
    </row>
    <row r="59" spans="1:25" x14ac:dyDescent="0.4">
      <c r="A59" s="24" t="s">
        <v>2133</v>
      </c>
      <c r="B59" s="24" t="s">
        <v>2134</v>
      </c>
      <c r="C59" s="25">
        <v>42571</v>
      </c>
      <c r="D59" s="24" t="s">
        <v>2015</v>
      </c>
      <c r="E59" s="24" t="s">
        <v>2020</v>
      </c>
      <c r="F59" s="24" t="s">
        <v>2017</v>
      </c>
      <c r="G59" s="24">
        <v>757</v>
      </c>
      <c r="H59" s="24">
        <v>311884</v>
      </c>
      <c r="I59" s="24">
        <v>453</v>
      </c>
      <c r="J59" s="24">
        <v>198414</v>
      </c>
      <c r="K59" s="24">
        <v>653</v>
      </c>
      <c r="L59" s="24">
        <v>260547</v>
      </c>
      <c r="M59" s="24">
        <v>286</v>
      </c>
      <c r="N59" s="24">
        <v>88088</v>
      </c>
      <c r="O59" s="24">
        <v>707</v>
      </c>
      <c r="P59" s="24">
        <v>276437</v>
      </c>
      <c r="Q59" s="24">
        <v>700</v>
      </c>
      <c r="R59" s="24">
        <v>230300</v>
      </c>
      <c r="S59" s="24">
        <v>193</v>
      </c>
      <c r="T59" s="24">
        <v>78551</v>
      </c>
      <c r="U59" s="24">
        <v>737</v>
      </c>
      <c r="V59" s="24">
        <v>240262</v>
      </c>
      <c r="W59" s="24">
        <v>408</v>
      </c>
      <c r="X59" s="24">
        <v>135048</v>
      </c>
      <c r="Y59">
        <f t="shared" si="0"/>
        <v>4894</v>
      </c>
    </row>
    <row r="60" spans="1:25" x14ac:dyDescent="0.4">
      <c r="A60" s="24" t="s">
        <v>2135</v>
      </c>
      <c r="B60" s="24" t="s">
        <v>2136</v>
      </c>
      <c r="C60" s="25">
        <v>44019</v>
      </c>
      <c r="D60" s="24" t="s">
        <v>2015</v>
      </c>
      <c r="E60" s="24" t="s">
        <v>2020</v>
      </c>
      <c r="F60" s="24" t="s">
        <v>2017</v>
      </c>
      <c r="G60" s="24">
        <v>349</v>
      </c>
      <c r="H60" s="24">
        <v>129479</v>
      </c>
      <c r="I60" s="24">
        <v>257</v>
      </c>
      <c r="J60" s="24">
        <v>94833</v>
      </c>
      <c r="K60" s="24">
        <v>297</v>
      </c>
      <c r="L60" s="24">
        <v>123552</v>
      </c>
      <c r="M60" s="24">
        <v>151</v>
      </c>
      <c r="N60" s="24">
        <v>56172</v>
      </c>
      <c r="O60" s="24">
        <v>300</v>
      </c>
      <c r="P60" s="24">
        <v>133800</v>
      </c>
      <c r="Q60" s="24">
        <v>648</v>
      </c>
      <c r="R60" s="24">
        <v>259848</v>
      </c>
      <c r="S60" s="24">
        <v>243</v>
      </c>
      <c r="T60" s="24">
        <v>91611</v>
      </c>
      <c r="U60" s="24">
        <v>796</v>
      </c>
      <c r="V60" s="24">
        <v>267456</v>
      </c>
      <c r="W60" s="24">
        <v>146</v>
      </c>
      <c r="X60" s="24">
        <v>64240</v>
      </c>
      <c r="Y60">
        <f t="shared" si="0"/>
        <v>3187</v>
      </c>
    </row>
    <row r="61" spans="1:25" x14ac:dyDescent="0.4">
      <c r="A61" s="24" t="s">
        <v>2137</v>
      </c>
      <c r="B61" s="24" t="s">
        <v>2138</v>
      </c>
      <c r="C61" s="25">
        <v>43098</v>
      </c>
      <c r="D61" s="24" t="s">
        <v>2015</v>
      </c>
      <c r="E61" s="24" t="s">
        <v>2016</v>
      </c>
      <c r="F61" s="24" t="s">
        <v>2017</v>
      </c>
      <c r="G61" s="24">
        <v>565</v>
      </c>
      <c r="H61" s="24">
        <v>238995</v>
      </c>
      <c r="I61" s="24">
        <v>560</v>
      </c>
      <c r="J61" s="24">
        <v>178080</v>
      </c>
      <c r="K61" s="24">
        <v>247</v>
      </c>
      <c r="L61" s="24">
        <v>87191</v>
      </c>
      <c r="M61" s="24">
        <v>372</v>
      </c>
      <c r="N61" s="24">
        <v>122388</v>
      </c>
      <c r="O61" s="24">
        <v>580</v>
      </c>
      <c r="P61" s="24">
        <v>233740</v>
      </c>
      <c r="Q61" s="24">
        <v>716</v>
      </c>
      <c r="R61" s="24">
        <v>257760</v>
      </c>
      <c r="S61" s="24">
        <v>537</v>
      </c>
      <c r="T61" s="24">
        <v>218559</v>
      </c>
      <c r="U61" s="24">
        <v>385</v>
      </c>
      <c r="V61" s="24">
        <v>140910</v>
      </c>
      <c r="W61" s="24">
        <v>630</v>
      </c>
      <c r="X61" s="24">
        <v>272160</v>
      </c>
      <c r="Y61">
        <f t="shared" si="0"/>
        <v>4592</v>
      </c>
    </row>
    <row r="62" spans="1:25" x14ac:dyDescent="0.4">
      <c r="A62" s="24" t="s">
        <v>2139</v>
      </c>
      <c r="B62" s="24" t="s">
        <v>2140</v>
      </c>
      <c r="C62" s="25">
        <v>43766</v>
      </c>
      <c r="D62" s="24" t="s">
        <v>2027</v>
      </c>
      <c r="E62" s="24" t="s">
        <v>2028</v>
      </c>
      <c r="F62" s="24" t="s">
        <v>2017</v>
      </c>
      <c r="G62" s="24">
        <v>182</v>
      </c>
      <c r="H62" s="24">
        <v>59332</v>
      </c>
      <c r="I62" s="24">
        <v>310</v>
      </c>
      <c r="J62" s="24">
        <v>116250</v>
      </c>
      <c r="K62" s="24">
        <v>626</v>
      </c>
      <c r="L62" s="24">
        <v>258538</v>
      </c>
      <c r="M62" s="24">
        <v>561</v>
      </c>
      <c r="N62" s="24">
        <v>180642</v>
      </c>
      <c r="O62" s="24">
        <v>353</v>
      </c>
      <c r="P62" s="24">
        <v>117549</v>
      </c>
      <c r="Q62" s="24">
        <v>799</v>
      </c>
      <c r="R62" s="24">
        <v>264469</v>
      </c>
      <c r="S62" s="24">
        <v>506</v>
      </c>
      <c r="T62" s="24">
        <v>175582</v>
      </c>
      <c r="U62" s="24">
        <v>544</v>
      </c>
      <c r="V62" s="24">
        <v>168640</v>
      </c>
      <c r="W62" s="24">
        <v>412</v>
      </c>
      <c r="X62" s="24">
        <v>144612</v>
      </c>
      <c r="Y62">
        <f t="shared" si="0"/>
        <v>4293</v>
      </c>
    </row>
    <row r="63" spans="1:25" x14ac:dyDescent="0.4">
      <c r="A63" s="24" t="s">
        <v>2141</v>
      </c>
      <c r="B63" s="24" t="s">
        <v>2142</v>
      </c>
      <c r="C63" s="25">
        <v>43330</v>
      </c>
      <c r="D63" s="24" t="s">
        <v>2015</v>
      </c>
      <c r="E63" s="24" t="s">
        <v>2028</v>
      </c>
      <c r="F63" s="24" t="s">
        <v>2017</v>
      </c>
      <c r="G63" s="24">
        <v>718</v>
      </c>
      <c r="H63" s="24">
        <v>311612</v>
      </c>
      <c r="I63" s="24">
        <v>410</v>
      </c>
      <c r="J63" s="24">
        <v>165640</v>
      </c>
      <c r="K63" s="24">
        <v>237</v>
      </c>
      <c r="L63" s="24">
        <v>90060</v>
      </c>
      <c r="M63" s="24">
        <v>124</v>
      </c>
      <c r="N63" s="24">
        <v>40300</v>
      </c>
      <c r="O63" s="24">
        <v>409</v>
      </c>
      <c r="P63" s="24">
        <v>161964</v>
      </c>
      <c r="Q63" s="24">
        <v>743</v>
      </c>
      <c r="R63" s="24">
        <v>333607</v>
      </c>
      <c r="S63" s="24">
        <v>750</v>
      </c>
      <c r="T63" s="24">
        <v>283500</v>
      </c>
      <c r="U63" s="24">
        <v>129</v>
      </c>
      <c r="V63" s="24">
        <v>39990</v>
      </c>
      <c r="W63" s="24">
        <v>174</v>
      </c>
      <c r="X63" s="24">
        <v>60378</v>
      </c>
      <c r="Y63">
        <f t="shared" si="0"/>
        <v>3694</v>
      </c>
    </row>
    <row r="64" spans="1:25" x14ac:dyDescent="0.4">
      <c r="A64" s="24" t="s">
        <v>2143</v>
      </c>
      <c r="B64" s="24" t="s">
        <v>2144</v>
      </c>
      <c r="C64" s="25">
        <v>42717</v>
      </c>
      <c r="D64" s="24" t="s">
        <v>2015</v>
      </c>
      <c r="E64" s="24" t="s">
        <v>2020</v>
      </c>
      <c r="F64" s="24" t="s">
        <v>2017</v>
      </c>
      <c r="G64" s="24">
        <v>540</v>
      </c>
      <c r="H64" s="24">
        <v>186840</v>
      </c>
      <c r="I64" s="24">
        <v>768</v>
      </c>
      <c r="J64" s="24">
        <v>300288</v>
      </c>
      <c r="K64" s="24">
        <v>787</v>
      </c>
      <c r="L64" s="24">
        <v>289616</v>
      </c>
      <c r="M64" s="24">
        <v>217</v>
      </c>
      <c r="N64" s="24">
        <v>92008</v>
      </c>
      <c r="O64" s="24">
        <v>304</v>
      </c>
      <c r="P64" s="24">
        <v>96368</v>
      </c>
      <c r="Q64" s="24">
        <v>792</v>
      </c>
      <c r="R64" s="24">
        <v>265320</v>
      </c>
      <c r="S64" s="24">
        <v>100</v>
      </c>
      <c r="T64" s="24">
        <v>34700</v>
      </c>
      <c r="U64" s="24">
        <v>474</v>
      </c>
      <c r="V64" s="24">
        <v>149784</v>
      </c>
      <c r="W64" s="24">
        <v>135</v>
      </c>
      <c r="X64" s="24">
        <v>55755</v>
      </c>
      <c r="Y64">
        <f t="shared" si="0"/>
        <v>4117</v>
      </c>
    </row>
    <row r="65" spans="1:25" x14ac:dyDescent="0.4">
      <c r="A65" s="24" t="s">
        <v>2145</v>
      </c>
      <c r="B65" s="24" t="s">
        <v>2146</v>
      </c>
      <c r="C65" s="25">
        <v>42436</v>
      </c>
      <c r="D65" s="24" t="s">
        <v>2027</v>
      </c>
      <c r="E65" s="24" t="s">
        <v>2020</v>
      </c>
      <c r="F65" s="24" t="s">
        <v>2017</v>
      </c>
      <c r="G65" s="24">
        <v>363</v>
      </c>
      <c r="H65" s="24">
        <v>160446</v>
      </c>
      <c r="I65" s="24">
        <v>301</v>
      </c>
      <c r="J65" s="24">
        <v>131537</v>
      </c>
      <c r="K65" s="24">
        <v>695</v>
      </c>
      <c r="L65" s="24">
        <v>285645</v>
      </c>
      <c r="M65" s="24">
        <v>512</v>
      </c>
      <c r="N65" s="24">
        <v>187392</v>
      </c>
      <c r="O65" s="24">
        <v>590</v>
      </c>
      <c r="P65" s="24">
        <v>230690</v>
      </c>
      <c r="Q65" s="24">
        <v>348</v>
      </c>
      <c r="R65" s="24">
        <v>127368</v>
      </c>
      <c r="S65" s="24">
        <v>469</v>
      </c>
      <c r="T65" s="24">
        <v>146328</v>
      </c>
      <c r="U65" s="24">
        <v>430</v>
      </c>
      <c r="V65" s="24">
        <v>165120</v>
      </c>
      <c r="W65" s="24">
        <v>585</v>
      </c>
      <c r="X65" s="24">
        <v>235755</v>
      </c>
      <c r="Y65">
        <f t="shared" si="0"/>
        <v>4293</v>
      </c>
    </row>
    <row r="66" spans="1:25" x14ac:dyDescent="0.4">
      <c r="A66" s="24" t="s">
        <v>2147</v>
      </c>
      <c r="B66" s="24" t="s">
        <v>2148</v>
      </c>
      <c r="C66" s="25">
        <v>42724</v>
      </c>
      <c r="D66" s="24" t="s">
        <v>2027</v>
      </c>
      <c r="E66" s="24" t="s">
        <v>2016</v>
      </c>
      <c r="F66" s="24" t="s">
        <v>2017</v>
      </c>
      <c r="G66" s="24">
        <v>668</v>
      </c>
      <c r="H66" s="24">
        <v>211088</v>
      </c>
      <c r="I66" s="24">
        <v>208</v>
      </c>
      <c r="J66" s="24">
        <v>62816</v>
      </c>
      <c r="K66" s="24">
        <v>775</v>
      </c>
      <c r="L66" s="24">
        <v>321625</v>
      </c>
      <c r="M66" s="24">
        <v>237</v>
      </c>
      <c r="N66" s="24">
        <v>77499</v>
      </c>
      <c r="O66" s="24">
        <v>656</v>
      </c>
      <c r="P66" s="24">
        <v>262400</v>
      </c>
      <c r="Q66" s="24">
        <v>479</v>
      </c>
      <c r="R66" s="24">
        <v>179146</v>
      </c>
      <c r="S66" s="24">
        <v>336</v>
      </c>
      <c r="T66" s="24">
        <v>112560</v>
      </c>
      <c r="U66" s="24">
        <v>352</v>
      </c>
      <c r="V66" s="24">
        <v>146432</v>
      </c>
      <c r="W66" s="24">
        <v>200</v>
      </c>
      <c r="X66" s="24">
        <v>71400</v>
      </c>
      <c r="Y66">
        <f t="shared" si="0"/>
        <v>3911</v>
      </c>
    </row>
    <row r="67" spans="1:25" x14ac:dyDescent="0.4">
      <c r="A67" s="24" t="s">
        <v>2149</v>
      </c>
      <c r="B67" s="24" t="s">
        <v>2150</v>
      </c>
      <c r="C67" s="25">
        <v>44050</v>
      </c>
      <c r="D67" s="24" t="s">
        <v>2015</v>
      </c>
      <c r="E67" s="24" t="s">
        <v>2016</v>
      </c>
      <c r="F67" s="24" t="s">
        <v>2017</v>
      </c>
      <c r="G67" s="24">
        <v>412</v>
      </c>
      <c r="H67" s="24">
        <v>145436</v>
      </c>
      <c r="I67" s="24">
        <v>280</v>
      </c>
      <c r="J67" s="24">
        <v>121800</v>
      </c>
      <c r="K67" s="24">
        <v>517</v>
      </c>
      <c r="L67" s="24">
        <v>231616</v>
      </c>
      <c r="M67" s="24">
        <v>703</v>
      </c>
      <c r="N67" s="24">
        <v>237614</v>
      </c>
      <c r="O67" s="24">
        <v>244</v>
      </c>
      <c r="P67" s="24">
        <v>92720</v>
      </c>
      <c r="Q67" s="24">
        <v>572</v>
      </c>
      <c r="R67" s="24">
        <v>244816</v>
      </c>
      <c r="S67" s="24">
        <v>534</v>
      </c>
      <c r="T67" s="24">
        <v>239766</v>
      </c>
      <c r="U67" s="24">
        <v>149</v>
      </c>
      <c r="V67" s="24">
        <v>57663</v>
      </c>
      <c r="W67" s="24">
        <v>384</v>
      </c>
      <c r="X67" s="24">
        <v>134016</v>
      </c>
      <c r="Y67">
        <f t="shared" ref="Y67:Y130" si="1">SUMIF($G$1:$X$1,"Количество*",G67:X67)</f>
        <v>3795</v>
      </c>
    </row>
    <row r="68" spans="1:25" x14ac:dyDescent="0.4">
      <c r="A68" s="24" t="s">
        <v>2151</v>
      </c>
      <c r="B68" s="24" t="s">
        <v>2152</v>
      </c>
      <c r="C68" s="25">
        <v>42244</v>
      </c>
      <c r="D68" s="24" t="s">
        <v>2015</v>
      </c>
      <c r="E68" s="24" t="s">
        <v>2016</v>
      </c>
      <c r="F68" s="24" t="s">
        <v>2017</v>
      </c>
      <c r="G68" s="24">
        <v>356</v>
      </c>
      <c r="H68" s="24">
        <v>110004</v>
      </c>
      <c r="I68" s="24">
        <v>640</v>
      </c>
      <c r="J68" s="24">
        <v>224640</v>
      </c>
      <c r="K68" s="24">
        <v>785</v>
      </c>
      <c r="L68" s="24">
        <v>277890</v>
      </c>
      <c r="M68" s="24">
        <v>536</v>
      </c>
      <c r="N68" s="24">
        <v>192960</v>
      </c>
      <c r="O68" s="24">
        <v>256</v>
      </c>
      <c r="P68" s="24">
        <v>81920</v>
      </c>
      <c r="Q68" s="24">
        <v>269</v>
      </c>
      <c r="R68" s="24">
        <v>95495</v>
      </c>
      <c r="S68" s="24">
        <v>139</v>
      </c>
      <c r="T68" s="24">
        <v>56017</v>
      </c>
      <c r="U68" s="24">
        <v>736</v>
      </c>
      <c r="V68" s="24">
        <v>230368</v>
      </c>
      <c r="W68" s="24">
        <v>438</v>
      </c>
      <c r="X68" s="24">
        <v>162498</v>
      </c>
      <c r="Y68">
        <f t="shared" si="1"/>
        <v>4155</v>
      </c>
    </row>
    <row r="69" spans="1:25" x14ac:dyDescent="0.4">
      <c r="A69" s="24" t="s">
        <v>2153</v>
      </c>
      <c r="B69" s="24" t="s">
        <v>2154</v>
      </c>
      <c r="C69" s="25">
        <v>42356</v>
      </c>
      <c r="D69" s="24" t="s">
        <v>2027</v>
      </c>
      <c r="E69" s="24" t="s">
        <v>2020</v>
      </c>
      <c r="F69" s="24" t="s">
        <v>2017</v>
      </c>
      <c r="G69" s="24">
        <v>382</v>
      </c>
      <c r="H69" s="24">
        <v>154710</v>
      </c>
      <c r="I69" s="24">
        <v>543</v>
      </c>
      <c r="J69" s="24">
        <v>240006</v>
      </c>
      <c r="K69" s="24">
        <v>240</v>
      </c>
      <c r="L69" s="24">
        <v>98880</v>
      </c>
      <c r="M69" s="24">
        <v>562</v>
      </c>
      <c r="N69" s="24">
        <v>188832</v>
      </c>
      <c r="O69" s="24">
        <v>573</v>
      </c>
      <c r="P69" s="24">
        <v>241806</v>
      </c>
      <c r="Q69" s="24">
        <v>411</v>
      </c>
      <c r="R69" s="24">
        <v>161112</v>
      </c>
      <c r="S69" s="24">
        <v>627</v>
      </c>
      <c r="T69" s="24">
        <v>269610</v>
      </c>
      <c r="U69" s="24">
        <v>764</v>
      </c>
      <c r="V69" s="24">
        <v>269692</v>
      </c>
      <c r="W69" s="24">
        <v>552</v>
      </c>
      <c r="X69" s="24">
        <v>212520</v>
      </c>
      <c r="Y69">
        <f t="shared" si="1"/>
        <v>4654</v>
      </c>
    </row>
    <row r="70" spans="1:25" x14ac:dyDescent="0.4">
      <c r="A70" s="24" t="s">
        <v>2155</v>
      </c>
      <c r="B70" s="24" t="s">
        <v>2156</v>
      </c>
      <c r="C70" s="25">
        <v>42647</v>
      </c>
      <c r="D70" s="24" t="s">
        <v>2027</v>
      </c>
      <c r="E70" s="24" t="s">
        <v>2020</v>
      </c>
      <c r="F70" s="24" t="s">
        <v>2017</v>
      </c>
      <c r="G70" s="24">
        <v>312</v>
      </c>
      <c r="H70" s="24">
        <v>125112</v>
      </c>
      <c r="I70" s="24">
        <v>232</v>
      </c>
      <c r="J70" s="24">
        <v>87928</v>
      </c>
      <c r="K70" s="24">
        <v>220</v>
      </c>
      <c r="L70" s="24">
        <v>98780</v>
      </c>
      <c r="M70" s="24">
        <v>194</v>
      </c>
      <c r="N70" s="24">
        <v>71586</v>
      </c>
      <c r="O70" s="24">
        <v>289</v>
      </c>
      <c r="P70" s="24">
        <v>123981</v>
      </c>
      <c r="Q70" s="24">
        <v>609</v>
      </c>
      <c r="R70" s="24">
        <v>260652</v>
      </c>
      <c r="S70" s="24">
        <v>478</v>
      </c>
      <c r="T70" s="24">
        <v>196458</v>
      </c>
      <c r="U70" s="24">
        <v>745</v>
      </c>
      <c r="V70" s="24">
        <v>312900</v>
      </c>
      <c r="W70" s="24">
        <v>115</v>
      </c>
      <c r="X70" s="24">
        <v>48990</v>
      </c>
      <c r="Y70">
        <f t="shared" si="1"/>
        <v>3194</v>
      </c>
    </row>
    <row r="71" spans="1:25" x14ac:dyDescent="0.4">
      <c r="A71" s="24" t="s">
        <v>2157</v>
      </c>
      <c r="B71" s="24" t="s">
        <v>2158</v>
      </c>
      <c r="C71" s="25">
        <v>42754</v>
      </c>
      <c r="D71" s="24" t="s">
        <v>2027</v>
      </c>
      <c r="E71" s="24" t="s">
        <v>2020</v>
      </c>
      <c r="F71" s="24" t="s">
        <v>2017</v>
      </c>
      <c r="G71" s="24">
        <v>526</v>
      </c>
      <c r="H71" s="24">
        <v>160956</v>
      </c>
      <c r="I71" s="24">
        <v>429</v>
      </c>
      <c r="J71" s="24">
        <v>178464</v>
      </c>
      <c r="K71" s="24">
        <v>244</v>
      </c>
      <c r="L71" s="24">
        <v>82960</v>
      </c>
      <c r="M71" s="24">
        <v>227</v>
      </c>
      <c r="N71" s="24">
        <v>81493</v>
      </c>
      <c r="O71" s="24">
        <v>145</v>
      </c>
      <c r="P71" s="24">
        <v>63800</v>
      </c>
      <c r="Q71" s="24">
        <v>765</v>
      </c>
      <c r="R71" s="24">
        <v>292230</v>
      </c>
      <c r="S71" s="24">
        <v>429</v>
      </c>
      <c r="T71" s="24">
        <v>193050</v>
      </c>
      <c r="U71" s="24">
        <v>734</v>
      </c>
      <c r="V71" s="24">
        <v>225338</v>
      </c>
      <c r="W71" s="24">
        <v>202</v>
      </c>
      <c r="X71" s="24">
        <v>64842</v>
      </c>
      <c r="Y71">
        <f t="shared" si="1"/>
        <v>3701</v>
      </c>
    </row>
    <row r="72" spans="1:25" x14ac:dyDescent="0.4">
      <c r="A72" s="24" t="s">
        <v>2159</v>
      </c>
      <c r="B72" s="24" t="s">
        <v>2160</v>
      </c>
      <c r="C72" s="25">
        <v>42790</v>
      </c>
      <c r="D72" s="24" t="s">
        <v>2027</v>
      </c>
      <c r="E72" s="24" t="s">
        <v>2028</v>
      </c>
      <c r="F72" s="24" t="s">
        <v>2017</v>
      </c>
      <c r="G72" s="24">
        <v>752</v>
      </c>
      <c r="H72" s="24">
        <v>227104</v>
      </c>
      <c r="I72" s="24">
        <v>284</v>
      </c>
      <c r="J72" s="24">
        <v>104796</v>
      </c>
      <c r="K72" s="24">
        <v>313</v>
      </c>
      <c r="L72" s="24">
        <v>111428</v>
      </c>
      <c r="M72" s="24">
        <v>136</v>
      </c>
      <c r="N72" s="24">
        <v>48688</v>
      </c>
      <c r="O72" s="24">
        <v>560</v>
      </c>
      <c r="P72" s="24">
        <v>235200</v>
      </c>
      <c r="Q72" s="24">
        <v>736</v>
      </c>
      <c r="R72" s="24">
        <v>277472</v>
      </c>
      <c r="S72" s="24">
        <v>542</v>
      </c>
      <c r="T72" s="24">
        <v>181028</v>
      </c>
      <c r="U72" s="24">
        <v>735</v>
      </c>
      <c r="V72" s="24">
        <v>291795</v>
      </c>
      <c r="W72" s="24">
        <v>725</v>
      </c>
      <c r="X72" s="24">
        <v>223300</v>
      </c>
      <c r="Y72">
        <f t="shared" si="1"/>
        <v>4783</v>
      </c>
    </row>
    <row r="73" spans="1:25" x14ac:dyDescent="0.4">
      <c r="A73" s="24" t="s">
        <v>2161</v>
      </c>
      <c r="B73" s="24" t="s">
        <v>2162</v>
      </c>
      <c r="C73" s="25">
        <v>42526</v>
      </c>
      <c r="D73" s="24" t="s">
        <v>2015</v>
      </c>
      <c r="E73" s="24" t="s">
        <v>2020</v>
      </c>
      <c r="F73" s="24" t="s">
        <v>2017</v>
      </c>
      <c r="G73" s="24">
        <v>177</v>
      </c>
      <c r="H73" s="24">
        <v>54339</v>
      </c>
      <c r="I73" s="24">
        <v>750</v>
      </c>
      <c r="J73" s="24">
        <v>247500</v>
      </c>
      <c r="K73" s="24">
        <v>768</v>
      </c>
      <c r="L73" s="24">
        <v>279552</v>
      </c>
      <c r="M73" s="24">
        <v>546</v>
      </c>
      <c r="N73" s="24">
        <v>163800</v>
      </c>
      <c r="O73" s="24">
        <v>291</v>
      </c>
      <c r="P73" s="24">
        <v>123966</v>
      </c>
      <c r="Q73" s="24">
        <v>377</v>
      </c>
      <c r="R73" s="24">
        <v>155324</v>
      </c>
      <c r="S73" s="24">
        <v>322</v>
      </c>
      <c r="T73" s="24">
        <v>129766</v>
      </c>
      <c r="U73" s="24">
        <v>480</v>
      </c>
      <c r="V73" s="24">
        <v>150720</v>
      </c>
      <c r="W73" s="24">
        <v>649</v>
      </c>
      <c r="X73" s="24">
        <v>271931</v>
      </c>
      <c r="Y73">
        <f t="shared" si="1"/>
        <v>4360</v>
      </c>
    </row>
    <row r="74" spans="1:25" x14ac:dyDescent="0.4">
      <c r="A74" s="24" t="s">
        <v>2163</v>
      </c>
      <c r="B74" s="24" t="s">
        <v>2164</v>
      </c>
      <c r="C74" s="25">
        <v>42594</v>
      </c>
      <c r="D74" s="24" t="s">
        <v>2015</v>
      </c>
      <c r="E74" s="24" t="s">
        <v>2016</v>
      </c>
      <c r="F74" s="24" t="s">
        <v>2017</v>
      </c>
      <c r="G74" s="24">
        <v>625</v>
      </c>
      <c r="H74" s="24">
        <v>219375</v>
      </c>
      <c r="I74" s="24">
        <v>265</v>
      </c>
      <c r="J74" s="24">
        <v>117925</v>
      </c>
      <c r="K74" s="24">
        <v>228</v>
      </c>
      <c r="L74" s="24">
        <v>88008</v>
      </c>
      <c r="M74" s="24">
        <v>589</v>
      </c>
      <c r="N74" s="24">
        <v>202616</v>
      </c>
      <c r="O74" s="24">
        <v>477</v>
      </c>
      <c r="P74" s="24">
        <v>198432</v>
      </c>
      <c r="Q74" s="24">
        <v>709</v>
      </c>
      <c r="R74" s="24">
        <v>267293</v>
      </c>
      <c r="S74" s="24">
        <v>667</v>
      </c>
      <c r="T74" s="24">
        <v>210772</v>
      </c>
      <c r="U74" s="24">
        <v>271</v>
      </c>
      <c r="V74" s="24">
        <v>97289</v>
      </c>
      <c r="W74" s="24">
        <v>658</v>
      </c>
      <c r="X74" s="24">
        <v>223062</v>
      </c>
      <c r="Y74">
        <f t="shared" si="1"/>
        <v>4489</v>
      </c>
    </row>
    <row r="75" spans="1:25" x14ac:dyDescent="0.4">
      <c r="A75" s="24" t="s">
        <v>2165</v>
      </c>
      <c r="B75" s="24" t="s">
        <v>2166</v>
      </c>
      <c r="C75" s="25">
        <v>42340</v>
      </c>
      <c r="D75" s="24" t="s">
        <v>2015</v>
      </c>
      <c r="E75" s="24" t="s">
        <v>2016</v>
      </c>
      <c r="F75" s="24" t="s">
        <v>2017</v>
      </c>
      <c r="G75" s="24">
        <v>552</v>
      </c>
      <c r="H75" s="24">
        <v>175536</v>
      </c>
      <c r="I75" s="24">
        <v>173</v>
      </c>
      <c r="J75" s="24">
        <v>62453</v>
      </c>
      <c r="K75" s="24">
        <v>643</v>
      </c>
      <c r="L75" s="24">
        <v>241125</v>
      </c>
      <c r="M75" s="24">
        <v>132</v>
      </c>
      <c r="N75" s="24">
        <v>39864</v>
      </c>
      <c r="O75" s="24">
        <v>657</v>
      </c>
      <c r="P75" s="24">
        <v>210240</v>
      </c>
      <c r="Q75" s="24">
        <v>601</v>
      </c>
      <c r="R75" s="24">
        <v>221168</v>
      </c>
      <c r="S75" s="24">
        <v>656</v>
      </c>
      <c r="T75" s="24">
        <v>256496</v>
      </c>
      <c r="U75" s="24">
        <v>432</v>
      </c>
      <c r="V75" s="24">
        <v>159408</v>
      </c>
      <c r="W75" s="24">
        <v>688</v>
      </c>
      <c r="X75" s="24">
        <v>222224</v>
      </c>
      <c r="Y75">
        <f t="shared" si="1"/>
        <v>4534</v>
      </c>
    </row>
    <row r="76" spans="1:25" x14ac:dyDescent="0.4">
      <c r="A76" s="24" t="s">
        <v>2167</v>
      </c>
      <c r="B76" s="24" t="s">
        <v>2168</v>
      </c>
      <c r="C76" s="25">
        <v>43226</v>
      </c>
      <c r="D76" s="24" t="s">
        <v>2027</v>
      </c>
      <c r="E76" s="24" t="s">
        <v>2020</v>
      </c>
      <c r="F76" s="24" t="s">
        <v>2017</v>
      </c>
      <c r="G76" s="24">
        <v>292</v>
      </c>
      <c r="H76" s="24">
        <v>95484</v>
      </c>
      <c r="I76" s="24">
        <v>290</v>
      </c>
      <c r="J76" s="24">
        <v>116870</v>
      </c>
      <c r="K76" s="24">
        <v>570</v>
      </c>
      <c r="L76" s="24">
        <v>218310</v>
      </c>
      <c r="M76" s="24">
        <v>294</v>
      </c>
      <c r="N76" s="24">
        <v>106428</v>
      </c>
      <c r="O76" s="24">
        <v>261</v>
      </c>
      <c r="P76" s="24">
        <v>116145</v>
      </c>
      <c r="Q76" s="24">
        <v>736</v>
      </c>
      <c r="R76" s="24">
        <v>297344</v>
      </c>
      <c r="S76" s="24">
        <v>776</v>
      </c>
      <c r="T76" s="24">
        <v>337560</v>
      </c>
      <c r="U76" s="24">
        <v>425</v>
      </c>
      <c r="V76" s="24">
        <v>152575</v>
      </c>
      <c r="W76" s="24">
        <v>516</v>
      </c>
      <c r="X76" s="24">
        <v>224976</v>
      </c>
      <c r="Y76">
        <f t="shared" si="1"/>
        <v>4160</v>
      </c>
    </row>
    <row r="77" spans="1:25" x14ac:dyDescent="0.4">
      <c r="A77" s="24" t="s">
        <v>2169</v>
      </c>
      <c r="B77" s="24" t="s">
        <v>2170</v>
      </c>
      <c r="C77" s="25">
        <v>43852</v>
      </c>
      <c r="D77" s="24" t="s">
        <v>2027</v>
      </c>
      <c r="E77" s="24" t="s">
        <v>2028</v>
      </c>
      <c r="F77" s="24" t="s">
        <v>2017</v>
      </c>
      <c r="G77" s="24">
        <v>354</v>
      </c>
      <c r="H77" s="24">
        <v>114696</v>
      </c>
      <c r="I77" s="24">
        <v>648</v>
      </c>
      <c r="J77" s="24">
        <v>220968</v>
      </c>
      <c r="K77" s="24">
        <v>752</v>
      </c>
      <c r="L77" s="24">
        <v>252672</v>
      </c>
      <c r="M77" s="24">
        <v>476</v>
      </c>
      <c r="N77" s="24">
        <v>151368</v>
      </c>
      <c r="O77" s="24">
        <v>442</v>
      </c>
      <c r="P77" s="24">
        <v>153816</v>
      </c>
      <c r="Q77" s="24">
        <v>680</v>
      </c>
      <c r="R77" s="24">
        <v>233920</v>
      </c>
      <c r="S77" s="24">
        <v>242</v>
      </c>
      <c r="T77" s="24">
        <v>75746</v>
      </c>
      <c r="U77" s="24">
        <v>516</v>
      </c>
      <c r="V77" s="24">
        <v>173892</v>
      </c>
      <c r="W77" s="24">
        <v>246</v>
      </c>
      <c r="X77" s="24">
        <v>84624</v>
      </c>
      <c r="Y77">
        <f t="shared" si="1"/>
        <v>4356</v>
      </c>
    </row>
    <row r="78" spans="1:25" x14ac:dyDescent="0.4">
      <c r="A78" s="24" t="s">
        <v>2171</v>
      </c>
      <c r="B78" s="24" t="s">
        <v>2172</v>
      </c>
      <c r="C78" s="25">
        <v>43650</v>
      </c>
      <c r="D78" s="24" t="s">
        <v>2015</v>
      </c>
      <c r="E78" s="24" t="s">
        <v>2020</v>
      </c>
      <c r="F78" s="24" t="s">
        <v>2017</v>
      </c>
      <c r="G78" s="24">
        <v>685</v>
      </c>
      <c r="H78" s="24">
        <v>265780</v>
      </c>
      <c r="I78" s="24">
        <v>617</v>
      </c>
      <c r="J78" s="24">
        <v>235694</v>
      </c>
      <c r="K78" s="24">
        <v>418</v>
      </c>
      <c r="L78" s="24">
        <v>127908</v>
      </c>
      <c r="M78" s="24">
        <v>163</v>
      </c>
      <c r="N78" s="24">
        <v>67971</v>
      </c>
      <c r="O78" s="24">
        <v>277</v>
      </c>
      <c r="P78" s="24">
        <v>83100</v>
      </c>
      <c r="Q78" s="24">
        <v>710</v>
      </c>
      <c r="R78" s="24">
        <v>241400</v>
      </c>
      <c r="S78" s="24">
        <v>429</v>
      </c>
      <c r="T78" s="24">
        <v>172029</v>
      </c>
      <c r="U78" s="24">
        <v>350</v>
      </c>
      <c r="V78" s="24">
        <v>141750</v>
      </c>
      <c r="W78" s="24">
        <v>348</v>
      </c>
      <c r="X78" s="24">
        <v>131196</v>
      </c>
      <c r="Y78">
        <f t="shared" si="1"/>
        <v>3997</v>
      </c>
    </row>
    <row r="79" spans="1:25" x14ac:dyDescent="0.4">
      <c r="A79" s="24" t="s">
        <v>2173</v>
      </c>
      <c r="B79" s="24" t="s">
        <v>2174</v>
      </c>
      <c r="C79" s="25">
        <v>43537</v>
      </c>
      <c r="D79" s="24" t="s">
        <v>2027</v>
      </c>
      <c r="E79" s="24" t="s">
        <v>2016</v>
      </c>
      <c r="F79" s="24" t="s">
        <v>2017</v>
      </c>
      <c r="G79" s="24">
        <v>734</v>
      </c>
      <c r="H79" s="24">
        <v>326630</v>
      </c>
      <c r="I79" s="24">
        <v>590</v>
      </c>
      <c r="J79" s="24">
        <v>183490</v>
      </c>
      <c r="K79" s="24">
        <v>279</v>
      </c>
      <c r="L79" s="24">
        <v>104067</v>
      </c>
      <c r="M79" s="24">
        <v>730</v>
      </c>
      <c r="N79" s="24">
        <v>247470</v>
      </c>
      <c r="O79" s="24">
        <v>798</v>
      </c>
      <c r="P79" s="24">
        <v>244986</v>
      </c>
      <c r="Q79" s="24">
        <v>491</v>
      </c>
      <c r="R79" s="24">
        <v>217022</v>
      </c>
      <c r="S79" s="24">
        <v>182</v>
      </c>
      <c r="T79" s="24">
        <v>72982</v>
      </c>
      <c r="U79" s="24">
        <v>423</v>
      </c>
      <c r="V79" s="24">
        <v>137898</v>
      </c>
      <c r="W79" s="24">
        <v>160</v>
      </c>
      <c r="X79" s="24">
        <v>68480</v>
      </c>
      <c r="Y79">
        <f t="shared" si="1"/>
        <v>4387</v>
      </c>
    </row>
    <row r="80" spans="1:25" x14ac:dyDescent="0.4">
      <c r="A80" s="24" t="s">
        <v>2175</v>
      </c>
      <c r="B80" s="24" t="s">
        <v>2176</v>
      </c>
      <c r="C80" s="25">
        <v>43726</v>
      </c>
      <c r="D80" s="24" t="s">
        <v>2015</v>
      </c>
      <c r="E80" s="24" t="s">
        <v>2028</v>
      </c>
      <c r="F80" s="24" t="s">
        <v>2017</v>
      </c>
      <c r="G80" s="24">
        <v>305</v>
      </c>
      <c r="H80" s="24">
        <v>116815</v>
      </c>
      <c r="I80" s="24">
        <v>476</v>
      </c>
      <c r="J80" s="24">
        <v>159460</v>
      </c>
      <c r="K80" s="24">
        <v>315</v>
      </c>
      <c r="L80" s="24">
        <v>94815</v>
      </c>
      <c r="M80" s="24">
        <v>264</v>
      </c>
      <c r="N80" s="24">
        <v>106920</v>
      </c>
      <c r="O80" s="24">
        <v>341</v>
      </c>
      <c r="P80" s="24">
        <v>134354</v>
      </c>
      <c r="Q80" s="24">
        <v>523</v>
      </c>
      <c r="R80" s="24">
        <v>168929</v>
      </c>
      <c r="S80" s="24">
        <v>105</v>
      </c>
      <c r="T80" s="24">
        <v>39060</v>
      </c>
      <c r="U80" s="24">
        <v>522</v>
      </c>
      <c r="V80" s="24">
        <v>218196</v>
      </c>
      <c r="W80" s="24">
        <v>718</v>
      </c>
      <c r="X80" s="24">
        <v>263506</v>
      </c>
      <c r="Y80">
        <f t="shared" si="1"/>
        <v>3569</v>
      </c>
    </row>
    <row r="81" spans="1:25" x14ac:dyDescent="0.4">
      <c r="A81" s="24" t="s">
        <v>2177</v>
      </c>
      <c r="B81" s="24" t="s">
        <v>2178</v>
      </c>
      <c r="C81" s="25">
        <v>43937</v>
      </c>
      <c r="D81" s="24" t="s">
        <v>2015</v>
      </c>
      <c r="E81" s="24" t="s">
        <v>2016</v>
      </c>
      <c r="F81" s="24" t="s">
        <v>2017</v>
      </c>
      <c r="G81" s="24">
        <v>249</v>
      </c>
      <c r="H81" s="24">
        <v>96363</v>
      </c>
      <c r="I81" s="24">
        <v>639</v>
      </c>
      <c r="J81" s="24">
        <v>202563</v>
      </c>
      <c r="K81" s="24">
        <v>520</v>
      </c>
      <c r="L81" s="24">
        <v>182000</v>
      </c>
      <c r="M81" s="24">
        <v>277</v>
      </c>
      <c r="N81" s="24">
        <v>103875</v>
      </c>
      <c r="O81" s="24">
        <v>574</v>
      </c>
      <c r="P81" s="24">
        <v>216972</v>
      </c>
      <c r="Q81" s="24">
        <v>180</v>
      </c>
      <c r="R81" s="24">
        <v>62280</v>
      </c>
      <c r="S81" s="24">
        <v>378</v>
      </c>
      <c r="T81" s="24">
        <v>114912</v>
      </c>
      <c r="U81" s="24">
        <v>631</v>
      </c>
      <c r="V81" s="24">
        <v>283319</v>
      </c>
      <c r="W81" s="24">
        <v>219</v>
      </c>
      <c r="X81" s="24">
        <v>71175</v>
      </c>
      <c r="Y81">
        <f t="shared" si="1"/>
        <v>3667</v>
      </c>
    </row>
    <row r="82" spans="1:25" x14ac:dyDescent="0.4">
      <c r="A82" s="24" t="s">
        <v>2179</v>
      </c>
      <c r="B82" s="24" t="s">
        <v>2180</v>
      </c>
      <c r="C82" s="25">
        <v>43005</v>
      </c>
      <c r="D82" s="24" t="s">
        <v>2027</v>
      </c>
      <c r="E82" s="24" t="s">
        <v>2020</v>
      </c>
      <c r="F82" s="24" t="s">
        <v>2017</v>
      </c>
      <c r="G82" s="24">
        <v>673</v>
      </c>
      <c r="H82" s="24">
        <v>279968</v>
      </c>
      <c r="I82" s="24">
        <v>253</v>
      </c>
      <c r="J82" s="24">
        <v>77418</v>
      </c>
      <c r="K82" s="24">
        <v>368</v>
      </c>
      <c r="L82" s="24">
        <v>118864</v>
      </c>
      <c r="M82" s="24">
        <v>576</v>
      </c>
      <c r="N82" s="24">
        <v>237312</v>
      </c>
      <c r="O82" s="24">
        <v>279</v>
      </c>
      <c r="P82" s="24">
        <v>118854</v>
      </c>
      <c r="Q82" s="24">
        <v>310</v>
      </c>
      <c r="R82" s="24">
        <v>121830</v>
      </c>
      <c r="S82" s="24">
        <v>681</v>
      </c>
      <c r="T82" s="24">
        <v>262185</v>
      </c>
      <c r="U82" s="24">
        <v>583</v>
      </c>
      <c r="V82" s="24">
        <v>209297</v>
      </c>
      <c r="W82" s="24">
        <v>741</v>
      </c>
      <c r="X82" s="24">
        <v>263055</v>
      </c>
      <c r="Y82">
        <f t="shared" si="1"/>
        <v>4464</v>
      </c>
    </row>
    <row r="83" spans="1:25" x14ac:dyDescent="0.4">
      <c r="A83" s="24" t="s">
        <v>2181</v>
      </c>
      <c r="B83" s="24" t="s">
        <v>2182</v>
      </c>
      <c r="C83" s="25">
        <v>44155</v>
      </c>
      <c r="D83" s="24" t="s">
        <v>2027</v>
      </c>
      <c r="E83" s="24" t="s">
        <v>2016</v>
      </c>
      <c r="F83" s="24" t="s">
        <v>2017</v>
      </c>
      <c r="G83" s="24">
        <v>164</v>
      </c>
      <c r="H83" s="24">
        <v>67404</v>
      </c>
      <c r="I83" s="24">
        <v>313</v>
      </c>
      <c r="J83" s="24">
        <v>123009</v>
      </c>
      <c r="K83" s="24">
        <v>694</v>
      </c>
      <c r="L83" s="24">
        <v>289398</v>
      </c>
      <c r="M83" s="24">
        <v>461</v>
      </c>
      <c r="N83" s="24">
        <v>200074</v>
      </c>
      <c r="O83" s="24">
        <v>390</v>
      </c>
      <c r="P83" s="24">
        <v>126750</v>
      </c>
      <c r="Q83" s="24">
        <v>744</v>
      </c>
      <c r="R83" s="24">
        <v>277512</v>
      </c>
      <c r="S83" s="24">
        <v>516</v>
      </c>
      <c r="T83" s="24">
        <v>222396</v>
      </c>
      <c r="U83" s="24">
        <v>214</v>
      </c>
      <c r="V83" s="24">
        <v>86456</v>
      </c>
      <c r="W83" s="24">
        <v>647</v>
      </c>
      <c r="X83" s="24">
        <v>266564</v>
      </c>
      <c r="Y83">
        <f t="shared" si="1"/>
        <v>4143</v>
      </c>
    </row>
    <row r="84" spans="1:25" x14ac:dyDescent="0.4">
      <c r="A84" s="24" t="s">
        <v>2183</v>
      </c>
      <c r="B84" s="24" t="s">
        <v>2184</v>
      </c>
      <c r="C84" s="25">
        <v>42759</v>
      </c>
      <c r="D84" s="24" t="s">
        <v>2015</v>
      </c>
      <c r="E84" s="24" t="s">
        <v>2028</v>
      </c>
      <c r="F84" s="24" t="s">
        <v>2017</v>
      </c>
      <c r="G84" s="24">
        <v>396</v>
      </c>
      <c r="H84" s="24">
        <v>139788</v>
      </c>
      <c r="I84" s="24">
        <v>360</v>
      </c>
      <c r="J84" s="24">
        <v>158040</v>
      </c>
      <c r="K84" s="24">
        <v>454</v>
      </c>
      <c r="L84" s="24">
        <v>146188</v>
      </c>
      <c r="M84" s="24">
        <v>458</v>
      </c>
      <c r="N84" s="24">
        <v>174498</v>
      </c>
      <c r="O84" s="24">
        <v>773</v>
      </c>
      <c r="P84" s="24">
        <v>320022</v>
      </c>
      <c r="Q84" s="24">
        <v>360</v>
      </c>
      <c r="R84" s="24">
        <v>157680</v>
      </c>
      <c r="S84" s="24">
        <v>176</v>
      </c>
      <c r="T84" s="24">
        <v>77792</v>
      </c>
      <c r="U84" s="24">
        <v>655</v>
      </c>
      <c r="V84" s="24">
        <v>204360</v>
      </c>
      <c r="W84" s="24">
        <v>219</v>
      </c>
      <c r="X84" s="24">
        <v>98550</v>
      </c>
      <c r="Y84">
        <f t="shared" si="1"/>
        <v>3851</v>
      </c>
    </row>
    <row r="85" spans="1:25" x14ac:dyDescent="0.4">
      <c r="A85" s="24" t="s">
        <v>2185</v>
      </c>
      <c r="B85" s="24" t="s">
        <v>2186</v>
      </c>
      <c r="C85" s="25">
        <v>43807</v>
      </c>
      <c r="D85" s="24" t="s">
        <v>2015</v>
      </c>
      <c r="E85" s="24" t="s">
        <v>2028</v>
      </c>
      <c r="F85" s="24" t="s">
        <v>2017</v>
      </c>
      <c r="G85" s="24">
        <v>530</v>
      </c>
      <c r="H85" s="24">
        <v>166420</v>
      </c>
      <c r="I85" s="24">
        <v>211</v>
      </c>
      <c r="J85" s="24">
        <v>87776</v>
      </c>
      <c r="K85" s="24">
        <v>122</v>
      </c>
      <c r="L85" s="24">
        <v>38796</v>
      </c>
      <c r="M85" s="24">
        <v>510</v>
      </c>
      <c r="N85" s="24">
        <v>202470</v>
      </c>
      <c r="O85" s="24">
        <v>147</v>
      </c>
      <c r="P85" s="24">
        <v>51303</v>
      </c>
      <c r="Q85" s="24">
        <v>237</v>
      </c>
      <c r="R85" s="24">
        <v>79395</v>
      </c>
      <c r="S85" s="24">
        <v>170</v>
      </c>
      <c r="T85" s="24">
        <v>73950</v>
      </c>
      <c r="U85" s="24">
        <v>273</v>
      </c>
      <c r="V85" s="24">
        <v>103194</v>
      </c>
      <c r="W85" s="24">
        <v>115</v>
      </c>
      <c r="X85" s="24">
        <v>45655</v>
      </c>
      <c r="Y85">
        <f t="shared" si="1"/>
        <v>2315</v>
      </c>
    </row>
    <row r="86" spans="1:25" x14ac:dyDescent="0.4">
      <c r="A86" s="24" t="s">
        <v>2187</v>
      </c>
      <c r="B86" s="24" t="s">
        <v>2188</v>
      </c>
      <c r="C86" s="25">
        <v>43126</v>
      </c>
      <c r="D86" s="24" t="s">
        <v>2015</v>
      </c>
      <c r="E86" s="24" t="s">
        <v>2028</v>
      </c>
      <c r="F86" s="24" t="s">
        <v>2017</v>
      </c>
      <c r="G86" s="24">
        <v>599</v>
      </c>
      <c r="H86" s="24">
        <v>190482</v>
      </c>
      <c r="I86" s="24">
        <v>780</v>
      </c>
      <c r="J86" s="24">
        <v>348660</v>
      </c>
      <c r="K86" s="24">
        <v>105</v>
      </c>
      <c r="L86" s="24">
        <v>44940</v>
      </c>
      <c r="M86" s="24">
        <v>317</v>
      </c>
      <c r="N86" s="24">
        <v>130921</v>
      </c>
      <c r="O86" s="24">
        <v>726</v>
      </c>
      <c r="P86" s="24">
        <v>279510</v>
      </c>
      <c r="Q86" s="24">
        <v>146</v>
      </c>
      <c r="R86" s="24">
        <v>55042</v>
      </c>
      <c r="S86" s="24">
        <v>390</v>
      </c>
      <c r="T86" s="24">
        <v>150930</v>
      </c>
      <c r="U86" s="24">
        <v>580</v>
      </c>
      <c r="V86" s="24">
        <v>197200</v>
      </c>
      <c r="W86" s="24">
        <v>761</v>
      </c>
      <c r="X86" s="24">
        <v>264828</v>
      </c>
      <c r="Y86">
        <f t="shared" si="1"/>
        <v>4404</v>
      </c>
    </row>
    <row r="87" spans="1:25" x14ac:dyDescent="0.4">
      <c r="A87" s="24" t="s">
        <v>2189</v>
      </c>
      <c r="B87" s="24" t="s">
        <v>2190</v>
      </c>
      <c r="C87" s="25">
        <v>43126</v>
      </c>
      <c r="D87" s="24" t="s">
        <v>2015</v>
      </c>
      <c r="E87" s="24" t="s">
        <v>2016</v>
      </c>
      <c r="F87" s="24" t="s">
        <v>2017</v>
      </c>
      <c r="G87" s="24">
        <v>388</v>
      </c>
      <c r="H87" s="24">
        <v>169944</v>
      </c>
      <c r="I87" s="24">
        <v>296</v>
      </c>
      <c r="J87" s="24">
        <v>116920</v>
      </c>
      <c r="K87" s="24">
        <v>688</v>
      </c>
      <c r="L87" s="24">
        <v>253872</v>
      </c>
      <c r="M87" s="24">
        <v>237</v>
      </c>
      <c r="N87" s="24">
        <v>72759</v>
      </c>
      <c r="O87" s="24">
        <v>322</v>
      </c>
      <c r="P87" s="24">
        <v>128156</v>
      </c>
      <c r="Q87" s="24">
        <v>272</v>
      </c>
      <c r="R87" s="24">
        <v>82960</v>
      </c>
      <c r="S87" s="24">
        <v>489</v>
      </c>
      <c r="T87" s="24">
        <v>190710</v>
      </c>
      <c r="U87" s="24">
        <v>420</v>
      </c>
      <c r="V87" s="24">
        <v>188160</v>
      </c>
      <c r="W87" s="24">
        <v>541</v>
      </c>
      <c r="X87" s="24">
        <v>236417</v>
      </c>
      <c r="Y87">
        <f t="shared" si="1"/>
        <v>3653</v>
      </c>
    </row>
    <row r="88" spans="1:25" x14ac:dyDescent="0.4">
      <c r="A88" s="24" t="s">
        <v>2191</v>
      </c>
      <c r="B88" s="24" t="s">
        <v>2192</v>
      </c>
      <c r="C88" s="25">
        <v>44068</v>
      </c>
      <c r="D88" s="24" t="s">
        <v>2015</v>
      </c>
      <c r="E88" s="24" t="s">
        <v>2028</v>
      </c>
      <c r="F88" s="24" t="s">
        <v>2017</v>
      </c>
      <c r="G88" s="24">
        <v>551</v>
      </c>
      <c r="H88" s="24">
        <v>235828</v>
      </c>
      <c r="I88" s="24">
        <v>302</v>
      </c>
      <c r="J88" s="24">
        <v>97546</v>
      </c>
      <c r="K88" s="24">
        <v>775</v>
      </c>
      <c r="L88" s="24">
        <v>241025</v>
      </c>
      <c r="M88" s="24">
        <v>293</v>
      </c>
      <c r="N88" s="24">
        <v>97569</v>
      </c>
      <c r="O88" s="24">
        <v>398</v>
      </c>
      <c r="P88" s="24">
        <v>134524</v>
      </c>
      <c r="Q88" s="24">
        <v>698</v>
      </c>
      <c r="R88" s="24">
        <v>294556</v>
      </c>
      <c r="S88" s="24">
        <v>277</v>
      </c>
      <c r="T88" s="24">
        <v>119110</v>
      </c>
      <c r="U88" s="24">
        <v>533</v>
      </c>
      <c r="V88" s="24">
        <v>238251</v>
      </c>
      <c r="W88" s="24">
        <v>116</v>
      </c>
      <c r="X88" s="24">
        <v>35844</v>
      </c>
      <c r="Y88">
        <f t="shared" si="1"/>
        <v>3943</v>
      </c>
    </row>
    <row r="89" spans="1:25" x14ac:dyDescent="0.4">
      <c r="A89" s="24" t="s">
        <v>2193</v>
      </c>
      <c r="B89" s="24" t="s">
        <v>2194</v>
      </c>
      <c r="C89" s="25">
        <v>43227</v>
      </c>
      <c r="D89" s="24" t="s">
        <v>2027</v>
      </c>
      <c r="E89" s="24" t="s">
        <v>2020</v>
      </c>
      <c r="F89" s="24" t="s">
        <v>2017</v>
      </c>
      <c r="G89" s="24">
        <v>110</v>
      </c>
      <c r="H89" s="24">
        <v>38830</v>
      </c>
      <c r="I89" s="24">
        <v>176</v>
      </c>
      <c r="J89" s="24">
        <v>52976</v>
      </c>
      <c r="K89" s="24">
        <v>292</v>
      </c>
      <c r="L89" s="24">
        <v>122640</v>
      </c>
      <c r="M89" s="24">
        <v>165</v>
      </c>
      <c r="N89" s="24">
        <v>67980</v>
      </c>
      <c r="O89" s="24">
        <v>492</v>
      </c>
      <c r="P89" s="24">
        <v>217464</v>
      </c>
      <c r="Q89" s="24">
        <v>215</v>
      </c>
      <c r="R89" s="24">
        <v>84065</v>
      </c>
      <c r="S89" s="24">
        <v>276</v>
      </c>
      <c r="T89" s="24">
        <v>88044</v>
      </c>
      <c r="U89" s="24">
        <v>259</v>
      </c>
      <c r="V89" s="24">
        <v>104118</v>
      </c>
      <c r="W89" s="24">
        <v>509</v>
      </c>
      <c r="X89" s="24">
        <v>161862</v>
      </c>
      <c r="Y89">
        <f t="shared" si="1"/>
        <v>2494</v>
      </c>
    </row>
    <row r="90" spans="1:25" x14ac:dyDescent="0.4">
      <c r="A90" s="24" t="s">
        <v>2195</v>
      </c>
      <c r="B90" s="24" t="s">
        <v>2196</v>
      </c>
      <c r="C90" s="25">
        <v>42125</v>
      </c>
      <c r="D90" s="24" t="s">
        <v>2027</v>
      </c>
      <c r="E90" s="24" t="s">
        <v>2028</v>
      </c>
      <c r="F90" s="24" t="s">
        <v>2017</v>
      </c>
      <c r="G90" s="24">
        <v>689</v>
      </c>
      <c r="H90" s="24">
        <v>275600</v>
      </c>
      <c r="I90" s="24">
        <v>643</v>
      </c>
      <c r="J90" s="24">
        <v>253342</v>
      </c>
      <c r="K90" s="24">
        <v>667</v>
      </c>
      <c r="L90" s="24">
        <v>211439</v>
      </c>
      <c r="M90" s="24">
        <v>303</v>
      </c>
      <c r="N90" s="24">
        <v>103626</v>
      </c>
      <c r="O90" s="24">
        <v>528</v>
      </c>
      <c r="P90" s="24">
        <v>160512</v>
      </c>
      <c r="Q90" s="24">
        <v>260</v>
      </c>
      <c r="R90" s="24">
        <v>111280</v>
      </c>
      <c r="S90" s="24">
        <v>355</v>
      </c>
      <c r="T90" s="24">
        <v>139870</v>
      </c>
      <c r="U90" s="24">
        <v>105</v>
      </c>
      <c r="V90" s="24">
        <v>35910</v>
      </c>
      <c r="W90" s="24">
        <v>290</v>
      </c>
      <c r="X90" s="24">
        <v>113100</v>
      </c>
      <c r="Y90">
        <f t="shared" si="1"/>
        <v>3840</v>
      </c>
    </row>
    <row r="91" spans="1:25" x14ac:dyDescent="0.4">
      <c r="A91" s="24" t="s">
        <v>2197</v>
      </c>
      <c r="B91" s="24" t="s">
        <v>2198</v>
      </c>
      <c r="C91" s="25">
        <v>42784</v>
      </c>
      <c r="D91" s="24" t="s">
        <v>2015</v>
      </c>
      <c r="E91" s="24" t="s">
        <v>2028</v>
      </c>
      <c r="F91" s="24" t="s">
        <v>2017</v>
      </c>
      <c r="G91" s="24">
        <v>727</v>
      </c>
      <c r="H91" s="24">
        <v>234094</v>
      </c>
      <c r="I91" s="24">
        <v>267</v>
      </c>
      <c r="J91" s="24">
        <v>83571</v>
      </c>
      <c r="K91" s="24">
        <v>478</v>
      </c>
      <c r="L91" s="24">
        <v>171124</v>
      </c>
      <c r="M91" s="24">
        <v>588</v>
      </c>
      <c r="N91" s="24">
        <v>196392</v>
      </c>
      <c r="O91" s="24">
        <v>211</v>
      </c>
      <c r="P91" s="24">
        <v>89675</v>
      </c>
      <c r="Q91" s="24">
        <v>734</v>
      </c>
      <c r="R91" s="24">
        <v>278186</v>
      </c>
      <c r="S91" s="24">
        <v>274</v>
      </c>
      <c r="T91" s="24">
        <v>94530</v>
      </c>
      <c r="U91" s="24">
        <v>773</v>
      </c>
      <c r="V91" s="24">
        <v>267458</v>
      </c>
      <c r="W91" s="24">
        <v>713</v>
      </c>
      <c r="X91" s="24">
        <v>216752</v>
      </c>
      <c r="Y91">
        <f t="shared" si="1"/>
        <v>4765</v>
      </c>
    </row>
    <row r="92" spans="1:25" x14ac:dyDescent="0.4">
      <c r="A92" s="24" t="s">
        <v>2199</v>
      </c>
      <c r="B92" s="24" t="s">
        <v>2200</v>
      </c>
      <c r="C92" s="25">
        <v>44046</v>
      </c>
      <c r="D92" s="24" t="s">
        <v>2015</v>
      </c>
      <c r="E92" s="24" t="s">
        <v>2020</v>
      </c>
      <c r="F92" s="24" t="s">
        <v>2017</v>
      </c>
      <c r="G92" s="24">
        <v>346</v>
      </c>
      <c r="H92" s="24">
        <v>126636</v>
      </c>
      <c r="I92" s="24">
        <v>652</v>
      </c>
      <c r="J92" s="24">
        <v>213204</v>
      </c>
      <c r="K92" s="24">
        <v>624</v>
      </c>
      <c r="L92" s="24">
        <v>230256</v>
      </c>
      <c r="M92" s="24">
        <v>700</v>
      </c>
      <c r="N92" s="24">
        <v>296100</v>
      </c>
      <c r="O92" s="24">
        <v>541</v>
      </c>
      <c r="P92" s="24">
        <v>233171</v>
      </c>
      <c r="Q92" s="24">
        <v>329</v>
      </c>
      <c r="R92" s="24">
        <v>146734</v>
      </c>
      <c r="S92" s="24">
        <v>790</v>
      </c>
      <c r="T92" s="24">
        <v>238580</v>
      </c>
      <c r="U92" s="24">
        <v>375</v>
      </c>
      <c r="V92" s="24">
        <v>141000</v>
      </c>
      <c r="W92" s="24">
        <v>614</v>
      </c>
      <c r="X92" s="24">
        <v>265862</v>
      </c>
      <c r="Y92">
        <f t="shared" si="1"/>
        <v>4971</v>
      </c>
    </row>
    <row r="93" spans="1:25" x14ac:dyDescent="0.4">
      <c r="A93" s="24" t="s">
        <v>2201</v>
      </c>
      <c r="B93" s="24" t="s">
        <v>2202</v>
      </c>
      <c r="C93" s="25">
        <v>42040</v>
      </c>
      <c r="D93" s="24" t="s">
        <v>2015</v>
      </c>
      <c r="E93" s="24" t="s">
        <v>2028</v>
      </c>
      <c r="F93" s="24" t="s">
        <v>2017</v>
      </c>
      <c r="G93" s="24">
        <v>689</v>
      </c>
      <c r="H93" s="24">
        <v>251485</v>
      </c>
      <c r="I93" s="24">
        <v>675</v>
      </c>
      <c r="J93" s="24">
        <v>258525</v>
      </c>
      <c r="K93" s="24">
        <v>363</v>
      </c>
      <c r="L93" s="24">
        <v>153549</v>
      </c>
      <c r="M93" s="24">
        <v>432</v>
      </c>
      <c r="N93" s="24">
        <v>154656</v>
      </c>
      <c r="O93" s="24">
        <v>566</v>
      </c>
      <c r="P93" s="24">
        <v>229230</v>
      </c>
      <c r="Q93" s="24">
        <v>440</v>
      </c>
      <c r="R93" s="24">
        <v>154880</v>
      </c>
      <c r="S93" s="24">
        <v>122</v>
      </c>
      <c r="T93" s="24">
        <v>49654</v>
      </c>
      <c r="U93" s="24">
        <v>584</v>
      </c>
      <c r="V93" s="24">
        <v>223672</v>
      </c>
      <c r="W93" s="24">
        <v>592</v>
      </c>
      <c r="X93" s="24">
        <v>238576</v>
      </c>
      <c r="Y93">
        <f t="shared" si="1"/>
        <v>4463</v>
      </c>
    </row>
    <row r="94" spans="1:25" x14ac:dyDescent="0.4">
      <c r="A94" s="24" t="s">
        <v>2203</v>
      </c>
      <c r="B94" s="24" t="s">
        <v>2204</v>
      </c>
      <c r="C94" s="25">
        <v>43043</v>
      </c>
      <c r="D94" s="24" t="s">
        <v>2015</v>
      </c>
      <c r="E94" s="24" t="s">
        <v>2028</v>
      </c>
      <c r="F94" s="24" t="s">
        <v>2017</v>
      </c>
      <c r="G94" s="24">
        <v>434</v>
      </c>
      <c r="H94" s="24">
        <v>179242</v>
      </c>
      <c r="I94" s="24">
        <v>603</v>
      </c>
      <c r="J94" s="24">
        <v>242406</v>
      </c>
      <c r="K94" s="24">
        <v>561</v>
      </c>
      <c r="L94" s="24">
        <v>199716</v>
      </c>
      <c r="M94" s="24">
        <v>163</v>
      </c>
      <c r="N94" s="24">
        <v>73024</v>
      </c>
      <c r="O94" s="24">
        <v>678</v>
      </c>
      <c r="P94" s="24">
        <v>289506</v>
      </c>
      <c r="Q94" s="24">
        <v>573</v>
      </c>
      <c r="R94" s="24">
        <v>252693</v>
      </c>
      <c r="S94" s="24">
        <v>353</v>
      </c>
      <c r="T94" s="24">
        <v>117902</v>
      </c>
      <c r="U94" s="24">
        <v>205</v>
      </c>
      <c r="V94" s="24">
        <v>83845</v>
      </c>
      <c r="W94" s="24">
        <v>608</v>
      </c>
      <c r="X94" s="24">
        <v>254752</v>
      </c>
      <c r="Y94">
        <f t="shared" si="1"/>
        <v>4178</v>
      </c>
    </row>
    <row r="95" spans="1:25" x14ac:dyDescent="0.4">
      <c r="A95" s="24" t="s">
        <v>2205</v>
      </c>
      <c r="B95" s="24" t="s">
        <v>2206</v>
      </c>
      <c r="C95" s="25">
        <v>42865</v>
      </c>
      <c r="D95" s="24" t="s">
        <v>2027</v>
      </c>
      <c r="E95" s="24" t="s">
        <v>2016</v>
      </c>
      <c r="F95" s="24" t="s">
        <v>2017</v>
      </c>
      <c r="G95" s="24">
        <v>254</v>
      </c>
      <c r="H95" s="24">
        <v>88646</v>
      </c>
      <c r="I95" s="24">
        <v>494</v>
      </c>
      <c r="J95" s="24">
        <v>152646</v>
      </c>
      <c r="K95" s="24">
        <v>398</v>
      </c>
      <c r="L95" s="24">
        <v>163976</v>
      </c>
      <c r="M95" s="24">
        <v>165</v>
      </c>
      <c r="N95" s="24">
        <v>64185</v>
      </c>
      <c r="O95" s="24">
        <v>459</v>
      </c>
      <c r="P95" s="24">
        <v>157437</v>
      </c>
      <c r="Q95" s="24">
        <v>730</v>
      </c>
      <c r="R95" s="24">
        <v>251850</v>
      </c>
      <c r="S95" s="24">
        <v>180</v>
      </c>
      <c r="T95" s="24">
        <v>80460</v>
      </c>
      <c r="U95" s="24">
        <v>478</v>
      </c>
      <c r="V95" s="24">
        <v>199804</v>
      </c>
      <c r="W95" s="24">
        <v>104</v>
      </c>
      <c r="X95" s="24">
        <v>41704</v>
      </c>
      <c r="Y95">
        <f t="shared" si="1"/>
        <v>3262</v>
      </c>
    </row>
    <row r="96" spans="1:25" x14ac:dyDescent="0.4">
      <c r="A96" s="24" t="s">
        <v>2207</v>
      </c>
      <c r="B96" s="24" t="s">
        <v>2208</v>
      </c>
      <c r="C96" s="25">
        <v>42963</v>
      </c>
      <c r="D96" s="24" t="s">
        <v>2015</v>
      </c>
      <c r="E96" s="24" t="s">
        <v>2028</v>
      </c>
      <c r="F96" s="24" t="s">
        <v>2017</v>
      </c>
      <c r="G96" s="24">
        <v>682</v>
      </c>
      <c r="H96" s="24">
        <v>243474</v>
      </c>
      <c r="I96" s="24">
        <v>782</v>
      </c>
      <c r="J96" s="24">
        <v>305762</v>
      </c>
      <c r="K96" s="24">
        <v>551</v>
      </c>
      <c r="L96" s="24">
        <v>240787</v>
      </c>
      <c r="M96" s="24">
        <v>266</v>
      </c>
      <c r="N96" s="24">
        <v>107730</v>
      </c>
      <c r="O96" s="24">
        <v>450</v>
      </c>
      <c r="P96" s="24">
        <v>161550</v>
      </c>
      <c r="Q96" s="24">
        <v>248</v>
      </c>
      <c r="R96" s="24">
        <v>105152</v>
      </c>
      <c r="S96" s="24">
        <v>496</v>
      </c>
      <c r="T96" s="24">
        <v>211296</v>
      </c>
      <c r="U96" s="24">
        <v>372</v>
      </c>
      <c r="V96" s="24">
        <v>135780</v>
      </c>
      <c r="W96" s="24">
        <v>516</v>
      </c>
      <c r="X96" s="24">
        <v>184728</v>
      </c>
      <c r="Y96">
        <f t="shared" si="1"/>
        <v>4363</v>
      </c>
    </row>
    <row r="97" spans="1:25" x14ac:dyDescent="0.4">
      <c r="A97" s="24" t="s">
        <v>2209</v>
      </c>
      <c r="B97" s="24" t="s">
        <v>2210</v>
      </c>
      <c r="C97" s="25">
        <v>43385</v>
      </c>
      <c r="D97" s="24" t="s">
        <v>2027</v>
      </c>
      <c r="E97" s="24" t="s">
        <v>2016</v>
      </c>
      <c r="F97" s="24" t="s">
        <v>2017</v>
      </c>
      <c r="G97" s="24">
        <v>104</v>
      </c>
      <c r="H97" s="24">
        <v>33072</v>
      </c>
      <c r="I97" s="24">
        <v>686</v>
      </c>
      <c r="J97" s="24">
        <v>205800</v>
      </c>
      <c r="K97" s="24">
        <v>584</v>
      </c>
      <c r="L97" s="24">
        <v>179288</v>
      </c>
      <c r="M97" s="24">
        <v>186</v>
      </c>
      <c r="N97" s="24">
        <v>67146</v>
      </c>
      <c r="O97" s="24">
        <v>354</v>
      </c>
      <c r="P97" s="24">
        <v>109032</v>
      </c>
      <c r="Q97" s="24">
        <v>693</v>
      </c>
      <c r="R97" s="24">
        <v>248094</v>
      </c>
      <c r="S97" s="24">
        <v>606</v>
      </c>
      <c r="T97" s="24">
        <v>198162</v>
      </c>
      <c r="U97" s="24">
        <v>485</v>
      </c>
      <c r="V97" s="24">
        <v>195940</v>
      </c>
      <c r="W97" s="24">
        <v>190</v>
      </c>
      <c r="X97" s="24">
        <v>68210</v>
      </c>
      <c r="Y97">
        <f t="shared" si="1"/>
        <v>3888</v>
      </c>
    </row>
    <row r="98" spans="1:25" x14ac:dyDescent="0.4">
      <c r="A98" s="24" t="s">
        <v>2211</v>
      </c>
      <c r="B98" s="24" t="s">
        <v>2212</v>
      </c>
      <c r="C98" s="25">
        <v>42320</v>
      </c>
      <c r="D98" s="24" t="s">
        <v>2015</v>
      </c>
      <c r="E98" s="24" t="s">
        <v>2016</v>
      </c>
      <c r="F98" s="24" t="s">
        <v>2017</v>
      </c>
      <c r="G98" s="24">
        <v>638</v>
      </c>
      <c r="H98" s="24">
        <v>250734</v>
      </c>
      <c r="I98" s="24">
        <v>415</v>
      </c>
      <c r="J98" s="24">
        <v>146495</v>
      </c>
      <c r="K98" s="24">
        <v>119</v>
      </c>
      <c r="L98" s="24">
        <v>41055</v>
      </c>
      <c r="M98" s="24">
        <v>674</v>
      </c>
      <c r="N98" s="24">
        <v>285102</v>
      </c>
      <c r="O98" s="24">
        <v>357</v>
      </c>
      <c r="P98" s="24">
        <v>152082</v>
      </c>
      <c r="Q98" s="24">
        <v>157</v>
      </c>
      <c r="R98" s="24">
        <v>50397</v>
      </c>
      <c r="S98" s="24">
        <v>722</v>
      </c>
      <c r="T98" s="24">
        <v>249090</v>
      </c>
      <c r="U98" s="24">
        <v>564</v>
      </c>
      <c r="V98" s="24">
        <v>206988</v>
      </c>
      <c r="W98" s="24">
        <v>636</v>
      </c>
      <c r="X98" s="24">
        <v>263940</v>
      </c>
      <c r="Y98">
        <f t="shared" si="1"/>
        <v>4282</v>
      </c>
    </row>
    <row r="99" spans="1:25" x14ac:dyDescent="0.4">
      <c r="A99" s="24" t="s">
        <v>2213</v>
      </c>
      <c r="B99" s="24" t="s">
        <v>2214</v>
      </c>
      <c r="C99" s="25">
        <v>43200</v>
      </c>
      <c r="D99" s="24" t="s">
        <v>2015</v>
      </c>
      <c r="E99" s="24" t="s">
        <v>2020</v>
      </c>
      <c r="F99" s="24" t="s">
        <v>2017</v>
      </c>
      <c r="G99" s="24">
        <v>331</v>
      </c>
      <c r="H99" s="24">
        <v>144647</v>
      </c>
      <c r="I99" s="24">
        <v>523</v>
      </c>
      <c r="J99" s="24">
        <v>181481</v>
      </c>
      <c r="K99" s="24">
        <v>607</v>
      </c>
      <c r="L99" s="24">
        <v>242800</v>
      </c>
      <c r="M99" s="24">
        <v>281</v>
      </c>
      <c r="N99" s="24">
        <v>100879</v>
      </c>
      <c r="O99" s="24">
        <v>570</v>
      </c>
      <c r="P99" s="24">
        <v>201210</v>
      </c>
      <c r="Q99" s="24">
        <v>166</v>
      </c>
      <c r="R99" s="24">
        <v>68558</v>
      </c>
      <c r="S99" s="24">
        <v>316</v>
      </c>
      <c r="T99" s="24">
        <v>132404</v>
      </c>
      <c r="U99" s="24">
        <v>534</v>
      </c>
      <c r="V99" s="24">
        <v>208260</v>
      </c>
      <c r="W99" s="24">
        <v>100</v>
      </c>
      <c r="X99" s="24">
        <v>39800</v>
      </c>
      <c r="Y99">
        <f t="shared" si="1"/>
        <v>3428</v>
      </c>
    </row>
    <row r="100" spans="1:25" x14ac:dyDescent="0.4">
      <c r="A100" s="24" t="s">
        <v>2215</v>
      </c>
      <c r="B100" s="24" t="s">
        <v>2216</v>
      </c>
      <c r="C100" s="25">
        <v>43936</v>
      </c>
      <c r="D100" s="24" t="s">
        <v>2027</v>
      </c>
      <c r="E100" s="24" t="s">
        <v>2020</v>
      </c>
      <c r="F100" s="24" t="s">
        <v>2017</v>
      </c>
      <c r="G100" s="24">
        <v>545</v>
      </c>
      <c r="H100" s="24">
        <v>214730</v>
      </c>
      <c r="I100" s="24">
        <v>193</v>
      </c>
      <c r="J100" s="24">
        <v>64269</v>
      </c>
      <c r="K100" s="24">
        <v>431</v>
      </c>
      <c r="L100" s="24">
        <v>130162</v>
      </c>
      <c r="M100" s="24">
        <v>134</v>
      </c>
      <c r="N100" s="24">
        <v>60300</v>
      </c>
      <c r="O100" s="24">
        <v>398</v>
      </c>
      <c r="P100" s="24">
        <v>164374</v>
      </c>
      <c r="Q100" s="24">
        <v>605</v>
      </c>
      <c r="R100" s="24">
        <v>231110</v>
      </c>
      <c r="S100" s="24">
        <v>507</v>
      </c>
      <c r="T100" s="24">
        <v>170352</v>
      </c>
      <c r="U100" s="24">
        <v>558</v>
      </c>
      <c r="V100" s="24">
        <v>218178</v>
      </c>
      <c r="W100" s="24">
        <v>194</v>
      </c>
      <c r="X100" s="24">
        <v>72362</v>
      </c>
      <c r="Y100">
        <f t="shared" si="1"/>
        <v>3565</v>
      </c>
    </row>
    <row r="101" spans="1:25" x14ac:dyDescent="0.4">
      <c r="A101" s="24" t="s">
        <v>2217</v>
      </c>
      <c r="B101" s="24" t="s">
        <v>2218</v>
      </c>
      <c r="C101" s="25">
        <v>43667</v>
      </c>
      <c r="D101" s="24" t="s">
        <v>2027</v>
      </c>
      <c r="E101" s="24" t="s">
        <v>2016</v>
      </c>
      <c r="F101" s="24" t="s">
        <v>2017</v>
      </c>
      <c r="G101" s="24">
        <v>398</v>
      </c>
      <c r="H101" s="24">
        <v>124972</v>
      </c>
      <c r="I101" s="24">
        <v>790</v>
      </c>
      <c r="J101" s="24">
        <v>328640</v>
      </c>
      <c r="K101" s="24">
        <v>548</v>
      </c>
      <c r="L101" s="24">
        <v>220296</v>
      </c>
      <c r="M101" s="24">
        <v>266</v>
      </c>
      <c r="N101" s="24">
        <v>119700</v>
      </c>
      <c r="O101" s="24">
        <v>390</v>
      </c>
      <c r="P101" s="24">
        <v>174330</v>
      </c>
      <c r="Q101" s="24">
        <v>159</v>
      </c>
      <c r="R101" s="24">
        <v>50562</v>
      </c>
      <c r="S101" s="24">
        <v>726</v>
      </c>
      <c r="T101" s="24">
        <v>217800</v>
      </c>
      <c r="U101" s="24">
        <v>166</v>
      </c>
      <c r="V101" s="24">
        <v>56938</v>
      </c>
      <c r="W101" s="24">
        <v>354</v>
      </c>
      <c r="X101" s="24">
        <v>127086</v>
      </c>
      <c r="Y101">
        <f t="shared" si="1"/>
        <v>3797</v>
      </c>
    </row>
    <row r="102" spans="1:25" x14ac:dyDescent="0.4">
      <c r="A102" s="24" t="s">
        <v>2219</v>
      </c>
      <c r="B102" s="24" t="s">
        <v>2220</v>
      </c>
      <c r="C102" s="25">
        <v>42332</v>
      </c>
      <c r="D102" s="24" t="s">
        <v>2027</v>
      </c>
      <c r="E102" s="24" t="s">
        <v>2020</v>
      </c>
      <c r="F102" s="24" t="s">
        <v>2017</v>
      </c>
      <c r="G102" s="24">
        <v>725</v>
      </c>
      <c r="H102" s="24">
        <v>317550</v>
      </c>
      <c r="I102" s="24">
        <v>117</v>
      </c>
      <c r="J102" s="24">
        <v>42237</v>
      </c>
      <c r="K102" s="24">
        <v>201</v>
      </c>
      <c r="L102" s="24">
        <v>85023</v>
      </c>
      <c r="M102" s="24">
        <v>634</v>
      </c>
      <c r="N102" s="24">
        <v>249796</v>
      </c>
      <c r="O102" s="24">
        <v>186</v>
      </c>
      <c r="P102" s="24">
        <v>72912</v>
      </c>
      <c r="Q102" s="24">
        <v>607</v>
      </c>
      <c r="R102" s="24">
        <v>183314</v>
      </c>
      <c r="S102" s="24">
        <v>204</v>
      </c>
      <c r="T102" s="24">
        <v>88128</v>
      </c>
      <c r="U102" s="24">
        <v>518</v>
      </c>
      <c r="V102" s="24">
        <v>191142</v>
      </c>
      <c r="W102" s="24">
        <v>181</v>
      </c>
      <c r="X102" s="24">
        <v>55929</v>
      </c>
      <c r="Y102">
        <f t="shared" si="1"/>
        <v>3373</v>
      </c>
    </row>
    <row r="103" spans="1:25" x14ac:dyDescent="0.4">
      <c r="A103" s="24" t="s">
        <v>2221</v>
      </c>
      <c r="B103" s="24" t="s">
        <v>2222</v>
      </c>
      <c r="C103" s="25">
        <v>43796</v>
      </c>
      <c r="D103" s="24" t="s">
        <v>2015</v>
      </c>
      <c r="E103" s="24" t="s">
        <v>2020</v>
      </c>
      <c r="F103" s="24" t="s">
        <v>2017</v>
      </c>
      <c r="G103" s="24">
        <v>101</v>
      </c>
      <c r="H103" s="24">
        <v>33027</v>
      </c>
      <c r="I103" s="24">
        <v>118</v>
      </c>
      <c r="J103" s="24">
        <v>51094</v>
      </c>
      <c r="K103" s="24">
        <v>147</v>
      </c>
      <c r="L103" s="24">
        <v>52626</v>
      </c>
      <c r="M103" s="24">
        <v>133</v>
      </c>
      <c r="N103" s="24">
        <v>59318</v>
      </c>
      <c r="O103" s="24">
        <v>122</v>
      </c>
      <c r="P103" s="24">
        <v>47824</v>
      </c>
      <c r="Q103" s="24">
        <v>161</v>
      </c>
      <c r="R103" s="24">
        <v>52647</v>
      </c>
      <c r="S103" s="24">
        <v>516</v>
      </c>
      <c r="T103" s="24">
        <v>175440</v>
      </c>
      <c r="U103" s="24">
        <v>142</v>
      </c>
      <c r="V103" s="24">
        <v>60350</v>
      </c>
      <c r="W103" s="24">
        <v>268</v>
      </c>
      <c r="X103" s="24">
        <v>102644</v>
      </c>
      <c r="Y103">
        <f t="shared" si="1"/>
        <v>1708</v>
      </c>
    </row>
    <row r="104" spans="1:25" x14ac:dyDescent="0.4">
      <c r="A104" s="24" t="s">
        <v>2223</v>
      </c>
      <c r="B104" s="24" t="s">
        <v>2224</v>
      </c>
      <c r="C104" s="25">
        <v>42879</v>
      </c>
      <c r="D104" s="24" t="s">
        <v>2015</v>
      </c>
      <c r="E104" s="24" t="s">
        <v>2028</v>
      </c>
      <c r="F104" s="24" t="s">
        <v>2017</v>
      </c>
      <c r="G104" s="24">
        <v>412</v>
      </c>
      <c r="H104" s="24">
        <v>171392</v>
      </c>
      <c r="I104" s="24">
        <v>188</v>
      </c>
      <c r="J104" s="24">
        <v>72192</v>
      </c>
      <c r="K104" s="24">
        <v>758</v>
      </c>
      <c r="L104" s="24">
        <v>306990</v>
      </c>
      <c r="M104" s="24">
        <v>155</v>
      </c>
      <c r="N104" s="24">
        <v>48360</v>
      </c>
      <c r="O104" s="24">
        <v>503</v>
      </c>
      <c r="P104" s="24">
        <v>195667</v>
      </c>
      <c r="Q104" s="24">
        <v>571</v>
      </c>
      <c r="R104" s="24">
        <v>181007</v>
      </c>
      <c r="S104" s="24">
        <v>391</v>
      </c>
      <c r="T104" s="24">
        <v>120428</v>
      </c>
      <c r="U104" s="24">
        <v>276</v>
      </c>
      <c r="V104" s="24">
        <v>83904</v>
      </c>
      <c r="W104" s="24">
        <v>204</v>
      </c>
      <c r="X104" s="24">
        <v>76296</v>
      </c>
      <c r="Y104">
        <f t="shared" si="1"/>
        <v>3458</v>
      </c>
    </row>
    <row r="105" spans="1:25" x14ac:dyDescent="0.4">
      <c r="A105" s="24" t="s">
        <v>2225</v>
      </c>
      <c r="B105" s="24" t="s">
        <v>2226</v>
      </c>
      <c r="C105" s="25">
        <v>42481</v>
      </c>
      <c r="D105" s="24" t="s">
        <v>2027</v>
      </c>
      <c r="E105" s="24" t="s">
        <v>2028</v>
      </c>
      <c r="F105" s="24" t="s">
        <v>2017</v>
      </c>
      <c r="G105" s="24">
        <v>381</v>
      </c>
      <c r="H105" s="24">
        <v>153162</v>
      </c>
      <c r="I105" s="24">
        <v>591</v>
      </c>
      <c r="J105" s="24">
        <v>193257</v>
      </c>
      <c r="K105" s="24">
        <v>375</v>
      </c>
      <c r="L105" s="24">
        <v>159375</v>
      </c>
      <c r="M105" s="24">
        <v>363</v>
      </c>
      <c r="N105" s="24">
        <v>138303</v>
      </c>
      <c r="O105" s="24">
        <v>191</v>
      </c>
      <c r="P105" s="24">
        <v>79456</v>
      </c>
      <c r="Q105" s="24">
        <v>603</v>
      </c>
      <c r="R105" s="24">
        <v>181503</v>
      </c>
      <c r="S105" s="24">
        <v>501</v>
      </c>
      <c r="T105" s="24">
        <v>188376</v>
      </c>
      <c r="U105" s="24">
        <v>202</v>
      </c>
      <c r="V105" s="24">
        <v>61004</v>
      </c>
      <c r="W105" s="24">
        <v>304</v>
      </c>
      <c r="X105" s="24">
        <v>105184</v>
      </c>
      <c r="Y105">
        <f t="shared" si="1"/>
        <v>3511</v>
      </c>
    </row>
    <row r="106" spans="1:25" x14ac:dyDescent="0.4">
      <c r="A106" s="24" t="s">
        <v>2227</v>
      </c>
      <c r="B106" s="24" t="s">
        <v>2228</v>
      </c>
      <c r="C106" s="25">
        <v>42645</v>
      </c>
      <c r="D106" s="24" t="s">
        <v>2015</v>
      </c>
      <c r="E106" s="24" t="s">
        <v>2020</v>
      </c>
      <c r="F106" s="24" t="s">
        <v>2017</v>
      </c>
      <c r="G106" s="24">
        <v>220</v>
      </c>
      <c r="H106" s="24">
        <v>96360</v>
      </c>
      <c r="I106" s="24">
        <v>170</v>
      </c>
      <c r="J106" s="24">
        <v>72080</v>
      </c>
      <c r="K106" s="24">
        <v>263</v>
      </c>
      <c r="L106" s="24">
        <v>98099</v>
      </c>
      <c r="M106" s="24">
        <v>408</v>
      </c>
      <c r="N106" s="24">
        <v>143208</v>
      </c>
      <c r="O106" s="24">
        <v>698</v>
      </c>
      <c r="P106" s="24">
        <v>257562</v>
      </c>
      <c r="Q106" s="24">
        <v>531</v>
      </c>
      <c r="R106" s="24">
        <v>219303</v>
      </c>
      <c r="S106" s="24">
        <v>149</v>
      </c>
      <c r="T106" s="24">
        <v>49468</v>
      </c>
      <c r="U106" s="24">
        <v>754</v>
      </c>
      <c r="V106" s="24">
        <v>312910</v>
      </c>
      <c r="W106" s="24">
        <v>438</v>
      </c>
      <c r="X106" s="24">
        <v>191844</v>
      </c>
      <c r="Y106">
        <f t="shared" si="1"/>
        <v>3631</v>
      </c>
    </row>
    <row r="107" spans="1:25" x14ac:dyDescent="0.4">
      <c r="A107" s="24" t="s">
        <v>2229</v>
      </c>
      <c r="B107" s="24" t="s">
        <v>2230</v>
      </c>
      <c r="C107" s="25">
        <v>43935</v>
      </c>
      <c r="D107" s="24" t="s">
        <v>2027</v>
      </c>
      <c r="E107" s="24" t="s">
        <v>2028</v>
      </c>
      <c r="F107" s="24" t="s">
        <v>2017</v>
      </c>
      <c r="G107" s="24">
        <v>725</v>
      </c>
      <c r="H107" s="24">
        <v>256650</v>
      </c>
      <c r="I107" s="24">
        <v>368</v>
      </c>
      <c r="J107" s="24">
        <v>119232</v>
      </c>
      <c r="K107" s="24">
        <v>436</v>
      </c>
      <c r="L107" s="24">
        <v>171784</v>
      </c>
      <c r="M107" s="24">
        <v>769</v>
      </c>
      <c r="N107" s="24">
        <v>304524</v>
      </c>
      <c r="O107" s="24">
        <v>218</v>
      </c>
      <c r="P107" s="24">
        <v>89162</v>
      </c>
      <c r="Q107" s="24">
        <v>731</v>
      </c>
      <c r="R107" s="24">
        <v>260967</v>
      </c>
      <c r="S107" s="24">
        <v>182</v>
      </c>
      <c r="T107" s="24">
        <v>60424</v>
      </c>
      <c r="U107" s="24">
        <v>535</v>
      </c>
      <c r="V107" s="24">
        <v>215070</v>
      </c>
      <c r="W107" s="24">
        <v>300</v>
      </c>
      <c r="X107" s="24">
        <v>107400</v>
      </c>
      <c r="Y107">
        <f t="shared" si="1"/>
        <v>4264</v>
      </c>
    </row>
    <row r="108" spans="1:25" x14ac:dyDescent="0.4">
      <c r="A108" s="24" t="s">
        <v>2231</v>
      </c>
      <c r="B108" s="24" t="s">
        <v>2232</v>
      </c>
      <c r="C108" s="25">
        <v>43245</v>
      </c>
      <c r="D108" s="24" t="s">
        <v>2015</v>
      </c>
      <c r="E108" s="24" t="s">
        <v>2016</v>
      </c>
      <c r="F108" s="24" t="s">
        <v>2017</v>
      </c>
      <c r="G108" s="24">
        <v>425</v>
      </c>
      <c r="H108" s="24">
        <v>145350</v>
      </c>
      <c r="I108" s="24">
        <v>405</v>
      </c>
      <c r="J108" s="24">
        <v>124740</v>
      </c>
      <c r="K108" s="24">
        <v>485</v>
      </c>
      <c r="L108" s="24">
        <v>169265</v>
      </c>
      <c r="M108" s="24">
        <v>146</v>
      </c>
      <c r="N108" s="24">
        <v>45552</v>
      </c>
      <c r="O108" s="24">
        <v>189</v>
      </c>
      <c r="P108" s="24">
        <v>74844</v>
      </c>
      <c r="Q108" s="24">
        <v>334</v>
      </c>
      <c r="R108" s="24">
        <v>117568</v>
      </c>
      <c r="S108" s="24">
        <v>537</v>
      </c>
      <c r="T108" s="24">
        <v>177210</v>
      </c>
      <c r="U108" s="24">
        <v>423</v>
      </c>
      <c r="V108" s="24">
        <v>135783</v>
      </c>
      <c r="W108" s="24">
        <v>435</v>
      </c>
      <c r="X108" s="24">
        <v>179655</v>
      </c>
      <c r="Y108">
        <f t="shared" si="1"/>
        <v>3379</v>
      </c>
    </row>
    <row r="109" spans="1:25" x14ac:dyDescent="0.4">
      <c r="A109" s="24" t="s">
        <v>2233</v>
      </c>
      <c r="B109" s="24" t="s">
        <v>2234</v>
      </c>
      <c r="C109" s="25">
        <v>43834</v>
      </c>
      <c r="D109" s="24" t="s">
        <v>2015</v>
      </c>
      <c r="E109" s="24" t="s">
        <v>2016</v>
      </c>
      <c r="F109" s="24" t="s">
        <v>2017</v>
      </c>
      <c r="G109" s="24">
        <v>302</v>
      </c>
      <c r="H109" s="24">
        <v>94526</v>
      </c>
      <c r="I109" s="24">
        <v>636</v>
      </c>
      <c r="J109" s="24">
        <v>235956</v>
      </c>
      <c r="K109" s="24">
        <v>662</v>
      </c>
      <c r="L109" s="24">
        <v>260828</v>
      </c>
      <c r="M109" s="24">
        <v>598</v>
      </c>
      <c r="N109" s="24">
        <v>191360</v>
      </c>
      <c r="O109" s="24">
        <v>703</v>
      </c>
      <c r="P109" s="24">
        <v>216524</v>
      </c>
      <c r="Q109" s="24">
        <v>227</v>
      </c>
      <c r="R109" s="24">
        <v>97156</v>
      </c>
      <c r="S109" s="24">
        <v>599</v>
      </c>
      <c r="T109" s="24">
        <v>253976</v>
      </c>
      <c r="U109" s="24">
        <v>184</v>
      </c>
      <c r="V109" s="24">
        <v>78384</v>
      </c>
      <c r="W109" s="24">
        <v>295</v>
      </c>
      <c r="X109" s="24">
        <v>128325</v>
      </c>
      <c r="Y109">
        <f t="shared" si="1"/>
        <v>4206</v>
      </c>
    </row>
    <row r="110" spans="1:25" x14ac:dyDescent="0.4">
      <c r="A110" s="24" t="s">
        <v>2235</v>
      </c>
      <c r="B110" s="24" t="s">
        <v>2236</v>
      </c>
      <c r="C110" s="25">
        <v>42683</v>
      </c>
      <c r="D110" s="24" t="s">
        <v>2027</v>
      </c>
      <c r="E110" s="24" t="s">
        <v>2016</v>
      </c>
      <c r="F110" s="24" t="s">
        <v>2017</v>
      </c>
      <c r="G110" s="24">
        <v>561</v>
      </c>
      <c r="H110" s="24">
        <v>212058</v>
      </c>
      <c r="I110" s="24">
        <v>749</v>
      </c>
      <c r="J110" s="24">
        <v>321321</v>
      </c>
      <c r="K110" s="24">
        <v>537</v>
      </c>
      <c r="L110" s="24">
        <v>212652</v>
      </c>
      <c r="M110" s="24">
        <v>179</v>
      </c>
      <c r="N110" s="24">
        <v>79297</v>
      </c>
      <c r="O110" s="24">
        <v>758</v>
      </c>
      <c r="P110" s="24">
        <v>332762</v>
      </c>
      <c r="Q110" s="24">
        <v>162</v>
      </c>
      <c r="R110" s="24">
        <v>57996</v>
      </c>
      <c r="S110" s="24">
        <v>655</v>
      </c>
      <c r="T110" s="24">
        <v>279030</v>
      </c>
      <c r="U110" s="24">
        <v>287</v>
      </c>
      <c r="V110" s="24">
        <v>128289</v>
      </c>
      <c r="W110" s="24">
        <v>353</v>
      </c>
      <c r="X110" s="24">
        <v>137670</v>
      </c>
      <c r="Y110">
        <f t="shared" si="1"/>
        <v>4241</v>
      </c>
    </row>
    <row r="111" spans="1:25" x14ac:dyDescent="0.4">
      <c r="A111" s="24" t="s">
        <v>2237</v>
      </c>
      <c r="B111" s="24" t="s">
        <v>2238</v>
      </c>
      <c r="C111" s="25">
        <v>42329</v>
      </c>
      <c r="D111" s="24" t="s">
        <v>2027</v>
      </c>
      <c r="E111" s="24" t="s">
        <v>2020</v>
      </c>
      <c r="F111" s="24" t="s">
        <v>2017</v>
      </c>
      <c r="G111" s="24">
        <v>791</v>
      </c>
      <c r="H111" s="24">
        <v>251538</v>
      </c>
      <c r="I111" s="24">
        <v>648</v>
      </c>
      <c r="J111" s="24">
        <v>248184</v>
      </c>
      <c r="K111" s="24">
        <v>290</v>
      </c>
      <c r="L111" s="24">
        <v>127020</v>
      </c>
      <c r="M111" s="24">
        <v>243</v>
      </c>
      <c r="N111" s="24">
        <v>108135</v>
      </c>
      <c r="O111" s="24">
        <v>754</v>
      </c>
      <c r="P111" s="24">
        <v>309140</v>
      </c>
      <c r="Q111" s="24">
        <v>591</v>
      </c>
      <c r="R111" s="24">
        <v>224580</v>
      </c>
      <c r="S111" s="24">
        <v>555</v>
      </c>
      <c r="T111" s="24">
        <v>235320</v>
      </c>
      <c r="U111" s="24">
        <v>488</v>
      </c>
      <c r="V111" s="24">
        <v>200080</v>
      </c>
      <c r="W111" s="24">
        <v>218</v>
      </c>
      <c r="X111" s="24">
        <v>97010</v>
      </c>
      <c r="Y111">
        <f t="shared" si="1"/>
        <v>4578</v>
      </c>
    </row>
    <row r="112" spans="1:25" x14ac:dyDescent="0.4">
      <c r="A112" s="24" t="s">
        <v>2239</v>
      </c>
      <c r="B112" s="24" t="s">
        <v>2240</v>
      </c>
      <c r="C112" s="25">
        <v>42553</v>
      </c>
      <c r="D112" s="24" t="s">
        <v>2015</v>
      </c>
      <c r="E112" s="24" t="s">
        <v>2016</v>
      </c>
      <c r="F112" s="24" t="s">
        <v>2017</v>
      </c>
      <c r="G112" s="24">
        <v>615</v>
      </c>
      <c r="H112" s="24">
        <v>230010</v>
      </c>
      <c r="I112" s="24">
        <v>538</v>
      </c>
      <c r="J112" s="24">
        <v>172160</v>
      </c>
      <c r="K112" s="24">
        <v>187</v>
      </c>
      <c r="L112" s="24">
        <v>77418</v>
      </c>
      <c r="M112" s="24">
        <v>400</v>
      </c>
      <c r="N112" s="24">
        <v>139200</v>
      </c>
      <c r="O112" s="24">
        <v>280</v>
      </c>
      <c r="P112" s="24">
        <v>84280</v>
      </c>
      <c r="Q112" s="24">
        <v>458</v>
      </c>
      <c r="R112" s="24">
        <v>191902</v>
      </c>
      <c r="S112" s="24">
        <v>754</v>
      </c>
      <c r="T112" s="24">
        <v>257114</v>
      </c>
      <c r="U112" s="24">
        <v>600</v>
      </c>
      <c r="V112" s="24">
        <v>257400</v>
      </c>
      <c r="W112" s="24">
        <v>231</v>
      </c>
      <c r="X112" s="24">
        <v>96096</v>
      </c>
      <c r="Y112">
        <f t="shared" si="1"/>
        <v>4063</v>
      </c>
    </row>
    <row r="113" spans="1:25" x14ac:dyDescent="0.4">
      <c r="A113" s="24" t="s">
        <v>2241</v>
      </c>
      <c r="B113" s="24" t="s">
        <v>2242</v>
      </c>
      <c r="C113" s="25">
        <v>43359</v>
      </c>
      <c r="D113" s="24" t="s">
        <v>2015</v>
      </c>
      <c r="E113" s="24" t="s">
        <v>2016</v>
      </c>
      <c r="F113" s="24" t="s">
        <v>2017</v>
      </c>
      <c r="G113" s="24">
        <v>205</v>
      </c>
      <c r="H113" s="24">
        <v>90405</v>
      </c>
      <c r="I113" s="24">
        <v>413</v>
      </c>
      <c r="J113" s="24">
        <v>154875</v>
      </c>
      <c r="K113" s="24">
        <v>211</v>
      </c>
      <c r="L113" s="24">
        <v>71951</v>
      </c>
      <c r="M113" s="24">
        <v>466</v>
      </c>
      <c r="N113" s="24">
        <v>205972</v>
      </c>
      <c r="O113" s="24">
        <v>248</v>
      </c>
      <c r="P113" s="24">
        <v>110112</v>
      </c>
      <c r="Q113" s="24">
        <v>795</v>
      </c>
      <c r="R113" s="24">
        <v>329130</v>
      </c>
      <c r="S113" s="24">
        <v>459</v>
      </c>
      <c r="T113" s="24">
        <v>145503</v>
      </c>
      <c r="U113" s="24">
        <v>454</v>
      </c>
      <c r="V113" s="24">
        <v>183870</v>
      </c>
      <c r="W113" s="24">
        <v>692</v>
      </c>
      <c r="X113" s="24">
        <v>287872</v>
      </c>
      <c r="Y113">
        <f t="shared" si="1"/>
        <v>3943</v>
      </c>
    </row>
    <row r="114" spans="1:25" x14ac:dyDescent="0.4">
      <c r="A114" s="24" t="s">
        <v>2243</v>
      </c>
      <c r="B114" s="24" t="s">
        <v>2244</v>
      </c>
      <c r="C114" s="25">
        <v>43879</v>
      </c>
      <c r="D114" s="24" t="s">
        <v>2027</v>
      </c>
      <c r="E114" s="24" t="s">
        <v>2028</v>
      </c>
      <c r="F114" s="24" t="s">
        <v>2017</v>
      </c>
      <c r="G114" s="24">
        <v>614</v>
      </c>
      <c r="H114" s="24">
        <v>222268</v>
      </c>
      <c r="I114" s="24">
        <v>374</v>
      </c>
      <c r="J114" s="24">
        <v>147356</v>
      </c>
      <c r="K114" s="24">
        <v>285</v>
      </c>
      <c r="L114" s="24">
        <v>123690</v>
      </c>
      <c r="M114" s="24">
        <v>487</v>
      </c>
      <c r="N114" s="24">
        <v>166554</v>
      </c>
      <c r="O114" s="24">
        <v>146</v>
      </c>
      <c r="P114" s="24">
        <v>63072</v>
      </c>
      <c r="Q114" s="24">
        <v>392</v>
      </c>
      <c r="R114" s="24">
        <v>119168</v>
      </c>
      <c r="S114" s="24">
        <v>354</v>
      </c>
      <c r="T114" s="24">
        <v>109740</v>
      </c>
      <c r="U114" s="24">
        <v>274</v>
      </c>
      <c r="V114" s="24">
        <v>119464</v>
      </c>
      <c r="W114" s="24">
        <v>112</v>
      </c>
      <c r="X114" s="24">
        <v>47824</v>
      </c>
      <c r="Y114">
        <f t="shared" si="1"/>
        <v>3038</v>
      </c>
    </row>
    <row r="115" spans="1:25" x14ac:dyDescent="0.4">
      <c r="A115" s="24" t="s">
        <v>2245</v>
      </c>
      <c r="B115" s="24" t="s">
        <v>2246</v>
      </c>
      <c r="C115" s="25">
        <v>44018</v>
      </c>
      <c r="D115" s="24" t="s">
        <v>2015</v>
      </c>
      <c r="E115" s="24" t="s">
        <v>2020</v>
      </c>
      <c r="F115" s="24" t="s">
        <v>2017</v>
      </c>
      <c r="G115" s="24">
        <v>785</v>
      </c>
      <c r="H115" s="24">
        <v>335980</v>
      </c>
      <c r="I115" s="24">
        <v>127</v>
      </c>
      <c r="J115" s="24">
        <v>40767</v>
      </c>
      <c r="K115" s="24">
        <v>628</v>
      </c>
      <c r="L115" s="24">
        <v>254968</v>
      </c>
      <c r="M115" s="24">
        <v>253</v>
      </c>
      <c r="N115" s="24">
        <v>89815</v>
      </c>
      <c r="O115" s="24">
        <v>784</v>
      </c>
      <c r="P115" s="24">
        <v>237552</v>
      </c>
      <c r="Q115" s="24">
        <v>112</v>
      </c>
      <c r="R115" s="24">
        <v>42672</v>
      </c>
      <c r="S115" s="24">
        <v>546</v>
      </c>
      <c r="T115" s="24">
        <v>233142</v>
      </c>
      <c r="U115" s="24">
        <v>716</v>
      </c>
      <c r="V115" s="24">
        <v>278524</v>
      </c>
      <c r="W115" s="24">
        <v>492</v>
      </c>
      <c r="X115" s="24">
        <v>156456</v>
      </c>
      <c r="Y115">
        <f t="shared" si="1"/>
        <v>4443</v>
      </c>
    </row>
    <row r="116" spans="1:25" x14ac:dyDescent="0.4">
      <c r="A116" s="24" t="s">
        <v>2247</v>
      </c>
      <c r="B116" s="24" t="s">
        <v>2248</v>
      </c>
      <c r="C116" s="25">
        <v>44056</v>
      </c>
      <c r="D116" s="24" t="s">
        <v>2027</v>
      </c>
      <c r="E116" s="24" t="s">
        <v>2028</v>
      </c>
      <c r="F116" s="24" t="s">
        <v>2017</v>
      </c>
      <c r="G116" s="24">
        <v>235</v>
      </c>
      <c r="H116" s="24">
        <v>93060</v>
      </c>
      <c r="I116" s="24">
        <v>358</v>
      </c>
      <c r="J116" s="24">
        <v>122078</v>
      </c>
      <c r="K116" s="24">
        <v>109</v>
      </c>
      <c r="L116" s="24">
        <v>35861</v>
      </c>
      <c r="M116" s="24">
        <v>256</v>
      </c>
      <c r="N116" s="24">
        <v>110592</v>
      </c>
      <c r="O116" s="24">
        <v>204</v>
      </c>
      <c r="P116" s="24">
        <v>70992</v>
      </c>
      <c r="Q116" s="24">
        <v>252</v>
      </c>
      <c r="R116" s="24">
        <v>89460</v>
      </c>
      <c r="S116" s="24">
        <v>483</v>
      </c>
      <c r="T116" s="24">
        <v>208173</v>
      </c>
      <c r="U116" s="24">
        <v>631</v>
      </c>
      <c r="V116" s="24">
        <v>222743</v>
      </c>
      <c r="W116" s="24">
        <v>279</v>
      </c>
      <c r="X116" s="24">
        <v>118575</v>
      </c>
      <c r="Y116">
        <f t="shared" si="1"/>
        <v>2807</v>
      </c>
    </row>
    <row r="117" spans="1:25" x14ac:dyDescent="0.4">
      <c r="A117" s="24" t="s">
        <v>2249</v>
      </c>
      <c r="B117" s="24" t="s">
        <v>2250</v>
      </c>
      <c r="C117" s="25">
        <v>42962</v>
      </c>
      <c r="D117" s="24" t="s">
        <v>2027</v>
      </c>
      <c r="E117" s="24" t="s">
        <v>2020</v>
      </c>
      <c r="F117" s="24" t="s">
        <v>2017</v>
      </c>
      <c r="G117" s="24">
        <v>275</v>
      </c>
      <c r="H117" s="24">
        <v>89100</v>
      </c>
      <c r="I117" s="24">
        <v>201</v>
      </c>
      <c r="J117" s="24">
        <v>85626</v>
      </c>
      <c r="K117" s="24">
        <v>731</v>
      </c>
      <c r="L117" s="24">
        <v>233189</v>
      </c>
      <c r="M117" s="24">
        <v>446</v>
      </c>
      <c r="N117" s="24">
        <v>141828</v>
      </c>
      <c r="O117" s="24">
        <v>741</v>
      </c>
      <c r="P117" s="24">
        <v>320853</v>
      </c>
      <c r="Q117" s="24">
        <v>794</v>
      </c>
      <c r="R117" s="24">
        <v>281076</v>
      </c>
      <c r="S117" s="24">
        <v>365</v>
      </c>
      <c r="T117" s="24">
        <v>137970</v>
      </c>
      <c r="U117" s="24">
        <v>467</v>
      </c>
      <c r="V117" s="24">
        <v>177927</v>
      </c>
      <c r="W117" s="24">
        <v>469</v>
      </c>
      <c r="X117" s="24">
        <v>200263</v>
      </c>
      <c r="Y117">
        <f t="shared" si="1"/>
        <v>4489</v>
      </c>
    </row>
    <row r="118" spans="1:25" x14ac:dyDescent="0.4">
      <c r="A118" s="24" t="s">
        <v>2251</v>
      </c>
      <c r="B118" s="24" t="s">
        <v>2252</v>
      </c>
      <c r="C118" s="25">
        <v>43538</v>
      </c>
      <c r="D118" s="24" t="s">
        <v>2027</v>
      </c>
      <c r="E118" s="24" t="s">
        <v>2016</v>
      </c>
      <c r="F118" s="24" t="s">
        <v>2017</v>
      </c>
      <c r="G118" s="24">
        <v>754</v>
      </c>
      <c r="H118" s="24">
        <v>329498</v>
      </c>
      <c r="I118" s="24">
        <v>105</v>
      </c>
      <c r="J118" s="24">
        <v>42000</v>
      </c>
      <c r="K118" s="24">
        <v>631</v>
      </c>
      <c r="L118" s="24">
        <v>201289</v>
      </c>
      <c r="M118" s="24">
        <v>208</v>
      </c>
      <c r="N118" s="24">
        <v>86112</v>
      </c>
      <c r="O118" s="24">
        <v>412</v>
      </c>
      <c r="P118" s="24">
        <v>150792</v>
      </c>
      <c r="Q118" s="24">
        <v>442</v>
      </c>
      <c r="R118" s="24">
        <v>158678</v>
      </c>
      <c r="S118" s="24">
        <v>574</v>
      </c>
      <c r="T118" s="24">
        <v>211232</v>
      </c>
      <c r="U118" s="24">
        <v>283</v>
      </c>
      <c r="V118" s="24">
        <v>108106</v>
      </c>
      <c r="W118" s="24">
        <v>249</v>
      </c>
      <c r="X118" s="24">
        <v>86154</v>
      </c>
      <c r="Y118">
        <f t="shared" si="1"/>
        <v>3658</v>
      </c>
    </row>
    <row r="119" spans="1:25" x14ac:dyDescent="0.4">
      <c r="A119" s="24" t="s">
        <v>2253</v>
      </c>
      <c r="B119" s="24" t="s">
        <v>2254</v>
      </c>
      <c r="C119" s="25">
        <v>42005</v>
      </c>
      <c r="D119" s="24" t="s">
        <v>2015</v>
      </c>
      <c r="E119" s="24" t="s">
        <v>2020</v>
      </c>
      <c r="F119" s="24" t="s">
        <v>2017</v>
      </c>
      <c r="G119" s="24">
        <v>303</v>
      </c>
      <c r="H119" s="24">
        <v>132411</v>
      </c>
      <c r="I119" s="24">
        <v>551</v>
      </c>
      <c r="J119" s="24">
        <v>238032</v>
      </c>
      <c r="K119" s="24">
        <v>666</v>
      </c>
      <c r="L119" s="24">
        <v>292374</v>
      </c>
      <c r="M119" s="24">
        <v>712</v>
      </c>
      <c r="N119" s="24">
        <v>237096</v>
      </c>
      <c r="O119" s="24">
        <v>786</v>
      </c>
      <c r="P119" s="24">
        <v>344268</v>
      </c>
      <c r="Q119" s="24">
        <v>620</v>
      </c>
      <c r="R119" s="24">
        <v>225680</v>
      </c>
      <c r="S119" s="24">
        <v>350</v>
      </c>
      <c r="T119" s="24">
        <v>106750</v>
      </c>
      <c r="U119" s="24">
        <v>172</v>
      </c>
      <c r="V119" s="24">
        <v>72756</v>
      </c>
      <c r="W119" s="24">
        <v>562</v>
      </c>
      <c r="X119" s="24">
        <v>211312</v>
      </c>
      <c r="Y119">
        <f t="shared" si="1"/>
        <v>4722</v>
      </c>
    </row>
    <row r="120" spans="1:25" x14ac:dyDescent="0.4">
      <c r="A120" s="24" t="s">
        <v>2255</v>
      </c>
      <c r="B120" s="24" t="s">
        <v>2256</v>
      </c>
      <c r="C120" s="25">
        <v>42093</v>
      </c>
      <c r="D120" s="24" t="s">
        <v>2027</v>
      </c>
      <c r="E120" s="24" t="s">
        <v>2028</v>
      </c>
      <c r="F120" s="24" t="s">
        <v>2017</v>
      </c>
      <c r="G120" s="24">
        <v>102</v>
      </c>
      <c r="H120" s="24">
        <v>39882</v>
      </c>
      <c r="I120" s="24">
        <v>773</v>
      </c>
      <c r="J120" s="24">
        <v>255863</v>
      </c>
      <c r="K120" s="24">
        <v>657</v>
      </c>
      <c r="L120" s="24">
        <v>294336</v>
      </c>
      <c r="M120" s="24">
        <v>366</v>
      </c>
      <c r="N120" s="24">
        <v>113460</v>
      </c>
      <c r="O120" s="24">
        <v>527</v>
      </c>
      <c r="P120" s="24">
        <v>200787</v>
      </c>
      <c r="Q120" s="24">
        <v>641</v>
      </c>
      <c r="R120" s="24">
        <v>223709</v>
      </c>
      <c r="S120" s="24">
        <v>391</v>
      </c>
      <c r="T120" s="24">
        <v>158355</v>
      </c>
      <c r="U120" s="24">
        <v>321</v>
      </c>
      <c r="V120" s="24">
        <v>119733</v>
      </c>
      <c r="W120" s="24">
        <v>530</v>
      </c>
      <c r="X120" s="24">
        <v>193980</v>
      </c>
      <c r="Y120">
        <f t="shared" si="1"/>
        <v>4308</v>
      </c>
    </row>
    <row r="121" spans="1:25" x14ac:dyDescent="0.4">
      <c r="A121" s="24" t="s">
        <v>2257</v>
      </c>
      <c r="B121" s="24" t="s">
        <v>2258</v>
      </c>
      <c r="C121" s="25">
        <v>42182</v>
      </c>
      <c r="D121" s="24" t="s">
        <v>2015</v>
      </c>
      <c r="E121" s="24" t="s">
        <v>2016</v>
      </c>
      <c r="F121" s="24" t="s">
        <v>2017</v>
      </c>
      <c r="G121" s="24">
        <v>150</v>
      </c>
      <c r="H121" s="24">
        <v>46500</v>
      </c>
      <c r="I121" s="24">
        <v>260</v>
      </c>
      <c r="J121" s="24">
        <v>96460</v>
      </c>
      <c r="K121" s="24">
        <v>559</v>
      </c>
      <c r="L121" s="24">
        <v>221364</v>
      </c>
      <c r="M121" s="24">
        <v>624</v>
      </c>
      <c r="N121" s="24">
        <v>238992</v>
      </c>
      <c r="O121" s="24">
        <v>417</v>
      </c>
      <c r="P121" s="24">
        <v>160128</v>
      </c>
      <c r="Q121" s="24">
        <v>713</v>
      </c>
      <c r="R121" s="24">
        <v>309442</v>
      </c>
      <c r="S121" s="24">
        <v>549</v>
      </c>
      <c r="T121" s="24">
        <v>172386</v>
      </c>
      <c r="U121" s="24">
        <v>730</v>
      </c>
      <c r="V121" s="24">
        <v>288350</v>
      </c>
      <c r="W121" s="24">
        <v>411</v>
      </c>
      <c r="X121" s="24">
        <v>176319</v>
      </c>
      <c r="Y121">
        <f t="shared" si="1"/>
        <v>4413</v>
      </c>
    </row>
    <row r="122" spans="1:25" x14ac:dyDescent="0.4">
      <c r="A122" s="24" t="s">
        <v>2259</v>
      </c>
      <c r="B122" s="24" t="s">
        <v>2260</v>
      </c>
      <c r="C122" s="25">
        <v>43955</v>
      </c>
      <c r="D122" s="24" t="s">
        <v>2015</v>
      </c>
      <c r="E122" s="24" t="s">
        <v>2016</v>
      </c>
      <c r="F122" s="24" t="s">
        <v>2017</v>
      </c>
      <c r="G122" s="24">
        <v>713</v>
      </c>
      <c r="H122" s="24">
        <v>320137</v>
      </c>
      <c r="I122" s="24">
        <v>483</v>
      </c>
      <c r="J122" s="24">
        <v>214452</v>
      </c>
      <c r="K122" s="24">
        <v>374</v>
      </c>
      <c r="L122" s="24">
        <v>136510</v>
      </c>
      <c r="M122" s="24">
        <v>511</v>
      </c>
      <c r="N122" s="24">
        <v>213598</v>
      </c>
      <c r="O122" s="24">
        <v>450</v>
      </c>
      <c r="P122" s="24">
        <v>158850</v>
      </c>
      <c r="Q122" s="24">
        <v>707</v>
      </c>
      <c r="R122" s="24">
        <v>215635</v>
      </c>
      <c r="S122" s="24">
        <v>353</v>
      </c>
      <c r="T122" s="24">
        <v>145083</v>
      </c>
      <c r="U122" s="24">
        <v>377</v>
      </c>
      <c r="V122" s="24">
        <v>161733</v>
      </c>
      <c r="W122" s="24">
        <v>797</v>
      </c>
      <c r="X122" s="24">
        <v>267792</v>
      </c>
      <c r="Y122">
        <f t="shared" si="1"/>
        <v>4765</v>
      </c>
    </row>
    <row r="123" spans="1:25" x14ac:dyDescent="0.4">
      <c r="A123" s="24" t="s">
        <v>2261</v>
      </c>
      <c r="B123" s="24" t="s">
        <v>2262</v>
      </c>
      <c r="C123" s="25">
        <v>43309</v>
      </c>
      <c r="D123" s="24" t="s">
        <v>2027</v>
      </c>
      <c r="E123" s="24" t="s">
        <v>2020</v>
      </c>
      <c r="F123" s="24" t="s">
        <v>2017</v>
      </c>
      <c r="G123" s="24">
        <v>709</v>
      </c>
      <c r="H123" s="24">
        <v>291399</v>
      </c>
      <c r="I123" s="24">
        <v>744</v>
      </c>
      <c r="J123" s="24">
        <v>331080</v>
      </c>
      <c r="K123" s="24">
        <v>224</v>
      </c>
      <c r="L123" s="24">
        <v>91392</v>
      </c>
      <c r="M123" s="24">
        <v>170</v>
      </c>
      <c r="N123" s="24">
        <v>74970</v>
      </c>
      <c r="O123" s="24">
        <v>721</v>
      </c>
      <c r="P123" s="24">
        <v>309309</v>
      </c>
      <c r="Q123" s="24">
        <v>576</v>
      </c>
      <c r="R123" s="24">
        <v>213120</v>
      </c>
      <c r="S123" s="24">
        <v>559</v>
      </c>
      <c r="T123" s="24">
        <v>199563</v>
      </c>
      <c r="U123" s="24">
        <v>158</v>
      </c>
      <c r="V123" s="24">
        <v>57986</v>
      </c>
      <c r="W123" s="24">
        <v>268</v>
      </c>
      <c r="X123" s="24">
        <v>94068</v>
      </c>
      <c r="Y123">
        <f t="shared" si="1"/>
        <v>4129</v>
      </c>
    </row>
    <row r="124" spans="1:25" x14ac:dyDescent="0.4">
      <c r="A124" s="24" t="s">
        <v>2263</v>
      </c>
      <c r="B124" s="24" t="s">
        <v>2264</v>
      </c>
      <c r="C124" s="25">
        <v>44005</v>
      </c>
      <c r="D124" s="24" t="s">
        <v>2015</v>
      </c>
      <c r="E124" s="24" t="s">
        <v>2028</v>
      </c>
      <c r="F124" s="24" t="s">
        <v>2017</v>
      </c>
      <c r="G124" s="24">
        <v>156</v>
      </c>
      <c r="H124" s="24">
        <v>52728</v>
      </c>
      <c r="I124" s="24">
        <v>284</v>
      </c>
      <c r="J124" s="24">
        <v>123256</v>
      </c>
      <c r="K124" s="24">
        <v>774</v>
      </c>
      <c r="L124" s="24">
        <v>291798</v>
      </c>
      <c r="M124" s="24">
        <v>561</v>
      </c>
      <c r="N124" s="24">
        <v>210375</v>
      </c>
      <c r="O124" s="24">
        <v>172</v>
      </c>
      <c r="P124" s="24">
        <v>54696</v>
      </c>
      <c r="Q124" s="24">
        <v>104</v>
      </c>
      <c r="R124" s="24">
        <v>34840</v>
      </c>
      <c r="S124" s="24">
        <v>523</v>
      </c>
      <c r="T124" s="24">
        <v>225413</v>
      </c>
      <c r="U124" s="24">
        <v>745</v>
      </c>
      <c r="V124" s="24">
        <v>223500</v>
      </c>
      <c r="W124" s="24">
        <v>720</v>
      </c>
      <c r="X124" s="24">
        <v>309600</v>
      </c>
      <c r="Y124">
        <f t="shared" si="1"/>
        <v>4039</v>
      </c>
    </row>
    <row r="125" spans="1:25" x14ac:dyDescent="0.4">
      <c r="A125" s="24" t="s">
        <v>2265</v>
      </c>
      <c r="B125" s="24" t="s">
        <v>2266</v>
      </c>
      <c r="C125" s="25">
        <v>42540</v>
      </c>
      <c r="D125" s="24" t="s">
        <v>2015</v>
      </c>
      <c r="E125" s="24" t="s">
        <v>2020</v>
      </c>
      <c r="F125" s="24" t="s">
        <v>2017</v>
      </c>
      <c r="G125" s="24">
        <v>529</v>
      </c>
      <c r="H125" s="24">
        <v>169809</v>
      </c>
      <c r="I125" s="24">
        <v>486</v>
      </c>
      <c r="J125" s="24">
        <v>162810</v>
      </c>
      <c r="K125" s="24">
        <v>244</v>
      </c>
      <c r="L125" s="24">
        <v>105652</v>
      </c>
      <c r="M125" s="24">
        <v>574</v>
      </c>
      <c r="N125" s="24">
        <v>236488</v>
      </c>
      <c r="O125" s="24">
        <v>398</v>
      </c>
      <c r="P125" s="24">
        <v>152434</v>
      </c>
      <c r="Q125" s="24">
        <v>574</v>
      </c>
      <c r="R125" s="24">
        <v>213528</v>
      </c>
      <c r="S125" s="24">
        <v>684</v>
      </c>
      <c r="T125" s="24">
        <v>294804</v>
      </c>
      <c r="U125" s="24">
        <v>128</v>
      </c>
      <c r="V125" s="24">
        <v>38400</v>
      </c>
      <c r="W125" s="24">
        <v>370</v>
      </c>
      <c r="X125" s="24">
        <v>144670</v>
      </c>
      <c r="Y125">
        <f t="shared" si="1"/>
        <v>3987</v>
      </c>
    </row>
    <row r="126" spans="1:25" x14ac:dyDescent="0.4">
      <c r="A126" s="24" t="s">
        <v>2267</v>
      </c>
      <c r="B126" s="24" t="s">
        <v>2268</v>
      </c>
      <c r="C126" s="25">
        <v>42758</v>
      </c>
      <c r="D126" s="24" t="s">
        <v>2027</v>
      </c>
      <c r="E126" s="24" t="s">
        <v>2028</v>
      </c>
      <c r="F126" s="24" t="s">
        <v>2017</v>
      </c>
      <c r="G126" s="24">
        <v>767</v>
      </c>
      <c r="H126" s="24">
        <v>268450</v>
      </c>
      <c r="I126" s="24">
        <v>284</v>
      </c>
      <c r="J126" s="24">
        <v>97412</v>
      </c>
      <c r="K126" s="24">
        <v>595</v>
      </c>
      <c r="L126" s="24">
        <v>198135</v>
      </c>
      <c r="M126" s="24">
        <v>555</v>
      </c>
      <c r="N126" s="24">
        <v>215895</v>
      </c>
      <c r="O126" s="24">
        <v>177</v>
      </c>
      <c r="P126" s="24">
        <v>71508</v>
      </c>
      <c r="Q126" s="24">
        <v>410</v>
      </c>
      <c r="R126" s="24">
        <v>159490</v>
      </c>
      <c r="S126" s="24">
        <v>345</v>
      </c>
      <c r="T126" s="24">
        <v>151800</v>
      </c>
      <c r="U126" s="24">
        <v>762</v>
      </c>
      <c r="V126" s="24">
        <v>303276</v>
      </c>
      <c r="W126" s="24">
        <v>256</v>
      </c>
      <c r="X126" s="24">
        <v>96768</v>
      </c>
      <c r="Y126">
        <f t="shared" si="1"/>
        <v>4151</v>
      </c>
    </row>
    <row r="127" spans="1:25" x14ac:dyDescent="0.4">
      <c r="A127" s="24" t="s">
        <v>2261</v>
      </c>
      <c r="B127" s="24" t="s">
        <v>2269</v>
      </c>
      <c r="C127" s="25">
        <v>43339</v>
      </c>
      <c r="D127" s="24" t="s">
        <v>2015</v>
      </c>
      <c r="E127" s="24" t="s">
        <v>2020</v>
      </c>
      <c r="F127" s="24" t="s">
        <v>2017</v>
      </c>
      <c r="G127" s="24">
        <v>678</v>
      </c>
      <c r="H127" s="24">
        <v>256284</v>
      </c>
      <c r="I127" s="24">
        <v>740</v>
      </c>
      <c r="J127" s="24">
        <v>281940</v>
      </c>
      <c r="K127" s="24">
        <v>466</v>
      </c>
      <c r="L127" s="24">
        <v>168226</v>
      </c>
      <c r="M127" s="24">
        <v>592</v>
      </c>
      <c r="N127" s="24">
        <v>258704</v>
      </c>
      <c r="O127" s="24">
        <v>357</v>
      </c>
      <c r="P127" s="24">
        <v>116025</v>
      </c>
      <c r="Q127" s="24">
        <v>125</v>
      </c>
      <c r="R127" s="24">
        <v>42000</v>
      </c>
      <c r="S127" s="24">
        <v>418</v>
      </c>
      <c r="T127" s="24">
        <v>160512</v>
      </c>
      <c r="U127" s="24">
        <v>240</v>
      </c>
      <c r="V127" s="24">
        <v>72480</v>
      </c>
      <c r="W127" s="24">
        <v>555</v>
      </c>
      <c r="X127" s="24">
        <v>200910</v>
      </c>
      <c r="Y127">
        <f t="shared" si="1"/>
        <v>4171</v>
      </c>
    </row>
    <row r="128" spans="1:25" x14ac:dyDescent="0.4">
      <c r="A128" s="24" t="s">
        <v>2270</v>
      </c>
      <c r="B128" s="24" t="s">
        <v>2271</v>
      </c>
      <c r="C128" s="25">
        <v>42514</v>
      </c>
      <c r="D128" s="24" t="s">
        <v>2027</v>
      </c>
      <c r="E128" s="24" t="s">
        <v>2016</v>
      </c>
      <c r="F128" s="24" t="s">
        <v>2017</v>
      </c>
      <c r="G128" s="24">
        <v>347</v>
      </c>
      <c r="H128" s="24">
        <v>128737</v>
      </c>
      <c r="I128" s="24">
        <v>646</v>
      </c>
      <c r="J128" s="24">
        <v>193800</v>
      </c>
      <c r="K128" s="24">
        <v>377</v>
      </c>
      <c r="L128" s="24">
        <v>133835</v>
      </c>
      <c r="M128" s="24">
        <v>256</v>
      </c>
      <c r="N128" s="24">
        <v>77824</v>
      </c>
      <c r="O128" s="24">
        <v>511</v>
      </c>
      <c r="P128" s="24">
        <v>224840</v>
      </c>
      <c r="Q128" s="24">
        <v>279</v>
      </c>
      <c r="R128" s="24">
        <v>121923</v>
      </c>
      <c r="S128" s="24">
        <v>354</v>
      </c>
      <c r="T128" s="24">
        <v>149388</v>
      </c>
      <c r="U128" s="24">
        <v>759</v>
      </c>
      <c r="V128" s="24">
        <v>308154</v>
      </c>
      <c r="W128" s="24">
        <v>567</v>
      </c>
      <c r="X128" s="24">
        <v>230202</v>
      </c>
      <c r="Y128">
        <f t="shared" si="1"/>
        <v>4096</v>
      </c>
    </row>
    <row r="129" spans="1:25" x14ac:dyDescent="0.4">
      <c r="A129" s="24" t="s">
        <v>2272</v>
      </c>
      <c r="B129" s="24" t="s">
        <v>2273</v>
      </c>
      <c r="C129" s="25">
        <v>43058</v>
      </c>
      <c r="D129" s="24" t="s">
        <v>2027</v>
      </c>
      <c r="E129" s="24" t="s">
        <v>2016</v>
      </c>
      <c r="F129" s="24" t="s">
        <v>2017</v>
      </c>
      <c r="G129" s="24">
        <v>342</v>
      </c>
      <c r="H129" s="24">
        <v>153900</v>
      </c>
      <c r="I129" s="24">
        <v>332</v>
      </c>
      <c r="J129" s="24">
        <v>125164</v>
      </c>
      <c r="K129" s="24">
        <v>317</v>
      </c>
      <c r="L129" s="24">
        <v>134725</v>
      </c>
      <c r="M129" s="24">
        <v>327</v>
      </c>
      <c r="N129" s="24">
        <v>137340</v>
      </c>
      <c r="O129" s="24">
        <v>511</v>
      </c>
      <c r="P129" s="24">
        <v>188048</v>
      </c>
      <c r="Q129" s="24">
        <v>510</v>
      </c>
      <c r="R129" s="24">
        <v>163200</v>
      </c>
      <c r="S129" s="24">
        <v>190</v>
      </c>
      <c r="T129" s="24">
        <v>85120</v>
      </c>
      <c r="U129" s="24">
        <v>184</v>
      </c>
      <c r="V129" s="24">
        <v>72496</v>
      </c>
      <c r="W129" s="24">
        <v>338</v>
      </c>
      <c r="X129" s="24">
        <v>142636</v>
      </c>
      <c r="Y129">
        <f t="shared" si="1"/>
        <v>3051</v>
      </c>
    </row>
    <row r="130" spans="1:25" x14ac:dyDescent="0.4">
      <c r="A130" s="24" t="s">
        <v>2274</v>
      </c>
      <c r="B130" s="24" t="s">
        <v>2275</v>
      </c>
      <c r="C130" s="25">
        <v>42690</v>
      </c>
      <c r="D130" s="24" t="s">
        <v>2027</v>
      </c>
      <c r="E130" s="24" t="s">
        <v>2028</v>
      </c>
      <c r="F130" s="24" t="s">
        <v>2017</v>
      </c>
      <c r="G130" s="24">
        <v>769</v>
      </c>
      <c r="H130" s="24">
        <v>315290</v>
      </c>
      <c r="I130" s="24">
        <v>166</v>
      </c>
      <c r="J130" s="24">
        <v>51128</v>
      </c>
      <c r="K130" s="24">
        <v>798</v>
      </c>
      <c r="L130" s="24">
        <v>298452</v>
      </c>
      <c r="M130" s="24">
        <v>341</v>
      </c>
      <c r="N130" s="24">
        <v>133672</v>
      </c>
      <c r="O130" s="24">
        <v>496</v>
      </c>
      <c r="P130" s="24">
        <v>179552</v>
      </c>
      <c r="Q130" s="24">
        <v>537</v>
      </c>
      <c r="R130" s="24">
        <v>169155</v>
      </c>
      <c r="S130" s="24">
        <v>222</v>
      </c>
      <c r="T130" s="24">
        <v>85692</v>
      </c>
      <c r="U130" s="24">
        <v>791</v>
      </c>
      <c r="V130" s="24">
        <v>321937</v>
      </c>
      <c r="W130" s="24">
        <v>412</v>
      </c>
      <c r="X130" s="24">
        <v>142140</v>
      </c>
      <c r="Y130">
        <f t="shared" si="1"/>
        <v>4532</v>
      </c>
    </row>
    <row r="131" spans="1:25" x14ac:dyDescent="0.4">
      <c r="A131" s="24" t="s">
        <v>2276</v>
      </c>
      <c r="B131" s="24" t="s">
        <v>2277</v>
      </c>
      <c r="C131" s="25">
        <v>43307</v>
      </c>
      <c r="D131" s="24" t="s">
        <v>2015</v>
      </c>
      <c r="E131" s="24" t="s">
        <v>2020</v>
      </c>
      <c r="F131" s="24" t="s">
        <v>2017</v>
      </c>
      <c r="G131" s="24">
        <v>134</v>
      </c>
      <c r="H131" s="24">
        <v>47302</v>
      </c>
      <c r="I131" s="24">
        <v>378</v>
      </c>
      <c r="J131" s="24">
        <v>136080</v>
      </c>
      <c r="K131" s="24">
        <v>318</v>
      </c>
      <c r="L131" s="24">
        <v>136740</v>
      </c>
      <c r="M131" s="24">
        <v>200</v>
      </c>
      <c r="N131" s="24">
        <v>66800</v>
      </c>
      <c r="O131" s="24">
        <v>392</v>
      </c>
      <c r="P131" s="24">
        <v>117992</v>
      </c>
      <c r="Q131" s="24">
        <v>313</v>
      </c>
      <c r="R131" s="24">
        <v>125513</v>
      </c>
      <c r="S131" s="24">
        <v>269</v>
      </c>
      <c r="T131" s="24">
        <v>108676</v>
      </c>
      <c r="U131" s="24">
        <v>564</v>
      </c>
      <c r="V131" s="24">
        <v>186120</v>
      </c>
      <c r="W131" s="24">
        <v>557</v>
      </c>
      <c r="X131" s="24">
        <v>248979</v>
      </c>
      <c r="Y131">
        <f t="shared" ref="Y131:Y194" si="2">SUMIF($G$1:$X$1,"Количество*",G131:X131)</f>
        <v>3125</v>
      </c>
    </row>
    <row r="132" spans="1:25" x14ac:dyDescent="0.4">
      <c r="A132" s="24" t="s">
        <v>2278</v>
      </c>
      <c r="B132" s="24" t="s">
        <v>2279</v>
      </c>
      <c r="C132" s="25">
        <v>42368</v>
      </c>
      <c r="D132" s="24" t="s">
        <v>2027</v>
      </c>
      <c r="E132" s="24" t="s">
        <v>2028</v>
      </c>
      <c r="F132" s="24" t="s">
        <v>2017</v>
      </c>
      <c r="G132" s="24">
        <v>312</v>
      </c>
      <c r="H132" s="24">
        <v>130104</v>
      </c>
      <c r="I132" s="24">
        <v>419</v>
      </c>
      <c r="J132" s="24">
        <v>159639</v>
      </c>
      <c r="K132" s="24">
        <v>736</v>
      </c>
      <c r="L132" s="24">
        <v>258336</v>
      </c>
      <c r="M132" s="24">
        <v>321</v>
      </c>
      <c r="N132" s="24">
        <v>118449</v>
      </c>
      <c r="O132" s="24">
        <v>582</v>
      </c>
      <c r="P132" s="24">
        <v>253170</v>
      </c>
      <c r="Q132" s="24">
        <v>675</v>
      </c>
      <c r="R132" s="24">
        <v>229500</v>
      </c>
      <c r="S132" s="24">
        <v>496</v>
      </c>
      <c r="T132" s="24">
        <v>149296</v>
      </c>
      <c r="U132" s="24">
        <v>165</v>
      </c>
      <c r="V132" s="24">
        <v>50820</v>
      </c>
      <c r="W132" s="24">
        <v>766</v>
      </c>
      <c r="X132" s="24">
        <v>281122</v>
      </c>
      <c r="Y132">
        <f t="shared" si="2"/>
        <v>4472</v>
      </c>
    </row>
    <row r="133" spans="1:25" x14ac:dyDescent="0.4">
      <c r="A133" s="24" t="s">
        <v>2280</v>
      </c>
      <c r="B133" s="24" t="s">
        <v>2281</v>
      </c>
      <c r="C133" s="25">
        <v>43666</v>
      </c>
      <c r="D133" s="24" t="s">
        <v>2027</v>
      </c>
      <c r="E133" s="24" t="s">
        <v>2016</v>
      </c>
      <c r="F133" s="24" t="s">
        <v>2017</v>
      </c>
      <c r="G133" s="24">
        <v>341</v>
      </c>
      <c r="H133" s="24">
        <v>104346</v>
      </c>
      <c r="I133" s="24">
        <v>535</v>
      </c>
      <c r="J133" s="24">
        <v>219885</v>
      </c>
      <c r="K133" s="24">
        <v>122</v>
      </c>
      <c r="L133" s="24">
        <v>37698</v>
      </c>
      <c r="M133" s="24">
        <v>558</v>
      </c>
      <c r="N133" s="24">
        <v>180792</v>
      </c>
      <c r="O133" s="24">
        <v>635</v>
      </c>
      <c r="P133" s="24">
        <v>266065</v>
      </c>
      <c r="Q133" s="24">
        <v>319</v>
      </c>
      <c r="R133" s="24">
        <v>129514</v>
      </c>
      <c r="S133" s="24">
        <v>175</v>
      </c>
      <c r="T133" s="24">
        <v>72975</v>
      </c>
      <c r="U133" s="24">
        <v>619</v>
      </c>
      <c r="V133" s="24">
        <v>269265</v>
      </c>
      <c r="W133" s="24">
        <v>775</v>
      </c>
      <c r="X133" s="24">
        <v>341775</v>
      </c>
      <c r="Y133">
        <f t="shared" si="2"/>
        <v>4079</v>
      </c>
    </row>
    <row r="134" spans="1:25" x14ac:dyDescent="0.4">
      <c r="A134" s="24" t="s">
        <v>2282</v>
      </c>
      <c r="B134" s="24" t="s">
        <v>2283</v>
      </c>
      <c r="C134" s="25">
        <v>42369</v>
      </c>
      <c r="D134" s="24" t="s">
        <v>2015</v>
      </c>
      <c r="E134" s="24" t="s">
        <v>2020</v>
      </c>
      <c r="F134" s="24" t="s">
        <v>2017</v>
      </c>
      <c r="G134" s="24">
        <v>196</v>
      </c>
      <c r="H134" s="24">
        <v>66836</v>
      </c>
      <c r="I134" s="24">
        <v>442</v>
      </c>
      <c r="J134" s="24">
        <v>190944</v>
      </c>
      <c r="K134" s="24">
        <v>735</v>
      </c>
      <c r="L134" s="24">
        <v>227115</v>
      </c>
      <c r="M134" s="24">
        <v>272</v>
      </c>
      <c r="N134" s="24">
        <v>105808</v>
      </c>
      <c r="O134" s="24">
        <v>539</v>
      </c>
      <c r="P134" s="24">
        <v>199430</v>
      </c>
      <c r="Q134" s="24">
        <v>322</v>
      </c>
      <c r="R134" s="24">
        <v>112700</v>
      </c>
      <c r="S134" s="24">
        <v>647</v>
      </c>
      <c r="T134" s="24">
        <v>288562</v>
      </c>
      <c r="U134" s="24">
        <v>798</v>
      </c>
      <c r="V134" s="24">
        <v>341544</v>
      </c>
      <c r="W134" s="24">
        <v>728</v>
      </c>
      <c r="X134" s="24">
        <v>251160</v>
      </c>
      <c r="Y134">
        <f t="shared" si="2"/>
        <v>4679</v>
      </c>
    </row>
    <row r="135" spans="1:25" x14ac:dyDescent="0.4">
      <c r="A135" s="24" t="s">
        <v>2284</v>
      </c>
      <c r="B135" s="24" t="s">
        <v>2285</v>
      </c>
      <c r="C135" s="25">
        <v>43639</v>
      </c>
      <c r="D135" s="24" t="s">
        <v>2015</v>
      </c>
      <c r="E135" s="24" t="s">
        <v>2028</v>
      </c>
      <c r="F135" s="24" t="s">
        <v>2017</v>
      </c>
      <c r="G135" s="24">
        <v>226</v>
      </c>
      <c r="H135" s="24">
        <v>87914</v>
      </c>
      <c r="I135" s="24">
        <v>586</v>
      </c>
      <c r="J135" s="24">
        <v>195138</v>
      </c>
      <c r="K135" s="24">
        <v>302</v>
      </c>
      <c r="L135" s="24">
        <v>109324</v>
      </c>
      <c r="M135" s="24">
        <v>169</v>
      </c>
      <c r="N135" s="24">
        <v>71487</v>
      </c>
      <c r="O135" s="24">
        <v>419</v>
      </c>
      <c r="P135" s="24">
        <v>166762</v>
      </c>
      <c r="Q135" s="24">
        <v>351</v>
      </c>
      <c r="R135" s="24">
        <v>154791</v>
      </c>
      <c r="S135" s="24">
        <v>619</v>
      </c>
      <c r="T135" s="24">
        <v>235839</v>
      </c>
      <c r="U135" s="24">
        <v>174</v>
      </c>
      <c r="V135" s="24">
        <v>68208</v>
      </c>
      <c r="W135" s="24">
        <v>362</v>
      </c>
      <c r="X135" s="24">
        <v>153126</v>
      </c>
      <c r="Y135">
        <f t="shared" si="2"/>
        <v>3208</v>
      </c>
    </row>
    <row r="136" spans="1:25" x14ac:dyDescent="0.4">
      <c r="A136" s="24" t="s">
        <v>2286</v>
      </c>
      <c r="B136" s="24" t="s">
        <v>2287</v>
      </c>
      <c r="C136" s="25">
        <v>42269</v>
      </c>
      <c r="D136" s="24" t="s">
        <v>2015</v>
      </c>
      <c r="E136" s="24" t="s">
        <v>2028</v>
      </c>
      <c r="F136" s="24" t="s">
        <v>2017</v>
      </c>
      <c r="G136" s="24">
        <v>343</v>
      </c>
      <c r="H136" s="24">
        <v>151949</v>
      </c>
      <c r="I136" s="24">
        <v>109</v>
      </c>
      <c r="J136" s="24">
        <v>36951</v>
      </c>
      <c r="K136" s="24">
        <v>245</v>
      </c>
      <c r="L136" s="24">
        <v>90160</v>
      </c>
      <c r="M136" s="24">
        <v>696</v>
      </c>
      <c r="N136" s="24">
        <v>278400</v>
      </c>
      <c r="O136" s="24">
        <v>333</v>
      </c>
      <c r="P136" s="24">
        <v>133533</v>
      </c>
      <c r="Q136" s="24">
        <v>286</v>
      </c>
      <c r="R136" s="24">
        <v>121264</v>
      </c>
      <c r="S136" s="24">
        <v>708</v>
      </c>
      <c r="T136" s="24">
        <v>280368</v>
      </c>
      <c r="U136" s="24">
        <v>748</v>
      </c>
      <c r="V136" s="24">
        <v>233376</v>
      </c>
      <c r="W136" s="24">
        <v>708</v>
      </c>
      <c r="X136" s="24">
        <v>293820</v>
      </c>
      <c r="Y136">
        <f t="shared" si="2"/>
        <v>4176</v>
      </c>
    </row>
    <row r="137" spans="1:25" x14ac:dyDescent="0.4">
      <c r="A137" s="24" t="s">
        <v>2288</v>
      </c>
      <c r="B137" s="24" t="s">
        <v>2289</v>
      </c>
      <c r="C137" s="25">
        <v>43429</v>
      </c>
      <c r="D137" s="24" t="s">
        <v>2027</v>
      </c>
      <c r="E137" s="24" t="s">
        <v>2028</v>
      </c>
      <c r="F137" s="24" t="s">
        <v>2017</v>
      </c>
      <c r="G137" s="24">
        <v>609</v>
      </c>
      <c r="H137" s="24">
        <v>242991</v>
      </c>
      <c r="I137" s="24">
        <v>699</v>
      </c>
      <c r="J137" s="24">
        <v>230670</v>
      </c>
      <c r="K137" s="24">
        <v>783</v>
      </c>
      <c r="L137" s="24">
        <v>258390</v>
      </c>
      <c r="M137" s="24">
        <v>272</v>
      </c>
      <c r="N137" s="24">
        <v>116144</v>
      </c>
      <c r="O137" s="24">
        <v>293</v>
      </c>
      <c r="P137" s="24">
        <v>108703</v>
      </c>
      <c r="Q137" s="24">
        <v>406</v>
      </c>
      <c r="R137" s="24">
        <v>159558</v>
      </c>
      <c r="S137" s="24">
        <v>704</v>
      </c>
      <c r="T137" s="24">
        <v>306944</v>
      </c>
      <c r="U137" s="24">
        <v>722</v>
      </c>
      <c r="V137" s="24">
        <v>223820</v>
      </c>
      <c r="W137" s="24">
        <v>486</v>
      </c>
      <c r="X137" s="24">
        <v>201204</v>
      </c>
      <c r="Y137">
        <f t="shared" si="2"/>
        <v>4974</v>
      </c>
    </row>
    <row r="138" spans="1:25" x14ac:dyDescent="0.4">
      <c r="A138" s="24" t="s">
        <v>2290</v>
      </c>
      <c r="B138" s="24" t="s">
        <v>2291</v>
      </c>
      <c r="C138" s="25">
        <v>43883</v>
      </c>
      <c r="D138" s="24" t="s">
        <v>2027</v>
      </c>
      <c r="E138" s="24" t="s">
        <v>2020</v>
      </c>
      <c r="F138" s="24" t="s">
        <v>2017</v>
      </c>
      <c r="G138" s="24">
        <v>793</v>
      </c>
      <c r="H138" s="24">
        <v>347334</v>
      </c>
      <c r="I138" s="24">
        <v>660</v>
      </c>
      <c r="J138" s="24">
        <v>262020</v>
      </c>
      <c r="K138" s="24">
        <v>201</v>
      </c>
      <c r="L138" s="24">
        <v>84219</v>
      </c>
      <c r="M138" s="24">
        <v>314</v>
      </c>
      <c r="N138" s="24">
        <v>103306</v>
      </c>
      <c r="O138" s="24">
        <v>167</v>
      </c>
      <c r="P138" s="24">
        <v>62458</v>
      </c>
      <c r="Q138" s="24">
        <v>486</v>
      </c>
      <c r="R138" s="24">
        <v>160866</v>
      </c>
      <c r="S138" s="24">
        <v>746</v>
      </c>
      <c r="T138" s="24">
        <v>299892</v>
      </c>
      <c r="U138" s="24">
        <v>195</v>
      </c>
      <c r="V138" s="24">
        <v>80340</v>
      </c>
      <c r="W138" s="24">
        <v>647</v>
      </c>
      <c r="X138" s="24">
        <v>224509</v>
      </c>
      <c r="Y138">
        <f t="shared" si="2"/>
        <v>4209</v>
      </c>
    </row>
    <row r="139" spans="1:25" x14ac:dyDescent="0.4">
      <c r="A139" s="24" t="s">
        <v>2292</v>
      </c>
      <c r="B139" s="24" t="s">
        <v>2293</v>
      </c>
      <c r="C139" s="25">
        <v>42999</v>
      </c>
      <c r="D139" s="24" t="s">
        <v>2015</v>
      </c>
      <c r="E139" s="24" t="s">
        <v>2028</v>
      </c>
      <c r="F139" s="24" t="s">
        <v>2017</v>
      </c>
      <c r="G139" s="24">
        <v>597</v>
      </c>
      <c r="H139" s="24">
        <v>228054</v>
      </c>
      <c r="I139" s="24">
        <v>228</v>
      </c>
      <c r="J139" s="24">
        <v>84360</v>
      </c>
      <c r="K139" s="24">
        <v>298</v>
      </c>
      <c r="L139" s="24">
        <v>122478</v>
      </c>
      <c r="M139" s="24">
        <v>611</v>
      </c>
      <c r="N139" s="24">
        <v>273728</v>
      </c>
      <c r="O139" s="24">
        <v>266</v>
      </c>
      <c r="P139" s="24">
        <v>86716</v>
      </c>
      <c r="Q139" s="24">
        <v>445</v>
      </c>
      <c r="R139" s="24">
        <v>159310</v>
      </c>
      <c r="S139" s="24">
        <v>143</v>
      </c>
      <c r="T139" s="24">
        <v>55913</v>
      </c>
      <c r="U139" s="24">
        <v>210</v>
      </c>
      <c r="V139" s="24">
        <v>88200</v>
      </c>
      <c r="W139" s="24">
        <v>413</v>
      </c>
      <c r="X139" s="24">
        <v>134638</v>
      </c>
      <c r="Y139">
        <f t="shared" si="2"/>
        <v>3211</v>
      </c>
    </row>
    <row r="140" spans="1:25" x14ac:dyDescent="0.4">
      <c r="A140" s="24" t="s">
        <v>2294</v>
      </c>
      <c r="B140" s="24" t="s">
        <v>2295</v>
      </c>
      <c r="C140" s="25">
        <v>43479</v>
      </c>
      <c r="D140" s="24" t="s">
        <v>2027</v>
      </c>
      <c r="E140" s="24" t="s">
        <v>2028</v>
      </c>
      <c r="F140" s="24" t="s">
        <v>2017</v>
      </c>
      <c r="G140" s="24">
        <v>291</v>
      </c>
      <c r="H140" s="24">
        <v>100686</v>
      </c>
      <c r="I140" s="24">
        <v>192</v>
      </c>
      <c r="J140" s="24">
        <v>68736</v>
      </c>
      <c r="K140" s="24">
        <v>214</v>
      </c>
      <c r="L140" s="24">
        <v>87098</v>
      </c>
      <c r="M140" s="24">
        <v>754</v>
      </c>
      <c r="N140" s="24">
        <v>260884</v>
      </c>
      <c r="O140" s="24">
        <v>351</v>
      </c>
      <c r="P140" s="24">
        <v>141453</v>
      </c>
      <c r="Q140" s="24">
        <v>447</v>
      </c>
      <c r="R140" s="24">
        <v>176118</v>
      </c>
      <c r="S140" s="24">
        <v>474</v>
      </c>
      <c r="T140" s="24">
        <v>151206</v>
      </c>
      <c r="U140" s="24">
        <v>696</v>
      </c>
      <c r="V140" s="24">
        <v>213672</v>
      </c>
      <c r="W140" s="24">
        <v>303</v>
      </c>
      <c r="X140" s="24">
        <v>127563</v>
      </c>
      <c r="Y140">
        <f t="shared" si="2"/>
        <v>3722</v>
      </c>
    </row>
    <row r="141" spans="1:25" x14ac:dyDescent="0.4">
      <c r="A141" s="24" t="s">
        <v>2296</v>
      </c>
      <c r="B141" s="24" t="s">
        <v>2297</v>
      </c>
      <c r="C141" s="25">
        <v>42654</v>
      </c>
      <c r="D141" s="24" t="s">
        <v>2015</v>
      </c>
      <c r="E141" s="24" t="s">
        <v>2016</v>
      </c>
      <c r="F141" s="24" t="s">
        <v>2017</v>
      </c>
      <c r="G141" s="24">
        <v>600</v>
      </c>
      <c r="H141" s="24">
        <v>197400</v>
      </c>
      <c r="I141" s="24">
        <v>623</v>
      </c>
      <c r="J141" s="24">
        <v>274120</v>
      </c>
      <c r="K141" s="24">
        <v>222</v>
      </c>
      <c r="L141" s="24">
        <v>75036</v>
      </c>
      <c r="M141" s="24">
        <v>151</v>
      </c>
      <c r="N141" s="24">
        <v>58437</v>
      </c>
      <c r="O141" s="24">
        <v>215</v>
      </c>
      <c r="P141" s="24">
        <v>95245</v>
      </c>
      <c r="Q141" s="24">
        <v>748</v>
      </c>
      <c r="R141" s="24">
        <v>233376</v>
      </c>
      <c r="S141" s="24">
        <v>455</v>
      </c>
      <c r="T141" s="24">
        <v>166985</v>
      </c>
      <c r="U141" s="24">
        <v>148</v>
      </c>
      <c r="V141" s="24">
        <v>55944</v>
      </c>
      <c r="W141" s="24">
        <v>261</v>
      </c>
      <c r="X141" s="24">
        <v>95004</v>
      </c>
      <c r="Y141">
        <f t="shared" si="2"/>
        <v>3423</v>
      </c>
    </row>
    <row r="142" spans="1:25" x14ac:dyDescent="0.4">
      <c r="A142" s="24" t="s">
        <v>2298</v>
      </c>
      <c r="B142" s="24" t="s">
        <v>2299</v>
      </c>
      <c r="C142" s="25">
        <v>42315</v>
      </c>
      <c r="D142" s="24" t="s">
        <v>2015</v>
      </c>
      <c r="E142" s="24" t="s">
        <v>2028</v>
      </c>
      <c r="F142" s="24" t="s">
        <v>2017</v>
      </c>
      <c r="G142" s="24">
        <v>684</v>
      </c>
      <c r="H142" s="24">
        <v>259920</v>
      </c>
      <c r="I142" s="24">
        <v>754</v>
      </c>
      <c r="J142" s="24">
        <v>257868</v>
      </c>
      <c r="K142" s="24">
        <v>710</v>
      </c>
      <c r="L142" s="24">
        <v>293230</v>
      </c>
      <c r="M142" s="24">
        <v>699</v>
      </c>
      <c r="N142" s="24">
        <v>285192</v>
      </c>
      <c r="O142" s="24">
        <v>372</v>
      </c>
      <c r="P142" s="24">
        <v>139872</v>
      </c>
      <c r="Q142" s="24">
        <v>599</v>
      </c>
      <c r="R142" s="24">
        <v>209051</v>
      </c>
      <c r="S142" s="24">
        <v>346</v>
      </c>
      <c r="T142" s="24">
        <v>144628</v>
      </c>
      <c r="U142" s="24">
        <v>492</v>
      </c>
      <c r="V142" s="24">
        <v>156948</v>
      </c>
      <c r="W142" s="24">
        <v>223</v>
      </c>
      <c r="X142" s="24">
        <v>73144</v>
      </c>
      <c r="Y142">
        <f t="shared" si="2"/>
        <v>4879</v>
      </c>
    </row>
    <row r="143" spans="1:25" x14ac:dyDescent="0.4">
      <c r="A143" s="24" t="s">
        <v>2300</v>
      </c>
      <c r="B143" s="24" t="s">
        <v>2301</v>
      </c>
      <c r="C143" s="25">
        <v>44029</v>
      </c>
      <c r="D143" s="24" t="s">
        <v>2015</v>
      </c>
      <c r="E143" s="24" t="s">
        <v>2028</v>
      </c>
      <c r="F143" s="24" t="s">
        <v>2017</v>
      </c>
      <c r="G143" s="24">
        <v>586</v>
      </c>
      <c r="H143" s="24">
        <v>240846</v>
      </c>
      <c r="I143" s="24">
        <v>373</v>
      </c>
      <c r="J143" s="24">
        <v>143232</v>
      </c>
      <c r="K143" s="24">
        <v>512</v>
      </c>
      <c r="L143" s="24">
        <v>209920</v>
      </c>
      <c r="M143" s="24">
        <v>647</v>
      </c>
      <c r="N143" s="24">
        <v>280798</v>
      </c>
      <c r="O143" s="24">
        <v>301</v>
      </c>
      <c r="P143" s="24">
        <v>107457</v>
      </c>
      <c r="Q143" s="24">
        <v>169</v>
      </c>
      <c r="R143" s="24">
        <v>72332</v>
      </c>
      <c r="S143" s="24">
        <v>170</v>
      </c>
      <c r="T143" s="24">
        <v>59840</v>
      </c>
      <c r="U143" s="24">
        <v>436</v>
      </c>
      <c r="V143" s="24">
        <v>139084</v>
      </c>
      <c r="W143" s="24">
        <v>587</v>
      </c>
      <c r="X143" s="24">
        <v>254171</v>
      </c>
      <c r="Y143">
        <f t="shared" si="2"/>
        <v>3781</v>
      </c>
    </row>
    <row r="144" spans="1:25" x14ac:dyDescent="0.4">
      <c r="A144" s="24" t="s">
        <v>2302</v>
      </c>
      <c r="B144" s="24" t="s">
        <v>2303</v>
      </c>
      <c r="C144" s="25">
        <v>43260</v>
      </c>
      <c r="D144" s="24" t="s">
        <v>2027</v>
      </c>
      <c r="E144" s="24" t="s">
        <v>2016</v>
      </c>
      <c r="F144" s="24" t="s">
        <v>2017</v>
      </c>
      <c r="G144" s="24">
        <v>409</v>
      </c>
      <c r="H144" s="24">
        <v>150103</v>
      </c>
      <c r="I144" s="24">
        <v>551</v>
      </c>
      <c r="J144" s="24">
        <v>246848</v>
      </c>
      <c r="K144" s="24">
        <v>103</v>
      </c>
      <c r="L144" s="24">
        <v>40479</v>
      </c>
      <c r="M144" s="24">
        <v>360</v>
      </c>
      <c r="N144" s="24">
        <v>110520</v>
      </c>
      <c r="O144" s="24">
        <v>607</v>
      </c>
      <c r="P144" s="24">
        <v>213057</v>
      </c>
      <c r="Q144" s="24">
        <v>570</v>
      </c>
      <c r="R144" s="24">
        <v>237120</v>
      </c>
      <c r="S144" s="24">
        <v>146</v>
      </c>
      <c r="T144" s="24">
        <v>55626</v>
      </c>
      <c r="U144" s="24">
        <v>737</v>
      </c>
      <c r="V144" s="24">
        <v>223311</v>
      </c>
      <c r="W144" s="24">
        <v>555</v>
      </c>
      <c r="X144" s="24">
        <v>245865</v>
      </c>
      <c r="Y144">
        <f t="shared" si="2"/>
        <v>4038</v>
      </c>
    </row>
    <row r="145" spans="1:25" x14ac:dyDescent="0.4">
      <c r="A145" s="24" t="s">
        <v>2304</v>
      </c>
      <c r="B145" s="24" t="s">
        <v>2305</v>
      </c>
      <c r="C145" s="25">
        <v>43715</v>
      </c>
      <c r="D145" s="24" t="s">
        <v>2027</v>
      </c>
      <c r="E145" s="24" t="s">
        <v>2020</v>
      </c>
      <c r="F145" s="24" t="s">
        <v>2017</v>
      </c>
      <c r="G145" s="24">
        <v>442</v>
      </c>
      <c r="H145" s="24">
        <v>167518</v>
      </c>
      <c r="I145" s="24">
        <v>208</v>
      </c>
      <c r="J145" s="24">
        <v>69680</v>
      </c>
      <c r="K145" s="24">
        <v>667</v>
      </c>
      <c r="L145" s="24">
        <v>206103</v>
      </c>
      <c r="M145" s="24">
        <v>680</v>
      </c>
      <c r="N145" s="24">
        <v>267240</v>
      </c>
      <c r="O145" s="24">
        <v>141</v>
      </c>
      <c r="P145" s="24">
        <v>62604</v>
      </c>
      <c r="Q145" s="24">
        <v>335</v>
      </c>
      <c r="R145" s="24">
        <v>111555</v>
      </c>
      <c r="S145" s="24">
        <v>639</v>
      </c>
      <c r="T145" s="24">
        <v>265185</v>
      </c>
      <c r="U145" s="24">
        <v>344</v>
      </c>
      <c r="V145" s="24">
        <v>137256</v>
      </c>
      <c r="W145" s="24">
        <v>743</v>
      </c>
      <c r="X145" s="24">
        <v>263022</v>
      </c>
      <c r="Y145">
        <f t="shared" si="2"/>
        <v>4199</v>
      </c>
    </row>
    <row r="146" spans="1:25" x14ac:dyDescent="0.4">
      <c r="A146" s="24" t="s">
        <v>2306</v>
      </c>
      <c r="B146" s="24" t="s">
        <v>2307</v>
      </c>
      <c r="C146" s="25">
        <v>42423</v>
      </c>
      <c r="D146" s="24" t="s">
        <v>2027</v>
      </c>
      <c r="E146" s="24" t="s">
        <v>2028</v>
      </c>
      <c r="F146" s="24" t="s">
        <v>2017</v>
      </c>
      <c r="G146" s="24">
        <v>451</v>
      </c>
      <c r="H146" s="24">
        <v>141614</v>
      </c>
      <c r="I146" s="24">
        <v>528</v>
      </c>
      <c r="J146" s="24">
        <v>185328</v>
      </c>
      <c r="K146" s="24">
        <v>402</v>
      </c>
      <c r="L146" s="24">
        <v>168036</v>
      </c>
      <c r="M146" s="24">
        <v>201</v>
      </c>
      <c r="N146" s="24">
        <v>86430</v>
      </c>
      <c r="O146" s="24">
        <v>644</v>
      </c>
      <c r="P146" s="24">
        <v>241500</v>
      </c>
      <c r="Q146" s="24">
        <v>445</v>
      </c>
      <c r="R146" s="24">
        <v>198915</v>
      </c>
      <c r="S146" s="24">
        <v>486</v>
      </c>
      <c r="T146" s="24">
        <v>179334</v>
      </c>
      <c r="U146" s="24">
        <v>140</v>
      </c>
      <c r="V146" s="24">
        <v>57400</v>
      </c>
      <c r="W146" s="24">
        <v>121</v>
      </c>
      <c r="X146" s="24">
        <v>37994</v>
      </c>
      <c r="Y146">
        <f t="shared" si="2"/>
        <v>3418</v>
      </c>
    </row>
    <row r="147" spans="1:25" x14ac:dyDescent="0.4">
      <c r="A147" s="24" t="s">
        <v>2308</v>
      </c>
      <c r="B147" s="24" t="s">
        <v>2309</v>
      </c>
      <c r="C147" s="25">
        <v>43472</v>
      </c>
      <c r="D147" s="24" t="s">
        <v>2015</v>
      </c>
      <c r="E147" s="24" t="s">
        <v>2016</v>
      </c>
      <c r="F147" s="24" t="s">
        <v>2017</v>
      </c>
      <c r="G147" s="24">
        <v>756</v>
      </c>
      <c r="H147" s="24">
        <v>231336</v>
      </c>
      <c r="I147" s="24">
        <v>167</v>
      </c>
      <c r="J147" s="24">
        <v>50935</v>
      </c>
      <c r="K147" s="24">
        <v>507</v>
      </c>
      <c r="L147" s="24">
        <v>203814</v>
      </c>
      <c r="M147" s="24">
        <v>785</v>
      </c>
      <c r="N147" s="24">
        <v>265330</v>
      </c>
      <c r="O147" s="24">
        <v>377</v>
      </c>
      <c r="P147" s="24">
        <v>117624</v>
      </c>
      <c r="Q147" s="24">
        <v>755</v>
      </c>
      <c r="R147" s="24">
        <v>285390</v>
      </c>
      <c r="S147" s="24">
        <v>798</v>
      </c>
      <c r="T147" s="24">
        <v>300846</v>
      </c>
      <c r="U147" s="24">
        <v>360</v>
      </c>
      <c r="V147" s="24">
        <v>113040</v>
      </c>
      <c r="W147" s="24">
        <v>557</v>
      </c>
      <c r="X147" s="24">
        <v>247865</v>
      </c>
      <c r="Y147">
        <f t="shared" si="2"/>
        <v>5062</v>
      </c>
    </row>
    <row r="148" spans="1:25" x14ac:dyDescent="0.4">
      <c r="A148" s="24" t="s">
        <v>2310</v>
      </c>
      <c r="B148" s="24" t="s">
        <v>2311</v>
      </c>
      <c r="C148" s="25">
        <v>43828</v>
      </c>
      <c r="D148" s="24" t="s">
        <v>2027</v>
      </c>
      <c r="E148" s="24" t="s">
        <v>2028</v>
      </c>
      <c r="F148" s="24" t="s">
        <v>2017</v>
      </c>
      <c r="G148" s="24">
        <v>526</v>
      </c>
      <c r="H148" s="24">
        <v>235648</v>
      </c>
      <c r="I148" s="24">
        <v>573</v>
      </c>
      <c r="J148" s="24">
        <v>202842</v>
      </c>
      <c r="K148" s="24">
        <v>543</v>
      </c>
      <c r="L148" s="24">
        <v>212313</v>
      </c>
      <c r="M148" s="24">
        <v>169</v>
      </c>
      <c r="N148" s="24">
        <v>56784</v>
      </c>
      <c r="O148" s="24">
        <v>676</v>
      </c>
      <c r="P148" s="24">
        <v>267696</v>
      </c>
      <c r="Q148" s="24">
        <v>731</v>
      </c>
      <c r="R148" s="24">
        <v>244885</v>
      </c>
      <c r="S148" s="24">
        <v>285</v>
      </c>
      <c r="T148" s="24">
        <v>99465</v>
      </c>
      <c r="U148" s="24">
        <v>378</v>
      </c>
      <c r="V148" s="24">
        <v>120960</v>
      </c>
      <c r="W148" s="24">
        <v>106</v>
      </c>
      <c r="X148" s="24">
        <v>44308</v>
      </c>
      <c r="Y148">
        <f t="shared" si="2"/>
        <v>3987</v>
      </c>
    </row>
    <row r="149" spans="1:25" x14ac:dyDescent="0.4">
      <c r="A149" s="24" t="s">
        <v>2312</v>
      </c>
      <c r="B149" s="24" t="s">
        <v>2313</v>
      </c>
      <c r="C149" s="25">
        <v>44021</v>
      </c>
      <c r="D149" s="24" t="s">
        <v>2015</v>
      </c>
      <c r="E149" s="24" t="s">
        <v>2028</v>
      </c>
      <c r="F149" s="24" t="s">
        <v>2017</v>
      </c>
      <c r="G149" s="24">
        <v>713</v>
      </c>
      <c r="H149" s="24">
        <v>301599</v>
      </c>
      <c r="I149" s="24">
        <v>681</v>
      </c>
      <c r="J149" s="24">
        <v>296235</v>
      </c>
      <c r="K149" s="24">
        <v>656</v>
      </c>
      <c r="L149" s="24">
        <v>269616</v>
      </c>
      <c r="M149" s="24">
        <v>332</v>
      </c>
      <c r="N149" s="24">
        <v>138444</v>
      </c>
      <c r="O149" s="24">
        <v>653</v>
      </c>
      <c r="P149" s="24">
        <v>267730</v>
      </c>
      <c r="Q149" s="24">
        <v>731</v>
      </c>
      <c r="R149" s="24">
        <v>308482</v>
      </c>
      <c r="S149" s="24">
        <v>144</v>
      </c>
      <c r="T149" s="24">
        <v>60624</v>
      </c>
      <c r="U149" s="24">
        <v>760</v>
      </c>
      <c r="V149" s="24">
        <v>329080</v>
      </c>
      <c r="W149" s="24">
        <v>645</v>
      </c>
      <c r="X149" s="24">
        <v>267675</v>
      </c>
      <c r="Y149">
        <f t="shared" si="2"/>
        <v>5315</v>
      </c>
    </row>
    <row r="150" spans="1:25" x14ac:dyDescent="0.4">
      <c r="A150" s="24" t="s">
        <v>2314</v>
      </c>
      <c r="B150" s="24" t="s">
        <v>2315</v>
      </c>
      <c r="C150" s="25">
        <v>43224</v>
      </c>
      <c r="D150" s="24" t="s">
        <v>2027</v>
      </c>
      <c r="E150" s="24" t="s">
        <v>2028</v>
      </c>
      <c r="F150" s="24" t="s">
        <v>2017</v>
      </c>
      <c r="G150" s="24">
        <v>226</v>
      </c>
      <c r="H150" s="24">
        <v>79100</v>
      </c>
      <c r="I150" s="24">
        <v>243</v>
      </c>
      <c r="J150" s="24">
        <v>108864</v>
      </c>
      <c r="K150" s="24">
        <v>789</v>
      </c>
      <c r="L150" s="24">
        <v>276150</v>
      </c>
      <c r="M150" s="24">
        <v>736</v>
      </c>
      <c r="N150" s="24">
        <v>276000</v>
      </c>
      <c r="O150" s="24">
        <v>737</v>
      </c>
      <c r="P150" s="24">
        <v>270479</v>
      </c>
      <c r="Q150" s="24">
        <v>291</v>
      </c>
      <c r="R150" s="24">
        <v>90501</v>
      </c>
      <c r="S150" s="24">
        <v>577</v>
      </c>
      <c r="T150" s="24">
        <v>198488</v>
      </c>
      <c r="U150" s="24">
        <v>782</v>
      </c>
      <c r="V150" s="24">
        <v>269008</v>
      </c>
      <c r="W150" s="24">
        <v>780</v>
      </c>
      <c r="X150" s="24">
        <v>294060</v>
      </c>
      <c r="Y150">
        <f t="shared" si="2"/>
        <v>5161</v>
      </c>
    </row>
    <row r="151" spans="1:25" x14ac:dyDescent="0.4">
      <c r="A151" s="24" t="s">
        <v>2316</v>
      </c>
      <c r="B151" s="24" t="s">
        <v>2317</v>
      </c>
      <c r="C151" s="25">
        <v>43376</v>
      </c>
      <c r="D151" s="24" t="s">
        <v>2027</v>
      </c>
      <c r="E151" s="24" t="s">
        <v>2028</v>
      </c>
      <c r="F151" s="24" t="s">
        <v>2017</v>
      </c>
      <c r="G151" s="24">
        <v>469</v>
      </c>
      <c r="H151" s="24">
        <v>181972</v>
      </c>
      <c r="I151" s="24">
        <v>159</v>
      </c>
      <c r="J151" s="24">
        <v>62646</v>
      </c>
      <c r="K151" s="24">
        <v>683</v>
      </c>
      <c r="L151" s="24">
        <v>303252</v>
      </c>
      <c r="M151" s="24">
        <v>289</v>
      </c>
      <c r="N151" s="24">
        <v>99994</v>
      </c>
      <c r="O151" s="24">
        <v>709</v>
      </c>
      <c r="P151" s="24">
        <v>252404</v>
      </c>
      <c r="Q151" s="24">
        <v>198</v>
      </c>
      <c r="R151" s="24">
        <v>64152</v>
      </c>
      <c r="S151" s="24">
        <v>753</v>
      </c>
      <c r="T151" s="24">
        <v>232677</v>
      </c>
      <c r="U151" s="24">
        <v>111</v>
      </c>
      <c r="V151" s="24">
        <v>47064</v>
      </c>
      <c r="W151" s="24">
        <v>485</v>
      </c>
      <c r="X151" s="24">
        <v>158595</v>
      </c>
      <c r="Y151">
        <f t="shared" si="2"/>
        <v>3856</v>
      </c>
    </row>
    <row r="152" spans="1:25" x14ac:dyDescent="0.4">
      <c r="A152" s="24" t="s">
        <v>2318</v>
      </c>
      <c r="B152" s="24" t="s">
        <v>2319</v>
      </c>
      <c r="C152" s="25">
        <v>42831</v>
      </c>
      <c r="D152" s="24" t="s">
        <v>2027</v>
      </c>
      <c r="E152" s="24" t="s">
        <v>2028</v>
      </c>
      <c r="F152" s="24" t="s">
        <v>2017</v>
      </c>
      <c r="G152" s="24">
        <v>341</v>
      </c>
      <c r="H152" s="24">
        <v>115258</v>
      </c>
      <c r="I152" s="24">
        <v>689</v>
      </c>
      <c r="J152" s="24">
        <v>265954</v>
      </c>
      <c r="K152" s="24">
        <v>222</v>
      </c>
      <c r="L152" s="24">
        <v>83250</v>
      </c>
      <c r="M152" s="24">
        <v>226</v>
      </c>
      <c r="N152" s="24">
        <v>100118</v>
      </c>
      <c r="O152" s="24">
        <v>347</v>
      </c>
      <c r="P152" s="24">
        <v>138106</v>
      </c>
      <c r="Q152" s="24">
        <v>515</v>
      </c>
      <c r="R152" s="24">
        <v>187460</v>
      </c>
      <c r="S152" s="24">
        <v>132</v>
      </c>
      <c r="T152" s="24">
        <v>46860</v>
      </c>
      <c r="U152" s="24">
        <v>326</v>
      </c>
      <c r="V152" s="24">
        <v>146048</v>
      </c>
      <c r="W152" s="24">
        <v>277</v>
      </c>
      <c r="X152" s="24">
        <v>86701</v>
      </c>
      <c r="Y152">
        <f t="shared" si="2"/>
        <v>3075</v>
      </c>
    </row>
    <row r="153" spans="1:25" x14ac:dyDescent="0.4">
      <c r="A153" s="24" t="s">
        <v>2320</v>
      </c>
      <c r="B153" s="24" t="s">
        <v>2321</v>
      </c>
      <c r="C153" s="25">
        <v>44108</v>
      </c>
      <c r="D153" s="24" t="s">
        <v>2015</v>
      </c>
      <c r="E153" s="24" t="s">
        <v>2016</v>
      </c>
      <c r="F153" s="24" t="s">
        <v>2017</v>
      </c>
      <c r="G153" s="24">
        <v>515</v>
      </c>
      <c r="H153" s="24">
        <v>216300</v>
      </c>
      <c r="I153" s="24">
        <v>559</v>
      </c>
      <c r="J153" s="24">
        <v>244283</v>
      </c>
      <c r="K153" s="24">
        <v>222</v>
      </c>
      <c r="L153" s="24">
        <v>74370</v>
      </c>
      <c r="M153" s="24">
        <v>743</v>
      </c>
      <c r="N153" s="24">
        <v>245190</v>
      </c>
      <c r="O153" s="24">
        <v>765</v>
      </c>
      <c r="P153" s="24">
        <v>320535</v>
      </c>
      <c r="Q153" s="24">
        <v>523</v>
      </c>
      <c r="R153" s="24">
        <v>207108</v>
      </c>
      <c r="S153" s="24">
        <v>319</v>
      </c>
      <c r="T153" s="24">
        <v>102399</v>
      </c>
      <c r="U153" s="24">
        <v>159</v>
      </c>
      <c r="V153" s="24">
        <v>64872</v>
      </c>
      <c r="W153" s="24">
        <v>299</v>
      </c>
      <c r="X153" s="24">
        <v>131859</v>
      </c>
      <c r="Y153">
        <f t="shared" si="2"/>
        <v>4104</v>
      </c>
    </row>
    <row r="154" spans="1:25" x14ac:dyDescent="0.4">
      <c r="A154" s="24" t="s">
        <v>2322</v>
      </c>
      <c r="B154" s="24" t="s">
        <v>2323</v>
      </c>
      <c r="C154" s="25">
        <v>42964</v>
      </c>
      <c r="D154" s="24" t="s">
        <v>2015</v>
      </c>
      <c r="E154" s="24" t="s">
        <v>2020</v>
      </c>
      <c r="F154" s="24" t="s">
        <v>2017</v>
      </c>
      <c r="G154" s="24">
        <v>150</v>
      </c>
      <c r="H154" s="24">
        <v>63900</v>
      </c>
      <c r="I154" s="24">
        <v>703</v>
      </c>
      <c r="J154" s="24">
        <v>234099</v>
      </c>
      <c r="K154" s="24">
        <v>148</v>
      </c>
      <c r="L154" s="24">
        <v>55352</v>
      </c>
      <c r="M154" s="24">
        <v>764</v>
      </c>
      <c r="N154" s="24">
        <v>284208</v>
      </c>
      <c r="O154" s="24">
        <v>367</v>
      </c>
      <c r="P154" s="24">
        <v>149736</v>
      </c>
      <c r="Q154" s="24">
        <v>738</v>
      </c>
      <c r="R154" s="24">
        <v>323244</v>
      </c>
      <c r="S154" s="24">
        <v>150</v>
      </c>
      <c r="T154" s="24">
        <v>51900</v>
      </c>
      <c r="U154" s="24">
        <v>432</v>
      </c>
      <c r="V154" s="24">
        <v>163296</v>
      </c>
      <c r="W154" s="24">
        <v>516</v>
      </c>
      <c r="X154" s="24">
        <v>191952</v>
      </c>
      <c r="Y154">
        <f t="shared" si="2"/>
        <v>3968</v>
      </c>
    </row>
    <row r="155" spans="1:25" x14ac:dyDescent="0.4">
      <c r="A155" s="24" t="s">
        <v>2324</v>
      </c>
      <c r="B155" s="24" t="s">
        <v>2325</v>
      </c>
      <c r="C155" s="25">
        <v>43429</v>
      </c>
      <c r="D155" s="24" t="s">
        <v>2015</v>
      </c>
      <c r="E155" s="24" t="s">
        <v>2020</v>
      </c>
      <c r="F155" s="24" t="s">
        <v>2017</v>
      </c>
      <c r="G155" s="24">
        <v>753</v>
      </c>
      <c r="H155" s="24">
        <v>254514</v>
      </c>
      <c r="I155" s="24">
        <v>344</v>
      </c>
      <c r="J155" s="24">
        <v>119368</v>
      </c>
      <c r="K155" s="24">
        <v>217</v>
      </c>
      <c r="L155" s="24">
        <v>66619</v>
      </c>
      <c r="M155" s="24">
        <v>795</v>
      </c>
      <c r="N155" s="24">
        <v>351390</v>
      </c>
      <c r="O155" s="24">
        <v>457</v>
      </c>
      <c r="P155" s="24">
        <v>167719</v>
      </c>
      <c r="Q155" s="24">
        <v>504</v>
      </c>
      <c r="R155" s="24">
        <v>218232</v>
      </c>
      <c r="S155" s="24">
        <v>779</v>
      </c>
      <c r="T155" s="24">
        <v>343539</v>
      </c>
      <c r="U155" s="24">
        <v>737</v>
      </c>
      <c r="V155" s="24">
        <v>223311</v>
      </c>
      <c r="W155" s="24">
        <v>535</v>
      </c>
      <c r="X155" s="24">
        <v>184575</v>
      </c>
      <c r="Y155">
        <f t="shared" si="2"/>
        <v>5121</v>
      </c>
    </row>
    <row r="156" spans="1:25" x14ac:dyDescent="0.4">
      <c r="A156" s="24" t="s">
        <v>2326</v>
      </c>
      <c r="B156" s="24" t="s">
        <v>2327</v>
      </c>
      <c r="C156" s="25">
        <v>43203</v>
      </c>
      <c r="D156" s="24" t="s">
        <v>2015</v>
      </c>
      <c r="E156" s="24" t="s">
        <v>2020</v>
      </c>
      <c r="F156" s="24" t="s">
        <v>2017</v>
      </c>
      <c r="G156" s="24">
        <v>319</v>
      </c>
      <c r="H156" s="24">
        <v>110374</v>
      </c>
      <c r="I156" s="24">
        <v>657</v>
      </c>
      <c r="J156" s="24">
        <v>257544</v>
      </c>
      <c r="K156" s="24">
        <v>210</v>
      </c>
      <c r="L156" s="24">
        <v>76230</v>
      </c>
      <c r="M156" s="24">
        <v>291</v>
      </c>
      <c r="N156" s="24">
        <v>95448</v>
      </c>
      <c r="O156" s="24">
        <v>473</v>
      </c>
      <c r="P156" s="24">
        <v>191092</v>
      </c>
      <c r="Q156" s="24">
        <v>263</v>
      </c>
      <c r="R156" s="24">
        <v>83371</v>
      </c>
      <c r="S156" s="24">
        <v>601</v>
      </c>
      <c r="T156" s="24">
        <v>254824</v>
      </c>
      <c r="U156" s="24">
        <v>637</v>
      </c>
      <c r="V156" s="24">
        <v>224861</v>
      </c>
      <c r="W156" s="24">
        <v>298</v>
      </c>
      <c r="X156" s="24">
        <v>108770</v>
      </c>
      <c r="Y156">
        <f t="shared" si="2"/>
        <v>3749</v>
      </c>
    </row>
    <row r="157" spans="1:25" x14ac:dyDescent="0.4">
      <c r="A157" s="24" t="s">
        <v>2328</v>
      </c>
      <c r="B157" s="24" t="s">
        <v>2329</v>
      </c>
      <c r="C157" s="25">
        <v>44139</v>
      </c>
      <c r="D157" s="24" t="s">
        <v>2027</v>
      </c>
      <c r="E157" s="24" t="s">
        <v>2028</v>
      </c>
      <c r="F157" s="24" t="s">
        <v>2017</v>
      </c>
      <c r="G157" s="24">
        <v>397</v>
      </c>
      <c r="H157" s="24">
        <v>124658</v>
      </c>
      <c r="I157" s="24">
        <v>499</v>
      </c>
      <c r="J157" s="24">
        <v>213572</v>
      </c>
      <c r="K157" s="24">
        <v>729</v>
      </c>
      <c r="L157" s="24">
        <v>310554</v>
      </c>
      <c r="M157" s="24">
        <v>786</v>
      </c>
      <c r="N157" s="24">
        <v>279816</v>
      </c>
      <c r="O157" s="24">
        <v>106</v>
      </c>
      <c r="P157" s="24">
        <v>36994</v>
      </c>
      <c r="Q157" s="24">
        <v>708</v>
      </c>
      <c r="R157" s="24">
        <v>273288</v>
      </c>
      <c r="S157" s="24">
        <v>640</v>
      </c>
      <c r="T157" s="24">
        <v>273280</v>
      </c>
      <c r="U157" s="24">
        <v>312</v>
      </c>
      <c r="V157" s="24">
        <v>110136</v>
      </c>
      <c r="W157" s="24">
        <v>519</v>
      </c>
      <c r="X157" s="24">
        <v>228360</v>
      </c>
      <c r="Y157">
        <f t="shared" si="2"/>
        <v>4696</v>
      </c>
    </row>
    <row r="158" spans="1:25" x14ac:dyDescent="0.4">
      <c r="A158" s="24" t="s">
        <v>2330</v>
      </c>
      <c r="B158" s="24" t="s">
        <v>2331</v>
      </c>
      <c r="C158" s="25">
        <v>42213</v>
      </c>
      <c r="D158" s="24" t="s">
        <v>2015</v>
      </c>
      <c r="E158" s="24" t="s">
        <v>2020</v>
      </c>
      <c r="F158" s="24" t="s">
        <v>2017</v>
      </c>
      <c r="G158" s="24">
        <v>299</v>
      </c>
      <c r="H158" s="24">
        <v>113321</v>
      </c>
      <c r="I158" s="24">
        <v>347</v>
      </c>
      <c r="J158" s="24">
        <v>124920</v>
      </c>
      <c r="K158" s="24">
        <v>548</v>
      </c>
      <c r="L158" s="24">
        <v>187964</v>
      </c>
      <c r="M158" s="24">
        <v>359</v>
      </c>
      <c r="N158" s="24">
        <v>123137</v>
      </c>
      <c r="O158" s="24">
        <v>354</v>
      </c>
      <c r="P158" s="24">
        <v>124962</v>
      </c>
      <c r="Q158" s="24">
        <v>726</v>
      </c>
      <c r="R158" s="24">
        <v>222882</v>
      </c>
      <c r="S158" s="24">
        <v>293</v>
      </c>
      <c r="T158" s="24">
        <v>93760</v>
      </c>
      <c r="U158" s="24">
        <v>614</v>
      </c>
      <c r="V158" s="24">
        <v>200164</v>
      </c>
      <c r="W158" s="24">
        <v>174</v>
      </c>
      <c r="X158" s="24">
        <v>72732</v>
      </c>
      <c r="Y158">
        <f t="shared" si="2"/>
        <v>3714</v>
      </c>
    </row>
    <row r="159" spans="1:25" x14ac:dyDescent="0.4">
      <c r="A159" s="24" t="s">
        <v>2332</v>
      </c>
      <c r="B159" s="24" t="s">
        <v>2333</v>
      </c>
      <c r="C159" s="25">
        <v>43331</v>
      </c>
      <c r="D159" s="24" t="s">
        <v>2015</v>
      </c>
      <c r="E159" s="24" t="s">
        <v>2020</v>
      </c>
      <c r="F159" s="24" t="s">
        <v>2017</v>
      </c>
      <c r="G159" s="24">
        <v>792</v>
      </c>
      <c r="H159" s="24">
        <v>306504</v>
      </c>
      <c r="I159" s="24">
        <v>690</v>
      </c>
      <c r="J159" s="24">
        <v>302220</v>
      </c>
      <c r="K159" s="24">
        <v>651</v>
      </c>
      <c r="L159" s="24">
        <v>274071</v>
      </c>
      <c r="M159" s="24">
        <v>259</v>
      </c>
      <c r="N159" s="24">
        <v>103859</v>
      </c>
      <c r="O159" s="24">
        <v>189</v>
      </c>
      <c r="P159" s="24">
        <v>58023</v>
      </c>
      <c r="Q159" s="24">
        <v>514</v>
      </c>
      <c r="R159" s="24">
        <v>193778</v>
      </c>
      <c r="S159" s="24">
        <v>292</v>
      </c>
      <c r="T159" s="24">
        <v>94608</v>
      </c>
      <c r="U159" s="24">
        <v>278</v>
      </c>
      <c r="V159" s="24">
        <v>88682</v>
      </c>
      <c r="W159" s="24">
        <v>280</v>
      </c>
      <c r="X159" s="24">
        <v>112560</v>
      </c>
      <c r="Y159">
        <f t="shared" si="2"/>
        <v>3945</v>
      </c>
    </row>
    <row r="160" spans="1:25" x14ac:dyDescent="0.4">
      <c r="A160" s="24" t="s">
        <v>2334</v>
      </c>
      <c r="B160" s="24" t="s">
        <v>2335</v>
      </c>
      <c r="C160" s="25">
        <v>43767</v>
      </c>
      <c r="D160" s="24" t="s">
        <v>2027</v>
      </c>
      <c r="E160" s="24" t="s">
        <v>2016</v>
      </c>
      <c r="F160" s="24" t="s">
        <v>2017</v>
      </c>
      <c r="G160" s="24">
        <v>363</v>
      </c>
      <c r="H160" s="24">
        <v>143748</v>
      </c>
      <c r="I160" s="24">
        <v>572</v>
      </c>
      <c r="J160" s="24">
        <v>220792</v>
      </c>
      <c r="K160" s="24">
        <v>467</v>
      </c>
      <c r="L160" s="24">
        <v>190536</v>
      </c>
      <c r="M160" s="24">
        <v>592</v>
      </c>
      <c r="N160" s="24">
        <v>193584</v>
      </c>
      <c r="O160" s="24">
        <v>547</v>
      </c>
      <c r="P160" s="24">
        <v>190356</v>
      </c>
      <c r="Q160" s="24">
        <v>627</v>
      </c>
      <c r="R160" s="24">
        <v>213807</v>
      </c>
      <c r="S160" s="24">
        <v>277</v>
      </c>
      <c r="T160" s="24">
        <v>94457</v>
      </c>
      <c r="U160" s="24">
        <v>126</v>
      </c>
      <c r="V160" s="24">
        <v>38682</v>
      </c>
      <c r="W160" s="24">
        <v>284</v>
      </c>
      <c r="X160" s="24">
        <v>118428</v>
      </c>
      <c r="Y160">
        <f t="shared" si="2"/>
        <v>3855</v>
      </c>
    </row>
    <row r="161" spans="1:25" x14ac:dyDescent="0.4">
      <c r="A161" s="24" t="s">
        <v>2336</v>
      </c>
      <c r="B161" s="24" t="s">
        <v>2337</v>
      </c>
      <c r="C161" s="25">
        <v>42380</v>
      </c>
      <c r="D161" s="24" t="s">
        <v>2015</v>
      </c>
      <c r="E161" s="24" t="s">
        <v>2016</v>
      </c>
      <c r="F161" s="24" t="s">
        <v>2017</v>
      </c>
      <c r="G161" s="24">
        <v>382</v>
      </c>
      <c r="H161" s="24">
        <v>123004</v>
      </c>
      <c r="I161" s="24">
        <v>640</v>
      </c>
      <c r="J161" s="24">
        <v>240640</v>
      </c>
      <c r="K161" s="24">
        <v>641</v>
      </c>
      <c r="L161" s="24">
        <v>282681</v>
      </c>
      <c r="M161" s="24">
        <v>438</v>
      </c>
      <c r="N161" s="24">
        <v>179580</v>
      </c>
      <c r="O161" s="24">
        <v>510</v>
      </c>
      <c r="P161" s="24">
        <v>189210</v>
      </c>
      <c r="Q161" s="24">
        <v>319</v>
      </c>
      <c r="R161" s="24">
        <v>105908</v>
      </c>
      <c r="S161" s="24">
        <v>653</v>
      </c>
      <c r="T161" s="24">
        <v>252058</v>
      </c>
      <c r="U161" s="24">
        <v>168</v>
      </c>
      <c r="V161" s="24">
        <v>59808</v>
      </c>
      <c r="W161" s="24">
        <v>314</v>
      </c>
      <c r="X161" s="24">
        <v>95142</v>
      </c>
      <c r="Y161">
        <f t="shared" si="2"/>
        <v>4065</v>
      </c>
    </row>
    <row r="162" spans="1:25" x14ac:dyDescent="0.4">
      <c r="A162" s="24" t="s">
        <v>2338</v>
      </c>
      <c r="B162" s="24" t="s">
        <v>2339</v>
      </c>
      <c r="C162" s="25">
        <v>42091</v>
      </c>
      <c r="D162" s="24" t="s">
        <v>2015</v>
      </c>
      <c r="E162" s="24" t="s">
        <v>2020</v>
      </c>
      <c r="F162" s="24" t="s">
        <v>2017</v>
      </c>
      <c r="G162" s="24">
        <v>121</v>
      </c>
      <c r="H162" s="24">
        <v>39204</v>
      </c>
      <c r="I162" s="24">
        <v>231</v>
      </c>
      <c r="J162" s="24">
        <v>71379</v>
      </c>
      <c r="K162" s="24">
        <v>122</v>
      </c>
      <c r="L162" s="24">
        <v>51240</v>
      </c>
      <c r="M162" s="24">
        <v>378</v>
      </c>
      <c r="N162" s="24">
        <v>132678</v>
      </c>
      <c r="O162" s="24">
        <v>145</v>
      </c>
      <c r="P162" s="24">
        <v>47270</v>
      </c>
      <c r="Q162" s="24">
        <v>210</v>
      </c>
      <c r="R162" s="24">
        <v>90300</v>
      </c>
      <c r="S162" s="24">
        <v>572</v>
      </c>
      <c r="T162" s="24">
        <v>215072</v>
      </c>
      <c r="U162" s="24">
        <v>247</v>
      </c>
      <c r="V162" s="24">
        <v>86203</v>
      </c>
      <c r="W162" s="24">
        <v>262</v>
      </c>
      <c r="X162" s="24">
        <v>107944</v>
      </c>
      <c r="Y162">
        <f t="shared" si="2"/>
        <v>2288</v>
      </c>
    </row>
    <row r="163" spans="1:25" x14ac:dyDescent="0.4">
      <c r="A163" s="24" t="s">
        <v>2340</v>
      </c>
      <c r="B163" s="24" t="s">
        <v>2341</v>
      </c>
      <c r="C163" s="25">
        <v>43035</v>
      </c>
      <c r="D163" s="24" t="s">
        <v>2015</v>
      </c>
      <c r="E163" s="24" t="s">
        <v>2020</v>
      </c>
      <c r="F163" s="24" t="s">
        <v>2017</v>
      </c>
      <c r="G163" s="24">
        <v>374</v>
      </c>
      <c r="H163" s="24">
        <v>149226</v>
      </c>
      <c r="I163" s="24">
        <v>235</v>
      </c>
      <c r="J163" s="24">
        <v>81310</v>
      </c>
      <c r="K163" s="24">
        <v>660</v>
      </c>
      <c r="L163" s="24">
        <v>231000</v>
      </c>
      <c r="M163" s="24">
        <v>552</v>
      </c>
      <c r="N163" s="24">
        <v>190992</v>
      </c>
      <c r="O163" s="24">
        <v>443</v>
      </c>
      <c r="P163" s="24">
        <v>175428</v>
      </c>
      <c r="Q163" s="24">
        <v>772</v>
      </c>
      <c r="R163" s="24">
        <v>312660</v>
      </c>
      <c r="S163" s="24">
        <v>740</v>
      </c>
      <c r="T163" s="24">
        <v>244940</v>
      </c>
      <c r="U163" s="24">
        <v>351</v>
      </c>
      <c r="V163" s="24">
        <v>130221</v>
      </c>
      <c r="W163" s="24">
        <v>374</v>
      </c>
      <c r="X163" s="24">
        <v>126038</v>
      </c>
      <c r="Y163">
        <f t="shared" si="2"/>
        <v>4501</v>
      </c>
    </row>
    <row r="164" spans="1:25" x14ac:dyDescent="0.4">
      <c r="A164" s="24" t="s">
        <v>2342</v>
      </c>
      <c r="B164" s="24" t="s">
        <v>2343</v>
      </c>
      <c r="C164" s="25">
        <v>42968</v>
      </c>
      <c r="D164" s="24" t="s">
        <v>2015</v>
      </c>
      <c r="E164" s="24" t="s">
        <v>2028</v>
      </c>
      <c r="F164" s="24" t="s">
        <v>2017</v>
      </c>
      <c r="G164" s="24">
        <v>293</v>
      </c>
      <c r="H164" s="24">
        <v>91123</v>
      </c>
      <c r="I164" s="24">
        <v>333</v>
      </c>
      <c r="J164" s="24">
        <v>130869</v>
      </c>
      <c r="K164" s="24">
        <v>420</v>
      </c>
      <c r="L164" s="24">
        <v>169680</v>
      </c>
      <c r="M164" s="24">
        <v>548</v>
      </c>
      <c r="N164" s="24">
        <v>226872</v>
      </c>
      <c r="O164" s="24">
        <v>114</v>
      </c>
      <c r="P164" s="24">
        <v>43890</v>
      </c>
      <c r="Q164" s="24">
        <v>369</v>
      </c>
      <c r="R164" s="24">
        <v>114759</v>
      </c>
      <c r="S164" s="24">
        <v>254</v>
      </c>
      <c r="T164" s="24">
        <v>85598</v>
      </c>
      <c r="U164" s="24">
        <v>508</v>
      </c>
      <c r="V164" s="24">
        <v>201168</v>
      </c>
      <c r="W164" s="24">
        <v>175</v>
      </c>
      <c r="X164" s="24">
        <v>57050</v>
      </c>
      <c r="Y164">
        <f t="shared" si="2"/>
        <v>3014</v>
      </c>
    </row>
    <row r="165" spans="1:25" x14ac:dyDescent="0.4">
      <c r="A165" s="24" t="s">
        <v>2344</v>
      </c>
      <c r="B165" s="24" t="s">
        <v>2345</v>
      </c>
      <c r="C165" s="25">
        <v>42183</v>
      </c>
      <c r="D165" s="24" t="s">
        <v>2015</v>
      </c>
      <c r="E165" s="24" t="s">
        <v>2016</v>
      </c>
      <c r="F165" s="24" t="s">
        <v>2017</v>
      </c>
      <c r="G165" s="24">
        <v>584</v>
      </c>
      <c r="H165" s="24">
        <v>230096</v>
      </c>
      <c r="I165" s="24">
        <v>519</v>
      </c>
      <c r="J165" s="24">
        <v>181650</v>
      </c>
      <c r="K165" s="24">
        <v>115</v>
      </c>
      <c r="L165" s="24">
        <v>47725</v>
      </c>
      <c r="M165" s="24">
        <v>370</v>
      </c>
      <c r="N165" s="24">
        <v>151330</v>
      </c>
      <c r="O165" s="24">
        <v>297</v>
      </c>
      <c r="P165" s="24">
        <v>112563</v>
      </c>
      <c r="Q165" s="24">
        <v>434</v>
      </c>
      <c r="R165" s="24">
        <v>152768</v>
      </c>
      <c r="S165" s="24">
        <v>569</v>
      </c>
      <c r="T165" s="24">
        <v>253205</v>
      </c>
      <c r="U165" s="24">
        <v>228</v>
      </c>
      <c r="V165" s="24">
        <v>70452</v>
      </c>
      <c r="W165" s="24">
        <v>698</v>
      </c>
      <c r="X165" s="24">
        <v>298744</v>
      </c>
      <c r="Y165">
        <f t="shared" si="2"/>
        <v>3814</v>
      </c>
    </row>
    <row r="166" spans="1:25" x14ac:dyDescent="0.4">
      <c r="A166" s="24" t="s">
        <v>2346</v>
      </c>
      <c r="B166" s="24" t="s">
        <v>2347</v>
      </c>
      <c r="C166" s="25">
        <v>43346</v>
      </c>
      <c r="D166" s="24" t="s">
        <v>2027</v>
      </c>
      <c r="E166" s="24" t="s">
        <v>2028</v>
      </c>
      <c r="F166" s="24" t="s">
        <v>2017</v>
      </c>
      <c r="G166" s="24">
        <v>286</v>
      </c>
      <c r="H166" s="24">
        <v>110968</v>
      </c>
      <c r="I166" s="24">
        <v>246</v>
      </c>
      <c r="J166" s="24">
        <v>83148</v>
      </c>
      <c r="K166" s="24">
        <v>687</v>
      </c>
      <c r="L166" s="24">
        <v>252129</v>
      </c>
      <c r="M166" s="24">
        <v>309</v>
      </c>
      <c r="N166" s="24">
        <v>115875</v>
      </c>
      <c r="O166" s="24">
        <v>640</v>
      </c>
      <c r="P166" s="24">
        <v>216320</v>
      </c>
      <c r="Q166" s="24">
        <v>756</v>
      </c>
      <c r="R166" s="24">
        <v>337932</v>
      </c>
      <c r="S166" s="24">
        <v>219</v>
      </c>
      <c r="T166" s="24">
        <v>80811</v>
      </c>
      <c r="U166" s="24">
        <v>799</v>
      </c>
      <c r="V166" s="24">
        <v>251685</v>
      </c>
      <c r="W166" s="24">
        <v>669</v>
      </c>
      <c r="X166" s="24">
        <v>267600</v>
      </c>
      <c r="Y166">
        <f t="shared" si="2"/>
        <v>4611</v>
      </c>
    </row>
    <row r="167" spans="1:25" x14ac:dyDescent="0.4">
      <c r="A167" s="24" t="s">
        <v>2348</v>
      </c>
      <c r="B167" s="24" t="s">
        <v>2349</v>
      </c>
      <c r="C167" s="25">
        <v>42331</v>
      </c>
      <c r="D167" s="24" t="s">
        <v>2015</v>
      </c>
      <c r="E167" s="24" t="s">
        <v>2028</v>
      </c>
      <c r="F167" s="24" t="s">
        <v>2017</v>
      </c>
      <c r="G167" s="24">
        <v>244</v>
      </c>
      <c r="H167" s="24">
        <v>84424</v>
      </c>
      <c r="I167" s="24">
        <v>298</v>
      </c>
      <c r="J167" s="24">
        <v>108770</v>
      </c>
      <c r="K167" s="24">
        <v>637</v>
      </c>
      <c r="L167" s="24">
        <v>243334</v>
      </c>
      <c r="M167" s="24">
        <v>748</v>
      </c>
      <c r="N167" s="24">
        <v>232628</v>
      </c>
      <c r="O167" s="24">
        <v>128</v>
      </c>
      <c r="P167" s="24">
        <v>42240</v>
      </c>
      <c r="Q167" s="24">
        <v>149</v>
      </c>
      <c r="R167" s="24">
        <v>49170</v>
      </c>
      <c r="S167" s="24">
        <v>273</v>
      </c>
      <c r="T167" s="24">
        <v>118209</v>
      </c>
      <c r="U167" s="24">
        <v>112</v>
      </c>
      <c r="V167" s="24">
        <v>39872</v>
      </c>
      <c r="W167" s="24">
        <v>485</v>
      </c>
      <c r="X167" s="24">
        <v>212430</v>
      </c>
      <c r="Y167">
        <f t="shared" si="2"/>
        <v>3074</v>
      </c>
    </row>
    <row r="168" spans="1:25" x14ac:dyDescent="0.4">
      <c r="A168" s="24" t="s">
        <v>2350</v>
      </c>
      <c r="B168" s="24" t="s">
        <v>2351</v>
      </c>
      <c r="C168" s="25">
        <v>43971</v>
      </c>
      <c r="D168" s="24" t="s">
        <v>2027</v>
      </c>
      <c r="E168" s="24" t="s">
        <v>2028</v>
      </c>
      <c r="F168" s="24" t="s">
        <v>2017</v>
      </c>
      <c r="G168" s="24">
        <v>261</v>
      </c>
      <c r="H168" s="24">
        <v>108576</v>
      </c>
      <c r="I168" s="24">
        <v>213</v>
      </c>
      <c r="J168" s="24">
        <v>76041</v>
      </c>
      <c r="K168" s="24">
        <v>183</v>
      </c>
      <c r="L168" s="24">
        <v>60573</v>
      </c>
      <c r="M168" s="24">
        <v>388</v>
      </c>
      <c r="N168" s="24">
        <v>147052</v>
      </c>
      <c r="O168" s="24">
        <v>596</v>
      </c>
      <c r="P168" s="24">
        <v>184760</v>
      </c>
      <c r="Q168" s="24">
        <v>532</v>
      </c>
      <c r="R168" s="24">
        <v>181412</v>
      </c>
      <c r="S168" s="24">
        <v>696</v>
      </c>
      <c r="T168" s="24">
        <v>260304</v>
      </c>
      <c r="U168" s="24">
        <v>184</v>
      </c>
      <c r="V168" s="24">
        <v>75808</v>
      </c>
      <c r="W168" s="24">
        <v>109</v>
      </c>
      <c r="X168" s="24">
        <v>46979</v>
      </c>
      <c r="Y168">
        <f t="shared" si="2"/>
        <v>3162</v>
      </c>
    </row>
    <row r="169" spans="1:25" x14ac:dyDescent="0.4">
      <c r="A169" s="24" t="s">
        <v>2352</v>
      </c>
      <c r="B169" s="24" t="s">
        <v>2353</v>
      </c>
      <c r="C169" s="25">
        <v>43949</v>
      </c>
      <c r="D169" s="24" t="s">
        <v>2027</v>
      </c>
      <c r="E169" s="24" t="s">
        <v>2020</v>
      </c>
      <c r="F169" s="24" t="s">
        <v>2017</v>
      </c>
      <c r="G169" s="24">
        <v>346</v>
      </c>
      <c r="H169" s="24">
        <v>131134</v>
      </c>
      <c r="I169" s="24">
        <v>291</v>
      </c>
      <c r="J169" s="24">
        <v>123384</v>
      </c>
      <c r="K169" s="24">
        <v>372</v>
      </c>
      <c r="L169" s="24">
        <v>160332</v>
      </c>
      <c r="M169" s="24">
        <v>285</v>
      </c>
      <c r="N169" s="24">
        <v>88920</v>
      </c>
      <c r="O169" s="24">
        <v>505</v>
      </c>
      <c r="P169" s="24">
        <v>201495</v>
      </c>
      <c r="Q169" s="24">
        <v>641</v>
      </c>
      <c r="R169" s="24">
        <v>274989</v>
      </c>
      <c r="S169" s="24">
        <v>396</v>
      </c>
      <c r="T169" s="24">
        <v>123552</v>
      </c>
      <c r="U169" s="24">
        <v>315</v>
      </c>
      <c r="V169" s="24">
        <v>140490</v>
      </c>
      <c r="W169" s="24">
        <v>228</v>
      </c>
      <c r="X169" s="24">
        <v>95304</v>
      </c>
      <c r="Y169">
        <f t="shared" si="2"/>
        <v>3379</v>
      </c>
    </row>
    <row r="170" spans="1:25" x14ac:dyDescent="0.4">
      <c r="A170" s="24" t="s">
        <v>2354</v>
      </c>
      <c r="B170" s="24" t="s">
        <v>2355</v>
      </c>
      <c r="C170" s="25">
        <v>43345</v>
      </c>
      <c r="D170" s="24" t="s">
        <v>2015</v>
      </c>
      <c r="E170" s="24" t="s">
        <v>2028</v>
      </c>
      <c r="F170" s="24" t="s">
        <v>2017</v>
      </c>
      <c r="G170" s="24">
        <v>626</v>
      </c>
      <c r="H170" s="24">
        <v>210962</v>
      </c>
      <c r="I170" s="24">
        <v>120</v>
      </c>
      <c r="J170" s="24">
        <v>47160</v>
      </c>
      <c r="K170" s="24">
        <v>727</v>
      </c>
      <c r="L170" s="24">
        <v>303159</v>
      </c>
      <c r="M170" s="24">
        <v>483</v>
      </c>
      <c r="N170" s="24">
        <v>195132</v>
      </c>
      <c r="O170" s="24">
        <v>782</v>
      </c>
      <c r="P170" s="24">
        <v>334696</v>
      </c>
      <c r="Q170" s="24">
        <v>414</v>
      </c>
      <c r="R170" s="24">
        <v>178020</v>
      </c>
      <c r="S170" s="24">
        <v>800</v>
      </c>
      <c r="T170" s="24">
        <v>251200</v>
      </c>
      <c r="U170" s="24">
        <v>493</v>
      </c>
      <c r="V170" s="24">
        <v>200651</v>
      </c>
      <c r="W170" s="24">
        <v>403</v>
      </c>
      <c r="X170" s="24">
        <v>154752</v>
      </c>
      <c r="Y170">
        <f t="shared" si="2"/>
        <v>4848</v>
      </c>
    </row>
    <row r="171" spans="1:25" x14ac:dyDescent="0.4">
      <c r="A171" s="24" t="s">
        <v>2356</v>
      </c>
      <c r="B171" s="24" t="s">
        <v>2357</v>
      </c>
      <c r="C171" s="25">
        <v>42419</v>
      </c>
      <c r="D171" s="24" t="s">
        <v>2027</v>
      </c>
      <c r="E171" s="24" t="s">
        <v>2028</v>
      </c>
      <c r="F171" s="24" t="s">
        <v>2017</v>
      </c>
      <c r="G171" s="24">
        <v>724</v>
      </c>
      <c r="H171" s="24">
        <v>231680</v>
      </c>
      <c r="I171" s="24">
        <v>710</v>
      </c>
      <c r="J171" s="24">
        <v>261280</v>
      </c>
      <c r="K171" s="24">
        <v>597</v>
      </c>
      <c r="L171" s="24">
        <v>205368</v>
      </c>
      <c r="M171" s="24">
        <v>102</v>
      </c>
      <c r="N171" s="24">
        <v>42024</v>
      </c>
      <c r="O171" s="24">
        <v>714</v>
      </c>
      <c r="P171" s="24">
        <v>223482</v>
      </c>
      <c r="Q171" s="24">
        <v>392</v>
      </c>
      <c r="R171" s="24">
        <v>156800</v>
      </c>
      <c r="S171" s="24">
        <v>125</v>
      </c>
      <c r="T171" s="24">
        <v>55500</v>
      </c>
      <c r="U171" s="24">
        <v>628</v>
      </c>
      <c r="V171" s="24">
        <v>223568</v>
      </c>
      <c r="W171" s="24">
        <v>622</v>
      </c>
      <c r="X171" s="24">
        <v>229518</v>
      </c>
      <c r="Y171">
        <f t="shared" si="2"/>
        <v>4614</v>
      </c>
    </row>
    <row r="172" spans="1:25" x14ac:dyDescent="0.4">
      <c r="A172" s="24" t="s">
        <v>2358</v>
      </c>
      <c r="B172" s="24" t="s">
        <v>2359</v>
      </c>
      <c r="C172" s="25">
        <v>42458</v>
      </c>
      <c r="D172" s="24" t="s">
        <v>2027</v>
      </c>
      <c r="E172" s="24" t="s">
        <v>2028</v>
      </c>
      <c r="F172" s="24" t="s">
        <v>2017</v>
      </c>
      <c r="G172" s="24">
        <v>107</v>
      </c>
      <c r="H172" s="24">
        <v>43656</v>
      </c>
      <c r="I172" s="24">
        <v>609</v>
      </c>
      <c r="J172" s="24">
        <v>255780</v>
      </c>
      <c r="K172" s="24">
        <v>616</v>
      </c>
      <c r="L172" s="24">
        <v>276584</v>
      </c>
      <c r="M172" s="24">
        <v>198</v>
      </c>
      <c r="N172" s="24">
        <v>65934</v>
      </c>
      <c r="O172" s="24">
        <v>330</v>
      </c>
      <c r="P172" s="24">
        <v>127380</v>
      </c>
      <c r="Q172" s="24">
        <v>432</v>
      </c>
      <c r="R172" s="24">
        <v>150768</v>
      </c>
      <c r="S172" s="24">
        <v>139</v>
      </c>
      <c r="T172" s="24">
        <v>47677</v>
      </c>
      <c r="U172" s="24">
        <v>665</v>
      </c>
      <c r="V172" s="24">
        <v>244720</v>
      </c>
      <c r="W172" s="24">
        <v>268</v>
      </c>
      <c r="X172" s="24">
        <v>111756</v>
      </c>
      <c r="Y172">
        <f t="shared" si="2"/>
        <v>3364</v>
      </c>
    </row>
    <row r="173" spans="1:25" x14ac:dyDescent="0.4">
      <c r="A173" s="24" t="s">
        <v>2360</v>
      </c>
      <c r="B173" s="24" t="s">
        <v>2361</v>
      </c>
      <c r="C173" s="25">
        <v>43329</v>
      </c>
      <c r="D173" s="24" t="s">
        <v>2015</v>
      </c>
      <c r="E173" s="24" t="s">
        <v>2028</v>
      </c>
      <c r="F173" s="24" t="s">
        <v>2017</v>
      </c>
      <c r="G173" s="24">
        <v>503</v>
      </c>
      <c r="H173" s="24">
        <v>196673</v>
      </c>
      <c r="I173" s="24">
        <v>376</v>
      </c>
      <c r="J173" s="24">
        <v>122952</v>
      </c>
      <c r="K173" s="24">
        <v>770</v>
      </c>
      <c r="L173" s="24">
        <v>279510</v>
      </c>
      <c r="M173" s="24">
        <v>100</v>
      </c>
      <c r="N173" s="24">
        <v>34500</v>
      </c>
      <c r="O173" s="24">
        <v>637</v>
      </c>
      <c r="P173" s="24">
        <v>247156</v>
      </c>
      <c r="Q173" s="24">
        <v>523</v>
      </c>
      <c r="R173" s="24">
        <v>163176</v>
      </c>
      <c r="S173" s="24">
        <v>696</v>
      </c>
      <c r="T173" s="24">
        <v>217152</v>
      </c>
      <c r="U173" s="24">
        <v>120</v>
      </c>
      <c r="V173" s="24">
        <v>44280</v>
      </c>
      <c r="W173" s="24">
        <v>762</v>
      </c>
      <c r="X173" s="24">
        <v>342138</v>
      </c>
      <c r="Y173">
        <f t="shared" si="2"/>
        <v>4487</v>
      </c>
    </row>
    <row r="174" spans="1:25" x14ac:dyDescent="0.4">
      <c r="A174" s="24" t="s">
        <v>2362</v>
      </c>
      <c r="B174" s="24" t="s">
        <v>2363</v>
      </c>
      <c r="C174" s="25">
        <v>43469</v>
      </c>
      <c r="D174" s="24" t="s">
        <v>2027</v>
      </c>
      <c r="E174" s="24" t="s">
        <v>2016</v>
      </c>
      <c r="F174" s="24" t="s">
        <v>2017</v>
      </c>
      <c r="G174" s="24">
        <v>185</v>
      </c>
      <c r="H174" s="24">
        <v>60680</v>
      </c>
      <c r="I174" s="24">
        <v>500</v>
      </c>
      <c r="J174" s="24">
        <v>212000</v>
      </c>
      <c r="K174" s="24">
        <v>422</v>
      </c>
      <c r="L174" s="24">
        <v>158250</v>
      </c>
      <c r="M174" s="24">
        <v>521</v>
      </c>
      <c r="N174" s="24">
        <v>209963</v>
      </c>
      <c r="O174" s="24">
        <v>646</v>
      </c>
      <c r="P174" s="24">
        <v>231268</v>
      </c>
      <c r="Q174" s="24">
        <v>411</v>
      </c>
      <c r="R174" s="24">
        <v>132342</v>
      </c>
      <c r="S174" s="24">
        <v>533</v>
      </c>
      <c r="T174" s="24">
        <v>239317</v>
      </c>
      <c r="U174" s="24">
        <v>347</v>
      </c>
      <c r="V174" s="24">
        <v>113816</v>
      </c>
      <c r="W174" s="24">
        <v>472</v>
      </c>
      <c r="X174" s="24">
        <v>185968</v>
      </c>
      <c r="Y174">
        <f t="shared" si="2"/>
        <v>4037</v>
      </c>
    </row>
    <row r="175" spans="1:25" x14ac:dyDescent="0.4">
      <c r="A175" s="24" t="s">
        <v>2364</v>
      </c>
      <c r="B175" s="24" t="s">
        <v>2365</v>
      </c>
      <c r="C175" s="25">
        <v>43636</v>
      </c>
      <c r="D175" s="24" t="s">
        <v>2015</v>
      </c>
      <c r="E175" s="24" t="s">
        <v>2028</v>
      </c>
      <c r="F175" s="24" t="s">
        <v>2017</v>
      </c>
      <c r="G175" s="24">
        <v>679</v>
      </c>
      <c r="H175" s="24">
        <v>247835</v>
      </c>
      <c r="I175" s="24">
        <v>674</v>
      </c>
      <c r="J175" s="24">
        <v>293190</v>
      </c>
      <c r="K175" s="24">
        <v>549</v>
      </c>
      <c r="L175" s="24">
        <v>222894</v>
      </c>
      <c r="M175" s="24">
        <v>426</v>
      </c>
      <c r="N175" s="24">
        <v>169974</v>
      </c>
      <c r="O175" s="24">
        <v>800</v>
      </c>
      <c r="P175" s="24">
        <v>268800</v>
      </c>
      <c r="Q175" s="24">
        <v>663</v>
      </c>
      <c r="R175" s="24">
        <v>212823</v>
      </c>
      <c r="S175" s="24">
        <v>761</v>
      </c>
      <c r="T175" s="24">
        <v>231344</v>
      </c>
      <c r="U175" s="24">
        <v>155</v>
      </c>
      <c r="V175" s="24">
        <v>50375</v>
      </c>
      <c r="W175" s="24">
        <v>612</v>
      </c>
      <c r="X175" s="24">
        <v>187272</v>
      </c>
      <c r="Y175">
        <f t="shared" si="2"/>
        <v>5319</v>
      </c>
    </row>
    <row r="176" spans="1:25" x14ac:dyDescent="0.4">
      <c r="A176" s="24" t="s">
        <v>2366</v>
      </c>
      <c r="B176" s="24" t="s">
        <v>2367</v>
      </c>
      <c r="C176" s="25">
        <v>43721</v>
      </c>
      <c r="D176" s="24" t="s">
        <v>2015</v>
      </c>
      <c r="E176" s="24" t="s">
        <v>2016</v>
      </c>
      <c r="F176" s="24" t="s">
        <v>2017</v>
      </c>
      <c r="G176" s="24">
        <v>159</v>
      </c>
      <c r="H176" s="24">
        <v>51516</v>
      </c>
      <c r="I176" s="24">
        <v>485</v>
      </c>
      <c r="J176" s="24">
        <v>152290</v>
      </c>
      <c r="K176" s="24">
        <v>593</v>
      </c>
      <c r="L176" s="24">
        <v>249060</v>
      </c>
      <c r="M176" s="24">
        <v>796</v>
      </c>
      <c r="N176" s="24">
        <v>264272</v>
      </c>
      <c r="O176" s="24">
        <v>643</v>
      </c>
      <c r="P176" s="24">
        <v>196115</v>
      </c>
      <c r="Q176" s="24">
        <v>122</v>
      </c>
      <c r="R176" s="24">
        <v>51850</v>
      </c>
      <c r="S176" s="24">
        <v>545</v>
      </c>
      <c r="T176" s="24">
        <v>188025</v>
      </c>
      <c r="U176" s="24">
        <v>503</v>
      </c>
      <c r="V176" s="24">
        <v>174541</v>
      </c>
      <c r="W176" s="24">
        <v>726</v>
      </c>
      <c r="X176" s="24">
        <v>260634</v>
      </c>
      <c r="Y176">
        <f t="shared" si="2"/>
        <v>4572</v>
      </c>
    </row>
    <row r="177" spans="1:25" x14ac:dyDescent="0.4">
      <c r="A177" s="24" t="s">
        <v>2368</v>
      </c>
      <c r="B177" s="24" t="s">
        <v>2369</v>
      </c>
      <c r="C177" s="25">
        <v>43140</v>
      </c>
      <c r="D177" s="24" t="s">
        <v>2015</v>
      </c>
      <c r="E177" s="24" t="s">
        <v>2028</v>
      </c>
      <c r="F177" s="24" t="s">
        <v>2017</v>
      </c>
      <c r="G177" s="24">
        <v>142</v>
      </c>
      <c r="H177" s="24">
        <v>48564</v>
      </c>
      <c r="I177" s="24">
        <v>773</v>
      </c>
      <c r="J177" s="24">
        <v>279826</v>
      </c>
      <c r="K177" s="24">
        <v>351</v>
      </c>
      <c r="L177" s="24">
        <v>133029</v>
      </c>
      <c r="M177" s="24">
        <v>297</v>
      </c>
      <c r="N177" s="24">
        <v>122661</v>
      </c>
      <c r="O177" s="24">
        <v>324</v>
      </c>
      <c r="P177" s="24">
        <v>104328</v>
      </c>
      <c r="Q177" s="24">
        <v>561</v>
      </c>
      <c r="R177" s="24">
        <v>186252</v>
      </c>
      <c r="S177" s="24">
        <v>465</v>
      </c>
      <c r="T177" s="24">
        <v>202740</v>
      </c>
      <c r="U177" s="24">
        <v>333</v>
      </c>
      <c r="V177" s="24">
        <v>125874</v>
      </c>
      <c r="W177" s="24">
        <v>410</v>
      </c>
      <c r="X177" s="24">
        <v>149650</v>
      </c>
      <c r="Y177">
        <f t="shared" si="2"/>
        <v>3656</v>
      </c>
    </row>
    <row r="178" spans="1:25" x14ac:dyDescent="0.4">
      <c r="A178" s="24" t="s">
        <v>2358</v>
      </c>
      <c r="B178" s="24" t="s">
        <v>2370</v>
      </c>
      <c r="C178" s="25">
        <v>42642</v>
      </c>
      <c r="D178" s="24" t="s">
        <v>2027</v>
      </c>
      <c r="E178" s="24" t="s">
        <v>2016</v>
      </c>
      <c r="F178" s="24" t="s">
        <v>2017</v>
      </c>
      <c r="G178" s="24">
        <v>457</v>
      </c>
      <c r="H178" s="24">
        <v>167262</v>
      </c>
      <c r="I178" s="24">
        <v>756</v>
      </c>
      <c r="J178" s="24">
        <v>270648</v>
      </c>
      <c r="K178" s="24">
        <v>606</v>
      </c>
      <c r="L178" s="24">
        <v>199374</v>
      </c>
      <c r="M178" s="24">
        <v>316</v>
      </c>
      <c r="N178" s="24">
        <v>120712</v>
      </c>
      <c r="O178" s="24">
        <v>422</v>
      </c>
      <c r="P178" s="24">
        <v>159516</v>
      </c>
      <c r="Q178" s="24">
        <v>685</v>
      </c>
      <c r="R178" s="24">
        <v>207555</v>
      </c>
      <c r="S178" s="24">
        <v>349</v>
      </c>
      <c r="T178" s="24">
        <v>124244</v>
      </c>
      <c r="U178" s="24">
        <v>665</v>
      </c>
      <c r="V178" s="24">
        <v>226100</v>
      </c>
      <c r="W178" s="24">
        <v>239</v>
      </c>
      <c r="X178" s="24">
        <v>85084</v>
      </c>
      <c r="Y178">
        <f t="shared" si="2"/>
        <v>4495</v>
      </c>
    </row>
    <row r="179" spans="1:25" x14ac:dyDescent="0.4">
      <c r="A179" s="24" t="s">
        <v>2371</v>
      </c>
      <c r="B179" s="24" t="s">
        <v>2372</v>
      </c>
      <c r="C179" s="25">
        <v>43020</v>
      </c>
      <c r="D179" s="24" t="s">
        <v>2027</v>
      </c>
      <c r="E179" s="24" t="s">
        <v>2020</v>
      </c>
      <c r="F179" s="24" t="s">
        <v>2017</v>
      </c>
      <c r="G179" s="24">
        <v>502</v>
      </c>
      <c r="H179" s="24">
        <v>195278</v>
      </c>
      <c r="I179" s="24">
        <v>264</v>
      </c>
      <c r="J179" s="24">
        <v>118800</v>
      </c>
      <c r="K179" s="24">
        <v>128</v>
      </c>
      <c r="L179" s="24">
        <v>45568</v>
      </c>
      <c r="M179" s="24">
        <v>108</v>
      </c>
      <c r="N179" s="24">
        <v>32508</v>
      </c>
      <c r="O179" s="24">
        <v>115</v>
      </c>
      <c r="P179" s="24">
        <v>44505</v>
      </c>
      <c r="Q179" s="24">
        <v>267</v>
      </c>
      <c r="R179" s="24">
        <v>105198</v>
      </c>
      <c r="S179" s="24">
        <v>707</v>
      </c>
      <c r="T179" s="24">
        <v>315322</v>
      </c>
      <c r="U179" s="24">
        <v>259</v>
      </c>
      <c r="V179" s="24">
        <v>87283</v>
      </c>
      <c r="W179" s="24">
        <v>672</v>
      </c>
      <c r="X179" s="24">
        <v>293664</v>
      </c>
      <c r="Y179">
        <f t="shared" si="2"/>
        <v>3022</v>
      </c>
    </row>
    <row r="180" spans="1:25" x14ac:dyDescent="0.4">
      <c r="A180" s="24" t="s">
        <v>2373</v>
      </c>
      <c r="B180" s="24" t="s">
        <v>2374</v>
      </c>
      <c r="C180" s="25">
        <v>42235</v>
      </c>
      <c r="D180" s="24" t="s">
        <v>2015</v>
      </c>
      <c r="E180" s="24" t="s">
        <v>2020</v>
      </c>
      <c r="F180" s="24" t="s">
        <v>2017</v>
      </c>
      <c r="G180" s="24">
        <v>120</v>
      </c>
      <c r="H180" s="24">
        <v>52440</v>
      </c>
      <c r="I180" s="24">
        <v>347</v>
      </c>
      <c r="J180" s="24">
        <v>141229</v>
      </c>
      <c r="K180" s="24">
        <v>749</v>
      </c>
      <c r="L180" s="24">
        <v>289114</v>
      </c>
      <c r="M180" s="24">
        <v>674</v>
      </c>
      <c r="N180" s="24">
        <v>256794</v>
      </c>
      <c r="O180" s="24">
        <v>399</v>
      </c>
      <c r="P180" s="24">
        <v>132468</v>
      </c>
      <c r="Q180" s="24">
        <v>389</v>
      </c>
      <c r="R180" s="24">
        <v>146653</v>
      </c>
      <c r="S180" s="24">
        <v>272</v>
      </c>
      <c r="T180" s="24">
        <v>121312</v>
      </c>
      <c r="U180" s="24">
        <v>360</v>
      </c>
      <c r="V180" s="24">
        <v>126360</v>
      </c>
      <c r="W180" s="24">
        <v>675</v>
      </c>
      <c r="X180" s="24">
        <v>245025</v>
      </c>
      <c r="Y180">
        <f t="shared" si="2"/>
        <v>3985</v>
      </c>
    </row>
    <row r="181" spans="1:25" x14ac:dyDescent="0.4">
      <c r="A181" s="24" t="s">
        <v>2375</v>
      </c>
      <c r="B181" s="24" t="s">
        <v>2376</v>
      </c>
      <c r="C181" s="25">
        <v>42217</v>
      </c>
      <c r="D181" s="24" t="s">
        <v>2015</v>
      </c>
      <c r="E181" s="24" t="s">
        <v>2020</v>
      </c>
      <c r="F181" s="24" t="s">
        <v>2017</v>
      </c>
      <c r="G181" s="24">
        <v>701</v>
      </c>
      <c r="H181" s="24">
        <v>293719</v>
      </c>
      <c r="I181" s="24">
        <v>133</v>
      </c>
      <c r="J181" s="24">
        <v>53998</v>
      </c>
      <c r="K181" s="24">
        <v>318</v>
      </c>
      <c r="L181" s="24">
        <v>103668</v>
      </c>
      <c r="M181" s="24">
        <v>759</v>
      </c>
      <c r="N181" s="24">
        <v>260337</v>
      </c>
      <c r="O181" s="24">
        <v>408</v>
      </c>
      <c r="P181" s="24">
        <v>176256</v>
      </c>
      <c r="Q181" s="24">
        <v>438</v>
      </c>
      <c r="R181" s="24">
        <v>159432</v>
      </c>
      <c r="S181" s="24">
        <v>176</v>
      </c>
      <c r="T181" s="24">
        <v>55264</v>
      </c>
      <c r="U181" s="24">
        <v>154</v>
      </c>
      <c r="V181" s="24">
        <v>55594</v>
      </c>
      <c r="W181" s="24">
        <v>786</v>
      </c>
      <c r="X181" s="24">
        <v>304182</v>
      </c>
      <c r="Y181">
        <f t="shared" si="2"/>
        <v>3873</v>
      </c>
    </row>
    <row r="182" spans="1:25" x14ac:dyDescent="0.4">
      <c r="A182" s="24" t="s">
        <v>2377</v>
      </c>
      <c r="B182" s="24" t="s">
        <v>2378</v>
      </c>
      <c r="C182" s="25">
        <v>42728</v>
      </c>
      <c r="D182" s="24" t="s">
        <v>2015</v>
      </c>
      <c r="E182" s="24" t="s">
        <v>2028</v>
      </c>
      <c r="F182" s="24" t="s">
        <v>2017</v>
      </c>
      <c r="G182" s="24">
        <v>318</v>
      </c>
      <c r="H182" s="24">
        <v>110664</v>
      </c>
      <c r="I182" s="24">
        <v>370</v>
      </c>
      <c r="J182" s="24">
        <v>119140</v>
      </c>
      <c r="K182" s="24">
        <v>773</v>
      </c>
      <c r="L182" s="24">
        <v>330844</v>
      </c>
      <c r="M182" s="24">
        <v>590</v>
      </c>
      <c r="N182" s="24">
        <v>210040</v>
      </c>
      <c r="O182" s="24">
        <v>294</v>
      </c>
      <c r="P182" s="24">
        <v>131712</v>
      </c>
      <c r="Q182" s="24">
        <v>565</v>
      </c>
      <c r="R182" s="24">
        <v>237865</v>
      </c>
      <c r="S182" s="24">
        <v>208</v>
      </c>
      <c r="T182" s="24">
        <v>85280</v>
      </c>
      <c r="U182" s="24">
        <v>437</v>
      </c>
      <c r="V182" s="24">
        <v>161690</v>
      </c>
      <c r="W182" s="24">
        <v>432</v>
      </c>
      <c r="X182" s="24">
        <v>138672</v>
      </c>
      <c r="Y182">
        <f t="shared" si="2"/>
        <v>3987</v>
      </c>
    </row>
    <row r="183" spans="1:25" x14ac:dyDescent="0.4">
      <c r="A183" s="24" t="s">
        <v>2379</v>
      </c>
      <c r="B183" s="24" t="s">
        <v>2380</v>
      </c>
      <c r="C183" s="25">
        <v>42908</v>
      </c>
      <c r="D183" s="24" t="s">
        <v>2027</v>
      </c>
      <c r="E183" s="24" t="s">
        <v>2028</v>
      </c>
      <c r="F183" s="24" t="s">
        <v>2017</v>
      </c>
      <c r="G183" s="24">
        <v>795</v>
      </c>
      <c r="H183" s="24">
        <v>249630</v>
      </c>
      <c r="I183" s="24">
        <v>338</v>
      </c>
      <c r="J183" s="24">
        <v>135876</v>
      </c>
      <c r="K183" s="24">
        <v>563</v>
      </c>
      <c r="L183" s="24">
        <v>238712</v>
      </c>
      <c r="M183" s="24">
        <v>562</v>
      </c>
      <c r="N183" s="24">
        <v>237726</v>
      </c>
      <c r="O183" s="24">
        <v>548</v>
      </c>
      <c r="P183" s="24">
        <v>243312</v>
      </c>
      <c r="Q183" s="24">
        <v>506</v>
      </c>
      <c r="R183" s="24">
        <v>154836</v>
      </c>
      <c r="S183" s="24">
        <v>782</v>
      </c>
      <c r="T183" s="24">
        <v>311236</v>
      </c>
      <c r="U183" s="24">
        <v>473</v>
      </c>
      <c r="V183" s="24">
        <v>162239</v>
      </c>
      <c r="W183" s="24">
        <v>129</v>
      </c>
      <c r="X183" s="24">
        <v>46311</v>
      </c>
      <c r="Y183">
        <f t="shared" si="2"/>
        <v>4696</v>
      </c>
    </row>
    <row r="184" spans="1:25" x14ac:dyDescent="0.4">
      <c r="A184" s="24" t="s">
        <v>2381</v>
      </c>
      <c r="B184" s="24" t="s">
        <v>2382</v>
      </c>
      <c r="C184" s="25">
        <v>43503</v>
      </c>
      <c r="D184" s="24" t="s">
        <v>2027</v>
      </c>
      <c r="E184" s="24" t="s">
        <v>2016</v>
      </c>
      <c r="F184" s="24" t="s">
        <v>2017</v>
      </c>
      <c r="G184" s="24">
        <v>713</v>
      </c>
      <c r="H184" s="24">
        <v>290191</v>
      </c>
      <c r="I184" s="24">
        <v>556</v>
      </c>
      <c r="J184" s="24">
        <v>189596</v>
      </c>
      <c r="K184" s="24">
        <v>630</v>
      </c>
      <c r="L184" s="24">
        <v>206640</v>
      </c>
      <c r="M184" s="24">
        <v>196</v>
      </c>
      <c r="N184" s="24">
        <v>84868</v>
      </c>
      <c r="O184" s="24">
        <v>317</v>
      </c>
      <c r="P184" s="24">
        <v>127117</v>
      </c>
      <c r="Q184" s="24">
        <v>275</v>
      </c>
      <c r="R184" s="24">
        <v>91025</v>
      </c>
      <c r="S184" s="24">
        <v>281</v>
      </c>
      <c r="T184" s="24">
        <v>119144</v>
      </c>
      <c r="U184" s="24">
        <v>590</v>
      </c>
      <c r="V184" s="24">
        <v>253700</v>
      </c>
      <c r="W184" s="24">
        <v>330</v>
      </c>
      <c r="X184" s="24">
        <v>112200</v>
      </c>
      <c r="Y184">
        <f t="shared" si="2"/>
        <v>3888</v>
      </c>
    </row>
    <row r="185" spans="1:25" x14ac:dyDescent="0.4">
      <c r="A185" s="24" t="s">
        <v>2383</v>
      </c>
      <c r="B185" s="24" t="s">
        <v>2384</v>
      </c>
      <c r="C185" s="25">
        <v>42614</v>
      </c>
      <c r="D185" s="24" t="s">
        <v>2027</v>
      </c>
      <c r="E185" s="24" t="s">
        <v>2028</v>
      </c>
      <c r="F185" s="24" t="s">
        <v>2017</v>
      </c>
      <c r="G185" s="24">
        <v>235</v>
      </c>
      <c r="H185" s="24">
        <v>86010</v>
      </c>
      <c r="I185" s="24">
        <v>469</v>
      </c>
      <c r="J185" s="24">
        <v>142576</v>
      </c>
      <c r="K185" s="24">
        <v>430</v>
      </c>
      <c r="L185" s="24">
        <v>169850</v>
      </c>
      <c r="M185" s="24">
        <v>780</v>
      </c>
      <c r="N185" s="24">
        <v>342420</v>
      </c>
      <c r="O185" s="24">
        <v>519</v>
      </c>
      <c r="P185" s="24">
        <v>189954</v>
      </c>
      <c r="Q185" s="24">
        <v>651</v>
      </c>
      <c r="R185" s="24">
        <v>276024</v>
      </c>
      <c r="S185" s="24">
        <v>489</v>
      </c>
      <c r="T185" s="24">
        <v>155013</v>
      </c>
      <c r="U185" s="24">
        <v>505</v>
      </c>
      <c r="V185" s="24">
        <v>165640</v>
      </c>
      <c r="W185" s="24">
        <v>442</v>
      </c>
      <c r="X185" s="24">
        <v>180336</v>
      </c>
      <c r="Y185">
        <f t="shared" si="2"/>
        <v>4520</v>
      </c>
    </row>
    <row r="186" spans="1:25" x14ac:dyDescent="0.4">
      <c r="A186" s="24" t="s">
        <v>2385</v>
      </c>
      <c r="B186" s="24" t="s">
        <v>2386</v>
      </c>
      <c r="C186" s="25">
        <v>43874</v>
      </c>
      <c r="D186" s="24" t="s">
        <v>2015</v>
      </c>
      <c r="E186" s="24" t="s">
        <v>2016</v>
      </c>
      <c r="F186" s="24" t="s">
        <v>2017</v>
      </c>
      <c r="G186" s="24">
        <v>543</v>
      </c>
      <c r="H186" s="24">
        <v>211227</v>
      </c>
      <c r="I186" s="24">
        <v>706</v>
      </c>
      <c r="J186" s="24">
        <v>304286</v>
      </c>
      <c r="K186" s="24">
        <v>506</v>
      </c>
      <c r="L186" s="24">
        <v>171534</v>
      </c>
      <c r="M186" s="24">
        <v>128</v>
      </c>
      <c r="N186" s="24">
        <v>51072</v>
      </c>
      <c r="O186" s="24">
        <v>299</v>
      </c>
      <c r="P186" s="24">
        <v>125281</v>
      </c>
      <c r="Q186" s="24">
        <v>329</v>
      </c>
      <c r="R186" s="24">
        <v>116137</v>
      </c>
      <c r="S186" s="24">
        <v>396</v>
      </c>
      <c r="T186" s="24">
        <v>147708</v>
      </c>
      <c r="U186" s="24">
        <v>269</v>
      </c>
      <c r="V186" s="24">
        <v>100068</v>
      </c>
      <c r="W186" s="24">
        <v>664</v>
      </c>
      <c r="X186" s="24">
        <v>200528</v>
      </c>
      <c r="Y186">
        <f t="shared" si="2"/>
        <v>3840</v>
      </c>
    </row>
    <row r="187" spans="1:25" x14ac:dyDescent="0.4">
      <c r="A187" s="24" t="s">
        <v>2387</v>
      </c>
      <c r="B187" s="24" t="s">
        <v>2388</v>
      </c>
      <c r="C187" s="25">
        <v>44148</v>
      </c>
      <c r="D187" s="24" t="s">
        <v>2027</v>
      </c>
      <c r="E187" s="24" t="s">
        <v>2020</v>
      </c>
      <c r="F187" s="24" t="s">
        <v>2017</v>
      </c>
      <c r="G187" s="24">
        <v>442</v>
      </c>
      <c r="H187" s="24">
        <v>155584</v>
      </c>
      <c r="I187" s="24">
        <v>601</v>
      </c>
      <c r="J187" s="24">
        <v>256026</v>
      </c>
      <c r="K187" s="24">
        <v>358</v>
      </c>
      <c r="L187" s="24">
        <v>154298</v>
      </c>
      <c r="M187" s="24">
        <v>177</v>
      </c>
      <c r="N187" s="24">
        <v>66375</v>
      </c>
      <c r="O187" s="24">
        <v>479</v>
      </c>
      <c r="P187" s="24">
        <v>144179</v>
      </c>
      <c r="Q187" s="24">
        <v>181</v>
      </c>
      <c r="R187" s="24">
        <v>57920</v>
      </c>
      <c r="S187" s="24">
        <v>432</v>
      </c>
      <c r="T187" s="24">
        <v>129600</v>
      </c>
      <c r="U187" s="24">
        <v>193</v>
      </c>
      <c r="V187" s="24">
        <v>64462</v>
      </c>
      <c r="W187" s="24">
        <v>601</v>
      </c>
      <c r="X187" s="24">
        <v>222971</v>
      </c>
      <c r="Y187">
        <f t="shared" si="2"/>
        <v>3464</v>
      </c>
    </row>
    <row r="188" spans="1:25" x14ac:dyDescent="0.4">
      <c r="A188" s="24" t="s">
        <v>2389</v>
      </c>
      <c r="B188" s="24" t="s">
        <v>2390</v>
      </c>
      <c r="C188" s="25">
        <v>42254</v>
      </c>
      <c r="D188" s="24" t="s">
        <v>2015</v>
      </c>
      <c r="E188" s="24" t="s">
        <v>2028</v>
      </c>
      <c r="F188" s="24" t="s">
        <v>2017</v>
      </c>
      <c r="G188" s="24">
        <v>131</v>
      </c>
      <c r="H188" s="24">
        <v>49387</v>
      </c>
      <c r="I188" s="24">
        <v>716</v>
      </c>
      <c r="J188" s="24">
        <v>279240</v>
      </c>
      <c r="K188" s="24">
        <v>457</v>
      </c>
      <c r="L188" s="24">
        <v>199709</v>
      </c>
      <c r="M188" s="24">
        <v>691</v>
      </c>
      <c r="N188" s="24">
        <v>249451</v>
      </c>
      <c r="O188" s="24">
        <v>309</v>
      </c>
      <c r="P188" s="24">
        <v>92700</v>
      </c>
      <c r="Q188" s="24">
        <v>344</v>
      </c>
      <c r="R188" s="24">
        <v>137944</v>
      </c>
      <c r="S188" s="24">
        <v>497</v>
      </c>
      <c r="T188" s="24">
        <v>182896</v>
      </c>
      <c r="U188" s="24">
        <v>328</v>
      </c>
      <c r="V188" s="24">
        <v>110864</v>
      </c>
      <c r="W188" s="24">
        <v>146</v>
      </c>
      <c r="X188" s="24">
        <v>65554</v>
      </c>
      <c r="Y188">
        <f t="shared" si="2"/>
        <v>3619</v>
      </c>
    </row>
    <row r="189" spans="1:25" x14ac:dyDescent="0.4">
      <c r="A189" s="24" t="s">
        <v>2391</v>
      </c>
      <c r="B189" s="24" t="s">
        <v>2392</v>
      </c>
      <c r="C189" s="25">
        <v>42229</v>
      </c>
      <c r="D189" s="24" t="s">
        <v>2015</v>
      </c>
      <c r="E189" s="24" t="s">
        <v>2028</v>
      </c>
      <c r="F189" s="24" t="s">
        <v>2017</v>
      </c>
      <c r="G189" s="24">
        <v>551</v>
      </c>
      <c r="H189" s="24">
        <v>203870</v>
      </c>
      <c r="I189" s="24">
        <v>323</v>
      </c>
      <c r="J189" s="24">
        <v>143412</v>
      </c>
      <c r="K189" s="24">
        <v>745</v>
      </c>
      <c r="L189" s="24">
        <v>256280</v>
      </c>
      <c r="M189" s="24">
        <v>353</v>
      </c>
      <c r="N189" s="24">
        <v>108724</v>
      </c>
      <c r="O189" s="24">
        <v>375</v>
      </c>
      <c r="P189" s="24">
        <v>167625</v>
      </c>
      <c r="Q189" s="24">
        <v>485</v>
      </c>
      <c r="R189" s="24">
        <v>161990</v>
      </c>
      <c r="S189" s="24">
        <v>641</v>
      </c>
      <c r="T189" s="24">
        <v>280758</v>
      </c>
      <c r="U189" s="24">
        <v>516</v>
      </c>
      <c r="V189" s="24">
        <v>154800</v>
      </c>
      <c r="W189" s="24">
        <v>769</v>
      </c>
      <c r="X189" s="24">
        <v>312214</v>
      </c>
      <c r="Y189">
        <f t="shared" si="2"/>
        <v>4758</v>
      </c>
    </row>
    <row r="190" spans="1:25" x14ac:dyDescent="0.4">
      <c r="A190" s="24" t="s">
        <v>2393</v>
      </c>
      <c r="B190" s="24" t="s">
        <v>2394</v>
      </c>
      <c r="C190" s="25">
        <v>43074</v>
      </c>
      <c r="D190" s="24" t="s">
        <v>2027</v>
      </c>
      <c r="E190" s="24" t="s">
        <v>2020</v>
      </c>
      <c r="F190" s="24" t="s">
        <v>2017</v>
      </c>
      <c r="G190" s="24">
        <v>422</v>
      </c>
      <c r="H190" s="24">
        <v>166690</v>
      </c>
      <c r="I190" s="24">
        <v>456</v>
      </c>
      <c r="J190" s="24">
        <v>169632</v>
      </c>
      <c r="K190" s="24">
        <v>415</v>
      </c>
      <c r="L190" s="24">
        <v>167660</v>
      </c>
      <c r="M190" s="24">
        <v>309</v>
      </c>
      <c r="N190" s="24">
        <v>138432</v>
      </c>
      <c r="O190" s="24">
        <v>290</v>
      </c>
      <c r="P190" s="24">
        <v>101500</v>
      </c>
      <c r="Q190" s="24">
        <v>264</v>
      </c>
      <c r="R190" s="24">
        <v>106656</v>
      </c>
      <c r="S190" s="24">
        <v>487</v>
      </c>
      <c r="T190" s="24">
        <v>194313</v>
      </c>
      <c r="U190" s="24">
        <v>606</v>
      </c>
      <c r="V190" s="24">
        <v>194526</v>
      </c>
      <c r="W190" s="24">
        <v>316</v>
      </c>
      <c r="X190" s="24">
        <v>130508</v>
      </c>
      <c r="Y190">
        <f t="shared" si="2"/>
        <v>3565</v>
      </c>
    </row>
    <row r="191" spans="1:25" x14ac:dyDescent="0.4">
      <c r="A191" s="24" t="s">
        <v>2395</v>
      </c>
      <c r="B191" s="24" t="s">
        <v>2396</v>
      </c>
      <c r="C191" s="25">
        <v>43492</v>
      </c>
      <c r="D191" s="24" t="s">
        <v>2027</v>
      </c>
      <c r="E191" s="24" t="s">
        <v>2028</v>
      </c>
      <c r="F191" s="24" t="s">
        <v>2017</v>
      </c>
      <c r="G191" s="24">
        <v>709</v>
      </c>
      <c r="H191" s="24">
        <v>304870</v>
      </c>
      <c r="I191" s="24">
        <v>726</v>
      </c>
      <c r="J191" s="24">
        <v>322344</v>
      </c>
      <c r="K191" s="24">
        <v>154</v>
      </c>
      <c r="L191" s="24">
        <v>59290</v>
      </c>
      <c r="M191" s="24">
        <v>468</v>
      </c>
      <c r="N191" s="24">
        <v>153972</v>
      </c>
      <c r="O191" s="24">
        <v>136</v>
      </c>
      <c r="P191" s="24">
        <v>57936</v>
      </c>
      <c r="Q191" s="24">
        <v>529</v>
      </c>
      <c r="R191" s="24">
        <v>161874</v>
      </c>
      <c r="S191" s="24">
        <v>100</v>
      </c>
      <c r="T191" s="24">
        <v>39800</v>
      </c>
      <c r="U191" s="24">
        <v>124</v>
      </c>
      <c r="V191" s="24">
        <v>48856</v>
      </c>
      <c r="W191" s="24">
        <v>106</v>
      </c>
      <c r="X191" s="24">
        <v>45368</v>
      </c>
      <c r="Y191">
        <f t="shared" si="2"/>
        <v>3052</v>
      </c>
    </row>
    <row r="192" spans="1:25" x14ac:dyDescent="0.4">
      <c r="A192" s="24" t="s">
        <v>2397</v>
      </c>
      <c r="B192" s="24" t="s">
        <v>2398</v>
      </c>
      <c r="C192" s="25">
        <v>42648</v>
      </c>
      <c r="D192" s="24" t="s">
        <v>2027</v>
      </c>
      <c r="E192" s="24" t="s">
        <v>2028</v>
      </c>
      <c r="F192" s="24" t="s">
        <v>2017</v>
      </c>
      <c r="G192" s="24">
        <v>734</v>
      </c>
      <c r="H192" s="24">
        <v>292866</v>
      </c>
      <c r="I192" s="24">
        <v>153</v>
      </c>
      <c r="J192" s="24">
        <v>62577</v>
      </c>
      <c r="K192" s="24">
        <v>306</v>
      </c>
      <c r="L192" s="24">
        <v>117810</v>
      </c>
      <c r="M192" s="24">
        <v>234</v>
      </c>
      <c r="N192" s="24">
        <v>75114</v>
      </c>
      <c r="O192" s="24">
        <v>580</v>
      </c>
      <c r="P192" s="24">
        <v>192560</v>
      </c>
      <c r="Q192" s="24">
        <v>362</v>
      </c>
      <c r="R192" s="24">
        <v>156746</v>
      </c>
      <c r="S192" s="24">
        <v>341</v>
      </c>
      <c r="T192" s="24">
        <v>153450</v>
      </c>
      <c r="U192" s="24">
        <v>698</v>
      </c>
      <c r="V192" s="24">
        <v>267334</v>
      </c>
      <c r="W192" s="24">
        <v>596</v>
      </c>
      <c r="X192" s="24">
        <v>240784</v>
      </c>
      <c r="Y192">
        <f t="shared" si="2"/>
        <v>4004</v>
      </c>
    </row>
    <row r="193" spans="1:25" x14ac:dyDescent="0.4">
      <c r="A193" s="24" t="s">
        <v>2399</v>
      </c>
      <c r="B193" s="24" t="s">
        <v>2400</v>
      </c>
      <c r="C193" s="25">
        <v>42048</v>
      </c>
      <c r="D193" s="24" t="s">
        <v>2015</v>
      </c>
      <c r="E193" s="24" t="s">
        <v>2016</v>
      </c>
      <c r="F193" s="24" t="s">
        <v>2017</v>
      </c>
      <c r="G193" s="24">
        <v>320</v>
      </c>
      <c r="H193" s="24">
        <v>106560</v>
      </c>
      <c r="I193" s="24">
        <v>541</v>
      </c>
      <c r="J193" s="24">
        <v>221269</v>
      </c>
      <c r="K193" s="24">
        <v>431</v>
      </c>
      <c r="L193" s="24">
        <v>189640</v>
      </c>
      <c r="M193" s="24">
        <v>465</v>
      </c>
      <c r="N193" s="24">
        <v>198090</v>
      </c>
      <c r="O193" s="24">
        <v>400</v>
      </c>
      <c r="P193" s="24">
        <v>175200</v>
      </c>
      <c r="Q193" s="24">
        <v>740</v>
      </c>
      <c r="R193" s="24">
        <v>283420</v>
      </c>
      <c r="S193" s="24">
        <v>635</v>
      </c>
      <c r="T193" s="24">
        <v>214630</v>
      </c>
      <c r="U193" s="24">
        <v>144</v>
      </c>
      <c r="V193" s="24">
        <v>49104</v>
      </c>
      <c r="W193" s="24">
        <v>161</v>
      </c>
      <c r="X193" s="24">
        <v>54096</v>
      </c>
      <c r="Y193">
        <f t="shared" si="2"/>
        <v>3837</v>
      </c>
    </row>
    <row r="194" spans="1:25" x14ac:dyDescent="0.4">
      <c r="A194" s="24" t="s">
        <v>2401</v>
      </c>
      <c r="B194" s="24" t="s">
        <v>2402</v>
      </c>
      <c r="C194" s="25">
        <v>43155</v>
      </c>
      <c r="D194" s="24" t="s">
        <v>2027</v>
      </c>
      <c r="E194" s="24" t="s">
        <v>2016</v>
      </c>
      <c r="F194" s="24" t="s">
        <v>2017</v>
      </c>
      <c r="G194" s="24">
        <v>440</v>
      </c>
      <c r="H194" s="24">
        <v>154000</v>
      </c>
      <c r="I194" s="24">
        <v>712</v>
      </c>
      <c r="J194" s="24">
        <v>311144</v>
      </c>
      <c r="K194" s="24">
        <v>311</v>
      </c>
      <c r="L194" s="24">
        <v>102008</v>
      </c>
      <c r="M194" s="24">
        <v>125</v>
      </c>
      <c r="N194" s="24">
        <v>52125</v>
      </c>
      <c r="O194" s="24">
        <v>673</v>
      </c>
      <c r="P194" s="24">
        <v>278622</v>
      </c>
      <c r="Q194" s="24">
        <v>332</v>
      </c>
      <c r="R194" s="24">
        <v>128484</v>
      </c>
      <c r="S194" s="24">
        <v>259</v>
      </c>
      <c r="T194" s="24">
        <v>112147</v>
      </c>
      <c r="U194" s="24">
        <v>247</v>
      </c>
      <c r="V194" s="24">
        <v>110656</v>
      </c>
      <c r="W194" s="24">
        <v>670</v>
      </c>
      <c r="X194" s="24">
        <v>221100</v>
      </c>
      <c r="Y194">
        <f t="shared" si="2"/>
        <v>3769</v>
      </c>
    </row>
    <row r="195" spans="1:25" x14ac:dyDescent="0.4">
      <c r="A195" s="24" t="s">
        <v>2403</v>
      </c>
      <c r="B195" s="24" t="s">
        <v>2404</v>
      </c>
      <c r="C195" s="25">
        <v>43041</v>
      </c>
      <c r="D195" s="24" t="s">
        <v>2027</v>
      </c>
      <c r="E195" s="24" t="s">
        <v>2028</v>
      </c>
      <c r="F195" s="24" t="s">
        <v>2017</v>
      </c>
      <c r="G195" s="24">
        <v>378</v>
      </c>
      <c r="H195" s="24">
        <v>149310</v>
      </c>
      <c r="I195" s="24">
        <v>667</v>
      </c>
      <c r="J195" s="24">
        <v>234784</v>
      </c>
      <c r="K195" s="24">
        <v>425</v>
      </c>
      <c r="L195" s="24">
        <v>176800</v>
      </c>
      <c r="M195" s="24">
        <v>253</v>
      </c>
      <c r="N195" s="24">
        <v>98417</v>
      </c>
      <c r="O195" s="24">
        <v>731</v>
      </c>
      <c r="P195" s="24">
        <v>259505</v>
      </c>
      <c r="Q195" s="24">
        <v>329</v>
      </c>
      <c r="R195" s="24">
        <v>135548</v>
      </c>
      <c r="S195" s="24">
        <v>663</v>
      </c>
      <c r="T195" s="24">
        <v>228735</v>
      </c>
      <c r="U195" s="24">
        <v>679</v>
      </c>
      <c r="V195" s="24">
        <v>209811</v>
      </c>
      <c r="W195" s="24">
        <v>486</v>
      </c>
      <c r="X195" s="24">
        <v>193914</v>
      </c>
      <c r="Y195">
        <f t="shared" ref="Y195:Y258" si="3">SUMIF($G$1:$X$1,"Количество*",G195:X195)</f>
        <v>4611</v>
      </c>
    </row>
    <row r="196" spans="1:25" x14ac:dyDescent="0.4">
      <c r="A196" s="24" t="s">
        <v>2405</v>
      </c>
      <c r="B196" s="24" t="s">
        <v>2406</v>
      </c>
      <c r="C196" s="25">
        <v>42412</v>
      </c>
      <c r="D196" s="24" t="s">
        <v>2015</v>
      </c>
      <c r="E196" s="24" t="s">
        <v>2028</v>
      </c>
      <c r="F196" s="24" t="s">
        <v>2017</v>
      </c>
      <c r="G196" s="24">
        <v>601</v>
      </c>
      <c r="H196" s="24">
        <v>234991</v>
      </c>
      <c r="I196" s="24">
        <v>155</v>
      </c>
      <c r="J196" s="24">
        <v>63860</v>
      </c>
      <c r="K196" s="24">
        <v>364</v>
      </c>
      <c r="L196" s="24">
        <v>132496</v>
      </c>
      <c r="M196" s="24">
        <v>709</v>
      </c>
      <c r="N196" s="24">
        <v>255240</v>
      </c>
      <c r="O196" s="24">
        <v>394</v>
      </c>
      <c r="P196" s="24">
        <v>118200</v>
      </c>
      <c r="Q196" s="24">
        <v>528</v>
      </c>
      <c r="R196" s="24">
        <v>174240</v>
      </c>
      <c r="S196" s="24">
        <v>256</v>
      </c>
      <c r="T196" s="24">
        <v>114688</v>
      </c>
      <c r="U196" s="24">
        <v>635</v>
      </c>
      <c r="V196" s="24">
        <v>198120</v>
      </c>
      <c r="W196" s="24">
        <v>108</v>
      </c>
      <c r="X196" s="24">
        <v>35856</v>
      </c>
      <c r="Y196">
        <f t="shared" si="3"/>
        <v>3750</v>
      </c>
    </row>
    <row r="197" spans="1:25" x14ac:dyDescent="0.4">
      <c r="A197" s="24" t="s">
        <v>2407</v>
      </c>
      <c r="B197" s="24" t="s">
        <v>2408</v>
      </c>
      <c r="C197" s="25">
        <v>44010</v>
      </c>
      <c r="D197" s="24" t="s">
        <v>2027</v>
      </c>
      <c r="E197" s="24" t="s">
        <v>2020</v>
      </c>
      <c r="F197" s="24" t="s">
        <v>2017</v>
      </c>
      <c r="G197" s="24">
        <v>295</v>
      </c>
      <c r="H197" s="24">
        <v>91450</v>
      </c>
      <c r="I197" s="24">
        <v>300</v>
      </c>
      <c r="J197" s="24">
        <v>132900</v>
      </c>
      <c r="K197" s="24">
        <v>601</v>
      </c>
      <c r="L197" s="24">
        <v>200734</v>
      </c>
      <c r="M197" s="24">
        <v>656</v>
      </c>
      <c r="N197" s="24">
        <v>261744</v>
      </c>
      <c r="O197" s="24">
        <v>186</v>
      </c>
      <c r="P197" s="24">
        <v>81096</v>
      </c>
      <c r="Q197" s="24">
        <v>713</v>
      </c>
      <c r="R197" s="24">
        <v>312294</v>
      </c>
      <c r="S197" s="24">
        <v>583</v>
      </c>
      <c r="T197" s="24">
        <v>241945</v>
      </c>
      <c r="U197" s="24">
        <v>764</v>
      </c>
      <c r="V197" s="24">
        <v>243716</v>
      </c>
      <c r="W197" s="24">
        <v>348</v>
      </c>
      <c r="X197" s="24">
        <v>126672</v>
      </c>
      <c r="Y197">
        <f t="shared" si="3"/>
        <v>4446</v>
      </c>
    </row>
    <row r="198" spans="1:25" x14ac:dyDescent="0.4">
      <c r="A198" s="24" t="s">
        <v>2409</v>
      </c>
      <c r="B198" s="24" t="s">
        <v>2410</v>
      </c>
      <c r="C198" s="25">
        <v>44131</v>
      </c>
      <c r="D198" s="24" t="s">
        <v>2027</v>
      </c>
      <c r="E198" s="24" t="s">
        <v>2020</v>
      </c>
      <c r="F198" s="24" t="s">
        <v>2017</v>
      </c>
      <c r="G198" s="24">
        <v>688</v>
      </c>
      <c r="H198" s="24">
        <v>247680</v>
      </c>
      <c r="I198" s="24">
        <v>619</v>
      </c>
      <c r="J198" s="24">
        <v>227173</v>
      </c>
      <c r="K198" s="24">
        <v>274</v>
      </c>
      <c r="L198" s="24">
        <v>84666</v>
      </c>
      <c r="M198" s="24">
        <v>112</v>
      </c>
      <c r="N198" s="24">
        <v>48720</v>
      </c>
      <c r="O198" s="24">
        <v>675</v>
      </c>
      <c r="P198" s="24">
        <v>220050</v>
      </c>
      <c r="Q198" s="24">
        <v>131</v>
      </c>
      <c r="R198" s="24">
        <v>48470</v>
      </c>
      <c r="S198" s="24">
        <v>194</v>
      </c>
      <c r="T198" s="24">
        <v>59170</v>
      </c>
      <c r="U198" s="24">
        <v>110</v>
      </c>
      <c r="V198" s="24">
        <v>37510</v>
      </c>
      <c r="W198" s="24">
        <v>767</v>
      </c>
      <c r="X198" s="24">
        <v>252343</v>
      </c>
      <c r="Y198">
        <f t="shared" si="3"/>
        <v>3570</v>
      </c>
    </row>
    <row r="199" spans="1:25" x14ac:dyDescent="0.4">
      <c r="A199" s="24" t="s">
        <v>2411</v>
      </c>
      <c r="B199" s="24" t="s">
        <v>2412</v>
      </c>
      <c r="C199" s="25">
        <v>42869</v>
      </c>
      <c r="D199" s="24" t="s">
        <v>2015</v>
      </c>
      <c r="E199" s="24" t="s">
        <v>2028</v>
      </c>
      <c r="F199" s="24" t="s">
        <v>2017</v>
      </c>
      <c r="G199" s="24">
        <v>311</v>
      </c>
      <c r="H199" s="24">
        <v>111649</v>
      </c>
      <c r="I199" s="24">
        <v>210</v>
      </c>
      <c r="J199" s="24">
        <v>63000</v>
      </c>
      <c r="K199" s="24">
        <v>497</v>
      </c>
      <c r="L199" s="24">
        <v>216195</v>
      </c>
      <c r="M199" s="24">
        <v>465</v>
      </c>
      <c r="N199" s="24">
        <v>205065</v>
      </c>
      <c r="O199" s="24">
        <v>527</v>
      </c>
      <c r="P199" s="24">
        <v>199206</v>
      </c>
      <c r="Q199" s="24">
        <v>130</v>
      </c>
      <c r="R199" s="24">
        <v>54080</v>
      </c>
      <c r="S199" s="24">
        <v>426</v>
      </c>
      <c r="T199" s="24">
        <v>172104</v>
      </c>
      <c r="U199" s="24">
        <v>664</v>
      </c>
      <c r="V199" s="24">
        <v>223104</v>
      </c>
      <c r="W199" s="24">
        <v>289</v>
      </c>
      <c r="X199" s="24">
        <v>103462</v>
      </c>
      <c r="Y199">
        <f t="shared" si="3"/>
        <v>3519</v>
      </c>
    </row>
    <row r="200" spans="1:25" x14ac:dyDescent="0.4">
      <c r="A200" s="24" t="s">
        <v>2413</v>
      </c>
      <c r="B200" s="24" t="s">
        <v>2414</v>
      </c>
      <c r="C200" s="25">
        <v>42923</v>
      </c>
      <c r="D200" s="24" t="s">
        <v>2015</v>
      </c>
      <c r="E200" s="24" t="s">
        <v>2028</v>
      </c>
      <c r="F200" s="24" t="s">
        <v>2017</v>
      </c>
      <c r="G200" s="24">
        <v>788</v>
      </c>
      <c r="H200" s="24">
        <v>294712</v>
      </c>
      <c r="I200" s="24">
        <v>612</v>
      </c>
      <c r="J200" s="24">
        <v>274176</v>
      </c>
      <c r="K200" s="24">
        <v>164</v>
      </c>
      <c r="L200" s="24">
        <v>58548</v>
      </c>
      <c r="M200" s="24">
        <v>566</v>
      </c>
      <c r="N200" s="24">
        <v>192440</v>
      </c>
      <c r="O200" s="24">
        <v>206</v>
      </c>
      <c r="P200" s="24">
        <v>92288</v>
      </c>
      <c r="Q200" s="24">
        <v>113</v>
      </c>
      <c r="R200" s="24">
        <v>48025</v>
      </c>
      <c r="S200" s="24">
        <v>205</v>
      </c>
      <c r="T200" s="24">
        <v>83640</v>
      </c>
      <c r="U200" s="24">
        <v>726</v>
      </c>
      <c r="V200" s="24">
        <v>278784</v>
      </c>
      <c r="W200" s="24">
        <v>128</v>
      </c>
      <c r="X200" s="24">
        <v>54528</v>
      </c>
      <c r="Y200">
        <f t="shared" si="3"/>
        <v>3508</v>
      </c>
    </row>
    <row r="201" spans="1:25" x14ac:dyDescent="0.4">
      <c r="A201" s="24" t="s">
        <v>2415</v>
      </c>
      <c r="B201" s="24" t="s">
        <v>2416</v>
      </c>
      <c r="C201" s="25">
        <v>43312</v>
      </c>
      <c r="D201" s="24" t="s">
        <v>2027</v>
      </c>
      <c r="E201" s="24" t="s">
        <v>2016</v>
      </c>
      <c r="F201" s="24" t="s">
        <v>2017</v>
      </c>
      <c r="G201" s="24">
        <v>401</v>
      </c>
      <c r="H201" s="24">
        <v>177242</v>
      </c>
      <c r="I201" s="24">
        <v>123</v>
      </c>
      <c r="J201" s="24">
        <v>54243</v>
      </c>
      <c r="K201" s="24">
        <v>603</v>
      </c>
      <c r="L201" s="24">
        <v>230949</v>
      </c>
      <c r="M201" s="24">
        <v>376</v>
      </c>
      <c r="N201" s="24">
        <v>145512</v>
      </c>
      <c r="O201" s="24">
        <v>797</v>
      </c>
      <c r="P201" s="24">
        <v>266198</v>
      </c>
      <c r="Q201" s="24">
        <v>578</v>
      </c>
      <c r="R201" s="24">
        <v>216172</v>
      </c>
      <c r="S201" s="24">
        <v>478</v>
      </c>
      <c r="T201" s="24">
        <v>159652</v>
      </c>
      <c r="U201" s="24">
        <v>585</v>
      </c>
      <c r="V201" s="24">
        <v>260910</v>
      </c>
      <c r="W201" s="24">
        <v>720</v>
      </c>
      <c r="X201" s="24">
        <v>237600</v>
      </c>
      <c r="Y201">
        <f t="shared" si="3"/>
        <v>4661</v>
      </c>
    </row>
    <row r="202" spans="1:25" x14ac:dyDescent="0.4">
      <c r="A202" s="24" t="s">
        <v>2013</v>
      </c>
      <c r="B202" s="24" t="s">
        <v>2014</v>
      </c>
      <c r="C202" s="25">
        <v>42484</v>
      </c>
      <c r="D202" s="24" t="s">
        <v>2015</v>
      </c>
      <c r="E202" s="24" t="s">
        <v>2016</v>
      </c>
      <c r="F202" s="24" t="s">
        <v>2417</v>
      </c>
      <c r="G202" s="24">
        <v>45</v>
      </c>
      <c r="H202" s="24">
        <v>18945</v>
      </c>
      <c r="I202" s="24">
        <v>41</v>
      </c>
      <c r="J202" s="24">
        <v>19311</v>
      </c>
      <c r="K202" s="24">
        <v>31</v>
      </c>
      <c r="L202" s="24">
        <v>12803</v>
      </c>
      <c r="M202" s="24">
        <v>29</v>
      </c>
      <c r="N202" s="24">
        <v>12760</v>
      </c>
      <c r="O202" s="24">
        <v>36</v>
      </c>
      <c r="P202" s="24">
        <v>18648</v>
      </c>
      <c r="Q202" s="24">
        <v>32</v>
      </c>
      <c r="R202" s="24">
        <v>15488</v>
      </c>
      <c r="S202" s="24">
        <v>758</v>
      </c>
      <c r="T202" s="24">
        <v>274396</v>
      </c>
      <c r="U202" s="24">
        <v>619</v>
      </c>
      <c r="V202" s="24">
        <v>232744</v>
      </c>
      <c r="W202" s="24">
        <v>356</v>
      </c>
      <c r="X202" s="24">
        <v>134212</v>
      </c>
      <c r="Y202">
        <f t="shared" si="3"/>
        <v>1947</v>
      </c>
    </row>
    <row r="203" spans="1:25" x14ac:dyDescent="0.4">
      <c r="A203" s="24" t="s">
        <v>2018</v>
      </c>
      <c r="B203" s="24" t="s">
        <v>2019</v>
      </c>
      <c r="C203" s="25">
        <v>42609</v>
      </c>
      <c r="D203" s="24" t="s">
        <v>2015</v>
      </c>
      <c r="E203" s="24" t="s">
        <v>2020</v>
      </c>
      <c r="F203" s="24" t="s">
        <v>2417</v>
      </c>
      <c r="G203" s="24">
        <v>67</v>
      </c>
      <c r="H203" s="24">
        <v>27403</v>
      </c>
      <c r="I203" s="24">
        <v>9</v>
      </c>
      <c r="J203" s="24">
        <v>3699</v>
      </c>
      <c r="K203" s="24">
        <v>19</v>
      </c>
      <c r="L203" s="24">
        <v>10393</v>
      </c>
      <c r="M203" s="24">
        <v>56</v>
      </c>
      <c r="N203" s="24">
        <v>23072</v>
      </c>
      <c r="O203" s="24">
        <v>32</v>
      </c>
      <c r="P203" s="24">
        <v>14400</v>
      </c>
      <c r="Q203" s="24">
        <v>24</v>
      </c>
      <c r="R203" s="24">
        <v>12744</v>
      </c>
      <c r="S203" s="24">
        <v>659</v>
      </c>
      <c r="T203" s="24">
        <v>250420</v>
      </c>
      <c r="U203" s="24">
        <v>672</v>
      </c>
      <c r="V203" s="24">
        <v>245280</v>
      </c>
      <c r="W203" s="24">
        <v>343</v>
      </c>
      <c r="X203" s="24">
        <v>112161</v>
      </c>
      <c r="Y203">
        <f t="shared" si="3"/>
        <v>1881</v>
      </c>
    </row>
    <row r="204" spans="1:25" x14ac:dyDescent="0.4">
      <c r="A204" s="24" t="s">
        <v>2021</v>
      </c>
      <c r="B204" s="24" t="s">
        <v>2022</v>
      </c>
      <c r="C204" s="25">
        <v>43385</v>
      </c>
      <c r="D204" s="24" t="s">
        <v>2015</v>
      </c>
      <c r="E204" s="24" t="s">
        <v>2016</v>
      </c>
      <c r="F204" s="24" t="s">
        <v>2417</v>
      </c>
      <c r="G204" s="24">
        <v>44</v>
      </c>
      <c r="H204" s="24">
        <v>17820</v>
      </c>
      <c r="I204" s="24">
        <v>65</v>
      </c>
      <c r="J204" s="24">
        <v>26325</v>
      </c>
      <c r="K204" s="24">
        <v>69</v>
      </c>
      <c r="L204" s="24">
        <v>29394</v>
      </c>
      <c r="M204" s="24">
        <v>39</v>
      </c>
      <c r="N204" s="24">
        <v>17394</v>
      </c>
      <c r="O204" s="24">
        <v>18</v>
      </c>
      <c r="P204" s="24">
        <v>9054</v>
      </c>
      <c r="Q204" s="24">
        <v>55</v>
      </c>
      <c r="R204" s="24">
        <v>25355</v>
      </c>
      <c r="S204" s="24">
        <v>154</v>
      </c>
      <c r="T204" s="24">
        <v>52206</v>
      </c>
      <c r="U204" s="24">
        <v>732</v>
      </c>
      <c r="V204" s="24">
        <v>271572</v>
      </c>
      <c r="W204" s="24">
        <v>103</v>
      </c>
      <c r="X204" s="24">
        <v>39758</v>
      </c>
      <c r="Y204">
        <f t="shared" si="3"/>
        <v>1279</v>
      </c>
    </row>
    <row r="205" spans="1:25" x14ac:dyDescent="0.4">
      <c r="A205" s="24" t="s">
        <v>2023</v>
      </c>
      <c r="B205" s="24" t="s">
        <v>2024</v>
      </c>
      <c r="C205" s="25">
        <v>42908</v>
      </c>
      <c r="D205" s="24" t="s">
        <v>2015</v>
      </c>
      <c r="E205" s="24" t="s">
        <v>2020</v>
      </c>
      <c r="F205" s="24" t="s">
        <v>2417</v>
      </c>
      <c r="G205" s="24">
        <v>66</v>
      </c>
      <c r="H205" s="24">
        <v>30228</v>
      </c>
      <c r="I205" s="24">
        <v>69</v>
      </c>
      <c r="J205" s="24">
        <v>29256</v>
      </c>
      <c r="K205" s="24">
        <v>65</v>
      </c>
      <c r="L205" s="24">
        <v>29640</v>
      </c>
      <c r="M205" s="24">
        <v>40</v>
      </c>
      <c r="N205" s="24">
        <v>18000</v>
      </c>
      <c r="O205" s="24">
        <v>0</v>
      </c>
      <c r="P205" s="24">
        <v>0</v>
      </c>
      <c r="Q205" s="24">
        <v>17</v>
      </c>
      <c r="R205" s="24">
        <v>7361</v>
      </c>
      <c r="S205" s="24">
        <v>25</v>
      </c>
      <c r="T205" s="24">
        <v>11325</v>
      </c>
      <c r="U205" s="24">
        <v>22</v>
      </c>
      <c r="V205" s="24">
        <v>10252</v>
      </c>
      <c r="W205" s="24">
        <v>60</v>
      </c>
      <c r="X205" s="24">
        <v>28320</v>
      </c>
      <c r="Y205">
        <f t="shared" si="3"/>
        <v>364</v>
      </c>
    </row>
    <row r="206" spans="1:25" x14ac:dyDescent="0.4">
      <c r="A206" s="24" t="s">
        <v>2025</v>
      </c>
      <c r="B206" s="24" t="s">
        <v>2026</v>
      </c>
      <c r="C206" s="25">
        <v>42104</v>
      </c>
      <c r="D206" s="24" t="s">
        <v>2027</v>
      </c>
      <c r="E206" s="24" t="s">
        <v>2028</v>
      </c>
      <c r="F206" s="24" t="s">
        <v>2417</v>
      </c>
      <c r="G206" s="24">
        <v>19</v>
      </c>
      <c r="H206" s="24">
        <v>7980</v>
      </c>
      <c r="I206" s="24">
        <v>59</v>
      </c>
      <c r="J206" s="24">
        <v>23836</v>
      </c>
      <c r="K206" s="24">
        <v>66</v>
      </c>
      <c r="L206" s="24">
        <v>28974</v>
      </c>
      <c r="M206" s="24">
        <v>67</v>
      </c>
      <c r="N206" s="24">
        <v>29011</v>
      </c>
      <c r="O206" s="24">
        <v>27</v>
      </c>
      <c r="P206" s="24">
        <v>12960</v>
      </c>
      <c r="Q206" s="24">
        <v>60</v>
      </c>
      <c r="R206" s="24">
        <v>27360</v>
      </c>
      <c r="S206" s="24">
        <v>10</v>
      </c>
      <c r="T206" s="24">
        <v>5230</v>
      </c>
      <c r="U206" s="24">
        <v>48</v>
      </c>
      <c r="V206" s="24">
        <v>24768</v>
      </c>
      <c r="W206" s="24">
        <v>21</v>
      </c>
      <c r="X206" s="24">
        <v>9576</v>
      </c>
      <c r="Y206">
        <f t="shared" si="3"/>
        <v>377</v>
      </c>
    </row>
    <row r="207" spans="1:25" x14ac:dyDescent="0.4">
      <c r="A207" s="24" t="s">
        <v>2029</v>
      </c>
      <c r="B207" s="24" t="s">
        <v>2030</v>
      </c>
      <c r="C207" s="25">
        <v>44108</v>
      </c>
      <c r="D207" s="24" t="s">
        <v>2027</v>
      </c>
      <c r="E207" s="24" t="s">
        <v>2028</v>
      </c>
      <c r="F207" s="24" t="s">
        <v>2417</v>
      </c>
      <c r="G207" s="24">
        <v>49</v>
      </c>
      <c r="H207" s="24">
        <v>21756</v>
      </c>
      <c r="I207" s="24">
        <v>42</v>
      </c>
      <c r="J207" s="24">
        <v>22848</v>
      </c>
      <c r="K207" s="24">
        <v>13</v>
      </c>
      <c r="L207" s="24">
        <v>6201</v>
      </c>
      <c r="M207" s="24">
        <v>64</v>
      </c>
      <c r="N207" s="24">
        <v>33216</v>
      </c>
      <c r="O207" s="24">
        <v>40</v>
      </c>
      <c r="P207" s="24">
        <v>16040</v>
      </c>
      <c r="Q207" s="24">
        <v>58</v>
      </c>
      <c r="R207" s="24">
        <v>25056</v>
      </c>
      <c r="S207" s="24">
        <v>17</v>
      </c>
      <c r="T207" s="24">
        <v>7072</v>
      </c>
      <c r="U207" s="24">
        <v>64</v>
      </c>
      <c r="V207" s="24">
        <v>28032</v>
      </c>
      <c r="W207" s="24">
        <v>33</v>
      </c>
      <c r="X207" s="24">
        <v>17325</v>
      </c>
      <c r="Y207">
        <f t="shared" si="3"/>
        <v>380</v>
      </c>
    </row>
    <row r="208" spans="1:25" x14ac:dyDescent="0.4">
      <c r="A208" s="24" t="s">
        <v>2031</v>
      </c>
      <c r="B208" s="24" t="s">
        <v>2032</v>
      </c>
      <c r="C208" s="25">
        <v>42806</v>
      </c>
      <c r="D208" s="24" t="s">
        <v>2027</v>
      </c>
      <c r="E208" s="24" t="s">
        <v>2028</v>
      </c>
      <c r="F208" s="24" t="s">
        <v>2417</v>
      </c>
      <c r="G208" s="24">
        <v>73</v>
      </c>
      <c r="H208" s="24">
        <v>29930</v>
      </c>
      <c r="I208" s="24">
        <v>70</v>
      </c>
      <c r="J208" s="24">
        <v>29960</v>
      </c>
      <c r="K208" s="24">
        <v>72</v>
      </c>
      <c r="L208" s="24">
        <v>39312</v>
      </c>
      <c r="M208" s="24">
        <v>75</v>
      </c>
      <c r="N208" s="24">
        <v>38700</v>
      </c>
      <c r="O208" s="24">
        <v>50</v>
      </c>
      <c r="P208" s="24">
        <v>23950</v>
      </c>
      <c r="Q208" s="24">
        <v>51</v>
      </c>
      <c r="R208" s="24">
        <v>24786</v>
      </c>
      <c r="S208" s="24">
        <v>43</v>
      </c>
      <c r="T208" s="24">
        <v>20984</v>
      </c>
      <c r="U208" s="24">
        <v>76</v>
      </c>
      <c r="V208" s="24">
        <v>37392</v>
      </c>
      <c r="W208" s="24">
        <v>17</v>
      </c>
      <c r="X208" s="24">
        <v>7973</v>
      </c>
      <c r="Y208">
        <f t="shared" si="3"/>
        <v>527</v>
      </c>
    </row>
    <row r="209" spans="1:25" x14ac:dyDescent="0.4">
      <c r="A209" s="24" t="s">
        <v>2033</v>
      </c>
      <c r="B209" s="24" t="s">
        <v>2034</v>
      </c>
      <c r="C209" s="25">
        <v>42736</v>
      </c>
      <c r="D209" s="24" t="s">
        <v>2015</v>
      </c>
      <c r="E209" s="24" t="s">
        <v>2016</v>
      </c>
      <c r="F209" s="24" t="s">
        <v>2417</v>
      </c>
      <c r="G209" s="24">
        <v>29</v>
      </c>
      <c r="H209" s="24">
        <v>14007</v>
      </c>
      <c r="I209" s="24">
        <v>48</v>
      </c>
      <c r="J209" s="24">
        <v>22080</v>
      </c>
      <c r="K209" s="24">
        <v>18</v>
      </c>
      <c r="L209" s="24">
        <v>9522</v>
      </c>
      <c r="M209" s="24">
        <v>63</v>
      </c>
      <c r="N209" s="24">
        <v>25452</v>
      </c>
      <c r="O209" s="24">
        <v>17</v>
      </c>
      <c r="P209" s="24">
        <v>9197</v>
      </c>
      <c r="Q209" s="24">
        <v>69</v>
      </c>
      <c r="R209" s="24">
        <v>31947</v>
      </c>
      <c r="S209" s="24">
        <v>29</v>
      </c>
      <c r="T209" s="24">
        <v>13978</v>
      </c>
      <c r="U209" s="24">
        <v>32</v>
      </c>
      <c r="V209" s="24">
        <v>15680</v>
      </c>
      <c r="W209" s="24">
        <v>28</v>
      </c>
      <c r="X209" s="24">
        <v>12684</v>
      </c>
      <c r="Y209">
        <f t="shared" si="3"/>
        <v>333</v>
      </c>
    </row>
    <row r="210" spans="1:25" x14ac:dyDescent="0.4">
      <c r="A210" s="24" t="s">
        <v>2035</v>
      </c>
      <c r="B210" s="24" t="s">
        <v>2036</v>
      </c>
      <c r="C210" s="25">
        <v>43556</v>
      </c>
      <c r="D210" s="24" t="s">
        <v>2015</v>
      </c>
      <c r="E210" s="24" t="s">
        <v>2020</v>
      </c>
      <c r="F210" s="24" t="s">
        <v>2417</v>
      </c>
      <c r="G210" s="24">
        <v>64</v>
      </c>
      <c r="H210" s="24">
        <v>26880</v>
      </c>
      <c r="I210" s="24">
        <v>56</v>
      </c>
      <c r="J210" s="24">
        <v>26040</v>
      </c>
      <c r="K210" s="24">
        <v>46</v>
      </c>
      <c r="L210" s="24">
        <v>18860</v>
      </c>
      <c r="M210" s="24">
        <v>46</v>
      </c>
      <c r="N210" s="24">
        <v>23736</v>
      </c>
      <c r="O210" s="24">
        <v>28</v>
      </c>
      <c r="P210" s="24">
        <v>13356</v>
      </c>
      <c r="Q210" s="24">
        <v>58</v>
      </c>
      <c r="R210" s="24">
        <v>27260</v>
      </c>
      <c r="S210" s="24">
        <v>53</v>
      </c>
      <c r="T210" s="24">
        <v>27984</v>
      </c>
      <c r="U210" s="24">
        <v>66</v>
      </c>
      <c r="V210" s="24">
        <v>34914</v>
      </c>
      <c r="W210" s="24">
        <v>63</v>
      </c>
      <c r="X210" s="24">
        <v>32508</v>
      </c>
      <c r="Y210">
        <f t="shared" si="3"/>
        <v>480</v>
      </c>
    </row>
    <row r="211" spans="1:25" x14ac:dyDescent="0.4">
      <c r="A211" s="24" t="s">
        <v>2037</v>
      </c>
      <c r="B211" s="24" t="s">
        <v>2038</v>
      </c>
      <c r="C211" s="25">
        <v>43747</v>
      </c>
      <c r="D211" s="24" t="s">
        <v>2027</v>
      </c>
      <c r="E211" s="24" t="s">
        <v>2016</v>
      </c>
      <c r="F211" s="24" t="s">
        <v>2417</v>
      </c>
      <c r="G211" s="24">
        <v>2</v>
      </c>
      <c r="H211" s="24">
        <v>938</v>
      </c>
      <c r="I211" s="24">
        <v>2</v>
      </c>
      <c r="J211" s="24">
        <v>1030</v>
      </c>
      <c r="K211" s="24">
        <v>65</v>
      </c>
      <c r="L211" s="24">
        <v>33605</v>
      </c>
      <c r="M211" s="24">
        <v>16</v>
      </c>
      <c r="N211" s="24">
        <v>8368</v>
      </c>
      <c r="O211" s="24">
        <v>25</v>
      </c>
      <c r="P211" s="24">
        <v>12525</v>
      </c>
      <c r="Q211" s="24">
        <v>68</v>
      </c>
      <c r="R211" s="24">
        <v>35496</v>
      </c>
      <c r="S211" s="24">
        <v>62</v>
      </c>
      <c r="T211" s="24">
        <v>32736</v>
      </c>
      <c r="U211" s="24">
        <v>52</v>
      </c>
      <c r="V211" s="24">
        <v>21996</v>
      </c>
      <c r="W211" s="24">
        <v>7</v>
      </c>
      <c r="X211" s="24">
        <v>2807</v>
      </c>
      <c r="Y211">
        <f t="shared" si="3"/>
        <v>299</v>
      </c>
    </row>
    <row r="212" spans="1:25" x14ac:dyDescent="0.4">
      <c r="A212" s="24" t="s">
        <v>2039</v>
      </c>
      <c r="B212" s="24" t="s">
        <v>2040</v>
      </c>
      <c r="C212" s="25">
        <v>44073</v>
      </c>
      <c r="D212" s="24" t="s">
        <v>2027</v>
      </c>
      <c r="E212" s="24" t="s">
        <v>2016</v>
      </c>
      <c r="F212" s="24" t="s">
        <v>2417</v>
      </c>
      <c r="G212" s="24">
        <v>26</v>
      </c>
      <c r="H212" s="24">
        <v>14118</v>
      </c>
      <c r="I212" s="24">
        <v>72</v>
      </c>
      <c r="J212" s="24">
        <v>29592</v>
      </c>
      <c r="K212" s="24">
        <v>4</v>
      </c>
      <c r="L212" s="24">
        <v>1672</v>
      </c>
      <c r="M212" s="24">
        <v>39</v>
      </c>
      <c r="N212" s="24">
        <v>20397</v>
      </c>
      <c r="O212" s="24">
        <v>27</v>
      </c>
      <c r="P212" s="24">
        <v>14283</v>
      </c>
      <c r="Q212" s="24">
        <v>5</v>
      </c>
      <c r="R212" s="24">
        <v>2395</v>
      </c>
      <c r="S212" s="24">
        <v>8</v>
      </c>
      <c r="T212" s="24">
        <v>4352</v>
      </c>
      <c r="U212" s="24">
        <v>72</v>
      </c>
      <c r="V212" s="24">
        <v>32904</v>
      </c>
      <c r="W212" s="24">
        <v>69</v>
      </c>
      <c r="X212" s="24">
        <v>30153</v>
      </c>
      <c r="Y212">
        <f t="shared" si="3"/>
        <v>322</v>
      </c>
    </row>
    <row r="213" spans="1:25" x14ac:dyDescent="0.4">
      <c r="A213" s="24" t="s">
        <v>2041</v>
      </c>
      <c r="B213" s="24" t="s">
        <v>2042</v>
      </c>
      <c r="C213" s="25">
        <v>43435</v>
      </c>
      <c r="D213" s="24" t="s">
        <v>2027</v>
      </c>
      <c r="E213" s="24" t="s">
        <v>2016</v>
      </c>
      <c r="F213" s="24" t="s">
        <v>2417</v>
      </c>
      <c r="G213" s="24">
        <v>0</v>
      </c>
      <c r="H213" s="24">
        <v>0</v>
      </c>
      <c r="I213" s="24">
        <v>23</v>
      </c>
      <c r="J213" s="24">
        <v>10833</v>
      </c>
      <c r="K213" s="24">
        <v>19</v>
      </c>
      <c r="L213" s="24">
        <v>8227</v>
      </c>
      <c r="M213" s="24">
        <v>33</v>
      </c>
      <c r="N213" s="24">
        <v>16995</v>
      </c>
      <c r="O213" s="24">
        <v>67</v>
      </c>
      <c r="P213" s="24">
        <v>35041</v>
      </c>
      <c r="Q213" s="24">
        <v>15</v>
      </c>
      <c r="R213" s="24">
        <v>7170</v>
      </c>
      <c r="S213" s="24">
        <v>45</v>
      </c>
      <c r="T213" s="24">
        <v>20385</v>
      </c>
      <c r="U213" s="24">
        <v>8</v>
      </c>
      <c r="V213" s="24">
        <v>4216</v>
      </c>
      <c r="W213" s="24">
        <v>53</v>
      </c>
      <c r="X213" s="24">
        <v>28991</v>
      </c>
      <c r="Y213">
        <f t="shared" si="3"/>
        <v>263</v>
      </c>
    </row>
    <row r="214" spans="1:25" x14ac:dyDescent="0.4">
      <c r="A214" s="24" t="s">
        <v>2043</v>
      </c>
      <c r="B214" s="24" t="s">
        <v>2044</v>
      </c>
      <c r="C214" s="25">
        <v>42229</v>
      </c>
      <c r="D214" s="24" t="s">
        <v>2015</v>
      </c>
      <c r="E214" s="24" t="s">
        <v>2028</v>
      </c>
      <c r="F214" s="24" t="s">
        <v>2417</v>
      </c>
      <c r="G214" s="24">
        <v>60</v>
      </c>
      <c r="H214" s="24">
        <v>27960</v>
      </c>
      <c r="I214" s="24">
        <v>22</v>
      </c>
      <c r="J214" s="24">
        <v>11264</v>
      </c>
      <c r="K214" s="24">
        <v>61</v>
      </c>
      <c r="L214" s="24">
        <v>29951</v>
      </c>
      <c r="M214" s="24">
        <v>2</v>
      </c>
      <c r="N214" s="24">
        <v>808</v>
      </c>
      <c r="O214" s="24">
        <v>28</v>
      </c>
      <c r="P214" s="24">
        <v>11900</v>
      </c>
      <c r="Q214" s="24">
        <v>69</v>
      </c>
      <c r="R214" s="24">
        <v>32430</v>
      </c>
      <c r="S214" s="24">
        <v>52</v>
      </c>
      <c r="T214" s="24">
        <v>23036</v>
      </c>
      <c r="U214" s="24">
        <v>68</v>
      </c>
      <c r="V214" s="24">
        <v>27268</v>
      </c>
      <c r="W214" s="24">
        <v>48</v>
      </c>
      <c r="X214" s="24">
        <v>21792</v>
      </c>
      <c r="Y214">
        <f t="shared" si="3"/>
        <v>410</v>
      </c>
    </row>
    <row r="215" spans="1:25" x14ac:dyDescent="0.4">
      <c r="A215" s="24" t="s">
        <v>2045</v>
      </c>
      <c r="B215" s="24" t="s">
        <v>2046</v>
      </c>
      <c r="C215" s="25">
        <v>43695</v>
      </c>
      <c r="D215" s="24" t="s">
        <v>2027</v>
      </c>
      <c r="E215" s="24" t="s">
        <v>2016</v>
      </c>
      <c r="F215" s="24" t="s">
        <v>2417</v>
      </c>
      <c r="G215" s="24">
        <v>15</v>
      </c>
      <c r="H215" s="24">
        <v>7680</v>
      </c>
      <c r="I215" s="24">
        <v>25</v>
      </c>
      <c r="J215" s="24">
        <v>13550</v>
      </c>
      <c r="K215" s="24">
        <v>18</v>
      </c>
      <c r="L215" s="24">
        <v>8208</v>
      </c>
      <c r="M215" s="24">
        <v>54</v>
      </c>
      <c r="N215" s="24">
        <v>27648</v>
      </c>
      <c r="O215" s="24">
        <v>71</v>
      </c>
      <c r="P215" s="24">
        <v>29607</v>
      </c>
      <c r="Q215" s="24">
        <v>25</v>
      </c>
      <c r="R215" s="24">
        <v>12400</v>
      </c>
      <c r="S215" s="24">
        <v>30</v>
      </c>
      <c r="T215" s="24">
        <v>14880</v>
      </c>
      <c r="U215" s="24">
        <v>57</v>
      </c>
      <c r="V215" s="24">
        <v>23484</v>
      </c>
      <c r="W215" s="24">
        <v>38</v>
      </c>
      <c r="X215" s="24">
        <v>16986</v>
      </c>
      <c r="Y215">
        <f t="shared" si="3"/>
        <v>333</v>
      </c>
    </row>
    <row r="216" spans="1:25" x14ac:dyDescent="0.4">
      <c r="A216" s="24" t="s">
        <v>2047</v>
      </c>
      <c r="B216" s="24" t="s">
        <v>2048</v>
      </c>
      <c r="C216" s="25">
        <v>42241</v>
      </c>
      <c r="D216" s="24" t="s">
        <v>2015</v>
      </c>
      <c r="E216" s="24" t="s">
        <v>2016</v>
      </c>
      <c r="F216" s="24" t="s">
        <v>2417</v>
      </c>
      <c r="G216" s="24">
        <v>17</v>
      </c>
      <c r="H216" s="24">
        <v>9248</v>
      </c>
      <c r="I216" s="24">
        <v>12</v>
      </c>
      <c r="J216" s="24">
        <v>6240</v>
      </c>
      <c r="K216" s="24">
        <v>52</v>
      </c>
      <c r="L216" s="24">
        <v>24180</v>
      </c>
      <c r="M216" s="24">
        <v>48</v>
      </c>
      <c r="N216" s="24">
        <v>24048</v>
      </c>
      <c r="O216" s="24">
        <v>54</v>
      </c>
      <c r="P216" s="24">
        <v>29646</v>
      </c>
      <c r="Q216" s="24">
        <v>38</v>
      </c>
      <c r="R216" s="24">
        <v>16036</v>
      </c>
      <c r="S216" s="24">
        <v>17</v>
      </c>
      <c r="T216" s="24">
        <v>6919</v>
      </c>
      <c r="U216" s="24">
        <v>35</v>
      </c>
      <c r="V216" s="24">
        <v>18830</v>
      </c>
      <c r="W216" s="24">
        <v>72</v>
      </c>
      <c r="X216" s="24">
        <v>32112</v>
      </c>
      <c r="Y216">
        <f t="shared" si="3"/>
        <v>345</v>
      </c>
    </row>
    <row r="217" spans="1:25" x14ac:dyDescent="0.4">
      <c r="A217" s="24" t="s">
        <v>2049</v>
      </c>
      <c r="B217" s="24" t="s">
        <v>2050</v>
      </c>
      <c r="C217" s="25">
        <v>42700</v>
      </c>
      <c r="D217" s="24" t="s">
        <v>2015</v>
      </c>
      <c r="E217" s="24" t="s">
        <v>2016</v>
      </c>
      <c r="F217" s="24" t="s">
        <v>2417</v>
      </c>
      <c r="G217" s="24">
        <v>6</v>
      </c>
      <c r="H217" s="24">
        <v>2898</v>
      </c>
      <c r="I217" s="24">
        <v>49</v>
      </c>
      <c r="J217" s="24">
        <v>23275</v>
      </c>
      <c r="K217" s="24">
        <v>32</v>
      </c>
      <c r="L217" s="24">
        <v>14144</v>
      </c>
      <c r="M217" s="24">
        <v>0</v>
      </c>
      <c r="N217" s="24">
        <v>0</v>
      </c>
      <c r="O217" s="24">
        <v>76</v>
      </c>
      <c r="P217" s="24">
        <v>32908</v>
      </c>
      <c r="Q217" s="24">
        <v>13</v>
      </c>
      <c r="R217" s="24">
        <v>5694</v>
      </c>
      <c r="S217" s="24">
        <v>76</v>
      </c>
      <c r="T217" s="24">
        <v>41268</v>
      </c>
      <c r="U217" s="24">
        <v>29</v>
      </c>
      <c r="V217" s="24">
        <v>13195</v>
      </c>
      <c r="W217" s="24">
        <v>68</v>
      </c>
      <c r="X217" s="24">
        <v>29988</v>
      </c>
      <c r="Y217">
        <f t="shared" si="3"/>
        <v>349</v>
      </c>
    </row>
    <row r="218" spans="1:25" x14ac:dyDescent="0.4">
      <c r="A218" s="24" t="s">
        <v>2051</v>
      </c>
      <c r="B218" s="24" t="s">
        <v>2052</v>
      </c>
      <c r="C218" s="25">
        <v>43442</v>
      </c>
      <c r="D218" s="24" t="s">
        <v>2015</v>
      </c>
      <c r="E218" s="24" t="s">
        <v>2020</v>
      </c>
      <c r="F218" s="24" t="s">
        <v>2417</v>
      </c>
      <c r="G218" s="24">
        <v>68</v>
      </c>
      <c r="H218" s="24">
        <v>28696</v>
      </c>
      <c r="I218" s="24">
        <v>34</v>
      </c>
      <c r="J218" s="24">
        <v>15300</v>
      </c>
      <c r="K218" s="24">
        <v>57</v>
      </c>
      <c r="L218" s="24">
        <v>29868</v>
      </c>
      <c r="M218" s="24">
        <v>18</v>
      </c>
      <c r="N218" s="24">
        <v>8064</v>
      </c>
      <c r="O218" s="24">
        <v>33</v>
      </c>
      <c r="P218" s="24">
        <v>13266</v>
      </c>
      <c r="Q218" s="24">
        <v>67</v>
      </c>
      <c r="R218" s="24">
        <v>27671</v>
      </c>
      <c r="S218" s="24">
        <v>73</v>
      </c>
      <c r="T218" s="24">
        <v>35332</v>
      </c>
      <c r="U218" s="24">
        <v>22</v>
      </c>
      <c r="V218" s="24">
        <v>10054</v>
      </c>
      <c r="W218" s="24">
        <v>32</v>
      </c>
      <c r="X218" s="24">
        <v>13568</v>
      </c>
      <c r="Y218">
        <f t="shared" si="3"/>
        <v>404</v>
      </c>
    </row>
    <row r="219" spans="1:25" x14ac:dyDescent="0.4">
      <c r="A219" s="24" t="s">
        <v>2053</v>
      </c>
      <c r="B219" s="24" t="s">
        <v>2054</v>
      </c>
      <c r="C219" s="25">
        <v>44110</v>
      </c>
      <c r="D219" s="24" t="s">
        <v>2027</v>
      </c>
      <c r="E219" s="24" t="s">
        <v>2020</v>
      </c>
      <c r="F219" s="24" t="s">
        <v>2417</v>
      </c>
      <c r="G219" s="24">
        <v>70</v>
      </c>
      <c r="H219" s="24">
        <v>30870</v>
      </c>
      <c r="I219" s="24">
        <v>32</v>
      </c>
      <c r="J219" s="24">
        <v>17440</v>
      </c>
      <c r="K219" s="24">
        <v>7</v>
      </c>
      <c r="L219" s="24">
        <v>3276</v>
      </c>
      <c r="M219" s="24">
        <v>69</v>
      </c>
      <c r="N219" s="24">
        <v>34086</v>
      </c>
      <c r="O219" s="24">
        <v>25</v>
      </c>
      <c r="P219" s="24">
        <v>11225</v>
      </c>
      <c r="Q219" s="24">
        <v>14</v>
      </c>
      <c r="R219" s="24">
        <v>6426</v>
      </c>
      <c r="S219" s="24">
        <v>32</v>
      </c>
      <c r="T219" s="24">
        <v>14912</v>
      </c>
      <c r="U219" s="24">
        <v>13</v>
      </c>
      <c r="V219" s="24">
        <v>6409</v>
      </c>
      <c r="W219" s="24">
        <v>71</v>
      </c>
      <c r="X219" s="24">
        <v>28471</v>
      </c>
      <c r="Y219">
        <f t="shared" si="3"/>
        <v>333</v>
      </c>
    </row>
    <row r="220" spans="1:25" x14ac:dyDescent="0.4">
      <c r="A220" s="24" t="s">
        <v>2055</v>
      </c>
      <c r="B220" s="24" t="s">
        <v>2056</v>
      </c>
      <c r="C220" s="25">
        <v>43417</v>
      </c>
      <c r="D220" s="24" t="s">
        <v>2015</v>
      </c>
      <c r="E220" s="24" t="s">
        <v>2020</v>
      </c>
      <c r="F220" s="24" t="s">
        <v>2417</v>
      </c>
      <c r="G220" s="24">
        <v>30</v>
      </c>
      <c r="H220" s="24">
        <v>15090</v>
      </c>
      <c r="I220" s="24">
        <v>7</v>
      </c>
      <c r="J220" s="24">
        <v>2891</v>
      </c>
      <c r="K220" s="24">
        <v>64</v>
      </c>
      <c r="L220" s="24">
        <v>30080</v>
      </c>
      <c r="M220" s="24">
        <v>68</v>
      </c>
      <c r="N220" s="24">
        <v>29988</v>
      </c>
      <c r="O220" s="24">
        <v>28</v>
      </c>
      <c r="P220" s="24">
        <v>13524</v>
      </c>
      <c r="Q220" s="24">
        <v>42</v>
      </c>
      <c r="R220" s="24">
        <v>17598</v>
      </c>
      <c r="S220" s="24">
        <v>52</v>
      </c>
      <c r="T220" s="24">
        <v>21944</v>
      </c>
      <c r="U220" s="24">
        <v>73</v>
      </c>
      <c r="V220" s="24">
        <v>30879</v>
      </c>
      <c r="W220" s="24">
        <v>6</v>
      </c>
      <c r="X220" s="24">
        <v>2490</v>
      </c>
      <c r="Y220">
        <f t="shared" si="3"/>
        <v>370</v>
      </c>
    </row>
    <row r="221" spans="1:25" x14ac:dyDescent="0.4">
      <c r="A221" s="24" t="s">
        <v>2057</v>
      </c>
      <c r="B221" s="24" t="s">
        <v>2058</v>
      </c>
      <c r="C221" s="25">
        <v>42169</v>
      </c>
      <c r="D221" s="24" t="s">
        <v>2027</v>
      </c>
      <c r="E221" s="24" t="s">
        <v>2020</v>
      </c>
      <c r="F221" s="24" t="s">
        <v>2417</v>
      </c>
      <c r="G221" s="24">
        <v>51</v>
      </c>
      <c r="H221" s="24">
        <v>21063</v>
      </c>
      <c r="I221" s="24">
        <v>45</v>
      </c>
      <c r="J221" s="24">
        <v>19395</v>
      </c>
      <c r="K221" s="24">
        <v>11</v>
      </c>
      <c r="L221" s="24">
        <v>5830</v>
      </c>
      <c r="M221" s="24">
        <v>24</v>
      </c>
      <c r="N221" s="24">
        <v>12504</v>
      </c>
      <c r="O221" s="24">
        <v>35</v>
      </c>
      <c r="P221" s="24">
        <v>17500</v>
      </c>
      <c r="Q221" s="24">
        <v>71</v>
      </c>
      <c r="R221" s="24">
        <v>32944</v>
      </c>
      <c r="S221" s="24">
        <v>7</v>
      </c>
      <c r="T221" s="24">
        <v>2933</v>
      </c>
      <c r="U221" s="24">
        <v>48</v>
      </c>
      <c r="V221" s="24">
        <v>20304</v>
      </c>
      <c r="W221" s="24">
        <v>23</v>
      </c>
      <c r="X221" s="24">
        <v>9821</v>
      </c>
      <c r="Y221">
        <f t="shared" si="3"/>
        <v>315</v>
      </c>
    </row>
    <row r="222" spans="1:25" x14ac:dyDescent="0.4">
      <c r="A222" s="24" t="s">
        <v>2059</v>
      </c>
      <c r="B222" s="24" t="s">
        <v>2060</v>
      </c>
      <c r="C222" s="25">
        <v>43086</v>
      </c>
      <c r="D222" s="24" t="s">
        <v>2027</v>
      </c>
      <c r="E222" s="24" t="s">
        <v>2028</v>
      </c>
      <c r="F222" s="24" t="s">
        <v>2417</v>
      </c>
      <c r="G222" s="24">
        <v>49</v>
      </c>
      <c r="H222" s="24">
        <v>25529</v>
      </c>
      <c r="I222" s="24">
        <v>56</v>
      </c>
      <c r="J222" s="24">
        <v>28056</v>
      </c>
      <c r="K222" s="24">
        <v>74</v>
      </c>
      <c r="L222" s="24">
        <v>40478</v>
      </c>
      <c r="M222" s="24">
        <v>76</v>
      </c>
      <c r="N222" s="24">
        <v>32300</v>
      </c>
      <c r="O222" s="24">
        <v>28</v>
      </c>
      <c r="P222" s="24">
        <v>12264</v>
      </c>
      <c r="Q222" s="24">
        <v>28</v>
      </c>
      <c r="R222" s="24">
        <v>12572</v>
      </c>
      <c r="S222" s="24">
        <v>25</v>
      </c>
      <c r="T222" s="24">
        <v>12825</v>
      </c>
      <c r="U222" s="24">
        <v>57</v>
      </c>
      <c r="V222" s="24">
        <v>25593</v>
      </c>
      <c r="W222" s="24">
        <v>33</v>
      </c>
      <c r="X222" s="24">
        <v>14685</v>
      </c>
      <c r="Y222">
        <f t="shared" si="3"/>
        <v>426</v>
      </c>
    </row>
    <row r="223" spans="1:25" x14ac:dyDescent="0.4">
      <c r="A223" s="24" t="s">
        <v>2061</v>
      </c>
      <c r="B223" s="24" t="s">
        <v>2062</v>
      </c>
      <c r="C223" s="25">
        <v>42569</v>
      </c>
      <c r="D223" s="24" t="s">
        <v>2027</v>
      </c>
      <c r="E223" s="24" t="s">
        <v>2016</v>
      </c>
      <c r="F223" s="24" t="s">
        <v>2417</v>
      </c>
      <c r="G223" s="24">
        <v>62</v>
      </c>
      <c r="H223" s="24">
        <v>31248</v>
      </c>
      <c r="I223" s="24">
        <v>2</v>
      </c>
      <c r="J223" s="24">
        <v>848</v>
      </c>
      <c r="K223" s="24">
        <v>58</v>
      </c>
      <c r="L223" s="24">
        <v>24534</v>
      </c>
      <c r="M223" s="24">
        <v>50</v>
      </c>
      <c r="N223" s="24">
        <v>26300</v>
      </c>
      <c r="O223" s="24">
        <v>10</v>
      </c>
      <c r="P223" s="24">
        <v>5300</v>
      </c>
      <c r="Q223" s="24">
        <v>23</v>
      </c>
      <c r="R223" s="24">
        <v>12650</v>
      </c>
      <c r="S223" s="24">
        <v>39</v>
      </c>
      <c r="T223" s="24">
        <v>20553</v>
      </c>
      <c r="U223" s="24">
        <v>64</v>
      </c>
      <c r="V223" s="24">
        <v>32512</v>
      </c>
      <c r="W223" s="24">
        <v>63</v>
      </c>
      <c r="X223" s="24">
        <v>34461</v>
      </c>
      <c r="Y223">
        <f t="shared" si="3"/>
        <v>371</v>
      </c>
    </row>
    <row r="224" spans="1:25" x14ac:dyDescent="0.4">
      <c r="A224" s="24" t="s">
        <v>2063</v>
      </c>
      <c r="B224" s="24" t="s">
        <v>2064</v>
      </c>
      <c r="C224" s="25">
        <v>43238</v>
      </c>
      <c r="D224" s="24" t="s">
        <v>2027</v>
      </c>
      <c r="E224" s="24" t="s">
        <v>2020</v>
      </c>
      <c r="F224" s="24" t="s">
        <v>2417</v>
      </c>
      <c r="G224" s="24">
        <v>30</v>
      </c>
      <c r="H224" s="24">
        <v>12960</v>
      </c>
      <c r="I224" s="24">
        <v>21</v>
      </c>
      <c r="J224" s="24">
        <v>11466</v>
      </c>
      <c r="K224" s="24">
        <v>4</v>
      </c>
      <c r="L224" s="24">
        <v>2048</v>
      </c>
      <c r="M224" s="24">
        <v>16</v>
      </c>
      <c r="N224" s="24">
        <v>7312</v>
      </c>
      <c r="O224" s="24">
        <v>11</v>
      </c>
      <c r="P224" s="24">
        <v>4840</v>
      </c>
      <c r="Q224" s="24">
        <v>70</v>
      </c>
      <c r="R224" s="24">
        <v>37940</v>
      </c>
      <c r="S224" s="24">
        <v>49</v>
      </c>
      <c r="T224" s="24">
        <v>23471</v>
      </c>
      <c r="U224" s="24">
        <v>24</v>
      </c>
      <c r="V224" s="24">
        <v>11352</v>
      </c>
      <c r="W224" s="24">
        <v>29</v>
      </c>
      <c r="X224" s="24">
        <v>12557</v>
      </c>
      <c r="Y224">
        <f t="shared" si="3"/>
        <v>254</v>
      </c>
    </row>
    <row r="225" spans="1:25" x14ac:dyDescent="0.4">
      <c r="A225" s="24" t="s">
        <v>2065</v>
      </c>
      <c r="B225" s="24" t="s">
        <v>2066</v>
      </c>
      <c r="C225" s="25">
        <v>42218</v>
      </c>
      <c r="D225" s="24" t="s">
        <v>2015</v>
      </c>
      <c r="E225" s="24" t="s">
        <v>2020</v>
      </c>
      <c r="F225" s="24" t="s">
        <v>2417</v>
      </c>
      <c r="G225" s="24">
        <v>33</v>
      </c>
      <c r="H225" s="24">
        <v>18150</v>
      </c>
      <c r="I225" s="24">
        <v>36</v>
      </c>
      <c r="J225" s="24">
        <v>19512</v>
      </c>
      <c r="K225" s="24">
        <v>17</v>
      </c>
      <c r="L225" s="24">
        <v>8041</v>
      </c>
      <c r="M225" s="24">
        <v>24</v>
      </c>
      <c r="N225" s="24">
        <v>11304</v>
      </c>
      <c r="O225" s="24">
        <v>52</v>
      </c>
      <c r="P225" s="24">
        <v>22672</v>
      </c>
      <c r="Q225" s="24">
        <v>31</v>
      </c>
      <c r="R225" s="24">
        <v>16895</v>
      </c>
      <c r="S225" s="24">
        <v>51</v>
      </c>
      <c r="T225" s="24">
        <v>21828</v>
      </c>
      <c r="U225" s="24">
        <v>62</v>
      </c>
      <c r="V225" s="24">
        <v>29078</v>
      </c>
      <c r="W225" s="24">
        <v>34</v>
      </c>
      <c r="X225" s="24">
        <v>18054</v>
      </c>
      <c r="Y225">
        <f t="shared" si="3"/>
        <v>340</v>
      </c>
    </row>
    <row r="226" spans="1:25" x14ac:dyDescent="0.4">
      <c r="A226" s="24" t="s">
        <v>2067</v>
      </c>
      <c r="B226" s="24" t="s">
        <v>2068</v>
      </c>
      <c r="C226" s="25">
        <v>43565</v>
      </c>
      <c r="D226" s="24" t="s">
        <v>2015</v>
      </c>
      <c r="E226" s="24" t="s">
        <v>2020</v>
      </c>
      <c r="F226" s="24" t="s">
        <v>2417</v>
      </c>
      <c r="G226" s="24">
        <v>1</v>
      </c>
      <c r="H226" s="24">
        <v>412</v>
      </c>
      <c r="I226" s="24">
        <v>23</v>
      </c>
      <c r="J226" s="24">
        <v>12558</v>
      </c>
      <c r="K226" s="24">
        <v>56</v>
      </c>
      <c r="L226" s="24">
        <v>24808</v>
      </c>
      <c r="M226" s="24">
        <v>48</v>
      </c>
      <c r="N226" s="24">
        <v>19440</v>
      </c>
      <c r="O226" s="24">
        <v>42</v>
      </c>
      <c r="P226" s="24">
        <v>18564</v>
      </c>
      <c r="Q226" s="24">
        <v>35</v>
      </c>
      <c r="R226" s="24">
        <v>14910</v>
      </c>
      <c r="S226" s="24">
        <v>35</v>
      </c>
      <c r="T226" s="24">
        <v>18480</v>
      </c>
      <c r="U226" s="24">
        <v>9</v>
      </c>
      <c r="V226" s="24">
        <v>4680</v>
      </c>
      <c r="W226" s="24">
        <v>15</v>
      </c>
      <c r="X226" s="24">
        <v>6150</v>
      </c>
      <c r="Y226">
        <f t="shared" si="3"/>
        <v>264</v>
      </c>
    </row>
    <row r="227" spans="1:25" x14ac:dyDescent="0.4">
      <c r="A227" s="24" t="s">
        <v>2069</v>
      </c>
      <c r="B227" s="24" t="s">
        <v>2070</v>
      </c>
      <c r="C227" s="25">
        <v>42643</v>
      </c>
      <c r="D227" s="24" t="s">
        <v>2027</v>
      </c>
      <c r="E227" s="24" t="s">
        <v>2020</v>
      </c>
      <c r="F227" s="24" t="s">
        <v>2417</v>
      </c>
      <c r="G227" s="24">
        <v>16</v>
      </c>
      <c r="H227" s="24">
        <v>6672</v>
      </c>
      <c r="I227" s="24">
        <v>46</v>
      </c>
      <c r="J227" s="24">
        <v>19918</v>
      </c>
      <c r="K227" s="24">
        <v>54</v>
      </c>
      <c r="L227" s="24">
        <v>25218</v>
      </c>
      <c r="M227" s="24">
        <v>3</v>
      </c>
      <c r="N227" s="24">
        <v>1260</v>
      </c>
      <c r="O227" s="24">
        <v>74</v>
      </c>
      <c r="P227" s="24">
        <v>37888</v>
      </c>
      <c r="Q227" s="24">
        <v>61</v>
      </c>
      <c r="R227" s="24">
        <v>32330</v>
      </c>
      <c r="S227" s="24">
        <v>37</v>
      </c>
      <c r="T227" s="24">
        <v>16946</v>
      </c>
      <c r="U227" s="24">
        <v>33</v>
      </c>
      <c r="V227" s="24">
        <v>14487</v>
      </c>
      <c r="W227" s="24">
        <v>22</v>
      </c>
      <c r="X227" s="24">
        <v>11132</v>
      </c>
      <c r="Y227">
        <f t="shared" si="3"/>
        <v>346</v>
      </c>
    </row>
    <row r="228" spans="1:25" x14ac:dyDescent="0.4">
      <c r="A228" s="24" t="s">
        <v>2071</v>
      </c>
      <c r="B228" s="24" t="s">
        <v>2072</v>
      </c>
      <c r="C228" s="25">
        <v>43025</v>
      </c>
      <c r="D228" s="24" t="s">
        <v>2015</v>
      </c>
      <c r="E228" s="24" t="s">
        <v>2016</v>
      </c>
      <c r="F228" s="24" t="s">
        <v>2417</v>
      </c>
      <c r="G228" s="24">
        <v>62</v>
      </c>
      <c r="H228" s="24">
        <v>31620</v>
      </c>
      <c r="I228" s="24">
        <v>68</v>
      </c>
      <c r="J228" s="24">
        <v>34884</v>
      </c>
      <c r="K228" s="24">
        <v>13</v>
      </c>
      <c r="L228" s="24">
        <v>5863</v>
      </c>
      <c r="M228" s="24">
        <v>41</v>
      </c>
      <c r="N228" s="24">
        <v>20951</v>
      </c>
      <c r="O228" s="24">
        <v>40</v>
      </c>
      <c r="P228" s="24">
        <v>20840</v>
      </c>
      <c r="Q228" s="24">
        <v>20</v>
      </c>
      <c r="R228" s="24">
        <v>8640</v>
      </c>
      <c r="S228" s="24">
        <v>35</v>
      </c>
      <c r="T228" s="24">
        <v>19110</v>
      </c>
      <c r="U228" s="24">
        <v>42</v>
      </c>
      <c r="V228" s="24">
        <v>22008</v>
      </c>
      <c r="W228" s="24">
        <v>4</v>
      </c>
      <c r="X228" s="24">
        <v>1820</v>
      </c>
      <c r="Y228">
        <f t="shared" si="3"/>
        <v>325</v>
      </c>
    </row>
    <row r="229" spans="1:25" x14ac:dyDescent="0.4">
      <c r="A229" s="24" t="s">
        <v>2073</v>
      </c>
      <c r="B229" s="24" t="s">
        <v>2074</v>
      </c>
      <c r="C229" s="25">
        <v>42917</v>
      </c>
      <c r="D229" s="24" t="s">
        <v>2027</v>
      </c>
      <c r="E229" s="24" t="s">
        <v>2016</v>
      </c>
      <c r="F229" s="24" t="s">
        <v>2417</v>
      </c>
      <c r="G229" s="24">
        <v>37</v>
      </c>
      <c r="H229" s="24">
        <v>16872</v>
      </c>
      <c r="I229" s="24">
        <v>64</v>
      </c>
      <c r="J229" s="24">
        <v>31168</v>
      </c>
      <c r="K229" s="24">
        <v>37</v>
      </c>
      <c r="L229" s="24">
        <v>16169</v>
      </c>
      <c r="M229" s="24">
        <v>73</v>
      </c>
      <c r="N229" s="24">
        <v>38763</v>
      </c>
      <c r="O229" s="24">
        <v>71</v>
      </c>
      <c r="P229" s="24">
        <v>35642</v>
      </c>
      <c r="Q229" s="24">
        <v>26</v>
      </c>
      <c r="R229" s="24">
        <v>10920</v>
      </c>
      <c r="S229" s="24">
        <v>42</v>
      </c>
      <c r="T229" s="24">
        <v>18900</v>
      </c>
      <c r="U229" s="24">
        <v>65</v>
      </c>
      <c r="V229" s="24">
        <v>30875</v>
      </c>
      <c r="W229" s="24">
        <v>58</v>
      </c>
      <c r="X229" s="24">
        <v>29696</v>
      </c>
      <c r="Y229">
        <f t="shared" si="3"/>
        <v>473</v>
      </c>
    </row>
    <row r="230" spans="1:25" x14ac:dyDescent="0.4">
      <c r="A230" s="24" t="s">
        <v>2075</v>
      </c>
      <c r="B230" s="24" t="s">
        <v>2076</v>
      </c>
      <c r="C230" s="25">
        <v>42638</v>
      </c>
      <c r="D230" s="24" t="s">
        <v>2015</v>
      </c>
      <c r="E230" s="24" t="s">
        <v>2016</v>
      </c>
      <c r="F230" s="24" t="s">
        <v>2417</v>
      </c>
      <c r="G230" s="24">
        <v>20</v>
      </c>
      <c r="H230" s="24">
        <v>10800</v>
      </c>
      <c r="I230" s="24">
        <v>1</v>
      </c>
      <c r="J230" s="24">
        <v>482</v>
      </c>
      <c r="K230" s="24">
        <v>5</v>
      </c>
      <c r="L230" s="24">
        <v>2175</v>
      </c>
      <c r="M230" s="24">
        <v>35</v>
      </c>
      <c r="N230" s="24">
        <v>16170</v>
      </c>
      <c r="O230" s="24">
        <v>30</v>
      </c>
      <c r="P230" s="24">
        <v>12330</v>
      </c>
      <c r="Q230" s="24">
        <v>32</v>
      </c>
      <c r="R230" s="24">
        <v>13152</v>
      </c>
      <c r="S230" s="24">
        <v>38</v>
      </c>
      <c r="T230" s="24">
        <v>17176</v>
      </c>
      <c r="U230" s="24">
        <v>72</v>
      </c>
      <c r="V230" s="24">
        <v>29520</v>
      </c>
      <c r="W230" s="24">
        <v>45</v>
      </c>
      <c r="X230" s="24">
        <v>23220</v>
      </c>
      <c r="Y230">
        <f t="shared" si="3"/>
        <v>278</v>
      </c>
    </row>
    <row r="231" spans="1:25" x14ac:dyDescent="0.4">
      <c r="A231" s="24" t="s">
        <v>2077</v>
      </c>
      <c r="B231" s="24" t="s">
        <v>2078</v>
      </c>
      <c r="C231" s="25">
        <v>42306</v>
      </c>
      <c r="D231" s="24" t="s">
        <v>2015</v>
      </c>
      <c r="E231" s="24" t="s">
        <v>2020</v>
      </c>
      <c r="F231" s="24" t="s">
        <v>2417</v>
      </c>
      <c r="G231" s="24">
        <v>39</v>
      </c>
      <c r="H231" s="24">
        <v>17550</v>
      </c>
      <c r="I231" s="24">
        <v>31</v>
      </c>
      <c r="J231" s="24">
        <v>16554</v>
      </c>
      <c r="K231" s="24">
        <v>13</v>
      </c>
      <c r="L231" s="24">
        <v>6500</v>
      </c>
      <c r="M231" s="24">
        <v>53</v>
      </c>
      <c r="N231" s="24">
        <v>28037</v>
      </c>
      <c r="O231" s="24">
        <v>22</v>
      </c>
      <c r="P231" s="24">
        <v>8800</v>
      </c>
      <c r="Q231" s="24">
        <v>21</v>
      </c>
      <c r="R231" s="24">
        <v>9534</v>
      </c>
      <c r="S231" s="24">
        <v>58</v>
      </c>
      <c r="T231" s="24">
        <v>25114</v>
      </c>
      <c r="U231" s="24">
        <v>46</v>
      </c>
      <c r="V231" s="24">
        <v>20470</v>
      </c>
      <c r="W231" s="24">
        <v>8</v>
      </c>
      <c r="X231" s="24">
        <v>4168</v>
      </c>
      <c r="Y231">
        <f t="shared" si="3"/>
        <v>291</v>
      </c>
    </row>
    <row r="232" spans="1:25" x14ac:dyDescent="0.4">
      <c r="A232" s="24" t="s">
        <v>2079</v>
      </c>
      <c r="B232" s="24" t="s">
        <v>2080</v>
      </c>
      <c r="C232" s="25">
        <v>43821</v>
      </c>
      <c r="D232" s="24" t="s">
        <v>2015</v>
      </c>
      <c r="E232" s="24" t="s">
        <v>2016</v>
      </c>
      <c r="F232" s="24" t="s">
        <v>2417</v>
      </c>
      <c r="G232" s="24">
        <v>53</v>
      </c>
      <c r="H232" s="24">
        <v>24804</v>
      </c>
      <c r="I232" s="24">
        <v>22</v>
      </c>
      <c r="J232" s="24">
        <v>9460</v>
      </c>
      <c r="K232" s="24">
        <v>58</v>
      </c>
      <c r="L232" s="24">
        <v>29000</v>
      </c>
      <c r="M232" s="24">
        <v>18</v>
      </c>
      <c r="N232" s="24">
        <v>7956</v>
      </c>
      <c r="O232" s="24">
        <v>64</v>
      </c>
      <c r="P232" s="24">
        <v>32320</v>
      </c>
      <c r="Q232" s="24">
        <v>6</v>
      </c>
      <c r="R232" s="24">
        <v>2718</v>
      </c>
      <c r="S232" s="24">
        <v>63</v>
      </c>
      <c r="T232" s="24">
        <v>34524</v>
      </c>
      <c r="U232" s="24">
        <v>60</v>
      </c>
      <c r="V232" s="24">
        <v>24600</v>
      </c>
      <c r="W232" s="24">
        <v>34</v>
      </c>
      <c r="X232" s="24">
        <v>17034</v>
      </c>
      <c r="Y232">
        <f t="shared" si="3"/>
        <v>378</v>
      </c>
    </row>
    <row r="233" spans="1:25" x14ac:dyDescent="0.4">
      <c r="A233" s="24" t="s">
        <v>2081</v>
      </c>
      <c r="B233" s="24" t="s">
        <v>2082</v>
      </c>
      <c r="C233" s="25">
        <v>42767</v>
      </c>
      <c r="D233" s="24" t="s">
        <v>2027</v>
      </c>
      <c r="E233" s="24" t="s">
        <v>2020</v>
      </c>
      <c r="F233" s="24" t="s">
        <v>2417</v>
      </c>
      <c r="G233" s="24">
        <v>24</v>
      </c>
      <c r="H233" s="24">
        <v>10584</v>
      </c>
      <c r="I233" s="24">
        <v>21</v>
      </c>
      <c r="J233" s="24">
        <v>8484</v>
      </c>
      <c r="K233" s="24">
        <v>60</v>
      </c>
      <c r="L233" s="24">
        <v>27960</v>
      </c>
      <c r="M233" s="24">
        <v>64</v>
      </c>
      <c r="N233" s="24">
        <v>26432</v>
      </c>
      <c r="O233" s="24">
        <v>38</v>
      </c>
      <c r="P233" s="24">
        <v>18734</v>
      </c>
      <c r="Q233" s="24">
        <v>61</v>
      </c>
      <c r="R233" s="24">
        <v>27023</v>
      </c>
      <c r="S233" s="24">
        <v>64</v>
      </c>
      <c r="T233" s="24">
        <v>33792</v>
      </c>
      <c r="U233" s="24">
        <v>7</v>
      </c>
      <c r="V233" s="24">
        <v>3682</v>
      </c>
      <c r="W233" s="24">
        <v>66</v>
      </c>
      <c r="X233" s="24">
        <v>29634</v>
      </c>
      <c r="Y233">
        <f t="shared" si="3"/>
        <v>405</v>
      </c>
    </row>
    <row r="234" spans="1:25" x14ac:dyDescent="0.4">
      <c r="A234" s="24" t="s">
        <v>2083</v>
      </c>
      <c r="B234" s="24" t="s">
        <v>2084</v>
      </c>
      <c r="C234" s="25">
        <v>43203</v>
      </c>
      <c r="D234" s="24" t="s">
        <v>2015</v>
      </c>
      <c r="E234" s="24" t="s">
        <v>2028</v>
      </c>
      <c r="F234" s="24" t="s">
        <v>2417</v>
      </c>
      <c r="G234" s="24">
        <v>55</v>
      </c>
      <c r="H234" s="24">
        <v>23045</v>
      </c>
      <c r="I234" s="24">
        <v>0</v>
      </c>
      <c r="J234" s="24">
        <v>0</v>
      </c>
      <c r="K234" s="24">
        <v>22</v>
      </c>
      <c r="L234" s="24">
        <v>9460</v>
      </c>
      <c r="M234" s="24">
        <v>60</v>
      </c>
      <c r="N234" s="24">
        <v>25200</v>
      </c>
      <c r="O234" s="24">
        <v>34</v>
      </c>
      <c r="P234" s="24">
        <v>15368</v>
      </c>
      <c r="Q234" s="24">
        <v>14</v>
      </c>
      <c r="R234" s="24">
        <v>6888</v>
      </c>
      <c r="S234" s="24">
        <v>67</v>
      </c>
      <c r="T234" s="24">
        <v>31758</v>
      </c>
      <c r="U234" s="24">
        <v>56</v>
      </c>
      <c r="V234" s="24">
        <v>30800</v>
      </c>
      <c r="W234" s="24">
        <v>52</v>
      </c>
      <c r="X234" s="24">
        <v>25272</v>
      </c>
      <c r="Y234">
        <f t="shared" si="3"/>
        <v>360</v>
      </c>
    </row>
    <row r="235" spans="1:25" x14ac:dyDescent="0.4">
      <c r="A235" s="24" t="s">
        <v>2085</v>
      </c>
      <c r="B235" s="24" t="s">
        <v>2086</v>
      </c>
      <c r="C235" s="25">
        <v>43598</v>
      </c>
      <c r="D235" s="24" t="s">
        <v>2015</v>
      </c>
      <c r="E235" s="24" t="s">
        <v>2028</v>
      </c>
      <c r="F235" s="24" t="s">
        <v>2417</v>
      </c>
      <c r="G235" s="24">
        <v>13</v>
      </c>
      <c r="H235" s="24">
        <v>6682</v>
      </c>
      <c r="I235" s="24">
        <v>54</v>
      </c>
      <c r="J235" s="24">
        <v>27594</v>
      </c>
      <c r="K235" s="24">
        <v>61</v>
      </c>
      <c r="L235" s="24">
        <v>26474</v>
      </c>
      <c r="M235" s="24">
        <v>36</v>
      </c>
      <c r="N235" s="24">
        <v>18540</v>
      </c>
      <c r="O235" s="24">
        <v>12</v>
      </c>
      <c r="P235" s="24">
        <v>5412</v>
      </c>
      <c r="Q235" s="24">
        <v>47</v>
      </c>
      <c r="R235" s="24">
        <v>20821</v>
      </c>
      <c r="S235" s="24">
        <v>15</v>
      </c>
      <c r="T235" s="24">
        <v>6690</v>
      </c>
      <c r="U235" s="24">
        <v>26</v>
      </c>
      <c r="V235" s="24">
        <v>13208</v>
      </c>
      <c r="W235" s="24">
        <v>76</v>
      </c>
      <c r="X235" s="24">
        <v>33972</v>
      </c>
      <c r="Y235">
        <f t="shared" si="3"/>
        <v>340</v>
      </c>
    </row>
    <row r="236" spans="1:25" x14ac:dyDescent="0.4">
      <c r="A236" s="24" t="s">
        <v>2087</v>
      </c>
      <c r="B236" s="24" t="s">
        <v>2088</v>
      </c>
      <c r="C236" s="25">
        <v>43374</v>
      </c>
      <c r="D236" s="24" t="s">
        <v>2015</v>
      </c>
      <c r="E236" s="24" t="s">
        <v>2028</v>
      </c>
      <c r="F236" s="24" t="s">
        <v>2417</v>
      </c>
      <c r="G236" s="24">
        <v>8</v>
      </c>
      <c r="H236" s="24">
        <v>3336</v>
      </c>
      <c r="I236" s="24">
        <v>71</v>
      </c>
      <c r="J236" s="24">
        <v>29181</v>
      </c>
      <c r="K236" s="24">
        <v>75</v>
      </c>
      <c r="L236" s="24">
        <v>31200</v>
      </c>
      <c r="M236" s="24">
        <v>54</v>
      </c>
      <c r="N236" s="24">
        <v>29700</v>
      </c>
      <c r="O236" s="24">
        <v>51</v>
      </c>
      <c r="P236" s="24">
        <v>27387</v>
      </c>
      <c r="Q236" s="24">
        <v>57</v>
      </c>
      <c r="R236" s="24">
        <v>27987</v>
      </c>
      <c r="S236" s="24">
        <v>3</v>
      </c>
      <c r="T236" s="24">
        <v>1623</v>
      </c>
      <c r="U236" s="24">
        <v>6</v>
      </c>
      <c r="V236" s="24">
        <v>2610</v>
      </c>
      <c r="W236" s="24">
        <v>27</v>
      </c>
      <c r="X236" s="24">
        <v>12825</v>
      </c>
      <c r="Y236">
        <f t="shared" si="3"/>
        <v>352</v>
      </c>
    </row>
    <row r="237" spans="1:25" x14ac:dyDescent="0.4">
      <c r="A237" s="24" t="s">
        <v>2089</v>
      </c>
      <c r="B237" s="24" t="s">
        <v>2090</v>
      </c>
      <c r="C237" s="25">
        <v>42503</v>
      </c>
      <c r="D237" s="24" t="s">
        <v>2027</v>
      </c>
      <c r="E237" s="24" t="s">
        <v>2020</v>
      </c>
      <c r="F237" s="24" t="s">
        <v>2417</v>
      </c>
      <c r="G237" s="24">
        <v>19</v>
      </c>
      <c r="H237" s="24">
        <v>8645</v>
      </c>
      <c r="I237" s="24">
        <v>39</v>
      </c>
      <c r="J237" s="24">
        <v>19890</v>
      </c>
      <c r="K237" s="24">
        <v>43</v>
      </c>
      <c r="L237" s="24">
        <v>17372</v>
      </c>
      <c r="M237" s="24">
        <v>66</v>
      </c>
      <c r="N237" s="24">
        <v>34848</v>
      </c>
      <c r="O237" s="24">
        <v>26</v>
      </c>
      <c r="P237" s="24">
        <v>13234</v>
      </c>
      <c r="Q237" s="24">
        <v>65</v>
      </c>
      <c r="R237" s="24">
        <v>31980</v>
      </c>
      <c r="S237" s="24">
        <v>66</v>
      </c>
      <c r="T237" s="24">
        <v>36234</v>
      </c>
      <c r="U237" s="24">
        <v>58</v>
      </c>
      <c r="V237" s="24">
        <v>30276</v>
      </c>
      <c r="W237" s="24">
        <v>36</v>
      </c>
      <c r="X237" s="24">
        <v>18180</v>
      </c>
      <c r="Y237">
        <f t="shared" si="3"/>
        <v>418</v>
      </c>
    </row>
    <row r="238" spans="1:25" x14ac:dyDescent="0.4">
      <c r="A238" s="24" t="s">
        <v>2091</v>
      </c>
      <c r="B238" s="24" t="s">
        <v>2092</v>
      </c>
      <c r="C238" s="25">
        <v>44147</v>
      </c>
      <c r="D238" s="24" t="s">
        <v>2015</v>
      </c>
      <c r="E238" s="24" t="s">
        <v>2016</v>
      </c>
      <c r="F238" s="24" t="s">
        <v>2417</v>
      </c>
      <c r="G238" s="24">
        <v>11</v>
      </c>
      <c r="H238" s="24">
        <v>5291</v>
      </c>
      <c r="I238" s="24">
        <v>0</v>
      </c>
      <c r="J238" s="24">
        <v>0</v>
      </c>
      <c r="K238" s="24">
        <v>69</v>
      </c>
      <c r="L238" s="24">
        <v>32016</v>
      </c>
      <c r="M238" s="24">
        <v>37</v>
      </c>
      <c r="N238" s="24">
        <v>19092</v>
      </c>
      <c r="O238" s="24">
        <v>23</v>
      </c>
      <c r="P238" s="24">
        <v>11707</v>
      </c>
      <c r="Q238" s="24">
        <v>19</v>
      </c>
      <c r="R238" s="24">
        <v>7771</v>
      </c>
      <c r="S238" s="24">
        <v>15</v>
      </c>
      <c r="T238" s="24">
        <v>6975</v>
      </c>
      <c r="U238" s="24">
        <v>18</v>
      </c>
      <c r="V238" s="24">
        <v>9684</v>
      </c>
      <c r="W238" s="24">
        <v>72</v>
      </c>
      <c r="X238" s="24">
        <v>30816</v>
      </c>
      <c r="Y238">
        <f t="shared" si="3"/>
        <v>264</v>
      </c>
    </row>
    <row r="239" spans="1:25" x14ac:dyDescent="0.4">
      <c r="A239" s="24" t="s">
        <v>2093</v>
      </c>
      <c r="B239" s="24" t="s">
        <v>2094</v>
      </c>
      <c r="C239" s="25">
        <v>42510</v>
      </c>
      <c r="D239" s="24" t="s">
        <v>2027</v>
      </c>
      <c r="E239" s="24" t="s">
        <v>2028</v>
      </c>
      <c r="F239" s="24" t="s">
        <v>2417</v>
      </c>
      <c r="G239" s="24">
        <v>63</v>
      </c>
      <c r="H239" s="24">
        <v>26586</v>
      </c>
      <c r="I239" s="24">
        <v>29</v>
      </c>
      <c r="J239" s="24">
        <v>15573</v>
      </c>
      <c r="K239" s="24">
        <v>19</v>
      </c>
      <c r="L239" s="24">
        <v>7619</v>
      </c>
      <c r="M239" s="24">
        <v>12</v>
      </c>
      <c r="N239" s="24">
        <v>5724</v>
      </c>
      <c r="O239" s="24">
        <v>15</v>
      </c>
      <c r="P239" s="24">
        <v>7275</v>
      </c>
      <c r="Q239" s="24">
        <v>32</v>
      </c>
      <c r="R239" s="24">
        <v>16256</v>
      </c>
      <c r="S239" s="24">
        <v>53</v>
      </c>
      <c r="T239" s="24">
        <v>25069</v>
      </c>
      <c r="U239" s="24">
        <v>31</v>
      </c>
      <c r="V239" s="24">
        <v>15097</v>
      </c>
      <c r="W239" s="24">
        <v>39</v>
      </c>
      <c r="X239" s="24">
        <v>19929</v>
      </c>
      <c r="Y239">
        <f t="shared" si="3"/>
        <v>293</v>
      </c>
    </row>
    <row r="240" spans="1:25" x14ac:dyDescent="0.4">
      <c r="A240" s="24" t="s">
        <v>2095</v>
      </c>
      <c r="B240" s="24" t="s">
        <v>2096</v>
      </c>
      <c r="C240" s="25">
        <v>42211</v>
      </c>
      <c r="D240" s="24" t="s">
        <v>2027</v>
      </c>
      <c r="E240" s="24" t="s">
        <v>2020</v>
      </c>
      <c r="F240" s="24" t="s">
        <v>2417</v>
      </c>
      <c r="G240" s="24">
        <v>0</v>
      </c>
      <c r="H240" s="24">
        <v>0</v>
      </c>
      <c r="I240" s="24">
        <v>63</v>
      </c>
      <c r="J240" s="24">
        <v>31185</v>
      </c>
      <c r="K240" s="24">
        <v>8</v>
      </c>
      <c r="L240" s="24">
        <v>3352</v>
      </c>
      <c r="M240" s="24">
        <v>51</v>
      </c>
      <c r="N240" s="24">
        <v>23511</v>
      </c>
      <c r="O240" s="24">
        <v>63</v>
      </c>
      <c r="P240" s="24">
        <v>33075</v>
      </c>
      <c r="Q240" s="24">
        <v>8</v>
      </c>
      <c r="R240" s="24">
        <v>3216</v>
      </c>
      <c r="S240" s="24">
        <v>5</v>
      </c>
      <c r="T240" s="24">
        <v>2665</v>
      </c>
      <c r="U240" s="24">
        <v>9</v>
      </c>
      <c r="V240" s="24">
        <v>4275</v>
      </c>
      <c r="W240" s="24">
        <v>74</v>
      </c>
      <c r="X240" s="24">
        <v>29600</v>
      </c>
      <c r="Y240">
        <f t="shared" si="3"/>
        <v>281</v>
      </c>
    </row>
    <row r="241" spans="1:25" x14ac:dyDescent="0.4">
      <c r="A241" s="24" t="s">
        <v>2097</v>
      </c>
      <c r="B241" s="24" t="s">
        <v>2098</v>
      </c>
      <c r="C241" s="25">
        <v>44048</v>
      </c>
      <c r="D241" s="24" t="s">
        <v>2015</v>
      </c>
      <c r="E241" s="24" t="s">
        <v>2020</v>
      </c>
      <c r="F241" s="24" t="s">
        <v>2417</v>
      </c>
      <c r="G241" s="24">
        <v>13</v>
      </c>
      <c r="H241" s="24">
        <v>6253</v>
      </c>
      <c r="I241" s="24">
        <v>73</v>
      </c>
      <c r="J241" s="24">
        <v>34237</v>
      </c>
      <c r="K241" s="24">
        <v>73</v>
      </c>
      <c r="L241" s="24">
        <v>36427</v>
      </c>
      <c r="M241" s="24">
        <v>1</v>
      </c>
      <c r="N241" s="24">
        <v>425</v>
      </c>
      <c r="O241" s="24">
        <v>42</v>
      </c>
      <c r="P241" s="24">
        <v>18270</v>
      </c>
      <c r="Q241" s="24">
        <v>28</v>
      </c>
      <c r="R241" s="24">
        <v>15036</v>
      </c>
      <c r="S241" s="24">
        <v>40</v>
      </c>
      <c r="T241" s="24">
        <v>20240</v>
      </c>
      <c r="U241" s="24">
        <v>66</v>
      </c>
      <c r="V241" s="24">
        <v>27258</v>
      </c>
      <c r="W241" s="24">
        <v>12</v>
      </c>
      <c r="X241" s="24">
        <v>4968</v>
      </c>
      <c r="Y241">
        <f t="shared" si="3"/>
        <v>348</v>
      </c>
    </row>
    <row r="242" spans="1:25" x14ac:dyDescent="0.4">
      <c r="A242" s="24" t="s">
        <v>2099</v>
      </c>
      <c r="B242" s="24" t="s">
        <v>2100</v>
      </c>
      <c r="C242" s="25">
        <v>44039</v>
      </c>
      <c r="D242" s="24" t="s">
        <v>2027</v>
      </c>
      <c r="E242" s="24" t="s">
        <v>2020</v>
      </c>
      <c r="F242" s="24" t="s">
        <v>2417</v>
      </c>
      <c r="G242" s="24">
        <v>68</v>
      </c>
      <c r="H242" s="24">
        <v>35632</v>
      </c>
      <c r="I242" s="24">
        <v>32</v>
      </c>
      <c r="J242" s="24">
        <v>15488</v>
      </c>
      <c r="K242" s="24">
        <v>56</v>
      </c>
      <c r="L242" s="24">
        <v>29960</v>
      </c>
      <c r="M242" s="24">
        <v>21</v>
      </c>
      <c r="N242" s="24">
        <v>10542</v>
      </c>
      <c r="O242" s="24">
        <v>24</v>
      </c>
      <c r="P242" s="24">
        <v>12216</v>
      </c>
      <c r="Q242" s="24">
        <v>74</v>
      </c>
      <c r="R242" s="24">
        <v>39146</v>
      </c>
      <c r="S242" s="24">
        <v>50</v>
      </c>
      <c r="T242" s="24">
        <v>20450</v>
      </c>
      <c r="U242" s="24">
        <v>29</v>
      </c>
      <c r="V242" s="24">
        <v>13282</v>
      </c>
      <c r="W242" s="24">
        <v>9</v>
      </c>
      <c r="X242" s="24">
        <v>4023</v>
      </c>
      <c r="Y242">
        <f t="shared" si="3"/>
        <v>363</v>
      </c>
    </row>
    <row r="243" spans="1:25" x14ac:dyDescent="0.4">
      <c r="A243" s="24" t="s">
        <v>2101</v>
      </c>
      <c r="B243" s="24" t="s">
        <v>2102</v>
      </c>
      <c r="C243" s="25">
        <v>42360</v>
      </c>
      <c r="D243" s="24" t="s">
        <v>2027</v>
      </c>
      <c r="E243" s="24" t="s">
        <v>2016</v>
      </c>
      <c r="F243" s="24" t="s">
        <v>2417</v>
      </c>
      <c r="G243" s="24">
        <v>52</v>
      </c>
      <c r="H243" s="24">
        <v>26052</v>
      </c>
      <c r="I243" s="24">
        <v>71</v>
      </c>
      <c r="J243" s="24">
        <v>38766</v>
      </c>
      <c r="K243" s="24">
        <v>52</v>
      </c>
      <c r="L243" s="24">
        <v>22724</v>
      </c>
      <c r="M243" s="24">
        <v>11</v>
      </c>
      <c r="N243" s="24">
        <v>5544</v>
      </c>
      <c r="O243" s="24">
        <v>20</v>
      </c>
      <c r="P243" s="24">
        <v>10480</v>
      </c>
      <c r="Q243" s="24">
        <v>42</v>
      </c>
      <c r="R243" s="24">
        <v>16884</v>
      </c>
      <c r="S243" s="24">
        <v>43</v>
      </c>
      <c r="T243" s="24">
        <v>18877</v>
      </c>
      <c r="U243" s="24">
        <v>16</v>
      </c>
      <c r="V243" s="24">
        <v>8304</v>
      </c>
      <c r="W243" s="24">
        <v>13</v>
      </c>
      <c r="X243" s="24">
        <v>5941</v>
      </c>
      <c r="Y243">
        <f t="shared" si="3"/>
        <v>320</v>
      </c>
    </row>
    <row r="244" spans="1:25" x14ac:dyDescent="0.4">
      <c r="A244" s="24" t="s">
        <v>2103</v>
      </c>
      <c r="B244" s="24" t="s">
        <v>2104</v>
      </c>
      <c r="C244" s="25">
        <v>43940</v>
      </c>
      <c r="D244" s="24" t="s">
        <v>2015</v>
      </c>
      <c r="E244" s="24" t="s">
        <v>2020</v>
      </c>
      <c r="F244" s="24" t="s">
        <v>2417</v>
      </c>
      <c r="G244" s="24">
        <v>59</v>
      </c>
      <c r="H244" s="24">
        <v>26550</v>
      </c>
      <c r="I244" s="24">
        <v>72</v>
      </c>
      <c r="J244" s="24">
        <v>30816</v>
      </c>
      <c r="K244" s="24">
        <v>70</v>
      </c>
      <c r="L244" s="24">
        <v>30380</v>
      </c>
      <c r="M244" s="24">
        <v>12</v>
      </c>
      <c r="N244" s="24">
        <v>6372</v>
      </c>
      <c r="O244" s="24">
        <v>44</v>
      </c>
      <c r="P244" s="24">
        <v>23320</v>
      </c>
      <c r="Q244" s="24">
        <v>42</v>
      </c>
      <c r="R244" s="24">
        <v>19110</v>
      </c>
      <c r="S244" s="24">
        <v>38</v>
      </c>
      <c r="T244" s="24">
        <v>18088</v>
      </c>
      <c r="U244" s="24">
        <v>29</v>
      </c>
      <c r="V244" s="24">
        <v>14558</v>
      </c>
      <c r="W244" s="24">
        <v>76</v>
      </c>
      <c r="X244" s="24">
        <v>31312</v>
      </c>
      <c r="Y244">
        <f t="shared" si="3"/>
        <v>442</v>
      </c>
    </row>
    <row r="245" spans="1:25" x14ac:dyDescent="0.4">
      <c r="A245" s="24" t="s">
        <v>2105</v>
      </c>
      <c r="B245" s="24" t="s">
        <v>2106</v>
      </c>
      <c r="C245" s="25">
        <v>43521</v>
      </c>
      <c r="D245" s="24" t="s">
        <v>2015</v>
      </c>
      <c r="E245" s="24" t="s">
        <v>2028</v>
      </c>
      <c r="F245" s="24" t="s">
        <v>2417</v>
      </c>
      <c r="G245" s="24">
        <v>6</v>
      </c>
      <c r="H245" s="24">
        <v>3096</v>
      </c>
      <c r="I245" s="24">
        <v>62</v>
      </c>
      <c r="J245" s="24">
        <v>29760</v>
      </c>
      <c r="K245" s="24">
        <v>0</v>
      </c>
      <c r="L245" s="24">
        <v>0</v>
      </c>
      <c r="M245" s="24">
        <v>14</v>
      </c>
      <c r="N245" s="24">
        <v>6776</v>
      </c>
      <c r="O245" s="24">
        <v>74</v>
      </c>
      <c r="P245" s="24">
        <v>35224</v>
      </c>
      <c r="Q245" s="24">
        <v>18</v>
      </c>
      <c r="R245" s="24">
        <v>7740</v>
      </c>
      <c r="S245" s="24">
        <v>61</v>
      </c>
      <c r="T245" s="24">
        <v>32147</v>
      </c>
      <c r="U245" s="24">
        <v>42</v>
      </c>
      <c r="V245" s="24">
        <v>17682</v>
      </c>
      <c r="W245" s="24">
        <v>68</v>
      </c>
      <c r="X245" s="24">
        <v>28016</v>
      </c>
      <c r="Y245">
        <f t="shared" si="3"/>
        <v>345</v>
      </c>
    </row>
    <row r="246" spans="1:25" x14ac:dyDescent="0.4">
      <c r="A246" s="24" t="s">
        <v>2107</v>
      </c>
      <c r="B246" s="24" t="s">
        <v>2108</v>
      </c>
      <c r="C246" s="25">
        <v>43639</v>
      </c>
      <c r="D246" s="24" t="s">
        <v>2027</v>
      </c>
      <c r="E246" s="24" t="s">
        <v>2020</v>
      </c>
      <c r="F246" s="24" t="s">
        <v>2417</v>
      </c>
      <c r="G246" s="24">
        <v>15</v>
      </c>
      <c r="H246" s="24">
        <v>7110</v>
      </c>
      <c r="I246" s="24">
        <v>66</v>
      </c>
      <c r="J246" s="24">
        <v>33330</v>
      </c>
      <c r="K246" s="24">
        <v>8</v>
      </c>
      <c r="L246" s="24">
        <v>3856</v>
      </c>
      <c r="M246" s="24">
        <v>23</v>
      </c>
      <c r="N246" s="24">
        <v>11730</v>
      </c>
      <c r="O246" s="24">
        <v>15</v>
      </c>
      <c r="P246" s="24">
        <v>6135</v>
      </c>
      <c r="Q246" s="24">
        <v>9</v>
      </c>
      <c r="R246" s="24">
        <v>4158</v>
      </c>
      <c r="S246" s="24">
        <v>63</v>
      </c>
      <c r="T246" s="24">
        <v>34083</v>
      </c>
      <c r="U246" s="24">
        <v>60</v>
      </c>
      <c r="V246" s="24">
        <v>28860</v>
      </c>
      <c r="W246" s="24">
        <v>50</v>
      </c>
      <c r="X246" s="24">
        <v>27400</v>
      </c>
      <c r="Y246">
        <f t="shared" si="3"/>
        <v>309</v>
      </c>
    </row>
    <row r="247" spans="1:25" x14ac:dyDescent="0.4">
      <c r="A247" s="24" t="s">
        <v>2109</v>
      </c>
      <c r="B247" s="24" t="s">
        <v>2110</v>
      </c>
      <c r="C247" s="25">
        <v>43727</v>
      </c>
      <c r="D247" s="24" t="s">
        <v>2015</v>
      </c>
      <c r="E247" s="24" t="s">
        <v>2016</v>
      </c>
      <c r="F247" s="24" t="s">
        <v>2417</v>
      </c>
      <c r="G247" s="24">
        <v>23</v>
      </c>
      <c r="H247" s="24">
        <v>10189</v>
      </c>
      <c r="I247" s="24">
        <v>17</v>
      </c>
      <c r="J247" s="24">
        <v>7854</v>
      </c>
      <c r="K247" s="24">
        <v>67</v>
      </c>
      <c r="L247" s="24">
        <v>34237</v>
      </c>
      <c r="M247" s="24">
        <v>33</v>
      </c>
      <c r="N247" s="24">
        <v>15609</v>
      </c>
      <c r="O247" s="24">
        <v>0</v>
      </c>
      <c r="P247" s="24">
        <v>0</v>
      </c>
      <c r="Q247" s="24">
        <v>71</v>
      </c>
      <c r="R247" s="24">
        <v>29607</v>
      </c>
      <c r="S247" s="24">
        <v>72</v>
      </c>
      <c r="T247" s="24">
        <v>29376</v>
      </c>
      <c r="U247" s="24">
        <v>43</v>
      </c>
      <c r="V247" s="24">
        <v>19737</v>
      </c>
      <c r="W247" s="24">
        <v>18</v>
      </c>
      <c r="X247" s="24">
        <v>7632</v>
      </c>
      <c r="Y247">
        <f t="shared" si="3"/>
        <v>344</v>
      </c>
    </row>
    <row r="248" spans="1:25" x14ac:dyDescent="0.4">
      <c r="A248" s="24" t="s">
        <v>2111</v>
      </c>
      <c r="B248" s="24" t="s">
        <v>2112</v>
      </c>
      <c r="C248" s="25">
        <v>43584</v>
      </c>
      <c r="D248" s="24" t="s">
        <v>2015</v>
      </c>
      <c r="E248" s="24" t="s">
        <v>2016</v>
      </c>
      <c r="F248" s="24" t="s">
        <v>2417</v>
      </c>
      <c r="G248" s="24">
        <v>27</v>
      </c>
      <c r="H248" s="24">
        <v>13311</v>
      </c>
      <c r="I248" s="24">
        <v>62</v>
      </c>
      <c r="J248" s="24">
        <v>26164</v>
      </c>
      <c r="K248" s="24">
        <v>34</v>
      </c>
      <c r="L248" s="24">
        <v>16728</v>
      </c>
      <c r="M248" s="24">
        <v>11</v>
      </c>
      <c r="N248" s="24">
        <v>4609</v>
      </c>
      <c r="O248" s="24">
        <v>39</v>
      </c>
      <c r="P248" s="24">
        <v>19227</v>
      </c>
      <c r="Q248" s="24">
        <v>74</v>
      </c>
      <c r="R248" s="24">
        <v>39960</v>
      </c>
      <c r="S248" s="24">
        <v>33</v>
      </c>
      <c r="T248" s="24">
        <v>16269</v>
      </c>
      <c r="U248" s="24">
        <v>36</v>
      </c>
      <c r="V248" s="24">
        <v>18792</v>
      </c>
      <c r="W248" s="24">
        <v>11</v>
      </c>
      <c r="X248" s="24">
        <v>5533</v>
      </c>
      <c r="Y248">
        <f t="shared" si="3"/>
        <v>327</v>
      </c>
    </row>
    <row r="249" spans="1:25" x14ac:dyDescent="0.4">
      <c r="A249" s="24" t="s">
        <v>2113</v>
      </c>
      <c r="B249" s="24" t="s">
        <v>2114</v>
      </c>
      <c r="C249" s="25">
        <v>43217</v>
      </c>
      <c r="D249" s="24" t="s">
        <v>2015</v>
      </c>
      <c r="E249" s="24" t="s">
        <v>2028</v>
      </c>
      <c r="F249" s="24" t="s">
        <v>2417</v>
      </c>
      <c r="G249" s="24">
        <v>62</v>
      </c>
      <c r="H249" s="24">
        <v>33108</v>
      </c>
      <c r="I249" s="24">
        <v>72</v>
      </c>
      <c r="J249" s="24">
        <v>37368</v>
      </c>
      <c r="K249" s="24">
        <v>44</v>
      </c>
      <c r="L249" s="24">
        <v>21120</v>
      </c>
      <c r="M249" s="24">
        <v>56</v>
      </c>
      <c r="N249" s="24">
        <v>29344</v>
      </c>
      <c r="O249" s="24">
        <v>24</v>
      </c>
      <c r="P249" s="24">
        <v>12504</v>
      </c>
      <c r="Q249" s="24">
        <v>11</v>
      </c>
      <c r="R249" s="24">
        <v>5951</v>
      </c>
      <c r="S249" s="24">
        <v>58</v>
      </c>
      <c r="T249" s="24">
        <v>25868</v>
      </c>
      <c r="U249" s="24">
        <v>12</v>
      </c>
      <c r="V249" s="24">
        <v>6012</v>
      </c>
      <c r="W249" s="24">
        <v>41</v>
      </c>
      <c r="X249" s="24">
        <v>19270</v>
      </c>
      <c r="Y249">
        <f t="shared" si="3"/>
        <v>380</v>
      </c>
    </row>
    <row r="250" spans="1:25" x14ac:dyDescent="0.4">
      <c r="A250" s="24" t="s">
        <v>2115</v>
      </c>
      <c r="B250" s="24" t="s">
        <v>2116</v>
      </c>
      <c r="C250" s="25">
        <v>43245</v>
      </c>
      <c r="D250" s="24" t="s">
        <v>2015</v>
      </c>
      <c r="E250" s="24" t="s">
        <v>2028</v>
      </c>
      <c r="F250" s="24" t="s">
        <v>2417</v>
      </c>
      <c r="G250" s="24">
        <v>34</v>
      </c>
      <c r="H250" s="24">
        <v>15572</v>
      </c>
      <c r="I250" s="24">
        <v>51</v>
      </c>
      <c r="J250" s="24">
        <v>25653</v>
      </c>
      <c r="K250" s="24">
        <v>20</v>
      </c>
      <c r="L250" s="24">
        <v>10100</v>
      </c>
      <c r="M250" s="24">
        <v>32</v>
      </c>
      <c r="N250" s="24">
        <v>15808</v>
      </c>
      <c r="O250" s="24">
        <v>67</v>
      </c>
      <c r="P250" s="24">
        <v>27135</v>
      </c>
      <c r="Q250" s="24">
        <v>45</v>
      </c>
      <c r="R250" s="24">
        <v>24615</v>
      </c>
      <c r="S250" s="24">
        <v>2</v>
      </c>
      <c r="T250" s="24">
        <v>1060</v>
      </c>
      <c r="U250" s="24">
        <v>55</v>
      </c>
      <c r="V250" s="24">
        <v>27720</v>
      </c>
      <c r="W250" s="24">
        <v>69</v>
      </c>
      <c r="X250" s="24">
        <v>29877</v>
      </c>
      <c r="Y250">
        <f t="shared" si="3"/>
        <v>375</v>
      </c>
    </row>
    <row r="251" spans="1:25" x14ac:dyDescent="0.4">
      <c r="A251" s="24" t="s">
        <v>2117</v>
      </c>
      <c r="B251" s="24" t="s">
        <v>2118</v>
      </c>
      <c r="C251" s="25">
        <v>42464</v>
      </c>
      <c r="D251" s="24" t="s">
        <v>2027</v>
      </c>
      <c r="E251" s="24" t="s">
        <v>2020</v>
      </c>
      <c r="F251" s="24" t="s">
        <v>2417</v>
      </c>
      <c r="G251" s="24">
        <v>45</v>
      </c>
      <c r="H251" s="24">
        <v>23445</v>
      </c>
      <c r="I251" s="24">
        <v>54</v>
      </c>
      <c r="J251" s="24">
        <v>25110</v>
      </c>
      <c r="K251" s="24">
        <v>52</v>
      </c>
      <c r="L251" s="24">
        <v>23348</v>
      </c>
      <c r="M251" s="24">
        <v>44</v>
      </c>
      <c r="N251" s="24">
        <v>17952</v>
      </c>
      <c r="O251" s="24">
        <v>13</v>
      </c>
      <c r="P251" s="24">
        <v>5525</v>
      </c>
      <c r="Q251" s="24">
        <v>44</v>
      </c>
      <c r="R251" s="24">
        <v>19888</v>
      </c>
      <c r="S251" s="24">
        <v>71</v>
      </c>
      <c r="T251" s="24">
        <v>32589</v>
      </c>
      <c r="U251" s="24">
        <v>67</v>
      </c>
      <c r="V251" s="24">
        <v>35108</v>
      </c>
      <c r="W251" s="24">
        <v>39</v>
      </c>
      <c r="X251" s="24">
        <v>20748</v>
      </c>
      <c r="Y251">
        <f t="shared" si="3"/>
        <v>429</v>
      </c>
    </row>
    <row r="252" spans="1:25" x14ac:dyDescent="0.4">
      <c r="A252" s="24" t="s">
        <v>2119</v>
      </c>
      <c r="B252" s="24" t="s">
        <v>2120</v>
      </c>
      <c r="C252" s="25">
        <v>43940</v>
      </c>
      <c r="D252" s="24" t="s">
        <v>2027</v>
      </c>
      <c r="E252" s="24" t="s">
        <v>2028</v>
      </c>
      <c r="F252" s="24" t="s">
        <v>2417</v>
      </c>
      <c r="G252" s="24">
        <v>57</v>
      </c>
      <c r="H252" s="24">
        <v>30267</v>
      </c>
      <c r="I252" s="24">
        <v>29</v>
      </c>
      <c r="J252" s="24">
        <v>14587</v>
      </c>
      <c r="K252" s="24">
        <v>51</v>
      </c>
      <c r="L252" s="24">
        <v>25857</v>
      </c>
      <c r="M252" s="24">
        <v>0</v>
      </c>
      <c r="N252" s="24">
        <v>0</v>
      </c>
      <c r="O252" s="24">
        <v>48</v>
      </c>
      <c r="P252" s="24">
        <v>20544</v>
      </c>
      <c r="Q252" s="24">
        <v>18</v>
      </c>
      <c r="R252" s="24">
        <v>8280</v>
      </c>
      <c r="S252" s="24">
        <v>41</v>
      </c>
      <c r="T252" s="24">
        <v>19803</v>
      </c>
      <c r="U252" s="24">
        <v>35</v>
      </c>
      <c r="V252" s="24">
        <v>17570</v>
      </c>
      <c r="W252" s="24">
        <v>33</v>
      </c>
      <c r="X252" s="24">
        <v>13530</v>
      </c>
      <c r="Y252">
        <f t="shared" si="3"/>
        <v>312</v>
      </c>
    </row>
    <row r="253" spans="1:25" x14ac:dyDescent="0.4">
      <c r="A253" s="24" t="s">
        <v>2121</v>
      </c>
      <c r="B253" s="24" t="s">
        <v>2122</v>
      </c>
      <c r="C253" s="25">
        <v>42641</v>
      </c>
      <c r="D253" s="24" t="s">
        <v>2015</v>
      </c>
      <c r="E253" s="24" t="s">
        <v>2016</v>
      </c>
      <c r="F253" s="24" t="s">
        <v>2417</v>
      </c>
      <c r="G253" s="24">
        <v>5</v>
      </c>
      <c r="H253" s="24">
        <v>2285</v>
      </c>
      <c r="I253" s="24">
        <v>64</v>
      </c>
      <c r="J253" s="24">
        <v>34880</v>
      </c>
      <c r="K253" s="24">
        <v>54</v>
      </c>
      <c r="L253" s="24">
        <v>26082</v>
      </c>
      <c r="M253" s="24">
        <v>23</v>
      </c>
      <c r="N253" s="24">
        <v>10327</v>
      </c>
      <c r="O253" s="24">
        <v>60</v>
      </c>
      <c r="P253" s="24">
        <v>24060</v>
      </c>
      <c r="Q253" s="24">
        <v>4</v>
      </c>
      <c r="R253" s="24">
        <v>1872</v>
      </c>
      <c r="S253" s="24">
        <v>47</v>
      </c>
      <c r="T253" s="24">
        <v>22513</v>
      </c>
      <c r="U253" s="24">
        <v>0</v>
      </c>
      <c r="V253" s="24">
        <v>0</v>
      </c>
      <c r="W253" s="24">
        <v>47</v>
      </c>
      <c r="X253" s="24">
        <v>22701</v>
      </c>
      <c r="Y253">
        <f t="shared" si="3"/>
        <v>304</v>
      </c>
    </row>
    <row r="254" spans="1:25" x14ac:dyDescent="0.4">
      <c r="A254" s="24" t="s">
        <v>2123</v>
      </c>
      <c r="B254" s="24" t="s">
        <v>2124</v>
      </c>
      <c r="C254" s="25">
        <v>42083</v>
      </c>
      <c r="D254" s="24" t="s">
        <v>2015</v>
      </c>
      <c r="E254" s="24" t="s">
        <v>2020</v>
      </c>
      <c r="F254" s="24" t="s">
        <v>2417</v>
      </c>
      <c r="G254" s="24">
        <v>8</v>
      </c>
      <c r="H254" s="24">
        <v>4040</v>
      </c>
      <c r="I254" s="24">
        <v>20</v>
      </c>
      <c r="J254" s="24">
        <v>8560</v>
      </c>
      <c r="K254" s="24">
        <v>51</v>
      </c>
      <c r="L254" s="24">
        <v>20808</v>
      </c>
      <c r="M254" s="24">
        <v>57</v>
      </c>
      <c r="N254" s="24">
        <v>31008</v>
      </c>
      <c r="O254" s="24">
        <v>4</v>
      </c>
      <c r="P254" s="24">
        <v>1728</v>
      </c>
      <c r="Q254" s="24">
        <v>1</v>
      </c>
      <c r="R254" s="24">
        <v>505</v>
      </c>
      <c r="S254" s="24">
        <v>61</v>
      </c>
      <c r="T254" s="24">
        <v>30195</v>
      </c>
      <c r="U254" s="24">
        <v>74</v>
      </c>
      <c r="V254" s="24">
        <v>39664</v>
      </c>
      <c r="W254" s="24">
        <v>27</v>
      </c>
      <c r="X254" s="24">
        <v>14310</v>
      </c>
      <c r="Y254">
        <f t="shared" si="3"/>
        <v>303</v>
      </c>
    </row>
    <row r="255" spans="1:25" x14ac:dyDescent="0.4">
      <c r="A255" s="24" t="s">
        <v>2125</v>
      </c>
      <c r="B255" s="24" t="s">
        <v>2126</v>
      </c>
      <c r="C255" s="25">
        <v>43777</v>
      </c>
      <c r="D255" s="24" t="s">
        <v>2027</v>
      </c>
      <c r="E255" s="24" t="s">
        <v>2020</v>
      </c>
      <c r="F255" s="24" t="s">
        <v>2417</v>
      </c>
      <c r="G255" s="24">
        <v>64</v>
      </c>
      <c r="H255" s="24">
        <v>32576</v>
      </c>
      <c r="I255" s="24">
        <v>39</v>
      </c>
      <c r="J255" s="24">
        <v>21177</v>
      </c>
      <c r="K255" s="24">
        <v>0</v>
      </c>
      <c r="L255" s="24">
        <v>0</v>
      </c>
      <c r="M255" s="24">
        <v>7</v>
      </c>
      <c r="N255" s="24">
        <v>2912</v>
      </c>
      <c r="O255" s="24">
        <v>66</v>
      </c>
      <c r="P255" s="24">
        <v>30690</v>
      </c>
      <c r="Q255" s="24">
        <v>6</v>
      </c>
      <c r="R255" s="24">
        <v>2952</v>
      </c>
      <c r="S255" s="24">
        <v>59</v>
      </c>
      <c r="T255" s="24">
        <v>24603</v>
      </c>
      <c r="U255" s="24">
        <v>16</v>
      </c>
      <c r="V255" s="24">
        <v>6464</v>
      </c>
      <c r="W255" s="24">
        <v>36</v>
      </c>
      <c r="X255" s="24">
        <v>17028</v>
      </c>
      <c r="Y255">
        <f t="shared" si="3"/>
        <v>293</v>
      </c>
    </row>
    <row r="256" spans="1:25" x14ac:dyDescent="0.4">
      <c r="A256" s="24" t="s">
        <v>2127</v>
      </c>
      <c r="B256" s="24" t="s">
        <v>2128</v>
      </c>
      <c r="C256" s="25">
        <v>43919</v>
      </c>
      <c r="D256" s="24" t="s">
        <v>2015</v>
      </c>
      <c r="E256" s="24" t="s">
        <v>2028</v>
      </c>
      <c r="F256" s="24" t="s">
        <v>2417</v>
      </c>
      <c r="G256" s="24">
        <v>8</v>
      </c>
      <c r="H256" s="24">
        <v>3664</v>
      </c>
      <c r="I256" s="24">
        <v>55</v>
      </c>
      <c r="J256" s="24">
        <v>24915</v>
      </c>
      <c r="K256" s="24">
        <v>17</v>
      </c>
      <c r="L256" s="24">
        <v>8466</v>
      </c>
      <c r="M256" s="24">
        <v>45</v>
      </c>
      <c r="N256" s="24">
        <v>18675</v>
      </c>
      <c r="O256" s="24">
        <v>26</v>
      </c>
      <c r="P256" s="24">
        <v>11180</v>
      </c>
      <c r="Q256" s="24">
        <v>76</v>
      </c>
      <c r="R256" s="24">
        <v>31312</v>
      </c>
      <c r="S256" s="24">
        <v>69</v>
      </c>
      <c r="T256" s="24">
        <v>30774</v>
      </c>
      <c r="U256" s="24">
        <v>43</v>
      </c>
      <c r="V256" s="24">
        <v>22188</v>
      </c>
      <c r="W256" s="24">
        <v>37</v>
      </c>
      <c r="X256" s="24">
        <v>18611</v>
      </c>
      <c r="Y256">
        <f t="shared" si="3"/>
        <v>376</v>
      </c>
    </row>
    <row r="257" spans="1:25" x14ac:dyDescent="0.4">
      <c r="A257" s="24" t="s">
        <v>2129</v>
      </c>
      <c r="B257" s="24" t="s">
        <v>2130</v>
      </c>
      <c r="C257" s="25">
        <v>42879</v>
      </c>
      <c r="D257" s="24" t="s">
        <v>2027</v>
      </c>
      <c r="E257" s="24" t="s">
        <v>2016</v>
      </c>
      <c r="F257" s="24" t="s">
        <v>2417</v>
      </c>
      <c r="G257" s="24">
        <v>20</v>
      </c>
      <c r="H257" s="24">
        <v>8680</v>
      </c>
      <c r="I257" s="24">
        <v>34</v>
      </c>
      <c r="J257" s="24">
        <v>15368</v>
      </c>
      <c r="K257" s="24">
        <v>56</v>
      </c>
      <c r="L257" s="24">
        <v>30800</v>
      </c>
      <c r="M257" s="24">
        <v>18</v>
      </c>
      <c r="N257" s="24">
        <v>8424</v>
      </c>
      <c r="O257" s="24">
        <v>17</v>
      </c>
      <c r="P257" s="24">
        <v>7293</v>
      </c>
      <c r="Q257" s="24">
        <v>63</v>
      </c>
      <c r="R257" s="24">
        <v>29799</v>
      </c>
      <c r="S257" s="24">
        <v>70</v>
      </c>
      <c r="T257" s="24">
        <v>37030</v>
      </c>
      <c r="U257" s="24">
        <v>49</v>
      </c>
      <c r="V257" s="24">
        <v>26852</v>
      </c>
      <c r="W257" s="24">
        <v>45</v>
      </c>
      <c r="X257" s="24">
        <v>18945</v>
      </c>
      <c r="Y257">
        <f t="shared" si="3"/>
        <v>372</v>
      </c>
    </row>
    <row r="258" spans="1:25" x14ac:dyDescent="0.4">
      <c r="A258" s="24" t="s">
        <v>2131</v>
      </c>
      <c r="B258" s="24" t="s">
        <v>2132</v>
      </c>
      <c r="C258" s="25">
        <v>43746</v>
      </c>
      <c r="D258" s="24" t="s">
        <v>2015</v>
      </c>
      <c r="E258" s="24" t="s">
        <v>2020</v>
      </c>
      <c r="F258" s="24" t="s">
        <v>2417</v>
      </c>
      <c r="G258" s="24">
        <v>2</v>
      </c>
      <c r="H258" s="24">
        <v>1028</v>
      </c>
      <c r="I258" s="24">
        <v>54</v>
      </c>
      <c r="J258" s="24">
        <v>22626</v>
      </c>
      <c r="K258" s="24">
        <v>60</v>
      </c>
      <c r="L258" s="24">
        <v>27540</v>
      </c>
      <c r="M258" s="24">
        <v>21</v>
      </c>
      <c r="N258" s="24">
        <v>8547</v>
      </c>
      <c r="O258" s="24">
        <v>22</v>
      </c>
      <c r="P258" s="24">
        <v>10142</v>
      </c>
      <c r="Q258" s="24">
        <v>74</v>
      </c>
      <c r="R258" s="24">
        <v>39516</v>
      </c>
      <c r="S258" s="24">
        <v>64</v>
      </c>
      <c r="T258" s="24">
        <v>30976</v>
      </c>
      <c r="U258" s="24">
        <v>69</v>
      </c>
      <c r="V258" s="24">
        <v>31188</v>
      </c>
      <c r="W258" s="24">
        <v>34</v>
      </c>
      <c r="X258" s="24">
        <v>17170</v>
      </c>
      <c r="Y258">
        <f t="shared" si="3"/>
        <v>400</v>
      </c>
    </row>
    <row r="259" spans="1:25" x14ac:dyDescent="0.4">
      <c r="A259" s="24" t="s">
        <v>2133</v>
      </c>
      <c r="B259" s="24" t="s">
        <v>2134</v>
      </c>
      <c r="C259" s="25">
        <v>42571</v>
      </c>
      <c r="D259" s="24" t="s">
        <v>2015</v>
      </c>
      <c r="E259" s="24" t="s">
        <v>2020</v>
      </c>
      <c r="F259" s="24" t="s">
        <v>2417</v>
      </c>
      <c r="G259" s="24">
        <v>67</v>
      </c>
      <c r="H259" s="24">
        <v>28877</v>
      </c>
      <c r="I259" s="24">
        <v>53</v>
      </c>
      <c r="J259" s="24">
        <v>27772</v>
      </c>
      <c r="K259" s="24">
        <v>50</v>
      </c>
      <c r="L259" s="24">
        <v>26350</v>
      </c>
      <c r="M259" s="24">
        <v>19</v>
      </c>
      <c r="N259" s="24">
        <v>9614</v>
      </c>
      <c r="O259" s="24">
        <v>71</v>
      </c>
      <c r="P259" s="24">
        <v>37630</v>
      </c>
      <c r="Q259" s="24">
        <v>1</v>
      </c>
      <c r="R259" s="24">
        <v>410</v>
      </c>
      <c r="S259" s="24">
        <v>76</v>
      </c>
      <c r="T259" s="24">
        <v>32072</v>
      </c>
      <c r="U259" s="24">
        <v>39</v>
      </c>
      <c r="V259" s="24">
        <v>17316</v>
      </c>
      <c r="W259" s="24">
        <v>59</v>
      </c>
      <c r="X259" s="24">
        <v>31565</v>
      </c>
      <c r="Y259">
        <f t="shared" ref="Y259:Y322" si="4">SUMIF($G$1:$X$1,"Количество*",G259:X259)</f>
        <v>435</v>
      </c>
    </row>
    <row r="260" spans="1:25" x14ac:dyDescent="0.4">
      <c r="A260" s="24" t="s">
        <v>2135</v>
      </c>
      <c r="B260" s="24" t="s">
        <v>2136</v>
      </c>
      <c r="C260" s="25">
        <v>44019</v>
      </c>
      <c r="D260" s="24" t="s">
        <v>2015</v>
      </c>
      <c r="E260" s="24" t="s">
        <v>2020</v>
      </c>
      <c r="F260" s="24" t="s">
        <v>2417</v>
      </c>
      <c r="G260" s="24">
        <v>58</v>
      </c>
      <c r="H260" s="24">
        <v>23548</v>
      </c>
      <c r="I260" s="24">
        <v>47</v>
      </c>
      <c r="J260" s="24">
        <v>24816</v>
      </c>
      <c r="K260" s="24">
        <v>22</v>
      </c>
      <c r="L260" s="24">
        <v>11506</v>
      </c>
      <c r="M260" s="24">
        <v>72</v>
      </c>
      <c r="N260" s="24">
        <v>36432</v>
      </c>
      <c r="O260" s="24">
        <v>48</v>
      </c>
      <c r="P260" s="24">
        <v>21888</v>
      </c>
      <c r="Q260" s="24">
        <v>38</v>
      </c>
      <c r="R260" s="24">
        <v>20824</v>
      </c>
      <c r="S260" s="24">
        <v>13</v>
      </c>
      <c r="T260" s="24">
        <v>5304</v>
      </c>
      <c r="U260" s="24">
        <v>48</v>
      </c>
      <c r="V260" s="24">
        <v>23136</v>
      </c>
      <c r="W260" s="24">
        <v>70</v>
      </c>
      <c r="X260" s="24">
        <v>31500</v>
      </c>
      <c r="Y260">
        <f t="shared" si="4"/>
        <v>416</v>
      </c>
    </row>
    <row r="261" spans="1:25" x14ac:dyDescent="0.4">
      <c r="A261" s="24" t="s">
        <v>2137</v>
      </c>
      <c r="B261" s="24" t="s">
        <v>2138</v>
      </c>
      <c r="C261" s="25">
        <v>43098</v>
      </c>
      <c r="D261" s="24" t="s">
        <v>2015</v>
      </c>
      <c r="E261" s="24" t="s">
        <v>2016</v>
      </c>
      <c r="F261" s="24" t="s">
        <v>2417</v>
      </c>
      <c r="G261" s="24">
        <v>41</v>
      </c>
      <c r="H261" s="24">
        <v>16687</v>
      </c>
      <c r="I261" s="24">
        <v>45</v>
      </c>
      <c r="J261" s="24">
        <v>23400</v>
      </c>
      <c r="K261" s="24">
        <v>21</v>
      </c>
      <c r="L261" s="24">
        <v>8841</v>
      </c>
      <c r="M261" s="24">
        <v>13</v>
      </c>
      <c r="N261" s="24">
        <v>5928</v>
      </c>
      <c r="O261" s="24">
        <v>18</v>
      </c>
      <c r="P261" s="24">
        <v>9234</v>
      </c>
      <c r="Q261" s="24">
        <v>72</v>
      </c>
      <c r="R261" s="24">
        <v>38088</v>
      </c>
      <c r="S261" s="24">
        <v>71</v>
      </c>
      <c r="T261" s="24">
        <v>38127</v>
      </c>
      <c r="U261" s="24">
        <v>21</v>
      </c>
      <c r="V261" s="24">
        <v>9534</v>
      </c>
      <c r="W261" s="24">
        <v>25</v>
      </c>
      <c r="X261" s="24">
        <v>13025</v>
      </c>
      <c r="Y261">
        <f t="shared" si="4"/>
        <v>327</v>
      </c>
    </row>
    <row r="262" spans="1:25" x14ac:dyDescent="0.4">
      <c r="A262" s="24" t="s">
        <v>2139</v>
      </c>
      <c r="B262" s="24" t="s">
        <v>2140</v>
      </c>
      <c r="C262" s="25">
        <v>43766</v>
      </c>
      <c r="D262" s="24" t="s">
        <v>2027</v>
      </c>
      <c r="E262" s="24" t="s">
        <v>2028</v>
      </c>
      <c r="F262" s="24" t="s">
        <v>2417</v>
      </c>
      <c r="G262" s="24">
        <v>70</v>
      </c>
      <c r="H262" s="24">
        <v>30310</v>
      </c>
      <c r="I262" s="24">
        <v>47</v>
      </c>
      <c r="J262" s="24">
        <v>20116</v>
      </c>
      <c r="K262" s="24">
        <v>76</v>
      </c>
      <c r="L262" s="24">
        <v>37620</v>
      </c>
      <c r="M262" s="24">
        <v>20</v>
      </c>
      <c r="N262" s="24">
        <v>10180</v>
      </c>
      <c r="O262" s="24">
        <v>9</v>
      </c>
      <c r="P262" s="24">
        <v>4374</v>
      </c>
      <c r="Q262" s="24">
        <v>14</v>
      </c>
      <c r="R262" s="24">
        <v>5880</v>
      </c>
      <c r="S262" s="24">
        <v>72</v>
      </c>
      <c r="T262" s="24">
        <v>30888</v>
      </c>
      <c r="U262" s="24">
        <v>4</v>
      </c>
      <c r="V262" s="24">
        <v>1988</v>
      </c>
      <c r="W262" s="24">
        <v>29</v>
      </c>
      <c r="X262" s="24">
        <v>14790</v>
      </c>
      <c r="Y262">
        <f t="shared" si="4"/>
        <v>341</v>
      </c>
    </row>
    <row r="263" spans="1:25" x14ac:dyDescent="0.4">
      <c r="A263" s="24" t="s">
        <v>2141</v>
      </c>
      <c r="B263" s="24" t="s">
        <v>2142</v>
      </c>
      <c r="C263" s="25">
        <v>43330</v>
      </c>
      <c r="D263" s="24" t="s">
        <v>2015</v>
      </c>
      <c r="E263" s="24" t="s">
        <v>2028</v>
      </c>
      <c r="F263" s="24" t="s">
        <v>2417</v>
      </c>
      <c r="G263" s="24">
        <v>13</v>
      </c>
      <c r="H263" s="24">
        <v>5486</v>
      </c>
      <c r="I263" s="24">
        <v>36</v>
      </c>
      <c r="J263" s="24">
        <v>15804</v>
      </c>
      <c r="K263" s="24">
        <v>13</v>
      </c>
      <c r="L263" s="24">
        <v>6578</v>
      </c>
      <c r="M263" s="24">
        <v>56</v>
      </c>
      <c r="N263" s="24">
        <v>24808</v>
      </c>
      <c r="O263" s="24">
        <v>10</v>
      </c>
      <c r="P263" s="24">
        <v>4080</v>
      </c>
      <c r="Q263" s="24">
        <v>55</v>
      </c>
      <c r="R263" s="24">
        <v>22275</v>
      </c>
      <c r="S263" s="24">
        <v>13</v>
      </c>
      <c r="T263" s="24">
        <v>6812</v>
      </c>
      <c r="U263" s="24">
        <v>53</v>
      </c>
      <c r="V263" s="24">
        <v>23426</v>
      </c>
      <c r="W263" s="24">
        <v>48</v>
      </c>
      <c r="X263" s="24">
        <v>19824</v>
      </c>
      <c r="Y263">
        <f t="shared" si="4"/>
        <v>297</v>
      </c>
    </row>
    <row r="264" spans="1:25" x14ac:dyDescent="0.4">
      <c r="A264" s="24" t="s">
        <v>2143</v>
      </c>
      <c r="B264" s="24" t="s">
        <v>2144</v>
      </c>
      <c r="C264" s="25">
        <v>42717</v>
      </c>
      <c r="D264" s="24" t="s">
        <v>2015</v>
      </c>
      <c r="E264" s="24" t="s">
        <v>2020</v>
      </c>
      <c r="F264" s="24" t="s">
        <v>2417</v>
      </c>
      <c r="G264" s="24">
        <v>71</v>
      </c>
      <c r="H264" s="24">
        <v>30317</v>
      </c>
      <c r="I264" s="24">
        <v>3</v>
      </c>
      <c r="J264" s="24">
        <v>1482</v>
      </c>
      <c r="K264" s="24">
        <v>50</v>
      </c>
      <c r="L264" s="24">
        <v>21000</v>
      </c>
      <c r="M264" s="24">
        <v>53</v>
      </c>
      <c r="N264" s="24">
        <v>21465</v>
      </c>
      <c r="O264" s="24">
        <v>49</v>
      </c>
      <c r="P264" s="24">
        <v>21658</v>
      </c>
      <c r="Q264" s="24">
        <v>57</v>
      </c>
      <c r="R264" s="24">
        <v>26733</v>
      </c>
      <c r="S264" s="24">
        <v>59</v>
      </c>
      <c r="T264" s="24">
        <v>30857</v>
      </c>
      <c r="U264" s="24">
        <v>5</v>
      </c>
      <c r="V264" s="24">
        <v>2265</v>
      </c>
      <c r="W264" s="24">
        <v>18</v>
      </c>
      <c r="X264" s="24">
        <v>9504</v>
      </c>
      <c r="Y264">
        <f t="shared" si="4"/>
        <v>365</v>
      </c>
    </row>
    <row r="265" spans="1:25" x14ac:dyDescent="0.4">
      <c r="A265" s="24" t="s">
        <v>2145</v>
      </c>
      <c r="B265" s="24" t="s">
        <v>2146</v>
      </c>
      <c r="C265" s="25">
        <v>42436</v>
      </c>
      <c r="D265" s="24" t="s">
        <v>2027</v>
      </c>
      <c r="E265" s="24" t="s">
        <v>2020</v>
      </c>
      <c r="F265" s="24" t="s">
        <v>2417</v>
      </c>
      <c r="G265" s="24">
        <v>41</v>
      </c>
      <c r="H265" s="24">
        <v>21689</v>
      </c>
      <c r="I265" s="24">
        <v>34</v>
      </c>
      <c r="J265" s="24">
        <v>15674</v>
      </c>
      <c r="K265" s="24">
        <v>60</v>
      </c>
      <c r="L265" s="24">
        <v>31800</v>
      </c>
      <c r="M265" s="24">
        <v>37</v>
      </c>
      <c r="N265" s="24">
        <v>15207</v>
      </c>
      <c r="O265" s="24">
        <v>73</v>
      </c>
      <c r="P265" s="24">
        <v>35186</v>
      </c>
      <c r="Q265" s="24">
        <v>55</v>
      </c>
      <c r="R265" s="24">
        <v>25190</v>
      </c>
      <c r="S265" s="24">
        <v>5</v>
      </c>
      <c r="T265" s="24">
        <v>2685</v>
      </c>
      <c r="U265" s="24">
        <v>51</v>
      </c>
      <c r="V265" s="24">
        <v>21063</v>
      </c>
      <c r="W265" s="24">
        <v>14</v>
      </c>
      <c r="X265" s="24">
        <v>7210</v>
      </c>
      <c r="Y265">
        <f t="shared" si="4"/>
        <v>370</v>
      </c>
    </row>
    <row r="266" spans="1:25" x14ac:dyDescent="0.4">
      <c r="A266" s="24" t="s">
        <v>2147</v>
      </c>
      <c r="B266" s="24" t="s">
        <v>2148</v>
      </c>
      <c r="C266" s="25">
        <v>42724</v>
      </c>
      <c r="D266" s="24" t="s">
        <v>2027</v>
      </c>
      <c r="E266" s="24" t="s">
        <v>2016</v>
      </c>
      <c r="F266" s="24" t="s">
        <v>2417</v>
      </c>
      <c r="G266" s="24">
        <v>12</v>
      </c>
      <c r="H266" s="24">
        <v>5892</v>
      </c>
      <c r="I266" s="24">
        <v>3</v>
      </c>
      <c r="J266" s="24">
        <v>1485</v>
      </c>
      <c r="K266" s="24">
        <v>28</v>
      </c>
      <c r="L266" s="24">
        <v>14392</v>
      </c>
      <c r="M266" s="24">
        <v>64</v>
      </c>
      <c r="N266" s="24">
        <v>34752</v>
      </c>
      <c r="O266" s="24">
        <v>15</v>
      </c>
      <c r="P266" s="24">
        <v>7425</v>
      </c>
      <c r="Q266" s="24">
        <v>64</v>
      </c>
      <c r="R266" s="24">
        <v>31232</v>
      </c>
      <c r="S266" s="24">
        <v>44</v>
      </c>
      <c r="T266" s="24">
        <v>17908</v>
      </c>
      <c r="U266" s="24">
        <v>41</v>
      </c>
      <c r="V266" s="24">
        <v>22263</v>
      </c>
      <c r="W266" s="24">
        <v>45</v>
      </c>
      <c r="X266" s="24">
        <v>20655</v>
      </c>
      <c r="Y266">
        <f t="shared" si="4"/>
        <v>316</v>
      </c>
    </row>
    <row r="267" spans="1:25" x14ac:dyDescent="0.4">
      <c r="A267" s="24" t="s">
        <v>2149</v>
      </c>
      <c r="B267" s="24" t="s">
        <v>2150</v>
      </c>
      <c r="C267" s="25">
        <v>44050</v>
      </c>
      <c r="D267" s="24" t="s">
        <v>2015</v>
      </c>
      <c r="E267" s="24" t="s">
        <v>2016</v>
      </c>
      <c r="F267" s="24" t="s">
        <v>2417</v>
      </c>
      <c r="G267" s="24">
        <v>69</v>
      </c>
      <c r="H267" s="24">
        <v>32844</v>
      </c>
      <c r="I267" s="24">
        <v>55</v>
      </c>
      <c r="J267" s="24">
        <v>29370</v>
      </c>
      <c r="K267" s="24">
        <v>31</v>
      </c>
      <c r="L267" s="24">
        <v>15097</v>
      </c>
      <c r="M267" s="24">
        <v>45</v>
      </c>
      <c r="N267" s="24">
        <v>22815</v>
      </c>
      <c r="O267" s="24">
        <v>45</v>
      </c>
      <c r="P267" s="24">
        <v>24660</v>
      </c>
      <c r="Q267" s="24">
        <v>41</v>
      </c>
      <c r="R267" s="24">
        <v>17794</v>
      </c>
      <c r="S267" s="24">
        <v>69</v>
      </c>
      <c r="T267" s="24">
        <v>37812</v>
      </c>
      <c r="U267" s="24">
        <v>54</v>
      </c>
      <c r="V267" s="24">
        <v>21924</v>
      </c>
      <c r="W267" s="24">
        <v>48</v>
      </c>
      <c r="X267" s="24">
        <v>19440</v>
      </c>
      <c r="Y267">
        <f t="shared" si="4"/>
        <v>457</v>
      </c>
    </row>
    <row r="268" spans="1:25" x14ac:dyDescent="0.4">
      <c r="A268" s="24" t="s">
        <v>2151</v>
      </c>
      <c r="B268" s="24" t="s">
        <v>2152</v>
      </c>
      <c r="C268" s="25">
        <v>42244</v>
      </c>
      <c r="D268" s="24" t="s">
        <v>2015</v>
      </c>
      <c r="E268" s="24" t="s">
        <v>2016</v>
      </c>
      <c r="F268" s="24" t="s">
        <v>2417</v>
      </c>
      <c r="G268" s="24">
        <v>27</v>
      </c>
      <c r="H268" s="24">
        <v>13959</v>
      </c>
      <c r="I268" s="24">
        <v>50</v>
      </c>
      <c r="J268" s="24">
        <v>23700</v>
      </c>
      <c r="K268" s="24">
        <v>14</v>
      </c>
      <c r="L268" s="24">
        <v>6776</v>
      </c>
      <c r="M268" s="24">
        <v>33</v>
      </c>
      <c r="N268" s="24">
        <v>15972</v>
      </c>
      <c r="O268" s="24">
        <v>2</v>
      </c>
      <c r="P268" s="24">
        <v>864</v>
      </c>
      <c r="Q268" s="24">
        <v>73</v>
      </c>
      <c r="R268" s="24">
        <v>29784</v>
      </c>
      <c r="S268" s="24">
        <v>25</v>
      </c>
      <c r="T268" s="24">
        <v>11500</v>
      </c>
      <c r="U268" s="24">
        <v>1</v>
      </c>
      <c r="V268" s="24">
        <v>550</v>
      </c>
      <c r="W268" s="24">
        <v>12</v>
      </c>
      <c r="X268" s="24">
        <v>5196</v>
      </c>
      <c r="Y268">
        <f t="shared" si="4"/>
        <v>237</v>
      </c>
    </row>
    <row r="269" spans="1:25" x14ac:dyDescent="0.4">
      <c r="A269" s="24" t="s">
        <v>2153</v>
      </c>
      <c r="B269" s="24" t="s">
        <v>2154</v>
      </c>
      <c r="C269" s="25">
        <v>42356</v>
      </c>
      <c r="D269" s="24" t="s">
        <v>2027</v>
      </c>
      <c r="E269" s="24" t="s">
        <v>2020</v>
      </c>
      <c r="F269" s="24" t="s">
        <v>2417</v>
      </c>
      <c r="G269" s="24">
        <v>14</v>
      </c>
      <c r="H269" s="24">
        <v>5950</v>
      </c>
      <c r="I269" s="24">
        <v>65</v>
      </c>
      <c r="J269" s="24">
        <v>26520</v>
      </c>
      <c r="K269" s="24">
        <v>24</v>
      </c>
      <c r="L269" s="24">
        <v>11496</v>
      </c>
      <c r="M269" s="24">
        <v>60</v>
      </c>
      <c r="N269" s="24">
        <v>27480</v>
      </c>
      <c r="O269" s="24">
        <v>13</v>
      </c>
      <c r="P269" s="24">
        <v>6851</v>
      </c>
      <c r="Q269" s="24">
        <v>73</v>
      </c>
      <c r="R269" s="24">
        <v>33653</v>
      </c>
      <c r="S269" s="24">
        <v>4</v>
      </c>
      <c r="T269" s="24">
        <v>1676</v>
      </c>
      <c r="U269" s="24">
        <v>47</v>
      </c>
      <c r="V269" s="24">
        <v>24816</v>
      </c>
      <c r="W269" s="24">
        <v>51</v>
      </c>
      <c r="X269" s="24">
        <v>25398</v>
      </c>
      <c r="Y269">
        <f t="shared" si="4"/>
        <v>351</v>
      </c>
    </row>
    <row r="270" spans="1:25" x14ac:dyDescent="0.4">
      <c r="A270" s="24" t="s">
        <v>2155</v>
      </c>
      <c r="B270" s="24" t="s">
        <v>2156</v>
      </c>
      <c r="C270" s="25">
        <v>42647</v>
      </c>
      <c r="D270" s="24" t="s">
        <v>2027</v>
      </c>
      <c r="E270" s="24" t="s">
        <v>2020</v>
      </c>
      <c r="F270" s="24" t="s">
        <v>2417</v>
      </c>
      <c r="G270" s="24">
        <v>33</v>
      </c>
      <c r="H270" s="24">
        <v>15840</v>
      </c>
      <c r="I270" s="24">
        <v>2</v>
      </c>
      <c r="J270" s="24">
        <v>944</v>
      </c>
      <c r="K270" s="24">
        <v>63</v>
      </c>
      <c r="L270" s="24">
        <v>28476</v>
      </c>
      <c r="M270" s="24">
        <v>17</v>
      </c>
      <c r="N270" s="24">
        <v>7174</v>
      </c>
      <c r="O270" s="24">
        <v>38</v>
      </c>
      <c r="P270" s="24">
        <v>18924</v>
      </c>
      <c r="Q270" s="24">
        <v>35</v>
      </c>
      <c r="R270" s="24">
        <v>17045</v>
      </c>
      <c r="S270" s="24">
        <v>35</v>
      </c>
      <c r="T270" s="24">
        <v>19180</v>
      </c>
      <c r="U270" s="24">
        <v>14</v>
      </c>
      <c r="V270" s="24">
        <v>6678</v>
      </c>
      <c r="W270" s="24">
        <v>58</v>
      </c>
      <c r="X270" s="24">
        <v>28420</v>
      </c>
      <c r="Y270">
        <f t="shared" si="4"/>
        <v>295</v>
      </c>
    </row>
    <row r="271" spans="1:25" x14ac:dyDescent="0.4">
      <c r="A271" s="24" t="s">
        <v>2157</v>
      </c>
      <c r="B271" s="24" t="s">
        <v>2158</v>
      </c>
      <c r="C271" s="25">
        <v>42754</v>
      </c>
      <c r="D271" s="24" t="s">
        <v>2027</v>
      </c>
      <c r="E271" s="24" t="s">
        <v>2020</v>
      </c>
      <c r="F271" s="24" t="s">
        <v>2417</v>
      </c>
      <c r="G271" s="24">
        <v>20</v>
      </c>
      <c r="H271" s="24">
        <v>9300</v>
      </c>
      <c r="I271" s="24">
        <v>18</v>
      </c>
      <c r="J271" s="24">
        <v>9234</v>
      </c>
      <c r="K271" s="24">
        <v>50</v>
      </c>
      <c r="L271" s="24">
        <v>20350</v>
      </c>
      <c r="M271" s="24">
        <v>57</v>
      </c>
      <c r="N271" s="24">
        <v>25536</v>
      </c>
      <c r="O271" s="24">
        <v>12</v>
      </c>
      <c r="P271" s="24">
        <v>5904</v>
      </c>
      <c r="Q271" s="24">
        <v>70</v>
      </c>
      <c r="R271" s="24">
        <v>30240</v>
      </c>
      <c r="S271" s="24">
        <v>72</v>
      </c>
      <c r="T271" s="24">
        <v>36504</v>
      </c>
      <c r="U271" s="24">
        <v>16</v>
      </c>
      <c r="V271" s="24">
        <v>6480</v>
      </c>
      <c r="W271" s="24">
        <v>46</v>
      </c>
      <c r="X271" s="24">
        <v>25024</v>
      </c>
      <c r="Y271">
        <f t="shared" si="4"/>
        <v>361</v>
      </c>
    </row>
    <row r="272" spans="1:25" x14ac:dyDescent="0.4">
      <c r="A272" s="24" t="s">
        <v>2159</v>
      </c>
      <c r="B272" s="24" t="s">
        <v>2160</v>
      </c>
      <c r="C272" s="25">
        <v>42790</v>
      </c>
      <c r="D272" s="24" t="s">
        <v>2027</v>
      </c>
      <c r="E272" s="24" t="s">
        <v>2028</v>
      </c>
      <c r="F272" s="24" t="s">
        <v>2417</v>
      </c>
      <c r="G272" s="24">
        <v>27</v>
      </c>
      <c r="H272" s="24">
        <v>12906</v>
      </c>
      <c r="I272" s="24">
        <v>71</v>
      </c>
      <c r="J272" s="24">
        <v>36849</v>
      </c>
      <c r="K272" s="24">
        <v>67</v>
      </c>
      <c r="L272" s="24">
        <v>29413</v>
      </c>
      <c r="M272" s="24">
        <v>72</v>
      </c>
      <c r="N272" s="24">
        <v>29448</v>
      </c>
      <c r="O272" s="24">
        <v>1</v>
      </c>
      <c r="P272" s="24">
        <v>490</v>
      </c>
      <c r="Q272" s="24">
        <v>39</v>
      </c>
      <c r="R272" s="24">
        <v>17628</v>
      </c>
      <c r="S272" s="24">
        <v>49</v>
      </c>
      <c r="T272" s="24">
        <v>21462</v>
      </c>
      <c r="U272" s="24">
        <v>31</v>
      </c>
      <c r="V272" s="24">
        <v>15624</v>
      </c>
      <c r="W272" s="24">
        <v>64</v>
      </c>
      <c r="X272" s="24">
        <v>27520</v>
      </c>
      <c r="Y272">
        <f t="shared" si="4"/>
        <v>421</v>
      </c>
    </row>
    <row r="273" spans="1:25" x14ac:dyDescent="0.4">
      <c r="A273" s="24" t="s">
        <v>2161</v>
      </c>
      <c r="B273" s="24" t="s">
        <v>2162</v>
      </c>
      <c r="C273" s="25">
        <v>42526</v>
      </c>
      <c r="D273" s="24" t="s">
        <v>2015</v>
      </c>
      <c r="E273" s="24" t="s">
        <v>2020</v>
      </c>
      <c r="F273" s="24" t="s">
        <v>2417</v>
      </c>
      <c r="G273" s="24">
        <v>34</v>
      </c>
      <c r="H273" s="24">
        <v>17306</v>
      </c>
      <c r="I273" s="24">
        <v>22</v>
      </c>
      <c r="J273" s="24">
        <v>10274</v>
      </c>
      <c r="K273" s="24">
        <v>68</v>
      </c>
      <c r="L273" s="24">
        <v>32096</v>
      </c>
      <c r="M273" s="24">
        <v>8</v>
      </c>
      <c r="N273" s="24">
        <v>4296</v>
      </c>
      <c r="O273" s="24">
        <v>44</v>
      </c>
      <c r="P273" s="24">
        <v>18612</v>
      </c>
      <c r="Q273" s="24">
        <v>39</v>
      </c>
      <c r="R273" s="24">
        <v>19266</v>
      </c>
      <c r="S273" s="24">
        <v>18</v>
      </c>
      <c r="T273" s="24">
        <v>8460</v>
      </c>
      <c r="U273" s="24">
        <v>30</v>
      </c>
      <c r="V273" s="24">
        <v>13530</v>
      </c>
      <c r="W273" s="24">
        <v>73</v>
      </c>
      <c r="X273" s="24">
        <v>30806</v>
      </c>
      <c r="Y273">
        <f t="shared" si="4"/>
        <v>336</v>
      </c>
    </row>
    <row r="274" spans="1:25" x14ac:dyDescent="0.4">
      <c r="A274" s="24" t="s">
        <v>2163</v>
      </c>
      <c r="B274" s="24" t="s">
        <v>2164</v>
      </c>
      <c r="C274" s="25">
        <v>42594</v>
      </c>
      <c r="D274" s="24" t="s">
        <v>2015</v>
      </c>
      <c r="E274" s="24" t="s">
        <v>2016</v>
      </c>
      <c r="F274" s="24" t="s">
        <v>2417</v>
      </c>
      <c r="G274" s="24">
        <v>23</v>
      </c>
      <c r="H274" s="24">
        <v>10879</v>
      </c>
      <c r="I274" s="24">
        <v>41</v>
      </c>
      <c r="J274" s="24">
        <v>20705</v>
      </c>
      <c r="K274" s="24">
        <v>71</v>
      </c>
      <c r="L274" s="24">
        <v>30814</v>
      </c>
      <c r="M274" s="24">
        <v>26</v>
      </c>
      <c r="N274" s="24">
        <v>11518</v>
      </c>
      <c r="O274" s="24">
        <v>26</v>
      </c>
      <c r="P274" s="24">
        <v>13078</v>
      </c>
      <c r="Q274" s="24">
        <v>44</v>
      </c>
      <c r="R274" s="24">
        <v>21560</v>
      </c>
      <c r="S274" s="24">
        <v>19</v>
      </c>
      <c r="T274" s="24">
        <v>10241</v>
      </c>
      <c r="U274" s="24">
        <v>32</v>
      </c>
      <c r="V274" s="24">
        <v>15296</v>
      </c>
      <c r="W274" s="24">
        <v>3</v>
      </c>
      <c r="X274" s="24">
        <v>1233</v>
      </c>
      <c r="Y274">
        <f t="shared" si="4"/>
        <v>285</v>
      </c>
    </row>
    <row r="275" spans="1:25" x14ac:dyDescent="0.4">
      <c r="A275" s="24" t="s">
        <v>2165</v>
      </c>
      <c r="B275" s="24" t="s">
        <v>2166</v>
      </c>
      <c r="C275" s="25">
        <v>42340</v>
      </c>
      <c r="D275" s="24" t="s">
        <v>2015</v>
      </c>
      <c r="E275" s="24" t="s">
        <v>2016</v>
      </c>
      <c r="F275" s="24" t="s">
        <v>2417</v>
      </c>
      <c r="G275" s="24">
        <v>47</v>
      </c>
      <c r="H275" s="24">
        <v>21479</v>
      </c>
      <c r="I275" s="24">
        <v>29</v>
      </c>
      <c r="J275" s="24">
        <v>13659</v>
      </c>
      <c r="K275" s="24">
        <v>69</v>
      </c>
      <c r="L275" s="24">
        <v>31878</v>
      </c>
      <c r="M275" s="24">
        <v>38</v>
      </c>
      <c r="N275" s="24">
        <v>18164</v>
      </c>
      <c r="O275" s="24">
        <v>35</v>
      </c>
      <c r="P275" s="24">
        <v>15855</v>
      </c>
      <c r="Q275" s="24">
        <v>39</v>
      </c>
      <c r="R275" s="24">
        <v>17277</v>
      </c>
      <c r="S275" s="24">
        <v>68</v>
      </c>
      <c r="T275" s="24">
        <v>33524</v>
      </c>
      <c r="U275" s="24">
        <v>20</v>
      </c>
      <c r="V275" s="24">
        <v>10020</v>
      </c>
      <c r="W275" s="24">
        <v>66</v>
      </c>
      <c r="X275" s="24">
        <v>30096</v>
      </c>
      <c r="Y275">
        <f t="shared" si="4"/>
        <v>411</v>
      </c>
    </row>
    <row r="276" spans="1:25" x14ac:dyDescent="0.4">
      <c r="A276" s="24" t="s">
        <v>2167</v>
      </c>
      <c r="B276" s="24" t="s">
        <v>2168</v>
      </c>
      <c r="C276" s="25">
        <v>43226</v>
      </c>
      <c r="D276" s="24" t="s">
        <v>2027</v>
      </c>
      <c r="E276" s="24" t="s">
        <v>2020</v>
      </c>
      <c r="F276" s="24" t="s">
        <v>2417</v>
      </c>
      <c r="G276" s="24">
        <v>36</v>
      </c>
      <c r="H276" s="24">
        <v>17388</v>
      </c>
      <c r="I276" s="24">
        <v>30</v>
      </c>
      <c r="J276" s="24">
        <v>12090</v>
      </c>
      <c r="K276" s="24">
        <v>37</v>
      </c>
      <c r="L276" s="24">
        <v>18537</v>
      </c>
      <c r="M276" s="24">
        <v>70</v>
      </c>
      <c r="N276" s="24">
        <v>32760</v>
      </c>
      <c r="O276" s="24">
        <v>52</v>
      </c>
      <c r="P276" s="24">
        <v>28340</v>
      </c>
      <c r="Q276" s="24">
        <v>36</v>
      </c>
      <c r="R276" s="24">
        <v>19080</v>
      </c>
      <c r="S276" s="24">
        <v>32</v>
      </c>
      <c r="T276" s="24">
        <v>14016</v>
      </c>
      <c r="U276" s="24">
        <v>63</v>
      </c>
      <c r="V276" s="24">
        <v>26082</v>
      </c>
      <c r="W276" s="24">
        <v>73</v>
      </c>
      <c r="X276" s="24">
        <v>32047</v>
      </c>
      <c r="Y276">
        <f t="shared" si="4"/>
        <v>429</v>
      </c>
    </row>
    <row r="277" spans="1:25" x14ac:dyDescent="0.4">
      <c r="A277" s="24" t="s">
        <v>2169</v>
      </c>
      <c r="B277" s="24" t="s">
        <v>2170</v>
      </c>
      <c r="C277" s="25">
        <v>43852</v>
      </c>
      <c r="D277" s="24" t="s">
        <v>2027</v>
      </c>
      <c r="E277" s="24" t="s">
        <v>2028</v>
      </c>
      <c r="F277" s="24" t="s">
        <v>2417</v>
      </c>
      <c r="G277" s="24">
        <v>7</v>
      </c>
      <c r="H277" s="24">
        <v>3262</v>
      </c>
      <c r="I277" s="24">
        <v>12</v>
      </c>
      <c r="J277" s="24">
        <v>5280</v>
      </c>
      <c r="K277" s="24">
        <v>8</v>
      </c>
      <c r="L277" s="24">
        <v>3320</v>
      </c>
      <c r="M277" s="24">
        <v>16</v>
      </c>
      <c r="N277" s="24">
        <v>7056</v>
      </c>
      <c r="O277" s="24">
        <v>55</v>
      </c>
      <c r="P277" s="24">
        <v>26895</v>
      </c>
      <c r="Q277" s="24">
        <v>12</v>
      </c>
      <c r="R277" s="24">
        <v>6060</v>
      </c>
      <c r="S277" s="24">
        <v>41</v>
      </c>
      <c r="T277" s="24">
        <v>16728</v>
      </c>
      <c r="U277" s="24">
        <v>4</v>
      </c>
      <c r="V277" s="24">
        <v>1624</v>
      </c>
      <c r="W277" s="24">
        <v>40</v>
      </c>
      <c r="X277" s="24">
        <v>19680</v>
      </c>
      <c r="Y277">
        <f t="shared" si="4"/>
        <v>195</v>
      </c>
    </row>
    <row r="278" spans="1:25" x14ac:dyDescent="0.4">
      <c r="A278" s="24" t="s">
        <v>2171</v>
      </c>
      <c r="B278" s="24" t="s">
        <v>2172</v>
      </c>
      <c r="C278" s="25">
        <v>43650</v>
      </c>
      <c r="D278" s="24" t="s">
        <v>2015</v>
      </c>
      <c r="E278" s="24" t="s">
        <v>2020</v>
      </c>
      <c r="F278" s="24" t="s">
        <v>2417</v>
      </c>
      <c r="G278" s="24">
        <v>50</v>
      </c>
      <c r="H278" s="24">
        <v>24000</v>
      </c>
      <c r="I278" s="24">
        <v>54</v>
      </c>
      <c r="J278" s="24">
        <v>27324</v>
      </c>
      <c r="K278" s="24">
        <v>67</v>
      </c>
      <c r="L278" s="24">
        <v>26867</v>
      </c>
      <c r="M278" s="24">
        <v>31</v>
      </c>
      <c r="N278" s="24">
        <v>16554</v>
      </c>
      <c r="O278" s="24">
        <v>21</v>
      </c>
      <c r="P278" s="24">
        <v>9534</v>
      </c>
      <c r="Q278" s="24">
        <v>39</v>
      </c>
      <c r="R278" s="24">
        <v>20007</v>
      </c>
      <c r="S278" s="24">
        <v>63</v>
      </c>
      <c r="T278" s="24">
        <v>29610</v>
      </c>
      <c r="U278" s="24">
        <v>16</v>
      </c>
      <c r="V278" s="24">
        <v>6816</v>
      </c>
      <c r="W278" s="24">
        <v>40</v>
      </c>
      <c r="X278" s="24">
        <v>16120</v>
      </c>
      <c r="Y278">
        <f t="shared" si="4"/>
        <v>381</v>
      </c>
    </row>
    <row r="279" spans="1:25" x14ac:dyDescent="0.4">
      <c r="A279" s="24" t="s">
        <v>2173</v>
      </c>
      <c r="B279" s="24" t="s">
        <v>2174</v>
      </c>
      <c r="C279" s="25">
        <v>43537</v>
      </c>
      <c r="D279" s="24" t="s">
        <v>2027</v>
      </c>
      <c r="E279" s="24" t="s">
        <v>2016</v>
      </c>
      <c r="F279" s="24" t="s">
        <v>2417</v>
      </c>
      <c r="G279" s="24">
        <v>75</v>
      </c>
      <c r="H279" s="24">
        <v>39825</v>
      </c>
      <c r="I279" s="24">
        <v>35</v>
      </c>
      <c r="J279" s="24">
        <v>16135</v>
      </c>
      <c r="K279" s="24">
        <v>52</v>
      </c>
      <c r="L279" s="24">
        <v>25532</v>
      </c>
      <c r="M279" s="24">
        <v>43</v>
      </c>
      <c r="N279" s="24">
        <v>22876</v>
      </c>
      <c r="O279" s="24">
        <v>6</v>
      </c>
      <c r="P279" s="24">
        <v>2802</v>
      </c>
      <c r="Q279" s="24">
        <v>47</v>
      </c>
      <c r="R279" s="24">
        <v>25615</v>
      </c>
      <c r="S279" s="24">
        <v>58</v>
      </c>
      <c r="T279" s="24">
        <v>30102</v>
      </c>
      <c r="U279" s="24">
        <v>32</v>
      </c>
      <c r="V279" s="24">
        <v>17440</v>
      </c>
      <c r="W279" s="24">
        <v>75</v>
      </c>
      <c r="X279" s="24">
        <v>37500</v>
      </c>
      <c r="Y279">
        <f t="shared" si="4"/>
        <v>423</v>
      </c>
    </row>
    <row r="280" spans="1:25" x14ac:dyDescent="0.4">
      <c r="A280" s="24" t="s">
        <v>2175</v>
      </c>
      <c r="B280" s="24" t="s">
        <v>2176</v>
      </c>
      <c r="C280" s="25">
        <v>43726</v>
      </c>
      <c r="D280" s="24" t="s">
        <v>2015</v>
      </c>
      <c r="E280" s="24" t="s">
        <v>2028</v>
      </c>
      <c r="F280" s="24" t="s">
        <v>2417</v>
      </c>
      <c r="G280" s="24">
        <v>59</v>
      </c>
      <c r="H280" s="24">
        <v>24662</v>
      </c>
      <c r="I280" s="24">
        <v>3</v>
      </c>
      <c r="J280" s="24">
        <v>1389</v>
      </c>
      <c r="K280" s="24">
        <v>39</v>
      </c>
      <c r="L280" s="24">
        <v>17121</v>
      </c>
      <c r="M280" s="24">
        <v>10</v>
      </c>
      <c r="N280" s="24">
        <v>5110</v>
      </c>
      <c r="O280" s="24">
        <v>26</v>
      </c>
      <c r="P280" s="24">
        <v>11336</v>
      </c>
      <c r="Q280" s="24">
        <v>56</v>
      </c>
      <c r="R280" s="24">
        <v>29344</v>
      </c>
      <c r="S280" s="24">
        <v>35</v>
      </c>
      <c r="T280" s="24">
        <v>17360</v>
      </c>
      <c r="U280" s="24">
        <v>21</v>
      </c>
      <c r="V280" s="24">
        <v>10206</v>
      </c>
      <c r="W280" s="24">
        <v>21</v>
      </c>
      <c r="X280" s="24">
        <v>11172</v>
      </c>
      <c r="Y280">
        <f t="shared" si="4"/>
        <v>270</v>
      </c>
    </row>
    <row r="281" spans="1:25" x14ac:dyDescent="0.4">
      <c r="A281" s="24" t="s">
        <v>2177</v>
      </c>
      <c r="B281" s="24" t="s">
        <v>2178</v>
      </c>
      <c r="C281" s="25">
        <v>43937</v>
      </c>
      <c r="D281" s="24" t="s">
        <v>2015</v>
      </c>
      <c r="E281" s="24" t="s">
        <v>2016</v>
      </c>
      <c r="F281" s="24" t="s">
        <v>2417</v>
      </c>
      <c r="G281" s="24">
        <v>38</v>
      </c>
      <c r="H281" s="24">
        <v>18696</v>
      </c>
      <c r="I281" s="24">
        <v>70</v>
      </c>
      <c r="J281" s="24">
        <v>36610</v>
      </c>
      <c r="K281" s="24">
        <v>51</v>
      </c>
      <c r="L281" s="24">
        <v>23715</v>
      </c>
      <c r="M281" s="24">
        <v>10</v>
      </c>
      <c r="N281" s="24">
        <v>4310</v>
      </c>
      <c r="O281" s="24">
        <v>57</v>
      </c>
      <c r="P281" s="24">
        <v>27759</v>
      </c>
      <c r="Q281" s="24">
        <v>69</v>
      </c>
      <c r="R281" s="24">
        <v>29670</v>
      </c>
      <c r="S281" s="24">
        <v>50</v>
      </c>
      <c r="T281" s="24">
        <v>22900</v>
      </c>
      <c r="U281" s="24">
        <v>33</v>
      </c>
      <c r="V281" s="24">
        <v>13299</v>
      </c>
      <c r="W281" s="24">
        <v>22</v>
      </c>
      <c r="X281" s="24">
        <v>8954</v>
      </c>
      <c r="Y281">
        <f t="shared" si="4"/>
        <v>400</v>
      </c>
    </row>
    <row r="282" spans="1:25" x14ac:dyDescent="0.4">
      <c r="A282" s="24" t="s">
        <v>2179</v>
      </c>
      <c r="B282" s="24" t="s">
        <v>2180</v>
      </c>
      <c r="C282" s="25">
        <v>43005</v>
      </c>
      <c r="D282" s="24" t="s">
        <v>2027</v>
      </c>
      <c r="E282" s="24" t="s">
        <v>2020</v>
      </c>
      <c r="F282" s="24" t="s">
        <v>2417</v>
      </c>
      <c r="G282" s="24">
        <v>24</v>
      </c>
      <c r="H282" s="24">
        <v>9840</v>
      </c>
      <c r="I282" s="24">
        <v>17</v>
      </c>
      <c r="J282" s="24">
        <v>8551</v>
      </c>
      <c r="K282" s="24">
        <v>52</v>
      </c>
      <c r="L282" s="24">
        <v>24596</v>
      </c>
      <c r="M282" s="24">
        <v>17</v>
      </c>
      <c r="N282" s="24">
        <v>8857</v>
      </c>
      <c r="O282" s="24">
        <v>67</v>
      </c>
      <c r="P282" s="24">
        <v>34304</v>
      </c>
      <c r="Q282" s="24">
        <v>74</v>
      </c>
      <c r="R282" s="24">
        <v>34558</v>
      </c>
      <c r="S282" s="24">
        <v>46</v>
      </c>
      <c r="T282" s="24">
        <v>18998</v>
      </c>
      <c r="U282" s="24">
        <v>5</v>
      </c>
      <c r="V282" s="24">
        <v>2745</v>
      </c>
      <c r="W282" s="24">
        <v>31</v>
      </c>
      <c r="X282" s="24">
        <v>16399</v>
      </c>
      <c r="Y282">
        <f t="shared" si="4"/>
        <v>333</v>
      </c>
    </row>
    <row r="283" spans="1:25" x14ac:dyDescent="0.4">
      <c r="A283" s="24" t="s">
        <v>2181</v>
      </c>
      <c r="B283" s="24" t="s">
        <v>2182</v>
      </c>
      <c r="C283" s="25">
        <v>44155</v>
      </c>
      <c r="D283" s="24" t="s">
        <v>2027</v>
      </c>
      <c r="E283" s="24" t="s">
        <v>2016</v>
      </c>
      <c r="F283" s="24" t="s">
        <v>2417</v>
      </c>
      <c r="G283" s="24">
        <v>17</v>
      </c>
      <c r="H283" s="24">
        <v>7395</v>
      </c>
      <c r="I283" s="24">
        <v>28</v>
      </c>
      <c r="J283" s="24">
        <v>13916</v>
      </c>
      <c r="K283" s="24">
        <v>57</v>
      </c>
      <c r="L283" s="24">
        <v>31065</v>
      </c>
      <c r="M283" s="24">
        <v>19</v>
      </c>
      <c r="N283" s="24">
        <v>9557</v>
      </c>
      <c r="O283" s="24">
        <v>63</v>
      </c>
      <c r="P283" s="24">
        <v>26901</v>
      </c>
      <c r="Q283" s="24">
        <v>25</v>
      </c>
      <c r="R283" s="24">
        <v>13525</v>
      </c>
      <c r="S283" s="24">
        <v>20</v>
      </c>
      <c r="T283" s="24">
        <v>9060</v>
      </c>
      <c r="U283" s="24">
        <v>2</v>
      </c>
      <c r="V283" s="24">
        <v>904</v>
      </c>
      <c r="W283" s="24">
        <v>46</v>
      </c>
      <c r="X283" s="24">
        <v>21850</v>
      </c>
      <c r="Y283">
        <f t="shared" si="4"/>
        <v>277</v>
      </c>
    </row>
    <row r="284" spans="1:25" x14ac:dyDescent="0.4">
      <c r="A284" s="24" t="s">
        <v>2183</v>
      </c>
      <c r="B284" s="24" t="s">
        <v>2184</v>
      </c>
      <c r="C284" s="25">
        <v>42759</v>
      </c>
      <c r="D284" s="24" t="s">
        <v>2015</v>
      </c>
      <c r="E284" s="24" t="s">
        <v>2028</v>
      </c>
      <c r="F284" s="24" t="s">
        <v>2417</v>
      </c>
      <c r="G284" s="24">
        <v>54</v>
      </c>
      <c r="H284" s="24">
        <v>24840</v>
      </c>
      <c r="I284" s="24">
        <v>60</v>
      </c>
      <c r="J284" s="24">
        <v>25380</v>
      </c>
      <c r="K284" s="24">
        <v>5</v>
      </c>
      <c r="L284" s="24">
        <v>2440</v>
      </c>
      <c r="M284" s="24">
        <v>16</v>
      </c>
      <c r="N284" s="24">
        <v>8672</v>
      </c>
      <c r="O284" s="24">
        <v>9</v>
      </c>
      <c r="P284" s="24">
        <v>4806</v>
      </c>
      <c r="Q284" s="24">
        <v>11</v>
      </c>
      <c r="R284" s="24">
        <v>5522</v>
      </c>
      <c r="S284" s="24">
        <v>50</v>
      </c>
      <c r="T284" s="24">
        <v>22900</v>
      </c>
      <c r="U284" s="24">
        <v>23</v>
      </c>
      <c r="V284" s="24">
        <v>9453</v>
      </c>
      <c r="W284" s="24">
        <v>58</v>
      </c>
      <c r="X284" s="24">
        <v>23548</v>
      </c>
      <c r="Y284">
        <f t="shared" si="4"/>
        <v>286</v>
      </c>
    </row>
    <row r="285" spans="1:25" x14ac:dyDescent="0.4">
      <c r="A285" s="24" t="s">
        <v>2185</v>
      </c>
      <c r="B285" s="24" t="s">
        <v>2186</v>
      </c>
      <c r="C285" s="25">
        <v>43807</v>
      </c>
      <c r="D285" s="24" t="s">
        <v>2015</v>
      </c>
      <c r="E285" s="24" t="s">
        <v>2028</v>
      </c>
      <c r="F285" s="24" t="s">
        <v>2417</v>
      </c>
      <c r="G285" s="24">
        <v>44</v>
      </c>
      <c r="H285" s="24">
        <v>22924</v>
      </c>
      <c r="I285" s="24">
        <v>67</v>
      </c>
      <c r="J285" s="24">
        <v>29346</v>
      </c>
      <c r="K285" s="24">
        <v>10</v>
      </c>
      <c r="L285" s="24">
        <v>4130</v>
      </c>
      <c r="M285" s="24">
        <v>8</v>
      </c>
      <c r="N285" s="24">
        <v>4088</v>
      </c>
      <c r="O285" s="24">
        <v>67</v>
      </c>
      <c r="P285" s="24">
        <v>28743</v>
      </c>
      <c r="Q285" s="24">
        <v>72</v>
      </c>
      <c r="R285" s="24">
        <v>35640</v>
      </c>
      <c r="S285" s="24">
        <v>3</v>
      </c>
      <c r="T285" s="24">
        <v>1503</v>
      </c>
      <c r="U285" s="24">
        <v>42</v>
      </c>
      <c r="V285" s="24">
        <v>22890</v>
      </c>
      <c r="W285" s="24">
        <v>1</v>
      </c>
      <c r="X285" s="24">
        <v>527</v>
      </c>
      <c r="Y285">
        <f t="shared" si="4"/>
        <v>314</v>
      </c>
    </row>
    <row r="286" spans="1:25" x14ac:dyDescent="0.4">
      <c r="A286" s="24" t="s">
        <v>2187</v>
      </c>
      <c r="B286" s="24" t="s">
        <v>2188</v>
      </c>
      <c r="C286" s="25">
        <v>43126</v>
      </c>
      <c r="D286" s="24" t="s">
        <v>2015</v>
      </c>
      <c r="E286" s="24" t="s">
        <v>2028</v>
      </c>
      <c r="F286" s="24" t="s">
        <v>2417</v>
      </c>
      <c r="G286" s="24">
        <v>71</v>
      </c>
      <c r="H286" s="24">
        <v>36565</v>
      </c>
      <c r="I286" s="24">
        <v>54</v>
      </c>
      <c r="J286" s="24">
        <v>28404</v>
      </c>
      <c r="K286" s="24">
        <v>11</v>
      </c>
      <c r="L286" s="24">
        <v>5720</v>
      </c>
      <c r="M286" s="24">
        <v>19</v>
      </c>
      <c r="N286" s="24">
        <v>7714</v>
      </c>
      <c r="O286" s="24">
        <v>63</v>
      </c>
      <c r="P286" s="24">
        <v>31563</v>
      </c>
      <c r="Q286" s="24">
        <v>32</v>
      </c>
      <c r="R286" s="24">
        <v>12960</v>
      </c>
      <c r="S286" s="24">
        <v>53</v>
      </c>
      <c r="T286" s="24">
        <v>27613</v>
      </c>
      <c r="U286" s="24">
        <v>34</v>
      </c>
      <c r="V286" s="24">
        <v>17884</v>
      </c>
      <c r="W286" s="24">
        <v>47</v>
      </c>
      <c r="X286" s="24">
        <v>21620</v>
      </c>
      <c r="Y286">
        <f t="shared" si="4"/>
        <v>384</v>
      </c>
    </row>
    <row r="287" spans="1:25" x14ac:dyDescent="0.4">
      <c r="A287" s="24" t="s">
        <v>2189</v>
      </c>
      <c r="B287" s="24" t="s">
        <v>2190</v>
      </c>
      <c r="C287" s="25">
        <v>43126</v>
      </c>
      <c r="D287" s="24" t="s">
        <v>2015</v>
      </c>
      <c r="E287" s="24" t="s">
        <v>2016</v>
      </c>
      <c r="F287" s="24" t="s">
        <v>2417</v>
      </c>
      <c r="G287" s="24">
        <v>13</v>
      </c>
      <c r="H287" s="24">
        <v>6279</v>
      </c>
      <c r="I287" s="24">
        <v>1</v>
      </c>
      <c r="J287" s="24">
        <v>479</v>
      </c>
      <c r="K287" s="24">
        <v>26</v>
      </c>
      <c r="L287" s="24">
        <v>13078</v>
      </c>
      <c r="M287" s="24">
        <v>38</v>
      </c>
      <c r="N287" s="24">
        <v>15314</v>
      </c>
      <c r="O287" s="24">
        <v>11</v>
      </c>
      <c r="P287" s="24">
        <v>5357</v>
      </c>
      <c r="Q287" s="24">
        <v>19</v>
      </c>
      <c r="R287" s="24">
        <v>9025</v>
      </c>
      <c r="S287" s="24">
        <v>37</v>
      </c>
      <c r="T287" s="24">
        <v>17945</v>
      </c>
      <c r="U287" s="24">
        <v>46</v>
      </c>
      <c r="V287" s="24">
        <v>18814</v>
      </c>
      <c r="W287" s="24">
        <v>7</v>
      </c>
      <c r="X287" s="24">
        <v>2884</v>
      </c>
      <c r="Y287">
        <f t="shared" si="4"/>
        <v>198</v>
      </c>
    </row>
    <row r="288" spans="1:25" x14ac:dyDescent="0.4">
      <c r="A288" s="24" t="s">
        <v>2191</v>
      </c>
      <c r="B288" s="24" t="s">
        <v>2192</v>
      </c>
      <c r="C288" s="25">
        <v>44068</v>
      </c>
      <c r="D288" s="24" t="s">
        <v>2015</v>
      </c>
      <c r="E288" s="24" t="s">
        <v>2028</v>
      </c>
      <c r="F288" s="24" t="s">
        <v>2417</v>
      </c>
      <c r="G288" s="24">
        <v>21</v>
      </c>
      <c r="H288" s="24">
        <v>10143</v>
      </c>
      <c r="I288" s="24">
        <v>2</v>
      </c>
      <c r="J288" s="24">
        <v>1098</v>
      </c>
      <c r="K288" s="24">
        <v>37</v>
      </c>
      <c r="L288" s="24">
        <v>19203</v>
      </c>
      <c r="M288" s="24">
        <v>19</v>
      </c>
      <c r="N288" s="24">
        <v>10146</v>
      </c>
      <c r="O288" s="24">
        <v>33</v>
      </c>
      <c r="P288" s="24">
        <v>17820</v>
      </c>
      <c r="Q288" s="24">
        <v>49</v>
      </c>
      <c r="R288" s="24">
        <v>21952</v>
      </c>
      <c r="S288" s="24">
        <v>48</v>
      </c>
      <c r="T288" s="24">
        <v>21120</v>
      </c>
      <c r="U288" s="24">
        <v>0</v>
      </c>
      <c r="V288" s="24">
        <v>0</v>
      </c>
      <c r="W288" s="24">
        <v>35</v>
      </c>
      <c r="X288" s="24">
        <v>16205</v>
      </c>
      <c r="Y288">
        <f t="shared" si="4"/>
        <v>244</v>
      </c>
    </row>
    <row r="289" spans="1:25" x14ac:dyDescent="0.4">
      <c r="A289" s="24" t="s">
        <v>2193</v>
      </c>
      <c r="B289" s="24" t="s">
        <v>2194</v>
      </c>
      <c r="C289" s="25">
        <v>43227</v>
      </c>
      <c r="D289" s="24" t="s">
        <v>2027</v>
      </c>
      <c r="E289" s="24" t="s">
        <v>2020</v>
      </c>
      <c r="F289" s="24" t="s">
        <v>2417</v>
      </c>
      <c r="G289" s="24">
        <v>6</v>
      </c>
      <c r="H289" s="24">
        <v>2616</v>
      </c>
      <c r="I289" s="24">
        <v>64</v>
      </c>
      <c r="J289" s="24">
        <v>30208</v>
      </c>
      <c r="K289" s="24">
        <v>31</v>
      </c>
      <c r="L289" s="24">
        <v>13237</v>
      </c>
      <c r="M289" s="24">
        <v>42</v>
      </c>
      <c r="N289" s="24">
        <v>21546</v>
      </c>
      <c r="O289" s="24">
        <v>62</v>
      </c>
      <c r="P289" s="24">
        <v>27342</v>
      </c>
      <c r="Q289" s="24">
        <v>69</v>
      </c>
      <c r="R289" s="24">
        <v>27945</v>
      </c>
      <c r="S289" s="24">
        <v>64</v>
      </c>
      <c r="T289" s="24">
        <v>31488</v>
      </c>
      <c r="U289" s="24">
        <v>42</v>
      </c>
      <c r="V289" s="24">
        <v>20496</v>
      </c>
      <c r="W289" s="24">
        <v>12</v>
      </c>
      <c r="X289" s="24">
        <v>5340</v>
      </c>
      <c r="Y289">
        <f t="shared" si="4"/>
        <v>392</v>
      </c>
    </row>
    <row r="290" spans="1:25" x14ac:dyDescent="0.4">
      <c r="A290" s="24" t="s">
        <v>2195</v>
      </c>
      <c r="B290" s="24" t="s">
        <v>2196</v>
      </c>
      <c r="C290" s="25">
        <v>42125</v>
      </c>
      <c r="D290" s="24" t="s">
        <v>2027</v>
      </c>
      <c r="E290" s="24" t="s">
        <v>2028</v>
      </c>
      <c r="F290" s="24" t="s">
        <v>2417</v>
      </c>
      <c r="G290" s="24">
        <v>13</v>
      </c>
      <c r="H290" s="24">
        <v>5200</v>
      </c>
      <c r="I290" s="24">
        <v>1</v>
      </c>
      <c r="J290" s="24">
        <v>495</v>
      </c>
      <c r="K290" s="24">
        <v>46</v>
      </c>
      <c r="L290" s="24">
        <v>22172</v>
      </c>
      <c r="M290" s="24">
        <v>7</v>
      </c>
      <c r="N290" s="24">
        <v>3402</v>
      </c>
      <c r="O290" s="24">
        <v>71</v>
      </c>
      <c r="P290" s="24">
        <v>34577</v>
      </c>
      <c r="Q290" s="24">
        <v>76</v>
      </c>
      <c r="R290" s="24">
        <v>33972</v>
      </c>
      <c r="S290" s="24">
        <v>43</v>
      </c>
      <c r="T290" s="24">
        <v>17286</v>
      </c>
      <c r="U290" s="24">
        <v>44</v>
      </c>
      <c r="V290" s="24">
        <v>19448</v>
      </c>
      <c r="W290" s="24">
        <v>7</v>
      </c>
      <c r="X290" s="24">
        <v>3164</v>
      </c>
      <c r="Y290">
        <f t="shared" si="4"/>
        <v>308</v>
      </c>
    </row>
    <row r="291" spans="1:25" x14ac:dyDescent="0.4">
      <c r="A291" s="24" t="s">
        <v>2197</v>
      </c>
      <c r="B291" s="24" t="s">
        <v>2198</v>
      </c>
      <c r="C291" s="25">
        <v>42784</v>
      </c>
      <c r="D291" s="24" t="s">
        <v>2015</v>
      </c>
      <c r="E291" s="24" t="s">
        <v>2028</v>
      </c>
      <c r="F291" s="24" t="s">
        <v>2417</v>
      </c>
      <c r="G291" s="24">
        <v>46</v>
      </c>
      <c r="H291" s="24">
        <v>22816</v>
      </c>
      <c r="I291" s="24">
        <v>2</v>
      </c>
      <c r="J291" s="24">
        <v>994</v>
      </c>
      <c r="K291" s="24">
        <v>51</v>
      </c>
      <c r="L291" s="24">
        <v>22542</v>
      </c>
      <c r="M291" s="24">
        <v>18</v>
      </c>
      <c r="N291" s="24">
        <v>8856</v>
      </c>
      <c r="O291" s="24">
        <v>36</v>
      </c>
      <c r="P291" s="24">
        <v>18144</v>
      </c>
      <c r="Q291" s="24">
        <v>23</v>
      </c>
      <c r="R291" s="24">
        <v>11408</v>
      </c>
      <c r="S291" s="24">
        <v>51</v>
      </c>
      <c r="T291" s="24">
        <v>23409</v>
      </c>
      <c r="U291" s="24">
        <v>53</v>
      </c>
      <c r="V291" s="24">
        <v>26394</v>
      </c>
      <c r="W291" s="24">
        <v>39</v>
      </c>
      <c r="X291" s="24">
        <v>18720</v>
      </c>
      <c r="Y291">
        <f t="shared" si="4"/>
        <v>319</v>
      </c>
    </row>
    <row r="292" spans="1:25" x14ac:dyDescent="0.4">
      <c r="A292" s="24" t="s">
        <v>2199</v>
      </c>
      <c r="B292" s="24" t="s">
        <v>2200</v>
      </c>
      <c r="C292" s="25">
        <v>44046</v>
      </c>
      <c r="D292" s="24" t="s">
        <v>2015</v>
      </c>
      <c r="E292" s="24" t="s">
        <v>2020</v>
      </c>
      <c r="F292" s="24" t="s">
        <v>2417</v>
      </c>
      <c r="G292" s="24">
        <v>63</v>
      </c>
      <c r="H292" s="24">
        <v>32886</v>
      </c>
      <c r="I292" s="24">
        <v>22</v>
      </c>
      <c r="J292" s="24">
        <v>12034</v>
      </c>
      <c r="K292" s="24">
        <v>21</v>
      </c>
      <c r="L292" s="24">
        <v>8862</v>
      </c>
      <c r="M292" s="24">
        <v>5</v>
      </c>
      <c r="N292" s="24">
        <v>2225</v>
      </c>
      <c r="O292" s="24">
        <v>57</v>
      </c>
      <c r="P292" s="24">
        <v>27816</v>
      </c>
      <c r="Q292" s="24">
        <v>2</v>
      </c>
      <c r="R292" s="24">
        <v>802</v>
      </c>
      <c r="S292" s="24">
        <v>35</v>
      </c>
      <c r="T292" s="24">
        <v>14560</v>
      </c>
      <c r="U292" s="24">
        <v>7</v>
      </c>
      <c r="V292" s="24">
        <v>3297</v>
      </c>
      <c r="W292" s="24">
        <v>61</v>
      </c>
      <c r="X292" s="24">
        <v>29097</v>
      </c>
      <c r="Y292">
        <f t="shared" si="4"/>
        <v>273</v>
      </c>
    </row>
    <row r="293" spans="1:25" x14ac:dyDescent="0.4">
      <c r="A293" s="24" t="s">
        <v>2201</v>
      </c>
      <c r="B293" s="24" t="s">
        <v>2202</v>
      </c>
      <c r="C293" s="25">
        <v>42040</v>
      </c>
      <c r="D293" s="24" t="s">
        <v>2015</v>
      </c>
      <c r="E293" s="24" t="s">
        <v>2028</v>
      </c>
      <c r="F293" s="24" t="s">
        <v>2417</v>
      </c>
      <c r="G293" s="24">
        <v>32</v>
      </c>
      <c r="H293" s="24">
        <v>13504</v>
      </c>
      <c r="I293" s="24">
        <v>15</v>
      </c>
      <c r="J293" s="24">
        <v>7920</v>
      </c>
      <c r="K293" s="24">
        <v>57</v>
      </c>
      <c r="L293" s="24">
        <v>30210</v>
      </c>
      <c r="M293" s="24">
        <v>53</v>
      </c>
      <c r="N293" s="24">
        <v>25175</v>
      </c>
      <c r="O293" s="24">
        <v>19</v>
      </c>
      <c r="P293" s="24">
        <v>8341</v>
      </c>
      <c r="Q293" s="24">
        <v>24</v>
      </c>
      <c r="R293" s="24">
        <v>13008</v>
      </c>
      <c r="S293" s="24">
        <v>18</v>
      </c>
      <c r="T293" s="24">
        <v>9594</v>
      </c>
      <c r="U293" s="24">
        <v>47</v>
      </c>
      <c r="V293" s="24">
        <v>25709</v>
      </c>
      <c r="W293" s="24">
        <v>18</v>
      </c>
      <c r="X293" s="24">
        <v>9288</v>
      </c>
      <c r="Y293">
        <f t="shared" si="4"/>
        <v>283</v>
      </c>
    </row>
    <row r="294" spans="1:25" x14ac:dyDescent="0.4">
      <c r="A294" s="24" t="s">
        <v>2203</v>
      </c>
      <c r="B294" s="24" t="s">
        <v>2204</v>
      </c>
      <c r="C294" s="25">
        <v>43043</v>
      </c>
      <c r="D294" s="24" t="s">
        <v>2015</v>
      </c>
      <c r="E294" s="24" t="s">
        <v>2028</v>
      </c>
      <c r="F294" s="24" t="s">
        <v>2417</v>
      </c>
      <c r="G294" s="24">
        <v>57</v>
      </c>
      <c r="H294" s="24">
        <v>24681</v>
      </c>
      <c r="I294" s="24">
        <v>11</v>
      </c>
      <c r="J294" s="24">
        <v>5621</v>
      </c>
      <c r="K294" s="24">
        <v>66</v>
      </c>
      <c r="L294" s="24">
        <v>31746</v>
      </c>
      <c r="M294" s="24">
        <v>44</v>
      </c>
      <c r="N294" s="24">
        <v>18480</v>
      </c>
      <c r="O294" s="24">
        <v>15</v>
      </c>
      <c r="P294" s="24">
        <v>6390</v>
      </c>
      <c r="Q294" s="24">
        <v>74</v>
      </c>
      <c r="R294" s="24">
        <v>30266</v>
      </c>
      <c r="S294" s="24">
        <v>23</v>
      </c>
      <c r="T294" s="24">
        <v>11316</v>
      </c>
      <c r="U294" s="24">
        <v>27</v>
      </c>
      <c r="V294" s="24">
        <v>13797</v>
      </c>
      <c r="W294" s="24">
        <v>1</v>
      </c>
      <c r="X294" s="24">
        <v>413</v>
      </c>
      <c r="Y294">
        <f t="shared" si="4"/>
        <v>318</v>
      </c>
    </row>
    <row r="295" spans="1:25" x14ac:dyDescent="0.4">
      <c r="A295" s="24" t="s">
        <v>2205</v>
      </c>
      <c r="B295" s="24" t="s">
        <v>2206</v>
      </c>
      <c r="C295" s="25">
        <v>42865</v>
      </c>
      <c r="D295" s="24" t="s">
        <v>2027</v>
      </c>
      <c r="E295" s="24" t="s">
        <v>2016</v>
      </c>
      <c r="F295" s="24" t="s">
        <v>2417</v>
      </c>
      <c r="G295" s="24">
        <v>44</v>
      </c>
      <c r="H295" s="24">
        <v>17820</v>
      </c>
      <c r="I295" s="24">
        <v>76</v>
      </c>
      <c r="J295" s="24">
        <v>30552</v>
      </c>
      <c r="K295" s="24">
        <v>11</v>
      </c>
      <c r="L295" s="24">
        <v>5467</v>
      </c>
      <c r="M295" s="24">
        <v>61</v>
      </c>
      <c r="N295" s="24">
        <v>29219</v>
      </c>
      <c r="O295" s="24">
        <v>13</v>
      </c>
      <c r="P295" s="24">
        <v>6864</v>
      </c>
      <c r="Q295" s="24">
        <v>42</v>
      </c>
      <c r="R295" s="24">
        <v>21588</v>
      </c>
      <c r="S295" s="24">
        <v>4</v>
      </c>
      <c r="T295" s="24">
        <v>2032</v>
      </c>
      <c r="U295" s="24">
        <v>75</v>
      </c>
      <c r="V295" s="24">
        <v>32100</v>
      </c>
      <c r="W295" s="24">
        <v>6</v>
      </c>
      <c r="X295" s="24">
        <v>3018</v>
      </c>
      <c r="Y295">
        <f t="shared" si="4"/>
        <v>332</v>
      </c>
    </row>
    <row r="296" spans="1:25" x14ac:dyDescent="0.4">
      <c r="A296" s="24" t="s">
        <v>2207</v>
      </c>
      <c r="B296" s="24" t="s">
        <v>2208</v>
      </c>
      <c r="C296" s="25">
        <v>42963</v>
      </c>
      <c r="D296" s="24" t="s">
        <v>2015</v>
      </c>
      <c r="E296" s="24" t="s">
        <v>2028</v>
      </c>
      <c r="F296" s="24" t="s">
        <v>2417</v>
      </c>
      <c r="G296" s="24">
        <v>19</v>
      </c>
      <c r="H296" s="24">
        <v>9937</v>
      </c>
      <c r="I296" s="24">
        <v>73</v>
      </c>
      <c r="J296" s="24">
        <v>34310</v>
      </c>
      <c r="K296" s="24">
        <v>25</v>
      </c>
      <c r="L296" s="24">
        <v>13500</v>
      </c>
      <c r="M296" s="24">
        <v>2</v>
      </c>
      <c r="N296" s="24">
        <v>1092</v>
      </c>
      <c r="O296" s="24">
        <v>57</v>
      </c>
      <c r="P296" s="24">
        <v>25935</v>
      </c>
      <c r="Q296" s="24">
        <v>51</v>
      </c>
      <c r="R296" s="24">
        <v>26010</v>
      </c>
      <c r="S296" s="24">
        <v>34</v>
      </c>
      <c r="T296" s="24">
        <v>15232</v>
      </c>
      <c r="U296" s="24">
        <v>4</v>
      </c>
      <c r="V296" s="24">
        <v>1800</v>
      </c>
      <c r="W296" s="24">
        <v>33</v>
      </c>
      <c r="X296" s="24">
        <v>14949</v>
      </c>
      <c r="Y296">
        <f t="shared" si="4"/>
        <v>298</v>
      </c>
    </row>
    <row r="297" spans="1:25" x14ac:dyDescent="0.4">
      <c r="A297" s="24" t="s">
        <v>2209</v>
      </c>
      <c r="B297" s="24" t="s">
        <v>2210</v>
      </c>
      <c r="C297" s="25">
        <v>43385</v>
      </c>
      <c r="D297" s="24" t="s">
        <v>2027</v>
      </c>
      <c r="E297" s="24" t="s">
        <v>2016</v>
      </c>
      <c r="F297" s="24" t="s">
        <v>2417</v>
      </c>
      <c r="G297" s="24">
        <v>18</v>
      </c>
      <c r="H297" s="24">
        <v>7308</v>
      </c>
      <c r="I297" s="24">
        <v>7</v>
      </c>
      <c r="J297" s="24">
        <v>3654</v>
      </c>
      <c r="K297" s="24">
        <v>14</v>
      </c>
      <c r="L297" s="24">
        <v>7280</v>
      </c>
      <c r="M297" s="24">
        <v>4</v>
      </c>
      <c r="N297" s="24">
        <v>1720</v>
      </c>
      <c r="O297" s="24">
        <v>21</v>
      </c>
      <c r="P297" s="24">
        <v>8652</v>
      </c>
      <c r="Q297" s="24">
        <v>62</v>
      </c>
      <c r="R297" s="24">
        <v>26970</v>
      </c>
      <c r="S297" s="24">
        <v>59</v>
      </c>
      <c r="T297" s="24">
        <v>27140</v>
      </c>
      <c r="U297" s="24">
        <v>4</v>
      </c>
      <c r="V297" s="24">
        <v>2060</v>
      </c>
      <c r="W297" s="24">
        <v>55</v>
      </c>
      <c r="X297" s="24">
        <v>29260</v>
      </c>
      <c r="Y297">
        <f t="shared" si="4"/>
        <v>244</v>
      </c>
    </row>
    <row r="298" spans="1:25" x14ac:dyDescent="0.4">
      <c r="A298" s="24" t="s">
        <v>2211</v>
      </c>
      <c r="B298" s="24" t="s">
        <v>2212</v>
      </c>
      <c r="C298" s="25">
        <v>42320</v>
      </c>
      <c r="D298" s="24" t="s">
        <v>2015</v>
      </c>
      <c r="E298" s="24" t="s">
        <v>2016</v>
      </c>
      <c r="F298" s="24" t="s">
        <v>2417</v>
      </c>
      <c r="G298" s="24">
        <v>58</v>
      </c>
      <c r="H298" s="24">
        <v>28246</v>
      </c>
      <c r="I298" s="24">
        <v>6</v>
      </c>
      <c r="J298" s="24">
        <v>2736</v>
      </c>
      <c r="K298" s="24">
        <v>71</v>
      </c>
      <c r="L298" s="24">
        <v>34506</v>
      </c>
      <c r="M298" s="24">
        <v>51</v>
      </c>
      <c r="N298" s="24">
        <v>24072</v>
      </c>
      <c r="O298" s="24">
        <v>7</v>
      </c>
      <c r="P298" s="24">
        <v>3297</v>
      </c>
      <c r="Q298" s="24">
        <v>18</v>
      </c>
      <c r="R298" s="24">
        <v>7452</v>
      </c>
      <c r="S298" s="24">
        <v>70</v>
      </c>
      <c r="T298" s="24">
        <v>35070</v>
      </c>
      <c r="U298" s="24">
        <v>67</v>
      </c>
      <c r="V298" s="24">
        <v>27470</v>
      </c>
      <c r="W298" s="24">
        <v>32</v>
      </c>
      <c r="X298" s="24">
        <v>14784</v>
      </c>
      <c r="Y298">
        <f t="shared" si="4"/>
        <v>380</v>
      </c>
    </row>
    <row r="299" spans="1:25" x14ac:dyDescent="0.4">
      <c r="A299" s="24" t="s">
        <v>2213</v>
      </c>
      <c r="B299" s="24" t="s">
        <v>2214</v>
      </c>
      <c r="C299" s="25">
        <v>43200</v>
      </c>
      <c r="D299" s="24" t="s">
        <v>2015</v>
      </c>
      <c r="E299" s="24" t="s">
        <v>2020</v>
      </c>
      <c r="F299" s="24" t="s">
        <v>2417</v>
      </c>
      <c r="G299" s="24">
        <v>21</v>
      </c>
      <c r="H299" s="24">
        <v>9114</v>
      </c>
      <c r="I299" s="24">
        <v>14</v>
      </c>
      <c r="J299" s="24">
        <v>7112</v>
      </c>
      <c r="K299" s="24">
        <v>74</v>
      </c>
      <c r="L299" s="24">
        <v>40552</v>
      </c>
      <c r="M299" s="24">
        <v>76</v>
      </c>
      <c r="N299" s="24">
        <v>40888</v>
      </c>
      <c r="O299" s="24">
        <v>22</v>
      </c>
      <c r="P299" s="24">
        <v>8932</v>
      </c>
      <c r="Q299" s="24">
        <v>55</v>
      </c>
      <c r="R299" s="24">
        <v>24585</v>
      </c>
      <c r="S299" s="24">
        <v>40</v>
      </c>
      <c r="T299" s="24">
        <v>18440</v>
      </c>
      <c r="U299" s="24">
        <v>15</v>
      </c>
      <c r="V299" s="24">
        <v>6780</v>
      </c>
      <c r="W299" s="24">
        <v>37</v>
      </c>
      <c r="X299" s="24">
        <v>15873</v>
      </c>
      <c r="Y299">
        <f t="shared" si="4"/>
        <v>354</v>
      </c>
    </row>
    <row r="300" spans="1:25" x14ac:dyDescent="0.4">
      <c r="A300" s="24" t="s">
        <v>2215</v>
      </c>
      <c r="B300" s="24" t="s">
        <v>2216</v>
      </c>
      <c r="C300" s="25">
        <v>43936</v>
      </c>
      <c r="D300" s="24" t="s">
        <v>2027</v>
      </c>
      <c r="E300" s="24" t="s">
        <v>2020</v>
      </c>
      <c r="F300" s="24" t="s">
        <v>2417</v>
      </c>
      <c r="G300" s="24">
        <v>70</v>
      </c>
      <c r="H300" s="24">
        <v>32130</v>
      </c>
      <c r="I300" s="24">
        <v>55</v>
      </c>
      <c r="J300" s="24">
        <v>26950</v>
      </c>
      <c r="K300" s="24">
        <v>72</v>
      </c>
      <c r="L300" s="24">
        <v>35784</v>
      </c>
      <c r="M300" s="24">
        <v>20</v>
      </c>
      <c r="N300" s="24">
        <v>10020</v>
      </c>
      <c r="O300" s="24">
        <v>14</v>
      </c>
      <c r="P300" s="24">
        <v>7462</v>
      </c>
      <c r="Q300" s="24">
        <v>15</v>
      </c>
      <c r="R300" s="24">
        <v>6570</v>
      </c>
      <c r="S300" s="24">
        <v>11</v>
      </c>
      <c r="T300" s="24">
        <v>4961</v>
      </c>
      <c r="U300" s="24">
        <v>10</v>
      </c>
      <c r="V300" s="24">
        <v>5100</v>
      </c>
      <c r="W300" s="24">
        <v>70</v>
      </c>
      <c r="X300" s="24">
        <v>33670</v>
      </c>
      <c r="Y300">
        <f t="shared" si="4"/>
        <v>337</v>
      </c>
    </row>
    <row r="301" spans="1:25" x14ac:dyDescent="0.4">
      <c r="A301" s="24" t="s">
        <v>2217</v>
      </c>
      <c r="B301" s="24" t="s">
        <v>2218</v>
      </c>
      <c r="C301" s="25">
        <v>43667</v>
      </c>
      <c r="D301" s="24" t="s">
        <v>2027</v>
      </c>
      <c r="E301" s="24" t="s">
        <v>2016</v>
      </c>
      <c r="F301" s="24" t="s">
        <v>2417</v>
      </c>
      <c r="G301" s="24">
        <v>12</v>
      </c>
      <c r="H301" s="24">
        <v>5124</v>
      </c>
      <c r="I301" s="24">
        <v>35</v>
      </c>
      <c r="J301" s="24">
        <v>16345</v>
      </c>
      <c r="K301" s="24">
        <v>3</v>
      </c>
      <c r="L301" s="24">
        <v>1341</v>
      </c>
      <c r="M301" s="24">
        <v>62</v>
      </c>
      <c r="N301" s="24">
        <v>26474</v>
      </c>
      <c r="O301" s="24">
        <v>0</v>
      </c>
      <c r="P301" s="24">
        <v>0</v>
      </c>
      <c r="Q301" s="24">
        <v>61</v>
      </c>
      <c r="R301" s="24">
        <v>31293</v>
      </c>
      <c r="S301" s="24">
        <v>52</v>
      </c>
      <c r="T301" s="24">
        <v>21684</v>
      </c>
      <c r="U301" s="24">
        <v>13</v>
      </c>
      <c r="V301" s="24">
        <v>5291</v>
      </c>
      <c r="W301" s="24">
        <v>72</v>
      </c>
      <c r="X301" s="24">
        <v>39240</v>
      </c>
      <c r="Y301">
        <f t="shared" si="4"/>
        <v>310</v>
      </c>
    </row>
    <row r="302" spans="1:25" x14ac:dyDescent="0.4">
      <c r="A302" s="24" t="s">
        <v>2219</v>
      </c>
      <c r="B302" s="24" t="s">
        <v>2220</v>
      </c>
      <c r="C302" s="25">
        <v>42332</v>
      </c>
      <c r="D302" s="24" t="s">
        <v>2027</v>
      </c>
      <c r="E302" s="24" t="s">
        <v>2020</v>
      </c>
      <c r="F302" s="24" t="s">
        <v>2417</v>
      </c>
      <c r="G302" s="24">
        <v>36</v>
      </c>
      <c r="H302" s="24">
        <v>16956</v>
      </c>
      <c r="I302" s="24">
        <v>16</v>
      </c>
      <c r="J302" s="24">
        <v>6640</v>
      </c>
      <c r="K302" s="24">
        <v>17</v>
      </c>
      <c r="L302" s="24">
        <v>9146</v>
      </c>
      <c r="M302" s="24">
        <v>22</v>
      </c>
      <c r="N302" s="24">
        <v>11308</v>
      </c>
      <c r="O302" s="24">
        <v>1</v>
      </c>
      <c r="P302" s="24">
        <v>541</v>
      </c>
      <c r="Q302" s="24">
        <v>5</v>
      </c>
      <c r="R302" s="24">
        <v>2665</v>
      </c>
      <c r="S302" s="24">
        <v>36</v>
      </c>
      <c r="T302" s="24">
        <v>19224</v>
      </c>
      <c r="U302" s="24">
        <v>26</v>
      </c>
      <c r="V302" s="24">
        <v>13000</v>
      </c>
      <c r="W302" s="24">
        <v>66</v>
      </c>
      <c r="X302" s="24">
        <v>36168</v>
      </c>
      <c r="Y302">
        <f t="shared" si="4"/>
        <v>225</v>
      </c>
    </row>
    <row r="303" spans="1:25" x14ac:dyDescent="0.4">
      <c r="A303" s="24" t="s">
        <v>2221</v>
      </c>
      <c r="B303" s="24" t="s">
        <v>2222</v>
      </c>
      <c r="C303" s="25">
        <v>43796</v>
      </c>
      <c r="D303" s="24" t="s">
        <v>2015</v>
      </c>
      <c r="E303" s="24" t="s">
        <v>2020</v>
      </c>
      <c r="F303" s="24" t="s">
        <v>2417</v>
      </c>
      <c r="G303" s="24">
        <v>0</v>
      </c>
      <c r="H303" s="24">
        <v>0</v>
      </c>
      <c r="I303" s="24">
        <v>9</v>
      </c>
      <c r="J303" s="24">
        <v>4284</v>
      </c>
      <c r="K303" s="24">
        <v>45</v>
      </c>
      <c r="L303" s="24">
        <v>20610</v>
      </c>
      <c r="M303" s="24">
        <v>25</v>
      </c>
      <c r="N303" s="24">
        <v>12800</v>
      </c>
      <c r="O303" s="24">
        <v>42</v>
      </c>
      <c r="P303" s="24">
        <v>22050</v>
      </c>
      <c r="Q303" s="24">
        <v>35</v>
      </c>
      <c r="R303" s="24">
        <v>15050</v>
      </c>
      <c r="S303" s="24">
        <v>47</v>
      </c>
      <c r="T303" s="24">
        <v>24111</v>
      </c>
      <c r="U303" s="24">
        <v>40</v>
      </c>
      <c r="V303" s="24">
        <v>16680</v>
      </c>
      <c r="W303" s="24">
        <v>10</v>
      </c>
      <c r="X303" s="24">
        <v>5220</v>
      </c>
      <c r="Y303">
        <f t="shared" si="4"/>
        <v>253</v>
      </c>
    </row>
    <row r="304" spans="1:25" x14ac:dyDescent="0.4">
      <c r="A304" s="24" t="s">
        <v>2223</v>
      </c>
      <c r="B304" s="24" t="s">
        <v>2224</v>
      </c>
      <c r="C304" s="25">
        <v>42879</v>
      </c>
      <c r="D304" s="24" t="s">
        <v>2015</v>
      </c>
      <c r="E304" s="24" t="s">
        <v>2028</v>
      </c>
      <c r="F304" s="24" t="s">
        <v>2417</v>
      </c>
      <c r="G304" s="24">
        <v>17</v>
      </c>
      <c r="H304" s="24">
        <v>6970</v>
      </c>
      <c r="I304" s="24">
        <v>50</v>
      </c>
      <c r="J304" s="24">
        <v>20000</v>
      </c>
      <c r="K304" s="24">
        <v>17</v>
      </c>
      <c r="L304" s="24">
        <v>9010</v>
      </c>
      <c r="M304" s="24">
        <v>14</v>
      </c>
      <c r="N304" s="24">
        <v>6650</v>
      </c>
      <c r="O304" s="24">
        <v>70</v>
      </c>
      <c r="P304" s="24">
        <v>35980</v>
      </c>
      <c r="Q304" s="24">
        <v>39</v>
      </c>
      <c r="R304" s="24">
        <v>20631</v>
      </c>
      <c r="S304" s="24">
        <v>15</v>
      </c>
      <c r="T304" s="24">
        <v>7755</v>
      </c>
      <c r="U304" s="24">
        <v>56</v>
      </c>
      <c r="V304" s="24">
        <v>23464</v>
      </c>
      <c r="W304" s="24">
        <v>59</v>
      </c>
      <c r="X304" s="24">
        <v>29382</v>
      </c>
      <c r="Y304">
        <f t="shared" si="4"/>
        <v>337</v>
      </c>
    </row>
    <row r="305" spans="1:25" x14ac:dyDescent="0.4">
      <c r="A305" s="24" t="s">
        <v>2225</v>
      </c>
      <c r="B305" s="24" t="s">
        <v>2226</v>
      </c>
      <c r="C305" s="25">
        <v>42481</v>
      </c>
      <c r="D305" s="24" t="s">
        <v>2027</v>
      </c>
      <c r="E305" s="24" t="s">
        <v>2028</v>
      </c>
      <c r="F305" s="24" t="s">
        <v>2417</v>
      </c>
      <c r="G305" s="24">
        <v>0</v>
      </c>
      <c r="H305" s="24">
        <v>0</v>
      </c>
      <c r="I305" s="24">
        <v>30</v>
      </c>
      <c r="J305" s="24">
        <v>12630</v>
      </c>
      <c r="K305" s="24">
        <v>36</v>
      </c>
      <c r="L305" s="24">
        <v>15156</v>
      </c>
      <c r="M305" s="24">
        <v>1</v>
      </c>
      <c r="N305" s="24">
        <v>424</v>
      </c>
      <c r="O305" s="24">
        <v>63</v>
      </c>
      <c r="P305" s="24">
        <v>31563</v>
      </c>
      <c r="Q305" s="24">
        <v>44</v>
      </c>
      <c r="R305" s="24">
        <v>18436</v>
      </c>
      <c r="S305" s="24">
        <v>10</v>
      </c>
      <c r="T305" s="24">
        <v>4240</v>
      </c>
      <c r="U305" s="24">
        <v>40</v>
      </c>
      <c r="V305" s="24">
        <v>18040</v>
      </c>
      <c r="W305" s="24">
        <v>46</v>
      </c>
      <c r="X305" s="24">
        <v>21022</v>
      </c>
      <c r="Y305">
        <f t="shared" si="4"/>
        <v>270</v>
      </c>
    </row>
    <row r="306" spans="1:25" x14ac:dyDescent="0.4">
      <c r="A306" s="24" t="s">
        <v>2227</v>
      </c>
      <c r="B306" s="24" t="s">
        <v>2228</v>
      </c>
      <c r="C306" s="25">
        <v>42645</v>
      </c>
      <c r="D306" s="24" t="s">
        <v>2015</v>
      </c>
      <c r="E306" s="24" t="s">
        <v>2020</v>
      </c>
      <c r="F306" s="24" t="s">
        <v>2417</v>
      </c>
      <c r="G306" s="24">
        <v>66</v>
      </c>
      <c r="H306" s="24">
        <v>30624</v>
      </c>
      <c r="I306" s="24">
        <v>58</v>
      </c>
      <c r="J306" s="24">
        <v>31378</v>
      </c>
      <c r="K306" s="24">
        <v>3</v>
      </c>
      <c r="L306" s="24">
        <v>1602</v>
      </c>
      <c r="M306" s="24">
        <v>46</v>
      </c>
      <c r="N306" s="24">
        <v>23828</v>
      </c>
      <c r="O306" s="24">
        <v>47</v>
      </c>
      <c r="P306" s="24">
        <v>24252</v>
      </c>
      <c r="Q306" s="24">
        <v>50</v>
      </c>
      <c r="R306" s="24">
        <v>26250</v>
      </c>
      <c r="S306" s="24">
        <v>4</v>
      </c>
      <c r="T306" s="24">
        <v>1812</v>
      </c>
      <c r="U306" s="24">
        <v>53</v>
      </c>
      <c r="V306" s="24">
        <v>27507</v>
      </c>
      <c r="W306" s="24">
        <v>19</v>
      </c>
      <c r="X306" s="24">
        <v>7714</v>
      </c>
      <c r="Y306">
        <f t="shared" si="4"/>
        <v>346</v>
      </c>
    </row>
    <row r="307" spans="1:25" x14ac:dyDescent="0.4">
      <c r="A307" s="24" t="s">
        <v>2229</v>
      </c>
      <c r="B307" s="24" t="s">
        <v>2230</v>
      </c>
      <c r="C307" s="25">
        <v>43935</v>
      </c>
      <c r="D307" s="24" t="s">
        <v>2027</v>
      </c>
      <c r="E307" s="24" t="s">
        <v>2028</v>
      </c>
      <c r="F307" s="24" t="s">
        <v>2417</v>
      </c>
      <c r="G307" s="24">
        <v>67</v>
      </c>
      <c r="H307" s="24">
        <v>30217</v>
      </c>
      <c r="I307" s="24">
        <v>17</v>
      </c>
      <c r="J307" s="24">
        <v>9112</v>
      </c>
      <c r="K307" s="24">
        <v>26</v>
      </c>
      <c r="L307" s="24">
        <v>13988</v>
      </c>
      <c r="M307" s="24">
        <v>72</v>
      </c>
      <c r="N307" s="24">
        <v>38232</v>
      </c>
      <c r="O307" s="24">
        <v>11</v>
      </c>
      <c r="P307" s="24">
        <v>5764</v>
      </c>
      <c r="Q307" s="24">
        <v>48</v>
      </c>
      <c r="R307" s="24">
        <v>21264</v>
      </c>
      <c r="S307" s="24">
        <v>42</v>
      </c>
      <c r="T307" s="24">
        <v>22260</v>
      </c>
      <c r="U307" s="24">
        <v>26</v>
      </c>
      <c r="V307" s="24">
        <v>12220</v>
      </c>
      <c r="W307" s="24">
        <v>23</v>
      </c>
      <c r="X307" s="24">
        <v>11914</v>
      </c>
      <c r="Y307">
        <f t="shared" si="4"/>
        <v>332</v>
      </c>
    </row>
    <row r="308" spans="1:25" x14ac:dyDescent="0.4">
      <c r="A308" s="24" t="s">
        <v>2231</v>
      </c>
      <c r="B308" s="24" t="s">
        <v>2232</v>
      </c>
      <c r="C308" s="25">
        <v>43245</v>
      </c>
      <c r="D308" s="24" t="s">
        <v>2015</v>
      </c>
      <c r="E308" s="24" t="s">
        <v>2016</v>
      </c>
      <c r="F308" s="24" t="s">
        <v>2417</v>
      </c>
      <c r="G308" s="24">
        <v>51</v>
      </c>
      <c r="H308" s="24">
        <v>21063</v>
      </c>
      <c r="I308" s="24">
        <v>57</v>
      </c>
      <c r="J308" s="24">
        <v>26733</v>
      </c>
      <c r="K308" s="24">
        <v>10</v>
      </c>
      <c r="L308" s="24">
        <v>4140</v>
      </c>
      <c r="M308" s="24">
        <v>17</v>
      </c>
      <c r="N308" s="24">
        <v>7769</v>
      </c>
      <c r="O308" s="24">
        <v>51</v>
      </c>
      <c r="P308" s="24">
        <v>26214</v>
      </c>
      <c r="Q308" s="24">
        <v>46</v>
      </c>
      <c r="R308" s="24">
        <v>23598</v>
      </c>
      <c r="S308" s="24">
        <v>52</v>
      </c>
      <c r="T308" s="24">
        <v>22048</v>
      </c>
      <c r="U308" s="24">
        <v>57</v>
      </c>
      <c r="V308" s="24">
        <v>25308</v>
      </c>
      <c r="W308" s="24">
        <v>33</v>
      </c>
      <c r="X308" s="24">
        <v>13398</v>
      </c>
      <c r="Y308">
        <f t="shared" si="4"/>
        <v>374</v>
      </c>
    </row>
    <row r="309" spans="1:25" x14ac:dyDescent="0.4">
      <c r="A309" s="24" t="s">
        <v>2233</v>
      </c>
      <c r="B309" s="24" t="s">
        <v>2234</v>
      </c>
      <c r="C309" s="25">
        <v>43834</v>
      </c>
      <c r="D309" s="24" t="s">
        <v>2015</v>
      </c>
      <c r="E309" s="24" t="s">
        <v>2016</v>
      </c>
      <c r="F309" s="24" t="s">
        <v>2417</v>
      </c>
      <c r="G309" s="24">
        <v>38</v>
      </c>
      <c r="H309" s="24">
        <v>16758</v>
      </c>
      <c r="I309" s="24">
        <v>61</v>
      </c>
      <c r="J309" s="24">
        <v>33245</v>
      </c>
      <c r="K309" s="24">
        <v>56</v>
      </c>
      <c r="L309" s="24">
        <v>27384</v>
      </c>
      <c r="M309" s="24">
        <v>36</v>
      </c>
      <c r="N309" s="24">
        <v>14796</v>
      </c>
      <c r="O309" s="24">
        <v>44</v>
      </c>
      <c r="P309" s="24">
        <v>17820</v>
      </c>
      <c r="Q309" s="24">
        <v>61</v>
      </c>
      <c r="R309" s="24">
        <v>24888</v>
      </c>
      <c r="S309" s="24">
        <v>69</v>
      </c>
      <c r="T309" s="24">
        <v>28152</v>
      </c>
      <c r="U309" s="24">
        <v>0</v>
      </c>
      <c r="V309" s="24">
        <v>0</v>
      </c>
      <c r="W309" s="24">
        <v>68</v>
      </c>
      <c r="X309" s="24">
        <v>30124</v>
      </c>
      <c r="Y309">
        <f t="shared" si="4"/>
        <v>433</v>
      </c>
    </row>
    <row r="310" spans="1:25" x14ac:dyDescent="0.4">
      <c r="A310" s="24" t="s">
        <v>2235</v>
      </c>
      <c r="B310" s="24" t="s">
        <v>2236</v>
      </c>
      <c r="C310" s="25">
        <v>42683</v>
      </c>
      <c r="D310" s="24" t="s">
        <v>2027</v>
      </c>
      <c r="E310" s="24" t="s">
        <v>2016</v>
      </c>
      <c r="F310" s="24" t="s">
        <v>2417</v>
      </c>
      <c r="G310" s="24">
        <v>72</v>
      </c>
      <c r="H310" s="24">
        <v>32616</v>
      </c>
      <c r="I310" s="24">
        <v>7</v>
      </c>
      <c r="J310" s="24">
        <v>2863</v>
      </c>
      <c r="K310" s="24">
        <v>51</v>
      </c>
      <c r="L310" s="24">
        <v>24378</v>
      </c>
      <c r="M310" s="24">
        <v>36</v>
      </c>
      <c r="N310" s="24">
        <v>17316</v>
      </c>
      <c r="O310" s="24">
        <v>72</v>
      </c>
      <c r="P310" s="24">
        <v>29376</v>
      </c>
      <c r="Q310" s="24">
        <v>71</v>
      </c>
      <c r="R310" s="24">
        <v>37630</v>
      </c>
      <c r="S310" s="24">
        <v>33</v>
      </c>
      <c r="T310" s="24">
        <v>15081</v>
      </c>
      <c r="U310" s="24">
        <v>16</v>
      </c>
      <c r="V310" s="24">
        <v>6704</v>
      </c>
      <c r="W310" s="24">
        <v>54</v>
      </c>
      <c r="X310" s="24">
        <v>26838</v>
      </c>
      <c r="Y310">
        <f t="shared" si="4"/>
        <v>412</v>
      </c>
    </row>
    <row r="311" spans="1:25" x14ac:dyDescent="0.4">
      <c r="A311" s="24" t="s">
        <v>2237</v>
      </c>
      <c r="B311" s="24" t="s">
        <v>2238</v>
      </c>
      <c r="C311" s="25">
        <v>42329</v>
      </c>
      <c r="D311" s="24" t="s">
        <v>2027</v>
      </c>
      <c r="E311" s="24" t="s">
        <v>2020</v>
      </c>
      <c r="F311" s="24" t="s">
        <v>2417</v>
      </c>
      <c r="G311" s="24">
        <v>23</v>
      </c>
      <c r="H311" s="24">
        <v>10028</v>
      </c>
      <c r="I311" s="24">
        <v>67</v>
      </c>
      <c r="J311" s="24">
        <v>35175</v>
      </c>
      <c r="K311" s="24">
        <v>49</v>
      </c>
      <c r="L311" s="24">
        <v>25774</v>
      </c>
      <c r="M311" s="24">
        <v>47</v>
      </c>
      <c r="N311" s="24">
        <v>22325</v>
      </c>
      <c r="O311" s="24">
        <v>42</v>
      </c>
      <c r="P311" s="24">
        <v>18228</v>
      </c>
      <c r="Q311" s="24">
        <v>48</v>
      </c>
      <c r="R311" s="24">
        <v>24912</v>
      </c>
      <c r="S311" s="24">
        <v>46</v>
      </c>
      <c r="T311" s="24">
        <v>23322</v>
      </c>
      <c r="U311" s="24">
        <v>13</v>
      </c>
      <c r="V311" s="24">
        <v>6253</v>
      </c>
      <c r="W311" s="24">
        <v>59</v>
      </c>
      <c r="X311" s="24">
        <v>27907</v>
      </c>
      <c r="Y311">
        <f t="shared" si="4"/>
        <v>394</v>
      </c>
    </row>
    <row r="312" spans="1:25" x14ac:dyDescent="0.4">
      <c r="A312" s="24" t="s">
        <v>2239</v>
      </c>
      <c r="B312" s="24" t="s">
        <v>2240</v>
      </c>
      <c r="C312" s="25">
        <v>42553</v>
      </c>
      <c r="D312" s="24" t="s">
        <v>2015</v>
      </c>
      <c r="E312" s="24" t="s">
        <v>2016</v>
      </c>
      <c r="F312" s="24" t="s">
        <v>2417</v>
      </c>
      <c r="G312" s="24">
        <v>75</v>
      </c>
      <c r="H312" s="24">
        <v>37575</v>
      </c>
      <c r="I312" s="24">
        <v>31</v>
      </c>
      <c r="J312" s="24">
        <v>14477</v>
      </c>
      <c r="K312" s="24">
        <v>37</v>
      </c>
      <c r="L312" s="24">
        <v>16613</v>
      </c>
      <c r="M312" s="24">
        <v>61</v>
      </c>
      <c r="N312" s="24">
        <v>32879</v>
      </c>
      <c r="O312" s="24">
        <v>48</v>
      </c>
      <c r="P312" s="24">
        <v>26352</v>
      </c>
      <c r="Q312" s="24">
        <v>34</v>
      </c>
      <c r="R312" s="24">
        <v>16150</v>
      </c>
      <c r="S312" s="24">
        <v>0</v>
      </c>
      <c r="T312" s="24">
        <v>0</v>
      </c>
      <c r="U312" s="24">
        <v>65</v>
      </c>
      <c r="V312" s="24">
        <v>26065</v>
      </c>
      <c r="W312" s="24">
        <v>54</v>
      </c>
      <c r="X312" s="24">
        <v>29214</v>
      </c>
      <c r="Y312">
        <f t="shared" si="4"/>
        <v>405</v>
      </c>
    </row>
    <row r="313" spans="1:25" x14ac:dyDescent="0.4">
      <c r="A313" s="24" t="s">
        <v>2241</v>
      </c>
      <c r="B313" s="24" t="s">
        <v>2242</v>
      </c>
      <c r="C313" s="25">
        <v>43359</v>
      </c>
      <c r="D313" s="24" t="s">
        <v>2015</v>
      </c>
      <c r="E313" s="24" t="s">
        <v>2016</v>
      </c>
      <c r="F313" s="24" t="s">
        <v>2417</v>
      </c>
      <c r="G313" s="24">
        <v>9</v>
      </c>
      <c r="H313" s="24">
        <v>4176</v>
      </c>
      <c r="I313" s="24">
        <v>3</v>
      </c>
      <c r="J313" s="24">
        <v>1629</v>
      </c>
      <c r="K313" s="24">
        <v>1</v>
      </c>
      <c r="L313" s="24">
        <v>452</v>
      </c>
      <c r="M313" s="24">
        <v>30</v>
      </c>
      <c r="N313" s="24">
        <v>12090</v>
      </c>
      <c r="O313" s="24">
        <v>47</v>
      </c>
      <c r="P313" s="24">
        <v>22654</v>
      </c>
      <c r="Q313" s="24">
        <v>75</v>
      </c>
      <c r="R313" s="24">
        <v>31950</v>
      </c>
      <c r="S313" s="24">
        <v>1</v>
      </c>
      <c r="T313" s="24">
        <v>470</v>
      </c>
      <c r="U313" s="24">
        <v>71</v>
      </c>
      <c r="V313" s="24">
        <v>33086</v>
      </c>
      <c r="W313" s="24">
        <v>61</v>
      </c>
      <c r="X313" s="24">
        <v>29402</v>
      </c>
      <c r="Y313">
        <f t="shared" si="4"/>
        <v>298</v>
      </c>
    </row>
    <row r="314" spans="1:25" x14ac:dyDescent="0.4">
      <c r="A314" s="24" t="s">
        <v>2243</v>
      </c>
      <c r="B314" s="24" t="s">
        <v>2244</v>
      </c>
      <c r="C314" s="25">
        <v>43879</v>
      </c>
      <c r="D314" s="24" t="s">
        <v>2027</v>
      </c>
      <c r="E314" s="24" t="s">
        <v>2028</v>
      </c>
      <c r="F314" s="24" t="s">
        <v>2417</v>
      </c>
      <c r="G314" s="24">
        <v>14</v>
      </c>
      <c r="H314" s="24">
        <v>7644</v>
      </c>
      <c r="I314" s="24">
        <v>27</v>
      </c>
      <c r="J314" s="24">
        <v>13311</v>
      </c>
      <c r="K314" s="24">
        <v>44</v>
      </c>
      <c r="L314" s="24">
        <v>23188</v>
      </c>
      <c r="M314" s="24">
        <v>71</v>
      </c>
      <c r="N314" s="24">
        <v>30317</v>
      </c>
      <c r="O314" s="24">
        <v>2</v>
      </c>
      <c r="P314" s="24">
        <v>816</v>
      </c>
      <c r="Q314" s="24">
        <v>41</v>
      </c>
      <c r="R314" s="24">
        <v>17466</v>
      </c>
      <c r="S314" s="24">
        <v>57</v>
      </c>
      <c r="T314" s="24">
        <v>26961</v>
      </c>
      <c r="U314" s="24">
        <v>35</v>
      </c>
      <c r="V314" s="24">
        <v>17500</v>
      </c>
      <c r="W314" s="24">
        <v>35</v>
      </c>
      <c r="X314" s="24">
        <v>15120</v>
      </c>
      <c r="Y314">
        <f t="shared" si="4"/>
        <v>326</v>
      </c>
    </row>
    <row r="315" spans="1:25" x14ac:dyDescent="0.4">
      <c r="A315" s="24" t="s">
        <v>2245</v>
      </c>
      <c r="B315" s="24" t="s">
        <v>2246</v>
      </c>
      <c r="C315" s="25">
        <v>44018</v>
      </c>
      <c r="D315" s="24" t="s">
        <v>2015</v>
      </c>
      <c r="E315" s="24" t="s">
        <v>2020</v>
      </c>
      <c r="F315" s="24" t="s">
        <v>2417</v>
      </c>
      <c r="G315" s="24">
        <v>63</v>
      </c>
      <c r="H315" s="24">
        <v>27027</v>
      </c>
      <c r="I315" s="24">
        <v>63</v>
      </c>
      <c r="J315" s="24">
        <v>34209</v>
      </c>
      <c r="K315" s="24">
        <v>16</v>
      </c>
      <c r="L315" s="24">
        <v>8368</v>
      </c>
      <c r="M315" s="24">
        <v>29</v>
      </c>
      <c r="N315" s="24">
        <v>12064</v>
      </c>
      <c r="O315" s="24">
        <v>70</v>
      </c>
      <c r="P315" s="24">
        <v>36680</v>
      </c>
      <c r="Q315" s="24">
        <v>54</v>
      </c>
      <c r="R315" s="24">
        <v>27378</v>
      </c>
      <c r="S315" s="24">
        <v>26</v>
      </c>
      <c r="T315" s="24">
        <v>11778</v>
      </c>
      <c r="U315" s="24">
        <v>73</v>
      </c>
      <c r="V315" s="24">
        <v>36208</v>
      </c>
      <c r="W315" s="24">
        <v>35</v>
      </c>
      <c r="X315" s="24">
        <v>18515</v>
      </c>
      <c r="Y315">
        <f t="shared" si="4"/>
        <v>429</v>
      </c>
    </row>
    <row r="316" spans="1:25" x14ac:dyDescent="0.4">
      <c r="A316" s="24" t="s">
        <v>2247</v>
      </c>
      <c r="B316" s="24" t="s">
        <v>2248</v>
      </c>
      <c r="C316" s="25">
        <v>44056</v>
      </c>
      <c r="D316" s="24" t="s">
        <v>2027</v>
      </c>
      <c r="E316" s="24" t="s">
        <v>2028</v>
      </c>
      <c r="F316" s="24" t="s">
        <v>2417</v>
      </c>
      <c r="G316" s="24">
        <v>21</v>
      </c>
      <c r="H316" s="24">
        <v>10542</v>
      </c>
      <c r="I316" s="24">
        <v>15</v>
      </c>
      <c r="J316" s="24">
        <v>7470</v>
      </c>
      <c r="K316" s="24">
        <v>41</v>
      </c>
      <c r="L316" s="24">
        <v>21730</v>
      </c>
      <c r="M316" s="24">
        <v>53</v>
      </c>
      <c r="N316" s="24">
        <v>28567</v>
      </c>
      <c r="O316" s="24">
        <v>21</v>
      </c>
      <c r="P316" s="24">
        <v>9009</v>
      </c>
      <c r="Q316" s="24">
        <v>35</v>
      </c>
      <c r="R316" s="24">
        <v>18725</v>
      </c>
      <c r="S316" s="24">
        <v>27</v>
      </c>
      <c r="T316" s="24">
        <v>13797</v>
      </c>
      <c r="U316" s="24">
        <v>3</v>
      </c>
      <c r="V316" s="24">
        <v>1200</v>
      </c>
      <c r="W316" s="24">
        <v>57</v>
      </c>
      <c r="X316" s="24">
        <v>25593</v>
      </c>
      <c r="Y316">
        <f t="shared" si="4"/>
        <v>273</v>
      </c>
    </row>
    <row r="317" spans="1:25" x14ac:dyDescent="0.4">
      <c r="A317" s="24" t="s">
        <v>2249</v>
      </c>
      <c r="B317" s="24" t="s">
        <v>2250</v>
      </c>
      <c r="C317" s="25">
        <v>42962</v>
      </c>
      <c r="D317" s="24" t="s">
        <v>2027</v>
      </c>
      <c r="E317" s="24" t="s">
        <v>2020</v>
      </c>
      <c r="F317" s="24" t="s">
        <v>2417</v>
      </c>
      <c r="G317" s="24">
        <v>71</v>
      </c>
      <c r="H317" s="24">
        <v>29252</v>
      </c>
      <c r="I317" s="24">
        <v>27</v>
      </c>
      <c r="J317" s="24">
        <v>11259</v>
      </c>
      <c r="K317" s="24">
        <v>63</v>
      </c>
      <c r="L317" s="24">
        <v>26586</v>
      </c>
      <c r="M317" s="24">
        <v>72</v>
      </c>
      <c r="N317" s="24">
        <v>32256</v>
      </c>
      <c r="O317" s="24">
        <v>33</v>
      </c>
      <c r="P317" s="24">
        <v>15774</v>
      </c>
      <c r="Q317" s="24">
        <v>54</v>
      </c>
      <c r="R317" s="24">
        <v>23328</v>
      </c>
      <c r="S317" s="24">
        <v>20</v>
      </c>
      <c r="T317" s="24">
        <v>10280</v>
      </c>
      <c r="U317" s="24">
        <v>25</v>
      </c>
      <c r="V317" s="24">
        <v>10300</v>
      </c>
      <c r="W317" s="24">
        <v>66</v>
      </c>
      <c r="X317" s="24">
        <v>27324</v>
      </c>
      <c r="Y317">
        <f t="shared" si="4"/>
        <v>431</v>
      </c>
    </row>
    <row r="318" spans="1:25" x14ac:dyDescent="0.4">
      <c r="A318" s="24" t="s">
        <v>2251</v>
      </c>
      <c r="B318" s="24" t="s">
        <v>2252</v>
      </c>
      <c r="C318" s="25">
        <v>43538</v>
      </c>
      <c r="D318" s="24" t="s">
        <v>2027</v>
      </c>
      <c r="E318" s="24" t="s">
        <v>2016</v>
      </c>
      <c r="F318" s="24" t="s">
        <v>2417</v>
      </c>
      <c r="G318" s="24">
        <v>11</v>
      </c>
      <c r="H318" s="24">
        <v>5104</v>
      </c>
      <c r="I318" s="24">
        <v>30</v>
      </c>
      <c r="J318" s="24">
        <v>13320</v>
      </c>
      <c r="K318" s="24">
        <v>25</v>
      </c>
      <c r="L318" s="24">
        <v>13000</v>
      </c>
      <c r="M318" s="24">
        <v>17</v>
      </c>
      <c r="N318" s="24">
        <v>6936</v>
      </c>
      <c r="O318" s="24">
        <v>54</v>
      </c>
      <c r="P318" s="24">
        <v>24138</v>
      </c>
      <c r="Q318" s="24">
        <v>48</v>
      </c>
      <c r="R318" s="24">
        <v>25392</v>
      </c>
      <c r="S318" s="24">
        <v>23</v>
      </c>
      <c r="T318" s="24">
        <v>9246</v>
      </c>
      <c r="U318" s="24">
        <v>3</v>
      </c>
      <c r="V318" s="24">
        <v>1497</v>
      </c>
      <c r="W318" s="24">
        <v>9</v>
      </c>
      <c r="X318" s="24">
        <v>4311</v>
      </c>
      <c r="Y318">
        <f t="shared" si="4"/>
        <v>220</v>
      </c>
    </row>
    <row r="319" spans="1:25" x14ac:dyDescent="0.4">
      <c r="A319" s="24" t="s">
        <v>2253</v>
      </c>
      <c r="B319" s="24" t="s">
        <v>2254</v>
      </c>
      <c r="C319" s="25">
        <v>42005</v>
      </c>
      <c r="D319" s="24" t="s">
        <v>2015</v>
      </c>
      <c r="E319" s="24" t="s">
        <v>2020</v>
      </c>
      <c r="F319" s="24" t="s">
        <v>2417</v>
      </c>
      <c r="G319" s="24">
        <v>59</v>
      </c>
      <c r="H319" s="24">
        <v>25488</v>
      </c>
      <c r="I319" s="24">
        <v>23</v>
      </c>
      <c r="J319" s="24">
        <v>10258</v>
      </c>
      <c r="K319" s="24">
        <v>35</v>
      </c>
      <c r="L319" s="24">
        <v>16765</v>
      </c>
      <c r="M319" s="24">
        <v>40</v>
      </c>
      <c r="N319" s="24">
        <v>19040</v>
      </c>
      <c r="O319" s="24">
        <v>2</v>
      </c>
      <c r="P319" s="24">
        <v>956</v>
      </c>
      <c r="Q319" s="24">
        <v>63</v>
      </c>
      <c r="R319" s="24">
        <v>32130</v>
      </c>
      <c r="S319" s="24">
        <v>32</v>
      </c>
      <c r="T319" s="24">
        <v>16480</v>
      </c>
      <c r="U319" s="24">
        <v>61</v>
      </c>
      <c r="V319" s="24">
        <v>27206</v>
      </c>
      <c r="W319" s="24">
        <v>8</v>
      </c>
      <c r="X319" s="24">
        <v>3520</v>
      </c>
      <c r="Y319">
        <f t="shared" si="4"/>
        <v>323</v>
      </c>
    </row>
    <row r="320" spans="1:25" x14ac:dyDescent="0.4">
      <c r="A320" s="24" t="s">
        <v>2255</v>
      </c>
      <c r="B320" s="24" t="s">
        <v>2256</v>
      </c>
      <c r="C320" s="25">
        <v>42093</v>
      </c>
      <c r="D320" s="24" t="s">
        <v>2027</v>
      </c>
      <c r="E320" s="24" t="s">
        <v>2028</v>
      </c>
      <c r="F320" s="24" t="s">
        <v>2417</v>
      </c>
      <c r="G320" s="24">
        <v>25</v>
      </c>
      <c r="H320" s="24">
        <v>11125</v>
      </c>
      <c r="I320" s="24">
        <v>15</v>
      </c>
      <c r="J320" s="24">
        <v>7230</v>
      </c>
      <c r="K320" s="24">
        <v>48</v>
      </c>
      <c r="L320" s="24">
        <v>20208</v>
      </c>
      <c r="M320" s="24">
        <v>18</v>
      </c>
      <c r="N320" s="24">
        <v>7632</v>
      </c>
      <c r="O320" s="24">
        <v>23</v>
      </c>
      <c r="P320" s="24">
        <v>9959</v>
      </c>
      <c r="Q320" s="24">
        <v>19</v>
      </c>
      <c r="R320" s="24">
        <v>9025</v>
      </c>
      <c r="S320" s="24">
        <v>55</v>
      </c>
      <c r="T320" s="24">
        <v>22000</v>
      </c>
      <c r="U320" s="24">
        <v>36</v>
      </c>
      <c r="V320" s="24">
        <v>16236</v>
      </c>
      <c r="W320" s="24">
        <v>42</v>
      </c>
      <c r="X320" s="24">
        <v>22302</v>
      </c>
      <c r="Y320">
        <f t="shared" si="4"/>
        <v>281</v>
      </c>
    </row>
    <row r="321" spans="1:25" x14ac:dyDescent="0.4">
      <c r="A321" s="24" t="s">
        <v>2257</v>
      </c>
      <c r="B321" s="24" t="s">
        <v>2258</v>
      </c>
      <c r="C321" s="25">
        <v>42182</v>
      </c>
      <c r="D321" s="24" t="s">
        <v>2015</v>
      </c>
      <c r="E321" s="24" t="s">
        <v>2016</v>
      </c>
      <c r="F321" s="24" t="s">
        <v>2417</v>
      </c>
      <c r="G321" s="24">
        <v>2</v>
      </c>
      <c r="H321" s="24">
        <v>826</v>
      </c>
      <c r="I321" s="24">
        <v>70</v>
      </c>
      <c r="J321" s="24">
        <v>37240</v>
      </c>
      <c r="K321" s="24">
        <v>5</v>
      </c>
      <c r="L321" s="24">
        <v>2015</v>
      </c>
      <c r="M321" s="24">
        <v>52</v>
      </c>
      <c r="N321" s="24">
        <v>22412</v>
      </c>
      <c r="O321" s="24">
        <v>46</v>
      </c>
      <c r="P321" s="24">
        <v>24334</v>
      </c>
      <c r="Q321" s="24">
        <v>1</v>
      </c>
      <c r="R321" s="24">
        <v>433</v>
      </c>
      <c r="S321" s="24">
        <v>32</v>
      </c>
      <c r="T321" s="24">
        <v>16896</v>
      </c>
      <c r="U321" s="24">
        <v>60</v>
      </c>
      <c r="V321" s="24">
        <v>30840</v>
      </c>
      <c r="W321" s="24">
        <v>44</v>
      </c>
      <c r="X321" s="24">
        <v>23276</v>
      </c>
      <c r="Y321">
        <f t="shared" si="4"/>
        <v>312</v>
      </c>
    </row>
    <row r="322" spans="1:25" x14ac:dyDescent="0.4">
      <c r="A322" s="24" t="s">
        <v>2259</v>
      </c>
      <c r="B322" s="24" t="s">
        <v>2260</v>
      </c>
      <c r="C322" s="25">
        <v>43955</v>
      </c>
      <c r="D322" s="24" t="s">
        <v>2015</v>
      </c>
      <c r="E322" s="24" t="s">
        <v>2016</v>
      </c>
      <c r="F322" s="24" t="s">
        <v>2417</v>
      </c>
      <c r="G322" s="24">
        <v>50</v>
      </c>
      <c r="H322" s="24">
        <v>21550</v>
      </c>
      <c r="I322" s="24">
        <v>15</v>
      </c>
      <c r="J322" s="24">
        <v>7995</v>
      </c>
      <c r="K322" s="24">
        <v>39</v>
      </c>
      <c r="L322" s="24">
        <v>16068</v>
      </c>
      <c r="M322" s="24">
        <v>58</v>
      </c>
      <c r="N322" s="24">
        <v>23664</v>
      </c>
      <c r="O322" s="24">
        <v>42</v>
      </c>
      <c r="P322" s="24">
        <v>22302</v>
      </c>
      <c r="Q322" s="24">
        <v>60</v>
      </c>
      <c r="R322" s="24">
        <v>28260</v>
      </c>
      <c r="S322" s="24">
        <v>29</v>
      </c>
      <c r="T322" s="24">
        <v>15689</v>
      </c>
      <c r="U322" s="24">
        <v>59</v>
      </c>
      <c r="V322" s="24">
        <v>24426</v>
      </c>
      <c r="W322" s="24">
        <v>53</v>
      </c>
      <c r="X322" s="24">
        <v>26129</v>
      </c>
      <c r="Y322">
        <f t="shared" si="4"/>
        <v>405</v>
      </c>
    </row>
    <row r="323" spans="1:25" x14ac:dyDescent="0.4">
      <c r="A323" s="24" t="s">
        <v>2261</v>
      </c>
      <c r="B323" s="24" t="s">
        <v>2262</v>
      </c>
      <c r="C323" s="25">
        <v>43309</v>
      </c>
      <c r="D323" s="24" t="s">
        <v>2027</v>
      </c>
      <c r="E323" s="24" t="s">
        <v>2020</v>
      </c>
      <c r="F323" s="24" t="s">
        <v>2417</v>
      </c>
      <c r="G323" s="24">
        <v>7</v>
      </c>
      <c r="H323" s="24">
        <v>3304</v>
      </c>
      <c r="I323" s="24">
        <v>14</v>
      </c>
      <c r="J323" s="24">
        <v>5810</v>
      </c>
      <c r="K323" s="24">
        <v>31</v>
      </c>
      <c r="L323" s="24">
        <v>15159</v>
      </c>
      <c r="M323" s="24">
        <v>52</v>
      </c>
      <c r="N323" s="24">
        <v>22776</v>
      </c>
      <c r="O323" s="24">
        <v>14</v>
      </c>
      <c r="P323" s="24">
        <v>7000</v>
      </c>
      <c r="Q323" s="24">
        <v>3</v>
      </c>
      <c r="R323" s="24">
        <v>1602</v>
      </c>
      <c r="S323" s="24">
        <v>4</v>
      </c>
      <c r="T323" s="24">
        <v>1948</v>
      </c>
      <c r="U323" s="24">
        <v>58</v>
      </c>
      <c r="V323" s="24">
        <v>25172</v>
      </c>
      <c r="W323" s="24">
        <v>74</v>
      </c>
      <c r="X323" s="24">
        <v>38036</v>
      </c>
      <c r="Y323">
        <f t="shared" ref="Y323:Y386" si="5">SUMIF($G$1:$X$1,"Количество*",G323:X323)</f>
        <v>257</v>
      </c>
    </row>
    <row r="324" spans="1:25" x14ac:dyDescent="0.4">
      <c r="A324" s="24" t="s">
        <v>2263</v>
      </c>
      <c r="B324" s="24" t="s">
        <v>2264</v>
      </c>
      <c r="C324" s="25">
        <v>44005</v>
      </c>
      <c r="D324" s="24" t="s">
        <v>2015</v>
      </c>
      <c r="E324" s="24" t="s">
        <v>2028</v>
      </c>
      <c r="F324" s="24" t="s">
        <v>2417</v>
      </c>
      <c r="G324" s="24">
        <v>25</v>
      </c>
      <c r="H324" s="24">
        <v>13375</v>
      </c>
      <c r="I324" s="24">
        <v>17</v>
      </c>
      <c r="J324" s="24">
        <v>9095</v>
      </c>
      <c r="K324" s="24">
        <v>74</v>
      </c>
      <c r="L324" s="24">
        <v>33374</v>
      </c>
      <c r="M324" s="24">
        <v>13</v>
      </c>
      <c r="N324" s="24">
        <v>6279</v>
      </c>
      <c r="O324" s="24">
        <v>57</v>
      </c>
      <c r="P324" s="24">
        <v>27702</v>
      </c>
      <c r="Q324" s="24">
        <v>68</v>
      </c>
      <c r="R324" s="24">
        <v>32572</v>
      </c>
      <c r="S324" s="24">
        <v>27</v>
      </c>
      <c r="T324" s="24">
        <v>11772</v>
      </c>
      <c r="U324" s="24">
        <v>25</v>
      </c>
      <c r="V324" s="24">
        <v>13100</v>
      </c>
      <c r="W324" s="24">
        <v>26</v>
      </c>
      <c r="X324" s="24">
        <v>10790</v>
      </c>
      <c r="Y324">
        <f t="shared" si="5"/>
        <v>332</v>
      </c>
    </row>
    <row r="325" spans="1:25" x14ac:dyDescent="0.4">
      <c r="A325" s="24" t="s">
        <v>2265</v>
      </c>
      <c r="B325" s="24" t="s">
        <v>2266</v>
      </c>
      <c r="C325" s="25">
        <v>42540</v>
      </c>
      <c r="D325" s="24" t="s">
        <v>2015</v>
      </c>
      <c r="E325" s="24" t="s">
        <v>2020</v>
      </c>
      <c r="F325" s="24" t="s">
        <v>2417</v>
      </c>
      <c r="G325" s="24">
        <v>75</v>
      </c>
      <c r="H325" s="24">
        <v>30075</v>
      </c>
      <c r="I325" s="24">
        <v>45</v>
      </c>
      <c r="J325" s="24">
        <v>21420</v>
      </c>
      <c r="K325" s="24">
        <v>61</v>
      </c>
      <c r="L325" s="24">
        <v>26657</v>
      </c>
      <c r="M325" s="24">
        <v>57</v>
      </c>
      <c r="N325" s="24">
        <v>24909</v>
      </c>
      <c r="O325" s="24">
        <v>27</v>
      </c>
      <c r="P325" s="24">
        <v>13176</v>
      </c>
      <c r="Q325" s="24">
        <v>46</v>
      </c>
      <c r="R325" s="24">
        <v>20976</v>
      </c>
      <c r="S325" s="24">
        <v>27</v>
      </c>
      <c r="T325" s="24">
        <v>13500</v>
      </c>
      <c r="U325" s="24">
        <v>67</v>
      </c>
      <c r="V325" s="24">
        <v>33567</v>
      </c>
      <c r="W325" s="24">
        <v>42</v>
      </c>
      <c r="X325" s="24">
        <v>18354</v>
      </c>
      <c r="Y325">
        <f t="shared" si="5"/>
        <v>447</v>
      </c>
    </row>
    <row r="326" spans="1:25" x14ac:dyDescent="0.4">
      <c r="A326" s="24" t="s">
        <v>2267</v>
      </c>
      <c r="B326" s="24" t="s">
        <v>2268</v>
      </c>
      <c r="C326" s="25">
        <v>42758</v>
      </c>
      <c r="D326" s="24" t="s">
        <v>2027</v>
      </c>
      <c r="E326" s="24" t="s">
        <v>2028</v>
      </c>
      <c r="F326" s="24" t="s">
        <v>2417</v>
      </c>
      <c r="G326" s="24">
        <v>33</v>
      </c>
      <c r="H326" s="24">
        <v>14289</v>
      </c>
      <c r="I326" s="24">
        <v>3</v>
      </c>
      <c r="J326" s="24">
        <v>1635</v>
      </c>
      <c r="K326" s="24">
        <v>50</v>
      </c>
      <c r="L326" s="24">
        <v>27300</v>
      </c>
      <c r="M326" s="24">
        <v>65</v>
      </c>
      <c r="N326" s="24">
        <v>28405</v>
      </c>
      <c r="O326" s="24">
        <v>10</v>
      </c>
      <c r="P326" s="24">
        <v>4140</v>
      </c>
      <c r="Q326" s="24">
        <v>15</v>
      </c>
      <c r="R326" s="24">
        <v>6510</v>
      </c>
      <c r="S326" s="24">
        <v>73</v>
      </c>
      <c r="T326" s="24">
        <v>33580</v>
      </c>
      <c r="U326" s="24">
        <v>50</v>
      </c>
      <c r="V326" s="24">
        <v>25700</v>
      </c>
      <c r="W326" s="24">
        <v>26</v>
      </c>
      <c r="X326" s="24">
        <v>12012</v>
      </c>
      <c r="Y326">
        <f t="shared" si="5"/>
        <v>325</v>
      </c>
    </row>
    <row r="327" spans="1:25" x14ac:dyDescent="0.4">
      <c r="A327" s="24" t="s">
        <v>2261</v>
      </c>
      <c r="B327" s="24" t="s">
        <v>2269</v>
      </c>
      <c r="C327" s="25">
        <v>43339</v>
      </c>
      <c r="D327" s="24" t="s">
        <v>2015</v>
      </c>
      <c r="E327" s="24" t="s">
        <v>2020</v>
      </c>
      <c r="F327" s="24" t="s">
        <v>2417</v>
      </c>
      <c r="G327" s="24">
        <v>36</v>
      </c>
      <c r="H327" s="24">
        <v>17136</v>
      </c>
      <c r="I327" s="24">
        <v>67</v>
      </c>
      <c r="J327" s="24">
        <v>29748</v>
      </c>
      <c r="K327" s="24">
        <v>9</v>
      </c>
      <c r="L327" s="24">
        <v>3825</v>
      </c>
      <c r="M327" s="24">
        <v>10</v>
      </c>
      <c r="N327" s="24">
        <v>5190</v>
      </c>
      <c r="O327" s="24">
        <v>37</v>
      </c>
      <c r="P327" s="24">
        <v>19684</v>
      </c>
      <c r="Q327" s="24">
        <v>59</v>
      </c>
      <c r="R327" s="24">
        <v>28615</v>
      </c>
      <c r="S327" s="24">
        <v>55</v>
      </c>
      <c r="T327" s="24">
        <v>24970</v>
      </c>
      <c r="U327" s="24">
        <v>61</v>
      </c>
      <c r="V327" s="24">
        <v>29951</v>
      </c>
      <c r="W327" s="24">
        <v>42</v>
      </c>
      <c r="X327" s="24">
        <v>22344</v>
      </c>
      <c r="Y327">
        <f t="shared" si="5"/>
        <v>376</v>
      </c>
    </row>
    <row r="328" spans="1:25" x14ac:dyDescent="0.4">
      <c r="A328" s="24" t="s">
        <v>2270</v>
      </c>
      <c r="B328" s="24" t="s">
        <v>2271</v>
      </c>
      <c r="C328" s="25">
        <v>42514</v>
      </c>
      <c r="D328" s="24" t="s">
        <v>2027</v>
      </c>
      <c r="E328" s="24" t="s">
        <v>2016</v>
      </c>
      <c r="F328" s="24" t="s">
        <v>2417</v>
      </c>
      <c r="G328" s="24">
        <v>3</v>
      </c>
      <c r="H328" s="24">
        <v>1578</v>
      </c>
      <c r="I328" s="24">
        <v>40</v>
      </c>
      <c r="J328" s="24">
        <v>16520</v>
      </c>
      <c r="K328" s="24">
        <v>60</v>
      </c>
      <c r="L328" s="24">
        <v>24240</v>
      </c>
      <c r="M328" s="24">
        <v>71</v>
      </c>
      <c r="N328" s="24">
        <v>30601</v>
      </c>
      <c r="O328" s="24">
        <v>46</v>
      </c>
      <c r="P328" s="24">
        <v>20562</v>
      </c>
      <c r="Q328" s="24">
        <v>76</v>
      </c>
      <c r="R328" s="24">
        <v>41116</v>
      </c>
      <c r="S328" s="24">
        <v>12</v>
      </c>
      <c r="T328" s="24">
        <v>5568</v>
      </c>
      <c r="U328" s="24">
        <v>13</v>
      </c>
      <c r="V328" s="24">
        <v>5265</v>
      </c>
      <c r="W328" s="24">
        <v>45</v>
      </c>
      <c r="X328" s="24">
        <v>23040</v>
      </c>
      <c r="Y328">
        <f t="shared" si="5"/>
        <v>366</v>
      </c>
    </row>
    <row r="329" spans="1:25" x14ac:dyDescent="0.4">
      <c r="A329" s="24" t="s">
        <v>2272</v>
      </c>
      <c r="B329" s="24" t="s">
        <v>2273</v>
      </c>
      <c r="C329" s="25">
        <v>43058</v>
      </c>
      <c r="D329" s="24" t="s">
        <v>2027</v>
      </c>
      <c r="E329" s="24" t="s">
        <v>2016</v>
      </c>
      <c r="F329" s="24" t="s">
        <v>2417</v>
      </c>
      <c r="G329" s="24">
        <v>40</v>
      </c>
      <c r="H329" s="24">
        <v>18960</v>
      </c>
      <c r="I329" s="24">
        <v>41</v>
      </c>
      <c r="J329" s="24">
        <v>21976</v>
      </c>
      <c r="K329" s="24">
        <v>76</v>
      </c>
      <c r="L329" s="24">
        <v>30400</v>
      </c>
      <c r="M329" s="24">
        <v>10</v>
      </c>
      <c r="N329" s="24">
        <v>4510</v>
      </c>
      <c r="O329" s="24">
        <v>22</v>
      </c>
      <c r="P329" s="24">
        <v>11440</v>
      </c>
      <c r="Q329" s="24">
        <v>70</v>
      </c>
      <c r="R329" s="24">
        <v>34230</v>
      </c>
      <c r="S329" s="24">
        <v>16</v>
      </c>
      <c r="T329" s="24">
        <v>7136</v>
      </c>
      <c r="U329" s="24">
        <v>50</v>
      </c>
      <c r="V329" s="24">
        <v>20350</v>
      </c>
      <c r="W329" s="24">
        <v>72</v>
      </c>
      <c r="X329" s="24">
        <v>38304</v>
      </c>
      <c r="Y329">
        <f t="shared" si="5"/>
        <v>397</v>
      </c>
    </row>
    <row r="330" spans="1:25" x14ac:dyDescent="0.4">
      <c r="A330" s="24" t="s">
        <v>2274</v>
      </c>
      <c r="B330" s="24" t="s">
        <v>2275</v>
      </c>
      <c r="C330" s="25">
        <v>42690</v>
      </c>
      <c r="D330" s="24" t="s">
        <v>2027</v>
      </c>
      <c r="E330" s="24" t="s">
        <v>2028</v>
      </c>
      <c r="F330" s="24" t="s">
        <v>2417</v>
      </c>
      <c r="G330" s="24">
        <v>2</v>
      </c>
      <c r="H330" s="24">
        <v>922</v>
      </c>
      <c r="I330" s="24">
        <v>56</v>
      </c>
      <c r="J330" s="24">
        <v>26152</v>
      </c>
      <c r="K330" s="24">
        <v>9</v>
      </c>
      <c r="L330" s="24">
        <v>3708</v>
      </c>
      <c r="M330" s="24">
        <v>62</v>
      </c>
      <c r="N330" s="24">
        <v>27838</v>
      </c>
      <c r="O330" s="24">
        <v>64</v>
      </c>
      <c r="P330" s="24">
        <v>28288</v>
      </c>
      <c r="Q330" s="24">
        <v>41</v>
      </c>
      <c r="R330" s="24">
        <v>21894</v>
      </c>
      <c r="S330" s="24">
        <v>38</v>
      </c>
      <c r="T330" s="24">
        <v>19836</v>
      </c>
      <c r="U330" s="24">
        <v>73</v>
      </c>
      <c r="V330" s="24">
        <v>31828</v>
      </c>
      <c r="W330" s="24">
        <v>30</v>
      </c>
      <c r="X330" s="24">
        <v>15090</v>
      </c>
      <c r="Y330">
        <f t="shared" si="5"/>
        <v>375</v>
      </c>
    </row>
    <row r="331" spans="1:25" x14ac:dyDescent="0.4">
      <c r="A331" s="24" t="s">
        <v>2276</v>
      </c>
      <c r="B331" s="24" t="s">
        <v>2277</v>
      </c>
      <c r="C331" s="25">
        <v>43307</v>
      </c>
      <c r="D331" s="24" t="s">
        <v>2015</v>
      </c>
      <c r="E331" s="24" t="s">
        <v>2020</v>
      </c>
      <c r="F331" s="24" t="s">
        <v>2417</v>
      </c>
      <c r="G331" s="24">
        <v>15</v>
      </c>
      <c r="H331" s="24">
        <v>8205</v>
      </c>
      <c r="I331" s="24">
        <v>12</v>
      </c>
      <c r="J331" s="24">
        <v>6504</v>
      </c>
      <c r="K331" s="24">
        <v>4</v>
      </c>
      <c r="L331" s="24">
        <v>2148</v>
      </c>
      <c r="M331" s="24">
        <v>26</v>
      </c>
      <c r="N331" s="24">
        <v>11466</v>
      </c>
      <c r="O331" s="24">
        <v>48</v>
      </c>
      <c r="P331" s="24">
        <v>23040</v>
      </c>
      <c r="Q331" s="24">
        <v>76</v>
      </c>
      <c r="R331" s="24">
        <v>31616</v>
      </c>
      <c r="S331" s="24">
        <v>6</v>
      </c>
      <c r="T331" s="24">
        <v>2448</v>
      </c>
      <c r="U331" s="24">
        <v>7</v>
      </c>
      <c r="V331" s="24">
        <v>3255</v>
      </c>
      <c r="W331" s="24">
        <v>15</v>
      </c>
      <c r="X331" s="24">
        <v>7590</v>
      </c>
      <c r="Y331">
        <f t="shared" si="5"/>
        <v>209</v>
      </c>
    </row>
    <row r="332" spans="1:25" x14ac:dyDescent="0.4">
      <c r="A332" s="24" t="s">
        <v>2278</v>
      </c>
      <c r="B332" s="24" t="s">
        <v>2279</v>
      </c>
      <c r="C332" s="25">
        <v>42368</v>
      </c>
      <c r="D332" s="24" t="s">
        <v>2027</v>
      </c>
      <c r="E332" s="24" t="s">
        <v>2028</v>
      </c>
      <c r="F332" s="24" t="s">
        <v>2417</v>
      </c>
      <c r="G332" s="24">
        <v>55</v>
      </c>
      <c r="H332" s="24">
        <v>24090</v>
      </c>
      <c r="I332" s="24">
        <v>70</v>
      </c>
      <c r="J332" s="24">
        <v>34580</v>
      </c>
      <c r="K332" s="24">
        <v>67</v>
      </c>
      <c r="L332" s="24">
        <v>30820</v>
      </c>
      <c r="M332" s="24">
        <v>70</v>
      </c>
      <c r="N332" s="24">
        <v>36470</v>
      </c>
      <c r="O332" s="24">
        <v>70</v>
      </c>
      <c r="P332" s="24">
        <v>28490</v>
      </c>
      <c r="Q332" s="24">
        <v>33</v>
      </c>
      <c r="R332" s="24">
        <v>16731</v>
      </c>
      <c r="S332" s="24">
        <v>67</v>
      </c>
      <c r="T332" s="24">
        <v>29279</v>
      </c>
      <c r="U332" s="24">
        <v>46</v>
      </c>
      <c r="V332" s="24">
        <v>22908</v>
      </c>
      <c r="W332" s="24">
        <v>36</v>
      </c>
      <c r="X332" s="24">
        <v>15264</v>
      </c>
      <c r="Y332">
        <f t="shared" si="5"/>
        <v>514</v>
      </c>
    </row>
    <row r="333" spans="1:25" x14ac:dyDescent="0.4">
      <c r="A333" s="24" t="s">
        <v>2280</v>
      </c>
      <c r="B333" s="24" t="s">
        <v>2281</v>
      </c>
      <c r="C333" s="25">
        <v>43666</v>
      </c>
      <c r="D333" s="24" t="s">
        <v>2027</v>
      </c>
      <c r="E333" s="24" t="s">
        <v>2016</v>
      </c>
      <c r="F333" s="24" t="s">
        <v>2417</v>
      </c>
      <c r="G333" s="24">
        <v>71</v>
      </c>
      <c r="H333" s="24">
        <v>36778</v>
      </c>
      <c r="I333" s="24">
        <v>21</v>
      </c>
      <c r="J333" s="24">
        <v>9807</v>
      </c>
      <c r="K333" s="24">
        <v>34</v>
      </c>
      <c r="L333" s="24">
        <v>15096</v>
      </c>
      <c r="M333" s="24">
        <v>5</v>
      </c>
      <c r="N333" s="24">
        <v>2090</v>
      </c>
      <c r="O333" s="24">
        <v>37</v>
      </c>
      <c r="P333" s="24">
        <v>16650</v>
      </c>
      <c r="Q333" s="24">
        <v>58</v>
      </c>
      <c r="R333" s="24">
        <v>24360</v>
      </c>
      <c r="S333" s="24">
        <v>23</v>
      </c>
      <c r="T333" s="24">
        <v>11477</v>
      </c>
      <c r="U333" s="24">
        <v>22</v>
      </c>
      <c r="V333" s="24">
        <v>10846</v>
      </c>
      <c r="W333" s="24">
        <v>13</v>
      </c>
      <c r="X333" s="24">
        <v>6760</v>
      </c>
      <c r="Y333">
        <f t="shared" si="5"/>
        <v>284</v>
      </c>
    </row>
    <row r="334" spans="1:25" x14ac:dyDescent="0.4">
      <c r="A334" s="24" t="s">
        <v>2282</v>
      </c>
      <c r="B334" s="24" t="s">
        <v>2283</v>
      </c>
      <c r="C334" s="25">
        <v>42369</v>
      </c>
      <c r="D334" s="24" t="s">
        <v>2015</v>
      </c>
      <c r="E334" s="24" t="s">
        <v>2020</v>
      </c>
      <c r="F334" s="24" t="s">
        <v>2417</v>
      </c>
      <c r="G334" s="24">
        <v>65</v>
      </c>
      <c r="H334" s="24">
        <v>35750</v>
      </c>
      <c r="I334" s="24">
        <v>74</v>
      </c>
      <c r="J334" s="24">
        <v>37222</v>
      </c>
      <c r="K334" s="24">
        <v>59</v>
      </c>
      <c r="L334" s="24">
        <v>25665</v>
      </c>
      <c r="M334" s="24">
        <v>16</v>
      </c>
      <c r="N334" s="24">
        <v>7344</v>
      </c>
      <c r="O334" s="24">
        <v>8</v>
      </c>
      <c r="P334" s="24">
        <v>3656</v>
      </c>
      <c r="Q334" s="24">
        <v>37</v>
      </c>
      <c r="R334" s="24">
        <v>16095</v>
      </c>
      <c r="S334" s="24">
        <v>27</v>
      </c>
      <c r="T334" s="24">
        <v>13203</v>
      </c>
      <c r="U334" s="24">
        <v>19</v>
      </c>
      <c r="V334" s="24">
        <v>8645</v>
      </c>
      <c r="W334" s="24">
        <v>20</v>
      </c>
      <c r="X334" s="24">
        <v>8540</v>
      </c>
      <c r="Y334">
        <f t="shared" si="5"/>
        <v>325</v>
      </c>
    </row>
    <row r="335" spans="1:25" x14ac:dyDescent="0.4">
      <c r="A335" s="24" t="s">
        <v>2284</v>
      </c>
      <c r="B335" s="24" t="s">
        <v>2285</v>
      </c>
      <c r="C335" s="25">
        <v>43639</v>
      </c>
      <c r="D335" s="24" t="s">
        <v>2015</v>
      </c>
      <c r="E335" s="24" t="s">
        <v>2028</v>
      </c>
      <c r="F335" s="24" t="s">
        <v>2417</v>
      </c>
      <c r="G335" s="24">
        <v>23</v>
      </c>
      <c r="H335" s="24">
        <v>11569</v>
      </c>
      <c r="I335" s="24">
        <v>58</v>
      </c>
      <c r="J335" s="24">
        <v>24940</v>
      </c>
      <c r="K335" s="24">
        <v>72</v>
      </c>
      <c r="L335" s="24">
        <v>36504</v>
      </c>
      <c r="M335" s="24">
        <v>16</v>
      </c>
      <c r="N335" s="24">
        <v>8496</v>
      </c>
      <c r="O335" s="24">
        <v>67</v>
      </c>
      <c r="P335" s="24">
        <v>30217</v>
      </c>
      <c r="Q335" s="24">
        <v>25</v>
      </c>
      <c r="R335" s="24">
        <v>10200</v>
      </c>
      <c r="S335" s="24">
        <v>64</v>
      </c>
      <c r="T335" s="24">
        <v>34112</v>
      </c>
      <c r="U335" s="24">
        <v>21</v>
      </c>
      <c r="V335" s="24">
        <v>9072</v>
      </c>
      <c r="W335" s="24">
        <v>17</v>
      </c>
      <c r="X335" s="24">
        <v>7055</v>
      </c>
      <c r="Y335">
        <f t="shared" si="5"/>
        <v>363</v>
      </c>
    </row>
    <row r="336" spans="1:25" x14ac:dyDescent="0.4">
      <c r="A336" s="24" t="s">
        <v>2286</v>
      </c>
      <c r="B336" s="24" t="s">
        <v>2287</v>
      </c>
      <c r="C336" s="25">
        <v>42269</v>
      </c>
      <c r="D336" s="24" t="s">
        <v>2015</v>
      </c>
      <c r="E336" s="24" t="s">
        <v>2028</v>
      </c>
      <c r="F336" s="24" t="s">
        <v>2417</v>
      </c>
      <c r="G336" s="24">
        <v>70</v>
      </c>
      <c r="H336" s="24">
        <v>35630</v>
      </c>
      <c r="I336" s="24">
        <v>25</v>
      </c>
      <c r="J336" s="24">
        <v>10050</v>
      </c>
      <c r="K336" s="24">
        <v>69</v>
      </c>
      <c r="L336" s="24">
        <v>34569</v>
      </c>
      <c r="M336" s="24">
        <v>19</v>
      </c>
      <c r="N336" s="24">
        <v>8189</v>
      </c>
      <c r="O336" s="24">
        <v>72</v>
      </c>
      <c r="P336" s="24">
        <v>37224</v>
      </c>
      <c r="Q336" s="24">
        <v>23</v>
      </c>
      <c r="R336" s="24">
        <v>9200</v>
      </c>
      <c r="S336" s="24">
        <v>76</v>
      </c>
      <c r="T336" s="24">
        <v>38380</v>
      </c>
      <c r="U336" s="24">
        <v>41</v>
      </c>
      <c r="V336" s="24">
        <v>19352</v>
      </c>
      <c r="W336" s="24">
        <v>42</v>
      </c>
      <c r="X336" s="24">
        <v>20706</v>
      </c>
      <c r="Y336">
        <f t="shared" si="5"/>
        <v>437</v>
      </c>
    </row>
    <row r="337" spans="1:25" x14ac:dyDescent="0.4">
      <c r="A337" s="24" t="s">
        <v>2288</v>
      </c>
      <c r="B337" s="24" t="s">
        <v>2289</v>
      </c>
      <c r="C337" s="25">
        <v>43429</v>
      </c>
      <c r="D337" s="24" t="s">
        <v>2027</v>
      </c>
      <c r="E337" s="24" t="s">
        <v>2028</v>
      </c>
      <c r="F337" s="24" t="s">
        <v>2417</v>
      </c>
      <c r="G337" s="24">
        <v>22</v>
      </c>
      <c r="H337" s="24">
        <v>9768</v>
      </c>
      <c r="I337" s="24">
        <v>17</v>
      </c>
      <c r="J337" s="24">
        <v>8874</v>
      </c>
      <c r="K337" s="24">
        <v>35</v>
      </c>
      <c r="L337" s="24">
        <v>17010</v>
      </c>
      <c r="M337" s="24">
        <v>2</v>
      </c>
      <c r="N337" s="24">
        <v>1024</v>
      </c>
      <c r="O337" s="24">
        <v>13</v>
      </c>
      <c r="P337" s="24">
        <v>5434</v>
      </c>
      <c r="Q337" s="24">
        <v>39</v>
      </c>
      <c r="R337" s="24">
        <v>21294</v>
      </c>
      <c r="S337" s="24">
        <v>49</v>
      </c>
      <c r="T337" s="24">
        <v>26019</v>
      </c>
      <c r="U337" s="24">
        <v>57</v>
      </c>
      <c r="V337" s="24">
        <v>26220</v>
      </c>
      <c r="W337" s="24">
        <v>23</v>
      </c>
      <c r="X337" s="24">
        <v>9545</v>
      </c>
      <c r="Y337">
        <f t="shared" si="5"/>
        <v>257</v>
      </c>
    </row>
    <row r="338" spans="1:25" x14ac:dyDescent="0.4">
      <c r="A338" s="24" t="s">
        <v>2290</v>
      </c>
      <c r="B338" s="24" t="s">
        <v>2291</v>
      </c>
      <c r="C338" s="25">
        <v>43883</v>
      </c>
      <c r="D338" s="24" t="s">
        <v>2027</v>
      </c>
      <c r="E338" s="24" t="s">
        <v>2020</v>
      </c>
      <c r="F338" s="24" t="s">
        <v>2417</v>
      </c>
      <c r="G338" s="24">
        <v>42</v>
      </c>
      <c r="H338" s="24">
        <v>18312</v>
      </c>
      <c r="I338" s="24">
        <v>69</v>
      </c>
      <c r="J338" s="24">
        <v>35604</v>
      </c>
      <c r="K338" s="24">
        <v>47</v>
      </c>
      <c r="L338" s="24">
        <v>25051</v>
      </c>
      <c r="M338" s="24">
        <v>5</v>
      </c>
      <c r="N338" s="24">
        <v>2365</v>
      </c>
      <c r="O338" s="24">
        <v>13</v>
      </c>
      <c r="P338" s="24">
        <v>5954</v>
      </c>
      <c r="Q338" s="24">
        <v>17</v>
      </c>
      <c r="R338" s="24">
        <v>7531</v>
      </c>
      <c r="S338" s="24">
        <v>49</v>
      </c>
      <c r="T338" s="24">
        <v>23177</v>
      </c>
      <c r="U338" s="24">
        <v>3</v>
      </c>
      <c r="V338" s="24">
        <v>1521</v>
      </c>
      <c r="W338" s="24">
        <v>30</v>
      </c>
      <c r="X338" s="24">
        <v>13740</v>
      </c>
      <c r="Y338">
        <f t="shared" si="5"/>
        <v>275</v>
      </c>
    </row>
    <row r="339" spans="1:25" x14ac:dyDescent="0.4">
      <c r="A339" s="24" t="s">
        <v>2292</v>
      </c>
      <c r="B339" s="24" t="s">
        <v>2293</v>
      </c>
      <c r="C339" s="25">
        <v>42999</v>
      </c>
      <c r="D339" s="24" t="s">
        <v>2015</v>
      </c>
      <c r="E339" s="24" t="s">
        <v>2028</v>
      </c>
      <c r="F339" s="24" t="s">
        <v>2417</v>
      </c>
      <c r="G339" s="24">
        <v>9</v>
      </c>
      <c r="H339" s="24">
        <v>4545</v>
      </c>
      <c r="I339" s="24">
        <v>43</v>
      </c>
      <c r="J339" s="24">
        <v>20941</v>
      </c>
      <c r="K339" s="24">
        <v>6</v>
      </c>
      <c r="L339" s="24">
        <v>2832</v>
      </c>
      <c r="M339" s="24">
        <v>50</v>
      </c>
      <c r="N339" s="24">
        <v>23250</v>
      </c>
      <c r="O339" s="24">
        <v>31</v>
      </c>
      <c r="P339" s="24">
        <v>15469</v>
      </c>
      <c r="Q339" s="24">
        <v>15</v>
      </c>
      <c r="R339" s="24">
        <v>8145</v>
      </c>
      <c r="S339" s="24">
        <v>40</v>
      </c>
      <c r="T339" s="24">
        <v>16320</v>
      </c>
      <c r="U339" s="24">
        <v>6</v>
      </c>
      <c r="V339" s="24">
        <v>2490</v>
      </c>
      <c r="W339" s="24">
        <v>33</v>
      </c>
      <c r="X339" s="24">
        <v>18018</v>
      </c>
      <c r="Y339">
        <f t="shared" si="5"/>
        <v>233</v>
      </c>
    </row>
    <row r="340" spans="1:25" x14ac:dyDescent="0.4">
      <c r="A340" s="24" t="s">
        <v>2294</v>
      </c>
      <c r="B340" s="24" t="s">
        <v>2295</v>
      </c>
      <c r="C340" s="25">
        <v>43479</v>
      </c>
      <c r="D340" s="24" t="s">
        <v>2027</v>
      </c>
      <c r="E340" s="24" t="s">
        <v>2028</v>
      </c>
      <c r="F340" s="24" t="s">
        <v>2417</v>
      </c>
      <c r="G340" s="24">
        <v>8</v>
      </c>
      <c r="H340" s="24">
        <v>3256</v>
      </c>
      <c r="I340" s="24">
        <v>75</v>
      </c>
      <c r="J340" s="24">
        <v>38625</v>
      </c>
      <c r="K340" s="24">
        <v>61</v>
      </c>
      <c r="L340" s="24">
        <v>25315</v>
      </c>
      <c r="M340" s="24">
        <v>1</v>
      </c>
      <c r="N340" s="24">
        <v>404</v>
      </c>
      <c r="O340" s="24">
        <v>46</v>
      </c>
      <c r="P340" s="24">
        <v>21206</v>
      </c>
      <c r="Q340" s="24">
        <v>46</v>
      </c>
      <c r="R340" s="24">
        <v>21896</v>
      </c>
      <c r="S340" s="24">
        <v>9</v>
      </c>
      <c r="T340" s="24">
        <v>3699</v>
      </c>
      <c r="U340" s="24">
        <v>68</v>
      </c>
      <c r="V340" s="24">
        <v>34408</v>
      </c>
      <c r="W340" s="24">
        <v>29</v>
      </c>
      <c r="X340" s="24">
        <v>12238</v>
      </c>
      <c r="Y340">
        <f t="shared" si="5"/>
        <v>343</v>
      </c>
    </row>
    <row r="341" spans="1:25" x14ac:dyDescent="0.4">
      <c r="A341" s="24" t="s">
        <v>2296</v>
      </c>
      <c r="B341" s="24" t="s">
        <v>2297</v>
      </c>
      <c r="C341" s="25">
        <v>42654</v>
      </c>
      <c r="D341" s="24" t="s">
        <v>2015</v>
      </c>
      <c r="E341" s="24" t="s">
        <v>2016</v>
      </c>
      <c r="F341" s="24" t="s">
        <v>2417</v>
      </c>
      <c r="G341" s="24">
        <v>28</v>
      </c>
      <c r="H341" s="24">
        <v>15036</v>
      </c>
      <c r="I341" s="24">
        <v>19</v>
      </c>
      <c r="J341" s="24">
        <v>9861</v>
      </c>
      <c r="K341" s="24">
        <v>53</v>
      </c>
      <c r="L341" s="24">
        <v>23055</v>
      </c>
      <c r="M341" s="24">
        <v>51</v>
      </c>
      <c r="N341" s="24">
        <v>21165</v>
      </c>
      <c r="O341" s="24">
        <v>62</v>
      </c>
      <c r="P341" s="24">
        <v>29512</v>
      </c>
      <c r="Q341" s="24">
        <v>61</v>
      </c>
      <c r="R341" s="24">
        <v>30988</v>
      </c>
      <c r="S341" s="24">
        <v>1</v>
      </c>
      <c r="T341" s="24">
        <v>506</v>
      </c>
      <c r="U341" s="24">
        <v>4</v>
      </c>
      <c r="V341" s="24">
        <v>1656</v>
      </c>
      <c r="W341" s="24">
        <v>61</v>
      </c>
      <c r="X341" s="24">
        <v>32147</v>
      </c>
      <c r="Y341">
        <f t="shared" si="5"/>
        <v>340</v>
      </c>
    </row>
    <row r="342" spans="1:25" x14ac:dyDescent="0.4">
      <c r="A342" s="24" t="s">
        <v>2298</v>
      </c>
      <c r="B342" s="24" t="s">
        <v>2299</v>
      </c>
      <c r="C342" s="25">
        <v>42315</v>
      </c>
      <c r="D342" s="24" t="s">
        <v>2015</v>
      </c>
      <c r="E342" s="24" t="s">
        <v>2028</v>
      </c>
      <c r="F342" s="24" t="s">
        <v>2417</v>
      </c>
      <c r="G342" s="24">
        <v>21</v>
      </c>
      <c r="H342" s="24">
        <v>8757</v>
      </c>
      <c r="I342" s="24">
        <v>21</v>
      </c>
      <c r="J342" s="24">
        <v>9345</v>
      </c>
      <c r="K342" s="24">
        <v>19</v>
      </c>
      <c r="L342" s="24">
        <v>7638</v>
      </c>
      <c r="M342" s="24">
        <v>29</v>
      </c>
      <c r="N342" s="24">
        <v>14384</v>
      </c>
      <c r="O342" s="24">
        <v>23</v>
      </c>
      <c r="P342" s="24">
        <v>12259</v>
      </c>
      <c r="Q342" s="24">
        <v>56</v>
      </c>
      <c r="R342" s="24">
        <v>27888</v>
      </c>
      <c r="S342" s="24">
        <v>16</v>
      </c>
      <c r="T342" s="24">
        <v>6704</v>
      </c>
      <c r="U342" s="24">
        <v>64</v>
      </c>
      <c r="V342" s="24">
        <v>33920</v>
      </c>
      <c r="W342" s="24">
        <v>29</v>
      </c>
      <c r="X342" s="24">
        <v>15631</v>
      </c>
      <c r="Y342">
        <f t="shared" si="5"/>
        <v>278</v>
      </c>
    </row>
    <row r="343" spans="1:25" x14ac:dyDescent="0.4">
      <c r="A343" s="24" t="s">
        <v>2300</v>
      </c>
      <c r="B343" s="24" t="s">
        <v>2301</v>
      </c>
      <c r="C343" s="25">
        <v>44029</v>
      </c>
      <c r="D343" s="24" t="s">
        <v>2015</v>
      </c>
      <c r="E343" s="24" t="s">
        <v>2028</v>
      </c>
      <c r="F343" s="24" t="s">
        <v>2417</v>
      </c>
      <c r="G343" s="24">
        <v>22</v>
      </c>
      <c r="H343" s="24">
        <v>9966</v>
      </c>
      <c r="I343" s="24">
        <v>35</v>
      </c>
      <c r="J343" s="24">
        <v>18760</v>
      </c>
      <c r="K343" s="24">
        <v>23</v>
      </c>
      <c r="L343" s="24">
        <v>9430</v>
      </c>
      <c r="M343" s="24">
        <v>72</v>
      </c>
      <c r="N343" s="24">
        <v>37872</v>
      </c>
      <c r="O343" s="24">
        <v>75</v>
      </c>
      <c r="P343" s="24">
        <v>36150</v>
      </c>
      <c r="Q343" s="24">
        <v>70</v>
      </c>
      <c r="R343" s="24">
        <v>33670</v>
      </c>
      <c r="S343" s="24">
        <v>18</v>
      </c>
      <c r="T343" s="24">
        <v>8262</v>
      </c>
      <c r="U343" s="24">
        <v>69</v>
      </c>
      <c r="V343" s="24">
        <v>35949</v>
      </c>
      <c r="W343" s="24">
        <v>19</v>
      </c>
      <c r="X343" s="24">
        <v>10013</v>
      </c>
      <c r="Y343">
        <f t="shared" si="5"/>
        <v>403</v>
      </c>
    </row>
    <row r="344" spans="1:25" x14ac:dyDescent="0.4">
      <c r="A344" s="24" t="s">
        <v>2302</v>
      </c>
      <c r="B344" s="24" t="s">
        <v>2303</v>
      </c>
      <c r="C344" s="25">
        <v>43260</v>
      </c>
      <c r="D344" s="24" t="s">
        <v>2027</v>
      </c>
      <c r="E344" s="24" t="s">
        <v>2016</v>
      </c>
      <c r="F344" s="24" t="s">
        <v>2417</v>
      </c>
      <c r="G344" s="24">
        <v>42</v>
      </c>
      <c r="H344" s="24">
        <v>19614</v>
      </c>
      <c r="I344" s="24">
        <v>5</v>
      </c>
      <c r="J344" s="24">
        <v>2165</v>
      </c>
      <c r="K344" s="24">
        <v>5</v>
      </c>
      <c r="L344" s="24">
        <v>2415</v>
      </c>
      <c r="M344" s="24">
        <v>48</v>
      </c>
      <c r="N344" s="24">
        <v>20016</v>
      </c>
      <c r="O344" s="24">
        <v>39</v>
      </c>
      <c r="P344" s="24">
        <v>18915</v>
      </c>
      <c r="Q344" s="24">
        <v>10</v>
      </c>
      <c r="R344" s="24">
        <v>5020</v>
      </c>
      <c r="S344" s="24">
        <v>10</v>
      </c>
      <c r="T344" s="24">
        <v>4370</v>
      </c>
      <c r="U344" s="24">
        <v>37</v>
      </c>
      <c r="V344" s="24">
        <v>19018</v>
      </c>
      <c r="W344" s="24">
        <v>75</v>
      </c>
      <c r="X344" s="24">
        <v>38475</v>
      </c>
      <c r="Y344">
        <f t="shared" si="5"/>
        <v>271</v>
      </c>
    </row>
    <row r="345" spans="1:25" x14ac:dyDescent="0.4">
      <c r="A345" s="24" t="s">
        <v>2304</v>
      </c>
      <c r="B345" s="24" t="s">
        <v>2305</v>
      </c>
      <c r="C345" s="25">
        <v>43715</v>
      </c>
      <c r="D345" s="24" t="s">
        <v>2027</v>
      </c>
      <c r="E345" s="24" t="s">
        <v>2020</v>
      </c>
      <c r="F345" s="24" t="s">
        <v>2417</v>
      </c>
      <c r="G345" s="24">
        <v>19</v>
      </c>
      <c r="H345" s="24">
        <v>8626</v>
      </c>
      <c r="I345" s="24">
        <v>57</v>
      </c>
      <c r="J345" s="24">
        <v>24054</v>
      </c>
      <c r="K345" s="24">
        <v>54</v>
      </c>
      <c r="L345" s="24">
        <v>25812</v>
      </c>
      <c r="M345" s="24">
        <v>61</v>
      </c>
      <c r="N345" s="24">
        <v>30012</v>
      </c>
      <c r="O345" s="24">
        <v>25</v>
      </c>
      <c r="P345" s="24">
        <v>12200</v>
      </c>
      <c r="Q345" s="24">
        <v>1</v>
      </c>
      <c r="R345" s="24">
        <v>544</v>
      </c>
      <c r="S345" s="24">
        <v>63</v>
      </c>
      <c r="T345" s="24">
        <v>25326</v>
      </c>
      <c r="U345" s="24">
        <v>18</v>
      </c>
      <c r="V345" s="24">
        <v>8442</v>
      </c>
      <c r="W345" s="24">
        <v>43</v>
      </c>
      <c r="X345" s="24">
        <v>17974</v>
      </c>
      <c r="Y345">
        <f t="shared" si="5"/>
        <v>341</v>
      </c>
    </row>
    <row r="346" spans="1:25" x14ac:dyDescent="0.4">
      <c r="A346" s="24" t="s">
        <v>2306</v>
      </c>
      <c r="B346" s="24" t="s">
        <v>2307</v>
      </c>
      <c r="C346" s="25">
        <v>42423</v>
      </c>
      <c r="D346" s="24" t="s">
        <v>2027</v>
      </c>
      <c r="E346" s="24" t="s">
        <v>2028</v>
      </c>
      <c r="F346" s="24" t="s">
        <v>2417</v>
      </c>
      <c r="G346" s="24">
        <v>44</v>
      </c>
      <c r="H346" s="24">
        <v>18788</v>
      </c>
      <c r="I346" s="24">
        <v>71</v>
      </c>
      <c r="J346" s="24">
        <v>36991</v>
      </c>
      <c r="K346" s="24">
        <v>68</v>
      </c>
      <c r="L346" s="24">
        <v>29172</v>
      </c>
      <c r="M346" s="24">
        <v>26</v>
      </c>
      <c r="N346" s="24">
        <v>11128</v>
      </c>
      <c r="O346" s="24">
        <v>21</v>
      </c>
      <c r="P346" s="24">
        <v>9072</v>
      </c>
      <c r="Q346" s="24">
        <v>63</v>
      </c>
      <c r="R346" s="24">
        <v>31563</v>
      </c>
      <c r="S346" s="24">
        <v>65</v>
      </c>
      <c r="T346" s="24">
        <v>30550</v>
      </c>
      <c r="U346" s="24">
        <v>52</v>
      </c>
      <c r="V346" s="24">
        <v>25688</v>
      </c>
      <c r="W346" s="24">
        <v>72</v>
      </c>
      <c r="X346" s="24">
        <v>31536</v>
      </c>
      <c r="Y346">
        <f t="shared" si="5"/>
        <v>482</v>
      </c>
    </row>
    <row r="347" spans="1:25" x14ac:dyDescent="0.4">
      <c r="A347" s="24" t="s">
        <v>2308</v>
      </c>
      <c r="B347" s="24" t="s">
        <v>2309</v>
      </c>
      <c r="C347" s="25">
        <v>43472</v>
      </c>
      <c r="D347" s="24" t="s">
        <v>2015</v>
      </c>
      <c r="E347" s="24" t="s">
        <v>2016</v>
      </c>
      <c r="F347" s="24" t="s">
        <v>2417</v>
      </c>
      <c r="G347" s="24">
        <v>10</v>
      </c>
      <c r="H347" s="24">
        <v>4580</v>
      </c>
      <c r="I347" s="24">
        <v>20</v>
      </c>
      <c r="J347" s="24">
        <v>9640</v>
      </c>
      <c r="K347" s="24">
        <v>72</v>
      </c>
      <c r="L347" s="24">
        <v>31464</v>
      </c>
      <c r="M347" s="24">
        <v>60</v>
      </c>
      <c r="N347" s="24">
        <v>29400</v>
      </c>
      <c r="O347" s="24">
        <v>74</v>
      </c>
      <c r="P347" s="24">
        <v>33004</v>
      </c>
      <c r="Q347" s="24">
        <v>36</v>
      </c>
      <c r="R347" s="24">
        <v>17784</v>
      </c>
      <c r="S347" s="24">
        <v>63</v>
      </c>
      <c r="T347" s="24">
        <v>27405</v>
      </c>
      <c r="U347" s="24">
        <v>12</v>
      </c>
      <c r="V347" s="24">
        <v>6348</v>
      </c>
      <c r="W347" s="24">
        <v>24</v>
      </c>
      <c r="X347" s="24">
        <v>11640</v>
      </c>
      <c r="Y347">
        <f t="shared" si="5"/>
        <v>371</v>
      </c>
    </row>
    <row r="348" spans="1:25" x14ac:dyDescent="0.4">
      <c r="A348" s="24" t="s">
        <v>2310</v>
      </c>
      <c r="B348" s="24" t="s">
        <v>2311</v>
      </c>
      <c r="C348" s="25">
        <v>43828</v>
      </c>
      <c r="D348" s="24" t="s">
        <v>2027</v>
      </c>
      <c r="E348" s="24" t="s">
        <v>2028</v>
      </c>
      <c r="F348" s="24" t="s">
        <v>2417</v>
      </c>
      <c r="G348" s="24">
        <v>70</v>
      </c>
      <c r="H348" s="24">
        <v>30030</v>
      </c>
      <c r="I348" s="24">
        <v>7</v>
      </c>
      <c r="J348" s="24">
        <v>3353</v>
      </c>
      <c r="K348" s="24">
        <v>55</v>
      </c>
      <c r="L348" s="24">
        <v>24420</v>
      </c>
      <c r="M348" s="24">
        <v>72</v>
      </c>
      <c r="N348" s="24">
        <v>30960</v>
      </c>
      <c r="O348" s="24">
        <v>12</v>
      </c>
      <c r="P348" s="24">
        <v>4800</v>
      </c>
      <c r="Q348" s="24">
        <v>63</v>
      </c>
      <c r="R348" s="24">
        <v>31248</v>
      </c>
      <c r="S348" s="24">
        <v>51</v>
      </c>
      <c r="T348" s="24">
        <v>20604</v>
      </c>
      <c r="U348" s="24">
        <v>56</v>
      </c>
      <c r="V348" s="24">
        <v>24528</v>
      </c>
      <c r="W348" s="24">
        <v>0</v>
      </c>
      <c r="X348" s="24">
        <v>0</v>
      </c>
      <c r="Y348">
        <f t="shared" si="5"/>
        <v>386</v>
      </c>
    </row>
    <row r="349" spans="1:25" x14ac:dyDescent="0.4">
      <c r="A349" s="24" t="s">
        <v>2312</v>
      </c>
      <c r="B349" s="24" t="s">
        <v>2313</v>
      </c>
      <c r="C349" s="25">
        <v>44021</v>
      </c>
      <c r="D349" s="24" t="s">
        <v>2015</v>
      </c>
      <c r="E349" s="24" t="s">
        <v>2028</v>
      </c>
      <c r="F349" s="24" t="s">
        <v>2417</v>
      </c>
      <c r="G349" s="24">
        <v>72</v>
      </c>
      <c r="H349" s="24">
        <v>33552</v>
      </c>
      <c r="I349" s="24">
        <v>72</v>
      </c>
      <c r="J349" s="24">
        <v>37656</v>
      </c>
      <c r="K349" s="24">
        <v>56</v>
      </c>
      <c r="L349" s="24">
        <v>22904</v>
      </c>
      <c r="M349" s="24">
        <v>47</v>
      </c>
      <c r="N349" s="24">
        <v>23265</v>
      </c>
      <c r="O349" s="24">
        <v>24</v>
      </c>
      <c r="P349" s="24">
        <v>10800</v>
      </c>
      <c r="Q349" s="24">
        <v>27</v>
      </c>
      <c r="R349" s="24">
        <v>13095</v>
      </c>
      <c r="S349" s="24">
        <v>32</v>
      </c>
      <c r="T349" s="24">
        <v>14592</v>
      </c>
      <c r="U349" s="24">
        <v>20</v>
      </c>
      <c r="V349" s="24">
        <v>8080</v>
      </c>
      <c r="W349" s="24">
        <v>47</v>
      </c>
      <c r="X349" s="24">
        <v>24769</v>
      </c>
      <c r="Y349">
        <f t="shared" si="5"/>
        <v>397</v>
      </c>
    </row>
    <row r="350" spans="1:25" x14ac:dyDescent="0.4">
      <c r="A350" s="24" t="s">
        <v>2314</v>
      </c>
      <c r="B350" s="24" t="s">
        <v>2315</v>
      </c>
      <c r="C350" s="25">
        <v>43224</v>
      </c>
      <c r="D350" s="24" t="s">
        <v>2027</v>
      </c>
      <c r="E350" s="24" t="s">
        <v>2028</v>
      </c>
      <c r="F350" s="24" t="s">
        <v>2417</v>
      </c>
      <c r="G350" s="24">
        <v>74</v>
      </c>
      <c r="H350" s="24">
        <v>39294</v>
      </c>
      <c r="I350" s="24">
        <v>65</v>
      </c>
      <c r="J350" s="24">
        <v>30810</v>
      </c>
      <c r="K350" s="24">
        <v>10</v>
      </c>
      <c r="L350" s="24">
        <v>4070</v>
      </c>
      <c r="M350" s="24">
        <v>70</v>
      </c>
      <c r="N350" s="24">
        <v>32340</v>
      </c>
      <c r="O350" s="24">
        <v>5</v>
      </c>
      <c r="P350" s="24">
        <v>2520</v>
      </c>
      <c r="Q350" s="24">
        <v>4</v>
      </c>
      <c r="R350" s="24">
        <v>1792</v>
      </c>
      <c r="S350" s="24">
        <v>16</v>
      </c>
      <c r="T350" s="24">
        <v>6400</v>
      </c>
      <c r="U350" s="24">
        <v>59</v>
      </c>
      <c r="V350" s="24">
        <v>25960</v>
      </c>
      <c r="W350" s="24">
        <v>67</v>
      </c>
      <c r="X350" s="24">
        <v>33299</v>
      </c>
      <c r="Y350">
        <f t="shared" si="5"/>
        <v>370</v>
      </c>
    </row>
    <row r="351" spans="1:25" x14ac:dyDescent="0.4">
      <c r="A351" s="24" t="s">
        <v>2316</v>
      </c>
      <c r="B351" s="24" t="s">
        <v>2317</v>
      </c>
      <c r="C351" s="25">
        <v>43376</v>
      </c>
      <c r="D351" s="24" t="s">
        <v>2027</v>
      </c>
      <c r="E351" s="24" t="s">
        <v>2028</v>
      </c>
      <c r="F351" s="24" t="s">
        <v>2417</v>
      </c>
      <c r="G351" s="24">
        <v>32</v>
      </c>
      <c r="H351" s="24">
        <v>13760</v>
      </c>
      <c r="I351" s="24">
        <v>44</v>
      </c>
      <c r="J351" s="24">
        <v>20196</v>
      </c>
      <c r="K351" s="24">
        <v>27</v>
      </c>
      <c r="L351" s="24">
        <v>14472</v>
      </c>
      <c r="M351" s="24">
        <v>38</v>
      </c>
      <c r="N351" s="24">
        <v>17290</v>
      </c>
      <c r="O351" s="24">
        <v>14</v>
      </c>
      <c r="P351" s="24">
        <v>6286</v>
      </c>
      <c r="Q351" s="24">
        <v>64</v>
      </c>
      <c r="R351" s="24">
        <v>33024</v>
      </c>
      <c r="S351" s="24">
        <v>71</v>
      </c>
      <c r="T351" s="24">
        <v>38624</v>
      </c>
      <c r="U351" s="24">
        <v>68</v>
      </c>
      <c r="V351" s="24">
        <v>34816</v>
      </c>
      <c r="W351" s="24">
        <v>20</v>
      </c>
      <c r="X351" s="24">
        <v>9580</v>
      </c>
      <c r="Y351">
        <f t="shared" si="5"/>
        <v>378</v>
      </c>
    </row>
    <row r="352" spans="1:25" x14ac:dyDescent="0.4">
      <c r="A352" s="24" t="s">
        <v>2318</v>
      </c>
      <c r="B352" s="24" t="s">
        <v>2319</v>
      </c>
      <c r="C352" s="25">
        <v>42831</v>
      </c>
      <c r="D352" s="24" t="s">
        <v>2027</v>
      </c>
      <c r="E352" s="24" t="s">
        <v>2028</v>
      </c>
      <c r="F352" s="24" t="s">
        <v>2417</v>
      </c>
      <c r="G352" s="24">
        <v>59</v>
      </c>
      <c r="H352" s="24">
        <v>29205</v>
      </c>
      <c r="I352" s="24">
        <v>32</v>
      </c>
      <c r="J352" s="24">
        <v>16864</v>
      </c>
      <c r="K352" s="24">
        <v>32</v>
      </c>
      <c r="L352" s="24">
        <v>13984</v>
      </c>
      <c r="M352" s="24">
        <v>16</v>
      </c>
      <c r="N352" s="24">
        <v>8304</v>
      </c>
      <c r="O352" s="24">
        <v>42</v>
      </c>
      <c r="P352" s="24">
        <v>20496</v>
      </c>
      <c r="Q352" s="24">
        <v>9</v>
      </c>
      <c r="R352" s="24">
        <v>4455</v>
      </c>
      <c r="S352" s="24">
        <v>48</v>
      </c>
      <c r="T352" s="24">
        <v>22944</v>
      </c>
      <c r="U352" s="24">
        <v>13</v>
      </c>
      <c r="V352" s="24">
        <v>6825</v>
      </c>
      <c r="W352" s="24">
        <v>57</v>
      </c>
      <c r="X352" s="24">
        <v>27588</v>
      </c>
      <c r="Y352">
        <f t="shared" si="5"/>
        <v>308</v>
      </c>
    </row>
    <row r="353" spans="1:25" x14ac:dyDescent="0.4">
      <c r="A353" s="24" t="s">
        <v>2320</v>
      </c>
      <c r="B353" s="24" t="s">
        <v>2321</v>
      </c>
      <c r="C353" s="25">
        <v>44108</v>
      </c>
      <c r="D353" s="24" t="s">
        <v>2015</v>
      </c>
      <c r="E353" s="24" t="s">
        <v>2016</v>
      </c>
      <c r="F353" s="24" t="s">
        <v>2417</v>
      </c>
      <c r="G353" s="24">
        <v>10</v>
      </c>
      <c r="H353" s="24">
        <v>4260</v>
      </c>
      <c r="I353" s="24">
        <v>61</v>
      </c>
      <c r="J353" s="24">
        <v>29463</v>
      </c>
      <c r="K353" s="24">
        <v>58</v>
      </c>
      <c r="L353" s="24">
        <v>30798</v>
      </c>
      <c r="M353" s="24">
        <v>57</v>
      </c>
      <c r="N353" s="24">
        <v>23826</v>
      </c>
      <c r="O353" s="24">
        <v>61</v>
      </c>
      <c r="P353" s="24">
        <v>25864</v>
      </c>
      <c r="Q353" s="24">
        <v>25</v>
      </c>
      <c r="R353" s="24">
        <v>12625</v>
      </c>
      <c r="S353" s="24">
        <v>14</v>
      </c>
      <c r="T353" s="24">
        <v>6776</v>
      </c>
      <c r="U353" s="24">
        <v>52</v>
      </c>
      <c r="V353" s="24">
        <v>23348</v>
      </c>
      <c r="W353" s="24">
        <v>39</v>
      </c>
      <c r="X353" s="24">
        <v>18096</v>
      </c>
      <c r="Y353">
        <f t="shared" si="5"/>
        <v>377</v>
      </c>
    </row>
    <row r="354" spans="1:25" x14ac:dyDescent="0.4">
      <c r="A354" s="24" t="s">
        <v>2322</v>
      </c>
      <c r="B354" s="24" t="s">
        <v>2323</v>
      </c>
      <c r="C354" s="25">
        <v>42964</v>
      </c>
      <c r="D354" s="24" t="s">
        <v>2015</v>
      </c>
      <c r="E354" s="24" t="s">
        <v>2020</v>
      </c>
      <c r="F354" s="24" t="s">
        <v>2417</v>
      </c>
      <c r="G354" s="24">
        <v>28</v>
      </c>
      <c r="H354" s="24">
        <v>11844</v>
      </c>
      <c r="I354" s="24">
        <v>46</v>
      </c>
      <c r="J354" s="24">
        <v>20148</v>
      </c>
      <c r="K354" s="24">
        <v>17</v>
      </c>
      <c r="L354" s="24">
        <v>8092</v>
      </c>
      <c r="M354" s="24">
        <v>26</v>
      </c>
      <c r="N354" s="24">
        <v>13780</v>
      </c>
      <c r="O354" s="24">
        <v>40</v>
      </c>
      <c r="P354" s="24">
        <v>20800</v>
      </c>
      <c r="Q354" s="24">
        <v>38</v>
      </c>
      <c r="R354" s="24">
        <v>15504</v>
      </c>
      <c r="S354" s="24">
        <v>33</v>
      </c>
      <c r="T354" s="24">
        <v>15279</v>
      </c>
      <c r="U354" s="24">
        <v>45</v>
      </c>
      <c r="V354" s="24">
        <v>20790</v>
      </c>
      <c r="W354" s="24">
        <v>39</v>
      </c>
      <c r="X354" s="24">
        <v>20202</v>
      </c>
      <c r="Y354">
        <f t="shared" si="5"/>
        <v>312</v>
      </c>
    </row>
    <row r="355" spans="1:25" x14ac:dyDescent="0.4">
      <c r="A355" s="24" t="s">
        <v>2324</v>
      </c>
      <c r="B355" s="24" t="s">
        <v>2325</v>
      </c>
      <c r="C355" s="25">
        <v>43429</v>
      </c>
      <c r="D355" s="24" t="s">
        <v>2015</v>
      </c>
      <c r="E355" s="24" t="s">
        <v>2020</v>
      </c>
      <c r="F355" s="24" t="s">
        <v>2417</v>
      </c>
      <c r="G355" s="24">
        <v>71</v>
      </c>
      <c r="H355" s="24">
        <v>29891</v>
      </c>
      <c r="I355" s="24">
        <v>69</v>
      </c>
      <c r="J355" s="24">
        <v>37053</v>
      </c>
      <c r="K355" s="24">
        <v>20</v>
      </c>
      <c r="L355" s="24">
        <v>8620</v>
      </c>
      <c r="M355" s="24">
        <v>34</v>
      </c>
      <c r="N355" s="24">
        <v>14246</v>
      </c>
      <c r="O355" s="24">
        <v>18</v>
      </c>
      <c r="P355" s="24">
        <v>8028</v>
      </c>
      <c r="Q355" s="24">
        <v>43</v>
      </c>
      <c r="R355" s="24">
        <v>23435</v>
      </c>
      <c r="S355" s="24">
        <v>75</v>
      </c>
      <c r="T355" s="24">
        <v>40125</v>
      </c>
      <c r="U355" s="24">
        <v>49</v>
      </c>
      <c r="V355" s="24">
        <v>22883</v>
      </c>
      <c r="W355" s="24">
        <v>56</v>
      </c>
      <c r="X355" s="24">
        <v>24696</v>
      </c>
      <c r="Y355">
        <f t="shared" si="5"/>
        <v>435</v>
      </c>
    </row>
    <row r="356" spans="1:25" x14ac:dyDescent="0.4">
      <c r="A356" s="24" t="s">
        <v>2326</v>
      </c>
      <c r="B356" s="24" t="s">
        <v>2327</v>
      </c>
      <c r="C356" s="25">
        <v>43203</v>
      </c>
      <c r="D356" s="24" t="s">
        <v>2015</v>
      </c>
      <c r="E356" s="24" t="s">
        <v>2020</v>
      </c>
      <c r="F356" s="24" t="s">
        <v>2417</v>
      </c>
      <c r="G356" s="24">
        <v>18</v>
      </c>
      <c r="H356" s="24">
        <v>8874</v>
      </c>
      <c r="I356" s="24">
        <v>11</v>
      </c>
      <c r="J356" s="24">
        <v>5753</v>
      </c>
      <c r="K356" s="24">
        <v>24</v>
      </c>
      <c r="L356" s="24">
        <v>12336</v>
      </c>
      <c r="M356" s="24">
        <v>51</v>
      </c>
      <c r="N356" s="24">
        <v>28050</v>
      </c>
      <c r="O356" s="24">
        <v>59</v>
      </c>
      <c r="P356" s="24">
        <v>30739</v>
      </c>
      <c r="Q356" s="24">
        <v>11</v>
      </c>
      <c r="R356" s="24">
        <v>5951</v>
      </c>
      <c r="S356" s="24">
        <v>59</v>
      </c>
      <c r="T356" s="24">
        <v>30267</v>
      </c>
      <c r="U356" s="24">
        <v>59</v>
      </c>
      <c r="V356" s="24">
        <v>29500</v>
      </c>
      <c r="W356" s="24">
        <v>22</v>
      </c>
      <c r="X356" s="24">
        <v>11110</v>
      </c>
      <c r="Y356">
        <f t="shared" si="5"/>
        <v>314</v>
      </c>
    </row>
    <row r="357" spans="1:25" x14ac:dyDescent="0.4">
      <c r="A357" s="24" t="s">
        <v>2328</v>
      </c>
      <c r="B357" s="24" t="s">
        <v>2329</v>
      </c>
      <c r="C357" s="25">
        <v>44139</v>
      </c>
      <c r="D357" s="24" t="s">
        <v>2027</v>
      </c>
      <c r="E357" s="24" t="s">
        <v>2028</v>
      </c>
      <c r="F357" s="24" t="s">
        <v>2417</v>
      </c>
      <c r="G357" s="24">
        <v>2</v>
      </c>
      <c r="H357" s="24">
        <v>902</v>
      </c>
      <c r="I357" s="24">
        <v>75</v>
      </c>
      <c r="J357" s="24">
        <v>37275</v>
      </c>
      <c r="K357" s="24">
        <v>59</v>
      </c>
      <c r="L357" s="24">
        <v>28851</v>
      </c>
      <c r="M357" s="24">
        <v>23</v>
      </c>
      <c r="N357" s="24">
        <v>10856</v>
      </c>
      <c r="O357" s="24">
        <v>36</v>
      </c>
      <c r="P357" s="24">
        <v>19296</v>
      </c>
      <c r="Q357" s="24">
        <v>13</v>
      </c>
      <c r="R357" s="24">
        <v>6292</v>
      </c>
      <c r="S357" s="24">
        <v>74</v>
      </c>
      <c r="T357" s="24">
        <v>38702</v>
      </c>
      <c r="U357" s="24">
        <v>60</v>
      </c>
      <c r="V357" s="24">
        <v>32580</v>
      </c>
      <c r="W357" s="24">
        <v>72</v>
      </c>
      <c r="X357" s="24">
        <v>36144</v>
      </c>
      <c r="Y357">
        <f t="shared" si="5"/>
        <v>414</v>
      </c>
    </row>
    <row r="358" spans="1:25" x14ac:dyDescent="0.4">
      <c r="A358" s="24" t="s">
        <v>2330</v>
      </c>
      <c r="B358" s="24" t="s">
        <v>2331</v>
      </c>
      <c r="C358" s="25">
        <v>42213</v>
      </c>
      <c r="D358" s="24" t="s">
        <v>2015</v>
      </c>
      <c r="E358" s="24" t="s">
        <v>2020</v>
      </c>
      <c r="F358" s="24" t="s">
        <v>2417</v>
      </c>
      <c r="G358" s="24">
        <v>21</v>
      </c>
      <c r="H358" s="24">
        <v>8988</v>
      </c>
      <c r="I358" s="24">
        <v>33</v>
      </c>
      <c r="J358" s="24">
        <v>17028</v>
      </c>
      <c r="K358" s="24">
        <v>55</v>
      </c>
      <c r="L358" s="24">
        <v>29095</v>
      </c>
      <c r="M358" s="24">
        <v>4</v>
      </c>
      <c r="N358" s="24">
        <v>1836</v>
      </c>
      <c r="O358" s="24">
        <v>70</v>
      </c>
      <c r="P358" s="24">
        <v>36190</v>
      </c>
      <c r="Q358" s="24">
        <v>6</v>
      </c>
      <c r="R358" s="24">
        <v>3084</v>
      </c>
      <c r="S358" s="24">
        <v>50</v>
      </c>
      <c r="T358" s="24">
        <v>24100</v>
      </c>
      <c r="U358" s="24">
        <v>13</v>
      </c>
      <c r="V358" s="24">
        <v>6864</v>
      </c>
      <c r="W358" s="24">
        <v>8</v>
      </c>
      <c r="X358" s="24">
        <v>3936</v>
      </c>
      <c r="Y358">
        <f t="shared" si="5"/>
        <v>260</v>
      </c>
    </row>
    <row r="359" spans="1:25" x14ac:dyDescent="0.4">
      <c r="A359" s="24" t="s">
        <v>2332</v>
      </c>
      <c r="B359" s="24" t="s">
        <v>2333</v>
      </c>
      <c r="C359" s="25">
        <v>43331</v>
      </c>
      <c r="D359" s="24" t="s">
        <v>2015</v>
      </c>
      <c r="E359" s="24" t="s">
        <v>2020</v>
      </c>
      <c r="F359" s="24" t="s">
        <v>2417</v>
      </c>
      <c r="G359" s="24">
        <v>21</v>
      </c>
      <c r="H359" s="24">
        <v>9618</v>
      </c>
      <c r="I359" s="24">
        <v>71</v>
      </c>
      <c r="J359" s="24">
        <v>31950</v>
      </c>
      <c r="K359" s="24">
        <v>63</v>
      </c>
      <c r="L359" s="24">
        <v>30492</v>
      </c>
      <c r="M359" s="24">
        <v>33</v>
      </c>
      <c r="N359" s="24">
        <v>17820</v>
      </c>
      <c r="O359" s="24">
        <v>63</v>
      </c>
      <c r="P359" s="24">
        <v>32319</v>
      </c>
      <c r="Q359" s="24">
        <v>57</v>
      </c>
      <c r="R359" s="24">
        <v>27474</v>
      </c>
      <c r="S359" s="24">
        <v>38</v>
      </c>
      <c r="T359" s="24">
        <v>18126</v>
      </c>
      <c r="U359" s="24">
        <v>9</v>
      </c>
      <c r="V359" s="24">
        <v>4005</v>
      </c>
      <c r="W359" s="24">
        <v>48</v>
      </c>
      <c r="X359" s="24">
        <v>25248</v>
      </c>
      <c r="Y359">
        <f t="shared" si="5"/>
        <v>403</v>
      </c>
    </row>
    <row r="360" spans="1:25" x14ac:dyDescent="0.4">
      <c r="A360" s="24" t="s">
        <v>2334</v>
      </c>
      <c r="B360" s="24" t="s">
        <v>2335</v>
      </c>
      <c r="C360" s="25">
        <v>43767</v>
      </c>
      <c r="D360" s="24" t="s">
        <v>2027</v>
      </c>
      <c r="E360" s="24" t="s">
        <v>2016</v>
      </c>
      <c r="F360" s="24" t="s">
        <v>2417</v>
      </c>
      <c r="G360" s="24">
        <v>33</v>
      </c>
      <c r="H360" s="24">
        <v>14289</v>
      </c>
      <c r="I360" s="24">
        <v>59</v>
      </c>
      <c r="J360" s="24">
        <v>30326</v>
      </c>
      <c r="K360" s="24">
        <v>11</v>
      </c>
      <c r="L360" s="24">
        <v>5753</v>
      </c>
      <c r="M360" s="24">
        <v>11</v>
      </c>
      <c r="N360" s="24">
        <v>5577</v>
      </c>
      <c r="O360" s="24">
        <v>21</v>
      </c>
      <c r="P360" s="24">
        <v>11151</v>
      </c>
      <c r="Q360" s="24">
        <v>31</v>
      </c>
      <c r="R360" s="24">
        <v>13144</v>
      </c>
      <c r="S360" s="24">
        <v>28</v>
      </c>
      <c r="T360" s="24">
        <v>14952</v>
      </c>
      <c r="U360" s="24">
        <v>62</v>
      </c>
      <c r="V360" s="24">
        <v>30256</v>
      </c>
      <c r="W360" s="24">
        <v>4</v>
      </c>
      <c r="X360" s="24">
        <v>1632</v>
      </c>
      <c r="Y360">
        <f t="shared" si="5"/>
        <v>260</v>
      </c>
    </row>
    <row r="361" spans="1:25" x14ac:dyDescent="0.4">
      <c r="A361" s="24" t="s">
        <v>2336</v>
      </c>
      <c r="B361" s="24" t="s">
        <v>2337</v>
      </c>
      <c r="C361" s="25">
        <v>42380</v>
      </c>
      <c r="D361" s="24" t="s">
        <v>2015</v>
      </c>
      <c r="E361" s="24" t="s">
        <v>2016</v>
      </c>
      <c r="F361" s="24" t="s">
        <v>2417</v>
      </c>
      <c r="G361" s="24">
        <v>59</v>
      </c>
      <c r="H361" s="24">
        <v>25724</v>
      </c>
      <c r="I361" s="24">
        <v>8</v>
      </c>
      <c r="J361" s="24">
        <v>3240</v>
      </c>
      <c r="K361" s="24">
        <v>32</v>
      </c>
      <c r="L361" s="24">
        <v>17344</v>
      </c>
      <c r="M361" s="24">
        <v>44</v>
      </c>
      <c r="N361" s="24">
        <v>17644</v>
      </c>
      <c r="O361" s="24">
        <v>71</v>
      </c>
      <c r="P361" s="24">
        <v>33867</v>
      </c>
      <c r="Q361" s="24">
        <v>47</v>
      </c>
      <c r="R361" s="24">
        <v>25004</v>
      </c>
      <c r="S361" s="24">
        <v>0</v>
      </c>
      <c r="T361" s="24">
        <v>0</v>
      </c>
      <c r="U361" s="24">
        <v>21</v>
      </c>
      <c r="V361" s="24">
        <v>9723</v>
      </c>
      <c r="W361" s="24">
        <v>65</v>
      </c>
      <c r="X361" s="24">
        <v>33670</v>
      </c>
      <c r="Y361">
        <f t="shared" si="5"/>
        <v>347</v>
      </c>
    </row>
    <row r="362" spans="1:25" x14ac:dyDescent="0.4">
      <c r="A362" s="24" t="s">
        <v>2338</v>
      </c>
      <c r="B362" s="24" t="s">
        <v>2339</v>
      </c>
      <c r="C362" s="25">
        <v>42091</v>
      </c>
      <c r="D362" s="24" t="s">
        <v>2015</v>
      </c>
      <c r="E362" s="24" t="s">
        <v>2020</v>
      </c>
      <c r="F362" s="24" t="s">
        <v>2417</v>
      </c>
      <c r="G362" s="24">
        <v>10</v>
      </c>
      <c r="H362" s="24">
        <v>5020</v>
      </c>
      <c r="I362" s="24">
        <v>27</v>
      </c>
      <c r="J362" s="24">
        <v>11637</v>
      </c>
      <c r="K362" s="24">
        <v>67</v>
      </c>
      <c r="L362" s="24">
        <v>30485</v>
      </c>
      <c r="M362" s="24">
        <v>65</v>
      </c>
      <c r="N362" s="24">
        <v>27365</v>
      </c>
      <c r="O362" s="24">
        <v>72</v>
      </c>
      <c r="P362" s="24">
        <v>32544</v>
      </c>
      <c r="Q362" s="24">
        <v>69</v>
      </c>
      <c r="R362" s="24">
        <v>30429</v>
      </c>
      <c r="S362" s="24">
        <v>39</v>
      </c>
      <c r="T362" s="24">
        <v>17979</v>
      </c>
      <c r="U362" s="24">
        <v>26</v>
      </c>
      <c r="V362" s="24">
        <v>11388</v>
      </c>
      <c r="W362" s="24">
        <v>1</v>
      </c>
      <c r="X362" s="24">
        <v>536</v>
      </c>
      <c r="Y362">
        <f t="shared" si="5"/>
        <v>376</v>
      </c>
    </row>
    <row r="363" spans="1:25" x14ac:dyDescent="0.4">
      <c r="A363" s="24" t="s">
        <v>2340</v>
      </c>
      <c r="B363" s="24" t="s">
        <v>2341</v>
      </c>
      <c r="C363" s="25">
        <v>43035</v>
      </c>
      <c r="D363" s="24" t="s">
        <v>2015</v>
      </c>
      <c r="E363" s="24" t="s">
        <v>2020</v>
      </c>
      <c r="F363" s="24" t="s">
        <v>2417</v>
      </c>
      <c r="G363" s="24">
        <v>74</v>
      </c>
      <c r="H363" s="24">
        <v>38184</v>
      </c>
      <c r="I363" s="24">
        <v>0</v>
      </c>
      <c r="J363" s="24">
        <v>0</v>
      </c>
      <c r="K363" s="24">
        <v>0</v>
      </c>
      <c r="L363" s="24">
        <v>0</v>
      </c>
      <c r="M363" s="24">
        <v>46</v>
      </c>
      <c r="N363" s="24">
        <v>21298</v>
      </c>
      <c r="O363" s="24">
        <v>32</v>
      </c>
      <c r="P363" s="24">
        <v>15968</v>
      </c>
      <c r="Q363" s="24">
        <v>64</v>
      </c>
      <c r="R363" s="24">
        <v>33792</v>
      </c>
      <c r="S363" s="24">
        <v>46</v>
      </c>
      <c r="T363" s="24">
        <v>23322</v>
      </c>
      <c r="U363" s="24">
        <v>40</v>
      </c>
      <c r="V363" s="24">
        <v>20320</v>
      </c>
      <c r="W363" s="24">
        <v>48</v>
      </c>
      <c r="X363" s="24">
        <v>24624</v>
      </c>
      <c r="Y363">
        <f t="shared" si="5"/>
        <v>350</v>
      </c>
    </row>
    <row r="364" spans="1:25" x14ac:dyDescent="0.4">
      <c r="A364" s="24" t="s">
        <v>2342</v>
      </c>
      <c r="B364" s="24" t="s">
        <v>2343</v>
      </c>
      <c r="C364" s="25">
        <v>42968</v>
      </c>
      <c r="D364" s="24" t="s">
        <v>2015</v>
      </c>
      <c r="E364" s="24" t="s">
        <v>2028</v>
      </c>
      <c r="F364" s="24" t="s">
        <v>2417</v>
      </c>
      <c r="G364" s="24">
        <v>35</v>
      </c>
      <c r="H364" s="24">
        <v>15015</v>
      </c>
      <c r="I364" s="24">
        <v>56</v>
      </c>
      <c r="J364" s="24">
        <v>28560</v>
      </c>
      <c r="K364" s="24">
        <v>2</v>
      </c>
      <c r="L364" s="24">
        <v>1000</v>
      </c>
      <c r="M364" s="24">
        <v>12</v>
      </c>
      <c r="N364" s="24">
        <v>5148</v>
      </c>
      <c r="O364" s="24">
        <v>63</v>
      </c>
      <c r="P364" s="24">
        <v>27279</v>
      </c>
      <c r="Q364" s="24">
        <v>6</v>
      </c>
      <c r="R364" s="24">
        <v>3198</v>
      </c>
      <c r="S364" s="24">
        <v>43</v>
      </c>
      <c r="T364" s="24">
        <v>17243</v>
      </c>
      <c r="U364" s="24">
        <v>74</v>
      </c>
      <c r="V364" s="24">
        <v>29674</v>
      </c>
      <c r="W364" s="24">
        <v>15</v>
      </c>
      <c r="X364" s="24">
        <v>6705</v>
      </c>
      <c r="Y364">
        <f t="shared" si="5"/>
        <v>306</v>
      </c>
    </row>
    <row r="365" spans="1:25" x14ac:dyDescent="0.4">
      <c r="A365" s="24" t="s">
        <v>2344</v>
      </c>
      <c r="B365" s="24" t="s">
        <v>2345</v>
      </c>
      <c r="C365" s="25">
        <v>42183</v>
      </c>
      <c r="D365" s="24" t="s">
        <v>2015</v>
      </c>
      <c r="E365" s="24" t="s">
        <v>2016</v>
      </c>
      <c r="F365" s="24" t="s">
        <v>2417</v>
      </c>
      <c r="G365" s="24">
        <v>60</v>
      </c>
      <c r="H365" s="24">
        <v>27000</v>
      </c>
      <c r="I365" s="24">
        <v>17</v>
      </c>
      <c r="J365" s="24">
        <v>8364</v>
      </c>
      <c r="K365" s="24">
        <v>37</v>
      </c>
      <c r="L365" s="24">
        <v>17686</v>
      </c>
      <c r="M365" s="24">
        <v>62</v>
      </c>
      <c r="N365" s="24">
        <v>26226</v>
      </c>
      <c r="O365" s="24">
        <v>74</v>
      </c>
      <c r="P365" s="24">
        <v>40034</v>
      </c>
      <c r="Q365" s="24">
        <v>66</v>
      </c>
      <c r="R365" s="24">
        <v>29370</v>
      </c>
      <c r="S365" s="24">
        <v>52</v>
      </c>
      <c r="T365" s="24">
        <v>27092</v>
      </c>
      <c r="U365" s="24">
        <v>15</v>
      </c>
      <c r="V365" s="24">
        <v>6735</v>
      </c>
      <c r="W365" s="24">
        <v>38</v>
      </c>
      <c r="X365" s="24">
        <v>18164</v>
      </c>
      <c r="Y365">
        <f t="shared" si="5"/>
        <v>421</v>
      </c>
    </row>
    <row r="366" spans="1:25" x14ac:dyDescent="0.4">
      <c r="A366" s="24" t="s">
        <v>2346</v>
      </c>
      <c r="B366" s="24" t="s">
        <v>2347</v>
      </c>
      <c r="C366" s="25">
        <v>43346</v>
      </c>
      <c r="D366" s="24" t="s">
        <v>2027</v>
      </c>
      <c r="E366" s="24" t="s">
        <v>2028</v>
      </c>
      <c r="F366" s="24" t="s">
        <v>2417</v>
      </c>
      <c r="G366" s="24">
        <v>25</v>
      </c>
      <c r="H366" s="24">
        <v>10500</v>
      </c>
      <c r="I366" s="24">
        <v>6</v>
      </c>
      <c r="J366" s="24">
        <v>2820</v>
      </c>
      <c r="K366" s="24">
        <v>20</v>
      </c>
      <c r="L366" s="24">
        <v>8500</v>
      </c>
      <c r="M366" s="24">
        <v>30</v>
      </c>
      <c r="N366" s="24">
        <v>16260</v>
      </c>
      <c r="O366" s="24">
        <v>72</v>
      </c>
      <c r="P366" s="24">
        <v>33408</v>
      </c>
      <c r="Q366" s="24">
        <v>3</v>
      </c>
      <c r="R366" s="24">
        <v>1410</v>
      </c>
      <c r="S366" s="24">
        <v>51</v>
      </c>
      <c r="T366" s="24">
        <v>26214</v>
      </c>
      <c r="U366" s="24">
        <v>49</v>
      </c>
      <c r="V366" s="24">
        <v>23667</v>
      </c>
      <c r="W366" s="24">
        <v>58</v>
      </c>
      <c r="X366" s="24">
        <v>26448</v>
      </c>
      <c r="Y366">
        <f t="shared" si="5"/>
        <v>314</v>
      </c>
    </row>
    <row r="367" spans="1:25" x14ac:dyDescent="0.4">
      <c r="A367" s="24" t="s">
        <v>2348</v>
      </c>
      <c r="B367" s="24" t="s">
        <v>2349</v>
      </c>
      <c r="C367" s="25">
        <v>42331</v>
      </c>
      <c r="D367" s="24" t="s">
        <v>2015</v>
      </c>
      <c r="E367" s="24" t="s">
        <v>2028</v>
      </c>
      <c r="F367" s="24" t="s">
        <v>2417</v>
      </c>
      <c r="G367" s="24">
        <v>66</v>
      </c>
      <c r="H367" s="24">
        <v>28050</v>
      </c>
      <c r="I367" s="24">
        <v>40</v>
      </c>
      <c r="J367" s="24">
        <v>21160</v>
      </c>
      <c r="K367" s="24">
        <v>12</v>
      </c>
      <c r="L367" s="24">
        <v>5532</v>
      </c>
      <c r="M367" s="24">
        <v>21</v>
      </c>
      <c r="N367" s="24">
        <v>9177</v>
      </c>
      <c r="O367" s="24">
        <v>6</v>
      </c>
      <c r="P367" s="24">
        <v>2778</v>
      </c>
      <c r="Q367" s="24">
        <v>66</v>
      </c>
      <c r="R367" s="24">
        <v>33198</v>
      </c>
      <c r="S367" s="24">
        <v>20</v>
      </c>
      <c r="T367" s="24">
        <v>10500</v>
      </c>
      <c r="U367" s="24">
        <v>45</v>
      </c>
      <c r="V367" s="24">
        <v>18315</v>
      </c>
      <c r="W367" s="24">
        <v>66</v>
      </c>
      <c r="X367" s="24">
        <v>33000</v>
      </c>
      <c r="Y367">
        <f t="shared" si="5"/>
        <v>342</v>
      </c>
    </row>
    <row r="368" spans="1:25" x14ac:dyDescent="0.4">
      <c r="A368" s="24" t="s">
        <v>2350</v>
      </c>
      <c r="B368" s="24" t="s">
        <v>2351</v>
      </c>
      <c r="C368" s="25">
        <v>43971</v>
      </c>
      <c r="D368" s="24" t="s">
        <v>2027</v>
      </c>
      <c r="E368" s="24" t="s">
        <v>2028</v>
      </c>
      <c r="F368" s="24" t="s">
        <v>2417</v>
      </c>
      <c r="G368" s="24">
        <v>25</v>
      </c>
      <c r="H368" s="24">
        <v>11900</v>
      </c>
      <c r="I368" s="24">
        <v>49</v>
      </c>
      <c r="J368" s="24">
        <v>26901</v>
      </c>
      <c r="K368" s="24">
        <v>10</v>
      </c>
      <c r="L368" s="24">
        <v>5470</v>
      </c>
      <c r="M368" s="24">
        <v>72</v>
      </c>
      <c r="N368" s="24">
        <v>38736</v>
      </c>
      <c r="O368" s="24">
        <v>42</v>
      </c>
      <c r="P368" s="24">
        <v>22470</v>
      </c>
      <c r="Q368" s="24">
        <v>32</v>
      </c>
      <c r="R368" s="24">
        <v>15296</v>
      </c>
      <c r="S368" s="24">
        <v>58</v>
      </c>
      <c r="T368" s="24">
        <v>26912</v>
      </c>
      <c r="U368" s="24">
        <v>50</v>
      </c>
      <c r="V368" s="24">
        <v>23500</v>
      </c>
      <c r="W368" s="24">
        <v>25</v>
      </c>
      <c r="X368" s="24">
        <v>11275</v>
      </c>
      <c r="Y368">
        <f t="shared" si="5"/>
        <v>363</v>
      </c>
    </row>
    <row r="369" spans="1:25" x14ac:dyDescent="0.4">
      <c r="A369" s="24" t="s">
        <v>2352</v>
      </c>
      <c r="B369" s="24" t="s">
        <v>2353</v>
      </c>
      <c r="C369" s="25">
        <v>43949</v>
      </c>
      <c r="D369" s="24" t="s">
        <v>2027</v>
      </c>
      <c r="E369" s="24" t="s">
        <v>2020</v>
      </c>
      <c r="F369" s="24" t="s">
        <v>2417</v>
      </c>
      <c r="G369" s="24">
        <v>52</v>
      </c>
      <c r="H369" s="24">
        <v>26624</v>
      </c>
      <c r="I369" s="24">
        <v>1</v>
      </c>
      <c r="J369" s="24">
        <v>475</v>
      </c>
      <c r="K369" s="24">
        <v>24</v>
      </c>
      <c r="L369" s="24">
        <v>11616</v>
      </c>
      <c r="M369" s="24">
        <v>11</v>
      </c>
      <c r="N369" s="24">
        <v>5819</v>
      </c>
      <c r="O369" s="24">
        <v>23</v>
      </c>
      <c r="P369" s="24">
        <v>12604</v>
      </c>
      <c r="Q369" s="24">
        <v>52</v>
      </c>
      <c r="R369" s="24">
        <v>25740</v>
      </c>
      <c r="S369" s="24">
        <v>62</v>
      </c>
      <c r="T369" s="24">
        <v>32116</v>
      </c>
      <c r="U369" s="24">
        <v>10</v>
      </c>
      <c r="V369" s="24">
        <v>4000</v>
      </c>
      <c r="W369" s="24">
        <v>71</v>
      </c>
      <c r="X369" s="24">
        <v>35855</v>
      </c>
      <c r="Y369">
        <f t="shared" si="5"/>
        <v>306</v>
      </c>
    </row>
    <row r="370" spans="1:25" x14ac:dyDescent="0.4">
      <c r="A370" s="24" t="s">
        <v>2354</v>
      </c>
      <c r="B370" s="24" t="s">
        <v>2355</v>
      </c>
      <c r="C370" s="25">
        <v>43345</v>
      </c>
      <c r="D370" s="24" t="s">
        <v>2015</v>
      </c>
      <c r="E370" s="24" t="s">
        <v>2028</v>
      </c>
      <c r="F370" s="24" t="s">
        <v>2417</v>
      </c>
      <c r="G370" s="24">
        <v>43</v>
      </c>
      <c r="H370" s="24">
        <v>18963</v>
      </c>
      <c r="I370" s="24">
        <v>50</v>
      </c>
      <c r="J370" s="24">
        <v>26850</v>
      </c>
      <c r="K370" s="24">
        <v>61</v>
      </c>
      <c r="L370" s="24">
        <v>31903</v>
      </c>
      <c r="M370" s="24">
        <v>21</v>
      </c>
      <c r="N370" s="24">
        <v>11214</v>
      </c>
      <c r="O370" s="24">
        <v>64</v>
      </c>
      <c r="P370" s="24">
        <v>26240</v>
      </c>
      <c r="Q370" s="24">
        <v>48</v>
      </c>
      <c r="R370" s="24">
        <v>19440</v>
      </c>
      <c r="S370" s="24">
        <v>12</v>
      </c>
      <c r="T370" s="24">
        <v>6084</v>
      </c>
      <c r="U370" s="24">
        <v>1</v>
      </c>
      <c r="V370" s="24">
        <v>549</v>
      </c>
      <c r="W370" s="24">
        <v>61</v>
      </c>
      <c r="X370" s="24">
        <v>29585</v>
      </c>
      <c r="Y370">
        <f t="shared" si="5"/>
        <v>361</v>
      </c>
    </row>
    <row r="371" spans="1:25" x14ac:dyDescent="0.4">
      <c r="A371" s="24" t="s">
        <v>2356</v>
      </c>
      <c r="B371" s="24" t="s">
        <v>2357</v>
      </c>
      <c r="C371" s="25">
        <v>42419</v>
      </c>
      <c r="D371" s="24" t="s">
        <v>2027</v>
      </c>
      <c r="E371" s="24" t="s">
        <v>2028</v>
      </c>
      <c r="F371" s="24" t="s">
        <v>2417</v>
      </c>
      <c r="G371" s="24">
        <v>30</v>
      </c>
      <c r="H371" s="24">
        <v>12510</v>
      </c>
      <c r="I371" s="24">
        <v>35</v>
      </c>
      <c r="J371" s="24">
        <v>18095</v>
      </c>
      <c r="K371" s="24">
        <v>14</v>
      </c>
      <c r="L371" s="24">
        <v>7504</v>
      </c>
      <c r="M371" s="24">
        <v>71</v>
      </c>
      <c r="N371" s="24">
        <v>31453</v>
      </c>
      <c r="O371" s="24">
        <v>33</v>
      </c>
      <c r="P371" s="24">
        <v>17457</v>
      </c>
      <c r="Q371" s="24">
        <v>70</v>
      </c>
      <c r="R371" s="24">
        <v>31780</v>
      </c>
      <c r="S371" s="24">
        <v>41</v>
      </c>
      <c r="T371" s="24">
        <v>19352</v>
      </c>
      <c r="U371" s="24">
        <v>62</v>
      </c>
      <c r="V371" s="24">
        <v>32674</v>
      </c>
      <c r="W371" s="24">
        <v>72</v>
      </c>
      <c r="X371" s="24">
        <v>36648</v>
      </c>
      <c r="Y371">
        <f t="shared" si="5"/>
        <v>428</v>
      </c>
    </row>
    <row r="372" spans="1:25" x14ac:dyDescent="0.4">
      <c r="A372" s="24" t="s">
        <v>2358</v>
      </c>
      <c r="B372" s="24" t="s">
        <v>2359</v>
      </c>
      <c r="C372" s="25">
        <v>42458</v>
      </c>
      <c r="D372" s="24" t="s">
        <v>2027</v>
      </c>
      <c r="E372" s="24" t="s">
        <v>2028</v>
      </c>
      <c r="F372" s="24" t="s">
        <v>2417</v>
      </c>
      <c r="G372" s="24">
        <v>18</v>
      </c>
      <c r="H372" s="24">
        <v>7956</v>
      </c>
      <c r="I372" s="24">
        <v>24</v>
      </c>
      <c r="J372" s="24">
        <v>10944</v>
      </c>
      <c r="K372" s="24">
        <v>10</v>
      </c>
      <c r="L372" s="24">
        <v>4300</v>
      </c>
      <c r="M372" s="24">
        <v>22</v>
      </c>
      <c r="N372" s="24">
        <v>11550</v>
      </c>
      <c r="O372" s="24">
        <v>63</v>
      </c>
      <c r="P372" s="24">
        <v>26271</v>
      </c>
      <c r="Q372" s="24">
        <v>28</v>
      </c>
      <c r="R372" s="24">
        <v>12712</v>
      </c>
      <c r="S372" s="24">
        <v>75</v>
      </c>
      <c r="T372" s="24">
        <v>39975</v>
      </c>
      <c r="U372" s="24">
        <v>0</v>
      </c>
      <c r="V372" s="24">
        <v>0</v>
      </c>
      <c r="W372" s="24">
        <v>20</v>
      </c>
      <c r="X372" s="24">
        <v>8260</v>
      </c>
      <c r="Y372">
        <f t="shared" si="5"/>
        <v>260</v>
      </c>
    </row>
    <row r="373" spans="1:25" x14ac:dyDescent="0.4">
      <c r="A373" s="24" t="s">
        <v>2360</v>
      </c>
      <c r="B373" s="24" t="s">
        <v>2361</v>
      </c>
      <c r="C373" s="25">
        <v>43329</v>
      </c>
      <c r="D373" s="24" t="s">
        <v>2015</v>
      </c>
      <c r="E373" s="24" t="s">
        <v>2028</v>
      </c>
      <c r="F373" s="24" t="s">
        <v>2417</v>
      </c>
      <c r="G373" s="24">
        <v>44</v>
      </c>
      <c r="H373" s="24">
        <v>23540</v>
      </c>
      <c r="I373" s="24">
        <v>26</v>
      </c>
      <c r="J373" s="24">
        <v>13910</v>
      </c>
      <c r="K373" s="24">
        <v>12</v>
      </c>
      <c r="L373" s="24">
        <v>6204</v>
      </c>
      <c r="M373" s="24">
        <v>73</v>
      </c>
      <c r="N373" s="24">
        <v>36646</v>
      </c>
      <c r="O373" s="24">
        <v>2</v>
      </c>
      <c r="P373" s="24">
        <v>900</v>
      </c>
      <c r="Q373" s="24">
        <v>49</v>
      </c>
      <c r="R373" s="24">
        <v>23716</v>
      </c>
      <c r="S373" s="24">
        <v>69</v>
      </c>
      <c r="T373" s="24">
        <v>28980</v>
      </c>
      <c r="U373" s="24">
        <v>68</v>
      </c>
      <c r="V373" s="24">
        <v>29648</v>
      </c>
      <c r="W373" s="24">
        <v>72</v>
      </c>
      <c r="X373" s="24">
        <v>33552</v>
      </c>
      <c r="Y373">
        <f t="shared" si="5"/>
        <v>415</v>
      </c>
    </row>
    <row r="374" spans="1:25" x14ac:dyDescent="0.4">
      <c r="A374" s="24" t="s">
        <v>2362</v>
      </c>
      <c r="B374" s="24" t="s">
        <v>2363</v>
      </c>
      <c r="C374" s="25">
        <v>43469</v>
      </c>
      <c r="D374" s="24" t="s">
        <v>2027</v>
      </c>
      <c r="E374" s="24" t="s">
        <v>2016</v>
      </c>
      <c r="F374" s="24" t="s">
        <v>2417</v>
      </c>
      <c r="G374" s="24">
        <v>51</v>
      </c>
      <c r="H374" s="24">
        <v>22899</v>
      </c>
      <c r="I374" s="24">
        <v>7</v>
      </c>
      <c r="J374" s="24">
        <v>3360</v>
      </c>
      <c r="K374" s="24">
        <v>52</v>
      </c>
      <c r="L374" s="24">
        <v>22152</v>
      </c>
      <c r="M374" s="24">
        <v>5</v>
      </c>
      <c r="N374" s="24">
        <v>2255</v>
      </c>
      <c r="O374" s="24">
        <v>59</v>
      </c>
      <c r="P374" s="24">
        <v>24249</v>
      </c>
      <c r="Q374" s="24">
        <v>42</v>
      </c>
      <c r="R374" s="24">
        <v>19656</v>
      </c>
      <c r="S374" s="24">
        <v>2</v>
      </c>
      <c r="T374" s="24">
        <v>988</v>
      </c>
      <c r="U374" s="24">
        <v>0</v>
      </c>
      <c r="V374" s="24">
        <v>0</v>
      </c>
      <c r="W374" s="24">
        <v>5</v>
      </c>
      <c r="X374" s="24">
        <v>2200</v>
      </c>
      <c r="Y374">
        <f t="shared" si="5"/>
        <v>223</v>
      </c>
    </row>
    <row r="375" spans="1:25" x14ac:dyDescent="0.4">
      <c r="A375" s="24" t="s">
        <v>2364</v>
      </c>
      <c r="B375" s="24" t="s">
        <v>2365</v>
      </c>
      <c r="C375" s="25">
        <v>43636</v>
      </c>
      <c r="D375" s="24" t="s">
        <v>2015</v>
      </c>
      <c r="E375" s="24" t="s">
        <v>2028</v>
      </c>
      <c r="F375" s="24" t="s">
        <v>2417</v>
      </c>
      <c r="G375" s="24">
        <v>35</v>
      </c>
      <c r="H375" s="24">
        <v>18970</v>
      </c>
      <c r="I375" s="24">
        <v>40</v>
      </c>
      <c r="J375" s="24">
        <v>17160</v>
      </c>
      <c r="K375" s="24">
        <v>28</v>
      </c>
      <c r="L375" s="24">
        <v>13104</v>
      </c>
      <c r="M375" s="24">
        <v>49</v>
      </c>
      <c r="N375" s="24">
        <v>25627</v>
      </c>
      <c r="O375" s="24">
        <v>61</v>
      </c>
      <c r="P375" s="24">
        <v>29524</v>
      </c>
      <c r="Q375" s="24">
        <v>62</v>
      </c>
      <c r="R375" s="24">
        <v>30380</v>
      </c>
      <c r="S375" s="24">
        <v>0</v>
      </c>
      <c r="T375" s="24">
        <v>0</v>
      </c>
      <c r="U375" s="24">
        <v>42</v>
      </c>
      <c r="V375" s="24">
        <v>20370</v>
      </c>
      <c r="W375" s="24">
        <v>63</v>
      </c>
      <c r="X375" s="24">
        <v>33012</v>
      </c>
      <c r="Y375">
        <f t="shared" si="5"/>
        <v>380</v>
      </c>
    </row>
    <row r="376" spans="1:25" x14ac:dyDescent="0.4">
      <c r="A376" s="24" t="s">
        <v>2366</v>
      </c>
      <c r="B376" s="24" t="s">
        <v>2367</v>
      </c>
      <c r="C376" s="25">
        <v>43721</v>
      </c>
      <c r="D376" s="24" t="s">
        <v>2015</v>
      </c>
      <c r="E376" s="24" t="s">
        <v>2016</v>
      </c>
      <c r="F376" s="24" t="s">
        <v>2417</v>
      </c>
      <c r="G376" s="24">
        <v>22</v>
      </c>
      <c r="H376" s="24">
        <v>9306</v>
      </c>
      <c r="I376" s="24">
        <v>14</v>
      </c>
      <c r="J376" s="24">
        <v>6342</v>
      </c>
      <c r="K376" s="24">
        <v>19</v>
      </c>
      <c r="L376" s="24">
        <v>8835</v>
      </c>
      <c r="M376" s="24">
        <v>48</v>
      </c>
      <c r="N376" s="24">
        <v>21312</v>
      </c>
      <c r="O376" s="24">
        <v>51</v>
      </c>
      <c r="P376" s="24">
        <v>22389</v>
      </c>
      <c r="Q376" s="24">
        <v>65</v>
      </c>
      <c r="R376" s="24">
        <v>30225</v>
      </c>
      <c r="S376" s="24">
        <v>71</v>
      </c>
      <c r="T376" s="24">
        <v>35287</v>
      </c>
      <c r="U376" s="24">
        <v>14</v>
      </c>
      <c r="V376" s="24">
        <v>6622</v>
      </c>
      <c r="W376" s="24">
        <v>0</v>
      </c>
      <c r="X376" s="24">
        <v>0</v>
      </c>
      <c r="Y376">
        <f t="shared" si="5"/>
        <v>304</v>
      </c>
    </row>
    <row r="377" spans="1:25" x14ac:dyDescent="0.4">
      <c r="A377" s="24" t="s">
        <v>2368</v>
      </c>
      <c r="B377" s="24" t="s">
        <v>2369</v>
      </c>
      <c r="C377" s="25">
        <v>43140</v>
      </c>
      <c r="D377" s="24" t="s">
        <v>2015</v>
      </c>
      <c r="E377" s="24" t="s">
        <v>2028</v>
      </c>
      <c r="F377" s="24" t="s">
        <v>2417</v>
      </c>
      <c r="G377" s="24">
        <v>62</v>
      </c>
      <c r="H377" s="24">
        <v>28396</v>
      </c>
      <c r="I377" s="24">
        <v>15</v>
      </c>
      <c r="J377" s="24">
        <v>6960</v>
      </c>
      <c r="K377" s="24">
        <v>56</v>
      </c>
      <c r="L377" s="24">
        <v>23184</v>
      </c>
      <c r="M377" s="24">
        <v>62</v>
      </c>
      <c r="N377" s="24">
        <v>26412</v>
      </c>
      <c r="O377" s="24">
        <v>20</v>
      </c>
      <c r="P377" s="24">
        <v>9060</v>
      </c>
      <c r="Q377" s="24">
        <v>14</v>
      </c>
      <c r="R377" s="24">
        <v>6384</v>
      </c>
      <c r="S377" s="24">
        <v>33</v>
      </c>
      <c r="T377" s="24">
        <v>17688</v>
      </c>
      <c r="U377" s="24">
        <v>63</v>
      </c>
      <c r="V377" s="24">
        <v>28035</v>
      </c>
      <c r="W377" s="24">
        <v>74</v>
      </c>
      <c r="X377" s="24">
        <v>35520</v>
      </c>
      <c r="Y377">
        <f t="shared" si="5"/>
        <v>399</v>
      </c>
    </row>
    <row r="378" spans="1:25" x14ac:dyDescent="0.4">
      <c r="A378" s="24" t="s">
        <v>2358</v>
      </c>
      <c r="B378" s="24" t="s">
        <v>2370</v>
      </c>
      <c r="C378" s="25">
        <v>42642</v>
      </c>
      <c r="D378" s="24" t="s">
        <v>2027</v>
      </c>
      <c r="E378" s="24" t="s">
        <v>2016</v>
      </c>
      <c r="F378" s="24" t="s">
        <v>2417</v>
      </c>
      <c r="G378" s="24">
        <v>1</v>
      </c>
      <c r="H378" s="24">
        <v>427</v>
      </c>
      <c r="I378" s="24">
        <v>22</v>
      </c>
      <c r="J378" s="24">
        <v>8998</v>
      </c>
      <c r="K378" s="24">
        <v>58</v>
      </c>
      <c r="L378" s="24">
        <v>26390</v>
      </c>
      <c r="M378" s="24">
        <v>12</v>
      </c>
      <c r="N378" s="24">
        <v>6156</v>
      </c>
      <c r="O378" s="24">
        <v>4</v>
      </c>
      <c r="P378" s="24">
        <v>2100</v>
      </c>
      <c r="Q378" s="24">
        <v>27</v>
      </c>
      <c r="R378" s="24">
        <v>12879</v>
      </c>
      <c r="S378" s="24">
        <v>30</v>
      </c>
      <c r="T378" s="24">
        <v>12330</v>
      </c>
      <c r="U378" s="24">
        <v>44</v>
      </c>
      <c r="V378" s="24">
        <v>20724</v>
      </c>
      <c r="W378" s="24">
        <v>27</v>
      </c>
      <c r="X378" s="24">
        <v>14175</v>
      </c>
      <c r="Y378">
        <f t="shared" si="5"/>
        <v>225</v>
      </c>
    </row>
    <row r="379" spans="1:25" x14ac:dyDescent="0.4">
      <c r="A379" s="24" t="s">
        <v>2371</v>
      </c>
      <c r="B379" s="24" t="s">
        <v>2372</v>
      </c>
      <c r="C379" s="25">
        <v>43020</v>
      </c>
      <c r="D379" s="24" t="s">
        <v>2027</v>
      </c>
      <c r="E379" s="24" t="s">
        <v>2020</v>
      </c>
      <c r="F379" s="24" t="s">
        <v>2417</v>
      </c>
      <c r="G379" s="24">
        <v>9</v>
      </c>
      <c r="H379" s="24">
        <v>4311</v>
      </c>
      <c r="I379" s="24">
        <v>2</v>
      </c>
      <c r="J379" s="24">
        <v>824</v>
      </c>
      <c r="K379" s="24">
        <v>58</v>
      </c>
      <c r="L379" s="24">
        <v>27086</v>
      </c>
      <c r="M379" s="24">
        <v>46</v>
      </c>
      <c r="N379" s="24">
        <v>20470</v>
      </c>
      <c r="O379" s="24">
        <v>25</v>
      </c>
      <c r="P379" s="24">
        <v>12750</v>
      </c>
      <c r="Q379" s="24">
        <v>63</v>
      </c>
      <c r="R379" s="24">
        <v>32067</v>
      </c>
      <c r="S379" s="24">
        <v>57</v>
      </c>
      <c r="T379" s="24">
        <v>26562</v>
      </c>
      <c r="U379" s="24">
        <v>41</v>
      </c>
      <c r="V379" s="24">
        <v>19803</v>
      </c>
      <c r="W379" s="24">
        <v>31</v>
      </c>
      <c r="X379" s="24">
        <v>13485</v>
      </c>
      <c r="Y379">
        <f t="shared" si="5"/>
        <v>332</v>
      </c>
    </row>
    <row r="380" spans="1:25" x14ac:dyDescent="0.4">
      <c r="A380" s="24" t="s">
        <v>2373</v>
      </c>
      <c r="B380" s="24" t="s">
        <v>2374</v>
      </c>
      <c r="C380" s="25">
        <v>42235</v>
      </c>
      <c r="D380" s="24" t="s">
        <v>2015</v>
      </c>
      <c r="E380" s="24" t="s">
        <v>2020</v>
      </c>
      <c r="F380" s="24" t="s">
        <v>2417</v>
      </c>
      <c r="G380" s="24">
        <v>44</v>
      </c>
      <c r="H380" s="24">
        <v>21032</v>
      </c>
      <c r="I380" s="24">
        <v>31</v>
      </c>
      <c r="J380" s="24">
        <v>13609</v>
      </c>
      <c r="K380" s="24">
        <v>4</v>
      </c>
      <c r="L380" s="24">
        <v>2040</v>
      </c>
      <c r="M380" s="24">
        <v>4</v>
      </c>
      <c r="N380" s="24">
        <v>2072</v>
      </c>
      <c r="O380" s="24">
        <v>61</v>
      </c>
      <c r="P380" s="24">
        <v>28548</v>
      </c>
      <c r="Q380" s="24">
        <v>32</v>
      </c>
      <c r="R380" s="24">
        <v>16704</v>
      </c>
      <c r="S380" s="24">
        <v>24</v>
      </c>
      <c r="T380" s="24">
        <v>11472</v>
      </c>
      <c r="U380" s="24">
        <v>18</v>
      </c>
      <c r="V380" s="24">
        <v>9198</v>
      </c>
      <c r="W380" s="24">
        <v>10</v>
      </c>
      <c r="X380" s="24">
        <v>4200</v>
      </c>
      <c r="Y380">
        <f t="shared" si="5"/>
        <v>228</v>
      </c>
    </row>
    <row r="381" spans="1:25" x14ac:dyDescent="0.4">
      <c r="A381" s="24" t="s">
        <v>2375</v>
      </c>
      <c r="B381" s="24" t="s">
        <v>2376</v>
      </c>
      <c r="C381" s="25">
        <v>42217</v>
      </c>
      <c r="D381" s="24" t="s">
        <v>2015</v>
      </c>
      <c r="E381" s="24" t="s">
        <v>2020</v>
      </c>
      <c r="F381" s="24" t="s">
        <v>2417</v>
      </c>
      <c r="G381" s="24">
        <v>14</v>
      </c>
      <c r="H381" s="24">
        <v>6006</v>
      </c>
      <c r="I381" s="24">
        <v>65</v>
      </c>
      <c r="J381" s="24">
        <v>26325</v>
      </c>
      <c r="K381" s="24">
        <v>8</v>
      </c>
      <c r="L381" s="24">
        <v>3752</v>
      </c>
      <c r="M381" s="24">
        <v>22</v>
      </c>
      <c r="N381" s="24">
        <v>11396</v>
      </c>
      <c r="O381" s="24">
        <v>41</v>
      </c>
      <c r="P381" s="24">
        <v>18163</v>
      </c>
      <c r="Q381" s="24">
        <v>21</v>
      </c>
      <c r="R381" s="24">
        <v>11214</v>
      </c>
      <c r="S381" s="24">
        <v>56</v>
      </c>
      <c r="T381" s="24">
        <v>29064</v>
      </c>
      <c r="U381" s="24">
        <v>39</v>
      </c>
      <c r="V381" s="24">
        <v>18135</v>
      </c>
      <c r="W381" s="24">
        <v>11</v>
      </c>
      <c r="X381" s="24">
        <v>4433</v>
      </c>
      <c r="Y381">
        <f t="shared" si="5"/>
        <v>277</v>
      </c>
    </row>
    <row r="382" spans="1:25" x14ac:dyDescent="0.4">
      <c r="A382" s="24" t="s">
        <v>2377</v>
      </c>
      <c r="B382" s="24" t="s">
        <v>2378</v>
      </c>
      <c r="C382" s="25">
        <v>42728</v>
      </c>
      <c r="D382" s="24" t="s">
        <v>2015</v>
      </c>
      <c r="E382" s="24" t="s">
        <v>2028</v>
      </c>
      <c r="F382" s="24" t="s">
        <v>2417</v>
      </c>
      <c r="G382" s="24">
        <v>11</v>
      </c>
      <c r="H382" s="24">
        <v>5269</v>
      </c>
      <c r="I382" s="24">
        <v>64</v>
      </c>
      <c r="J382" s="24">
        <v>34496</v>
      </c>
      <c r="K382" s="24">
        <v>7</v>
      </c>
      <c r="L382" s="24">
        <v>3325</v>
      </c>
      <c r="M382" s="24">
        <v>32</v>
      </c>
      <c r="N382" s="24">
        <v>16992</v>
      </c>
      <c r="O382" s="24">
        <v>73</v>
      </c>
      <c r="P382" s="24">
        <v>33945</v>
      </c>
      <c r="Q382" s="24">
        <v>35</v>
      </c>
      <c r="R382" s="24">
        <v>16940</v>
      </c>
      <c r="S382" s="24">
        <v>8</v>
      </c>
      <c r="T382" s="24">
        <v>3992</v>
      </c>
      <c r="U382" s="24">
        <v>21</v>
      </c>
      <c r="V382" s="24">
        <v>11109</v>
      </c>
      <c r="W382" s="24">
        <v>0</v>
      </c>
      <c r="X382" s="24">
        <v>0</v>
      </c>
      <c r="Y382">
        <f t="shared" si="5"/>
        <v>251</v>
      </c>
    </row>
    <row r="383" spans="1:25" x14ac:dyDescent="0.4">
      <c r="A383" s="24" t="s">
        <v>2379</v>
      </c>
      <c r="B383" s="24" t="s">
        <v>2380</v>
      </c>
      <c r="C383" s="25">
        <v>42908</v>
      </c>
      <c r="D383" s="24" t="s">
        <v>2027</v>
      </c>
      <c r="E383" s="24" t="s">
        <v>2028</v>
      </c>
      <c r="F383" s="24" t="s">
        <v>2417</v>
      </c>
      <c r="G383" s="24">
        <v>74</v>
      </c>
      <c r="H383" s="24">
        <v>33522</v>
      </c>
      <c r="I383" s="24">
        <v>1</v>
      </c>
      <c r="J383" s="24">
        <v>459</v>
      </c>
      <c r="K383" s="24">
        <v>21</v>
      </c>
      <c r="L383" s="24">
        <v>10164</v>
      </c>
      <c r="M383" s="24">
        <v>1</v>
      </c>
      <c r="N383" s="24">
        <v>416</v>
      </c>
      <c r="O383" s="24">
        <v>12</v>
      </c>
      <c r="P383" s="24">
        <v>5496</v>
      </c>
      <c r="Q383" s="24">
        <v>74</v>
      </c>
      <c r="R383" s="24">
        <v>39146</v>
      </c>
      <c r="S383" s="24">
        <v>51</v>
      </c>
      <c r="T383" s="24">
        <v>24939</v>
      </c>
      <c r="U383" s="24">
        <v>0</v>
      </c>
      <c r="V383" s="24">
        <v>0</v>
      </c>
      <c r="W383" s="24">
        <v>23</v>
      </c>
      <c r="X383" s="24">
        <v>11983</v>
      </c>
      <c r="Y383">
        <f t="shared" si="5"/>
        <v>257</v>
      </c>
    </row>
    <row r="384" spans="1:25" x14ac:dyDescent="0.4">
      <c r="A384" s="24" t="s">
        <v>2381</v>
      </c>
      <c r="B384" s="24" t="s">
        <v>2382</v>
      </c>
      <c r="C384" s="25">
        <v>43503</v>
      </c>
      <c r="D384" s="24" t="s">
        <v>2027</v>
      </c>
      <c r="E384" s="24" t="s">
        <v>2016</v>
      </c>
      <c r="F384" s="24" t="s">
        <v>2417</v>
      </c>
      <c r="G384" s="24">
        <v>56</v>
      </c>
      <c r="H384" s="24">
        <v>22736</v>
      </c>
      <c r="I384" s="24">
        <v>31</v>
      </c>
      <c r="J384" s="24">
        <v>16089</v>
      </c>
      <c r="K384" s="24">
        <v>6</v>
      </c>
      <c r="L384" s="24">
        <v>2976</v>
      </c>
      <c r="M384" s="24">
        <v>63</v>
      </c>
      <c r="N384" s="24">
        <v>27720</v>
      </c>
      <c r="O384" s="24">
        <v>66</v>
      </c>
      <c r="P384" s="24">
        <v>27324</v>
      </c>
      <c r="Q384" s="24">
        <v>20</v>
      </c>
      <c r="R384" s="24">
        <v>10200</v>
      </c>
      <c r="S384" s="24">
        <v>71</v>
      </c>
      <c r="T384" s="24">
        <v>34719</v>
      </c>
      <c r="U384" s="24">
        <v>17</v>
      </c>
      <c r="V384" s="24">
        <v>7276</v>
      </c>
      <c r="W384" s="24">
        <v>1</v>
      </c>
      <c r="X384" s="24">
        <v>483</v>
      </c>
      <c r="Y384">
        <f t="shared" si="5"/>
        <v>331</v>
      </c>
    </row>
    <row r="385" spans="1:25" x14ac:dyDescent="0.4">
      <c r="A385" s="24" t="s">
        <v>2383</v>
      </c>
      <c r="B385" s="24" t="s">
        <v>2384</v>
      </c>
      <c r="C385" s="25">
        <v>42614</v>
      </c>
      <c r="D385" s="24" t="s">
        <v>2027</v>
      </c>
      <c r="E385" s="24" t="s">
        <v>2028</v>
      </c>
      <c r="F385" s="24" t="s">
        <v>2417</v>
      </c>
      <c r="G385" s="24">
        <v>68</v>
      </c>
      <c r="H385" s="24">
        <v>34340</v>
      </c>
      <c r="I385" s="24">
        <v>76</v>
      </c>
      <c r="J385" s="24">
        <v>38000</v>
      </c>
      <c r="K385" s="24">
        <v>13</v>
      </c>
      <c r="L385" s="24">
        <v>6357</v>
      </c>
      <c r="M385" s="24">
        <v>7</v>
      </c>
      <c r="N385" s="24">
        <v>2947</v>
      </c>
      <c r="O385" s="24">
        <v>23</v>
      </c>
      <c r="P385" s="24">
        <v>12374</v>
      </c>
      <c r="Q385" s="24">
        <v>59</v>
      </c>
      <c r="R385" s="24">
        <v>31447</v>
      </c>
      <c r="S385" s="24">
        <v>27</v>
      </c>
      <c r="T385" s="24">
        <v>12852</v>
      </c>
      <c r="U385" s="24">
        <v>55</v>
      </c>
      <c r="V385" s="24">
        <v>25300</v>
      </c>
      <c r="W385" s="24">
        <v>8</v>
      </c>
      <c r="X385" s="24">
        <v>3952</v>
      </c>
      <c r="Y385">
        <f t="shared" si="5"/>
        <v>336</v>
      </c>
    </row>
    <row r="386" spans="1:25" x14ac:dyDescent="0.4">
      <c r="A386" s="24" t="s">
        <v>2385</v>
      </c>
      <c r="B386" s="24" t="s">
        <v>2386</v>
      </c>
      <c r="C386" s="25">
        <v>43874</v>
      </c>
      <c r="D386" s="24" t="s">
        <v>2015</v>
      </c>
      <c r="E386" s="24" t="s">
        <v>2016</v>
      </c>
      <c r="F386" s="24" t="s">
        <v>2417</v>
      </c>
      <c r="G386" s="24">
        <v>46</v>
      </c>
      <c r="H386" s="24">
        <v>22908</v>
      </c>
      <c r="I386" s="24">
        <v>22</v>
      </c>
      <c r="J386" s="24">
        <v>10494</v>
      </c>
      <c r="K386" s="24">
        <v>17</v>
      </c>
      <c r="L386" s="24">
        <v>7055</v>
      </c>
      <c r="M386" s="24">
        <v>12</v>
      </c>
      <c r="N386" s="24">
        <v>5652</v>
      </c>
      <c r="O386" s="24">
        <v>34</v>
      </c>
      <c r="P386" s="24">
        <v>14416</v>
      </c>
      <c r="Q386" s="24">
        <v>74</v>
      </c>
      <c r="R386" s="24">
        <v>39072</v>
      </c>
      <c r="S386" s="24">
        <v>65</v>
      </c>
      <c r="T386" s="24">
        <v>31070</v>
      </c>
      <c r="U386" s="24">
        <v>66</v>
      </c>
      <c r="V386" s="24">
        <v>32340</v>
      </c>
      <c r="W386" s="24">
        <v>22</v>
      </c>
      <c r="X386" s="24">
        <v>8976</v>
      </c>
      <c r="Y386">
        <f t="shared" si="5"/>
        <v>358</v>
      </c>
    </row>
    <row r="387" spans="1:25" x14ac:dyDescent="0.4">
      <c r="A387" s="24" t="s">
        <v>2387</v>
      </c>
      <c r="B387" s="24" t="s">
        <v>2388</v>
      </c>
      <c r="C387" s="25">
        <v>44148</v>
      </c>
      <c r="D387" s="24" t="s">
        <v>2027</v>
      </c>
      <c r="E387" s="24" t="s">
        <v>2020</v>
      </c>
      <c r="F387" s="24" t="s">
        <v>2417</v>
      </c>
      <c r="G387" s="24">
        <v>68</v>
      </c>
      <c r="H387" s="24">
        <v>34408</v>
      </c>
      <c r="I387" s="24">
        <v>64</v>
      </c>
      <c r="J387" s="24">
        <v>34816</v>
      </c>
      <c r="K387" s="24">
        <v>48</v>
      </c>
      <c r="L387" s="24">
        <v>23184</v>
      </c>
      <c r="M387" s="24">
        <v>76</v>
      </c>
      <c r="N387" s="24">
        <v>38380</v>
      </c>
      <c r="O387" s="24">
        <v>5</v>
      </c>
      <c r="P387" s="24">
        <v>2635</v>
      </c>
      <c r="Q387" s="24">
        <v>44</v>
      </c>
      <c r="R387" s="24">
        <v>17732</v>
      </c>
      <c r="S387" s="24">
        <v>25</v>
      </c>
      <c r="T387" s="24">
        <v>12575</v>
      </c>
      <c r="U387" s="24">
        <v>41</v>
      </c>
      <c r="V387" s="24">
        <v>19188</v>
      </c>
      <c r="W387" s="24">
        <v>72</v>
      </c>
      <c r="X387" s="24">
        <v>37728</v>
      </c>
      <c r="Y387">
        <f t="shared" ref="Y387:Y450" si="6">SUMIF($G$1:$X$1,"Количество*",G387:X387)</f>
        <v>443</v>
      </c>
    </row>
    <row r="388" spans="1:25" x14ac:dyDescent="0.4">
      <c r="A388" s="24" t="s">
        <v>2389</v>
      </c>
      <c r="B388" s="24" t="s">
        <v>2390</v>
      </c>
      <c r="C388" s="25">
        <v>42254</v>
      </c>
      <c r="D388" s="24" t="s">
        <v>2015</v>
      </c>
      <c r="E388" s="24" t="s">
        <v>2028</v>
      </c>
      <c r="F388" s="24" t="s">
        <v>2417</v>
      </c>
      <c r="G388" s="24">
        <v>9</v>
      </c>
      <c r="H388" s="24">
        <v>3708</v>
      </c>
      <c r="I388" s="24">
        <v>49</v>
      </c>
      <c r="J388" s="24">
        <v>25137</v>
      </c>
      <c r="K388" s="24">
        <v>65</v>
      </c>
      <c r="L388" s="24">
        <v>28925</v>
      </c>
      <c r="M388" s="24">
        <v>23</v>
      </c>
      <c r="N388" s="24">
        <v>11270</v>
      </c>
      <c r="O388" s="24">
        <v>74</v>
      </c>
      <c r="P388" s="24">
        <v>33744</v>
      </c>
      <c r="Q388" s="24">
        <v>20</v>
      </c>
      <c r="R388" s="24">
        <v>10000</v>
      </c>
      <c r="S388" s="24">
        <v>64</v>
      </c>
      <c r="T388" s="24">
        <v>27648</v>
      </c>
      <c r="U388" s="24">
        <v>39</v>
      </c>
      <c r="V388" s="24">
        <v>19656</v>
      </c>
      <c r="W388" s="24">
        <v>56</v>
      </c>
      <c r="X388" s="24">
        <v>30464</v>
      </c>
      <c r="Y388">
        <f t="shared" si="6"/>
        <v>399</v>
      </c>
    </row>
    <row r="389" spans="1:25" x14ac:dyDescent="0.4">
      <c r="A389" s="24" t="s">
        <v>2391</v>
      </c>
      <c r="B389" s="24" t="s">
        <v>2392</v>
      </c>
      <c r="C389" s="25">
        <v>42229</v>
      </c>
      <c r="D389" s="24" t="s">
        <v>2015</v>
      </c>
      <c r="E389" s="24" t="s">
        <v>2028</v>
      </c>
      <c r="F389" s="24" t="s">
        <v>2417</v>
      </c>
      <c r="G389" s="24">
        <v>76</v>
      </c>
      <c r="H389" s="24">
        <v>33516</v>
      </c>
      <c r="I389" s="24">
        <v>29</v>
      </c>
      <c r="J389" s="24">
        <v>13949</v>
      </c>
      <c r="K389" s="24">
        <v>39</v>
      </c>
      <c r="L389" s="24">
        <v>20124</v>
      </c>
      <c r="M389" s="24">
        <v>70</v>
      </c>
      <c r="N389" s="24">
        <v>34440</v>
      </c>
      <c r="O389" s="24">
        <v>7</v>
      </c>
      <c r="P389" s="24">
        <v>3066</v>
      </c>
      <c r="Q389" s="24">
        <v>50</v>
      </c>
      <c r="R389" s="24">
        <v>23800</v>
      </c>
      <c r="S389" s="24">
        <v>13</v>
      </c>
      <c r="T389" s="24">
        <v>6019</v>
      </c>
      <c r="U389" s="24">
        <v>25</v>
      </c>
      <c r="V389" s="24">
        <v>10400</v>
      </c>
      <c r="W389" s="24">
        <v>75</v>
      </c>
      <c r="X389" s="24">
        <v>39750</v>
      </c>
      <c r="Y389">
        <f t="shared" si="6"/>
        <v>384</v>
      </c>
    </row>
    <row r="390" spans="1:25" x14ac:dyDescent="0.4">
      <c r="A390" s="24" t="s">
        <v>2393</v>
      </c>
      <c r="B390" s="24" t="s">
        <v>2394</v>
      </c>
      <c r="C390" s="25">
        <v>43074</v>
      </c>
      <c r="D390" s="24" t="s">
        <v>2027</v>
      </c>
      <c r="E390" s="24" t="s">
        <v>2020</v>
      </c>
      <c r="F390" s="24" t="s">
        <v>2417</v>
      </c>
      <c r="G390" s="24">
        <v>40</v>
      </c>
      <c r="H390" s="24">
        <v>21920</v>
      </c>
      <c r="I390" s="24">
        <v>34</v>
      </c>
      <c r="J390" s="24">
        <v>17612</v>
      </c>
      <c r="K390" s="24">
        <v>50</v>
      </c>
      <c r="L390" s="24">
        <v>23200</v>
      </c>
      <c r="M390" s="24">
        <v>5</v>
      </c>
      <c r="N390" s="24">
        <v>2480</v>
      </c>
      <c r="O390" s="24">
        <v>62</v>
      </c>
      <c r="P390" s="24">
        <v>30690</v>
      </c>
      <c r="Q390" s="24">
        <v>25</v>
      </c>
      <c r="R390" s="24">
        <v>10450</v>
      </c>
      <c r="S390" s="24">
        <v>61</v>
      </c>
      <c r="T390" s="24">
        <v>27572</v>
      </c>
      <c r="U390" s="24">
        <v>35</v>
      </c>
      <c r="V390" s="24">
        <v>16590</v>
      </c>
      <c r="W390" s="24">
        <v>59</v>
      </c>
      <c r="X390" s="24">
        <v>26727</v>
      </c>
      <c r="Y390">
        <f t="shared" si="6"/>
        <v>371</v>
      </c>
    </row>
    <row r="391" spans="1:25" x14ac:dyDescent="0.4">
      <c r="A391" s="24" t="s">
        <v>2395</v>
      </c>
      <c r="B391" s="24" t="s">
        <v>2396</v>
      </c>
      <c r="C391" s="25">
        <v>43492</v>
      </c>
      <c r="D391" s="24" t="s">
        <v>2027</v>
      </c>
      <c r="E391" s="24" t="s">
        <v>2028</v>
      </c>
      <c r="F391" s="24" t="s">
        <v>2417</v>
      </c>
      <c r="G391" s="24">
        <v>51</v>
      </c>
      <c r="H391" s="24">
        <v>22032</v>
      </c>
      <c r="I391" s="24">
        <v>20</v>
      </c>
      <c r="J391" s="24">
        <v>9040</v>
      </c>
      <c r="K391" s="24">
        <v>16</v>
      </c>
      <c r="L391" s="24">
        <v>8112</v>
      </c>
      <c r="M391" s="24">
        <v>26</v>
      </c>
      <c r="N391" s="24">
        <v>10946</v>
      </c>
      <c r="O391" s="24">
        <v>24</v>
      </c>
      <c r="P391" s="24">
        <v>10776</v>
      </c>
      <c r="Q391" s="24">
        <v>53</v>
      </c>
      <c r="R391" s="24">
        <v>24115</v>
      </c>
      <c r="S391" s="24">
        <v>9</v>
      </c>
      <c r="T391" s="24">
        <v>4482</v>
      </c>
      <c r="U391" s="24">
        <v>45</v>
      </c>
      <c r="V391" s="24">
        <v>22320</v>
      </c>
      <c r="W391" s="24">
        <v>70</v>
      </c>
      <c r="X391" s="24">
        <v>33460</v>
      </c>
      <c r="Y391">
        <f t="shared" si="6"/>
        <v>314</v>
      </c>
    </row>
    <row r="392" spans="1:25" x14ac:dyDescent="0.4">
      <c r="A392" s="24" t="s">
        <v>2397</v>
      </c>
      <c r="B392" s="24" t="s">
        <v>2398</v>
      </c>
      <c r="C392" s="25">
        <v>42648</v>
      </c>
      <c r="D392" s="24" t="s">
        <v>2027</v>
      </c>
      <c r="E392" s="24" t="s">
        <v>2028</v>
      </c>
      <c r="F392" s="24" t="s">
        <v>2417</v>
      </c>
      <c r="G392" s="24">
        <v>37</v>
      </c>
      <c r="H392" s="24">
        <v>15429</v>
      </c>
      <c r="I392" s="24">
        <v>48</v>
      </c>
      <c r="J392" s="24">
        <v>21360</v>
      </c>
      <c r="K392" s="24">
        <v>24</v>
      </c>
      <c r="L392" s="24">
        <v>12216</v>
      </c>
      <c r="M392" s="24">
        <v>45</v>
      </c>
      <c r="N392" s="24">
        <v>18000</v>
      </c>
      <c r="O392" s="24">
        <v>24</v>
      </c>
      <c r="P392" s="24">
        <v>10296</v>
      </c>
      <c r="Q392" s="24">
        <v>67</v>
      </c>
      <c r="R392" s="24">
        <v>36113</v>
      </c>
      <c r="S392" s="24">
        <v>58</v>
      </c>
      <c r="T392" s="24">
        <v>29406</v>
      </c>
      <c r="U392" s="24">
        <v>72</v>
      </c>
      <c r="V392" s="24">
        <v>38520</v>
      </c>
      <c r="W392" s="24">
        <v>56</v>
      </c>
      <c r="X392" s="24">
        <v>24696</v>
      </c>
      <c r="Y392">
        <f t="shared" si="6"/>
        <v>431</v>
      </c>
    </row>
    <row r="393" spans="1:25" x14ac:dyDescent="0.4">
      <c r="A393" s="24" t="s">
        <v>2399</v>
      </c>
      <c r="B393" s="24" t="s">
        <v>2400</v>
      </c>
      <c r="C393" s="25">
        <v>42048</v>
      </c>
      <c r="D393" s="24" t="s">
        <v>2015</v>
      </c>
      <c r="E393" s="24" t="s">
        <v>2016</v>
      </c>
      <c r="F393" s="24" t="s">
        <v>2417</v>
      </c>
      <c r="G393" s="24">
        <v>20</v>
      </c>
      <c r="H393" s="24">
        <v>10940</v>
      </c>
      <c r="I393" s="24">
        <v>58</v>
      </c>
      <c r="J393" s="24">
        <v>29174</v>
      </c>
      <c r="K393" s="24">
        <v>30</v>
      </c>
      <c r="L393" s="24">
        <v>12330</v>
      </c>
      <c r="M393" s="24">
        <v>29</v>
      </c>
      <c r="N393" s="24">
        <v>14500</v>
      </c>
      <c r="O393" s="24">
        <v>4</v>
      </c>
      <c r="P393" s="24">
        <v>2164</v>
      </c>
      <c r="Q393" s="24">
        <v>58</v>
      </c>
      <c r="R393" s="24">
        <v>25346</v>
      </c>
      <c r="S393" s="24">
        <v>55</v>
      </c>
      <c r="T393" s="24">
        <v>27170</v>
      </c>
      <c r="U393" s="24">
        <v>8</v>
      </c>
      <c r="V393" s="24">
        <v>3936</v>
      </c>
      <c r="W393" s="24">
        <v>19</v>
      </c>
      <c r="X393" s="24">
        <v>7980</v>
      </c>
      <c r="Y393">
        <f t="shared" si="6"/>
        <v>281</v>
      </c>
    </row>
    <row r="394" spans="1:25" x14ac:dyDescent="0.4">
      <c r="A394" s="24" t="s">
        <v>2401</v>
      </c>
      <c r="B394" s="24" t="s">
        <v>2402</v>
      </c>
      <c r="C394" s="25">
        <v>43155</v>
      </c>
      <c r="D394" s="24" t="s">
        <v>2027</v>
      </c>
      <c r="E394" s="24" t="s">
        <v>2016</v>
      </c>
      <c r="F394" s="24" t="s">
        <v>2417</v>
      </c>
      <c r="G394" s="24">
        <v>29</v>
      </c>
      <c r="H394" s="24">
        <v>13427</v>
      </c>
      <c r="I394" s="24">
        <v>1</v>
      </c>
      <c r="J394" s="24">
        <v>473</v>
      </c>
      <c r="K394" s="24">
        <v>43</v>
      </c>
      <c r="L394" s="24">
        <v>23392</v>
      </c>
      <c r="M394" s="24">
        <v>70</v>
      </c>
      <c r="N394" s="24">
        <v>34860</v>
      </c>
      <c r="O394" s="24">
        <v>37</v>
      </c>
      <c r="P394" s="24">
        <v>18352</v>
      </c>
      <c r="Q394" s="24">
        <v>65</v>
      </c>
      <c r="R394" s="24">
        <v>34580</v>
      </c>
      <c r="S394" s="24">
        <v>54</v>
      </c>
      <c r="T394" s="24">
        <v>29646</v>
      </c>
      <c r="U394" s="24">
        <v>38</v>
      </c>
      <c r="V394" s="24">
        <v>17746</v>
      </c>
      <c r="W394" s="24">
        <v>45</v>
      </c>
      <c r="X394" s="24">
        <v>20835</v>
      </c>
      <c r="Y394">
        <f t="shared" si="6"/>
        <v>382</v>
      </c>
    </row>
    <row r="395" spans="1:25" x14ac:dyDescent="0.4">
      <c r="A395" s="24" t="s">
        <v>2403</v>
      </c>
      <c r="B395" s="24" t="s">
        <v>2404</v>
      </c>
      <c r="C395" s="25">
        <v>43041</v>
      </c>
      <c r="D395" s="24" t="s">
        <v>2027</v>
      </c>
      <c r="E395" s="24" t="s">
        <v>2028</v>
      </c>
      <c r="F395" s="24" t="s">
        <v>2417</v>
      </c>
      <c r="G395" s="24">
        <v>42</v>
      </c>
      <c r="H395" s="24">
        <v>17178</v>
      </c>
      <c r="I395" s="24">
        <v>63</v>
      </c>
      <c r="J395" s="24">
        <v>26964</v>
      </c>
      <c r="K395" s="24">
        <v>3</v>
      </c>
      <c r="L395" s="24">
        <v>1401</v>
      </c>
      <c r="M395" s="24">
        <v>9</v>
      </c>
      <c r="N395" s="24">
        <v>4365</v>
      </c>
      <c r="O395" s="24">
        <v>65</v>
      </c>
      <c r="P395" s="24">
        <v>28535</v>
      </c>
      <c r="Q395" s="24">
        <v>46</v>
      </c>
      <c r="R395" s="24">
        <v>20516</v>
      </c>
      <c r="S395" s="24">
        <v>10</v>
      </c>
      <c r="T395" s="24">
        <v>4510</v>
      </c>
      <c r="U395" s="24">
        <v>74</v>
      </c>
      <c r="V395" s="24">
        <v>34928</v>
      </c>
      <c r="W395" s="24">
        <v>19</v>
      </c>
      <c r="X395" s="24">
        <v>7695</v>
      </c>
      <c r="Y395">
        <f t="shared" si="6"/>
        <v>331</v>
      </c>
    </row>
    <row r="396" spans="1:25" x14ac:dyDescent="0.4">
      <c r="A396" s="24" t="s">
        <v>2405</v>
      </c>
      <c r="B396" s="24" t="s">
        <v>2406</v>
      </c>
      <c r="C396" s="25">
        <v>42412</v>
      </c>
      <c r="D396" s="24" t="s">
        <v>2015</v>
      </c>
      <c r="E396" s="24" t="s">
        <v>2028</v>
      </c>
      <c r="F396" s="24" t="s">
        <v>2417</v>
      </c>
      <c r="G396" s="24">
        <v>18</v>
      </c>
      <c r="H396" s="24">
        <v>8442</v>
      </c>
      <c r="I396" s="24">
        <v>69</v>
      </c>
      <c r="J396" s="24">
        <v>35949</v>
      </c>
      <c r="K396" s="24">
        <v>12</v>
      </c>
      <c r="L396" s="24">
        <v>6540</v>
      </c>
      <c r="M396" s="24">
        <v>23</v>
      </c>
      <c r="N396" s="24">
        <v>11592</v>
      </c>
      <c r="O396" s="24">
        <v>70</v>
      </c>
      <c r="P396" s="24">
        <v>33040</v>
      </c>
      <c r="Q396" s="24">
        <v>24</v>
      </c>
      <c r="R396" s="24">
        <v>9600</v>
      </c>
      <c r="S396" s="24">
        <v>58</v>
      </c>
      <c r="T396" s="24">
        <v>25694</v>
      </c>
      <c r="U396" s="24">
        <v>3</v>
      </c>
      <c r="V396" s="24">
        <v>1299</v>
      </c>
      <c r="W396" s="24">
        <v>67</v>
      </c>
      <c r="X396" s="24">
        <v>35979</v>
      </c>
      <c r="Y396">
        <f t="shared" si="6"/>
        <v>344</v>
      </c>
    </row>
    <row r="397" spans="1:25" x14ac:dyDescent="0.4">
      <c r="A397" s="24" t="s">
        <v>2407</v>
      </c>
      <c r="B397" s="24" t="s">
        <v>2408</v>
      </c>
      <c r="C397" s="25">
        <v>44010</v>
      </c>
      <c r="D397" s="24" t="s">
        <v>2027</v>
      </c>
      <c r="E397" s="24" t="s">
        <v>2020</v>
      </c>
      <c r="F397" s="24" t="s">
        <v>2417</v>
      </c>
      <c r="G397" s="24">
        <v>53</v>
      </c>
      <c r="H397" s="24">
        <v>21836</v>
      </c>
      <c r="I397" s="24">
        <v>61</v>
      </c>
      <c r="J397" s="24">
        <v>26291</v>
      </c>
      <c r="K397" s="24">
        <v>0</v>
      </c>
      <c r="L397" s="24">
        <v>0</v>
      </c>
      <c r="M397" s="24">
        <v>1</v>
      </c>
      <c r="N397" s="24">
        <v>469</v>
      </c>
      <c r="O397" s="24">
        <v>50</v>
      </c>
      <c r="P397" s="24">
        <v>26900</v>
      </c>
      <c r="Q397" s="24">
        <v>65</v>
      </c>
      <c r="R397" s="24">
        <v>29380</v>
      </c>
      <c r="S397" s="24">
        <v>28</v>
      </c>
      <c r="T397" s="24">
        <v>12936</v>
      </c>
      <c r="U397" s="24">
        <v>26</v>
      </c>
      <c r="V397" s="24">
        <v>12610</v>
      </c>
      <c r="W397" s="24">
        <v>18</v>
      </c>
      <c r="X397" s="24">
        <v>7992</v>
      </c>
      <c r="Y397">
        <f t="shared" si="6"/>
        <v>302</v>
      </c>
    </row>
    <row r="398" spans="1:25" x14ac:dyDescent="0.4">
      <c r="A398" s="24" t="s">
        <v>2409</v>
      </c>
      <c r="B398" s="24" t="s">
        <v>2410</v>
      </c>
      <c r="C398" s="25">
        <v>44131</v>
      </c>
      <c r="D398" s="24" t="s">
        <v>2027</v>
      </c>
      <c r="E398" s="24" t="s">
        <v>2020</v>
      </c>
      <c r="F398" s="24" t="s">
        <v>2417</v>
      </c>
      <c r="G398" s="24">
        <v>65</v>
      </c>
      <c r="H398" s="24">
        <v>32630</v>
      </c>
      <c r="I398" s="24">
        <v>65</v>
      </c>
      <c r="J398" s="24">
        <v>33345</v>
      </c>
      <c r="K398" s="24">
        <v>69</v>
      </c>
      <c r="L398" s="24">
        <v>30360</v>
      </c>
      <c r="M398" s="24">
        <v>44</v>
      </c>
      <c r="N398" s="24">
        <v>20856</v>
      </c>
      <c r="O398" s="24">
        <v>69</v>
      </c>
      <c r="P398" s="24">
        <v>36777</v>
      </c>
      <c r="Q398" s="24">
        <v>53</v>
      </c>
      <c r="R398" s="24">
        <v>24645</v>
      </c>
      <c r="S398" s="24">
        <v>33</v>
      </c>
      <c r="T398" s="24">
        <v>16302</v>
      </c>
      <c r="U398" s="24">
        <v>9</v>
      </c>
      <c r="V398" s="24">
        <v>3888</v>
      </c>
      <c r="W398" s="24">
        <v>36</v>
      </c>
      <c r="X398" s="24">
        <v>16776</v>
      </c>
      <c r="Y398">
        <f t="shared" si="6"/>
        <v>443</v>
      </c>
    </row>
    <row r="399" spans="1:25" x14ac:dyDescent="0.4">
      <c r="A399" s="24" t="s">
        <v>2411</v>
      </c>
      <c r="B399" s="24" t="s">
        <v>2412</v>
      </c>
      <c r="C399" s="25">
        <v>42869</v>
      </c>
      <c r="D399" s="24" t="s">
        <v>2015</v>
      </c>
      <c r="E399" s="24" t="s">
        <v>2028</v>
      </c>
      <c r="F399" s="24" t="s">
        <v>2417</v>
      </c>
      <c r="G399" s="24">
        <v>21</v>
      </c>
      <c r="H399" s="24">
        <v>10290</v>
      </c>
      <c r="I399" s="24">
        <v>33</v>
      </c>
      <c r="J399" s="24">
        <v>13992</v>
      </c>
      <c r="K399" s="24">
        <v>76</v>
      </c>
      <c r="L399" s="24">
        <v>40888</v>
      </c>
      <c r="M399" s="24">
        <v>22</v>
      </c>
      <c r="N399" s="24">
        <v>9636</v>
      </c>
      <c r="O399" s="24">
        <v>66</v>
      </c>
      <c r="P399" s="24">
        <v>33660</v>
      </c>
      <c r="Q399" s="24">
        <v>51</v>
      </c>
      <c r="R399" s="24">
        <v>24582</v>
      </c>
      <c r="S399" s="24">
        <v>67</v>
      </c>
      <c r="T399" s="24">
        <v>33969</v>
      </c>
      <c r="U399" s="24">
        <v>30</v>
      </c>
      <c r="V399" s="24">
        <v>14820</v>
      </c>
      <c r="W399" s="24">
        <v>3</v>
      </c>
      <c r="X399" s="24">
        <v>1344</v>
      </c>
      <c r="Y399">
        <f t="shared" si="6"/>
        <v>369</v>
      </c>
    </row>
    <row r="400" spans="1:25" x14ac:dyDescent="0.4">
      <c r="A400" s="24" t="s">
        <v>2413</v>
      </c>
      <c r="B400" s="24" t="s">
        <v>2414</v>
      </c>
      <c r="C400" s="25">
        <v>42923</v>
      </c>
      <c r="D400" s="24" t="s">
        <v>2015</v>
      </c>
      <c r="E400" s="24" t="s">
        <v>2028</v>
      </c>
      <c r="F400" s="24" t="s">
        <v>2417</v>
      </c>
      <c r="G400" s="24">
        <v>3</v>
      </c>
      <c r="H400" s="24">
        <v>1506</v>
      </c>
      <c r="I400" s="24">
        <v>57</v>
      </c>
      <c r="J400" s="24">
        <v>25023</v>
      </c>
      <c r="K400" s="24">
        <v>55</v>
      </c>
      <c r="L400" s="24">
        <v>25135</v>
      </c>
      <c r="M400" s="24">
        <v>35</v>
      </c>
      <c r="N400" s="24">
        <v>17115</v>
      </c>
      <c r="O400" s="24">
        <v>2</v>
      </c>
      <c r="P400" s="24">
        <v>994</v>
      </c>
      <c r="Q400" s="24">
        <v>13</v>
      </c>
      <c r="R400" s="24">
        <v>6734</v>
      </c>
      <c r="S400" s="24">
        <v>23</v>
      </c>
      <c r="T400" s="24">
        <v>12121</v>
      </c>
      <c r="U400" s="24">
        <v>53</v>
      </c>
      <c r="V400" s="24">
        <v>29044</v>
      </c>
      <c r="W400" s="24">
        <v>59</v>
      </c>
      <c r="X400" s="24">
        <v>32214</v>
      </c>
      <c r="Y400">
        <f t="shared" si="6"/>
        <v>300</v>
      </c>
    </row>
    <row r="401" spans="1:25" x14ac:dyDescent="0.4">
      <c r="A401" s="24" t="s">
        <v>2415</v>
      </c>
      <c r="B401" s="24" t="s">
        <v>2416</v>
      </c>
      <c r="C401" s="25">
        <v>43312</v>
      </c>
      <c r="D401" s="24" t="s">
        <v>2027</v>
      </c>
      <c r="E401" s="24" t="s">
        <v>2016</v>
      </c>
      <c r="F401" s="24" t="s">
        <v>2417</v>
      </c>
      <c r="G401" s="24">
        <v>55</v>
      </c>
      <c r="H401" s="24">
        <v>27665</v>
      </c>
      <c r="I401" s="24">
        <v>55</v>
      </c>
      <c r="J401" s="24">
        <v>25300</v>
      </c>
      <c r="K401" s="24">
        <v>39</v>
      </c>
      <c r="L401" s="24">
        <v>16614</v>
      </c>
      <c r="M401" s="24">
        <v>70</v>
      </c>
      <c r="N401" s="24">
        <v>33810</v>
      </c>
      <c r="O401" s="24">
        <v>28</v>
      </c>
      <c r="P401" s="24">
        <v>13244</v>
      </c>
      <c r="Q401" s="24">
        <v>13</v>
      </c>
      <c r="R401" s="24">
        <v>5252</v>
      </c>
      <c r="S401" s="24">
        <v>76</v>
      </c>
      <c r="T401" s="24">
        <v>33288</v>
      </c>
      <c r="U401" s="24">
        <v>14</v>
      </c>
      <c r="V401" s="24">
        <v>6300</v>
      </c>
      <c r="W401" s="24">
        <v>4</v>
      </c>
      <c r="X401" s="24">
        <v>1916</v>
      </c>
      <c r="Y401">
        <f t="shared" si="6"/>
        <v>354</v>
      </c>
    </row>
    <row r="402" spans="1:25" x14ac:dyDescent="0.4">
      <c r="A402" s="24" t="s">
        <v>2013</v>
      </c>
      <c r="B402" s="24" t="s">
        <v>2014</v>
      </c>
      <c r="C402" s="25">
        <v>42484</v>
      </c>
      <c r="D402" s="24" t="s">
        <v>2015</v>
      </c>
      <c r="E402" s="24" t="s">
        <v>2016</v>
      </c>
      <c r="F402" s="24" t="s">
        <v>2418</v>
      </c>
      <c r="G402" s="24">
        <v>28</v>
      </c>
      <c r="H402" s="24">
        <v>16660</v>
      </c>
      <c r="I402" s="24">
        <v>0</v>
      </c>
      <c r="J402" s="24">
        <v>0</v>
      </c>
      <c r="K402" s="24">
        <v>0</v>
      </c>
      <c r="L402" s="24">
        <v>0</v>
      </c>
      <c r="M402" s="24">
        <v>3</v>
      </c>
      <c r="N402" s="24">
        <v>1383</v>
      </c>
      <c r="O402" s="24">
        <v>10</v>
      </c>
      <c r="P402" s="24">
        <v>6040</v>
      </c>
      <c r="Q402" s="24">
        <v>19</v>
      </c>
      <c r="R402" s="24">
        <v>10640</v>
      </c>
      <c r="S402" s="24">
        <v>53</v>
      </c>
      <c r="T402" s="24">
        <v>21677</v>
      </c>
      <c r="U402" s="24">
        <v>28</v>
      </c>
      <c r="V402" s="24">
        <v>15316</v>
      </c>
      <c r="W402" s="24">
        <v>75</v>
      </c>
      <c r="X402" s="24">
        <v>32550</v>
      </c>
      <c r="Y402">
        <f t="shared" si="6"/>
        <v>216</v>
      </c>
    </row>
    <row r="403" spans="1:25" x14ac:dyDescent="0.4">
      <c r="A403" s="24" t="s">
        <v>2018</v>
      </c>
      <c r="B403" s="24" t="s">
        <v>2019</v>
      </c>
      <c r="C403" s="25">
        <v>42609</v>
      </c>
      <c r="D403" s="24" t="s">
        <v>2015</v>
      </c>
      <c r="E403" s="24" t="s">
        <v>2020</v>
      </c>
      <c r="F403" s="24" t="s">
        <v>2418</v>
      </c>
      <c r="G403" s="24">
        <v>38</v>
      </c>
      <c r="H403" s="24">
        <v>21736</v>
      </c>
      <c r="I403" s="24">
        <v>4</v>
      </c>
      <c r="J403" s="24">
        <v>2372</v>
      </c>
      <c r="K403" s="24">
        <v>4</v>
      </c>
      <c r="L403" s="24">
        <v>2588</v>
      </c>
      <c r="M403" s="24">
        <v>6</v>
      </c>
      <c r="N403" s="24">
        <v>3144</v>
      </c>
      <c r="O403" s="24">
        <v>0</v>
      </c>
      <c r="P403" s="24">
        <v>0</v>
      </c>
      <c r="Q403" s="24">
        <v>7</v>
      </c>
      <c r="R403" s="24">
        <v>3717</v>
      </c>
      <c r="S403" s="24">
        <v>38</v>
      </c>
      <c r="T403" s="24">
        <v>16910</v>
      </c>
      <c r="U403" s="24">
        <v>39</v>
      </c>
      <c r="V403" s="24">
        <v>17004</v>
      </c>
      <c r="W403" s="24">
        <v>75</v>
      </c>
      <c r="X403" s="24">
        <v>31875</v>
      </c>
      <c r="Y403">
        <f t="shared" si="6"/>
        <v>211</v>
      </c>
    </row>
    <row r="404" spans="1:25" x14ac:dyDescent="0.4">
      <c r="A404" s="24" t="s">
        <v>2021</v>
      </c>
      <c r="B404" s="24" t="s">
        <v>2022</v>
      </c>
      <c r="C404" s="25">
        <v>43385</v>
      </c>
      <c r="D404" s="24" t="s">
        <v>2015</v>
      </c>
      <c r="E404" s="24" t="s">
        <v>2016</v>
      </c>
      <c r="F404" s="24" t="s">
        <v>2418</v>
      </c>
      <c r="G404" s="24">
        <v>10</v>
      </c>
      <c r="H404" s="24">
        <v>5220</v>
      </c>
      <c r="I404" s="24">
        <v>4</v>
      </c>
      <c r="J404" s="24">
        <v>2536</v>
      </c>
      <c r="K404" s="24">
        <v>7</v>
      </c>
      <c r="L404" s="24">
        <v>4046</v>
      </c>
      <c r="M404" s="24">
        <v>17</v>
      </c>
      <c r="N404" s="24">
        <v>10795</v>
      </c>
      <c r="O404" s="24">
        <v>5</v>
      </c>
      <c r="P404" s="24">
        <v>2545</v>
      </c>
      <c r="Q404" s="24">
        <v>0</v>
      </c>
      <c r="R404" s="24">
        <v>0</v>
      </c>
      <c r="S404" s="24">
        <v>24</v>
      </c>
      <c r="T404" s="24">
        <v>10704</v>
      </c>
      <c r="U404" s="24">
        <v>47</v>
      </c>
      <c r="V404" s="24">
        <v>22795</v>
      </c>
      <c r="W404" s="24">
        <v>23</v>
      </c>
      <c r="X404" s="24">
        <v>11293</v>
      </c>
      <c r="Y404">
        <f t="shared" si="6"/>
        <v>137</v>
      </c>
    </row>
    <row r="405" spans="1:25" x14ac:dyDescent="0.4">
      <c r="A405" s="24" t="s">
        <v>2023</v>
      </c>
      <c r="B405" s="24" t="s">
        <v>2024</v>
      </c>
      <c r="C405" s="25">
        <v>42908</v>
      </c>
      <c r="D405" s="24" t="s">
        <v>2015</v>
      </c>
      <c r="E405" s="24" t="s">
        <v>2020</v>
      </c>
      <c r="F405" s="24" t="s">
        <v>2418</v>
      </c>
      <c r="G405" s="24">
        <v>30</v>
      </c>
      <c r="H405" s="24">
        <v>17220</v>
      </c>
      <c r="I405" s="24">
        <v>13</v>
      </c>
      <c r="J405" s="24">
        <v>6760</v>
      </c>
      <c r="K405" s="24">
        <v>11</v>
      </c>
      <c r="L405" s="24">
        <v>6204</v>
      </c>
      <c r="M405" s="24">
        <v>24</v>
      </c>
      <c r="N405" s="24">
        <v>11112</v>
      </c>
      <c r="O405" s="24">
        <v>33</v>
      </c>
      <c r="P405" s="24">
        <v>15180</v>
      </c>
      <c r="Q405" s="24">
        <v>46</v>
      </c>
      <c r="R405" s="24">
        <v>27968</v>
      </c>
      <c r="S405" s="24">
        <v>23</v>
      </c>
      <c r="T405" s="24">
        <v>10488</v>
      </c>
      <c r="U405" s="24">
        <v>3</v>
      </c>
      <c r="V405" s="24">
        <v>1464</v>
      </c>
      <c r="W405" s="24">
        <v>0</v>
      </c>
      <c r="X405" s="24">
        <v>0</v>
      </c>
      <c r="Y405">
        <f t="shared" si="6"/>
        <v>183</v>
      </c>
    </row>
    <row r="406" spans="1:25" x14ac:dyDescent="0.4">
      <c r="A406" s="24" t="s">
        <v>2025</v>
      </c>
      <c r="B406" s="24" t="s">
        <v>2026</v>
      </c>
      <c r="C406" s="25">
        <v>42104</v>
      </c>
      <c r="D406" s="24" t="s">
        <v>2027</v>
      </c>
      <c r="E406" s="24" t="s">
        <v>2028</v>
      </c>
      <c r="F406" s="24" t="s">
        <v>2418</v>
      </c>
      <c r="G406" s="24">
        <v>1</v>
      </c>
      <c r="H406" s="24">
        <v>590</v>
      </c>
      <c r="I406" s="24">
        <v>12</v>
      </c>
      <c r="J406" s="24">
        <v>6408</v>
      </c>
      <c r="K406" s="24">
        <v>0</v>
      </c>
      <c r="L406" s="24">
        <v>0</v>
      </c>
      <c r="M406" s="24">
        <v>15</v>
      </c>
      <c r="N406" s="24">
        <v>8985</v>
      </c>
      <c r="O406" s="24">
        <v>10</v>
      </c>
      <c r="P406" s="24">
        <v>5890</v>
      </c>
      <c r="Q406" s="24">
        <v>32</v>
      </c>
      <c r="R406" s="24">
        <v>17568</v>
      </c>
      <c r="S406" s="24">
        <v>6</v>
      </c>
      <c r="T406" s="24">
        <v>3090</v>
      </c>
      <c r="U406" s="24">
        <v>21</v>
      </c>
      <c r="V406" s="24">
        <v>12432</v>
      </c>
      <c r="W406" s="24">
        <v>1</v>
      </c>
      <c r="X406" s="24">
        <v>602</v>
      </c>
      <c r="Y406">
        <f t="shared" si="6"/>
        <v>98</v>
      </c>
    </row>
    <row r="407" spans="1:25" x14ac:dyDescent="0.4">
      <c r="A407" s="24" t="s">
        <v>2029</v>
      </c>
      <c r="B407" s="24" t="s">
        <v>2030</v>
      </c>
      <c r="C407" s="25">
        <v>44108</v>
      </c>
      <c r="D407" s="24" t="s">
        <v>2027</v>
      </c>
      <c r="E407" s="24" t="s">
        <v>2028</v>
      </c>
      <c r="F407" s="24" t="s">
        <v>2418</v>
      </c>
      <c r="G407" s="24">
        <v>23</v>
      </c>
      <c r="H407" s="24">
        <v>13271</v>
      </c>
      <c r="I407" s="24">
        <v>48</v>
      </c>
      <c r="J407" s="24">
        <v>30000</v>
      </c>
      <c r="K407" s="24">
        <v>4</v>
      </c>
      <c r="L407" s="24">
        <v>1904</v>
      </c>
      <c r="M407" s="24">
        <v>41</v>
      </c>
      <c r="N407" s="24">
        <v>19639</v>
      </c>
      <c r="O407" s="24">
        <v>1</v>
      </c>
      <c r="P407" s="24">
        <v>616</v>
      </c>
      <c r="Q407" s="24">
        <v>1</v>
      </c>
      <c r="R407" s="24">
        <v>513</v>
      </c>
      <c r="S407" s="24">
        <v>31</v>
      </c>
      <c r="T407" s="24">
        <v>16709</v>
      </c>
      <c r="U407" s="24">
        <v>7</v>
      </c>
      <c r="V407" s="24">
        <v>4018</v>
      </c>
      <c r="W407" s="24">
        <v>11</v>
      </c>
      <c r="X407" s="24">
        <v>5610</v>
      </c>
      <c r="Y407">
        <f t="shared" si="6"/>
        <v>167</v>
      </c>
    </row>
    <row r="408" spans="1:25" x14ac:dyDescent="0.4">
      <c r="A408" s="24" t="s">
        <v>2031</v>
      </c>
      <c r="B408" s="24" t="s">
        <v>2032</v>
      </c>
      <c r="C408" s="25">
        <v>42806</v>
      </c>
      <c r="D408" s="24" t="s">
        <v>2027</v>
      </c>
      <c r="E408" s="24" t="s">
        <v>2028</v>
      </c>
      <c r="F408" s="24" t="s">
        <v>2418</v>
      </c>
      <c r="G408" s="24">
        <v>4</v>
      </c>
      <c r="H408" s="24">
        <v>2300</v>
      </c>
      <c r="I408" s="24">
        <v>4</v>
      </c>
      <c r="J408" s="24">
        <v>2332</v>
      </c>
      <c r="K408" s="24">
        <v>14</v>
      </c>
      <c r="L408" s="24">
        <v>6622</v>
      </c>
      <c r="M408" s="24">
        <v>11</v>
      </c>
      <c r="N408" s="24">
        <v>5181</v>
      </c>
      <c r="O408" s="24">
        <v>3</v>
      </c>
      <c r="P408" s="24">
        <v>1689</v>
      </c>
      <c r="Q408" s="24">
        <v>1</v>
      </c>
      <c r="R408" s="24">
        <v>552</v>
      </c>
      <c r="S408" s="24">
        <v>8</v>
      </c>
      <c r="T408" s="24">
        <v>4536</v>
      </c>
      <c r="U408" s="24">
        <v>0</v>
      </c>
      <c r="V408" s="24">
        <v>0</v>
      </c>
      <c r="W408" s="24">
        <v>3</v>
      </c>
      <c r="X408" s="24">
        <v>1896</v>
      </c>
      <c r="Y408">
        <f t="shared" si="6"/>
        <v>48</v>
      </c>
    </row>
    <row r="409" spans="1:25" x14ac:dyDescent="0.4">
      <c r="A409" s="24" t="s">
        <v>2033</v>
      </c>
      <c r="B409" s="24" t="s">
        <v>2034</v>
      </c>
      <c r="C409" s="25">
        <v>42736</v>
      </c>
      <c r="D409" s="24" t="s">
        <v>2015</v>
      </c>
      <c r="E409" s="24" t="s">
        <v>2016</v>
      </c>
      <c r="F409" s="24" t="s">
        <v>2418</v>
      </c>
      <c r="G409" s="24">
        <v>1</v>
      </c>
      <c r="H409" s="24">
        <v>529</v>
      </c>
      <c r="I409" s="24">
        <v>52</v>
      </c>
      <c r="J409" s="24">
        <v>26364</v>
      </c>
      <c r="K409" s="24">
        <v>10</v>
      </c>
      <c r="L409" s="24">
        <v>4730</v>
      </c>
      <c r="M409" s="24">
        <v>2</v>
      </c>
      <c r="N409" s="24">
        <v>1282</v>
      </c>
      <c r="O409" s="24">
        <v>10</v>
      </c>
      <c r="P409" s="24">
        <v>6090</v>
      </c>
      <c r="Q409" s="24">
        <v>52</v>
      </c>
      <c r="R409" s="24">
        <v>28288</v>
      </c>
      <c r="S409" s="24">
        <v>22</v>
      </c>
      <c r="T409" s="24">
        <v>13838</v>
      </c>
      <c r="U409" s="24">
        <v>90</v>
      </c>
      <c r="V409" s="24">
        <v>42840</v>
      </c>
      <c r="W409" s="24">
        <v>7</v>
      </c>
      <c r="X409" s="24">
        <v>3948</v>
      </c>
      <c r="Y409">
        <f t="shared" si="6"/>
        <v>246</v>
      </c>
    </row>
    <row r="410" spans="1:25" x14ac:dyDescent="0.4">
      <c r="A410" s="24" t="s">
        <v>2035</v>
      </c>
      <c r="B410" s="24" t="s">
        <v>2036</v>
      </c>
      <c r="C410" s="25">
        <v>43556</v>
      </c>
      <c r="D410" s="24" t="s">
        <v>2015</v>
      </c>
      <c r="E410" s="24" t="s">
        <v>2020</v>
      </c>
      <c r="F410" s="24" t="s">
        <v>2418</v>
      </c>
      <c r="G410" s="24">
        <v>3</v>
      </c>
      <c r="H410" s="24">
        <v>1407</v>
      </c>
      <c r="I410" s="24">
        <v>15</v>
      </c>
      <c r="J410" s="24">
        <v>8235</v>
      </c>
      <c r="K410" s="24">
        <v>13</v>
      </c>
      <c r="L410" s="24">
        <v>7930</v>
      </c>
      <c r="M410" s="24">
        <v>6</v>
      </c>
      <c r="N410" s="24">
        <v>3228</v>
      </c>
      <c r="O410" s="24">
        <v>6</v>
      </c>
      <c r="P410" s="24">
        <v>3270</v>
      </c>
      <c r="Q410" s="24">
        <v>6</v>
      </c>
      <c r="R410" s="24">
        <v>3828</v>
      </c>
      <c r="S410" s="24">
        <v>4</v>
      </c>
      <c r="T410" s="24">
        <v>1820</v>
      </c>
      <c r="U410" s="24">
        <v>16</v>
      </c>
      <c r="V410" s="24">
        <v>7632</v>
      </c>
      <c r="W410" s="24">
        <v>17</v>
      </c>
      <c r="X410" s="24">
        <v>8534</v>
      </c>
      <c r="Y410">
        <f t="shared" si="6"/>
        <v>86</v>
      </c>
    </row>
    <row r="411" spans="1:25" x14ac:dyDescent="0.4">
      <c r="A411" s="24" t="s">
        <v>2037</v>
      </c>
      <c r="B411" s="24" t="s">
        <v>2038</v>
      </c>
      <c r="C411" s="25">
        <v>43747</v>
      </c>
      <c r="D411" s="24" t="s">
        <v>2027</v>
      </c>
      <c r="E411" s="24" t="s">
        <v>2016</v>
      </c>
      <c r="F411" s="24" t="s">
        <v>2418</v>
      </c>
      <c r="G411" s="24">
        <v>9</v>
      </c>
      <c r="H411" s="24">
        <v>4176</v>
      </c>
      <c r="I411" s="24">
        <v>13</v>
      </c>
      <c r="J411" s="24">
        <v>6136</v>
      </c>
      <c r="K411" s="24">
        <v>19</v>
      </c>
      <c r="L411" s="24">
        <v>9500</v>
      </c>
      <c r="M411" s="24">
        <v>7</v>
      </c>
      <c r="N411" s="24">
        <v>4060</v>
      </c>
      <c r="O411" s="24">
        <v>9</v>
      </c>
      <c r="P411" s="24">
        <v>5364</v>
      </c>
      <c r="Q411" s="24">
        <v>5</v>
      </c>
      <c r="R411" s="24">
        <v>2545</v>
      </c>
      <c r="S411" s="24">
        <v>45</v>
      </c>
      <c r="T411" s="24">
        <v>25875</v>
      </c>
      <c r="U411" s="24">
        <v>17</v>
      </c>
      <c r="V411" s="24">
        <v>8296</v>
      </c>
      <c r="W411" s="24">
        <v>15</v>
      </c>
      <c r="X411" s="24">
        <v>9600</v>
      </c>
      <c r="Y411">
        <f t="shared" si="6"/>
        <v>139</v>
      </c>
    </row>
    <row r="412" spans="1:25" x14ac:dyDescent="0.4">
      <c r="A412" s="24" t="s">
        <v>2039</v>
      </c>
      <c r="B412" s="24" t="s">
        <v>2040</v>
      </c>
      <c r="C412" s="25">
        <v>44073</v>
      </c>
      <c r="D412" s="24" t="s">
        <v>2027</v>
      </c>
      <c r="E412" s="24" t="s">
        <v>2016</v>
      </c>
      <c r="F412" s="24" t="s">
        <v>2418</v>
      </c>
      <c r="G412" s="24">
        <v>3</v>
      </c>
      <c r="H412" s="24">
        <v>1731</v>
      </c>
      <c r="I412" s="24">
        <v>15</v>
      </c>
      <c r="J412" s="24">
        <v>8835</v>
      </c>
      <c r="K412" s="24">
        <v>2</v>
      </c>
      <c r="L412" s="24">
        <v>904</v>
      </c>
      <c r="M412" s="24">
        <v>0</v>
      </c>
      <c r="N412" s="24">
        <v>0</v>
      </c>
      <c r="O412" s="24">
        <v>6</v>
      </c>
      <c r="P412" s="24">
        <v>3372</v>
      </c>
      <c r="Q412" s="24">
        <v>36</v>
      </c>
      <c r="R412" s="24">
        <v>16524</v>
      </c>
      <c r="S412" s="24">
        <v>50</v>
      </c>
      <c r="T412" s="24">
        <v>26050</v>
      </c>
      <c r="U412" s="24">
        <v>54</v>
      </c>
      <c r="V412" s="24">
        <v>30672</v>
      </c>
      <c r="W412" s="24">
        <v>7</v>
      </c>
      <c r="X412" s="24">
        <v>3479</v>
      </c>
      <c r="Y412">
        <f t="shared" si="6"/>
        <v>173</v>
      </c>
    </row>
    <row r="413" spans="1:25" x14ac:dyDescent="0.4">
      <c r="A413" s="24" t="s">
        <v>2041</v>
      </c>
      <c r="B413" s="24" t="s">
        <v>2042</v>
      </c>
      <c r="C413" s="25">
        <v>43435</v>
      </c>
      <c r="D413" s="24" t="s">
        <v>2027</v>
      </c>
      <c r="E413" s="24" t="s">
        <v>2016</v>
      </c>
      <c r="F413" s="24" t="s">
        <v>2418</v>
      </c>
      <c r="G413" s="24">
        <v>8</v>
      </c>
      <c r="H413" s="24">
        <v>4792</v>
      </c>
      <c r="I413" s="24">
        <v>2</v>
      </c>
      <c r="J413" s="24">
        <v>1236</v>
      </c>
      <c r="K413" s="24">
        <v>4</v>
      </c>
      <c r="L413" s="24">
        <v>2296</v>
      </c>
      <c r="M413" s="24">
        <v>1</v>
      </c>
      <c r="N413" s="24">
        <v>470</v>
      </c>
      <c r="O413" s="24">
        <v>0</v>
      </c>
      <c r="P413" s="24">
        <v>0</v>
      </c>
      <c r="Q413" s="24">
        <v>11</v>
      </c>
      <c r="R413" s="24">
        <v>6633</v>
      </c>
      <c r="S413" s="24">
        <v>12</v>
      </c>
      <c r="T413" s="24">
        <v>7044</v>
      </c>
      <c r="U413" s="24">
        <v>13</v>
      </c>
      <c r="V413" s="24">
        <v>7384</v>
      </c>
      <c r="W413" s="24">
        <v>1</v>
      </c>
      <c r="X413" s="24">
        <v>641</v>
      </c>
      <c r="Y413">
        <f t="shared" si="6"/>
        <v>52</v>
      </c>
    </row>
    <row r="414" spans="1:25" x14ac:dyDescent="0.4">
      <c r="A414" s="24" t="s">
        <v>2043</v>
      </c>
      <c r="B414" s="24" t="s">
        <v>2044</v>
      </c>
      <c r="C414" s="25">
        <v>42229</v>
      </c>
      <c r="D414" s="24" t="s">
        <v>2015</v>
      </c>
      <c r="E414" s="24" t="s">
        <v>2028</v>
      </c>
      <c r="F414" s="24" t="s">
        <v>2418</v>
      </c>
      <c r="G414" s="24">
        <v>55</v>
      </c>
      <c r="H414" s="24">
        <v>34705</v>
      </c>
      <c r="I414" s="24">
        <v>8</v>
      </c>
      <c r="J414" s="24">
        <v>3952</v>
      </c>
      <c r="K414" s="24">
        <v>0</v>
      </c>
      <c r="L414" s="24">
        <v>0</v>
      </c>
      <c r="M414" s="24">
        <v>5</v>
      </c>
      <c r="N414" s="24">
        <v>3150</v>
      </c>
      <c r="O414" s="24">
        <v>4</v>
      </c>
      <c r="P414" s="24">
        <v>2568</v>
      </c>
      <c r="Q414" s="24">
        <v>3</v>
      </c>
      <c r="R414" s="24">
        <v>1803</v>
      </c>
      <c r="S414" s="24">
        <v>11</v>
      </c>
      <c r="T414" s="24">
        <v>6666</v>
      </c>
      <c r="U414" s="24">
        <v>12</v>
      </c>
      <c r="V414" s="24">
        <v>5760</v>
      </c>
      <c r="W414" s="24">
        <v>13</v>
      </c>
      <c r="X414" s="24">
        <v>7618</v>
      </c>
      <c r="Y414">
        <f t="shared" si="6"/>
        <v>111</v>
      </c>
    </row>
    <row r="415" spans="1:25" x14ac:dyDescent="0.4">
      <c r="A415" s="24" t="s">
        <v>2045</v>
      </c>
      <c r="B415" s="24" t="s">
        <v>2046</v>
      </c>
      <c r="C415" s="25">
        <v>43695</v>
      </c>
      <c r="D415" s="24" t="s">
        <v>2027</v>
      </c>
      <c r="E415" s="24" t="s">
        <v>2016</v>
      </c>
      <c r="F415" s="24" t="s">
        <v>2418</v>
      </c>
      <c r="G415" s="24">
        <v>3</v>
      </c>
      <c r="H415" s="24">
        <v>1686</v>
      </c>
      <c r="I415" s="24">
        <v>42</v>
      </c>
      <c r="J415" s="24">
        <v>26040</v>
      </c>
      <c r="K415" s="24">
        <v>17</v>
      </c>
      <c r="L415" s="24">
        <v>8109</v>
      </c>
      <c r="M415" s="24">
        <v>4</v>
      </c>
      <c r="N415" s="24">
        <v>1868</v>
      </c>
      <c r="O415" s="24">
        <v>29</v>
      </c>
      <c r="P415" s="24">
        <v>13949</v>
      </c>
      <c r="Q415" s="24">
        <v>5</v>
      </c>
      <c r="R415" s="24">
        <v>3020</v>
      </c>
      <c r="S415" s="24">
        <v>5</v>
      </c>
      <c r="T415" s="24">
        <v>2875</v>
      </c>
      <c r="U415" s="24">
        <v>1</v>
      </c>
      <c r="V415" s="24">
        <v>543</v>
      </c>
      <c r="W415" s="24">
        <v>8</v>
      </c>
      <c r="X415" s="24">
        <v>4832</v>
      </c>
      <c r="Y415">
        <f t="shared" si="6"/>
        <v>114</v>
      </c>
    </row>
    <row r="416" spans="1:25" x14ac:dyDescent="0.4">
      <c r="A416" s="24" t="s">
        <v>2047</v>
      </c>
      <c r="B416" s="24" t="s">
        <v>2048</v>
      </c>
      <c r="C416" s="25">
        <v>42241</v>
      </c>
      <c r="D416" s="24" t="s">
        <v>2015</v>
      </c>
      <c r="E416" s="24" t="s">
        <v>2016</v>
      </c>
      <c r="F416" s="24" t="s">
        <v>2418</v>
      </c>
      <c r="G416" s="24">
        <v>38</v>
      </c>
      <c r="H416" s="24">
        <v>22306</v>
      </c>
      <c r="I416" s="24">
        <v>1</v>
      </c>
      <c r="J416" s="24">
        <v>585</v>
      </c>
      <c r="K416" s="24">
        <v>8</v>
      </c>
      <c r="L416" s="24">
        <v>4136</v>
      </c>
      <c r="M416" s="24">
        <v>7</v>
      </c>
      <c r="N416" s="24">
        <v>3577</v>
      </c>
      <c r="O416" s="24">
        <v>26</v>
      </c>
      <c r="P416" s="24">
        <v>16510</v>
      </c>
      <c r="Q416" s="24">
        <v>5</v>
      </c>
      <c r="R416" s="24">
        <v>2665</v>
      </c>
      <c r="S416" s="24">
        <v>9</v>
      </c>
      <c r="T416" s="24">
        <v>5787</v>
      </c>
      <c r="U416" s="24">
        <v>1</v>
      </c>
      <c r="V416" s="24">
        <v>533</v>
      </c>
      <c r="W416" s="24">
        <v>2</v>
      </c>
      <c r="X416" s="24">
        <v>1300</v>
      </c>
      <c r="Y416">
        <f t="shared" si="6"/>
        <v>97</v>
      </c>
    </row>
    <row r="417" spans="1:25" x14ac:dyDescent="0.4">
      <c r="A417" s="24" t="s">
        <v>2049</v>
      </c>
      <c r="B417" s="24" t="s">
        <v>2050</v>
      </c>
      <c r="C417" s="25">
        <v>42700</v>
      </c>
      <c r="D417" s="24" t="s">
        <v>2015</v>
      </c>
      <c r="E417" s="24" t="s">
        <v>2016</v>
      </c>
      <c r="F417" s="24" t="s">
        <v>2418</v>
      </c>
      <c r="G417" s="24">
        <v>3</v>
      </c>
      <c r="H417" s="24">
        <v>1728</v>
      </c>
      <c r="I417" s="24">
        <v>29</v>
      </c>
      <c r="J417" s="24">
        <v>13601</v>
      </c>
      <c r="K417" s="24">
        <v>10</v>
      </c>
      <c r="L417" s="24">
        <v>4530</v>
      </c>
      <c r="M417" s="24">
        <v>0</v>
      </c>
      <c r="N417" s="24">
        <v>0</v>
      </c>
      <c r="O417" s="24">
        <v>4</v>
      </c>
      <c r="P417" s="24">
        <v>2380</v>
      </c>
      <c r="Q417" s="24">
        <v>4</v>
      </c>
      <c r="R417" s="24">
        <v>1960</v>
      </c>
      <c r="S417" s="24">
        <v>64</v>
      </c>
      <c r="T417" s="24">
        <v>29568</v>
      </c>
      <c r="U417" s="24">
        <v>1</v>
      </c>
      <c r="V417" s="24">
        <v>611</v>
      </c>
      <c r="W417" s="24">
        <v>0</v>
      </c>
      <c r="X417" s="24">
        <v>0</v>
      </c>
      <c r="Y417">
        <f t="shared" si="6"/>
        <v>115</v>
      </c>
    </row>
    <row r="418" spans="1:25" x14ac:dyDescent="0.4">
      <c r="A418" s="24" t="s">
        <v>2051</v>
      </c>
      <c r="B418" s="24" t="s">
        <v>2052</v>
      </c>
      <c r="C418" s="25">
        <v>43442</v>
      </c>
      <c r="D418" s="24" t="s">
        <v>2015</v>
      </c>
      <c r="E418" s="24" t="s">
        <v>2020</v>
      </c>
      <c r="F418" s="24" t="s">
        <v>2418</v>
      </c>
      <c r="G418" s="24">
        <v>17</v>
      </c>
      <c r="H418" s="24">
        <v>9248</v>
      </c>
      <c r="I418" s="24">
        <v>47</v>
      </c>
      <c r="J418" s="24">
        <v>25286</v>
      </c>
      <c r="K418" s="24">
        <v>8</v>
      </c>
      <c r="L418" s="24">
        <v>4056</v>
      </c>
      <c r="M418" s="24">
        <v>36</v>
      </c>
      <c r="N418" s="24">
        <v>20736</v>
      </c>
      <c r="O418" s="24">
        <v>41</v>
      </c>
      <c r="P418" s="24">
        <v>21689</v>
      </c>
      <c r="Q418" s="24">
        <v>11</v>
      </c>
      <c r="R418" s="24">
        <v>5566</v>
      </c>
      <c r="S418" s="24">
        <v>0</v>
      </c>
      <c r="T418" s="24">
        <v>0</v>
      </c>
      <c r="U418" s="24">
        <v>13</v>
      </c>
      <c r="V418" s="24">
        <v>8112</v>
      </c>
      <c r="W418" s="24">
        <v>7</v>
      </c>
      <c r="X418" s="24">
        <v>3444</v>
      </c>
      <c r="Y418">
        <f t="shared" si="6"/>
        <v>180</v>
      </c>
    </row>
    <row r="419" spans="1:25" x14ac:dyDescent="0.4">
      <c r="A419" s="24" t="s">
        <v>2053</v>
      </c>
      <c r="B419" s="24" t="s">
        <v>2054</v>
      </c>
      <c r="C419" s="25">
        <v>44110</v>
      </c>
      <c r="D419" s="24" t="s">
        <v>2027</v>
      </c>
      <c r="E419" s="24" t="s">
        <v>2020</v>
      </c>
      <c r="F419" s="24" t="s">
        <v>2418</v>
      </c>
      <c r="G419" s="24">
        <v>18</v>
      </c>
      <c r="H419" s="24">
        <v>10512</v>
      </c>
      <c r="I419" s="24">
        <v>0</v>
      </c>
      <c r="J419" s="24">
        <v>0</v>
      </c>
      <c r="K419" s="24">
        <v>8</v>
      </c>
      <c r="L419" s="24">
        <v>4352</v>
      </c>
      <c r="M419" s="24">
        <v>9</v>
      </c>
      <c r="N419" s="24">
        <v>4212</v>
      </c>
      <c r="O419" s="24">
        <v>30</v>
      </c>
      <c r="P419" s="24">
        <v>19200</v>
      </c>
      <c r="Q419" s="24">
        <v>11</v>
      </c>
      <c r="R419" s="24">
        <v>5676</v>
      </c>
      <c r="S419" s="24">
        <v>7</v>
      </c>
      <c r="T419" s="24">
        <v>4116</v>
      </c>
      <c r="U419" s="24">
        <v>5</v>
      </c>
      <c r="V419" s="24">
        <v>2630</v>
      </c>
      <c r="W419" s="24">
        <v>0</v>
      </c>
      <c r="X419" s="24">
        <v>0</v>
      </c>
      <c r="Y419">
        <f t="shared" si="6"/>
        <v>88</v>
      </c>
    </row>
    <row r="420" spans="1:25" x14ac:dyDescent="0.4">
      <c r="A420" s="24" t="s">
        <v>2055</v>
      </c>
      <c r="B420" s="24" t="s">
        <v>2056</v>
      </c>
      <c r="C420" s="25">
        <v>43417</v>
      </c>
      <c r="D420" s="24" t="s">
        <v>2015</v>
      </c>
      <c r="E420" s="24" t="s">
        <v>2020</v>
      </c>
      <c r="F420" s="24" t="s">
        <v>2418</v>
      </c>
      <c r="G420" s="24">
        <v>3</v>
      </c>
      <c r="H420" s="24">
        <v>1773</v>
      </c>
      <c r="I420" s="24">
        <v>13</v>
      </c>
      <c r="J420" s="24">
        <v>7215</v>
      </c>
      <c r="K420" s="24">
        <v>10</v>
      </c>
      <c r="L420" s="24">
        <v>5990</v>
      </c>
      <c r="M420" s="24">
        <v>16</v>
      </c>
      <c r="N420" s="24">
        <v>8144</v>
      </c>
      <c r="O420" s="24">
        <v>34</v>
      </c>
      <c r="P420" s="24">
        <v>21556</v>
      </c>
      <c r="Q420" s="24">
        <v>1</v>
      </c>
      <c r="R420" s="24">
        <v>552</v>
      </c>
      <c r="S420" s="24">
        <v>45</v>
      </c>
      <c r="T420" s="24">
        <v>25380</v>
      </c>
      <c r="U420" s="24">
        <v>12</v>
      </c>
      <c r="V420" s="24">
        <v>5460</v>
      </c>
      <c r="W420" s="24">
        <v>48</v>
      </c>
      <c r="X420" s="24">
        <v>21936</v>
      </c>
      <c r="Y420">
        <f t="shared" si="6"/>
        <v>182</v>
      </c>
    </row>
    <row r="421" spans="1:25" x14ac:dyDescent="0.4">
      <c r="A421" s="24" t="s">
        <v>2057</v>
      </c>
      <c r="B421" s="24" t="s">
        <v>2058</v>
      </c>
      <c r="C421" s="25">
        <v>42169</v>
      </c>
      <c r="D421" s="24" t="s">
        <v>2027</v>
      </c>
      <c r="E421" s="24" t="s">
        <v>2020</v>
      </c>
      <c r="F421" s="24" t="s">
        <v>2418</v>
      </c>
      <c r="G421" s="24">
        <v>35</v>
      </c>
      <c r="H421" s="24">
        <v>16310</v>
      </c>
      <c r="I421" s="24">
        <v>21</v>
      </c>
      <c r="J421" s="24">
        <v>10584</v>
      </c>
      <c r="K421" s="24">
        <v>14</v>
      </c>
      <c r="L421" s="24">
        <v>7014</v>
      </c>
      <c r="M421" s="24">
        <v>0</v>
      </c>
      <c r="N421" s="24">
        <v>0</v>
      </c>
      <c r="O421" s="24">
        <v>3</v>
      </c>
      <c r="P421" s="24">
        <v>1599</v>
      </c>
      <c r="Q421" s="24">
        <v>36</v>
      </c>
      <c r="R421" s="24">
        <v>20304</v>
      </c>
      <c r="S421" s="24">
        <v>3</v>
      </c>
      <c r="T421" s="24">
        <v>1515</v>
      </c>
      <c r="U421" s="24">
        <v>9</v>
      </c>
      <c r="V421" s="24">
        <v>5301</v>
      </c>
      <c r="W421" s="24">
        <v>10</v>
      </c>
      <c r="X421" s="24">
        <v>6420</v>
      </c>
      <c r="Y421">
        <f t="shared" si="6"/>
        <v>131</v>
      </c>
    </row>
    <row r="422" spans="1:25" x14ac:dyDescent="0.4">
      <c r="A422" s="24" t="s">
        <v>2059</v>
      </c>
      <c r="B422" s="24" t="s">
        <v>2060</v>
      </c>
      <c r="C422" s="25">
        <v>43086</v>
      </c>
      <c r="D422" s="24" t="s">
        <v>2027</v>
      </c>
      <c r="E422" s="24" t="s">
        <v>2028</v>
      </c>
      <c r="F422" s="24" t="s">
        <v>2418</v>
      </c>
      <c r="G422" s="24">
        <v>5</v>
      </c>
      <c r="H422" s="24">
        <v>2425</v>
      </c>
      <c r="I422" s="24">
        <v>15</v>
      </c>
      <c r="J422" s="24">
        <v>8115</v>
      </c>
      <c r="K422" s="24">
        <v>12</v>
      </c>
      <c r="L422" s="24">
        <v>7320</v>
      </c>
      <c r="M422" s="24">
        <v>12</v>
      </c>
      <c r="N422" s="24">
        <v>7500</v>
      </c>
      <c r="O422" s="24">
        <v>0</v>
      </c>
      <c r="P422" s="24">
        <v>0</v>
      </c>
      <c r="Q422" s="24">
        <v>3</v>
      </c>
      <c r="R422" s="24">
        <v>1890</v>
      </c>
      <c r="S422" s="24">
        <v>12</v>
      </c>
      <c r="T422" s="24">
        <v>5748</v>
      </c>
      <c r="U422" s="24">
        <v>13</v>
      </c>
      <c r="V422" s="24">
        <v>8047</v>
      </c>
      <c r="W422" s="24">
        <v>22</v>
      </c>
      <c r="X422" s="24">
        <v>12496</v>
      </c>
      <c r="Y422">
        <f t="shared" si="6"/>
        <v>94</v>
      </c>
    </row>
    <row r="423" spans="1:25" x14ac:dyDescent="0.4">
      <c r="A423" s="24" t="s">
        <v>2061</v>
      </c>
      <c r="B423" s="24" t="s">
        <v>2062</v>
      </c>
      <c r="C423" s="25">
        <v>42569</v>
      </c>
      <c r="D423" s="24" t="s">
        <v>2027</v>
      </c>
      <c r="E423" s="24" t="s">
        <v>2016</v>
      </c>
      <c r="F423" s="24" t="s">
        <v>2418</v>
      </c>
      <c r="G423" s="24">
        <v>0</v>
      </c>
      <c r="H423" s="24">
        <v>0</v>
      </c>
      <c r="I423" s="24">
        <v>41</v>
      </c>
      <c r="J423" s="24">
        <v>20172</v>
      </c>
      <c r="K423" s="24">
        <v>27</v>
      </c>
      <c r="L423" s="24">
        <v>17199</v>
      </c>
      <c r="M423" s="24">
        <v>3</v>
      </c>
      <c r="N423" s="24">
        <v>1593</v>
      </c>
      <c r="O423" s="24">
        <v>16</v>
      </c>
      <c r="P423" s="24">
        <v>10048</v>
      </c>
      <c r="Q423" s="24">
        <v>57</v>
      </c>
      <c r="R423" s="24">
        <v>27246</v>
      </c>
      <c r="S423" s="24">
        <v>19</v>
      </c>
      <c r="T423" s="24">
        <v>12274</v>
      </c>
      <c r="U423" s="24">
        <v>2</v>
      </c>
      <c r="V423" s="24">
        <v>974</v>
      </c>
      <c r="W423" s="24">
        <v>1</v>
      </c>
      <c r="X423" s="24">
        <v>501</v>
      </c>
      <c r="Y423">
        <f t="shared" si="6"/>
        <v>166</v>
      </c>
    </row>
    <row r="424" spans="1:25" x14ac:dyDescent="0.4">
      <c r="A424" s="24" t="s">
        <v>2063</v>
      </c>
      <c r="B424" s="24" t="s">
        <v>2064</v>
      </c>
      <c r="C424" s="25">
        <v>43238</v>
      </c>
      <c r="D424" s="24" t="s">
        <v>2027</v>
      </c>
      <c r="E424" s="24" t="s">
        <v>2020</v>
      </c>
      <c r="F424" s="24" t="s">
        <v>2418</v>
      </c>
      <c r="G424" s="24">
        <v>4</v>
      </c>
      <c r="H424" s="24">
        <v>1884</v>
      </c>
      <c r="I424" s="24">
        <v>4</v>
      </c>
      <c r="J424" s="24">
        <v>2024</v>
      </c>
      <c r="K424" s="24">
        <v>11</v>
      </c>
      <c r="L424" s="24">
        <v>6424</v>
      </c>
      <c r="M424" s="24">
        <v>1</v>
      </c>
      <c r="N424" s="24">
        <v>647</v>
      </c>
      <c r="O424" s="24">
        <v>1</v>
      </c>
      <c r="P424" s="24">
        <v>642</v>
      </c>
      <c r="Q424" s="24">
        <v>13</v>
      </c>
      <c r="R424" s="24">
        <v>8307</v>
      </c>
      <c r="S424" s="24">
        <v>9</v>
      </c>
      <c r="T424" s="24">
        <v>5598</v>
      </c>
      <c r="U424" s="24">
        <v>68</v>
      </c>
      <c r="V424" s="24">
        <v>33524</v>
      </c>
      <c r="W424" s="24">
        <v>0</v>
      </c>
      <c r="X424" s="24">
        <v>0</v>
      </c>
      <c r="Y424">
        <f t="shared" si="6"/>
        <v>111</v>
      </c>
    </row>
    <row r="425" spans="1:25" x14ac:dyDescent="0.4">
      <c r="A425" s="24" t="s">
        <v>2065</v>
      </c>
      <c r="B425" s="24" t="s">
        <v>2066</v>
      </c>
      <c r="C425" s="25">
        <v>42218</v>
      </c>
      <c r="D425" s="24" t="s">
        <v>2015</v>
      </c>
      <c r="E425" s="24" t="s">
        <v>2020</v>
      </c>
      <c r="F425" s="24" t="s">
        <v>2418</v>
      </c>
      <c r="G425" s="24">
        <v>19</v>
      </c>
      <c r="H425" s="24">
        <v>9785</v>
      </c>
      <c r="I425" s="24">
        <v>68</v>
      </c>
      <c r="J425" s="24">
        <v>34884</v>
      </c>
      <c r="K425" s="24">
        <v>16</v>
      </c>
      <c r="L425" s="24">
        <v>7648</v>
      </c>
      <c r="M425" s="24">
        <v>18</v>
      </c>
      <c r="N425" s="24">
        <v>10800</v>
      </c>
      <c r="O425" s="24">
        <v>4</v>
      </c>
      <c r="P425" s="24">
        <v>2436</v>
      </c>
      <c r="Q425" s="24">
        <v>19</v>
      </c>
      <c r="R425" s="24">
        <v>9082</v>
      </c>
      <c r="S425" s="24">
        <v>26</v>
      </c>
      <c r="T425" s="24">
        <v>14976</v>
      </c>
      <c r="U425" s="24">
        <v>2</v>
      </c>
      <c r="V425" s="24">
        <v>992</v>
      </c>
      <c r="W425" s="24">
        <v>2</v>
      </c>
      <c r="X425" s="24">
        <v>990</v>
      </c>
      <c r="Y425">
        <f t="shared" si="6"/>
        <v>174</v>
      </c>
    </row>
    <row r="426" spans="1:25" x14ac:dyDescent="0.4">
      <c r="A426" s="24" t="s">
        <v>2067</v>
      </c>
      <c r="B426" s="24" t="s">
        <v>2068</v>
      </c>
      <c r="C426" s="25">
        <v>43565</v>
      </c>
      <c r="D426" s="24" t="s">
        <v>2015</v>
      </c>
      <c r="E426" s="24" t="s">
        <v>2020</v>
      </c>
      <c r="F426" s="24" t="s">
        <v>2418</v>
      </c>
      <c r="G426" s="24">
        <v>46</v>
      </c>
      <c r="H426" s="24">
        <v>28428</v>
      </c>
      <c r="I426" s="24">
        <v>73</v>
      </c>
      <c r="J426" s="24">
        <v>46282</v>
      </c>
      <c r="K426" s="24">
        <v>0</v>
      </c>
      <c r="L426" s="24">
        <v>0</v>
      </c>
      <c r="M426" s="24">
        <v>4</v>
      </c>
      <c r="N426" s="24">
        <v>2180</v>
      </c>
      <c r="O426" s="24">
        <v>26</v>
      </c>
      <c r="P426" s="24">
        <v>12272</v>
      </c>
      <c r="Q426" s="24">
        <v>15</v>
      </c>
      <c r="R426" s="24">
        <v>9660</v>
      </c>
      <c r="S426" s="24">
        <v>24</v>
      </c>
      <c r="T426" s="24">
        <v>14664</v>
      </c>
      <c r="U426" s="24">
        <v>10</v>
      </c>
      <c r="V426" s="24">
        <v>4660</v>
      </c>
      <c r="W426" s="24">
        <v>9</v>
      </c>
      <c r="X426" s="24">
        <v>5517</v>
      </c>
      <c r="Y426">
        <f t="shared" si="6"/>
        <v>207</v>
      </c>
    </row>
    <row r="427" spans="1:25" x14ac:dyDescent="0.4">
      <c r="A427" s="24" t="s">
        <v>2069</v>
      </c>
      <c r="B427" s="24" t="s">
        <v>2070</v>
      </c>
      <c r="C427" s="25">
        <v>42643</v>
      </c>
      <c r="D427" s="24" t="s">
        <v>2027</v>
      </c>
      <c r="E427" s="24" t="s">
        <v>2020</v>
      </c>
      <c r="F427" s="24" t="s">
        <v>2418</v>
      </c>
      <c r="G427" s="24">
        <v>34</v>
      </c>
      <c r="H427" s="24">
        <v>19244</v>
      </c>
      <c r="I427" s="24">
        <v>2</v>
      </c>
      <c r="J427" s="24">
        <v>940</v>
      </c>
      <c r="K427" s="24">
        <v>1</v>
      </c>
      <c r="L427" s="24">
        <v>554</v>
      </c>
      <c r="M427" s="24">
        <v>15</v>
      </c>
      <c r="N427" s="24">
        <v>7695</v>
      </c>
      <c r="O427" s="24">
        <v>55</v>
      </c>
      <c r="P427" s="24">
        <v>32890</v>
      </c>
      <c r="Q427" s="24">
        <v>3</v>
      </c>
      <c r="R427" s="24">
        <v>1746</v>
      </c>
      <c r="S427" s="24">
        <v>6</v>
      </c>
      <c r="T427" s="24">
        <v>3138</v>
      </c>
      <c r="U427" s="24">
        <v>6</v>
      </c>
      <c r="V427" s="24">
        <v>2760</v>
      </c>
      <c r="W427" s="24">
        <v>5</v>
      </c>
      <c r="X427" s="24">
        <v>2505</v>
      </c>
      <c r="Y427">
        <f t="shared" si="6"/>
        <v>127</v>
      </c>
    </row>
    <row r="428" spans="1:25" x14ac:dyDescent="0.4">
      <c r="A428" s="24" t="s">
        <v>2071</v>
      </c>
      <c r="B428" s="24" t="s">
        <v>2072</v>
      </c>
      <c r="C428" s="25">
        <v>43025</v>
      </c>
      <c r="D428" s="24" t="s">
        <v>2015</v>
      </c>
      <c r="E428" s="24" t="s">
        <v>2016</v>
      </c>
      <c r="F428" s="24" t="s">
        <v>2418</v>
      </c>
      <c r="G428" s="24">
        <v>18</v>
      </c>
      <c r="H428" s="24">
        <v>8370</v>
      </c>
      <c r="I428" s="24">
        <v>2</v>
      </c>
      <c r="J428" s="24">
        <v>1170</v>
      </c>
      <c r="K428" s="24">
        <v>6</v>
      </c>
      <c r="L428" s="24">
        <v>3564</v>
      </c>
      <c r="M428" s="24">
        <v>3</v>
      </c>
      <c r="N428" s="24">
        <v>1482</v>
      </c>
      <c r="O428" s="24">
        <v>6</v>
      </c>
      <c r="P428" s="24">
        <v>3138</v>
      </c>
      <c r="Q428" s="24">
        <v>22</v>
      </c>
      <c r="R428" s="24">
        <v>13640</v>
      </c>
      <c r="S428" s="24">
        <v>19</v>
      </c>
      <c r="T428" s="24">
        <v>11210</v>
      </c>
      <c r="U428" s="24">
        <v>5</v>
      </c>
      <c r="V428" s="24">
        <v>2670</v>
      </c>
      <c r="W428" s="24">
        <v>15</v>
      </c>
      <c r="X428" s="24">
        <v>6885</v>
      </c>
      <c r="Y428">
        <f t="shared" si="6"/>
        <v>96</v>
      </c>
    </row>
    <row r="429" spans="1:25" x14ac:dyDescent="0.4">
      <c r="A429" s="24" t="s">
        <v>2073</v>
      </c>
      <c r="B429" s="24" t="s">
        <v>2074</v>
      </c>
      <c r="C429" s="25">
        <v>42917</v>
      </c>
      <c r="D429" s="24" t="s">
        <v>2027</v>
      </c>
      <c r="E429" s="24" t="s">
        <v>2016</v>
      </c>
      <c r="F429" s="24" t="s">
        <v>2418</v>
      </c>
      <c r="G429" s="24">
        <v>8</v>
      </c>
      <c r="H429" s="24">
        <v>4408</v>
      </c>
      <c r="I429" s="24">
        <v>14</v>
      </c>
      <c r="J429" s="24">
        <v>7462</v>
      </c>
      <c r="K429" s="24">
        <v>14</v>
      </c>
      <c r="L429" s="24">
        <v>6636</v>
      </c>
      <c r="M429" s="24">
        <v>0</v>
      </c>
      <c r="N429" s="24">
        <v>0</v>
      </c>
      <c r="O429" s="24">
        <v>11</v>
      </c>
      <c r="P429" s="24">
        <v>6380</v>
      </c>
      <c r="Q429" s="24">
        <v>8</v>
      </c>
      <c r="R429" s="24">
        <v>4808</v>
      </c>
      <c r="S429" s="24">
        <v>6</v>
      </c>
      <c r="T429" s="24">
        <v>3690</v>
      </c>
      <c r="U429" s="24">
        <v>3</v>
      </c>
      <c r="V429" s="24">
        <v>1893</v>
      </c>
      <c r="W429" s="24">
        <v>16</v>
      </c>
      <c r="X429" s="24">
        <v>8064</v>
      </c>
      <c r="Y429">
        <f t="shared" si="6"/>
        <v>80</v>
      </c>
    </row>
    <row r="430" spans="1:25" x14ac:dyDescent="0.4">
      <c r="A430" s="24" t="s">
        <v>2075</v>
      </c>
      <c r="B430" s="24" t="s">
        <v>2076</v>
      </c>
      <c r="C430" s="25">
        <v>42638</v>
      </c>
      <c r="D430" s="24" t="s">
        <v>2015</v>
      </c>
      <c r="E430" s="24" t="s">
        <v>2016</v>
      </c>
      <c r="F430" s="24" t="s">
        <v>2418</v>
      </c>
      <c r="G430" s="24">
        <v>23</v>
      </c>
      <c r="H430" s="24">
        <v>11937</v>
      </c>
      <c r="I430" s="24">
        <v>1</v>
      </c>
      <c r="J430" s="24">
        <v>554</v>
      </c>
      <c r="K430" s="24">
        <v>14</v>
      </c>
      <c r="L430" s="24">
        <v>6916</v>
      </c>
      <c r="M430" s="24">
        <v>29</v>
      </c>
      <c r="N430" s="24">
        <v>16646</v>
      </c>
      <c r="O430" s="24">
        <v>1</v>
      </c>
      <c r="P430" s="24">
        <v>468</v>
      </c>
      <c r="Q430" s="24">
        <v>11</v>
      </c>
      <c r="R430" s="24">
        <v>6105</v>
      </c>
      <c r="S430" s="24">
        <v>0</v>
      </c>
      <c r="T430" s="24">
        <v>0</v>
      </c>
      <c r="U430" s="24">
        <v>0</v>
      </c>
      <c r="V430" s="24">
        <v>0</v>
      </c>
      <c r="W430" s="24">
        <v>28</v>
      </c>
      <c r="X430" s="24">
        <v>16156</v>
      </c>
      <c r="Y430">
        <f t="shared" si="6"/>
        <v>107</v>
      </c>
    </row>
    <row r="431" spans="1:25" x14ac:dyDescent="0.4">
      <c r="A431" s="24" t="s">
        <v>2077</v>
      </c>
      <c r="B431" s="24" t="s">
        <v>2078</v>
      </c>
      <c r="C431" s="25">
        <v>42306</v>
      </c>
      <c r="D431" s="24" t="s">
        <v>2015</v>
      </c>
      <c r="E431" s="24" t="s">
        <v>2020</v>
      </c>
      <c r="F431" s="24" t="s">
        <v>2418</v>
      </c>
      <c r="G431" s="24">
        <v>18</v>
      </c>
      <c r="H431" s="24">
        <v>10836</v>
      </c>
      <c r="I431" s="24">
        <v>1</v>
      </c>
      <c r="J431" s="24">
        <v>642</v>
      </c>
      <c r="K431" s="24">
        <v>4</v>
      </c>
      <c r="L431" s="24">
        <v>2140</v>
      </c>
      <c r="M431" s="24">
        <v>2</v>
      </c>
      <c r="N431" s="24">
        <v>1266</v>
      </c>
      <c r="O431" s="24">
        <v>47</v>
      </c>
      <c r="P431" s="24">
        <v>24628</v>
      </c>
      <c r="Q431" s="24">
        <v>4</v>
      </c>
      <c r="R431" s="24">
        <v>1896</v>
      </c>
      <c r="S431" s="24">
        <v>11</v>
      </c>
      <c r="T431" s="24">
        <v>5555</v>
      </c>
      <c r="U431" s="24">
        <v>8</v>
      </c>
      <c r="V431" s="24">
        <v>4160</v>
      </c>
      <c r="W431" s="24">
        <v>0</v>
      </c>
      <c r="X431" s="24">
        <v>0</v>
      </c>
      <c r="Y431">
        <f t="shared" si="6"/>
        <v>95</v>
      </c>
    </row>
    <row r="432" spans="1:25" x14ac:dyDescent="0.4">
      <c r="A432" s="24" t="s">
        <v>2079</v>
      </c>
      <c r="B432" s="24" t="s">
        <v>2080</v>
      </c>
      <c r="C432" s="25">
        <v>43821</v>
      </c>
      <c r="D432" s="24" t="s">
        <v>2015</v>
      </c>
      <c r="E432" s="24" t="s">
        <v>2016</v>
      </c>
      <c r="F432" s="24" t="s">
        <v>2418</v>
      </c>
      <c r="G432" s="24">
        <v>8</v>
      </c>
      <c r="H432" s="24">
        <v>4696</v>
      </c>
      <c r="I432" s="24">
        <v>4</v>
      </c>
      <c r="J432" s="24">
        <v>2060</v>
      </c>
      <c r="K432" s="24">
        <v>7</v>
      </c>
      <c r="L432" s="24">
        <v>3388</v>
      </c>
      <c r="M432" s="24">
        <v>2</v>
      </c>
      <c r="N432" s="24">
        <v>1130</v>
      </c>
      <c r="O432" s="24">
        <v>57</v>
      </c>
      <c r="P432" s="24">
        <v>36423</v>
      </c>
      <c r="Q432" s="24">
        <v>0</v>
      </c>
      <c r="R432" s="24">
        <v>0</v>
      </c>
      <c r="S432" s="24">
        <v>4</v>
      </c>
      <c r="T432" s="24">
        <v>2364</v>
      </c>
      <c r="U432" s="24">
        <v>25</v>
      </c>
      <c r="V432" s="24">
        <v>14975</v>
      </c>
      <c r="W432" s="24">
        <v>23</v>
      </c>
      <c r="X432" s="24">
        <v>10626</v>
      </c>
      <c r="Y432">
        <f t="shared" si="6"/>
        <v>130</v>
      </c>
    </row>
    <row r="433" spans="1:25" x14ac:dyDescent="0.4">
      <c r="A433" s="24" t="s">
        <v>2081</v>
      </c>
      <c r="B433" s="24" t="s">
        <v>2082</v>
      </c>
      <c r="C433" s="25">
        <v>42767</v>
      </c>
      <c r="D433" s="24" t="s">
        <v>2027</v>
      </c>
      <c r="E433" s="24" t="s">
        <v>2020</v>
      </c>
      <c r="F433" s="24" t="s">
        <v>2418</v>
      </c>
      <c r="G433" s="24">
        <v>14</v>
      </c>
      <c r="H433" s="24">
        <v>6916</v>
      </c>
      <c r="I433" s="24">
        <v>1</v>
      </c>
      <c r="J433" s="24">
        <v>557</v>
      </c>
      <c r="K433" s="24">
        <v>11</v>
      </c>
      <c r="L433" s="24">
        <v>5797</v>
      </c>
      <c r="M433" s="24">
        <v>17</v>
      </c>
      <c r="N433" s="24">
        <v>9486</v>
      </c>
      <c r="O433" s="24">
        <v>45</v>
      </c>
      <c r="P433" s="24">
        <v>24435</v>
      </c>
      <c r="Q433" s="24">
        <v>6</v>
      </c>
      <c r="R433" s="24">
        <v>3702</v>
      </c>
      <c r="S433" s="24">
        <v>14</v>
      </c>
      <c r="T433" s="24">
        <v>6356</v>
      </c>
      <c r="U433" s="24">
        <v>8</v>
      </c>
      <c r="V433" s="24">
        <v>4192</v>
      </c>
      <c r="W433" s="24">
        <v>3</v>
      </c>
      <c r="X433" s="24">
        <v>1554</v>
      </c>
      <c r="Y433">
        <f t="shared" si="6"/>
        <v>119</v>
      </c>
    </row>
    <row r="434" spans="1:25" x14ac:dyDescent="0.4">
      <c r="A434" s="24" t="s">
        <v>2083</v>
      </c>
      <c r="B434" s="24" t="s">
        <v>2084</v>
      </c>
      <c r="C434" s="25">
        <v>43203</v>
      </c>
      <c r="D434" s="24" t="s">
        <v>2015</v>
      </c>
      <c r="E434" s="24" t="s">
        <v>2028</v>
      </c>
      <c r="F434" s="24" t="s">
        <v>2418</v>
      </c>
      <c r="G434" s="24">
        <v>30</v>
      </c>
      <c r="H434" s="24">
        <v>15090</v>
      </c>
      <c r="I434" s="24">
        <v>2</v>
      </c>
      <c r="J434" s="24">
        <v>1170</v>
      </c>
      <c r="K434" s="24">
        <v>9</v>
      </c>
      <c r="L434" s="24">
        <v>5022</v>
      </c>
      <c r="M434" s="24">
        <v>37</v>
      </c>
      <c r="N434" s="24">
        <v>20313</v>
      </c>
      <c r="O434" s="24">
        <v>40</v>
      </c>
      <c r="P434" s="24">
        <v>24520</v>
      </c>
      <c r="Q434" s="24">
        <v>21</v>
      </c>
      <c r="R434" s="24">
        <v>13188</v>
      </c>
      <c r="S434" s="24">
        <v>38</v>
      </c>
      <c r="T434" s="24">
        <v>21622</v>
      </c>
      <c r="U434" s="24">
        <v>10</v>
      </c>
      <c r="V434" s="24">
        <v>5860</v>
      </c>
      <c r="W434" s="24">
        <v>11</v>
      </c>
      <c r="X434" s="24">
        <v>5071</v>
      </c>
      <c r="Y434">
        <f t="shared" si="6"/>
        <v>198</v>
      </c>
    </row>
    <row r="435" spans="1:25" x14ac:dyDescent="0.4">
      <c r="A435" s="24" t="s">
        <v>2085</v>
      </c>
      <c r="B435" s="24" t="s">
        <v>2086</v>
      </c>
      <c r="C435" s="25">
        <v>43598</v>
      </c>
      <c r="D435" s="24" t="s">
        <v>2015</v>
      </c>
      <c r="E435" s="24" t="s">
        <v>2028</v>
      </c>
      <c r="F435" s="24" t="s">
        <v>2418</v>
      </c>
      <c r="G435" s="24">
        <v>6</v>
      </c>
      <c r="H435" s="24">
        <v>3234</v>
      </c>
      <c r="I435" s="24">
        <v>22</v>
      </c>
      <c r="J435" s="24">
        <v>11836</v>
      </c>
      <c r="K435" s="24">
        <v>77</v>
      </c>
      <c r="L435" s="24">
        <v>37730</v>
      </c>
      <c r="M435" s="24">
        <v>25</v>
      </c>
      <c r="N435" s="24">
        <v>12850</v>
      </c>
      <c r="O435" s="24">
        <v>21</v>
      </c>
      <c r="P435" s="24">
        <v>10563</v>
      </c>
      <c r="Q435" s="24">
        <v>7</v>
      </c>
      <c r="R435" s="24">
        <v>3220</v>
      </c>
      <c r="S435" s="24">
        <v>3</v>
      </c>
      <c r="T435" s="24">
        <v>1608</v>
      </c>
      <c r="U435" s="24">
        <v>0</v>
      </c>
      <c r="V435" s="24">
        <v>0</v>
      </c>
      <c r="W435" s="24">
        <v>0</v>
      </c>
      <c r="X435" s="24">
        <v>0</v>
      </c>
      <c r="Y435">
        <f t="shared" si="6"/>
        <v>161</v>
      </c>
    </row>
    <row r="436" spans="1:25" x14ac:dyDescent="0.4">
      <c r="A436" s="24" t="s">
        <v>2087</v>
      </c>
      <c r="B436" s="24" t="s">
        <v>2088</v>
      </c>
      <c r="C436" s="25">
        <v>43374</v>
      </c>
      <c r="D436" s="24" t="s">
        <v>2015</v>
      </c>
      <c r="E436" s="24" t="s">
        <v>2028</v>
      </c>
      <c r="F436" s="24" t="s">
        <v>2418</v>
      </c>
      <c r="G436" s="24">
        <v>48</v>
      </c>
      <c r="H436" s="24">
        <v>21648</v>
      </c>
      <c r="I436" s="24">
        <v>7</v>
      </c>
      <c r="J436" s="24">
        <v>4340</v>
      </c>
      <c r="K436" s="24">
        <v>24</v>
      </c>
      <c r="L436" s="24">
        <v>12168</v>
      </c>
      <c r="M436" s="24">
        <v>10</v>
      </c>
      <c r="N436" s="24">
        <v>6360</v>
      </c>
      <c r="O436" s="24">
        <v>4</v>
      </c>
      <c r="P436" s="24">
        <v>2596</v>
      </c>
      <c r="Q436" s="24">
        <v>24</v>
      </c>
      <c r="R436" s="24">
        <v>15264</v>
      </c>
      <c r="S436" s="24">
        <v>10</v>
      </c>
      <c r="T436" s="24">
        <v>5460</v>
      </c>
      <c r="U436" s="24">
        <v>14</v>
      </c>
      <c r="V436" s="24">
        <v>8722</v>
      </c>
      <c r="W436" s="24">
        <v>18</v>
      </c>
      <c r="X436" s="24">
        <v>8928</v>
      </c>
      <c r="Y436">
        <f t="shared" si="6"/>
        <v>159</v>
      </c>
    </row>
    <row r="437" spans="1:25" x14ac:dyDescent="0.4">
      <c r="A437" s="24" t="s">
        <v>2089</v>
      </c>
      <c r="B437" s="24" t="s">
        <v>2090</v>
      </c>
      <c r="C437" s="25">
        <v>42503</v>
      </c>
      <c r="D437" s="24" t="s">
        <v>2027</v>
      </c>
      <c r="E437" s="24" t="s">
        <v>2020</v>
      </c>
      <c r="F437" s="24" t="s">
        <v>2418</v>
      </c>
      <c r="G437" s="24">
        <v>48</v>
      </c>
      <c r="H437" s="24">
        <v>27696</v>
      </c>
      <c r="I437" s="24">
        <v>5</v>
      </c>
      <c r="J437" s="24">
        <v>2725</v>
      </c>
      <c r="K437" s="24">
        <v>3</v>
      </c>
      <c r="L437" s="24">
        <v>1350</v>
      </c>
      <c r="M437" s="24">
        <v>14</v>
      </c>
      <c r="N437" s="24">
        <v>6944</v>
      </c>
      <c r="O437" s="24">
        <v>8</v>
      </c>
      <c r="P437" s="24">
        <v>4488</v>
      </c>
      <c r="Q437" s="24">
        <v>19</v>
      </c>
      <c r="R437" s="24">
        <v>9367</v>
      </c>
      <c r="S437" s="24">
        <v>39</v>
      </c>
      <c r="T437" s="24">
        <v>22542</v>
      </c>
      <c r="U437" s="24">
        <v>7</v>
      </c>
      <c r="V437" s="24">
        <v>3402</v>
      </c>
      <c r="W437" s="24">
        <v>0</v>
      </c>
      <c r="X437" s="24">
        <v>0</v>
      </c>
      <c r="Y437">
        <f t="shared" si="6"/>
        <v>143</v>
      </c>
    </row>
    <row r="438" spans="1:25" x14ac:dyDescent="0.4">
      <c r="A438" s="24" t="s">
        <v>2091</v>
      </c>
      <c r="B438" s="24" t="s">
        <v>2092</v>
      </c>
      <c r="C438" s="25">
        <v>44147</v>
      </c>
      <c r="D438" s="24" t="s">
        <v>2015</v>
      </c>
      <c r="E438" s="24" t="s">
        <v>2016</v>
      </c>
      <c r="F438" s="24" t="s">
        <v>2418</v>
      </c>
      <c r="G438" s="24">
        <v>6</v>
      </c>
      <c r="H438" s="24">
        <v>3660</v>
      </c>
      <c r="I438" s="24">
        <v>56</v>
      </c>
      <c r="J438" s="24">
        <v>36064</v>
      </c>
      <c r="K438" s="24">
        <v>7</v>
      </c>
      <c r="L438" s="24">
        <v>3472</v>
      </c>
      <c r="M438" s="24">
        <v>37</v>
      </c>
      <c r="N438" s="24">
        <v>21053</v>
      </c>
      <c r="O438" s="24">
        <v>10</v>
      </c>
      <c r="P438" s="24">
        <v>5840</v>
      </c>
      <c r="Q438" s="24">
        <v>17</v>
      </c>
      <c r="R438" s="24">
        <v>9095</v>
      </c>
      <c r="S438" s="24">
        <v>14</v>
      </c>
      <c r="T438" s="24">
        <v>9100</v>
      </c>
      <c r="U438" s="24">
        <v>25</v>
      </c>
      <c r="V438" s="24">
        <v>15750</v>
      </c>
      <c r="W438" s="24">
        <v>0</v>
      </c>
      <c r="X438" s="24">
        <v>0</v>
      </c>
      <c r="Y438">
        <f t="shared" si="6"/>
        <v>172</v>
      </c>
    </row>
    <row r="439" spans="1:25" x14ac:dyDescent="0.4">
      <c r="A439" s="24" t="s">
        <v>2093</v>
      </c>
      <c r="B439" s="24" t="s">
        <v>2094</v>
      </c>
      <c r="C439" s="25">
        <v>42510</v>
      </c>
      <c r="D439" s="24" t="s">
        <v>2027</v>
      </c>
      <c r="E439" s="24" t="s">
        <v>2028</v>
      </c>
      <c r="F439" s="24" t="s">
        <v>2418</v>
      </c>
      <c r="G439" s="24">
        <v>21</v>
      </c>
      <c r="H439" s="24">
        <v>10332</v>
      </c>
      <c r="I439" s="24">
        <v>0</v>
      </c>
      <c r="J439" s="24">
        <v>0</v>
      </c>
      <c r="K439" s="24">
        <v>25</v>
      </c>
      <c r="L439" s="24">
        <v>15225</v>
      </c>
      <c r="M439" s="24">
        <v>4</v>
      </c>
      <c r="N439" s="24">
        <v>2196</v>
      </c>
      <c r="O439" s="24">
        <v>3</v>
      </c>
      <c r="P439" s="24">
        <v>1866</v>
      </c>
      <c r="Q439" s="24">
        <v>4</v>
      </c>
      <c r="R439" s="24">
        <v>2140</v>
      </c>
      <c r="S439" s="24">
        <v>8</v>
      </c>
      <c r="T439" s="24">
        <v>4368</v>
      </c>
      <c r="U439" s="24">
        <v>5</v>
      </c>
      <c r="V439" s="24">
        <v>2490</v>
      </c>
      <c r="W439" s="24">
        <v>46</v>
      </c>
      <c r="X439" s="24">
        <v>27830</v>
      </c>
      <c r="Y439">
        <f t="shared" si="6"/>
        <v>116</v>
      </c>
    </row>
    <row r="440" spans="1:25" x14ac:dyDescent="0.4">
      <c r="A440" s="24" t="s">
        <v>2095</v>
      </c>
      <c r="B440" s="24" t="s">
        <v>2096</v>
      </c>
      <c r="C440" s="25">
        <v>42211</v>
      </c>
      <c r="D440" s="24" t="s">
        <v>2027</v>
      </c>
      <c r="E440" s="24" t="s">
        <v>2020</v>
      </c>
      <c r="F440" s="24" t="s">
        <v>2418</v>
      </c>
      <c r="G440" s="24">
        <v>5</v>
      </c>
      <c r="H440" s="24">
        <v>2485</v>
      </c>
      <c r="I440" s="24">
        <v>14</v>
      </c>
      <c r="J440" s="24">
        <v>9030</v>
      </c>
      <c r="K440" s="24">
        <v>0</v>
      </c>
      <c r="L440" s="24">
        <v>0</v>
      </c>
      <c r="M440" s="24">
        <v>3</v>
      </c>
      <c r="N440" s="24">
        <v>1740</v>
      </c>
      <c r="O440" s="24">
        <v>4</v>
      </c>
      <c r="P440" s="24">
        <v>2588</v>
      </c>
      <c r="Q440" s="24">
        <v>9</v>
      </c>
      <c r="R440" s="24">
        <v>4788</v>
      </c>
      <c r="S440" s="24">
        <v>13</v>
      </c>
      <c r="T440" s="24">
        <v>6435</v>
      </c>
      <c r="U440" s="24">
        <v>4</v>
      </c>
      <c r="V440" s="24">
        <v>2096</v>
      </c>
      <c r="W440" s="24">
        <v>26</v>
      </c>
      <c r="X440" s="24">
        <v>13754</v>
      </c>
      <c r="Y440">
        <f t="shared" si="6"/>
        <v>78</v>
      </c>
    </row>
    <row r="441" spans="1:25" x14ac:dyDescent="0.4">
      <c r="A441" s="24" t="s">
        <v>2097</v>
      </c>
      <c r="B441" s="24" t="s">
        <v>2098</v>
      </c>
      <c r="C441" s="25">
        <v>44048</v>
      </c>
      <c r="D441" s="24" t="s">
        <v>2015</v>
      </c>
      <c r="E441" s="24" t="s">
        <v>2020</v>
      </c>
      <c r="F441" s="24" t="s">
        <v>2418</v>
      </c>
      <c r="G441" s="24">
        <v>30</v>
      </c>
      <c r="H441" s="24">
        <v>17220</v>
      </c>
      <c r="I441" s="24">
        <v>28</v>
      </c>
      <c r="J441" s="24">
        <v>17472</v>
      </c>
      <c r="K441" s="24">
        <v>5</v>
      </c>
      <c r="L441" s="24">
        <v>2385</v>
      </c>
      <c r="M441" s="24">
        <v>1</v>
      </c>
      <c r="N441" s="24">
        <v>548</v>
      </c>
      <c r="O441" s="24">
        <v>5</v>
      </c>
      <c r="P441" s="24">
        <v>2900</v>
      </c>
      <c r="Q441" s="24">
        <v>19</v>
      </c>
      <c r="R441" s="24">
        <v>11533</v>
      </c>
      <c r="S441" s="24">
        <v>0</v>
      </c>
      <c r="T441" s="24">
        <v>0</v>
      </c>
      <c r="U441" s="24">
        <v>5</v>
      </c>
      <c r="V441" s="24">
        <v>3130</v>
      </c>
      <c r="W441" s="24">
        <v>0</v>
      </c>
      <c r="X441" s="24">
        <v>0</v>
      </c>
      <c r="Y441">
        <f t="shared" si="6"/>
        <v>93</v>
      </c>
    </row>
    <row r="442" spans="1:25" x14ac:dyDescent="0.4">
      <c r="A442" s="24" t="s">
        <v>2099</v>
      </c>
      <c r="B442" s="24" t="s">
        <v>2100</v>
      </c>
      <c r="C442" s="25">
        <v>44039</v>
      </c>
      <c r="D442" s="24" t="s">
        <v>2027</v>
      </c>
      <c r="E442" s="24" t="s">
        <v>2020</v>
      </c>
      <c r="F442" s="24" t="s">
        <v>2418</v>
      </c>
      <c r="G442" s="24">
        <v>4</v>
      </c>
      <c r="H442" s="24">
        <v>1860</v>
      </c>
      <c r="I442" s="24">
        <v>0</v>
      </c>
      <c r="J442" s="24">
        <v>0</v>
      </c>
      <c r="K442" s="24">
        <v>2</v>
      </c>
      <c r="L442" s="24">
        <v>1106</v>
      </c>
      <c r="M442" s="24">
        <v>18</v>
      </c>
      <c r="N442" s="24">
        <v>9702</v>
      </c>
      <c r="O442" s="24">
        <v>19</v>
      </c>
      <c r="P442" s="24">
        <v>8930</v>
      </c>
      <c r="Q442" s="24">
        <v>6</v>
      </c>
      <c r="R442" s="24">
        <v>3696</v>
      </c>
      <c r="S442" s="24">
        <v>2</v>
      </c>
      <c r="T442" s="24">
        <v>1042</v>
      </c>
      <c r="U442" s="24">
        <v>22</v>
      </c>
      <c r="V442" s="24">
        <v>12012</v>
      </c>
      <c r="W442" s="24">
        <v>0</v>
      </c>
      <c r="X442" s="24">
        <v>0</v>
      </c>
      <c r="Y442">
        <f t="shared" si="6"/>
        <v>73</v>
      </c>
    </row>
    <row r="443" spans="1:25" x14ac:dyDescent="0.4">
      <c r="A443" s="24" t="s">
        <v>2101</v>
      </c>
      <c r="B443" s="24" t="s">
        <v>2102</v>
      </c>
      <c r="C443" s="25">
        <v>42360</v>
      </c>
      <c r="D443" s="24" t="s">
        <v>2027</v>
      </c>
      <c r="E443" s="24" t="s">
        <v>2016</v>
      </c>
      <c r="F443" s="24" t="s">
        <v>2418</v>
      </c>
      <c r="G443" s="24">
        <v>0</v>
      </c>
      <c r="H443" s="24">
        <v>0</v>
      </c>
      <c r="I443" s="24">
        <v>22</v>
      </c>
      <c r="J443" s="24">
        <v>10472</v>
      </c>
      <c r="K443" s="24">
        <v>10</v>
      </c>
      <c r="L443" s="24">
        <v>5050</v>
      </c>
      <c r="M443" s="24">
        <v>13</v>
      </c>
      <c r="N443" s="24">
        <v>6838</v>
      </c>
      <c r="O443" s="24">
        <v>8</v>
      </c>
      <c r="P443" s="24">
        <v>3760</v>
      </c>
      <c r="Q443" s="24">
        <v>11</v>
      </c>
      <c r="R443" s="24">
        <v>7084</v>
      </c>
      <c r="S443" s="24">
        <v>13</v>
      </c>
      <c r="T443" s="24">
        <v>8177</v>
      </c>
      <c r="U443" s="24">
        <v>2</v>
      </c>
      <c r="V443" s="24">
        <v>1184</v>
      </c>
      <c r="W443" s="24">
        <v>16</v>
      </c>
      <c r="X443" s="24">
        <v>10224</v>
      </c>
      <c r="Y443">
        <f t="shared" si="6"/>
        <v>95</v>
      </c>
    </row>
    <row r="444" spans="1:25" x14ac:dyDescent="0.4">
      <c r="A444" s="24" t="s">
        <v>2103</v>
      </c>
      <c r="B444" s="24" t="s">
        <v>2104</v>
      </c>
      <c r="C444" s="25">
        <v>43940</v>
      </c>
      <c r="D444" s="24" t="s">
        <v>2015</v>
      </c>
      <c r="E444" s="24" t="s">
        <v>2020</v>
      </c>
      <c r="F444" s="24" t="s">
        <v>2418</v>
      </c>
      <c r="G444" s="24">
        <v>8</v>
      </c>
      <c r="H444" s="24">
        <v>5072</v>
      </c>
      <c r="I444" s="24">
        <v>14</v>
      </c>
      <c r="J444" s="24">
        <v>8988</v>
      </c>
      <c r="K444" s="24">
        <v>0</v>
      </c>
      <c r="L444" s="24">
        <v>0</v>
      </c>
      <c r="M444" s="24">
        <v>0</v>
      </c>
      <c r="N444" s="24">
        <v>0</v>
      </c>
      <c r="O444" s="24">
        <v>18</v>
      </c>
      <c r="P444" s="24">
        <v>9090</v>
      </c>
      <c r="Q444" s="24">
        <v>15</v>
      </c>
      <c r="R444" s="24">
        <v>6915</v>
      </c>
      <c r="S444" s="24">
        <v>1</v>
      </c>
      <c r="T444" s="24">
        <v>554</v>
      </c>
      <c r="U444" s="24">
        <v>1</v>
      </c>
      <c r="V444" s="24">
        <v>622</v>
      </c>
      <c r="W444" s="24">
        <v>19</v>
      </c>
      <c r="X444" s="24">
        <v>11324</v>
      </c>
      <c r="Y444">
        <f t="shared" si="6"/>
        <v>76</v>
      </c>
    </row>
    <row r="445" spans="1:25" x14ac:dyDescent="0.4">
      <c r="A445" s="24" t="s">
        <v>2105</v>
      </c>
      <c r="B445" s="24" t="s">
        <v>2106</v>
      </c>
      <c r="C445" s="25">
        <v>43521</v>
      </c>
      <c r="D445" s="24" t="s">
        <v>2015</v>
      </c>
      <c r="E445" s="24" t="s">
        <v>2028</v>
      </c>
      <c r="F445" s="24" t="s">
        <v>2418</v>
      </c>
      <c r="G445" s="24">
        <v>28</v>
      </c>
      <c r="H445" s="24">
        <v>17556</v>
      </c>
      <c r="I445" s="24">
        <v>52</v>
      </c>
      <c r="J445" s="24">
        <v>27456</v>
      </c>
      <c r="K445" s="24">
        <v>27</v>
      </c>
      <c r="L445" s="24">
        <v>17145</v>
      </c>
      <c r="M445" s="24">
        <v>31</v>
      </c>
      <c r="N445" s="24">
        <v>17329</v>
      </c>
      <c r="O445" s="24">
        <v>57</v>
      </c>
      <c r="P445" s="24">
        <v>29013</v>
      </c>
      <c r="Q445" s="24">
        <v>6</v>
      </c>
      <c r="R445" s="24">
        <v>2724</v>
      </c>
      <c r="S445" s="24">
        <v>4</v>
      </c>
      <c r="T445" s="24">
        <v>2164</v>
      </c>
      <c r="U445" s="24">
        <v>10</v>
      </c>
      <c r="V445" s="24">
        <v>5110</v>
      </c>
      <c r="W445" s="24">
        <v>8</v>
      </c>
      <c r="X445" s="24">
        <v>4928</v>
      </c>
      <c r="Y445">
        <f t="shared" si="6"/>
        <v>223</v>
      </c>
    </row>
    <row r="446" spans="1:25" x14ac:dyDescent="0.4">
      <c r="A446" s="24" t="s">
        <v>2107</v>
      </c>
      <c r="B446" s="24" t="s">
        <v>2108</v>
      </c>
      <c r="C446" s="25">
        <v>43639</v>
      </c>
      <c r="D446" s="24" t="s">
        <v>2027</v>
      </c>
      <c r="E446" s="24" t="s">
        <v>2020</v>
      </c>
      <c r="F446" s="24" t="s">
        <v>2418</v>
      </c>
      <c r="G446" s="24">
        <v>17</v>
      </c>
      <c r="H446" s="24">
        <v>10115</v>
      </c>
      <c r="I446" s="24">
        <v>7</v>
      </c>
      <c r="J446" s="24">
        <v>3234</v>
      </c>
      <c r="K446" s="24">
        <v>0</v>
      </c>
      <c r="L446" s="24">
        <v>0</v>
      </c>
      <c r="M446" s="24">
        <v>47</v>
      </c>
      <c r="N446" s="24">
        <v>21808</v>
      </c>
      <c r="O446" s="24">
        <v>5</v>
      </c>
      <c r="P446" s="24">
        <v>3065</v>
      </c>
      <c r="Q446" s="24">
        <v>25</v>
      </c>
      <c r="R446" s="24">
        <v>14125</v>
      </c>
      <c r="S446" s="24">
        <v>2</v>
      </c>
      <c r="T446" s="24">
        <v>902</v>
      </c>
      <c r="U446" s="24">
        <v>19</v>
      </c>
      <c r="V446" s="24">
        <v>10374</v>
      </c>
      <c r="W446" s="24">
        <v>18</v>
      </c>
      <c r="X446" s="24">
        <v>10602</v>
      </c>
      <c r="Y446">
        <f t="shared" si="6"/>
        <v>140</v>
      </c>
    </row>
    <row r="447" spans="1:25" x14ac:dyDescent="0.4">
      <c r="A447" s="24" t="s">
        <v>2109</v>
      </c>
      <c r="B447" s="24" t="s">
        <v>2110</v>
      </c>
      <c r="C447" s="25">
        <v>43727</v>
      </c>
      <c r="D447" s="24" t="s">
        <v>2015</v>
      </c>
      <c r="E447" s="24" t="s">
        <v>2016</v>
      </c>
      <c r="F447" s="24" t="s">
        <v>2418</v>
      </c>
      <c r="G447" s="24">
        <v>21</v>
      </c>
      <c r="H447" s="24">
        <v>9534</v>
      </c>
      <c r="I447" s="24">
        <v>10</v>
      </c>
      <c r="J447" s="24">
        <v>5580</v>
      </c>
      <c r="K447" s="24">
        <v>7</v>
      </c>
      <c r="L447" s="24">
        <v>3451</v>
      </c>
      <c r="M447" s="24">
        <v>10</v>
      </c>
      <c r="N447" s="24">
        <v>5600</v>
      </c>
      <c r="O447" s="24">
        <v>11</v>
      </c>
      <c r="P447" s="24">
        <v>6919</v>
      </c>
      <c r="Q447" s="24">
        <v>25</v>
      </c>
      <c r="R447" s="24">
        <v>13425</v>
      </c>
      <c r="S447" s="24">
        <v>21</v>
      </c>
      <c r="T447" s="24">
        <v>12663</v>
      </c>
      <c r="U447" s="24">
        <v>0</v>
      </c>
      <c r="V447" s="24">
        <v>0</v>
      </c>
      <c r="W447" s="24">
        <v>13</v>
      </c>
      <c r="X447" s="24">
        <v>6812</v>
      </c>
      <c r="Y447">
        <f t="shared" si="6"/>
        <v>118</v>
      </c>
    </row>
    <row r="448" spans="1:25" x14ac:dyDescent="0.4">
      <c r="A448" s="24" t="s">
        <v>2111</v>
      </c>
      <c r="B448" s="24" t="s">
        <v>2112</v>
      </c>
      <c r="C448" s="25">
        <v>43584</v>
      </c>
      <c r="D448" s="24" t="s">
        <v>2015</v>
      </c>
      <c r="E448" s="24" t="s">
        <v>2016</v>
      </c>
      <c r="F448" s="24" t="s">
        <v>2418</v>
      </c>
      <c r="G448" s="24">
        <v>10</v>
      </c>
      <c r="H448" s="24">
        <v>4640</v>
      </c>
      <c r="I448" s="24">
        <v>26</v>
      </c>
      <c r="J448" s="24">
        <v>13884</v>
      </c>
      <c r="K448" s="24">
        <v>1</v>
      </c>
      <c r="L448" s="24">
        <v>470</v>
      </c>
      <c r="M448" s="24">
        <v>4</v>
      </c>
      <c r="N448" s="24">
        <v>2412</v>
      </c>
      <c r="O448" s="24">
        <v>12</v>
      </c>
      <c r="P448" s="24">
        <v>7212</v>
      </c>
      <c r="Q448" s="24">
        <v>23</v>
      </c>
      <c r="R448" s="24">
        <v>10465</v>
      </c>
      <c r="S448" s="24">
        <v>0</v>
      </c>
      <c r="T448" s="24">
        <v>0</v>
      </c>
      <c r="U448" s="24">
        <v>0</v>
      </c>
      <c r="V448" s="24">
        <v>0</v>
      </c>
      <c r="W448" s="24">
        <v>35</v>
      </c>
      <c r="X448" s="24">
        <v>18410</v>
      </c>
      <c r="Y448">
        <f t="shared" si="6"/>
        <v>111</v>
      </c>
    </row>
    <row r="449" spans="1:25" x14ac:dyDescent="0.4">
      <c r="A449" s="24" t="s">
        <v>2113</v>
      </c>
      <c r="B449" s="24" t="s">
        <v>2114</v>
      </c>
      <c r="C449" s="25">
        <v>43217</v>
      </c>
      <c r="D449" s="24" t="s">
        <v>2015</v>
      </c>
      <c r="E449" s="24" t="s">
        <v>2028</v>
      </c>
      <c r="F449" s="24" t="s">
        <v>2418</v>
      </c>
      <c r="G449" s="24">
        <v>13</v>
      </c>
      <c r="H449" s="24">
        <v>7995</v>
      </c>
      <c r="I449" s="24">
        <v>25</v>
      </c>
      <c r="J449" s="24">
        <v>13750</v>
      </c>
      <c r="K449" s="24">
        <v>14</v>
      </c>
      <c r="L449" s="24">
        <v>7840</v>
      </c>
      <c r="M449" s="24">
        <v>1</v>
      </c>
      <c r="N449" s="24">
        <v>642</v>
      </c>
      <c r="O449" s="24">
        <v>20</v>
      </c>
      <c r="P449" s="24">
        <v>11220</v>
      </c>
      <c r="Q449" s="24">
        <v>65</v>
      </c>
      <c r="R449" s="24">
        <v>38935</v>
      </c>
      <c r="S449" s="24">
        <v>35</v>
      </c>
      <c r="T449" s="24">
        <v>17220</v>
      </c>
      <c r="U449" s="24">
        <v>17</v>
      </c>
      <c r="V449" s="24">
        <v>8075</v>
      </c>
      <c r="W449" s="24">
        <v>2</v>
      </c>
      <c r="X449" s="24">
        <v>1284</v>
      </c>
      <c r="Y449">
        <f t="shared" si="6"/>
        <v>192</v>
      </c>
    </row>
    <row r="450" spans="1:25" x14ac:dyDescent="0.4">
      <c r="A450" s="24" t="s">
        <v>2115</v>
      </c>
      <c r="B450" s="24" t="s">
        <v>2116</v>
      </c>
      <c r="C450" s="25">
        <v>43245</v>
      </c>
      <c r="D450" s="24" t="s">
        <v>2015</v>
      </c>
      <c r="E450" s="24" t="s">
        <v>2028</v>
      </c>
      <c r="F450" s="24" t="s">
        <v>2418</v>
      </c>
      <c r="G450" s="24">
        <v>8</v>
      </c>
      <c r="H450" s="24">
        <v>4928</v>
      </c>
      <c r="I450" s="24">
        <v>3</v>
      </c>
      <c r="J450" s="24">
        <v>1737</v>
      </c>
      <c r="K450" s="24">
        <v>4</v>
      </c>
      <c r="L450" s="24">
        <v>2136</v>
      </c>
      <c r="M450" s="24">
        <v>3</v>
      </c>
      <c r="N450" s="24">
        <v>1923</v>
      </c>
      <c r="O450" s="24">
        <v>1</v>
      </c>
      <c r="P450" s="24">
        <v>606</v>
      </c>
      <c r="Q450" s="24">
        <v>43</v>
      </c>
      <c r="R450" s="24">
        <v>23951</v>
      </c>
      <c r="S450" s="24">
        <v>4</v>
      </c>
      <c r="T450" s="24">
        <v>2432</v>
      </c>
      <c r="U450" s="24">
        <v>6</v>
      </c>
      <c r="V450" s="24">
        <v>3252</v>
      </c>
      <c r="W450" s="24">
        <v>9</v>
      </c>
      <c r="X450" s="24">
        <v>4770</v>
      </c>
      <c r="Y450">
        <f t="shared" si="6"/>
        <v>81</v>
      </c>
    </row>
    <row r="451" spans="1:25" x14ac:dyDescent="0.4">
      <c r="A451" s="24" t="s">
        <v>2117</v>
      </c>
      <c r="B451" s="24" t="s">
        <v>2118</v>
      </c>
      <c r="C451" s="25">
        <v>42464</v>
      </c>
      <c r="D451" s="24" t="s">
        <v>2027</v>
      </c>
      <c r="E451" s="24" t="s">
        <v>2020</v>
      </c>
      <c r="F451" s="24" t="s">
        <v>2418</v>
      </c>
      <c r="G451" s="24">
        <v>5</v>
      </c>
      <c r="H451" s="24">
        <v>2860</v>
      </c>
      <c r="I451" s="24">
        <v>4</v>
      </c>
      <c r="J451" s="24">
        <v>2508</v>
      </c>
      <c r="K451" s="24">
        <v>17</v>
      </c>
      <c r="L451" s="24">
        <v>7803</v>
      </c>
      <c r="M451" s="24">
        <v>2</v>
      </c>
      <c r="N451" s="24">
        <v>1076</v>
      </c>
      <c r="O451" s="24">
        <v>38</v>
      </c>
      <c r="P451" s="24">
        <v>17138</v>
      </c>
      <c r="Q451" s="24">
        <v>34</v>
      </c>
      <c r="R451" s="24">
        <v>21454</v>
      </c>
      <c r="S451" s="24">
        <v>0</v>
      </c>
      <c r="T451" s="24">
        <v>0</v>
      </c>
      <c r="U451" s="24">
        <v>12</v>
      </c>
      <c r="V451" s="24">
        <v>5700</v>
      </c>
      <c r="W451" s="24">
        <v>1</v>
      </c>
      <c r="X451" s="24">
        <v>570</v>
      </c>
      <c r="Y451">
        <f t="shared" ref="Y451:Y514" si="7">SUMIF($G$1:$X$1,"Количество*",G451:X451)</f>
        <v>113</v>
      </c>
    </row>
    <row r="452" spans="1:25" x14ac:dyDescent="0.4">
      <c r="A452" s="24" t="s">
        <v>2119</v>
      </c>
      <c r="B452" s="24" t="s">
        <v>2120</v>
      </c>
      <c r="C452" s="25">
        <v>43940</v>
      </c>
      <c r="D452" s="24" t="s">
        <v>2027</v>
      </c>
      <c r="E452" s="24" t="s">
        <v>2028</v>
      </c>
      <c r="F452" s="24" t="s">
        <v>2418</v>
      </c>
      <c r="G452" s="24">
        <v>11</v>
      </c>
      <c r="H452" s="24">
        <v>5918</v>
      </c>
      <c r="I452" s="24">
        <v>13</v>
      </c>
      <c r="J452" s="24">
        <v>8242</v>
      </c>
      <c r="K452" s="24">
        <v>1</v>
      </c>
      <c r="L452" s="24">
        <v>580</v>
      </c>
      <c r="M452" s="24">
        <v>18</v>
      </c>
      <c r="N452" s="24">
        <v>10800</v>
      </c>
      <c r="O452" s="24">
        <v>0</v>
      </c>
      <c r="P452" s="24">
        <v>0</v>
      </c>
      <c r="Q452" s="24">
        <v>6</v>
      </c>
      <c r="R452" s="24">
        <v>3846</v>
      </c>
      <c r="S452" s="24">
        <v>9</v>
      </c>
      <c r="T452" s="24">
        <v>5787</v>
      </c>
      <c r="U452" s="24">
        <v>23</v>
      </c>
      <c r="V452" s="24">
        <v>13938</v>
      </c>
      <c r="W452" s="24">
        <v>11</v>
      </c>
      <c r="X452" s="24">
        <v>6886</v>
      </c>
      <c r="Y452">
        <f t="shared" si="7"/>
        <v>92</v>
      </c>
    </row>
    <row r="453" spans="1:25" x14ac:dyDescent="0.4">
      <c r="A453" s="24" t="s">
        <v>2121</v>
      </c>
      <c r="B453" s="24" t="s">
        <v>2122</v>
      </c>
      <c r="C453" s="25">
        <v>42641</v>
      </c>
      <c r="D453" s="24" t="s">
        <v>2015</v>
      </c>
      <c r="E453" s="24" t="s">
        <v>2016</v>
      </c>
      <c r="F453" s="24" t="s">
        <v>2418</v>
      </c>
      <c r="G453" s="24">
        <v>11</v>
      </c>
      <c r="H453" s="24">
        <v>5929</v>
      </c>
      <c r="I453" s="24">
        <v>0</v>
      </c>
      <c r="J453" s="24">
        <v>0</v>
      </c>
      <c r="K453" s="24">
        <v>2</v>
      </c>
      <c r="L453" s="24">
        <v>1298</v>
      </c>
      <c r="M453" s="24">
        <v>21</v>
      </c>
      <c r="N453" s="24">
        <v>13461</v>
      </c>
      <c r="O453" s="24">
        <v>32</v>
      </c>
      <c r="P453" s="24">
        <v>14912</v>
      </c>
      <c r="Q453" s="24">
        <v>2</v>
      </c>
      <c r="R453" s="24">
        <v>1218</v>
      </c>
      <c r="S453" s="24">
        <v>7</v>
      </c>
      <c r="T453" s="24">
        <v>3871</v>
      </c>
      <c r="U453" s="24">
        <v>6</v>
      </c>
      <c r="V453" s="24">
        <v>2808</v>
      </c>
      <c r="W453" s="24">
        <v>0</v>
      </c>
      <c r="X453" s="24">
        <v>0</v>
      </c>
      <c r="Y453">
        <f t="shared" si="7"/>
        <v>81</v>
      </c>
    </row>
    <row r="454" spans="1:25" x14ac:dyDescent="0.4">
      <c r="A454" s="24" t="s">
        <v>2123</v>
      </c>
      <c r="B454" s="24" t="s">
        <v>2124</v>
      </c>
      <c r="C454" s="25">
        <v>42083</v>
      </c>
      <c r="D454" s="24" t="s">
        <v>2015</v>
      </c>
      <c r="E454" s="24" t="s">
        <v>2020</v>
      </c>
      <c r="F454" s="24" t="s">
        <v>2418</v>
      </c>
      <c r="G454" s="24">
        <v>28</v>
      </c>
      <c r="H454" s="24">
        <v>15512</v>
      </c>
      <c r="I454" s="24">
        <v>32</v>
      </c>
      <c r="J454" s="24">
        <v>14944</v>
      </c>
      <c r="K454" s="24">
        <v>0</v>
      </c>
      <c r="L454" s="24">
        <v>0</v>
      </c>
      <c r="M454" s="24">
        <v>7</v>
      </c>
      <c r="N454" s="24">
        <v>3213</v>
      </c>
      <c r="O454" s="24">
        <v>9</v>
      </c>
      <c r="P454" s="24">
        <v>4743</v>
      </c>
      <c r="Q454" s="24">
        <v>14</v>
      </c>
      <c r="R454" s="24">
        <v>8596</v>
      </c>
      <c r="S454" s="24">
        <v>7</v>
      </c>
      <c r="T454" s="24">
        <v>4200</v>
      </c>
      <c r="U454" s="24">
        <v>14</v>
      </c>
      <c r="V454" s="24">
        <v>6916</v>
      </c>
      <c r="W454" s="24">
        <v>47</v>
      </c>
      <c r="X454" s="24">
        <v>23923</v>
      </c>
      <c r="Y454">
        <f t="shared" si="7"/>
        <v>158</v>
      </c>
    </row>
    <row r="455" spans="1:25" x14ac:dyDescent="0.4">
      <c r="A455" s="24" t="s">
        <v>2125</v>
      </c>
      <c r="B455" s="24" t="s">
        <v>2126</v>
      </c>
      <c r="C455" s="25">
        <v>43777</v>
      </c>
      <c r="D455" s="24" t="s">
        <v>2027</v>
      </c>
      <c r="E455" s="24" t="s">
        <v>2020</v>
      </c>
      <c r="F455" s="24" t="s">
        <v>2418</v>
      </c>
      <c r="G455" s="24">
        <v>4</v>
      </c>
      <c r="H455" s="24">
        <v>1960</v>
      </c>
      <c r="I455" s="24">
        <v>2</v>
      </c>
      <c r="J455" s="24">
        <v>1262</v>
      </c>
      <c r="K455" s="24">
        <v>10</v>
      </c>
      <c r="L455" s="24">
        <v>6130</v>
      </c>
      <c r="M455" s="24">
        <v>24</v>
      </c>
      <c r="N455" s="24">
        <v>10872</v>
      </c>
      <c r="O455" s="24">
        <v>31</v>
      </c>
      <c r="P455" s="24">
        <v>19592</v>
      </c>
      <c r="Q455" s="24">
        <v>4</v>
      </c>
      <c r="R455" s="24">
        <v>1936</v>
      </c>
      <c r="S455" s="24">
        <v>0</v>
      </c>
      <c r="T455" s="24">
        <v>0</v>
      </c>
      <c r="U455" s="24">
        <v>17</v>
      </c>
      <c r="V455" s="24">
        <v>8313</v>
      </c>
      <c r="W455" s="24">
        <v>11</v>
      </c>
      <c r="X455" s="24">
        <v>6952</v>
      </c>
      <c r="Y455">
        <f t="shared" si="7"/>
        <v>103</v>
      </c>
    </row>
    <row r="456" spans="1:25" x14ac:dyDescent="0.4">
      <c r="A456" s="24" t="s">
        <v>2127</v>
      </c>
      <c r="B456" s="24" t="s">
        <v>2128</v>
      </c>
      <c r="C456" s="25">
        <v>43919</v>
      </c>
      <c r="D456" s="24" t="s">
        <v>2015</v>
      </c>
      <c r="E456" s="24" t="s">
        <v>2028</v>
      </c>
      <c r="F456" s="24" t="s">
        <v>2418</v>
      </c>
      <c r="G456" s="24">
        <v>12</v>
      </c>
      <c r="H456" s="24">
        <v>6324</v>
      </c>
      <c r="I456" s="24">
        <v>28</v>
      </c>
      <c r="J456" s="24">
        <v>13664</v>
      </c>
      <c r="K456" s="24">
        <v>35</v>
      </c>
      <c r="L456" s="24">
        <v>17045</v>
      </c>
      <c r="M456" s="24">
        <v>4</v>
      </c>
      <c r="N456" s="24">
        <v>2124</v>
      </c>
      <c r="O456" s="24">
        <v>0</v>
      </c>
      <c r="P456" s="24">
        <v>0</v>
      </c>
      <c r="Q456" s="24">
        <v>18</v>
      </c>
      <c r="R456" s="24">
        <v>10746</v>
      </c>
      <c r="S456" s="24">
        <v>13</v>
      </c>
      <c r="T456" s="24">
        <v>6110</v>
      </c>
      <c r="U456" s="24">
        <v>16</v>
      </c>
      <c r="V456" s="24">
        <v>9184</v>
      </c>
      <c r="W456" s="24">
        <v>34</v>
      </c>
      <c r="X456" s="24">
        <v>19244</v>
      </c>
      <c r="Y456">
        <f t="shared" si="7"/>
        <v>160</v>
      </c>
    </row>
    <row r="457" spans="1:25" x14ac:dyDescent="0.4">
      <c r="A457" s="24" t="s">
        <v>2129</v>
      </c>
      <c r="B457" s="24" t="s">
        <v>2130</v>
      </c>
      <c r="C457" s="25">
        <v>42879</v>
      </c>
      <c r="D457" s="24" t="s">
        <v>2027</v>
      </c>
      <c r="E457" s="24" t="s">
        <v>2016</v>
      </c>
      <c r="F457" s="24" t="s">
        <v>2418</v>
      </c>
      <c r="G457" s="24">
        <v>17</v>
      </c>
      <c r="H457" s="24">
        <v>10336</v>
      </c>
      <c r="I457" s="24">
        <v>2</v>
      </c>
      <c r="J457" s="24">
        <v>972</v>
      </c>
      <c r="K457" s="24">
        <v>5</v>
      </c>
      <c r="L457" s="24">
        <v>2725</v>
      </c>
      <c r="M457" s="24">
        <v>2</v>
      </c>
      <c r="N457" s="24">
        <v>1162</v>
      </c>
      <c r="O457" s="24">
        <v>1</v>
      </c>
      <c r="P457" s="24">
        <v>503</v>
      </c>
      <c r="Q457" s="24">
        <v>6</v>
      </c>
      <c r="R457" s="24">
        <v>3276</v>
      </c>
      <c r="S457" s="24">
        <v>9</v>
      </c>
      <c r="T457" s="24">
        <v>5382</v>
      </c>
      <c r="U457" s="24">
        <v>6</v>
      </c>
      <c r="V457" s="24">
        <v>3594</v>
      </c>
      <c r="W457" s="24">
        <v>0</v>
      </c>
      <c r="X457" s="24">
        <v>0</v>
      </c>
      <c r="Y457">
        <f t="shared" si="7"/>
        <v>48</v>
      </c>
    </row>
    <row r="458" spans="1:25" x14ac:dyDescent="0.4">
      <c r="A458" s="24" t="s">
        <v>2131</v>
      </c>
      <c r="B458" s="24" t="s">
        <v>2132</v>
      </c>
      <c r="C458" s="25">
        <v>43746</v>
      </c>
      <c r="D458" s="24" t="s">
        <v>2015</v>
      </c>
      <c r="E458" s="24" t="s">
        <v>2020</v>
      </c>
      <c r="F458" s="24" t="s">
        <v>2418</v>
      </c>
      <c r="G458" s="24">
        <v>3</v>
      </c>
      <c r="H458" s="24">
        <v>1398</v>
      </c>
      <c r="I458" s="24">
        <v>31</v>
      </c>
      <c r="J458" s="24">
        <v>14818</v>
      </c>
      <c r="K458" s="24">
        <v>1</v>
      </c>
      <c r="L458" s="24">
        <v>626</v>
      </c>
      <c r="M458" s="24">
        <v>16</v>
      </c>
      <c r="N458" s="24">
        <v>8896</v>
      </c>
      <c r="O458" s="24">
        <v>17</v>
      </c>
      <c r="P458" s="24">
        <v>9418</v>
      </c>
      <c r="Q458" s="24">
        <v>5</v>
      </c>
      <c r="R458" s="24">
        <v>2650</v>
      </c>
      <c r="S458" s="24">
        <v>3</v>
      </c>
      <c r="T458" s="24">
        <v>1800</v>
      </c>
      <c r="U458" s="24">
        <v>4</v>
      </c>
      <c r="V458" s="24">
        <v>2248</v>
      </c>
      <c r="W458" s="24">
        <v>23</v>
      </c>
      <c r="X458" s="24">
        <v>10626</v>
      </c>
      <c r="Y458">
        <f t="shared" si="7"/>
        <v>103</v>
      </c>
    </row>
    <row r="459" spans="1:25" x14ac:dyDescent="0.4">
      <c r="A459" s="24" t="s">
        <v>2133</v>
      </c>
      <c r="B459" s="24" t="s">
        <v>2134</v>
      </c>
      <c r="C459" s="25">
        <v>42571</v>
      </c>
      <c r="D459" s="24" t="s">
        <v>2015</v>
      </c>
      <c r="E459" s="24" t="s">
        <v>2020</v>
      </c>
      <c r="F459" s="24" t="s">
        <v>2418</v>
      </c>
      <c r="G459" s="24">
        <v>16</v>
      </c>
      <c r="H459" s="24">
        <v>9504</v>
      </c>
      <c r="I459" s="24">
        <v>2</v>
      </c>
      <c r="J459" s="24">
        <v>1234</v>
      </c>
      <c r="K459" s="24">
        <v>6</v>
      </c>
      <c r="L459" s="24">
        <v>3420</v>
      </c>
      <c r="M459" s="24">
        <v>9</v>
      </c>
      <c r="N459" s="24">
        <v>4365</v>
      </c>
      <c r="O459" s="24">
        <v>20</v>
      </c>
      <c r="P459" s="24">
        <v>9560</v>
      </c>
      <c r="Q459" s="24">
        <v>3</v>
      </c>
      <c r="R459" s="24">
        <v>1743</v>
      </c>
      <c r="S459" s="24">
        <v>26</v>
      </c>
      <c r="T459" s="24">
        <v>14326</v>
      </c>
      <c r="U459" s="24">
        <v>19</v>
      </c>
      <c r="V459" s="24">
        <v>10678</v>
      </c>
      <c r="W459" s="24">
        <v>66</v>
      </c>
      <c r="X459" s="24">
        <v>39270</v>
      </c>
      <c r="Y459">
        <f t="shared" si="7"/>
        <v>167</v>
      </c>
    </row>
    <row r="460" spans="1:25" x14ac:dyDescent="0.4">
      <c r="A460" s="24" t="s">
        <v>2135</v>
      </c>
      <c r="B460" s="24" t="s">
        <v>2136</v>
      </c>
      <c r="C460" s="25">
        <v>44019</v>
      </c>
      <c r="D460" s="24" t="s">
        <v>2015</v>
      </c>
      <c r="E460" s="24" t="s">
        <v>2020</v>
      </c>
      <c r="F460" s="24" t="s">
        <v>2418</v>
      </c>
      <c r="G460" s="24">
        <v>19</v>
      </c>
      <c r="H460" s="24">
        <v>12141</v>
      </c>
      <c r="I460" s="24">
        <v>1</v>
      </c>
      <c r="J460" s="24">
        <v>497</v>
      </c>
      <c r="K460" s="24">
        <v>34</v>
      </c>
      <c r="L460" s="24">
        <v>17510</v>
      </c>
      <c r="M460" s="24">
        <v>2</v>
      </c>
      <c r="N460" s="24">
        <v>1286</v>
      </c>
      <c r="O460" s="24">
        <v>11</v>
      </c>
      <c r="P460" s="24">
        <v>5566</v>
      </c>
      <c r="Q460" s="24">
        <v>7</v>
      </c>
      <c r="R460" s="24">
        <v>3395</v>
      </c>
      <c r="S460" s="24">
        <v>20</v>
      </c>
      <c r="T460" s="24">
        <v>11220</v>
      </c>
      <c r="U460" s="24">
        <v>24</v>
      </c>
      <c r="V460" s="24">
        <v>13440</v>
      </c>
      <c r="W460" s="24">
        <v>10</v>
      </c>
      <c r="X460" s="24">
        <v>5060</v>
      </c>
      <c r="Y460">
        <f t="shared" si="7"/>
        <v>128</v>
      </c>
    </row>
    <row r="461" spans="1:25" x14ac:dyDescent="0.4">
      <c r="A461" s="24" t="s">
        <v>2137</v>
      </c>
      <c r="B461" s="24" t="s">
        <v>2138</v>
      </c>
      <c r="C461" s="25">
        <v>43098</v>
      </c>
      <c r="D461" s="24" t="s">
        <v>2015</v>
      </c>
      <c r="E461" s="24" t="s">
        <v>2016</v>
      </c>
      <c r="F461" s="24" t="s">
        <v>2418</v>
      </c>
      <c r="G461" s="24">
        <v>26</v>
      </c>
      <c r="H461" s="24">
        <v>13052</v>
      </c>
      <c r="I461" s="24">
        <v>12</v>
      </c>
      <c r="J461" s="24">
        <v>6516</v>
      </c>
      <c r="K461" s="24">
        <v>9</v>
      </c>
      <c r="L461" s="24">
        <v>4266</v>
      </c>
      <c r="M461" s="24">
        <v>11</v>
      </c>
      <c r="N461" s="24">
        <v>5434</v>
      </c>
      <c r="O461" s="24">
        <v>17</v>
      </c>
      <c r="P461" s="24">
        <v>8687</v>
      </c>
      <c r="Q461" s="24">
        <v>30</v>
      </c>
      <c r="R461" s="24">
        <v>18210</v>
      </c>
      <c r="S461" s="24">
        <v>10</v>
      </c>
      <c r="T461" s="24">
        <v>5640</v>
      </c>
      <c r="U461" s="24">
        <v>54</v>
      </c>
      <c r="V461" s="24">
        <v>25164</v>
      </c>
      <c r="W461" s="24">
        <v>10</v>
      </c>
      <c r="X461" s="24">
        <v>5200</v>
      </c>
      <c r="Y461">
        <f t="shared" si="7"/>
        <v>179</v>
      </c>
    </row>
    <row r="462" spans="1:25" x14ac:dyDescent="0.4">
      <c r="A462" s="24" t="s">
        <v>2139</v>
      </c>
      <c r="B462" s="24" t="s">
        <v>2140</v>
      </c>
      <c r="C462" s="25">
        <v>43766</v>
      </c>
      <c r="D462" s="24" t="s">
        <v>2027</v>
      </c>
      <c r="E462" s="24" t="s">
        <v>2028</v>
      </c>
      <c r="F462" s="24" t="s">
        <v>2418</v>
      </c>
      <c r="G462" s="24">
        <v>24</v>
      </c>
      <c r="H462" s="24">
        <v>12936</v>
      </c>
      <c r="I462" s="24">
        <v>0</v>
      </c>
      <c r="J462" s="24">
        <v>0</v>
      </c>
      <c r="K462" s="24">
        <v>4</v>
      </c>
      <c r="L462" s="24">
        <v>1980</v>
      </c>
      <c r="M462" s="24">
        <v>12</v>
      </c>
      <c r="N462" s="24">
        <v>6672</v>
      </c>
      <c r="O462" s="24">
        <v>20</v>
      </c>
      <c r="P462" s="24">
        <v>9160</v>
      </c>
      <c r="Q462" s="24">
        <v>1</v>
      </c>
      <c r="R462" s="24">
        <v>605</v>
      </c>
      <c r="S462" s="24">
        <v>24</v>
      </c>
      <c r="T462" s="24">
        <v>12744</v>
      </c>
      <c r="U462" s="24">
        <v>1</v>
      </c>
      <c r="V462" s="24">
        <v>482</v>
      </c>
      <c r="W462" s="24">
        <v>8</v>
      </c>
      <c r="X462" s="24">
        <v>3872</v>
      </c>
      <c r="Y462">
        <f t="shared" si="7"/>
        <v>94</v>
      </c>
    </row>
    <row r="463" spans="1:25" x14ac:dyDescent="0.4">
      <c r="A463" s="24" t="s">
        <v>2141</v>
      </c>
      <c r="B463" s="24" t="s">
        <v>2142</v>
      </c>
      <c r="C463" s="25">
        <v>43330</v>
      </c>
      <c r="D463" s="24" t="s">
        <v>2015</v>
      </c>
      <c r="E463" s="24" t="s">
        <v>2028</v>
      </c>
      <c r="F463" s="24" t="s">
        <v>2418</v>
      </c>
      <c r="G463" s="24">
        <v>8</v>
      </c>
      <c r="H463" s="24">
        <v>4264</v>
      </c>
      <c r="I463" s="24">
        <v>16</v>
      </c>
      <c r="J463" s="24">
        <v>8272</v>
      </c>
      <c r="K463" s="24">
        <v>11</v>
      </c>
      <c r="L463" s="24">
        <v>6248</v>
      </c>
      <c r="M463" s="24">
        <v>2</v>
      </c>
      <c r="N463" s="24">
        <v>1096</v>
      </c>
      <c r="O463" s="24">
        <v>3</v>
      </c>
      <c r="P463" s="24">
        <v>1716</v>
      </c>
      <c r="Q463" s="24">
        <v>0</v>
      </c>
      <c r="R463" s="24">
        <v>0</v>
      </c>
      <c r="S463" s="24">
        <v>3</v>
      </c>
      <c r="T463" s="24">
        <v>1506</v>
      </c>
      <c r="U463" s="24">
        <v>29</v>
      </c>
      <c r="V463" s="24">
        <v>16791</v>
      </c>
      <c r="W463" s="24">
        <v>7</v>
      </c>
      <c r="X463" s="24">
        <v>3479</v>
      </c>
      <c r="Y463">
        <f t="shared" si="7"/>
        <v>79</v>
      </c>
    </row>
    <row r="464" spans="1:25" x14ac:dyDescent="0.4">
      <c r="A464" s="24" t="s">
        <v>2143</v>
      </c>
      <c r="B464" s="24" t="s">
        <v>2144</v>
      </c>
      <c r="C464" s="25">
        <v>42717</v>
      </c>
      <c r="D464" s="24" t="s">
        <v>2015</v>
      </c>
      <c r="E464" s="24" t="s">
        <v>2020</v>
      </c>
      <c r="F464" s="24" t="s">
        <v>2418</v>
      </c>
      <c r="G464" s="24">
        <v>29</v>
      </c>
      <c r="H464" s="24">
        <v>16588</v>
      </c>
      <c r="I464" s="24">
        <v>4</v>
      </c>
      <c r="J464" s="24">
        <v>1804</v>
      </c>
      <c r="K464" s="24">
        <v>4</v>
      </c>
      <c r="L464" s="24">
        <v>2408</v>
      </c>
      <c r="M464" s="24">
        <v>38</v>
      </c>
      <c r="N464" s="24">
        <v>17480</v>
      </c>
      <c r="O464" s="24">
        <v>14</v>
      </c>
      <c r="P464" s="24">
        <v>6594</v>
      </c>
      <c r="Q464" s="24">
        <v>13</v>
      </c>
      <c r="R464" s="24">
        <v>6422</v>
      </c>
      <c r="S464" s="24">
        <v>3</v>
      </c>
      <c r="T464" s="24">
        <v>1431</v>
      </c>
      <c r="U464" s="24">
        <v>13</v>
      </c>
      <c r="V464" s="24">
        <v>7033</v>
      </c>
      <c r="W464" s="24">
        <v>22</v>
      </c>
      <c r="X464" s="24">
        <v>14058</v>
      </c>
      <c r="Y464">
        <f t="shared" si="7"/>
        <v>140</v>
      </c>
    </row>
    <row r="465" spans="1:25" x14ac:dyDescent="0.4">
      <c r="A465" s="24" t="s">
        <v>2145</v>
      </c>
      <c r="B465" s="24" t="s">
        <v>2146</v>
      </c>
      <c r="C465" s="25">
        <v>42436</v>
      </c>
      <c r="D465" s="24" t="s">
        <v>2027</v>
      </c>
      <c r="E465" s="24" t="s">
        <v>2020</v>
      </c>
      <c r="F465" s="24" t="s">
        <v>2418</v>
      </c>
      <c r="G465" s="24">
        <v>3</v>
      </c>
      <c r="H465" s="24">
        <v>1857</v>
      </c>
      <c r="I465" s="24">
        <v>2</v>
      </c>
      <c r="J465" s="24">
        <v>1288</v>
      </c>
      <c r="K465" s="24">
        <v>46</v>
      </c>
      <c r="L465" s="24">
        <v>24196</v>
      </c>
      <c r="M465" s="24">
        <v>1</v>
      </c>
      <c r="N465" s="24">
        <v>537</v>
      </c>
      <c r="O465" s="24">
        <v>6</v>
      </c>
      <c r="P465" s="24">
        <v>3270</v>
      </c>
      <c r="Q465" s="24">
        <v>23</v>
      </c>
      <c r="R465" s="24">
        <v>12374</v>
      </c>
      <c r="S465" s="24">
        <v>14</v>
      </c>
      <c r="T465" s="24">
        <v>6482</v>
      </c>
      <c r="U465" s="24">
        <v>30</v>
      </c>
      <c r="V465" s="24">
        <v>13590</v>
      </c>
      <c r="W465" s="24">
        <v>9</v>
      </c>
      <c r="X465" s="24">
        <v>4311</v>
      </c>
      <c r="Y465">
        <f t="shared" si="7"/>
        <v>134</v>
      </c>
    </row>
    <row r="466" spans="1:25" x14ac:dyDescent="0.4">
      <c r="A466" s="24" t="s">
        <v>2147</v>
      </c>
      <c r="B466" s="24" t="s">
        <v>2148</v>
      </c>
      <c r="C466" s="25">
        <v>42724</v>
      </c>
      <c r="D466" s="24" t="s">
        <v>2027</v>
      </c>
      <c r="E466" s="24" t="s">
        <v>2016</v>
      </c>
      <c r="F466" s="24" t="s">
        <v>2418</v>
      </c>
      <c r="G466" s="24">
        <v>40</v>
      </c>
      <c r="H466" s="24">
        <v>20480</v>
      </c>
      <c r="I466" s="24">
        <v>5</v>
      </c>
      <c r="J466" s="24">
        <v>2475</v>
      </c>
      <c r="K466" s="24">
        <v>19</v>
      </c>
      <c r="L466" s="24">
        <v>9044</v>
      </c>
      <c r="M466" s="24">
        <v>7</v>
      </c>
      <c r="N466" s="24">
        <v>4550</v>
      </c>
      <c r="O466" s="24">
        <v>5</v>
      </c>
      <c r="P466" s="24">
        <v>3190</v>
      </c>
      <c r="Q466" s="24">
        <v>7</v>
      </c>
      <c r="R466" s="24">
        <v>3150</v>
      </c>
      <c r="S466" s="24">
        <v>6</v>
      </c>
      <c r="T466" s="24">
        <v>2862</v>
      </c>
      <c r="U466" s="24">
        <v>4</v>
      </c>
      <c r="V466" s="24">
        <v>2148</v>
      </c>
      <c r="W466" s="24">
        <v>1</v>
      </c>
      <c r="X466" s="24">
        <v>613</v>
      </c>
      <c r="Y466">
        <f t="shared" si="7"/>
        <v>94</v>
      </c>
    </row>
    <row r="467" spans="1:25" x14ac:dyDescent="0.4">
      <c r="A467" s="24" t="s">
        <v>2149</v>
      </c>
      <c r="B467" s="24" t="s">
        <v>2150</v>
      </c>
      <c r="C467" s="25">
        <v>44050</v>
      </c>
      <c r="D467" s="24" t="s">
        <v>2015</v>
      </c>
      <c r="E467" s="24" t="s">
        <v>2016</v>
      </c>
      <c r="F467" s="24" t="s">
        <v>2418</v>
      </c>
      <c r="G467" s="24">
        <v>24</v>
      </c>
      <c r="H467" s="24">
        <v>12192</v>
      </c>
      <c r="I467" s="24">
        <v>70</v>
      </c>
      <c r="J467" s="24">
        <v>35910</v>
      </c>
      <c r="K467" s="24">
        <v>8</v>
      </c>
      <c r="L467" s="24">
        <v>4832</v>
      </c>
      <c r="M467" s="24">
        <v>25</v>
      </c>
      <c r="N467" s="24">
        <v>12225</v>
      </c>
      <c r="O467" s="24">
        <v>2</v>
      </c>
      <c r="P467" s="24">
        <v>1220</v>
      </c>
      <c r="Q467" s="24">
        <v>0</v>
      </c>
      <c r="R467" s="24">
        <v>0</v>
      </c>
      <c r="S467" s="24">
        <v>6</v>
      </c>
      <c r="T467" s="24">
        <v>3426</v>
      </c>
      <c r="U467" s="24">
        <v>10</v>
      </c>
      <c r="V467" s="24">
        <v>5660</v>
      </c>
      <c r="W467" s="24">
        <v>13</v>
      </c>
      <c r="X467" s="24">
        <v>7852</v>
      </c>
      <c r="Y467">
        <f t="shared" si="7"/>
        <v>158</v>
      </c>
    </row>
    <row r="468" spans="1:25" x14ac:dyDescent="0.4">
      <c r="A468" s="24" t="s">
        <v>2151</v>
      </c>
      <c r="B468" s="24" t="s">
        <v>2152</v>
      </c>
      <c r="C468" s="25">
        <v>42244</v>
      </c>
      <c r="D468" s="24" t="s">
        <v>2015</v>
      </c>
      <c r="E468" s="24" t="s">
        <v>2016</v>
      </c>
      <c r="F468" s="24" t="s">
        <v>2418</v>
      </c>
      <c r="G468" s="24">
        <v>2</v>
      </c>
      <c r="H468" s="24">
        <v>988</v>
      </c>
      <c r="I468" s="24">
        <v>12</v>
      </c>
      <c r="J468" s="24">
        <v>6504</v>
      </c>
      <c r="K468" s="24">
        <v>66</v>
      </c>
      <c r="L468" s="24">
        <v>29832</v>
      </c>
      <c r="M468" s="24">
        <v>0</v>
      </c>
      <c r="N468" s="24">
        <v>0</v>
      </c>
      <c r="O468" s="24">
        <v>1</v>
      </c>
      <c r="P468" s="24">
        <v>588</v>
      </c>
      <c r="Q468" s="24">
        <v>1</v>
      </c>
      <c r="R468" s="24">
        <v>490</v>
      </c>
      <c r="S468" s="24">
        <v>10</v>
      </c>
      <c r="T468" s="24">
        <v>5230</v>
      </c>
      <c r="U468" s="24">
        <v>1</v>
      </c>
      <c r="V468" s="24">
        <v>648</v>
      </c>
      <c r="W468" s="24">
        <v>52</v>
      </c>
      <c r="X468" s="24">
        <v>28444</v>
      </c>
      <c r="Y468">
        <f t="shared" si="7"/>
        <v>145</v>
      </c>
    </row>
    <row r="469" spans="1:25" x14ac:dyDescent="0.4">
      <c r="A469" s="24" t="s">
        <v>2153</v>
      </c>
      <c r="B469" s="24" t="s">
        <v>2154</v>
      </c>
      <c r="C469" s="25">
        <v>42356</v>
      </c>
      <c r="D469" s="24" t="s">
        <v>2027</v>
      </c>
      <c r="E469" s="24" t="s">
        <v>2020</v>
      </c>
      <c r="F469" s="24" t="s">
        <v>2418</v>
      </c>
      <c r="G469" s="24">
        <v>9</v>
      </c>
      <c r="H469" s="24">
        <v>4212</v>
      </c>
      <c r="I469" s="24">
        <v>11</v>
      </c>
      <c r="J469" s="24">
        <v>6776</v>
      </c>
      <c r="K469" s="24">
        <v>1</v>
      </c>
      <c r="L469" s="24">
        <v>569</v>
      </c>
      <c r="M469" s="24">
        <v>18</v>
      </c>
      <c r="N469" s="24">
        <v>10764</v>
      </c>
      <c r="O469" s="24">
        <v>3</v>
      </c>
      <c r="P469" s="24">
        <v>1848</v>
      </c>
      <c r="Q469" s="24">
        <v>17</v>
      </c>
      <c r="R469" s="24">
        <v>8568</v>
      </c>
      <c r="S469" s="24">
        <v>22</v>
      </c>
      <c r="T469" s="24">
        <v>11946</v>
      </c>
      <c r="U469" s="24">
        <v>4</v>
      </c>
      <c r="V469" s="24">
        <v>1912</v>
      </c>
      <c r="W469" s="24">
        <v>30</v>
      </c>
      <c r="X469" s="24">
        <v>18450</v>
      </c>
      <c r="Y469">
        <f t="shared" si="7"/>
        <v>115</v>
      </c>
    </row>
    <row r="470" spans="1:25" x14ac:dyDescent="0.4">
      <c r="A470" s="24" t="s">
        <v>2155</v>
      </c>
      <c r="B470" s="24" t="s">
        <v>2156</v>
      </c>
      <c r="C470" s="25">
        <v>42647</v>
      </c>
      <c r="D470" s="24" t="s">
        <v>2027</v>
      </c>
      <c r="E470" s="24" t="s">
        <v>2020</v>
      </c>
      <c r="F470" s="24" t="s">
        <v>2418</v>
      </c>
      <c r="G470" s="24">
        <v>1</v>
      </c>
      <c r="H470" s="24">
        <v>536</v>
      </c>
      <c r="I470" s="24">
        <v>4</v>
      </c>
      <c r="J470" s="24">
        <v>2212</v>
      </c>
      <c r="K470" s="24">
        <v>5</v>
      </c>
      <c r="L470" s="24">
        <v>2350</v>
      </c>
      <c r="M470" s="24">
        <v>1</v>
      </c>
      <c r="N470" s="24">
        <v>628</v>
      </c>
      <c r="O470" s="24">
        <v>3</v>
      </c>
      <c r="P470" s="24">
        <v>1770</v>
      </c>
      <c r="Q470" s="24">
        <v>10</v>
      </c>
      <c r="R470" s="24">
        <v>5850</v>
      </c>
      <c r="S470" s="24">
        <v>3</v>
      </c>
      <c r="T470" s="24">
        <v>1467</v>
      </c>
      <c r="U470" s="24">
        <v>5</v>
      </c>
      <c r="V470" s="24">
        <v>2610</v>
      </c>
      <c r="W470" s="24">
        <v>20</v>
      </c>
      <c r="X470" s="24">
        <v>10800</v>
      </c>
      <c r="Y470">
        <f t="shared" si="7"/>
        <v>52</v>
      </c>
    </row>
    <row r="471" spans="1:25" x14ac:dyDescent="0.4">
      <c r="A471" s="24" t="s">
        <v>2157</v>
      </c>
      <c r="B471" s="24" t="s">
        <v>2158</v>
      </c>
      <c r="C471" s="25">
        <v>42754</v>
      </c>
      <c r="D471" s="24" t="s">
        <v>2027</v>
      </c>
      <c r="E471" s="24" t="s">
        <v>2020</v>
      </c>
      <c r="F471" s="24" t="s">
        <v>2418</v>
      </c>
      <c r="G471" s="24">
        <v>18</v>
      </c>
      <c r="H471" s="24">
        <v>8658</v>
      </c>
      <c r="I471" s="24">
        <v>3</v>
      </c>
      <c r="J471" s="24">
        <v>1446</v>
      </c>
      <c r="K471" s="24">
        <v>9</v>
      </c>
      <c r="L471" s="24">
        <v>5562</v>
      </c>
      <c r="M471" s="24">
        <v>10</v>
      </c>
      <c r="N471" s="24">
        <v>6430</v>
      </c>
      <c r="O471" s="24">
        <v>4</v>
      </c>
      <c r="P471" s="24">
        <v>2088</v>
      </c>
      <c r="Q471" s="24">
        <v>9</v>
      </c>
      <c r="R471" s="24">
        <v>5499</v>
      </c>
      <c r="S471" s="24">
        <v>1</v>
      </c>
      <c r="T471" s="24">
        <v>600</v>
      </c>
      <c r="U471" s="24">
        <v>11</v>
      </c>
      <c r="V471" s="24">
        <v>6930</v>
      </c>
      <c r="W471" s="24">
        <v>39</v>
      </c>
      <c r="X471" s="24">
        <v>24297</v>
      </c>
      <c r="Y471">
        <f t="shared" si="7"/>
        <v>104</v>
      </c>
    </row>
    <row r="472" spans="1:25" x14ac:dyDescent="0.4">
      <c r="A472" s="24" t="s">
        <v>2159</v>
      </c>
      <c r="B472" s="24" t="s">
        <v>2160</v>
      </c>
      <c r="C472" s="25">
        <v>42790</v>
      </c>
      <c r="D472" s="24" t="s">
        <v>2027</v>
      </c>
      <c r="E472" s="24" t="s">
        <v>2028</v>
      </c>
      <c r="F472" s="24" t="s">
        <v>2418</v>
      </c>
      <c r="G472" s="24">
        <v>3</v>
      </c>
      <c r="H472" s="24">
        <v>1377</v>
      </c>
      <c r="I472" s="24">
        <v>1</v>
      </c>
      <c r="J472" s="24">
        <v>548</v>
      </c>
      <c r="K472" s="24">
        <v>2</v>
      </c>
      <c r="L472" s="24">
        <v>986</v>
      </c>
      <c r="M472" s="24">
        <v>1</v>
      </c>
      <c r="N472" s="24">
        <v>548</v>
      </c>
      <c r="O472" s="24">
        <v>6</v>
      </c>
      <c r="P472" s="24">
        <v>2844</v>
      </c>
      <c r="Q472" s="24">
        <v>0</v>
      </c>
      <c r="R472" s="24">
        <v>0</v>
      </c>
      <c r="S472" s="24">
        <v>13</v>
      </c>
      <c r="T472" s="24">
        <v>5928</v>
      </c>
      <c r="U472" s="24">
        <v>4</v>
      </c>
      <c r="V472" s="24">
        <v>2140</v>
      </c>
      <c r="W472" s="24">
        <v>8</v>
      </c>
      <c r="X472" s="24">
        <v>4720</v>
      </c>
      <c r="Y472">
        <f t="shared" si="7"/>
        <v>38</v>
      </c>
    </row>
    <row r="473" spans="1:25" x14ac:dyDescent="0.4">
      <c r="A473" s="24" t="s">
        <v>2161</v>
      </c>
      <c r="B473" s="24" t="s">
        <v>2162</v>
      </c>
      <c r="C473" s="25">
        <v>42526</v>
      </c>
      <c r="D473" s="24" t="s">
        <v>2015</v>
      </c>
      <c r="E473" s="24" t="s">
        <v>2020</v>
      </c>
      <c r="F473" s="24" t="s">
        <v>2418</v>
      </c>
      <c r="G473" s="24">
        <v>3</v>
      </c>
      <c r="H473" s="24">
        <v>1404</v>
      </c>
      <c r="I473" s="24">
        <v>8</v>
      </c>
      <c r="J473" s="24">
        <v>5088</v>
      </c>
      <c r="K473" s="24">
        <v>12</v>
      </c>
      <c r="L473" s="24">
        <v>7332</v>
      </c>
      <c r="M473" s="24">
        <v>10</v>
      </c>
      <c r="N473" s="24">
        <v>4730</v>
      </c>
      <c r="O473" s="24">
        <v>29</v>
      </c>
      <c r="P473" s="24">
        <v>14152</v>
      </c>
      <c r="Q473" s="24">
        <v>30</v>
      </c>
      <c r="R473" s="24">
        <v>15300</v>
      </c>
      <c r="S473" s="24">
        <v>15</v>
      </c>
      <c r="T473" s="24">
        <v>8535</v>
      </c>
      <c r="U473" s="24">
        <v>32</v>
      </c>
      <c r="V473" s="24">
        <v>20064</v>
      </c>
      <c r="W473" s="24">
        <v>33</v>
      </c>
      <c r="X473" s="24">
        <v>16236</v>
      </c>
      <c r="Y473">
        <f t="shared" si="7"/>
        <v>172</v>
      </c>
    </row>
    <row r="474" spans="1:25" x14ac:dyDescent="0.4">
      <c r="A474" s="24" t="s">
        <v>2163</v>
      </c>
      <c r="B474" s="24" t="s">
        <v>2164</v>
      </c>
      <c r="C474" s="25">
        <v>42594</v>
      </c>
      <c r="D474" s="24" t="s">
        <v>2015</v>
      </c>
      <c r="E474" s="24" t="s">
        <v>2016</v>
      </c>
      <c r="F474" s="24" t="s">
        <v>2418</v>
      </c>
      <c r="G474" s="24">
        <v>30</v>
      </c>
      <c r="H474" s="24">
        <v>18540</v>
      </c>
      <c r="I474" s="24">
        <v>0</v>
      </c>
      <c r="J474" s="24">
        <v>0</v>
      </c>
      <c r="K474" s="24">
        <v>27</v>
      </c>
      <c r="L474" s="24">
        <v>15228</v>
      </c>
      <c r="M474" s="24">
        <v>0</v>
      </c>
      <c r="N474" s="24">
        <v>0</v>
      </c>
      <c r="O474" s="24">
        <v>2</v>
      </c>
      <c r="P474" s="24">
        <v>946</v>
      </c>
      <c r="Q474" s="24">
        <v>2</v>
      </c>
      <c r="R474" s="24">
        <v>1156</v>
      </c>
      <c r="S474" s="24">
        <v>12</v>
      </c>
      <c r="T474" s="24">
        <v>7800</v>
      </c>
      <c r="U474" s="24">
        <v>23</v>
      </c>
      <c r="V474" s="24">
        <v>13708</v>
      </c>
      <c r="W474" s="24">
        <v>21</v>
      </c>
      <c r="X474" s="24">
        <v>12873</v>
      </c>
      <c r="Y474">
        <f t="shared" si="7"/>
        <v>117</v>
      </c>
    </row>
    <row r="475" spans="1:25" x14ac:dyDescent="0.4">
      <c r="A475" s="24" t="s">
        <v>2165</v>
      </c>
      <c r="B475" s="24" t="s">
        <v>2166</v>
      </c>
      <c r="C475" s="25">
        <v>42340</v>
      </c>
      <c r="D475" s="24" t="s">
        <v>2015</v>
      </c>
      <c r="E475" s="24" t="s">
        <v>2016</v>
      </c>
      <c r="F475" s="24" t="s">
        <v>2418</v>
      </c>
      <c r="G475" s="24">
        <v>15</v>
      </c>
      <c r="H475" s="24">
        <v>7890</v>
      </c>
      <c r="I475" s="24">
        <v>2</v>
      </c>
      <c r="J475" s="24">
        <v>1032</v>
      </c>
      <c r="K475" s="24">
        <v>20</v>
      </c>
      <c r="L475" s="24">
        <v>11640</v>
      </c>
      <c r="M475" s="24">
        <v>14</v>
      </c>
      <c r="N475" s="24">
        <v>7434</v>
      </c>
      <c r="O475" s="24">
        <v>2</v>
      </c>
      <c r="P475" s="24">
        <v>974</v>
      </c>
      <c r="Q475" s="24">
        <v>66</v>
      </c>
      <c r="R475" s="24">
        <v>32010</v>
      </c>
      <c r="S475" s="24">
        <v>32</v>
      </c>
      <c r="T475" s="24">
        <v>15904</v>
      </c>
      <c r="U475" s="24">
        <v>20</v>
      </c>
      <c r="V475" s="24">
        <v>11800</v>
      </c>
      <c r="W475" s="24">
        <v>2</v>
      </c>
      <c r="X475" s="24">
        <v>1106</v>
      </c>
      <c r="Y475">
        <f t="shared" si="7"/>
        <v>173</v>
      </c>
    </row>
    <row r="476" spans="1:25" x14ac:dyDescent="0.4">
      <c r="A476" s="24" t="s">
        <v>2167</v>
      </c>
      <c r="B476" s="24" t="s">
        <v>2168</v>
      </c>
      <c r="C476" s="25">
        <v>43226</v>
      </c>
      <c r="D476" s="24" t="s">
        <v>2027</v>
      </c>
      <c r="E476" s="24" t="s">
        <v>2020</v>
      </c>
      <c r="F476" s="24" t="s">
        <v>2418</v>
      </c>
      <c r="G476" s="24">
        <v>1</v>
      </c>
      <c r="H476" s="24">
        <v>593</v>
      </c>
      <c r="I476" s="24">
        <v>3</v>
      </c>
      <c r="J476" s="24">
        <v>1641</v>
      </c>
      <c r="K476" s="24">
        <v>28</v>
      </c>
      <c r="L476" s="24">
        <v>17164</v>
      </c>
      <c r="M476" s="24">
        <v>5</v>
      </c>
      <c r="N476" s="24">
        <v>3095</v>
      </c>
      <c r="O476" s="24">
        <v>32</v>
      </c>
      <c r="P476" s="24">
        <v>16800</v>
      </c>
      <c r="Q476" s="24">
        <v>10</v>
      </c>
      <c r="R476" s="24">
        <v>5910</v>
      </c>
      <c r="S476" s="24">
        <v>0</v>
      </c>
      <c r="T476" s="24">
        <v>0</v>
      </c>
      <c r="U476" s="24">
        <v>6</v>
      </c>
      <c r="V476" s="24">
        <v>2838</v>
      </c>
      <c r="W476" s="24">
        <v>8</v>
      </c>
      <c r="X476" s="24">
        <v>4920</v>
      </c>
      <c r="Y476">
        <f t="shared" si="7"/>
        <v>93</v>
      </c>
    </row>
    <row r="477" spans="1:25" x14ac:dyDescent="0.4">
      <c r="A477" s="24" t="s">
        <v>2169</v>
      </c>
      <c r="B477" s="24" t="s">
        <v>2170</v>
      </c>
      <c r="C477" s="25">
        <v>43852</v>
      </c>
      <c r="D477" s="24" t="s">
        <v>2027</v>
      </c>
      <c r="E477" s="24" t="s">
        <v>2028</v>
      </c>
      <c r="F477" s="24" t="s">
        <v>2418</v>
      </c>
      <c r="G477" s="24">
        <v>8</v>
      </c>
      <c r="H477" s="24">
        <v>4632</v>
      </c>
      <c r="I477" s="24">
        <v>9</v>
      </c>
      <c r="J477" s="24">
        <v>4185</v>
      </c>
      <c r="K477" s="24">
        <v>34</v>
      </c>
      <c r="L477" s="24">
        <v>15708</v>
      </c>
      <c r="M477" s="24">
        <v>6</v>
      </c>
      <c r="N477" s="24">
        <v>2784</v>
      </c>
      <c r="O477" s="24">
        <v>13</v>
      </c>
      <c r="P477" s="24">
        <v>7072</v>
      </c>
      <c r="Q477" s="24">
        <v>6</v>
      </c>
      <c r="R477" s="24">
        <v>3666</v>
      </c>
      <c r="S477" s="24">
        <v>41</v>
      </c>
      <c r="T477" s="24">
        <v>22673</v>
      </c>
      <c r="U477" s="24">
        <v>2</v>
      </c>
      <c r="V477" s="24">
        <v>1162</v>
      </c>
      <c r="W477" s="24">
        <v>19</v>
      </c>
      <c r="X477" s="24">
        <v>11419</v>
      </c>
      <c r="Y477">
        <f t="shared" si="7"/>
        <v>138</v>
      </c>
    </row>
    <row r="478" spans="1:25" x14ac:dyDescent="0.4">
      <c r="A478" s="24" t="s">
        <v>2171</v>
      </c>
      <c r="B478" s="24" t="s">
        <v>2172</v>
      </c>
      <c r="C478" s="25">
        <v>43650</v>
      </c>
      <c r="D478" s="24" t="s">
        <v>2015</v>
      </c>
      <c r="E478" s="24" t="s">
        <v>2020</v>
      </c>
      <c r="F478" s="24" t="s">
        <v>2418</v>
      </c>
      <c r="G478" s="24">
        <v>36</v>
      </c>
      <c r="H478" s="24">
        <v>18900</v>
      </c>
      <c r="I478" s="24">
        <v>1</v>
      </c>
      <c r="J478" s="24">
        <v>626</v>
      </c>
      <c r="K478" s="24">
        <v>18</v>
      </c>
      <c r="L478" s="24">
        <v>10620</v>
      </c>
      <c r="M478" s="24">
        <v>3</v>
      </c>
      <c r="N478" s="24">
        <v>1641</v>
      </c>
      <c r="O478" s="24">
        <v>3</v>
      </c>
      <c r="P478" s="24">
        <v>1599</v>
      </c>
      <c r="Q478" s="24">
        <v>10</v>
      </c>
      <c r="R478" s="24">
        <v>5430</v>
      </c>
      <c r="S478" s="24">
        <v>33</v>
      </c>
      <c r="T478" s="24">
        <v>18414</v>
      </c>
      <c r="U478" s="24">
        <v>22</v>
      </c>
      <c r="V478" s="24">
        <v>13442</v>
      </c>
      <c r="W478" s="24">
        <v>34</v>
      </c>
      <c r="X478" s="24">
        <v>21352</v>
      </c>
      <c r="Y478">
        <f t="shared" si="7"/>
        <v>160</v>
      </c>
    </row>
    <row r="479" spans="1:25" x14ac:dyDescent="0.4">
      <c r="A479" s="24" t="s">
        <v>2173</v>
      </c>
      <c r="B479" s="24" t="s">
        <v>2174</v>
      </c>
      <c r="C479" s="25">
        <v>43537</v>
      </c>
      <c r="D479" s="24" t="s">
        <v>2027</v>
      </c>
      <c r="E479" s="24" t="s">
        <v>2016</v>
      </c>
      <c r="F479" s="24" t="s">
        <v>2418</v>
      </c>
      <c r="G479" s="24">
        <v>4</v>
      </c>
      <c r="H479" s="24">
        <v>2088</v>
      </c>
      <c r="I479" s="24">
        <v>3</v>
      </c>
      <c r="J479" s="24">
        <v>1719</v>
      </c>
      <c r="K479" s="24">
        <v>9</v>
      </c>
      <c r="L479" s="24">
        <v>4230</v>
      </c>
      <c r="M479" s="24">
        <v>28</v>
      </c>
      <c r="N479" s="24">
        <v>12600</v>
      </c>
      <c r="O479" s="24">
        <v>1</v>
      </c>
      <c r="P479" s="24">
        <v>500</v>
      </c>
      <c r="Q479" s="24">
        <v>4</v>
      </c>
      <c r="R479" s="24">
        <v>2000</v>
      </c>
      <c r="S479" s="24">
        <v>13</v>
      </c>
      <c r="T479" s="24">
        <v>6123</v>
      </c>
      <c r="U479" s="24">
        <v>8</v>
      </c>
      <c r="V479" s="24">
        <v>4736</v>
      </c>
      <c r="W479" s="24">
        <v>1</v>
      </c>
      <c r="X479" s="24">
        <v>614</v>
      </c>
      <c r="Y479">
        <f t="shared" si="7"/>
        <v>71</v>
      </c>
    </row>
    <row r="480" spans="1:25" x14ac:dyDescent="0.4">
      <c r="A480" s="24" t="s">
        <v>2175</v>
      </c>
      <c r="B480" s="24" t="s">
        <v>2176</v>
      </c>
      <c r="C480" s="25">
        <v>43726</v>
      </c>
      <c r="D480" s="24" t="s">
        <v>2015</v>
      </c>
      <c r="E480" s="24" t="s">
        <v>2028</v>
      </c>
      <c r="F480" s="24" t="s">
        <v>2418</v>
      </c>
      <c r="G480" s="24">
        <v>34</v>
      </c>
      <c r="H480" s="24">
        <v>15878</v>
      </c>
      <c r="I480" s="24">
        <v>1</v>
      </c>
      <c r="J480" s="24">
        <v>460</v>
      </c>
      <c r="K480" s="24">
        <v>5</v>
      </c>
      <c r="L480" s="24">
        <v>2505</v>
      </c>
      <c r="M480" s="24">
        <v>6</v>
      </c>
      <c r="N480" s="24">
        <v>3708</v>
      </c>
      <c r="O480" s="24">
        <v>0</v>
      </c>
      <c r="P480" s="24">
        <v>0</v>
      </c>
      <c r="Q480" s="24">
        <v>6</v>
      </c>
      <c r="R480" s="24">
        <v>3012</v>
      </c>
      <c r="S480" s="24">
        <v>0</v>
      </c>
      <c r="T480" s="24">
        <v>0</v>
      </c>
      <c r="U480" s="24">
        <v>4</v>
      </c>
      <c r="V480" s="24">
        <v>2576</v>
      </c>
      <c r="W480" s="24">
        <v>12</v>
      </c>
      <c r="X480" s="24">
        <v>6432</v>
      </c>
      <c r="Y480">
        <f t="shared" si="7"/>
        <v>68</v>
      </c>
    </row>
    <row r="481" spans="1:25" x14ac:dyDescent="0.4">
      <c r="A481" s="24" t="s">
        <v>2177</v>
      </c>
      <c r="B481" s="24" t="s">
        <v>2178</v>
      </c>
      <c r="C481" s="25">
        <v>43937</v>
      </c>
      <c r="D481" s="24" t="s">
        <v>2015</v>
      </c>
      <c r="E481" s="24" t="s">
        <v>2016</v>
      </c>
      <c r="F481" s="24" t="s">
        <v>2418</v>
      </c>
      <c r="G481" s="24">
        <v>30</v>
      </c>
      <c r="H481" s="24">
        <v>17670</v>
      </c>
      <c r="I481" s="24">
        <v>11</v>
      </c>
      <c r="J481" s="24">
        <v>6083</v>
      </c>
      <c r="K481" s="24">
        <v>6</v>
      </c>
      <c r="L481" s="24">
        <v>3522</v>
      </c>
      <c r="M481" s="24">
        <v>20</v>
      </c>
      <c r="N481" s="24">
        <v>12160</v>
      </c>
      <c r="O481" s="24">
        <v>1</v>
      </c>
      <c r="P481" s="24">
        <v>481</v>
      </c>
      <c r="Q481" s="24">
        <v>0</v>
      </c>
      <c r="R481" s="24">
        <v>0</v>
      </c>
      <c r="S481" s="24">
        <v>8</v>
      </c>
      <c r="T481" s="24">
        <v>4968</v>
      </c>
      <c r="U481" s="24">
        <v>26</v>
      </c>
      <c r="V481" s="24">
        <v>16432</v>
      </c>
      <c r="W481" s="24">
        <v>8</v>
      </c>
      <c r="X481" s="24">
        <v>5184</v>
      </c>
      <c r="Y481">
        <f t="shared" si="7"/>
        <v>110</v>
      </c>
    </row>
    <row r="482" spans="1:25" x14ac:dyDescent="0.4">
      <c r="A482" s="24" t="s">
        <v>2179</v>
      </c>
      <c r="B482" s="24" t="s">
        <v>2180</v>
      </c>
      <c r="C482" s="25">
        <v>43005</v>
      </c>
      <c r="D482" s="24" t="s">
        <v>2027</v>
      </c>
      <c r="E482" s="24" t="s">
        <v>2020</v>
      </c>
      <c r="F482" s="24" t="s">
        <v>2418</v>
      </c>
      <c r="G482" s="24">
        <v>2</v>
      </c>
      <c r="H482" s="24">
        <v>1136</v>
      </c>
      <c r="I482" s="24">
        <v>4</v>
      </c>
      <c r="J482" s="24">
        <v>1980</v>
      </c>
      <c r="K482" s="24">
        <v>5</v>
      </c>
      <c r="L482" s="24">
        <v>2830</v>
      </c>
      <c r="M482" s="24">
        <v>0</v>
      </c>
      <c r="N482" s="24">
        <v>0</v>
      </c>
      <c r="O482" s="24">
        <v>3</v>
      </c>
      <c r="P482" s="24">
        <v>1635</v>
      </c>
      <c r="Q482" s="24">
        <v>1</v>
      </c>
      <c r="R482" s="24">
        <v>626</v>
      </c>
      <c r="S482" s="24">
        <v>1</v>
      </c>
      <c r="T482" s="24">
        <v>462</v>
      </c>
      <c r="U482" s="24">
        <v>72</v>
      </c>
      <c r="V482" s="24">
        <v>33336</v>
      </c>
      <c r="W482" s="24">
        <v>9</v>
      </c>
      <c r="X482" s="24">
        <v>5121</v>
      </c>
      <c r="Y482">
        <f t="shared" si="7"/>
        <v>97</v>
      </c>
    </row>
    <row r="483" spans="1:25" x14ac:dyDescent="0.4">
      <c r="A483" s="24" t="s">
        <v>2181</v>
      </c>
      <c r="B483" s="24" t="s">
        <v>2182</v>
      </c>
      <c r="C483" s="25">
        <v>44155</v>
      </c>
      <c r="D483" s="24" t="s">
        <v>2027</v>
      </c>
      <c r="E483" s="24" t="s">
        <v>2016</v>
      </c>
      <c r="F483" s="24" t="s">
        <v>2418</v>
      </c>
      <c r="G483" s="24">
        <v>13</v>
      </c>
      <c r="H483" s="24">
        <v>7605</v>
      </c>
      <c r="I483" s="24">
        <v>1</v>
      </c>
      <c r="J483" s="24">
        <v>589</v>
      </c>
      <c r="K483" s="24">
        <v>14</v>
      </c>
      <c r="L483" s="24">
        <v>8540</v>
      </c>
      <c r="M483" s="24">
        <v>2</v>
      </c>
      <c r="N483" s="24">
        <v>1258</v>
      </c>
      <c r="O483" s="24">
        <v>11</v>
      </c>
      <c r="P483" s="24">
        <v>5533</v>
      </c>
      <c r="Q483" s="24">
        <v>29</v>
      </c>
      <c r="R483" s="24">
        <v>15225</v>
      </c>
      <c r="S483" s="24">
        <v>17</v>
      </c>
      <c r="T483" s="24">
        <v>10183</v>
      </c>
      <c r="U483" s="24">
        <v>2</v>
      </c>
      <c r="V483" s="24">
        <v>1262</v>
      </c>
      <c r="W483" s="24">
        <v>0</v>
      </c>
      <c r="X483" s="24">
        <v>0</v>
      </c>
      <c r="Y483">
        <f t="shared" si="7"/>
        <v>89</v>
      </c>
    </row>
    <row r="484" spans="1:25" x14ac:dyDescent="0.4">
      <c r="A484" s="24" t="s">
        <v>2183</v>
      </c>
      <c r="B484" s="24" t="s">
        <v>2184</v>
      </c>
      <c r="C484" s="25">
        <v>42759</v>
      </c>
      <c r="D484" s="24" t="s">
        <v>2015</v>
      </c>
      <c r="E484" s="24" t="s">
        <v>2028</v>
      </c>
      <c r="F484" s="24" t="s">
        <v>2418</v>
      </c>
      <c r="G484" s="24">
        <v>4</v>
      </c>
      <c r="H484" s="24">
        <v>2408</v>
      </c>
      <c r="I484" s="24">
        <v>6</v>
      </c>
      <c r="J484" s="24">
        <v>3534</v>
      </c>
      <c r="K484" s="24">
        <v>64</v>
      </c>
      <c r="L484" s="24">
        <v>32448</v>
      </c>
      <c r="M484" s="24">
        <v>6</v>
      </c>
      <c r="N484" s="24">
        <v>2946</v>
      </c>
      <c r="O484" s="24">
        <v>0</v>
      </c>
      <c r="P484" s="24">
        <v>0</v>
      </c>
      <c r="Q484" s="24">
        <v>2</v>
      </c>
      <c r="R484" s="24">
        <v>1024</v>
      </c>
      <c r="S484" s="24">
        <v>9</v>
      </c>
      <c r="T484" s="24">
        <v>5760</v>
      </c>
      <c r="U484" s="24">
        <v>1</v>
      </c>
      <c r="V484" s="24">
        <v>576</v>
      </c>
      <c r="W484" s="24">
        <v>62</v>
      </c>
      <c r="X484" s="24">
        <v>29326</v>
      </c>
      <c r="Y484">
        <f t="shared" si="7"/>
        <v>154</v>
      </c>
    </row>
    <row r="485" spans="1:25" x14ac:dyDescent="0.4">
      <c r="A485" s="24" t="s">
        <v>2185</v>
      </c>
      <c r="B485" s="24" t="s">
        <v>2186</v>
      </c>
      <c r="C485" s="25">
        <v>43807</v>
      </c>
      <c r="D485" s="24" t="s">
        <v>2015</v>
      </c>
      <c r="E485" s="24" t="s">
        <v>2028</v>
      </c>
      <c r="F485" s="24" t="s">
        <v>2418</v>
      </c>
      <c r="G485" s="24">
        <v>0</v>
      </c>
      <c r="H485" s="24">
        <v>0</v>
      </c>
      <c r="I485" s="24">
        <v>8</v>
      </c>
      <c r="J485" s="24">
        <v>5040</v>
      </c>
      <c r="K485" s="24">
        <v>11</v>
      </c>
      <c r="L485" s="24">
        <v>6259</v>
      </c>
      <c r="M485" s="24">
        <v>7</v>
      </c>
      <c r="N485" s="24">
        <v>3598</v>
      </c>
      <c r="O485" s="24">
        <v>20</v>
      </c>
      <c r="P485" s="24">
        <v>10440</v>
      </c>
      <c r="Q485" s="24">
        <v>3</v>
      </c>
      <c r="R485" s="24">
        <v>1653</v>
      </c>
      <c r="S485" s="24">
        <v>4</v>
      </c>
      <c r="T485" s="24">
        <v>1828</v>
      </c>
      <c r="U485" s="24">
        <v>10</v>
      </c>
      <c r="V485" s="24">
        <v>5420</v>
      </c>
      <c r="W485" s="24">
        <v>5</v>
      </c>
      <c r="X485" s="24">
        <v>3200</v>
      </c>
      <c r="Y485">
        <f t="shared" si="7"/>
        <v>68</v>
      </c>
    </row>
    <row r="486" spans="1:25" x14ac:dyDescent="0.4">
      <c r="A486" s="24" t="s">
        <v>2187</v>
      </c>
      <c r="B486" s="24" t="s">
        <v>2188</v>
      </c>
      <c r="C486" s="25">
        <v>43126</v>
      </c>
      <c r="D486" s="24" t="s">
        <v>2015</v>
      </c>
      <c r="E486" s="24" t="s">
        <v>2028</v>
      </c>
      <c r="F486" s="24" t="s">
        <v>2418</v>
      </c>
      <c r="G486" s="24">
        <v>0</v>
      </c>
      <c r="H486" s="24">
        <v>0</v>
      </c>
      <c r="I486" s="24">
        <v>30</v>
      </c>
      <c r="J486" s="24">
        <v>18900</v>
      </c>
      <c r="K486" s="24">
        <v>7</v>
      </c>
      <c r="L486" s="24">
        <v>3654</v>
      </c>
      <c r="M486" s="24">
        <v>15</v>
      </c>
      <c r="N486" s="24">
        <v>9570</v>
      </c>
      <c r="O486" s="24">
        <v>4</v>
      </c>
      <c r="P486" s="24">
        <v>1812</v>
      </c>
      <c r="Q486" s="24">
        <v>4</v>
      </c>
      <c r="R486" s="24">
        <v>2092</v>
      </c>
      <c r="S486" s="24">
        <v>2</v>
      </c>
      <c r="T486" s="24">
        <v>1286</v>
      </c>
      <c r="U486" s="24">
        <v>36</v>
      </c>
      <c r="V486" s="24">
        <v>17424</v>
      </c>
      <c r="W486" s="24">
        <v>5</v>
      </c>
      <c r="X486" s="24">
        <v>2465</v>
      </c>
      <c r="Y486">
        <f t="shared" si="7"/>
        <v>103</v>
      </c>
    </row>
    <row r="487" spans="1:25" x14ac:dyDescent="0.4">
      <c r="A487" s="24" t="s">
        <v>2189</v>
      </c>
      <c r="B487" s="24" t="s">
        <v>2190</v>
      </c>
      <c r="C487" s="25">
        <v>43126</v>
      </c>
      <c r="D487" s="24" t="s">
        <v>2015</v>
      </c>
      <c r="E487" s="24" t="s">
        <v>2016</v>
      </c>
      <c r="F487" s="24" t="s">
        <v>2418</v>
      </c>
      <c r="G487" s="24">
        <v>25</v>
      </c>
      <c r="H487" s="24">
        <v>12525</v>
      </c>
      <c r="I487" s="24">
        <v>19</v>
      </c>
      <c r="J487" s="24">
        <v>10203</v>
      </c>
      <c r="K487" s="24">
        <v>1</v>
      </c>
      <c r="L487" s="24">
        <v>473</v>
      </c>
      <c r="M487" s="24">
        <v>14</v>
      </c>
      <c r="N487" s="24">
        <v>8260</v>
      </c>
      <c r="O487" s="24">
        <v>31</v>
      </c>
      <c r="P487" s="24">
        <v>18197</v>
      </c>
      <c r="Q487" s="24">
        <v>3</v>
      </c>
      <c r="R487" s="24">
        <v>1575</v>
      </c>
      <c r="S487" s="24">
        <v>18</v>
      </c>
      <c r="T487" s="24">
        <v>8604</v>
      </c>
      <c r="U487" s="24">
        <v>10</v>
      </c>
      <c r="V487" s="24">
        <v>6090</v>
      </c>
      <c r="W487" s="24">
        <v>16</v>
      </c>
      <c r="X487" s="24">
        <v>9888</v>
      </c>
      <c r="Y487">
        <f t="shared" si="7"/>
        <v>137</v>
      </c>
    </row>
    <row r="488" spans="1:25" x14ac:dyDescent="0.4">
      <c r="A488" s="24" t="s">
        <v>2191</v>
      </c>
      <c r="B488" s="24" t="s">
        <v>2192</v>
      </c>
      <c r="C488" s="25">
        <v>44068</v>
      </c>
      <c r="D488" s="24" t="s">
        <v>2015</v>
      </c>
      <c r="E488" s="24" t="s">
        <v>2028</v>
      </c>
      <c r="F488" s="24" t="s">
        <v>2418</v>
      </c>
      <c r="G488" s="24">
        <v>12</v>
      </c>
      <c r="H488" s="24">
        <v>7044</v>
      </c>
      <c r="I488" s="24">
        <v>2</v>
      </c>
      <c r="J488" s="24">
        <v>988</v>
      </c>
      <c r="K488" s="24">
        <v>4</v>
      </c>
      <c r="L488" s="24">
        <v>2416</v>
      </c>
      <c r="M488" s="24">
        <v>11</v>
      </c>
      <c r="N488" s="24">
        <v>6699</v>
      </c>
      <c r="O488" s="24">
        <v>11</v>
      </c>
      <c r="P488" s="24">
        <v>6303</v>
      </c>
      <c r="Q488" s="24">
        <v>11</v>
      </c>
      <c r="R488" s="24">
        <v>4983</v>
      </c>
      <c r="S488" s="24">
        <v>2</v>
      </c>
      <c r="T488" s="24">
        <v>1272</v>
      </c>
      <c r="U488" s="24">
        <v>0</v>
      </c>
      <c r="V488" s="24">
        <v>0</v>
      </c>
      <c r="W488" s="24">
        <v>19</v>
      </c>
      <c r="X488" s="24">
        <v>11780</v>
      </c>
      <c r="Y488">
        <f t="shared" si="7"/>
        <v>72</v>
      </c>
    </row>
    <row r="489" spans="1:25" x14ac:dyDescent="0.4">
      <c r="A489" s="24" t="s">
        <v>2193</v>
      </c>
      <c r="B489" s="24" t="s">
        <v>2194</v>
      </c>
      <c r="C489" s="25">
        <v>43227</v>
      </c>
      <c r="D489" s="24" t="s">
        <v>2027</v>
      </c>
      <c r="E489" s="24" t="s">
        <v>2020</v>
      </c>
      <c r="F489" s="24" t="s">
        <v>2418</v>
      </c>
      <c r="G489" s="24">
        <v>3</v>
      </c>
      <c r="H489" s="24">
        <v>1446</v>
      </c>
      <c r="I489" s="24">
        <v>26</v>
      </c>
      <c r="J489" s="24">
        <v>16328</v>
      </c>
      <c r="K489" s="24">
        <v>54</v>
      </c>
      <c r="L489" s="24">
        <v>34992</v>
      </c>
      <c r="M489" s="24">
        <v>44</v>
      </c>
      <c r="N489" s="24">
        <v>21912</v>
      </c>
      <c r="O489" s="24">
        <v>2</v>
      </c>
      <c r="P489" s="24">
        <v>1186</v>
      </c>
      <c r="Q489" s="24">
        <v>0</v>
      </c>
      <c r="R489" s="24">
        <v>0</v>
      </c>
      <c r="S489" s="24">
        <v>13</v>
      </c>
      <c r="T489" s="24">
        <v>6383</v>
      </c>
      <c r="U489" s="24">
        <v>0</v>
      </c>
      <c r="V489" s="24">
        <v>0</v>
      </c>
      <c r="W489" s="24">
        <v>29</v>
      </c>
      <c r="X489" s="24">
        <v>17661</v>
      </c>
      <c r="Y489">
        <f t="shared" si="7"/>
        <v>171</v>
      </c>
    </row>
    <row r="490" spans="1:25" x14ac:dyDescent="0.4">
      <c r="A490" s="24" t="s">
        <v>2195</v>
      </c>
      <c r="B490" s="24" t="s">
        <v>2196</v>
      </c>
      <c r="C490" s="25">
        <v>42125</v>
      </c>
      <c r="D490" s="24" t="s">
        <v>2027</v>
      </c>
      <c r="E490" s="24" t="s">
        <v>2028</v>
      </c>
      <c r="F490" s="24" t="s">
        <v>2418</v>
      </c>
      <c r="G490" s="24">
        <v>23</v>
      </c>
      <c r="H490" s="24">
        <v>13202</v>
      </c>
      <c r="I490" s="24">
        <v>1</v>
      </c>
      <c r="J490" s="24">
        <v>451</v>
      </c>
      <c r="K490" s="24">
        <v>65</v>
      </c>
      <c r="L490" s="24">
        <v>37505</v>
      </c>
      <c r="M490" s="24">
        <v>1</v>
      </c>
      <c r="N490" s="24">
        <v>505</v>
      </c>
      <c r="O490" s="24">
        <v>5</v>
      </c>
      <c r="P490" s="24">
        <v>2310</v>
      </c>
      <c r="Q490" s="24">
        <v>0</v>
      </c>
      <c r="R490" s="24">
        <v>0</v>
      </c>
      <c r="S490" s="24">
        <v>0</v>
      </c>
      <c r="T490" s="24">
        <v>0</v>
      </c>
      <c r="U490" s="24">
        <v>48</v>
      </c>
      <c r="V490" s="24">
        <v>23616</v>
      </c>
      <c r="W490" s="24">
        <v>1</v>
      </c>
      <c r="X490" s="24">
        <v>633</v>
      </c>
      <c r="Y490">
        <f t="shared" si="7"/>
        <v>144</v>
      </c>
    </row>
    <row r="491" spans="1:25" x14ac:dyDescent="0.4">
      <c r="A491" s="24" t="s">
        <v>2197</v>
      </c>
      <c r="B491" s="24" t="s">
        <v>2198</v>
      </c>
      <c r="C491" s="25">
        <v>42784</v>
      </c>
      <c r="D491" s="24" t="s">
        <v>2015</v>
      </c>
      <c r="E491" s="24" t="s">
        <v>2028</v>
      </c>
      <c r="F491" s="24" t="s">
        <v>2418</v>
      </c>
      <c r="G491" s="24">
        <v>3</v>
      </c>
      <c r="H491" s="24">
        <v>1728</v>
      </c>
      <c r="I491" s="24">
        <v>4</v>
      </c>
      <c r="J491" s="24">
        <v>2396</v>
      </c>
      <c r="K491" s="24">
        <v>36</v>
      </c>
      <c r="L491" s="24">
        <v>21204</v>
      </c>
      <c r="M491" s="24">
        <v>4</v>
      </c>
      <c r="N491" s="24">
        <v>2028</v>
      </c>
      <c r="O491" s="24">
        <v>23</v>
      </c>
      <c r="P491" s="24">
        <v>12765</v>
      </c>
      <c r="Q491" s="24">
        <v>24</v>
      </c>
      <c r="R491" s="24">
        <v>15600</v>
      </c>
      <c r="S491" s="24">
        <v>1</v>
      </c>
      <c r="T491" s="24">
        <v>557</v>
      </c>
      <c r="U491" s="24">
        <v>22</v>
      </c>
      <c r="V491" s="24">
        <v>13794</v>
      </c>
      <c r="W491" s="24">
        <v>16</v>
      </c>
      <c r="X491" s="24">
        <v>9984</v>
      </c>
      <c r="Y491">
        <f t="shared" si="7"/>
        <v>133</v>
      </c>
    </row>
    <row r="492" spans="1:25" x14ac:dyDescent="0.4">
      <c r="A492" s="24" t="s">
        <v>2199</v>
      </c>
      <c r="B492" s="24" t="s">
        <v>2200</v>
      </c>
      <c r="C492" s="25">
        <v>44046</v>
      </c>
      <c r="D492" s="24" t="s">
        <v>2015</v>
      </c>
      <c r="E492" s="24" t="s">
        <v>2020</v>
      </c>
      <c r="F492" s="24" t="s">
        <v>2418</v>
      </c>
      <c r="G492" s="24">
        <v>5</v>
      </c>
      <c r="H492" s="24">
        <v>3245</v>
      </c>
      <c r="I492" s="24">
        <v>2</v>
      </c>
      <c r="J492" s="24">
        <v>1044</v>
      </c>
      <c r="K492" s="24">
        <v>22</v>
      </c>
      <c r="L492" s="24">
        <v>12254</v>
      </c>
      <c r="M492" s="24">
        <v>13</v>
      </c>
      <c r="N492" s="24">
        <v>7267</v>
      </c>
      <c r="O492" s="24">
        <v>0</v>
      </c>
      <c r="P492" s="24">
        <v>0</v>
      </c>
      <c r="Q492" s="24">
        <v>21</v>
      </c>
      <c r="R492" s="24">
        <v>10101</v>
      </c>
      <c r="S492" s="24">
        <v>16</v>
      </c>
      <c r="T492" s="24">
        <v>9744</v>
      </c>
      <c r="U492" s="24">
        <v>67</v>
      </c>
      <c r="V492" s="24">
        <v>35443</v>
      </c>
      <c r="W492" s="24">
        <v>4</v>
      </c>
      <c r="X492" s="24">
        <v>2008</v>
      </c>
      <c r="Y492">
        <f t="shared" si="7"/>
        <v>150</v>
      </c>
    </row>
    <row r="493" spans="1:25" x14ac:dyDescent="0.4">
      <c r="A493" s="24" t="s">
        <v>2201</v>
      </c>
      <c r="B493" s="24" t="s">
        <v>2202</v>
      </c>
      <c r="C493" s="25">
        <v>42040</v>
      </c>
      <c r="D493" s="24" t="s">
        <v>2015</v>
      </c>
      <c r="E493" s="24" t="s">
        <v>2028</v>
      </c>
      <c r="F493" s="24" t="s">
        <v>2418</v>
      </c>
      <c r="G493" s="24">
        <v>19</v>
      </c>
      <c r="H493" s="24">
        <v>11799</v>
      </c>
      <c r="I493" s="24">
        <v>2</v>
      </c>
      <c r="J493" s="24">
        <v>1056</v>
      </c>
      <c r="K493" s="24">
        <v>4</v>
      </c>
      <c r="L493" s="24">
        <v>2552</v>
      </c>
      <c r="M493" s="24">
        <v>2</v>
      </c>
      <c r="N493" s="24">
        <v>906</v>
      </c>
      <c r="O493" s="24">
        <v>29</v>
      </c>
      <c r="P493" s="24">
        <v>17922</v>
      </c>
      <c r="Q493" s="24">
        <v>1</v>
      </c>
      <c r="R493" s="24">
        <v>622</v>
      </c>
      <c r="S493" s="24">
        <v>0</v>
      </c>
      <c r="T493" s="24">
        <v>0</v>
      </c>
      <c r="U493" s="24">
        <v>0</v>
      </c>
      <c r="V493" s="24">
        <v>0</v>
      </c>
      <c r="W493" s="24">
        <v>0</v>
      </c>
      <c r="X493" s="24">
        <v>0</v>
      </c>
      <c r="Y493">
        <f t="shared" si="7"/>
        <v>57</v>
      </c>
    </row>
    <row r="494" spans="1:25" x14ac:dyDescent="0.4">
      <c r="A494" s="24" t="s">
        <v>2203</v>
      </c>
      <c r="B494" s="24" t="s">
        <v>2204</v>
      </c>
      <c r="C494" s="25">
        <v>43043</v>
      </c>
      <c r="D494" s="24" t="s">
        <v>2015</v>
      </c>
      <c r="E494" s="24" t="s">
        <v>2028</v>
      </c>
      <c r="F494" s="24" t="s">
        <v>2418</v>
      </c>
      <c r="G494" s="24">
        <v>8</v>
      </c>
      <c r="H494" s="24">
        <v>4992</v>
      </c>
      <c r="I494" s="24">
        <v>0</v>
      </c>
      <c r="J494" s="24">
        <v>0</v>
      </c>
      <c r="K494" s="24">
        <v>16</v>
      </c>
      <c r="L494" s="24">
        <v>9120</v>
      </c>
      <c r="M494" s="24">
        <v>24</v>
      </c>
      <c r="N494" s="24">
        <v>12336</v>
      </c>
      <c r="O494" s="24">
        <v>22</v>
      </c>
      <c r="P494" s="24">
        <v>12892</v>
      </c>
      <c r="Q494" s="24">
        <v>84</v>
      </c>
      <c r="R494" s="24">
        <v>39816</v>
      </c>
      <c r="S494" s="24">
        <v>7</v>
      </c>
      <c r="T494" s="24">
        <v>4151</v>
      </c>
      <c r="U494" s="24">
        <v>1</v>
      </c>
      <c r="V494" s="24">
        <v>582</v>
      </c>
      <c r="W494" s="24">
        <v>13</v>
      </c>
      <c r="X494" s="24">
        <v>7722</v>
      </c>
      <c r="Y494">
        <f t="shared" si="7"/>
        <v>175</v>
      </c>
    </row>
    <row r="495" spans="1:25" x14ac:dyDescent="0.4">
      <c r="A495" s="24" t="s">
        <v>2205</v>
      </c>
      <c r="B495" s="24" t="s">
        <v>2206</v>
      </c>
      <c r="C495" s="25">
        <v>42865</v>
      </c>
      <c r="D495" s="24" t="s">
        <v>2027</v>
      </c>
      <c r="E495" s="24" t="s">
        <v>2016</v>
      </c>
      <c r="F495" s="24" t="s">
        <v>2418</v>
      </c>
      <c r="G495" s="24">
        <v>45</v>
      </c>
      <c r="H495" s="24">
        <v>27180</v>
      </c>
      <c r="I495" s="24">
        <v>34</v>
      </c>
      <c r="J495" s="24">
        <v>18190</v>
      </c>
      <c r="K495" s="24">
        <v>10</v>
      </c>
      <c r="L495" s="24">
        <v>5910</v>
      </c>
      <c r="M495" s="24">
        <v>22</v>
      </c>
      <c r="N495" s="24">
        <v>10692</v>
      </c>
      <c r="O495" s="24">
        <v>70</v>
      </c>
      <c r="P495" s="24">
        <v>31990</v>
      </c>
      <c r="Q495" s="24">
        <v>24</v>
      </c>
      <c r="R495" s="24">
        <v>13104</v>
      </c>
      <c r="S495" s="24">
        <v>2</v>
      </c>
      <c r="T495" s="24">
        <v>1020</v>
      </c>
      <c r="U495" s="24">
        <v>31</v>
      </c>
      <c r="V495" s="24">
        <v>16213</v>
      </c>
      <c r="W495" s="24">
        <v>3</v>
      </c>
      <c r="X495" s="24">
        <v>1785</v>
      </c>
      <c r="Y495">
        <f t="shared" si="7"/>
        <v>241</v>
      </c>
    </row>
    <row r="496" spans="1:25" x14ac:dyDescent="0.4">
      <c r="A496" s="24" t="s">
        <v>2207</v>
      </c>
      <c r="B496" s="24" t="s">
        <v>2208</v>
      </c>
      <c r="C496" s="25">
        <v>42963</v>
      </c>
      <c r="D496" s="24" t="s">
        <v>2015</v>
      </c>
      <c r="E496" s="24" t="s">
        <v>2028</v>
      </c>
      <c r="F496" s="24" t="s">
        <v>2418</v>
      </c>
      <c r="G496" s="24">
        <v>13</v>
      </c>
      <c r="H496" s="24">
        <v>6513</v>
      </c>
      <c r="I496" s="24">
        <v>37</v>
      </c>
      <c r="J496" s="24">
        <v>18204</v>
      </c>
      <c r="K496" s="24">
        <v>34</v>
      </c>
      <c r="L496" s="24">
        <v>20910</v>
      </c>
      <c r="M496" s="24">
        <v>34</v>
      </c>
      <c r="N496" s="24">
        <v>16728</v>
      </c>
      <c r="O496" s="24">
        <v>7</v>
      </c>
      <c r="P496" s="24">
        <v>4025</v>
      </c>
      <c r="Q496" s="24">
        <v>41</v>
      </c>
      <c r="R496" s="24">
        <v>22222</v>
      </c>
      <c r="S496" s="24">
        <v>12</v>
      </c>
      <c r="T496" s="24">
        <v>6240</v>
      </c>
      <c r="U496" s="24">
        <v>4</v>
      </c>
      <c r="V496" s="24">
        <v>2008</v>
      </c>
      <c r="W496" s="24">
        <v>5</v>
      </c>
      <c r="X496" s="24">
        <v>2970</v>
      </c>
      <c r="Y496">
        <f t="shared" si="7"/>
        <v>187</v>
      </c>
    </row>
    <row r="497" spans="1:25" x14ac:dyDescent="0.4">
      <c r="A497" s="24" t="s">
        <v>2209</v>
      </c>
      <c r="B497" s="24" t="s">
        <v>2210</v>
      </c>
      <c r="C497" s="25">
        <v>43385</v>
      </c>
      <c r="D497" s="24" t="s">
        <v>2027</v>
      </c>
      <c r="E497" s="24" t="s">
        <v>2016</v>
      </c>
      <c r="F497" s="24" t="s">
        <v>2418</v>
      </c>
      <c r="G497" s="24">
        <v>16</v>
      </c>
      <c r="H497" s="24">
        <v>9440</v>
      </c>
      <c r="I497" s="24">
        <v>7</v>
      </c>
      <c r="J497" s="24">
        <v>3787</v>
      </c>
      <c r="K497" s="24">
        <v>10</v>
      </c>
      <c r="L497" s="24">
        <v>4970</v>
      </c>
      <c r="M497" s="24">
        <v>3</v>
      </c>
      <c r="N497" s="24">
        <v>1431</v>
      </c>
      <c r="O497" s="24">
        <v>5</v>
      </c>
      <c r="P497" s="24">
        <v>2300</v>
      </c>
      <c r="Q497" s="24">
        <v>6</v>
      </c>
      <c r="R497" s="24">
        <v>2790</v>
      </c>
      <c r="S497" s="24">
        <v>7</v>
      </c>
      <c r="T497" s="24">
        <v>3703</v>
      </c>
      <c r="U497" s="24">
        <v>1</v>
      </c>
      <c r="V497" s="24">
        <v>634</v>
      </c>
      <c r="W497" s="24">
        <v>2</v>
      </c>
      <c r="X497" s="24">
        <v>1046</v>
      </c>
      <c r="Y497">
        <f t="shared" si="7"/>
        <v>57</v>
      </c>
    </row>
    <row r="498" spans="1:25" x14ac:dyDescent="0.4">
      <c r="A498" s="24" t="s">
        <v>2211</v>
      </c>
      <c r="B498" s="24" t="s">
        <v>2212</v>
      </c>
      <c r="C498" s="25">
        <v>42320</v>
      </c>
      <c r="D498" s="24" t="s">
        <v>2015</v>
      </c>
      <c r="E498" s="24" t="s">
        <v>2016</v>
      </c>
      <c r="F498" s="24" t="s">
        <v>2418</v>
      </c>
      <c r="G498" s="24">
        <v>0</v>
      </c>
      <c r="H498" s="24">
        <v>0</v>
      </c>
      <c r="I498" s="24">
        <v>4</v>
      </c>
      <c r="J498" s="24">
        <v>1944</v>
      </c>
      <c r="K498" s="24">
        <v>1</v>
      </c>
      <c r="L498" s="24">
        <v>610</v>
      </c>
      <c r="M498" s="24">
        <v>46</v>
      </c>
      <c r="N498" s="24">
        <v>23506</v>
      </c>
      <c r="O498" s="24">
        <v>3</v>
      </c>
      <c r="P498" s="24">
        <v>1401</v>
      </c>
      <c r="Q498" s="24">
        <v>0</v>
      </c>
      <c r="R498" s="24">
        <v>0</v>
      </c>
      <c r="S498" s="24">
        <v>0</v>
      </c>
      <c r="T498" s="24">
        <v>0</v>
      </c>
      <c r="U498" s="24">
        <v>5</v>
      </c>
      <c r="V498" s="24">
        <v>2435</v>
      </c>
      <c r="W498" s="24">
        <v>15</v>
      </c>
      <c r="X498" s="24">
        <v>8610</v>
      </c>
      <c r="Y498">
        <f t="shared" si="7"/>
        <v>74</v>
      </c>
    </row>
    <row r="499" spans="1:25" x14ac:dyDescent="0.4">
      <c r="A499" s="24" t="s">
        <v>2213</v>
      </c>
      <c r="B499" s="24" t="s">
        <v>2214</v>
      </c>
      <c r="C499" s="25">
        <v>43200</v>
      </c>
      <c r="D499" s="24" t="s">
        <v>2015</v>
      </c>
      <c r="E499" s="24" t="s">
        <v>2020</v>
      </c>
      <c r="F499" s="24" t="s">
        <v>2418</v>
      </c>
      <c r="G499" s="24">
        <v>13</v>
      </c>
      <c r="H499" s="24">
        <v>6981</v>
      </c>
      <c r="I499" s="24">
        <v>12</v>
      </c>
      <c r="J499" s="24">
        <v>5928</v>
      </c>
      <c r="K499" s="24">
        <v>10</v>
      </c>
      <c r="L499" s="24">
        <v>6050</v>
      </c>
      <c r="M499" s="24">
        <v>10</v>
      </c>
      <c r="N499" s="24">
        <v>5450</v>
      </c>
      <c r="O499" s="24">
        <v>43</v>
      </c>
      <c r="P499" s="24">
        <v>25800</v>
      </c>
      <c r="Q499" s="24">
        <v>0</v>
      </c>
      <c r="R499" s="24">
        <v>0</v>
      </c>
      <c r="S499" s="24">
        <v>2</v>
      </c>
      <c r="T499" s="24">
        <v>1038</v>
      </c>
      <c r="U499" s="24">
        <v>6</v>
      </c>
      <c r="V499" s="24">
        <v>3744</v>
      </c>
      <c r="W499" s="24">
        <v>11</v>
      </c>
      <c r="X499" s="24">
        <v>6963</v>
      </c>
      <c r="Y499">
        <f t="shared" si="7"/>
        <v>107</v>
      </c>
    </row>
    <row r="500" spans="1:25" x14ac:dyDescent="0.4">
      <c r="A500" s="24" t="s">
        <v>2215</v>
      </c>
      <c r="B500" s="24" t="s">
        <v>2216</v>
      </c>
      <c r="C500" s="25">
        <v>43936</v>
      </c>
      <c r="D500" s="24" t="s">
        <v>2027</v>
      </c>
      <c r="E500" s="24" t="s">
        <v>2020</v>
      </c>
      <c r="F500" s="24" t="s">
        <v>2418</v>
      </c>
      <c r="G500" s="24">
        <v>16</v>
      </c>
      <c r="H500" s="24">
        <v>8160</v>
      </c>
      <c r="I500" s="24">
        <v>5</v>
      </c>
      <c r="J500" s="24">
        <v>2355</v>
      </c>
      <c r="K500" s="24">
        <v>59</v>
      </c>
      <c r="L500" s="24">
        <v>36580</v>
      </c>
      <c r="M500" s="24">
        <v>10</v>
      </c>
      <c r="N500" s="24">
        <v>4870</v>
      </c>
      <c r="O500" s="24">
        <v>3</v>
      </c>
      <c r="P500" s="24">
        <v>1638</v>
      </c>
      <c r="Q500" s="24">
        <v>4</v>
      </c>
      <c r="R500" s="24">
        <v>2600</v>
      </c>
      <c r="S500" s="24">
        <v>0</v>
      </c>
      <c r="T500" s="24">
        <v>0</v>
      </c>
      <c r="U500" s="24">
        <v>3</v>
      </c>
      <c r="V500" s="24">
        <v>1698</v>
      </c>
      <c r="W500" s="24">
        <v>42</v>
      </c>
      <c r="X500" s="24">
        <v>22470</v>
      </c>
      <c r="Y500">
        <f t="shared" si="7"/>
        <v>142</v>
      </c>
    </row>
    <row r="501" spans="1:25" x14ac:dyDescent="0.4">
      <c r="A501" s="24" t="s">
        <v>2217</v>
      </c>
      <c r="B501" s="24" t="s">
        <v>2218</v>
      </c>
      <c r="C501" s="25">
        <v>43667</v>
      </c>
      <c r="D501" s="24" t="s">
        <v>2027</v>
      </c>
      <c r="E501" s="24" t="s">
        <v>2016</v>
      </c>
      <c r="F501" s="24" t="s">
        <v>2418</v>
      </c>
      <c r="G501" s="24">
        <v>1</v>
      </c>
      <c r="H501" s="24">
        <v>591</v>
      </c>
      <c r="I501" s="24">
        <v>24</v>
      </c>
      <c r="J501" s="24">
        <v>11736</v>
      </c>
      <c r="K501" s="24">
        <v>17</v>
      </c>
      <c r="L501" s="24">
        <v>10897</v>
      </c>
      <c r="M501" s="24">
        <v>11</v>
      </c>
      <c r="N501" s="24">
        <v>6710</v>
      </c>
      <c r="O501" s="24">
        <v>16</v>
      </c>
      <c r="P501" s="24">
        <v>7232</v>
      </c>
      <c r="Q501" s="24">
        <v>33</v>
      </c>
      <c r="R501" s="24">
        <v>15444</v>
      </c>
      <c r="S501" s="24">
        <v>19</v>
      </c>
      <c r="T501" s="24">
        <v>8892</v>
      </c>
      <c r="U501" s="24">
        <v>0</v>
      </c>
      <c r="V501" s="24">
        <v>0</v>
      </c>
      <c r="W501" s="24">
        <v>3</v>
      </c>
      <c r="X501" s="24">
        <v>1929</v>
      </c>
      <c r="Y501">
        <f t="shared" si="7"/>
        <v>124</v>
      </c>
    </row>
    <row r="502" spans="1:25" x14ac:dyDescent="0.4">
      <c r="A502" s="24" t="s">
        <v>2219</v>
      </c>
      <c r="B502" s="24" t="s">
        <v>2220</v>
      </c>
      <c r="C502" s="25">
        <v>42332</v>
      </c>
      <c r="D502" s="24" t="s">
        <v>2027</v>
      </c>
      <c r="E502" s="24" t="s">
        <v>2020</v>
      </c>
      <c r="F502" s="24" t="s">
        <v>2418</v>
      </c>
      <c r="G502" s="24">
        <v>22</v>
      </c>
      <c r="H502" s="24">
        <v>12056</v>
      </c>
      <c r="I502" s="24">
        <v>6</v>
      </c>
      <c r="J502" s="24">
        <v>2718</v>
      </c>
      <c r="K502" s="24">
        <v>0</v>
      </c>
      <c r="L502" s="24">
        <v>0</v>
      </c>
      <c r="M502" s="24">
        <v>48</v>
      </c>
      <c r="N502" s="24">
        <v>28848</v>
      </c>
      <c r="O502" s="24">
        <v>2</v>
      </c>
      <c r="P502" s="24">
        <v>1094</v>
      </c>
      <c r="Q502" s="24">
        <v>18</v>
      </c>
      <c r="R502" s="24">
        <v>11142</v>
      </c>
      <c r="S502" s="24">
        <v>17</v>
      </c>
      <c r="T502" s="24">
        <v>10251</v>
      </c>
      <c r="U502" s="24">
        <v>1</v>
      </c>
      <c r="V502" s="24">
        <v>508</v>
      </c>
      <c r="W502" s="24">
        <v>5</v>
      </c>
      <c r="X502" s="24">
        <v>3150</v>
      </c>
      <c r="Y502">
        <f t="shared" si="7"/>
        <v>119</v>
      </c>
    </row>
    <row r="503" spans="1:25" x14ac:dyDescent="0.4">
      <c r="A503" s="24" t="s">
        <v>2221</v>
      </c>
      <c r="B503" s="24" t="s">
        <v>2222</v>
      </c>
      <c r="C503" s="25">
        <v>43796</v>
      </c>
      <c r="D503" s="24" t="s">
        <v>2015</v>
      </c>
      <c r="E503" s="24" t="s">
        <v>2020</v>
      </c>
      <c r="F503" s="24" t="s">
        <v>2418</v>
      </c>
      <c r="G503" s="24">
        <v>5</v>
      </c>
      <c r="H503" s="24">
        <v>2730</v>
      </c>
      <c r="I503" s="24">
        <v>0</v>
      </c>
      <c r="J503" s="24">
        <v>0</v>
      </c>
      <c r="K503" s="24">
        <v>17</v>
      </c>
      <c r="L503" s="24">
        <v>9367</v>
      </c>
      <c r="M503" s="24">
        <v>16</v>
      </c>
      <c r="N503" s="24">
        <v>8192</v>
      </c>
      <c r="O503" s="24">
        <v>0</v>
      </c>
      <c r="P503" s="24">
        <v>0</v>
      </c>
      <c r="Q503" s="24">
        <v>8</v>
      </c>
      <c r="R503" s="24">
        <v>4336</v>
      </c>
      <c r="S503" s="24">
        <v>28</v>
      </c>
      <c r="T503" s="24">
        <v>17080</v>
      </c>
      <c r="U503" s="24">
        <v>1</v>
      </c>
      <c r="V503" s="24">
        <v>647</v>
      </c>
      <c r="W503" s="24">
        <v>8</v>
      </c>
      <c r="X503" s="24">
        <v>4416</v>
      </c>
      <c r="Y503">
        <f t="shared" si="7"/>
        <v>83</v>
      </c>
    </row>
    <row r="504" spans="1:25" x14ac:dyDescent="0.4">
      <c r="A504" s="24" t="s">
        <v>2223</v>
      </c>
      <c r="B504" s="24" t="s">
        <v>2224</v>
      </c>
      <c r="C504" s="25">
        <v>42879</v>
      </c>
      <c r="D504" s="24" t="s">
        <v>2015</v>
      </c>
      <c r="E504" s="24" t="s">
        <v>2028</v>
      </c>
      <c r="F504" s="24" t="s">
        <v>2418</v>
      </c>
      <c r="G504" s="24">
        <v>2</v>
      </c>
      <c r="H504" s="24">
        <v>1226</v>
      </c>
      <c r="I504" s="24">
        <v>2</v>
      </c>
      <c r="J504" s="24">
        <v>1174</v>
      </c>
      <c r="K504" s="24">
        <v>24</v>
      </c>
      <c r="L504" s="24">
        <v>11280</v>
      </c>
      <c r="M504" s="24">
        <v>11</v>
      </c>
      <c r="N504" s="24">
        <v>5885</v>
      </c>
      <c r="O504" s="24">
        <v>10</v>
      </c>
      <c r="P504" s="24">
        <v>4620</v>
      </c>
      <c r="Q504" s="24">
        <v>15</v>
      </c>
      <c r="R504" s="24">
        <v>7845</v>
      </c>
      <c r="S504" s="24">
        <v>30</v>
      </c>
      <c r="T504" s="24">
        <v>17580</v>
      </c>
      <c r="U504" s="24">
        <v>0</v>
      </c>
      <c r="V504" s="24">
        <v>0</v>
      </c>
      <c r="W504" s="24">
        <v>1</v>
      </c>
      <c r="X504" s="24">
        <v>519</v>
      </c>
      <c r="Y504">
        <f t="shared" si="7"/>
        <v>95</v>
      </c>
    </row>
    <row r="505" spans="1:25" x14ac:dyDescent="0.4">
      <c r="A505" s="24" t="s">
        <v>2225</v>
      </c>
      <c r="B505" s="24" t="s">
        <v>2226</v>
      </c>
      <c r="C505" s="25">
        <v>42481</v>
      </c>
      <c r="D505" s="24" t="s">
        <v>2027</v>
      </c>
      <c r="E505" s="24" t="s">
        <v>2028</v>
      </c>
      <c r="F505" s="24" t="s">
        <v>2418</v>
      </c>
      <c r="G505" s="24">
        <v>3</v>
      </c>
      <c r="H505" s="24">
        <v>1761</v>
      </c>
      <c r="I505" s="24">
        <v>10</v>
      </c>
      <c r="J505" s="24">
        <v>6200</v>
      </c>
      <c r="K505" s="24">
        <v>0</v>
      </c>
      <c r="L505" s="24">
        <v>0</v>
      </c>
      <c r="M505" s="24">
        <v>0</v>
      </c>
      <c r="N505" s="24">
        <v>0</v>
      </c>
      <c r="O505" s="24">
        <v>26</v>
      </c>
      <c r="P505" s="24">
        <v>15132</v>
      </c>
      <c r="Q505" s="24">
        <v>2</v>
      </c>
      <c r="R505" s="24">
        <v>1180</v>
      </c>
      <c r="S505" s="24">
        <v>16</v>
      </c>
      <c r="T505" s="24">
        <v>10096</v>
      </c>
      <c r="U505" s="24">
        <v>6</v>
      </c>
      <c r="V505" s="24">
        <v>3744</v>
      </c>
      <c r="W505" s="24">
        <v>4</v>
      </c>
      <c r="X505" s="24">
        <v>2396</v>
      </c>
      <c r="Y505">
        <f t="shared" si="7"/>
        <v>67</v>
      </c>
    </row>
    <row r="506" spans="1:25" x14ac:dyDescent="0.4">
      <c r="A506" s="24" t="s">
        <v>2227</v>
      </c>
      <c r="B506" s="24" t="s">
        <v>2228</v>
      </c>
      <c r="C506" s="25">
        <v>42645</v>
      </c>
      <c r="D506" s="24" t="s">
        <v>2015</v>
      </c>
      <c r="E506" s="24" t="s">
        <v>2020</v>
      </c>
      <c r="F506" s="24" t="s">
        <v>2418</v>
      </c>
      <c r="G506" s="24">
        <v>9</v>
      </c>
      <c r="H506" s="24">
        <v>4860</v>
      </c>
      <c r="I506" s="24">
        <v>4</v>
      </c>
      <c r="J506" s="24">
        <v>2572</v>
      </c>
      <c r="K506" s="24">
        <v>16</v>
      </c>
      <c r="L506" s="24">
        <v>7216</v>
      </c>
      <c r="M506" s="24">
        <v>0</v>
      </c>
      <c r="N506" s="24">
        <v>0</v>
      </c>
      <c r="O506" s="24">
        <v>15</v>
      </c>
      <c r="P506" s="24">
        <v>9345</v>
      </c>
      <c r="Q506" s="24">
        <v>11</v>
      </c>
      <c r="R506" s="24">
        <v>6259</v>
      </c>
      <c r="S506" s="24">
        <v>0</v>
      </c>
      <c r="T506" s="24">
        <v>0</v>
      </c>
      <c r="U506" s="24">
        <v>16</v>
      </c>
      <c r="V506" s="24">
        <v>8800</v>
      </c>
      <c r="W506" s="24">
        <v>67</v>
      </c>
      <c r="X506" s="24">
        <v>36247</v>
      </c>
      <c r="Y506">
        <f t="shared" si="7"/>
        <v>138</v>
      </c>
    </row>
    <row r="507" spans="1:25" x14ac:dyDescent="0.4">
      <c r="A507" s="24" t="s">
        <v>2229</v>
      </c>
      <c r="B507" s="24" t="s">
        <v>2230</v>
      </c>
      <c r="C507" s="25">
        <v>43935</v>
      </c>
      <c r="D507" s="24" t="s">
        <v>2027</v>
      </c>
      <c r="E507" s="24" t="s">
        <v>2028</v>
      </c>
      <c r="F507" s="24" t="s">
        <v>2418</v>
      </c>
      <c r="G507" s="24">
        <v>0</v>
      </c>
      <c r="H507" s="24">
        <v>0</v>
      </c>
      <c r="I507" s="24">
        <v>7</v>
      </c>
      <c r="J507" s="24">
        <v>4228</v>
      </c>
      <c r="K507" s="24">
        <v>18</v>
      </c>
      <c r="L507" s="24">
        <v>11628</v>
      </c>
      <c r="M507" s="24">
        <v>1</v>
      </c>
      <c r="N507" s="24">
        <v>545</v>
      </c>
      <c r="O507" s="24">
        <v>8</v>
      </c>
      <c r="P507" s="24">
        <v>5192</v>
      </c>
      <c r="Q507" s="24">
        <v>26</v>
      </c>
      <c r="R507" s="24">
        <v>15990</v>
      </c>
      <c r="S507" s="24">
        <v>0</v>
      </c>
      <c r="T507" s="24">
        <v>0</v>
      </c>
      <c r="U507" s="24">
        <v>10</v>
      </c>
      <c r="V507" s="24">
        <v>4690</v>
      </c>
      <c r="W507" s="24">
        <v>13</v>
      </c>
      <c r="X507" s="24">
        <v>6942</v>
      </c>
      <c r="Y507">
        <f t="shared" si="7"/>
        <v>83</v>
      </c>
    </row>
    <row r="508" spans="1:25" x14ac:dyDescent="0.4">
      <c r="A508" s="24" t="s">
        <v>2231</v>
      </c>
      <c r="B508" s="24" t="s">
        <v>2232</v>
      </c>
      <c r="C508" s="25">
        <v>43245</v>
      </c>
      <c r="D508" s="24" t="s">
        <v>2015</v>
      </c>
      <c r="E508" s="24" t="s">
        <v>2016</v>
      </c>
      <c r="F508" s="24" t="s">
        <v>2418</v>
      </c>
      <c r="G508" s="24">
        <v>13</v>
      </c>
      <c r="H508" s="24">
        <v>7839</v>
      </c>
      <c r="I508" s="24">
        <v>4</v>
      </c>
      <c r="J508" s="24">
        <v>2344</v>
      </c>
      <c r="K508" s="24">
        <v>2</v>
      </c>
      <c r="L508" s="24">
        <v>1194</v>
      </c>
      <c r="M508" s="24">
        <v>1</v>
      </c>
      <c r="N508" s="24">
        <v>539</v>
      </c>
      <c r="O508" s="24">
        <v>7</v>
      </c>
      <c r="P508" s="24">
        <v>3941</v>
      </c>
      <c r="Q508" s="24">
        <v>13</v>
      </c>
      <c r="R508" s="24">
        <v>7878</v>
      </c>
      <c r="S508" s="24">
        <v>0</v>
      </c>
      <c r="T508" s="24">
        <v>0</v>
      </c>
      <c r="U508" s="24">
        <v>9</v>
      </c>
      <c r="V508" s="24">
        <v>5031</v>
      </c>
      <c r="W508" s="24">
        <v>4</v>
      </c>
      <c r="X508" s="24">
        <v>2304</v>
      </c>
      <c r="Y508">
        <f t="shared" si="7"/>
        <v>53</v>
      </c>
    </row>
    <row r="509" spans="1:25" x14ac:dyDescent="0.4">
      <c r="A509" s="24" t="s">
        <v>2233</v>
      </c>
      <c r="B509" s="24" t="s">
        <v>2234</v>
      </c>
      <c r="C509" s="25">
        <v>43834</v>
      </c>
      <c r="D509" s="24" t="s">
        <v>2015</v>
      </c>
      <c r="E509" s="24" t="s">
        <v>2016</v>
      </c>
      <c r="F509" s="24" t="s">
        <v>2418</v>
      </c>
      <c r="G509" s="24">
        <v>0</v>
      </c>
      <c r="H509" s="24">
        <v>0</v>
      </c>
      <c r="I509" s="24">
        <v>0</v>
      </c>
      <c r="J509" s="24">
        <v>0</v>
      </c>
      <c r="K509" s="24">
        <v>3</v>
      </c>
      <c r="L509" s="24">
        <v>1770</v>
      </c>
      <c r="M509" s="24">
        <v>26</v>
      </c>
      <c r="N509" s="24">
        <v>15184</v>
      </c>
      <c r="O509" s="24">
        <v>0</v>
      </c>
      <c r="P509" s="24">
        <v>0</v>
      </c>
      <c r="Q509" s="24">
        <v>35</v>
      </c>
      <c r="R509" s="24">
        <v>19600</v>
      </c>
      <c r="S509" s="24">
        <v>2</v>
      </c>
      <c r="T509" s="24">
        <v>1000</v>
      </c>
      <c r="U509" s="24">
        <v>29</v>
      </c>
      <c r="V509" s="24">
        <v>14297</v>
      </c>
      <c r="W509" s="24">
        <v>5</v>
      </c>
      <c r="X509" s="24">
        <v>2610</v>
      </c>
      <c r="Y509">
        <f t="shared" si="7"/>
        <v>100</v>
      </c>
    </row>
    <row r="510" spans="1:25" x14ac:dyDescent="0.4">
      <c r="A510" s="24" t="s">
        <v>2235</v>
      </c>
      <c r="B510" s="24" t="s">
        <v>2236</v>
      </c>
      <c r="C510" s="25">
        <v>42683</v>
      </c>
      <c r="D510" s="24" t="s">
        <v>2027</v>
      </c>
      <c r="E510" s="24" t="s">
        <v>2016</v>
      </c>
      <c r="F510" s="24" t="s">
        <v>2418</v>
      </c>
      <c r="G510" s="24">
        <v>1</v>
      </c>
      <c r="H510" s="24">
        <v>518</v>
      </c>
      <c r="I510" s="24">
        <v>44</v>
      </c>
      <c r="J510" s="24">
        <v>26048</v>
      </c>
      <c r="K510" s="24">
        <v>3</v>
      </c>
      <c r="L510" s="24">
        <v>1371</v>
      </c>
      <c r="M510" s="24">
        <v>28</v>
      </c>
      <c r="N510" s="24">
        <v>17864</v>
      </c>
      <c r="O510" s="24">
        <v>0</v>
      </c>
      <c r="P510" s="24">
        <v>0</v>
      </c>
      <c r="Q510" s="24">
        <v>12</v>
      </c>
      <c r="R510" s="24">
        <v>6060</v>
      </c>
      <c r="S510" s="24">
        <v>42</v>
      </c>
      <c r="T510" s="24">
        <v>20832</v>
      </c>
      <c r="U510" s="24">
        <v>29</v>
      </c>
      <c r="V510" s="24">
        <v>14297</v>
      </c>
      <c r="W510" s="24">
        <v>11</v>
      </c>
      <c r="X510" s="24">
        <v>6017</v>
      </c>
      <c r="Y510">
        <f t="shared" si="7"/>
        <v>170</v>
      </c>
    </row>
    <row r="511" spans="1:25" x14ac:dyDescent="0.4">
      <c r="A511" s="24" t="s">
        <v>2237</v>
      </c>
      <c r="B511" s="24" t="s">
        <v>2238</v>
      </c>
      <c r="C511" s="25">
        <v>42329</v>
      </c>
      <c r="D511" s="24" t="s">
        <v>2027</v>
      </c>
      <c r="E511" s="24" t="s">
        <v>2020</v>
      </c>
      <c r="F511" s="24" t="s">
        <v>2418</v>
      </c>
      <c r="G511" s="24">
        <v>2</v>
      </c>
      <c r="H511" s="24">
        <v>1234</v>
      </c>
      <c r="I511" s="24">
        <v>13</v>
      </c>
      <c r="J511" s="24">
        <v>6981</v>
      </c>
      <c r="K511" s="24">
        <v>18</v>
      </c>
      <c r="L511" s="24">
        <v>9414</v>
      </c>
      <c r="M511" s="24">
        <v>3</v>
      </c>
      <c r="N511" s="24">
        <v>1647</v>
      </c>
      <c r="O511" s="24">
        <v>15</v>
      </c>
      <c r="P511" s="24">
        <v>8880</v>
      </c>
      <c r="Q511" s="24">
        <v>3</v>
      </c>
      <c r="R511" s="24">
        <v>1773</v>
      </c>
      <c r="S511" s="24">
        <v>0</v>
      </c>
      <c r="T511" s="24">
        <v>0</v>
      </c>
      <c r="U511" s="24">
        <v>0</v>
      </c>
      <c r="V511" s="24">
        <v>0</v>
      </c>
      <c r="W511" s="24">
        <v>5</v>
      </c>
      <c r="X511" s="24">
        <v>2535</v>
      </c>
      <c r="Y511">
        <f t="shared" si="7"/>
        <v>59</v>
      </c>
    </row>
    <row r="512" spans="1:25" x14ac:dyDescent="0.4">
      <c r="A512" s="24" t="s">
        <v>2239</v>
      </c>
      <c r="B512" s="24" t="s">
        <v>2240</v>
      </c>
      <c r="C512" s="25">
        <v>42553</v>
      </c>
      <c r="D512" s="24" t="s">
        <v>2015</v>
      </c>
      <c r="E512" s="24" t="s">
        <v>2016</v>
      </c>
      <c r="F512" s="24" t="s">
        <v>2418</v>
      </c>
      <c r="G512" s="24">
        <v>5</v>
      </c>
      <c r="H512" s="24">
        <v>3215</v>
      </c>
      <c r="I512" s="24">
        <v>16</v>
      </c>
      <c r="J512" s="24">
        <v>9952</v>
      </c>
      <c r="K512" s="24">
        <v>3</v>
      </c>
      <c r="L512" s="24">
        <v>1602</v>
      </c>
      <c r="M512" s="24">
        <v>10</v>
      </c>
      <c r="N512" s="24">
        <v>5960</v>
      </c>
      <c r="O512" s="24">
        <v>0</v>
      </c>
      <c r="P512" s="24">
        <v>0</v>
      </c>
      <c r="Q512" s="24">
        <v>42</v>
      </c>
      <c r="R512" s="24">
        <v>26838</v>
      </c>
      <c r="S512" s="24">
        <v>20</v>
      </c>
      <c r="T512" s="24">
        <v>10120</v>
      </c>
      <c r="U512" s="24">
        <v>3</v>
      </c>
      <c r="V512" s="24">
        <v>1563</v>
      </c>
      <c r="W512" s="24">
        <v>7</v>
      </c>
      <c r="X512" s="24">
        <v>3605</v>
      </c>
      <c r="Y512">
        <f t="shared" si="7"/>
        <v>106</v>
      </c>
    </row>
    <row r="513" spans="1:25" x14ac:dyDescent="0.4">
      <c r="A513" s="24" t="s">
        <v>2241</v>
      </c>
      <c r="B513" s="24" t="s">
        <v>2242</v>
      </c>
      <c r="C513" s="25">
        <v>43359</v>
      </c>
      <c r="D513" s="24" t="s">
        <v>2015</v>
      </c>
      <c r="E513" s="24" t="s">
        <v>2016</v>
      </c>
      <c r="F513" s="24" t="s">
        <v>2418</v>
      </c>
      <c r="G513" s="24">
        <v>13</v>
      </c>
      <c r="H513" s="24">
        <v>6955</v>
      </c>
      <c r="I513" s="24">
        <v>12</v>
      </c>
      <c r="J513" s="24">
        <v>7224</v>
      </c>
      <c r="K513" s="24">
        <v>9</v>
      </c>
      <c r="L513" s="24">
        <v>5562</v>
      </c>
      <c r="M513" s="24">
        <v>0</v>
      </c>
      <c r="N513" s="24">
        <v>0</v>
      </c>
      <c r="O513" s="24">
        <v>0</v>
      </c>
      <c r="P513" s="24">
        <v>0</v>
      </c>
      <c r="Q513" s="24">
        <v>2</v>
      </c>
      <c r="R513" s="24">
        <v>1088</v>
      </c>
      <c r="S513" s="24">
        <v>0</v>
      </c>
      <c r="T513" s="24">
        <v>0</v>
      </c>
      <c r="U513" s="24">
        <v>2</v>
      </c>
      <c r="V513" s="24">
        <v>990</v>
      </c>
      <c r="W513" s="24">
        <v>0</v>
      </c>
      <c r="X513" s="24">
        <v>0</v>
      </c>
      <c r="Y513">
        <f t="shared" si="7"/>
        <v>38</v>
      </c>
    </row>
    <row r="514" spans="1:25" x14ac:dyDescent="0.4">
      <c r="A514" s="24" t="s">
        <v>2243</v>
      </c>
      <c r="B514" s="24" t="s">
        <v>2244</v>
      </c>
      <c r="C514" s="25">
        <v>43879</v>
      </c>
      <c r="D514" s="24" t="s">
        <v>2027</v>
      </c>
      <c r="E514" s="24" t="s">
        <v>2028</v>
      </c>
      <c r="F514" s="24" t="s">
        <v>2418</v>
      </c>
      <c r="G514" s="24">
        <v>27</v>
      </c>
      <c r="H514" s="24">
        <v>16929</v>
      </c>
      <c r="I514" s="24">
        <v>10</v>
      </c>
      <c r="J514" s="24">
        <v>5180</v>
      </c>
      <c r="K514" s="24">
        <v>1</v>
      </c>
      <c r="L514" s="24">
        <v>582</v>
      </c>
      <c r="M514" s="24">
        <v>6</v>
      </c>
      <c r="N514" s="24">
        <v>3672</v>
      </c>
      <c r="O514" s="24">
        <v>5</v>
      </c>
      <c r="P514" s="24">
        <v>2630</v>
      </c>
      <c r="Q514" s="24">
        <v>3</v>
      </c>
      <c r="R514" s="24">
        <v>1836</v>
      </c>
      <c r="S514" s="24">
        <v>35</v>
      </c>
      <c r="T514" s="24">
        <v>17640</v>
      </c>
      <c r="U514" s="24">
        <v>11</v>
      </c>
      <c r="V514" s="24">
        <v>6259</v>
      </c>
      <c r="W514" s="24">
        <v>2</v>
      </c>
      <c r="X514" s="24">
        <v>1170</v>
      </c>
      <c r="Y514">
        <f t="shared" si="7"/>
        <v>100</v>
      </c>
    </row>
    <row r="515" spans="1:25" x14ac:dyDescent="0.4">
      <c r="A515" s="24" t="s">
        <v>2245</v>
      </c>
      <c r="B515" s="24" t="s">
        <v>2246</v>
      </c>
      <c r="C515" s="25">
        <v>44018</v>
      </c>
      <c r="D515" s="24" t="s">
        <v>2015</v>
      </c>
      <c r="E515" s="24" t="s">
        <v>2020</v>
      </c>
      <c r="F515" s="24" t="s">
        <v>2418</v>
      </c>
      <c r="G515" s="24">
        <v>18</v>
      </c>
      <c r="H515" s="24">
        <v>8172</v>
      </c>
      <c r="I515" s="24">
        <v>16</v>
      </c>
      <c r="J515" s="24">
        <v>8768</v>
      </c>
      <c r="K515" s="24">
        <v>27</v>
      </c>
      <c r="L515" s="24">
        <v>12393</v>
      </c>
      <c r="M515" s="24">
        <v>10</v>
      </c>
      <c r="N515" s="24">
        <v>4730</v>
      </c>
      <c r="O515" s="24">
        <v>1</v>
      </c>
      <c r="P515" s="24">
        <v>588</v>
      </c>
      <c r="Q515" s="24">
        <v>7</v>
      </c>
      <c r="R515" s="24">
        <v>3458</v>
      </c>
      <c r="S515" s="24">
        <v>9</v>
      </c>
      <c r="T515" s="24">
        <v>5589</v>
      </c>
      <c r="U515" s="24">
        <v>9</v>
      </c>
      <c r="V515" s="24">
        <v>4554</v>
      </c>
      <c r="W515" s="24">
        <v>5</v>
      </c>
      <c r="X515" s="24">
        <v>3160</v>
      </c>
      <c r="Y515">
        <f t="shared" ref="Y515:Y578" si="8">SUMIF($G$1:$X$1,"Количество*",G515:X515)</f>
        <v>102</v>
      </c>
    </row>
    <row r="516" spans="1:25" x14ac:dyDescent="0.4">
      <c r="A516" s="24" t="s">
        <v>2247</v>
      </c>
      <c r="B516" s="24" t="s">
        <v>2248</v>
      </c>
      <c r="C516" s="25">
        <v>44056</v>
      </c>
      <c r="D516" s="24" t="s">
        <v>2027</v>
      </c>
      <c r="E516" s="24" t="s">
        <v>2028</v>
      </c>
      <c r="F516" s="24" t="s">
        <v>2418</v>
      </c>
      <c r="G516" s="24">
        <v>5</v>
      </c>
      <c r="H516" s="24">
        <v>2735</v>
      </c>
      <c r="I516" s="24">
        <v>3</v>
      </c>
      <c r="J516" s="24">
        <v>1533</v>
      </c>
      <c r="K516" s="24">
        <v>1</v>
      </c>
      <c r="L516" s="24">
        <v>634</v>
      </c>
      <c r="M516" s="24">
        <v>1</v>
      </c>
      <c r="N516" s="24">
        <v>451</v>
      </c>
      <c r="O516" s="24">
        <v>4</v>
      </c>
      <c r="P516" s="24">
        <v>2324</v>
      </c>
      <c r="Q516" s="24">
        <v>35</v>
      </c>
      <c r="R516" s="24">
        <v>20510</v>
      </c>
      <c r="S516" s="24">
        <v>11</v>
      </c>
      <c r="T516" s="24">
        <v>5423</v>
      </c>
      <c r="U516" s="24">
        <v>0</v>
      </c>
      <c r="V516" s="24">
        <v>0</v>
      </c>
      <c r="W516" s="24">
        <v>7</v>
      </c>
      <c r="X516" s="24">
        <v>4039</v>
      </c>
      <c r="Y516">
        <f t="shared" si="8"/>
        <v>67</v>
      </c>
    </row>
    <row r="517" spans="1:25" x14ac:dyDescent="0.4">
      <c r="A517" s="24" t="s">
        <v>2249</v>
      </c>
      <c r="B517" s="24" t="s">
        <v>2250</v>
      </c>
      <c r="C517" s="25">
        <v>42962</v>
      </c>
      <c r="D517" s="24" t="s">
        <v>2027</v>
      </c>
      <c r="E517" s="24" t="s">
        <v>2020</v>
      </c>
      <c r="F517" s="24" t="s">
        <v>2418</v>
      </c>
      <c r="G517" s="24">
        <v>48</v>
      </c>
      <c r="H517" s="24">
        <v>25392</v>
      </c>
      <c r="I517" s="24">
        <v>5</v>
      </c>
      <c r="J517" s="24">
        <v>2780</v>
      </c>
      <c r="K517" s="24">
        <v>1</v>
      </c>
      <c r="L517" s="24">
        <v>578</v>
      </c>
      <c r="M517" s="24">
        <v>0</v>
      </c>
      <c r="N517" s="24">
        <v>0</v>
      </c>
      <c r="O517" s="24">
        <v>18</v>
      </c>
      <c r="P517" s="24">
        <v>8586</v>
      </c>
      <c r="Q517" s="24">
        <v>14</v>
      </c>
      <c r="R517" s="24">
        <v>6860</v>
      </c>
      <c r="S517" s="24">
        <v>28</v>
      </c>
      <c r="T517" s="24">
        <v>15764</v>
      </c>
      <c r="U517" s="24">
        <v>11</v>
      </c>
      <c r="V517" s="24">
        <v>5137</v>
      </c>
      <c r="W517" s="24">
        <v>8</v>
      </c>
      <c r="X517" s="24">
        <v>3888</v>
      </c>
      <c r="Y517">
        <f t="shared" si="8"/>
        <v>133</v>
      </c>
    </row>
    <row r="518" spans="1:25" x14ac:dyDescent="0.4">
      <c r="A518" s="24" t="s">
        <v>2251</v>
      </c>
      <c r="B518" s="24" t="s">
        <v>2252</v>
      </c>
      <c r="C518" s="25">
        <v>43538</v>
      </c>
      <c r="D518" s="24" t="s">
        <v>2027</v>
      </c>
      <c r="E518" s="24" t="s">
        <v>2016</v>
      </c>
      <c r="F518" s="24" t="s">
        <v>2418</v>
      </c>
      <c r="G518" s="24">
        <v>3</v>
      </c>
      <c r="H518" s="24">
        <v>1662</v>
      </c>
      <c r="I518" s="24">
        <v>7</v>
      </c>
      <c r="J518" s="24">
        <v>3360</v>
      </c>
      <c r="K518" s="24">
        <v>14</v>
      </c>
      <c r="L518" s="24">
        <v>8806</v>
      </c>
      <c r="M518" s="24">
        <v>11</v>
      </c>
      <c r="N518" s="24">
        <v>6776</v>
      </c>
      <c r="O518" s="24">
        <v>7</v>
      </c>
      <c r="P518" s="24">
        <v>3213</v>
      </c>
      <c r="Q518" s="24">
        <v>5</v>
      </c>
      <c r="R518" s="24">
        <v>2625</v>
      </c>
      <c r="S518" s="24">
        <v>32</v>
      </c>
      <c r="T518" s="24">
        <v>16448</v>
      </c>
      <c r="U518" s="24">
        <v>0</v>
      </c>
      <c r="V518" s="24">
        <v>0</v>
      </c>
      <c r="W518" s="24">
        <v>1</v>
      </c>
      <c r="X518" s="24">
        <v>451</v>
      </c>
      <c r="Y518">
        <f t="shared" si="8"/>
        <v>80</v>
      </c>
    </row>
    <row r="519" spans="1:25" x14ac:dyDescent="0.4">
      <c r="A519" s="24" t="s">
        <v>2253</v>
      </c>
      <c r="B519" s="24" t="s">
        <v>2254</v>
      </c>
      <c r="C519" s="25">
        <v>42005</v>
      </c>
      <c r="D519" s="24" t="s">
        <v>2015</v>
      </c>
      <c r="E519" s="24" t="s">
        <v>2020</v>
      </c>
      <c r="F519" s="24" t="s">
        <v>2418</v>
      </c>
      <c r="G519" s="24">
        <v>23</v>
      </c>
      <c r="H519" s="24">
        <v>11592</v>
      </c>
      <c r="I519" s="24">
        <v>9</v>
      </c>
      <c r="J519" s="24">
        <v>4293</v>
      </c>
      <c r="K519" s="24">
        <v>5</v>
      </c>
      <c r="L519" s="24">
        <v>2610</v>
      </c>
      <c r="M519" s="24">
        <v>12</v>
      </c>
      <c r="N519" s="24">
        <v>5856</v>
      </c>
      <c r="O519" s="24">
        <v>0</v>
      </c>
      <c r="P519" s="24">
        <v>0</v>
      </c>
      <c r="Q519" s="24">
        <v>9</v>
      </c>
      <c r="R519" s="24">
        <v>5166</v>
      </c>
      <c r="S519" s="24">
        <v>50</v>
      </c>
      <c r="T519" s="24">
        <v>23950</v>
      </c>
      <c r="U519" s="24">
        <v>17</v>
      </c>
      <c r="V519" s="24">
        <v>9061</v>
      </c>
      <c r="W519" s="24">
        <v>26</v>
      </c>
      <c r="X519" s="24">
        <v>12974</v>
      </c>
      <c r="Y519">
        <f t="shared" si="8"/>
        <v>151</v>
      </c>
    </row>
    <row r="520" spans="1:25" x14ac:dyDescent="0.4">
      <c r="A520" s="24" t="s">
        <v>2255</v>
      </c>
      <c r="B520" s="24" t="s">
        <v>2256</v>
      </c>
      <c r="C520" s="25">
        <v>42093</v>
      </c>
      <c r="D520" s="24" t="s">
        <v>2027</v>
      </c>
      <c r="E520" s="24" t="s">
        <v>2028</v>
      </c>
      <c r="F520" s="24" t="s">
        <v>2418</v>
      </c>
      <c r="G520" s="24">
        <v>23</v>
      </c>
      <c r="H520" s="24">
        <v>12006</v>
      </c>
      <c r="I520" s="24">
        <v>5</v>
      </c>
      <c r="J520" s="24">
        <v>3190</v>
      </c>
      <c r="K520" s="24">
        <v>9</v>
      </c>
      <c r="L520" s="24">
        <v>4500</v>
      </c>
      <c r="M520" s="24">
        <v>7</v>
      </c>
      <c r="N520" s="24">
        <v>3983</v>
      </c>
      <c r="O520" s="24">
        <v>17</v>
      </c>
      <c r="P520" s="24">
        <v>9962</v>
      </c>
      <c r="Q520" s="24">
        <v>27</v>
      </c>
      <c r="R520" s="24">
        <v>16038</v>
      </c>
      <c r="S520" s="24">
        <v>15</v>
      </c>
      <c r="T520" s="24">
        <v>9180</v>
      </c>
      <c r="U520" s="24">
        <v>58</v>
      </c>
      <c r="V520" s="24">
        <v>31146</v>
      </c>
      <c r="W520" s="24">
        <v>40</v>
      </c>
      <c r="X520" s="24">
        <v>20400</v>
      </c>
      <c r="Y520">
        <f t="shared" si="8"/>
        <v>201</v>
      </c>
    </row>
    <row r="521" spans="1:25" x14ac:dyDescent="0.4">
      <c r="A521" s="24" t="s">
        <v>2257</v>
      </c>
      <c r="B521" s="24" t="s">
        <v>2258</v>
      </c>
      <c r="C521" s="25">
        <v>42182</v>
      </c>
      <c r="D521" s="24" t="s">
        <v>2015</v>
      </c>
      <c r="E521" s="24" t="s">
        <v>2016</v>
      </c>
      <c r="F521" s="24" t="s">
        <v>2418</v>
      </c>
      <c r="G521" s="24">
        <v>1</v>
      </c>
      <c r="H521" s="24">
        <v>528</v>
      </c>
      <c r="I521" s="24">
        <v>8</v>
      </c>
      <c r="J521" s="24">
        <v>4368</v>
      </c>
      <c r="K521" s="24">
        <v>9</v>
      </c>
      <c r="L521" s="24">
        <v>5427</v>
      </c>
      <c r="M521" s="24">
        <v>1</v>
      </c>
      <c r="N521" s="24">
        <v>502</v>
      </c>
      <c r="O521" s="24">
        <v>86</v>
      </c>
      <c r="P521" s="24">
        <v>49450</v>
      </c>
      <c r="Q521" s="24">
        <v>1</v>
      </c>
      <c r="R521" s="24">
        <v>572</v>
      </c>
      <c r="S521" s="24">
        <v>15</v>
      </c>
      <c r="T521" s="24">
        <v>9750</v>
      </c>
      <c r="U521" s="24">
        <v>12</v>
      </c>
      <c r="V521" s="24">
        <v>6960</v>
      </c>
      <c r="W521" s="24">
        <v>2</v>
      </c>
      <c r="X521" s="24">
        <v>920</v>
      </c>
      <c r="Y521">
        <f t="shared" si="8"/>
        <v>135</v>
      </c>
    </row>
    <row r="522" spans="1:25" x14ac:dyDescent="0.4">
      <c r="A522" s="24" t="s">
        <v>2259</v>
      </c>
      <c r="B522" s="24" t="s">
        <v>2260</v>
      </c>
      <c r="C522" s="25">
        <v>43955</v>
      </c>
      <c r="D522" s="24" t="s">
        <v>2015</v>
      </c>
      <c r="E522" s="24" t="s">
        <v>2016</v>
      </c>
      <c r="F522" s="24" t="s">
        <v>2418</v>
      </c>
      <c r="G522" s="24">
        <v>10</v>
      </c>
      <c r="H522" s="24">
        <v>5140</v>
      </c>
      <c r="I522" s="24">
        <v>28</v>
      </c>
      <c r="J522" s="24">
        <v>18060</v>
      </c>
      <c r="K522" s="24">
        <v>29</v>
      </c>
      <c r="L522" s="24">
        <v>15080</v>
      </c>
      <c r="M522" s="24">
        <v>22</v>
      </c>
      <c r="N522" s="24">
        <v>11924</v>
      </c>
      <c r="O522" s="24">
        <v>6</v>
      </c>
      <c r="P522" s="24">
        <v>3438</v>
      </c>
      <c r="Q522" s="24">
        <v>8</v>
      </c>
      <c r="R522" s="24">
        <v>4912</v>
      </c>
      <c r="S522" s="24">
        <v>19</v>
      </c>
      <c r="T522" s="24">
        <v>9291</v>
      </c>
      <c r="U522" s="24">
        <v>1</v>
      </c>
      <c r="V522" s="24">
        <v>584</v>
      </c>
      <c r="W522" s="24">
        <v>82</v>
      </c>
      <c r="X522" s="24">
        <v>38868</v>
      </c>
      <c r="Y522">
        <f t="shared" si="8"/>
        <v>205</v>
      </c>
    </row>
    <row r="523" spans="1:25" x14ac:dyDescent="0.4">
      <c r="A523" s="24" t="s">
        <v>2261</v>
      </c>
      <c r="B523" s="24" t="s">
        <v>2262</v>
      </c>
      <c r="C523" s="25">
        <v>43309</v>
      </c>
      <c r="D523" s="24" t="s">
        <v>2027</v>
      </c>
      <c r="E523" s="24" t="s">
        <v>2020</v>
      </c>
      <c r="F523" s="24" t="s">
        <v>2418</v>
      </c>
      <c r="G523" s="24">
        <v>63</v>
      </c>
      <c r="H523" s="24">
        <v>29043</v>
      </c>
      <c r="I523" s="24">
        <v>0</v>
      </c>
      <c r="J523" s="24">
        <v>0</v>
      </c>
      <c r="K523" s="24">
        <v>16</v>
      </c>
      <c r="L523" s="24">
        <v>9232</v>
      </c>
      <c r="M523" s="24">
        <v>17</v>
      </c>
      <c r="N523" s="24">
        <v>9401</v>
      </c>
      <c r="O523" s="24">
        <v>2</v>
      </c>
      <c r="P523" s="24">
        <v>1298</v>
      </c>
      <c r="Q523" s="24">
        <v>4</v>
      </c>
      <c r="R523" s="24">
        <v>2080</v>
      </c>
      <c r="S523" s="24">
        <v>2</v>
      </c>
      <c r="T523" s="24">
        <v>988</v>
      </c>
      <c r="U523" s="24">
        <v>81</v>
      </c>
      <c r="V523" s="24">
        <v>38880</v>
      </c>
      <c r="W523" s="24">
        <v>2</v>
      </c>
      <c r="X523" s="24">
        <v>1076</v>
      </c>
      <c r="Y523">
        <f t="shared" si="8"/>
        <v>187</v>
      </c>
    </row>
    <row r="524" spans="1:25" x14ac:dyDescent="0.4">
      <c r="A524" s="24" t="s">
        <v>2263</v>
      </c>
      <c r="B524" s="24" t="s">
        <v>2264</v>
      </c>
      <c r="C524" s="25">
        <v>44005</v>
      </c>
      <c r="D524" s="24" t="s">
        <v>2015</v>
      </c>
      <c r="E524" s="24" t="s">
        <v>2028</v>
      </c>
      <c r="F524" s="24" t="s">
        <v>2418</v>
      </c>
      <c r="G524" s="24">
        <v>4</v>
      </c>
      <c r="H524" s="24">
        <v>2060</v>
      </c>
      <c r="I524" s="24">
        <v>17</v>
      </c>
      <c r="J524" s="24">
        <v>9826</v>
      </c>
      <c r="K524" s="24">
        <v>40</v>
      </c>
      <c r="L524" s="24">
        <v>21800</v>
      </c>
      <c r="M524" s="24">
        <v>28</v>
      </c>
      <c r="N524" s="24">
        <v>14168</v>
      </c>
      <c r="O524" s="24">
        <v>12</v>
      </c>
      <c r="P524" s="24">
        <v>5472</v>
      </c>
      <c r="Q524" s="24">
        <v>13</v>
      </c>
      <c r="R524" s="24">
        <v>6669</v>
      </c>
      <c r="S524" s="24">
        <v>21</v>
      </c>
      <c r="T524" s="24">
        <v>10962</v>
      </c>
      <c r="U524" s="24">
        <v>6</v>
      </c>
      <c r="V524" s="24">
        <v>3864</v>
      </c>
      <c r="W524" s="24">
        <v>18</v>
      </c>
      <c r="X524" s="24">
        <v>8640</v>
      </c>
      <c r="Y524">
        <f t="shared" si="8"/>
        <v>159</v>
      </c>
    </row>
    <row r="525" spans="1:25" x14ac:dyDescent="0.4">
      <c r="A525" s="24" t="s">
        <v>2265</v>
      </c>
      <c r="B525" s="24" t="s">
        <v>2266</v>
      </c>
      <c r="C525" s="25">
        <v>42540</v>
      </c>
      <c r="D525" s="24" t="s">
        <v>2015</v>
      </c>
      <c r="E525" s="24" t="s">
        <v>2020</v>
      </c>
      <c r="F525" s="24" t="s">
        <v>2418</v>
      </c>
      <c r="G525" s="24">
        <v>53</v>
      </c>
      <c r="H525" s="24">
        <v>30369</v>
      </c>
      <c r="I525" s="24">
        <v>5</v>
      </c>
      <c r="J525" s="24">
        <v>2525</v>
      </c>
      <c r="K525" s="24">
        <v>7</v>
      </c>
      <c r="L525" s="24">
        <v>3780</v>
      </c>
      <c r="M525" s="24">
        <v>7</v>
      </c>
      <c r="N525" s="24">
        <v>3339</v>
      </c>
      <c r="O525" s="24">
        <v>2</v>
      </c>
      <c r="P525" s="24">
        <v>1100</v>
      </c>
      <c r="Q525" s="24">
        <v>3</v>
      </c>
      <c r="R525" s="24">
        <v>1608</v>
      </c>
      <c r="S525" s="24">
        <v>13</v>
      </c>
      <c r="T525" s="24">
        <v>6175</v>
      </c>
      <c r="U525" s="24">
        <v>13</v>
      </c>
      <c r="V525" s="24">
        <v>8385</v>
      </c>
      <c r="W525" s="24">
        <v>5</v>
      </c>
      <c r="X525" s="24">
        <v>2915</v>
      </c>
      <c r="Y525">
        <f t="shared" si="8"/>
        <v>108</v>
      </c>
    </row>
    <row r="526" spans="1:25" x14ac:dyDescent="0.4">
      <c r="A526" s="24" t="s">
        <v>2267</v>
      </c>
      <c r="B526" s="24" t="s">
        <v>2268</v>
      </c>
      <c r="C526" s="25">
        <v>42758</v>
      </c>
      <c r="D526" s="24" t="s">
        <v>2027</v>
      </c>
      <c r="E526" s="24" t="s">
        <v>2028</v>
      </c>
      <c r="F526" s="24" t="s">
        <v>2418</v>
      </c>
      <c r="G526" s="24">
        <v>20</v>
      </c>
      <c r="H526" s="24">
        <v>12000</v>
      </c>
      <c r="I526" s="24">
        <v>51</v>
      </c>
      <c r="J526" s="24">
        <v>30396</v>
      </c>
      <c r="K526" s="24">
        <v>3</v>
      </c>
      <c r="L526" s="24">
        <v>1638</v>
      </c>
      <c r="M526" s="24">
        <v>10</v>
      </c>
      <c r="N526" s="24">
        <v>4590</v>
      </c>
      <c r="O526" s="24">
        <v>3</v>
      </c>
      <c r="P526" s="24">
        <v>1920</v>
      </c>
      <c r="Q526" s="24">
        <v>64</v>
      </c>
      <c r="R526" s="24">
        <v>38528</v>
      </c>
      <c r="S526" s="24">
        <v>1</v>
      </c>
      <c r="T526" s="24">
        <v>491</v>
      </c>
      <c r="U526" s="24">
        <v>0</v>
      </c>
      <c r="V526" s="24">
        <v>0</v>
      </c>
      <c r="W526" s="24">
        <v>19</v>
      </c>
      <c r="X526" s="24">
        <v>9253</v>
      </c>
      <c r="Y526">
        <f t="shared" si="8"/>
        <v>171</v>
      </c>
    </row>
    <row r="527" spans="1:25" x14ac:dyDescent="0.4">
      <c r="A527" s="24" t="s">
        <v>2261</v>
      </c>
      <c r="B527" s="24" t="s">
        <v>2269</v>
      </c>
      <c r="C527" s="25">
        <v>43339</v>
      </c>
      <c r="D527" s="24" t="s">
        <v>2015</v>
      </c>
      <c r="E527" s="24" t="s">
        <v>2020</v>
      </c>
      <c r="F527" s="24" t="s">
        <v>2418</v>
      </c>
      <c r="G527" s="24">
        <v>13</v>
      </c>
      <c r="H527" s="24">
        <v>6006</v>
      </c>
      <c r="I527" s="24">
        <v>63</v>
      </c>
      <c r="J527" s="24">
        <v>37359</v>
      </c>
      <c r="K527" s="24">
        <v>16</v>
      </c>
      <c r="L527" s="24">
        <v>8736</v>
      </c>
      <c r="M527" s="24">
        <v>1</v>
      </c>
      <c r="N527" s="24">
        <v>598</v>
      </c>
      <c r="O527" s="24">
        <v>0</v>
      </c>
      <c r="P527" s="24">
        <v>0</v>
      </c>
      <c r="Q527" s="24">
        <v>1</v>
      </c>
      <c r="R527" s="24">
        <v>606</v>
      </c>
      <c r="S527" s="24">
        <v>0</v>
      </c>
      <c r="T527" s="24">
        <v>0</v>
      </c>
      <c r="U527" s="24">
        <v>10</v>
      </c>
      <c r="V527" s="24">
        <v>5530</v>
      </c>
      <c r="W527" s="24">
        <v>12</v>
      </c>
      <c r="X527" s="24">
        <v>5460</v>
      </c>
      <c r="Y527">
        <f t="shared" si="8"/>
        <v>116</v>
      </c>
    </row>
    <row r="528" spans="1:25" x14ac:dyDescent="0.4">
      <c r="A528" s="24" t="s">
        <v>2270</v>
      </c>
      <c r="B528" s="24" t="s">
        <v>2271</v>
      </c>
      <c r="C528" s="25">
        <v>42514</v>
      </c>
      <c r="D528" s="24" t="s">
        <v>2027</v>
      </c>
      <c r="E528" s="24" t="s">
        <v>2016</v>
      </c>
      <c r="F528" s="24" t="s">
        <v>2418</v>
      </c>
      <c r="G528" s="24">
        <v>28</v>
      </c>
      <c r="H528" s="24">
        <v>14000</v>
      </c>
      <c r="I528" s="24">
        <v>7</v>
      </c>
      <c r="J528" s="24">
        <v>3416</v>
      </c>
      <c r="K528" s="24">
        <v>6</v>
      </c>
      <c r="L528" s="24">
        <v>3426</v>
      </c>
      <c r="M528" s="24">
        <v>16</v>
      </c>
      <c r="N528" s="24">
        <v>9472</v>
      </c>
      <c r="O528" s="24">
        <v>1</v>
      </c>
      <c r="P528" s="24">
        <v>482</v>
      </c>
      <c r="Q528" s="24">
        <v>27</v>
      </c>
      <c r="R528" s="24">
        <v>14418</v>
      </c>
      <c r="S528" s="24">
        <v>13</v>
      </c>
      <c r="T528" s="24">
        <v>6643</v>
      </c>
      <c r="U528" s="24">
        <v>4</v>
      </c>
      <c r="V528" s="24">
        <v>2600</v>
      </c>
      <c r="W528" s="24">
        <v>17</v>
      </c>
      <c r="X528" s="24">
        <v>9503</v>
      </c>
      <c r="Y528">
        <f t="shared" si="8"/>
        <v>119</v>
      </c>
    </row>
    <row r="529" spans="1:25" x14ac:dyDescent="0.4">
      <c r="A529" s="24" t="s">
        <v>2272</v>
      </c>
      <c r="B529" s="24" t="s">
        <v>2273</v>
      </c>
      <c r="C529" s="25">
        <v>43058</v>
      </c>
      <c r="D529" s="24" t="s">
        <v>2027</v>
      </c>
      <c r="E529" s="24" t="s">
        <v>2016</v>
      </c>
      <c r="F529" s="24" t="s">
        <v>2418</v>
      </c>
      <c r="G529" s="24">
        <v>30</v>
      </c>
      <c r="H529" s="24">
        <v>14100</v>
      </c>
      <c r="I529" s="24">
        <v>33</v>
      </c>
      <c r="J529" s="24">
        <v>18645</v>
      </c>
      <c r="K529" s="24">
        <v>20</v>
      </c>
      <c r="L529" s="24">
        <v>9220</v>
      </c>
      <c r="M529" s="24">
        <v>43</v>
      </c>
      <c r="N529" s="24">
        <v>25198</v>
      </c>
      <c r="O529" s="24">
        <v>6</v>
      </c>
      <c r="P529" s="24">
        <v>2790</v>
      </c>
      <c r="Q529" s="24">
        <v>17</v>
      </c>
      <c r="R529" s="24">
        <v>10795</v>
      </c>
      <c r="S529" s="24">
        <v>0</v>
      </c>
      <c r="T529" s="24">
        <v>0</v>
      </c>
      <c r="U529" s="24">
        <v>2</v>
      </c>
      <c r="V529" s="24">
        <v>1164</v>
      </c>
      <c r="W529" s="24">
        <v>44</v>
      </c>
      <c r="X529" s="24">
        <v>25256</v>
      </c>
      <c r="Y529">
        <f t="shared" si="8"/>
        <v>195</v>
      </c>
    </row>
    <row r="530" spans="1:25" x14ac:dyDescent="0.4">
      <c r="A530" s="24" t="s">
        <v>2274</v>
      </c>
      <c r="B530" s="24" t="s">
        <v>2275</v>
      </c>
      <c r="C530" s="25">
        <v>42690</v>
      </c>
      <c r="D530" s="24" t="s">
        <v>2027</v>
      </c>
      <c r="E530" s="24" t="s">
        <v>2028</v>
      </c>
      <c r="F530" s="24" t="s">
        <v>2418</v>
      </c>
      <c r="G530" s="24">
        <v>23</v>
      </c>
      <c r="H530" s="24">
        <v>14122</v>
      </c>
      <c r="I530" s="24">
        <v>2</v>
      </c>
      <c r="J530" s="24">
        <v>948</v>
      </c>
      <c r="K530" s="24">
        <v>1</v>
      </c>
      <c r="L530" s="24">
        <v>618</v>
      </c>
      <c r="M530" s="24">
        <v>12</v>
      </c>
      <c r="N530" s="24">
        <v>6516</v>
      </c>
      <c r="O530" s="24">
        <v>8</v>
      </c>
      <c r="P530" s="24">
        <v>4224</v>
      </c>
      <c r="Q530" s="24">
        <v>23</v>
      </c>
      <c r="R530" s="24">
        <v>13271</v>
      </c>
      <c r="S530" s="24">
        <v>1</v>
      </c>
      <c r="T530" s="24">
        <v>477</v>
      </c>
      <c r="U530" s="24">
        <v>31</v>
      </c>
      <c r="V530" s="24">
        <v>18197</v>
      </c>
      <c r="W530" s="24">
        <v>0</v>
      </c>
      <c r="X530" s="24">
        <v>0</v>
      </c>
      <c r="Y530">
        <f t="shared" si="8"/>
        <v>101</v>
      </c>
    </row>
    <row r="531" spans="1:25" x14ac:dyDescent="0.4">
      <c r="A531" s="24" t="s">
        <v>2276</v>
      </c>
      <c r="B531" s="24" t="s">
        <v>2277</v>
      </c>
      <c r="C531" s="25">
        <v>43307</v>
      </c>
      <c r="D531" s="24" t="s">
        <v>2015</v>
      </c>
      <c r="E531" s="24" t="s">
        <v>2020</v>
      </c>
      <c r="F531" s="24" t="s">
        <v>2418</v>
      </c>
      <c r="G531" s="24">
        <v>0</v>
      </c>
      <c r="H531" s="24">
        <v>0</v>
      </c>
      <c r="I531" s="24">
        <v>4</v>
      </c>
      <c r="J531" s="24">
        <v>2140</v>
      </c>
      <c r="K531" s="24">
        <v>14</v>
      </c>
      <c r="L531" s="24">
        <v>8372</v>
      </c>
      <c r="M531" s="24">
        <v>6</v>
      </c>
      <c r="N531" s="24">
        <v>3072</v>
      </c>
      <c r="O531" s="24">
        <v>2</v>
      </c>
      <c r="P531" s="24">
        <v>1058</v>
      </c>
      <c r="Q531" s="24">
        <v>3</v>
      </c>
      <c r="R531" s="24">
        <v>1536</v>
      </c>
      <c r="S531" s="24">
        <v>14</v>
      </c>
      <c r="T531" s="24">
        <v>8722</v>
      </c>
      <c r="U531" s="24">
        <v>3</v>
      </c>
      <c r="V531" s="24">
        <v>1935</v>
      </c>
      <c r="W531" s="24">
        <v>0</v>
      </c>
      <c r="X531" s="24">
        <v>0</v>
      </c>
      <c r="Y531">
        <f t="shared" si="8"/>
        <v>46</v>
      </c>
    </row>
    <row r="532" spans="1:25" x14ac:dyDescent="0.4">
      <c r="A532" s="24" t="s">
        <v>2278</v>
      </c>
      <c r="B532" s="24" t="s">
        <v>2279</v>
      </c>
      <c r="C532" s="25">
        <v>42368</v>
      </c>
      <c r="D532" s="24" t="s">
        <v>2027</v>
      </c>
      <c r="E532" s="24" t="s">
        <v>2028</v>
      </c>
      <c r="F532" s="24" t="s">
        <v>2418</v>
      </c>
      <c r="G532" s="24">
        <v>0</v>
      </c>
      <c r="H532" s="24">
        <v>0</v>
      </c>
      <c r="I532" s="24">
        <v>27</v>
      </c>
      <c r="J532" s="24">
        <v>14526</v>
      </c>
      <c r="K532" s="24">
        <v>63</v>
      </c>
      <c r="L532" s="24">
        <v>40761</v>
      </c>
      <c r="M532" s="24">
        <v>2</v>
      </c>
      <c r="N532" s="24">
        <v>1016</v>
      </c>
      <c r="O532" s="24">
        <v>4</v>
      </c>
      <c r="P532" s="24">
        <v>2600</v>
      </c>
      <c r="Q532" s="24">
        <v>0</v>
      </c>
      <c r="R532" s="24">
        <v>0</v>
      </c>
      <c r="S532" s="24">
        <v>1</v>
      </c>
      <c r="T532" s="24">
        <v>513</v>
      </c>
      <c r="U532" s="24">
        <v>25</v>
      </c>
      <c r="V532" s="24">
        <v>11575</v>
      </c>
      <c r="W532" s="24">
        <v>8</v>
      </c>
      <c r="X532" s="24">
        <v>4264</v>
      </c>
      <c r="Y532">
        <f t="shared" si="8"/>
        <v>130</v>
      </c>
    </row>
    <row r="533" spans="1:25" x14ac:dyDescent="0.4">
      <c r="A533" s="24" t="s">
        <v>2280</v>
      </c>
      <c r="B533" s="24" t="s">
        <v>2281</v>
      </c>
      <c r="C533" s="25">
        <v>43666</v>
      </c>
      <c r="D533" s="24" t="s">
        <v>2027</v>
      </c>
      <c r="E533" s="24" t="s">
        <v>2016</v>
      </c>
      <c r="F533" s="24" t="s">
        <v>2418</v>
      </c>
      <c r="G533" s="24">
        <v>19</v>
      </c>
      <c r="H533" s="24">
        <v>8740</v>
      </c>
      <c r="I533" s="24">
        <v>1</v>
      </c>
      <c r="J533" s="24">
        <v>504</v>
      </c>
      <c r="K533" s="24">
        <v>12</v>
      </c>
      <c r="L533" s="24">
        <v>5484</v>
      </c>
      <c r="M533" s="24">
        <v>6</v>
      </c>
      <c r="N533" s="24">
        <v>2748</v>
      </c>
      <c r="O533" s="24">
        <v>16</v>
      </c>
      <c r="P533" s="24">
        <v>10160</v>
      </c>
      <c r="Q533" s="24">
        <v>1</v>
      </c>
      <c r="R533" s="24">
        <v>491</v>
      </c>
      <c r="S533" s="24">
        <v>21</v>
      </c>
      <c r="T533" s="24">
        <v>13629</v>
      </c>
      <c r="U533" s="24">
        <v>2</v>
      </c>
      <c r="V533" s="24">
        <v>954</v>
      </c>
      <c r="W533" s="24">
        <v>25</v>
      </c>
      <c r="X533" s="24">
        <v>11250</v>
      </c>
      <c r="Y533">
        <f t="shared" si="8"/>
        <v>103</v>
      </c>
    </row>
    <row r="534" spans="1:25" x14ac:dyDescent="0.4">
      <c r="A534" s="24" t="s">
        <v>2282</v>
      </c>
      <c r="B534" s="24" t="s">
        <v>2283</v>
      </c>
      <c r="C534" s="25">
        <v>42369</v>
      </c>
      <c r="D534" s="24" t="s">
        <v>2015</v>
      </c>
      <c r="E534" s="24" t="s">
        <v>2020</v>
      </c>
      <c r="F534" s="24" t="s">
        <v>2418</v>
      </c>
      <c r="G534" s="24">
        <v>68</v>
      </c>
      <c r="H534" s="24">
        <v>32300</v>
      </c>
      <c r="I534" s="24">
        <v>1</v>
      </c>
      <c r="J534" s="24">
        <v>551</v>
      </c>
      <c r="K534" s="24">
        <v>8</v>
      </c>
      <c r="L534" s="24">
        <v>4792</v>
      </c>
      <c r="M534" s="24">
        <v>2</v>
      </c>
      <c r="N534" s="24">
        <v>1186</v>
      </c>
      <c r="O534" s="24">
        <v>0</v>
      </c>
      <c r="P534" s="24">
        <v>0</v>
      </c>
      <c r="Q534" s="24">
        <v>35</v>
      </c>
      <c r="R534" s="24">
        <v>15925</v>
      </c>
      <c r="S534" s="24">
        <v>34</v>
      </c>
      <c r="T534" s="24">
        <v>15810</v>
      </c>
      <c r="U534" s="24">
        <v>15</v>
      </c>
      <c r="V534" s="24">
        <v>8250</v>
      </c>
      <c r="W534" s="24">
        <v>17</v>
      </c>
      <c r="X534" s="24">
        <v>9282</v>
      </c>
      <c r="Y534">
        <f t="shared" si="8"/>
        <v>180</v>
      </c>
    </row>
    <row r="535" spans="1:25" x14ac:dyDescent="0.4">
      <c r="A535" s="24" t="s">
        <v>2284</v>
      </c>
      <c r="B535" s="24" t="s">
        <v>2285</v>
      </c>
      <c r="C535" s="25">
        <v>43639</v>
      </c>
      <c r="D535" s="24" t="s">
        <v>2015</v>
      </c>
      <c r="E535" s="24" t="s">
        <v>2028</v>
      </c>
      <c r="F535" s="24" t="s">
        <v>2418</v>
      </c>
      <c r="G535" s="24">
        <v>52</v>
      </c>
      <c r="H535" s="24">
        <v>27976</v>
      </c>
      <c r="I535" s="24">
        <v>45</v>
      </c>
      <c r="J535" s="24">
        <v>29115</v>
      </c>
      <c r="K535" s="24">
        <v>10</v>
      </c>
      <c r="L535" s="24">
        <v>5480</v>
      </c>
      <c r="M535" s="24">
        <v>21</v>
      </c>
      <c r="N535" s="24">
        <v>11193</v>
      </c>
      <c r="O535" s="24">
        <v>34</v>
      </c>
      <c r="P535" s="24">
        <v>19380</v>
      </c>
      <c r="Q535" s="24">
        <v>28</v>
      </c>
      <c r="R535" s="24">
        <v>13048</v>
      </c>
      <c r="S535" s="24">
        <v>66</v>
      </c>
      <c r="T535" s="24">
        <v>32538</v>
      </c>
      <c r="U535" s="24">
        <v>2</v>
      </c>
      <c r="V535" s="24">
        <v>1172</v>
      </c>
      <c r="W535" s="24">
        <v>6</v>
      </c>
      <c r="X535" s="24">
        <v>3162</v>
      </c>
      <c r="Y535">
        <f t="shared" si="8"/>
        <v>264</v>
      </c>
    </row>
    <row r="536" spans="1:25" x14ac:dyDescent="0.4">
      <c r="A536" s="24" t="s">
        <v>2286</v>
      </c>
      <c r="B536" s="24" t="s">
        <v>2287</v>
      </c>
      <c r="C536" s="25">
        <v>42269</v>
      </c>
      <c r="D536" s="24" t="s">
        <v>2015</v>
      </c>
      <c r="E536" s="24" t="s">
        <v>2028</v>
      </c>
      <c r="F536" s="24" t="s">
        <v>2418</v>
      </c>
      <c r="G536" s="24">
        <v>2</v>
      </c>
      <c r="H536" s="24">
        <v>998</v>
      </c>
      <c r="I536" s="24">
        <v>30</v>
      </c>
      <c r="J536" s="24">
        <v>18180</v>
      </c>
      <c r="K536" s="24">
        <v>1</v>
      </c>
      <c r="L536" s="24">
        <v>596</v>
      </c>
      <c r="M536" s="24">
        <v>37</v>
      </c>
      <c r="N536" s="24">
        <v>23421</v>
      </c>
      <c r="O536" s="24">
        <v>0</v>
      </c>
      <c r="P536" s="24">
        <v>0</v>
      </c>
      <c r="Q536" s="24">
        <v>0</v>
      </c>
      <c r="R536" s="24">
        <v>0</v>
      </c>
      <c r="S536" s="24">
        <v>22</v>
      </c>
      <c r="T536" s="24">
        <v>12496</v>
      </c>
      <c r="U536" s="24">
        <v>31</v>
      </c>
      <c r="V536" s="24">
        <v>18135</v>
      </c>
      <c r="W536" s="24">
        <v>0</v>
      </c>
      <c r="X536" s="24">
        <v>0</v>
      </c>
      <c r="Y536">
        <f t="shared" si="8"/>
        <v>123</v>
      </c>
    </row>
    <row r="537" spans="1:25" x14ac:dyDescent="0.4">
      <c r="A537" s="24" t="s">
        <v>2288</v>
      </c>
      <c r="B537" s="24" t="s">
        <v>2289</v>
      </c>
      <c r="C537" s="25">
        <v>43429</v>
      </c>
      <c r="D537" s="24" t="s">
        <v>2027</v>
      </c>
      <c r="E537" s="24" t="s">
        <v>2028</v>
      </c>
      <c r="F537" s="24" t="s">
        <v>2418</v>
      </c>
      <c r="G537" s="24">
        <v>44</v>
      </c>
      <c r="H537" s="24">
        <v>22132</v>
      </c>
      <c r="I537" s="24">
        <v>9</v>
      </c>
      <c r="J537" s="24">
        <v>5526</v>
      </c>
      <c r="K537" s="24">
        <v>15</v>
      </c>
      <c r="L537" s="24">
        <v>9225</v>
      </c>
      <c r="M537" s="24">
        <v>4</v>
      </c>
      <c r="N537" s="24">
        <v>2512</v>
      </c>
      <c r="O537" s="24">
        <v>3</v>
      </c>
      <c r="P537" s="24">
        <v>1800</v>
      </c>
      <c r="Q537" s="24">
        <v>3</v>
      </c>
      <c r="R537" s="24">
        <v>1740</v>
      </c>
      <c r="S537" s="24">
        <v>26</v>
      </c>
      <c r="T537" s="24">
        <v>15366</v>
      </c>
      <c r="U537" s="24">
        <v>20</v>
      </c>
      <c r="V537" s="24">
        <v>9280</v>
      </c>
      <c r="W537" s="24">
        <v>9</v>
      </c>
      <c r="X537" s="24">
        <v>5301</v>
      </c>
      <c r="Y537">
        <f t="shared" si="8"/>
        <v>133</v>
      </c>
    </row>
    <row r="538" spans="1:25" x14ac:dyDescent="0.4">
      <c r="A538" s="24" t="s">
        <v>2290</v>
      </c>
      <c r="B538" s="24" t="s">
        <v>2291</v>
      </c>
      <c r="C538" s="25">
        <v>43883</v>
      </c>
      <c r="D538" s="24" t="s">
        <v>2027</v>
      </c>
      <c r="E538" s="24" t="s">
        <v>2020</v>
      </c>
      <c r="F538" s="24" t="s">
        <v>2418</v>
      </c>
      <c r="G538" s="24">
        <v>23</v>
      </c>
      <c r="H538" s="24">
        <v>10649</v>
      </c>
      <c r="I538" s="24">
        <v>11</v>
      </c>
      <c r="J538" s="24">
        <v>5588</v>
      </c>
      <c r="K538" s="24">
        <v>23</v>
      </c>
      <c r="L538" s="24">
        <v>11431</v>
      </c>
      <c r="M538" s="24">
        <v>27</v>
      </c>
      <c r="N538" s="24">
        <v>16119</v>
      </c>
      <c r="O538" s="24">
        <v>3</v>
      </c>
      <c r="P538" s="24">
        <v>1689</v>
      </c>
      <c r="Q538" s="24">
        <v>59</v>
      </c>
      <c r="R538" s="24">
        <v>28733</v>
      </c>
      <c r="S538" s="24">
        <v>69</v>
      </c>
      <c r="T538" s="24">
        <v>39399</v>
      </c>
      <c r="U538" s="24">
        <v>1</v>
      </c>
      <c r="V538" s="24">
        <v>514</v>
      </c>
      <c r="W538" s="24">
        <v>24</v>
      </c>
      <c r="X538" s="24">
        <v>11664</v>
      </c>
      <c r="Y538">
        <f t="shared" si="8"/>
        <v>240</v>
      </c>
    </row>
    <row r="539" spans="1:25" x14ac:dyDescent="0.4">
      <c r="A539" s="24" t="s">
        <v>2292</v>
      </c>
      <c r="B539" s="24" t="s">
        <v>2293</v>
      </c>
      <c r="C539" s="25">
        <v>42999</v>
      </c>
      <c r="D539" s="24" t="s">
        <v>2015</v>
      </c>
      <c r="E539" s="24" t="s">
        <v>2028</v>
      </c>
      <c r="F539" s="24" t="s">
        <v>2418</v>
      </c>
      <c r="G539" s="24">
        <v>22</v>
      </c>
      <c r="H539" s="24">
        <v>14124</v>
      </c>
      <c r="I539" s="24">
        <v>14</v>
      </c>
      <c r="J539" s="24">
        <v>7938</v>
      </c>
      <c r="K539" s="24">
        <v>9</v>
      </c>
      <c r="L539" s="24">
        <v>5463</v>
      </c>
      <c r="M539" s="24">
        <v>17</v>
      </c>
      <c r="N539" s="24">
        <v>7854</v>
      </c>
      <c r="O539" s="24">
        <v>5</v>
      </c>
      <c r="P539" s="24">
        <v>2865</v>
      </c>
      <c r="Q539" s="24">
        <v>1</v>
      </c>
      <c r="R539" s="24">
        <v>540</v>
      </c>
      <c r="S539" s="24">
        <v>1</v>
      </c>
      <c r="T539" s="24">
        <v>570</v>
      </c>
      <c r="U539" s="24">
        <v>6</v>
      </c>
      <c r="V539" s="24">
        <v>2850</v>
      </c>
      <c r="W539" s="24">
        <v>72</v>
      </c>
      <c r="X539" s="24">
        <v>33192</v>
      </c>
      <c r="Y539">
        <f t="shared" si="8"/>
        <v>147</v>
      </c>
    </row>
    <row r="540" spans="1:25" x14ac:dyDescent="0.4">
      <c r="A540" s="24" t="s">
        <v>2294</v>
      </c>
      <c r="B540" s="24" t="s">
        <v>2295</v>
      </c>
      <c r="C540" s="25">
        <v>43479</v>
      </c>
      <c r="D540" s="24" t="s">
        <v>2027</v>
      </c>
      <c r="E540" s="24" t="s">
        <v>2028</v>
      </c>
      <c r="F540" s="24" t="s">
        <v>2418</v>
      </c>
      <c r="G540" s="24">
        <v>26</v>
      </c>
      <c r="H540" s="24">
        <v>15808</v>
      </c>
      <c r="I540" s="24">
        <v>2</v>
      </c>
      <c r="J540" s="24">
        <v>960</v>
      </c>
      <c r="K540" s="24">
        <v>3</v>
      </c>
      <c r="L540" s="24">
        <v>1866</v>
      </c>
      <c r="M540" s="24">
        <v>16</v>
      </c>
      <c r="N540" s="24">
        <v>8528</v>
      </c>
      <c r="O540" s="24">
        <v>48</v>
      </c>
      <c r="P540" s="24">
        <v>30864</v>
      </c>
      <c r="Q540" s="24">
        <v>48</v>
      </c>
      <c r="R540" s="24">
        <v>24240</v>
      </c>
      <c r="S540" s="24">
        <v>6</v>
      </c>
      <c r="T540" s="24">
        <v>3120</v>
      </c>
      <c r="U540" s="24">
        <v>7</v>
      </c>
      <c r="V540" s="24">
        <v>3556</v>
      </c>
      <c r="W540" s="24">
        <v>0</v>
      </c>
      <c r="X540" s="24">
        <v>0</v>
      </c>
      <c r="Y540">
        <f t="shared" si="8"/>
        <v>156</v>
      </c>
    </row>
    <row r="541" spans="1:25" x14ac:dyDescent="0.4">
      <c r="A541" s="24" t="s">
        <v>2296</v>
      </c>
      <c r="B541" s="24" t="s">
        <v>2297</v>
      </c>
      <c r="C541" s="25">
        <v>42654</v>
      </c>
      <c r="D541" s="24" t="s">
        <v>2015</v>
      </c>
      <c r="E541" s="24" t="s">
        <v>2016</v>
      </c>
      <c r="F541" s="24" t="s">
        <v>2418</v>
      </c>
      <c r="G541" s="24">
        <v>1</v>
      </c>
      <c r="H541" s="24">
        <v>552</v>
      </c>
      <c r="I541" s="24">
        <v>1</v>
      </c>
      <c r="J541" s="24">
        <v>606</v>
      </c>
      <c r="K541" s="24">
        <v>11</v>
      </c>
      <c r="L541" s="24">
        <v>5819</v>
      </c>
      <c r="M541" s="24">
        <v>0</v>
      </c>
      <c r="N541" s="24">
        <v>0</v>
      </c>
      <c r="O541" s="24">
        <v>36</v>
      </c>
      <c r="P541" s="24">
        <v>16740</v>
      </c>
      <c r="Q541" s="24">
        <v>58</v>
      </c>
      <c r="R541" s="24">
        <v>32828</v>
      </c>
      <c r="S541" s="24">
        <v>19</v>
      </c>
      <c r="T541" s="24">
        <v>12084</v>
      </c>
      <c r="U541" s="24">
        <v>13</v>
      </c>
      <c r="V541" s="24">
        <v>8281</v>
      </c>
      <c r="W541" s="24">
        <v>38</v>
      </c>
      <c r="X541" s="24">
        <v>19076</v>
      </c>
      <c r="Y541">
        <f t="shared" si="8"/>
        <v>177</v>
      </c>
    </row>
    <row r="542" spans="1:25" x14ac:dyDescent="0.4">
      <c r="A542" s="24" t="s">
        <v>2298</v>
      </c>
      <c r="B542" s="24" t="s">
        <v>2299</v>
      </c>
      <c r="C542" s="25">
        <v>42315</v>
      </c>
      <c r="D542" s="24" t="s">
        <v>2015</v>
      </c>
      <c r="E542" s="24" t="s">
        <v>2028</v>
      </c>
      <c r="F542" s="24" t="s">
        <v>2418</v>
      </c>
      <c r="G542" s="24">
        <v>48</v>
      </c>
      <c r="H542" s="24">
        <v>26352</v>
      </c>
      <c r="I542" s="24">
        <v>41</v>
      </c>
      <c r="J542" s="24">
        <v>25133</v>
      </c>
      <c r="K542" s="24">
        <v>42</v>
      </c>
      <c r="L542" s="24">
        <v>20874</v>
      </c>
      <c r="M542" s="24">
        <v>28</v>
      </c>
      <c r="N542" s="24">
        <v>13272</v>
      </c>
      <c r="O542" s="24">
        <v>0</v>
      </c>
      <c r="P542" s="24">
        <v>0</v>
      </c>
      <c r="Q542" s="24">
        <v>2</v>
      </c>
      <c r="R542" s="24">
        <v>1244</v>
      </c>
      <c r="S542" s="24">
        <v>9</v>
      </c>
      <c r="T542" s="24">
        <v>5373</v>
      </c>
      <c r="U542" s="24">
        <v>37</v>
      </c>
      <c r="V542" s="24">
        <v>19536</v>
      </c>
      <c r="W542" s="24">
        <v>1</v>
      </c>
      <c r="X542" s="24">
        <v>631</v>
      </c>
      <c r="Y542">
        <f t="shared" si="8"/>
        <v>208</v>
      </c>
    </row>
    <row r="543" spans="1:25" x14ac:dyDescent="0.4">
      <c r="A543" s="24" t="s">
        <v>2300</v>
      </c>
      <c r="B543" s="24" t="s">
        <v>2301</v>
      </c>
      <c r="C543" s="25">
        <v>44029</v>
      </c>
      <c r="D543" s="24" t="s">
        <v>2015</v>
      </c>
      <c r="E543" s="24" t="s">
        <v>2028</v>
      </c>
      <c r="F543" s="24" t="s">
        <v>2418</v>
      </c>
      <c r="G543" s="24">
        <v>24</v>
      </c>
      <c r="H543" s="24">
        <v>14952</v>
      </c>
      <c r="I543" s="24">
        <v>34</v>
      </c>
      <c r="J543" s="24">
        <v>19312</v>
      </c>
      <c r="K543" s="24">
        <v>55</v>
      </c>
      <c r="L543" s="24">
        <v>26180</v>
      </c>
      <c r="M543" s="24">
        <v>1</v>
      </c>
      <c r="N543" s="24">
        <v>576</v>
      </c>
      <c r="O543" s="24">
        <v>3</v>
      </c>
      <c r="P543" s="24">
        <v>1413</v>
      </c>
      <c r="Q543" s="24">
        <v>1</v>
      </c>
      <c r="R543" s="24">
        <v>557</v>
      </c>
      <c r="S543" s="24">
        <v>10</v>
      </c>
      <c r="T543" s="24">
        <v>5240</v>
      </c>
      <c r="U543" s="24">
        <v>2</v>
      </c>
      <c r="V543" s="24">
        <v>960</v>
      </c>
      <c r="W543" s="24">
        <v>1</v>
      </c>
      <c r="X543" s="24">
        <v>622</v>
      </c>
      <c r="Y543">
        <f t="shared" si="8"/>
        <v>131</v>
      </c>
    </row>
    <row r="544" spans="1:25" x14ac:dyDescent="0.4">
      <c r="A544" s="24" t="s">
        <v>2302</v>
      </c>
      <c r="B544" s="24" t="s">
        <v>2303</v>
      </c>
      <c r="C544" s="25">
        <v>43260</v>
      </c>
      <c r="D544" s="24" t="s">
        <v>2027</v>
      </c>
      <c r="E544" s="24" t="s">
        <v>2016</v>
      </c>
      <c r="F544" s="24" t="s">
        <v>2418</v>
      </c>
      <c r="G544" s="24">
        <v>1</v>
      </c>
      <c r="H544" s="24">
        <v>534</v>
      </c>
      <c r="I544" s="24">
        <v>8</v>
      </c>
      <c r="J544" s="24">
        <v>4816</v>
      </c>
      <c r="K544" s="24">
        <v>20</v>
      </c>
      <c r="L544" s="24">
        <v>9400</v>
      </c>
      <c r="M544" s="24">
        <v>1</v>
      </c>
      <c r="N544" s="24">
        <v>483</v>
      </c>
      <c r="O544" s="24">
        <v>83</v>
      </c>
      <c r="P544" s="24">
        <v>42164</v>
      </c>
      <c r="Q544" s="24">
        <v>6</v>
      </c>
      <c r="R544" s="24">
        <v>3018</v>
      </c>
      <c r="S544" s="24">
        <v>17</v>
      </c>
      <c r="T544" s="24">
        <v>8262</v>
      </c>
      <c r="U544" s="24">
        <v>2</v>
      </c>
      <c r="V544" s="24">
        <v>1076</v>
      </c>
      <c r="W544" s="24">
        <v>1</v>
      </c>
      <c r="X544" s="24">
        <v>474</v>
      </c>
      <c r="Y544">
        <f t="shared" si="8"/>
        <v>139</v>
      </c>
    </row>
    <row r="545" spans="1:25" x14ac:dyDescent="0.4">
      <c r="A545" s="24" t="s">
        <v>2304</v>
      </c>
      <c r="B545" s="24" t="s">
        <v>2305</v>
      </c>
      <c r="C545" s="25">
        <v>43715</v>
      </c>
      <c r="D545" s="24" t="s">
        <v>2027</v>
      </c>
      <c r="E545" s="24" t="s">
        <v>2020</v>
      </c>
      <c r="F545" s="24" t="s">
        <v>2418</v>
      </c>
      <c r="G545" s="24">
        <v>27</v>
      </c>
      <c r="H545" s="24">
        <v>12420</v>
      </c>
      <c r="I545" s="24">
        <v>3</v>
      </c>
      <c r="J545" s="24">
        <v>1548</v>
      </c>
      <c r="K545" s="24">
        <v>2</v>
      </c>
      <c r="L545" s="24">
        <v>1000</v>
      </c>
      <c r="M545" s="24">
        <v>6</v>
      </c>
      <c r="N545" s="24">
        <v>3774</v>
      </c>
      <c r="O545" s="24">
        <v>2</v>
      </c>
      <c r="P545" s="24">
        <v>1250</v>
      </c>
      <c r="Q545" s="24">
        <v>12</v>
      </c>
      <c r="R545" s="24">
        <v>5628</v>
      </c>
      <c r="S545" s="24">
        <v>55</v>
      </c>
      <c r="T545" s="24">
        <v>27665</v>
      </c>
      <c r="U545" s="24">
        <v>16</v>
      </c>
      <c r="V545" s="24">
        <v>9392</v>
      </c>
      <c r="W545" s="24">
        <v>10</v>
      </c>
      <c r="X545" s="24">
        <v>5390</v>
      </c>
      <c r="Y545">
        <f t="shared" si="8"/>
        <v>133</v>
      </c>
    </row>
    <row r="546" spans="1:25" x14ac:dyDescent="0.4">
      <c r="A546" s="24" t="s">
        <v>2306</v>
      </c>
      <c r="B546" s="24" t="s">
        <v>2307</v>
      </c>
      <c r="C546" s="25">
        <v>42423</v>
      </c>
      <c r="D546" s="24" t="s">
        <v>2027</v>
      </c>
      <c r="E546" s="24" t="s">
        <v>2028</v>
      </c>
      <c r="F546" s="24" t="s">
        <v>2418</v>
      </c>
      <c r="G546" s="24">
        <v>0</v>
      </c>
      <c r="H546" s="24">
        <v>0</v>
      </c>
      <c r="I546" s="24">
        <v>20</v>
      </c>
      <c r="J546" s="24">
        <v>10660</v>
      </c>
      <c r="K546" s="24">
        <v>22</v>
      </c>
      <c r="L546" s="24">
        <v>13486</v>
      </c>
      <c r="M546" s="24">
        <v>31</v>
      </c>
      <c r="N546" s="24">
        <v>15655</v>
      </c>
      <c r="O546" s="24">
        <v>1</v>
      </c>
      <c r="P546" s="24">
        <v>630</v>
      </c>
      <c r="Q546" s="24">
        <v>0</v>
      </c>
      <c r="R546" s="24">
        <v>0</v>
      </c>
      <c r="S546" s="24">
        <v>16</v>
      </c>
      <c r="T546" s="24">
        <v>8032</v>
      </c>
      <c r="U546" s="24">
        <v>10</v>
      </c>
      <c r="V546" s="24">
        <v>6340</v>
      </c>
      <c r="W546" s="24">
        <v>8</v>
      </c>
      <c r="X546" s="24">
        <v>3600</v>
      </c>
      <c r="Y546">
        <f t="shared" si="8"/>
        <v>108</v>
      </c>
    </row>
    <row r="547" spans="1:25" x14ac:dyDescent="0.4">
      <c r="A547" s="24" t="s">
        <v>2308</v>
      </c>
      <c r="B547" s="24" t="s">
        <v>2309</v>
      </c>
      <c r="C547" s="25">
        <v>43472</v>
      </c>
      <c r="D547" s="24" t="s">
        <v>2015</v>
      </c>
      <c r="E547" s="24" t="s">
        <v>2016</v>
      </c>
      <c r="F547" s="24" t="s">
        <v>2418</v>
      </c>
      <c r="G547" s="24">
        <v>0</v>
      </c>
      <c r="H547" s="24">
        <v>0</v>
      </c>
      <c r="I547" s="24">
        <v>64</v>
      </c>
      <c r="J547" s="24">
        <v>35456</v>
      </c>
      <c r="K547" s="24">
        <v>22</v>
      </c>
      <c r="L547" s="24">
        <v>12430</v>
      </c>
      <c r="M547" s="24">
        <v>10</v>
      </c>
      <c r="N547" s="24">
        <v>5620</v>
      </c>
      <c r="O547" s="24">
        <v>2</v>
      </c>
      <c r="P547" s="24">
        <v>938</v>
      </c>
      <c r="Q547" s="24">
        <v>11</v>
      </c>
      <c r="R547" s="24">
        <v>5159</v>
      </c>
      <c r="S547" s="24">
        <v>65</v>
      </c>
      <c r="T547" s="24">
        <v>40690</v>
      </c>
      <c r="U547" s="24">
        <v>5</v>
      </c>
      <c r="V547" s="24">
        <v>2905</v>
      </c>
      <c r="W547" s="24">
        <v>9</v>
      </c>
      <c r="X547" s="24">
        <v>4365</v>
      </c>
      <c r="Y547">
        <f t="shared" si="8"/>
        <v>188</v>
      </c>
    </row>
    <row r="548" spans="1:25" x14ac:dyDescent="0.4">
      <c r="A548" s="24" t="s">
        <v>2310</v>
      </c>
      <c r="B548" s="24" t="s">
        <v>2311</v>
      </c>
      <c r="C548" s="25">
        <v>43828</v>
      </c>
      <c r="D548" s="24" t="s">
        <v>2027</v>
      </c>
      <c r="E548" s="24" t="s">
        <v>2028</v>
      </c>
      <c r="F548" s="24" t="s">
        <v>2418</v>
      </c>
      <c r="G548" s="24">
        <v>19</v>
      </c>
      <c r="H548" s="24">
        <v>11419</v>
      </c>
      <c r="I548" s="24">
        <v>0</v>
      </c>
      <c r="J548" s="24">
        <v>0</v>
      </c>
      <c r="K548" s="24">
        <v>39</v>
      </c>
      <c r="L548" s="24">
        <v>24648</v>
      </c>
      <c r="M548" s="24">
        <v>47</v>
      </c>
      <c r="N548" s="24">
        <v>30174</v>
      </c>
      <c r="O548" s="24">
        <v>6</v>
      </c>
      <c r="P548" s="24">
        <v>3468</v>
      </c>
      <c r="Q548" s="24">
        <v>24</v>
      </c>
      <c r="R548" s="24">
        <v>14640</v>
      </c>
      <c r="S548" s="24">
        <v>16</v>
      </c>
      <c r="T548" s="24">
        <v>9168</v>
      </c>
      <c r="U548" s="24">
        <v>40</v>
      </c>
      <c r="V548" s="24">
        <v>22560</v>
      </c>
      <c r="W548" s="24">
        <v>77</v>
      </c>
      <c r="X548" s="24">
        <v>45045</v>
      </c>
      <c r="Y548">
        <f t="shared" si="8"/>
        <v>268</v>
      </c>
    </row>
    <row r="549" spans="1:25" x14ac:dyDescent="0.4">
      <c r="A549" s="24" t="s">
        <v>2312</v>
      </c>
      <c r="B549" s="24" t="s">
        <v>2313</v>
      </c>
      <c r="C549" s="25">
        <v>44021</v>
      </c>
      <c r="D549" s="24" t="s">
        <v>2015</v>
      </c>
      <c r="E549" s="24" t="s">
        <v>2028</v>
      </c>
      <c r="F549" s="24" t="s">
        <v>2418</v>
      </c>
      <c r="G549" s="24">
        <v>1</v>
      </c>
      <c r="H549" s="24">
        <v>500</v>
      </c>
      <c r="I549" s="24">
        <v>10</v>
      </c>
      <c r="J549" s="24">
        <v>4800</v>
      </c>
      <c r="K549" s="24">
        <v>0</v>
      </c>
      <c r="L549" s="24">
        <v>0</v>
      </c>
      <c r="M549" s="24">
        <v>12</v>
      </c>
      <c r="N549" s="24">
        <v>6240</v>
      </c>
      <c r="O549" s="24">
        <v>13</v>
      </c>
      <c r="P549" s="24">
        <v>7917</v>
      </c>
      <c r="Q549" s="24">
        <v>5</v>
      </c>
      <c r="R549" s="24">
        <v>2600</v>
      </c>
      <c r="S549" s="24">
        <v>2</v>
      </c>
      <c r="T549" s="24">
        <v>1264</v>
      </c>
      <c r="U549" s="24">
        <v>1</v>
      </c>
      <c r="V549" s="24">
        <v>631</v>
      </c>
      <c r="W549" s="24">
        <v>0</v>
      </c>
      <c r="X549" s="24">
        <v>0</v>
      </c>
      <c r="Y549">
        <f t="shared" si="8"/>
        <v>44</v>
      </c>
    </row>
    <row r="550" spans="1:25" x14ac:dyDescent="0.4">
      <c r="A550" s="24" t="s">
        <v>2314</v>
      </c>
      <c r="B550" s="24" t="s">
        <v>2315</v>
      </c>
      <c r="C550" s="25">
        <v>43224</v>
      </c>
      <c r="D550" s="24" t="s">
        <v>2027</v>
      </c>
      <c r="E550" s="24" t="s">
        <v>2028</v>
      </c>
      <c r="F550" s="24" t="s">
        <v>2418</v>
      </c>
      <c r="G550" s="24">
        <v>27</v>
      </c>
      <c r="H550" s="24">
        <v>12258</v>
      </c>
      <c r="I550" s="24">
        <v>0</v>
      </c>
      <c r="J550" s="24">
        <v>0</v>
      </c>
      <c r="K550" s="24">
        <v>3</v>
      </c>
      <c r="L550" s="24">
        <v>1893</v>
      </c>
      <c r="M550" s="24">
        <v>15</v>
      </c>
      <c r="N550" s="24">
        <v>8745</v>
      </c>
      <c r="O550" s="24">
        <v>57</v>
      </c>
      <c r="P550" s="24">
        <v>26106</v>
      </c>
      <c r="Q550" s="24">
        <v>10</v>
      </c>
      <c r="R550" s="24">
        <v>5520</v>
      </c>
      <c r="S550" s="24">
        <v>20</v>
      </c>
      <c r="T550" s="24">
        <v>10400</v>
      </c>
      <c r="U550" s="24">
        <v>56</v>
      </c>
      <c r="V550" s="24">
        <v>30856</v>
      </c>
      <c r="W550" s="24">
        <v>3</v>
      </c>
      <c r="X550" s="24">
        <v>1479</v>
      </c>
      <c r="Y550">
        <f t="shared" si="8"/>
        <v>191</v>
      </c>
    </row>
    <row r="551" spans="1:25" x14ac:dyDescent="0.4">
      <c r="A551" s="24" t="s">
        <v>2316</v>
      </c>
      <c r="B551" s="24" t="s">
        <v>2317</v>
      </c>
      <c r="C551" s="25">
        <v>43376</v>
      </c>
      <c r="D551" s="24" t="s">
        <v>2027</v>
      </c>
      <c r="E551" s="24" t="s">
        <v>2028</v>
      </c>
      <c r="F551" s="24" t="s">
        <v>2418</v>
      </c>
      <c r="G551" s="24">
        <v>48</v>
      </c>
      <c r="H551" s="24">
        <v>21744</v>
      </c>
      <c r="I551" s="24">
        <v>0</v>
      </c>
      <c r="J551" s="24">
        <v>0</v>
      </c>
      <c r="K551" s="24">
        <v>54</v>
      </c>
      <c r="L551" s="24">
        <v>32940</v>
      </c>
      <c r="M551" s="24">
        <v>0</v>
      </c>
      <c r="N551" s="24">
        <v>0</v>
      </c>
      <c r="O551" s="24">
        <v>3</v>
      </c>
      <c r="P551" s="24">
        <v>1452</v>
      </c>
      <c r="Q551" s="24">
        <v>22</v>
      </c>
      <c r="R551" s="24">
        <v>13376</v>
      </c>
      <c r="S551" s="24">
        <v>18</v>
      </c>
      <c r="T551" s="24">
        <v>10116</v>
      </c>
      <c r="U551" s="24">
        <v>16</v>
      </c>
      <c r="V551" s="24">
        <v>7424</v>
      </c>
      <c r="W551" s="24">
        <v>50</v>
      </c>
      <c r="X551" s="24">
        <v>31350</v>
      </c>
      <c r="Y551">
        <f t="shared" si="8"/>
        <v>211</v>
      </c>
    </row>
    <row r="552" spans="1:25" x14ac:dyDescent="0.4">
      <c r="A552" s="24" t="s">
        <v>2318</v>
      </c>
      <c r="B552" s="24" t="s">
        <v>2319</v>
      </c>
      <c r="C552" s="25">
        <v>42831</v>
      </c>
      <c r="D552" s="24" t="s">
        <v>2027</v>
      </c>
      <c r="E552" s="24" t="s">
        <v>2028</v>
      </c>
      <c r="F552" s="24" t="s">
        <v>2418</v>
      </c>
      <c r="G552" s="24">
        <v>6</v>
      </c>
      <c r="H552" s="24">
        <v>3714</v>
      </c>
      <c r="I552" s="24">
        <v>4</v>
      </c>
      <c r="J552" s="24">
        <v>2444</v>
      </c>
      <c r="K552" s="24">
        <v>5</v>
      </c>
      <c r="L552" s="24">
        <v>3135</v>
      </c>
      <c r="M552" s="24">
        <v>21</v>
      </c>
      <c r="N552" s="24">
        <v>11445</v>
      </c>
      <c r="O552" s="24">
        <v>3</v>
      </c>
      <c r="P552" s="24">
        <v>1905</v>
      </c>
      <c r="Q552" s="24">
        <v>18</v>
      </c>
      <c r="R552" s="24">
        <v>9198</v>
      </c>
      <c r="S552" s="24">
        <v>3</v>
      </c>
      <c r="T552" s="24">
        <v>1851</v>
      </c>
      <c r="U552" s="24">
        <v>29</v>
      </c>
      <c r="V552" s="24">
        <v>14007</v>
      </c>
      <c r="W552" s="24">
        <v>15</v>
      </c>
      <c r="X552" s="24">
        <v>9585</v>
      </c>
      <c r="Y552">
        <f t="shared" si="8"/>
        <v>104</v>
      </c>
    </row>
    <row r="553" spans="1:25" x14ac:dyDescent="0.4">
      <c r="A553" s="24" t="s">
        <v>2320</v>
      </c>
      <c r="B553" s="24" t="s">
        <v>2321</v>
      </c>
      <c r="C553" s="25">
        <v>44108</v>
      </c>
      <c r="D553" s="24" t="s">
        <v>2015</v>
      </c>
      <c r="E553" s="24" t="s">
        <v>2016</v>
      </c>
      <c r="F553" s="24" t="s">
        <v>2418</v>
      </c>
      <c r="G553" s="24">
        <v>79</v>
      </c>
      <c r="H553" s="24">
        <v>44714</v>
      </c>
      <c r="I553" s="24">
        <v>4</v>
      </c>
      <c r="J553" s="24">
        <v>2004</v>
      </c>
      <c r="K553" s="24">
        <v>0</v>
      </c>
      <c r="L553" s="24">
        <v>0</v>
      </c>
      <c r="M553" s="24">
        <v>0</v>
      </c>
      <c r="N553" s="24">
        <v>0</v>
      </c>
      <c r="O553" s="24">
        <v>11</v>
      </c>
      <c r="P553" s="24">
        <v>7018</v>
      </c>
      <c r="Q553" s="24">
        <v>0</v>
      </c>
      <c r="R553" s="24">
        <v>0</v>
      </c>
      <c r="S553" s="24">
        <v>7</v>
      </c>
      <c r="T553" s="24">
        <v>3591</v>
      </c>
      <c r="U553" s="24">
        <v>49</v>
      </c>
      <c r="V553" s="24">
        <v>24206</v>
      </c>
      <c r="W553" s="24">
        <v>8</v>
      </c>
      <c r="X553" s="24">
        <v>3640</v>
      </c>
      <c r="Y553">
        <f t="shared" si="8"/>
        <v>158</v>
      </c>
    </row>
    <row r="554" spans="1:25" x14ac:dyDescent="0.4">
      <c r="A554" s="24" t="s">
        <v>2322</v>
      </c>
      <c r="B554" s="24" t="s">
        <v>2323</v>
      </c>
      <c r="C554" s="25">
        <v>42964</v>
      </c>
      <c r="D554" s="24" t="s">
        <v>2015</v>
      </c>
      <c r="E554" s="24" t="s">
        <v>2020</v>
      </c>
      <c r="F554" s="24" t="s">
        <v>2418</v>
      </c>
      <c r="G554" s="24">
        <v>1</v>
      </c>
      <c r="H554" s="24">
        <v>512</v>
      </c>
      <c r="I554" s="24">
        <v>9</v>
      </c>
      <c r="J554" s="24">
        <v>4941</v>
      </c>
      <c r="K554" s="24">
        <v>2</v>
      </c>
      <c r="L554" s="24">
        <v>1234</v>
      </c>
      <c r="M554" s="24">
        <v>5</v>
      </c>
      <c r="N554" s="24">
        <v>2585</v>
      </c>
      <c r="O554" s="24">
        <v>12</v>
      </c>
      <c r="P554" s="24">
        <v>6012</v>
      </c>
      <c r="Q554" s="24">
        <v>7</v>
      </c>
      <c r="R554" s="24">
        <v>3178</v>
      </c>
      <c r="S554" s="24">
        <v>14</v>
      </c>
      <c r="T554" s="24">
        <v>7826</v>
      </c>
      <c r="U554" s="24">
        <v>1</v>
      </c>
      <c r="V554" s="24">
        <v>586</v>
      </c>
      <c r="W554" s="24">
        <v>6</v>
      </c>
      <c r="X554" s="24">
        <v>2994</v>
      </c>
      <c r="Y554">
        <f t="shared" si="8"/>
        <v>57</v>
      </c>
    </row>
    <row r="555" spans="1:25" x14ac:dyDescent="0.4">
      <c r="A555" s="24" t="s">
        <v>2324</v>
      </c>
      <c r="B555" s="24" t="s">
        <v>2325</v>
      </c>
      <c r="C555" s="25">
        <v>43429</v>
      </c>
      <c r="D555" s="24" t="s">
        <v>2015</v>
      </c>
      <c r="E555" s="24" t="s">
        <v>2020</v>
      </c>
      <c r="F555" s="24" t="s">
        <v>2418</v>
      </c>
      <c r="G555" s="24">
        <v>41</v>
      </c>
      <c r="H555" s="24">
        <v>26650</v>
      </c>
      <c r="I555" s="24">
        <v>9</v>
      </c>
      <c r="J555" s="24">
        <v>4590</v>
      </c>
      <c r="K555" s="24">
        <v>2</v>
      </c>
      <c r="L555" s="24">
        <v>1080</v>
      </c>
      <c r="M555" s="24">
        <v>0</v>
      </c>
      <c r="N555" s="24">
        <v>0</v>
      </c>
      <c r="O555" s="24">
        <v>37</v>
      </c>
      <c r="P555" s="24">
        <v>17760</v>
      </c>
      <c r="Q555" s="24">
        <v>3</v>
      </c>
      <c r="R555" s="24">
        <v>1707</v>
      </c>
      <c r="S555" s="24">
        <v>12</v>
      </c>
      <c r="T555" s="24">
        <v>7548</v>
      </c>
      <c r="U555" s="24">
        <v>20</v>
      </c>
      <c r="V555" s="24">
        <v>11260</v>
      </c>
      <c r="W555" s="24">
        <v>0</v>
      </c>
      <c r="X555" s="24">
        <v>0</v>
      </c>
      <c r="Y555">
        <f t="shared" si="8"/>
        <v>124</v>
      </c>
    </row>
    <row r="556" spans="1:25" x14ac:dyDescent="0.4">
      <c r="A556" s="24" t="s">
        <v>2326</v>
      </c>
      <c r="B556" s="24" t="s">
        <v>2327</v>
      </c>
      <c r="C556" s="25">
        <v>43203</v>
      </c>
      <c r="D556" s="24" t="s">
        <v>2015</v>
      </c>
      <c r="E556" s="24" t="s">
        <v>2020</v>
      </c>
      <c r="F556" s="24" t="s">
        <v>2418</v>
      </c>
      <c r="G556" s="24">
        <v>5</v>
      </c>
      <c r="H556" s="24">
        <v>2505</v>
      </c>
      <c r="I556" s="24">
        <v>5</v>
      </c>
      <c r="J556" s="24">
        <v>2680</v>
      </c>
      <c r="K556" s="24">
        <v>9</v>
      </c>
      <c r="L556" s="24">
        <v>4248</v>
      </c>
      <c r="M556" s="24">
        <v>1</v>
      </c>
      <c r="N556" s="24">
        <v>542</v>
      </c>
      <c r="O556" s="24">
        <v>7</v>
      </c>
      <c r="P556" s="24">
        <v>3570</v>
      </c>
      <c r="Q556" s="24">
        <v>8</v>
      </c>
      <c r="R556" s="24">
        <v>4856</v>
      </c>
      <c r="S556" s="24">
        <v>0</v>
      </c>
      <c r="T556" s="24">
        <v>0</v>
      </c>
      <c r="U556" s="24">
        <v>28</v>
      </c>
      <c r="V556" s="24">
        <v>13748</v>
      </c>
      <c r="W556" s="24">
        <v>66</v>
      </c>
      <c r="X556" s="24">
        <v>40854</v>
      </c>
      <c r="Y556">
        <f t="shared" si="8"/>
        <v>129</v>
      </c>
    </row>
    <row r="557" spans="1:25" x14ac:dyDescent="0.4">
      <c r="A557" s="24" t="s">
        <v>2328</v>
      </c>
      <c r="B557" s="24" t="s">
        <v>2329</v>
      </c>
      <c r="C557" s="25">
        <v>44139</v>
      </c>
      <c r="D557" s="24" t="s">
        <v>2027</v>
      </c>
      <c r="E557" s="24" t="s">
        <v>2028</v>
      </c>
      <c r="F557" s="24" t="s">
        <v>2418</v>
      </c>
      <c r="G557" s="24">
        <v>1</v>
      </c>
      <c r="H557" s="24">
        <v>516</v>
      </c>
      <c r="I557" s="24">
        <v>19</v>
      </c>
      <c r="J557" s="24">
        <v>9880</v>
      </c>
      <c r="K557" s="24">
        <v>14</v>
      </c>
      <c r="L557" s="24">
        <v>7070</v>
      </c>
      <c r="M557" s="24">
        <v>14</v>
      </c>
      <c r="N557" s="24">
        <v>6804</v>
      </c>
      <c r="O557" s="24">
        <v>14</v>
      </c>
      <c r="P557" s="24">
        <v>8582</v>
      </c>
      <c r="Q557" s="24">
        <v>15</v>
      </c>
      <c r="R557" s="24">
        <v>8565</v>
      </c>
      <c r="S557" s="24">
        <v>16</v>
      </c>
      <c r="T557" s="24">
        <v>10240</v>
      </c>
      <c r="U557" s="24">
        <v>9</v>
      </c>
      <c r="V557" s="24">
        <v>5769</v>
      </c>
      <c r="W557" s="24">
        <v>9</v>
      </c>
      <c r="X557" s="24">
        <v>5202</v>
      </c>
      <c r="Y557">
        <f t="shared" si="8"/>
        <v>111</v>
      </c>
    </row>
    <row r="558" spans="1:25" x14ac:dyDescent="0.4">
      <c r="A558" s="24" t="s">
        <v>2330</v>
      </c>
      <c r="B558" s="24" t="s">
        <v>2331</v>
      </c>
      <c r="C558" s="25">
        <v>42213</v>
      </c>
      <c r="D558" s="24" t="s">
        <v>2015</v>
      </c>
      <c r="E558" s="24" t="s">
        <v>2020</v>
      </c>
      <c r="F558" s="24" t="s">
        <v>2418</v>
      </c>
      <c r="G558" s="24">
        <v>3</v>
      </c>
      <c r="H558" s="24">
        <v>1650</v>
      </c>
      <c r="I558" s="24">
        <v>1</v>
      </c>
      <c r="J558" s="24">
        <v>537</v>
      </c>
      <c r="K558" s="24">
        <v>8</v>
      </c>
      <c r="L558" s="24">
        <v>5024</v>
      </c>
      <c r="M558" s="24">
        <v>48</v>
      </c>
      <c r="N558" s="24">
        <v>30000</v>
      </c>
      <c r="O558" s="24">
        <v>9</v>
      </c>
      <c r="P558" s="24">
        <v>5193</v>
      </c>
      <c r="Q558" s="24">
        <v>5</v>
      </c>
      <c r="R558" s="24">
        <v>2945</v>
      </c>
      <c r="S558" s="24">
        <v>1</v>
      </c>
      <c r="T558" s="24">
        <v>611</v>
      </c>
      <c r="U558" s="24">
        <v>22</v>
      </c>
      <c r="V558" s="24">
        <v>12760</v>
      </c>
      <c r="W558" s="24">
        <v>19</v>
      </c>
      <c r="X558" s="24">
        <v>9329</v>
      </c>
      <c r="Y558">
        <f t="shared" si="8"/>
        <v>116</v>
      </c>
    </row>
    <row r="559" spans="1:25" x14ac:dyDescent="0.4">
      <c r="A559" s="24" t="s">
        <v>2332</v>
      </c>
      <c r="B559" s="24" t="s">
        <v>2333</v>
      </c>
      <c r="C559" s="25">
        <v>43331</v>
      </c>
      <c r="D559" s="24" t="s">
        <v>2015</v>
      </c>
      <c r="E559" s="24" t="s">
        <v>2020</v>
      </c>
      <c r="F559" s="24" t="s">
        <v>2418</v>
      </c>
      <c r="G559" s="24">
        <v>1</v>
      </c>
      <c r="H559" s="24">
        <v>634</v>
      </c>
      <c r="I559" s="24">
        <v>0</v>
      </c>
      <c r="J559" s="24">
        <v>0</v>
      </c>
      <c r="K559" s="24">
        <v>16</v>
      </c>
      <c r="L559" s="24">
        <v>9936</v>
      </c>
      <c r="M559" s="24">
        <v>6</v>
      </c>
      <c r="N559" s="24">
        <v>3702</v>
      </c>
      <c r="O559" s="24">
        <v>37</v>
      </c>
      <c r="P559" s="24">
        <v>19647</v>
      </c>
      <c r="Q559" s="24">
        <v>16</v>
      </c>
      <c r="R559" s="24">
        <v>9104</v>
      </c>
      <c r="S559" s="24">
        <v>5</v>
      </c>
      <c r="T559" s="24">
        <v>2315</v>
      </c>
      <c r="U559" s="24">
        <v>51</v>
      </c>
      <c r="V559" s="24">
        <v>31110</v>
      </c>
      <c r="W559" s="24">
        <v>9</v>
      </c>
      <c r="X559" s="24">
        <v>5283</v>
      </c>
      <c r="Y559">
        <f t="shared" si="8"/>
        <v>141</v>
      </c>
    </row>
    <row r="560" spans="1:25" x14ac:dyDescent="0.4">
      <c r="A560" s="24" t="s">
        <v>2334</v>
      </c>
      <c r="B560" s="24" t="s">
        <v>2335</v>
      </c>
      <c r="C560" s="25">
        <v>43767</v>
      </c>
      <c r="D560" s="24" t="s">
        <v>2027</v>
      </c>
      <c r="E560" s="24" t="s">
        <v>2016</v>
      </c>
      <c r="F560" s="24" t="s">
        <v>2418</v>
      </c>
      <c r="G560" s="24">
        <v>43</v>
      </c>
      <c r="H560" s="24">
        <v>26574</v>
      </c>
      <c r="I560" s="24">
        <v>34</v>
      </c>
      <c r="J560" s="24">
        <v>20638</v>
      </c>
      <c r="K560" s="24">
        <v>22</v>
      </c>
      <c r="L560" s="24">
        <v>11352</v>
      </c>
      <c r="M560" s="24">
        <v>28</v>
      </c>
      <c r="N560" s="24">
        <v>15792</v>
      </c>
      <c r="O560" s="24">
        <v>3</v>
      </c>
      <c r="P560" s="24">
        <v>1809</v>
      </c>
      <c r="Q560" s="24">
        <v>0</v>
      </c>
      <c r="R560" s="24">
        <v>0</v>
      </c>
      <c r="S560" s="24">
        <v>0</v>
      </c>
      <c r="T560" s="24">
        <v>0</v>
      </c>
      <c r="U560" s="24">
        <v>8</v>
      </c>
      <c r="V560" s="24">
        <v>4344</v>
      </c>
      <c r="W560" s="24">
        <v>2</v>
      </c>
      <c r="X560" s="24">
        <v>1142</v>
      </c>
      <c r="Y560">
        <f t="shared" si="8"/>
        <v>140</v>
      </c>
    </row>
    <row r="561" spans="1:25" x14ac:dyDescent="0.4">
      <c r="A561" s="24" t="s">
        <v>2336</v>
      </c>
      <c r="B561" s="24" t="s">
        <v>2337</v>
      </c>
      <c r="C561" s="25">
        <v>42380</v>
      </c>
      <c r="D561" s="24" t="s">
        <v>2015</v>
      </c>
      <c r="E561" s="24" t="s">
        <v>2016</v>
      </c>
      <c r="F561" s="24" t="s">
        <v>2418</v>
      </c>
      <c r="G561" s="24">
        <v>3</v>
      </c>
      <c r="H561" s="24">
        <v>1587</v>
      </c>
      <c r="I561" s="24">
        <v>4</v>
      </c>
      <c r="J561" s="24">
        <v>2124</v>
      </c>
      <c r="K561" s="24">
        <v>10</v>
      </c>
      <c r="L561" s="24">
        <v>5440</v>
      </c>
      <c r="M561" s="24">
        <v>12</v>
      </c>
      <c r="N561" s="24">
        <v>6900</v>
      </c>
      <c r="O561" s="24">
        <v>70</v>
      </c>
      <c r="P561" s="24">
        <v>32480</v>
      </c>
      <c r="Q561" s="24">
        <v>18</v>
      </c>
      <c r="R561" s="24">
        <v>9324</v>
      </c>
      <c r="S561" s="24">
        <v>16</v>
      </c>
      <c r="T561" s="24">
        <v>9776</v>
      </c>
      <c r="U561" s="24">
        <v>25</v>
      </c>
      <c r="V561" s="24">
        <v>13850</v>
      </c>
      <c r="W561" s="24">
        <v>10</v>
      </c>
      <c r="X561" s="24">
        <v>6290</v>
      </c>
      <c r="Y561">
        <f t="shared" si="8"/>
        <v>168</v>
      </c>
    </row>
    <row r="562" spans="1:25" x14ac:dyDescent="0.4">
      <c r="A562" s="24" t="s">
        <v>2338</v>
      </c>
      <c r="B562" s="24" t="s">
        <v>2339</v>
      </c>
      <c r="C562" s="25">
        <v>42091</v>
      </c>
      <c r="D562" s="24" t="s">
        <v>2015</v>
      </c>
      <c r="E562" s="24" t="s">
        <v>2020</v>
      </c>
      <c r="F562" s="24" t="s">
        <v>2418</v>
      </c>
      <c r="G562" s="24">
        <v>0</v>
      </c>
      <c r="H562" s="24">
        <v>0</v>
      </c>
      <c r="I562" s="24">
        <v>13</v>
      </c>
      <c r="J562" s="24">
        <v>7176</v>
      </c>
      <c r="K562" s="24">
        <v>3</v>
      </c>
      <c r="L562" s="24">
        <v>1482</v>
      </c>
      <c r="M562" s="24">
        <v>3</v>
      </c>
      <c r="N562" s="24">
        <v>1683</v>
      </c>
      <c r="O562" s="24">
        <v>0</v>
      </c>
      <c r="P562" s="24">
        <v>0</v>
      </c>
      <c r="Q562" s="24">
        <v>2</v>
      </c>
      <c r="R562" s="24">
        <v>1142</v>
      </c>
      <c r="S562" s="24">
        <v>2</v>
      </c>
      <c r="T562" s="24">
        <v>906</v>
      </c>
      <c r="U562" s="24">
        <v>7</v>
      </c>
      <c r="V562" s="24">
        <v>3717</v>
      </c>
      <c r="W562" s="24">
        <v>6</v>
      </c>
      <c r="X562" s="24">
        <v>2814</v>
      </c>
      <c r="Y562">
        <f t="shared" si="8"/>
        <v>36</v>
      </c>
    </row>
    <row r="563" spans="1:25" x14ac:dyDescent="0.4">
      <c r="A563" s="24" t="s">
        <v>2340</v>
      </c>
      <c r="B563" s="24" t="s">
        <v>2341</v>
      </c>
      <c r="C563" s="25">
        <v>43035</v>
      </c>
      <c r="D563" s="24" t="s">
        <v>2015</v>
      </c>
      <c r="E563" s="24" t="s">
        <v>2020</v>
      </c>
      <c r="F563" s="24" t="s">
        <v>2418</v>
      </c>
      <c r="G563" s="24">
        <v>46</v>
      </c>
      <c r="H563" s="24">
        <v>28566</v>
      </c>
      <c r="I563" s="24">
        <v>15</v>
      </c>
      <c r="J563" s="24">
        <v>9465</v>
      </c>
      <c r="K563" s="24">
        <v>9</v>
      </c>
      <c r="L563" s="24">
        <v>4500</v>
      </c>
      <c r="M563" s="24">
        <v>1</v>
      </c>
      <c r="N563" s="24">
        <v>575</v>
      </c>
      <c r="O563" s="24">
        <v>52</v>
      </c>
      <c r="P563" s="24">
        <v>26416</v>
      </c>
      <c r="Q563" s="24">
        <v>37</v>
      </c>
      <c r="R563" s="24">
        <v>23384</v>
      </c>
      <c r="S563" s="24">
        <v>43</v>
      </c>
      <c r="T563" s="24">
        <v>25069</v>
      </c>
      <c r="U563" s="24">
        <v>0</v>
      </c>
      <c r="V563" s="24">
        <v>0</v>
      </c>
      <c r="W563" s="24">
        <v>7</v>
      </c>
      <c r="X563" s="24">
        <v>3213</v>
      </c>
      <c r="Y563">
        <f t="shared" si="8"/>
        <v>210</v>
      </c>
    </row>
    <row r="564" spans="1:25" x14ac:dyDescent="0.4">
      <c r="A564" s="24" t="s">
        <v>2342</v>
      </c>
      <c r="B564" s="24" t="s">
        <v>2343</v>
      </c>
      <c r="C564" s="25">
        <v>42968</v>
      </c>
      <c r="D564" s="24" t="s">
        <v>2015</v>
      </c>
      <c r="E564" s="24" t="s">
        <v>2028</v>
      </c>
      <c r="F564" s="24" t="s">
        <v>2418</v>
      </c>
      <c r="G564" s="24">
        <v>5</v>
      </c>
      <c r="H564" s="24">
        <v>3110</v>
      </c>
      <c r="I564" s="24">
        <v>15</v>
      </c>
      <c r="J564" s="24">
        <v>7380</v>
      </c>
      <c r="K564" s="24">
        <v>6</v>
      </c>
      <c r="L564" s="24">
        <v>2724</v>
      </c>
      <c r="M564" s="24">
        <v>3</v>
      </c>
      <c r="N564" s="24">
        <v>1596</v>
      </c>
      <c r="O564" s="24">
        <v>13</v>
      </c>
      <c r="P564" s="24">
        <v>6864</v>
      </c>
      <c r="Q564" s="24">
        <v>18</v>
      </c>
      <c r="R564" s="24">
        <v>9432</v>
      </c>
      <c r="S564" s="24">
        <v>2</v>
      </c>
      <c r="T564" s="24">
        <v>1226</v>
      </c>
      <c r="U564" s="24">
        <v>28</v>
      </c>
      <c r="V564" s="24">
        <v>17584</v>
      </c>
      <c r="W564" s="24">
        <v>1</v>
      </c>
      <c r="X564" s="24">
        <v>595</v>
      </c>
      <c r="Y564">
        <f t="shared" si="8"/>
        <v>91</v>
      </c>
    </row>
    <row r="565" spans="1:25" x14ac:dyDescent="0.4">
      <c r="A565" s="24" t="s">
        <v>2344</v>
      </c>
      <c r="B565" s="24" t="s">
        <v>2345</v>
      </c>
      <c r="C565" s="25">
        <v>42183</v>
      </c>
      <c r="D565" s="24" t="s">
        <v>2015</v>
      </c>
      <c r="E565" s="24" t="s">
        <v>2016</v>
      </c>
      <c r="F565" s="24" t="s">
        <v>2418</v>
      </c>
      <c r="G565" s="24">
        <v>45</v>
      </c>
      <c r="H565" s="24">
        <v>29115</v>
      </c>
      <c r="I565" s="24">
        <v>1</v>
      </c>
      <c r="J565" s="24">
        <v>614</v>
      </c>
      <c r="K565" s="24">
        <v>5</v>
      </c>
      <c r="L565" s="24">
        <v>2490</v>
      </c>
      <c r="M565" s="24">
        <v>52</v>
      </c>
      <c r="N565" s="24">
        <v>33644</v>
      </c>
      <c r="O565" s="24">
        <v>17</v>
      </c>
      <c r="P565" s="24">
        <v>8211</v>
      </c>
      <c r="Q565" s="24">
        <v>5</v>
      </c>
      <c r="R565" s="24">
        <v>2930</v>
      </c>
      <c r="S565" s="24">
        <v>7</v>
      </c>
      <c r="T565" s="24">
        <v>3612</v>
      </c>
      <c r="U565" s="24">
        <v>14</v>
      </c>
      <c r="V565" s="24">
        <v>6594</v>
      </c>
      <c r="W565" s="24">
        <v>17</v>
      </c>
      <c r="X565" s="24">
        <v>9792</v>
      </c>
      <c r="Y565">
        <f t="shared" si="8"/>
        <v>163</v>
      </c>
    </row>
    <row r="566" spans="1:25" x14ac:dyDescent="0.4">
      <c r="A566" s="24" t="s">
        <v>2346</v>
      </c>
      <c r="B566" s="24" t="s">
        <v>2347</v>
      </c>
      <c r="C566" s="25">
        <v>43346</v>
      </c>
      <c r="D566" s="24" t="s">
        <v>2027</v>
      </c>
      <c r="E566" s="24" t="s">
        <v>2028</v>
      </c>
      <c r="F566" s="24" t="s">
        <v>2418</v>
      </c>
      <c r="G566" s="24">
        <v>23</v>
      </c>
      <c r="H566" s="24">
        <v>13846</v>
      </c>
      <c r="I566" s="24">
        <v>1</v>
      </c>
      <c r="J566" s="24">
        <v>598</v>
      </c>
      <c r="K566" s="24">
        <v>16</v>
      </c>
      <c r="L566" s="24">
        <v>9136</v>
      </c>
      <c r="M566" s="24">
        <v>11</v>
      </c>
      <c r="N566" s="24">
        <v>6501</v>
      </c>
      <c r="O566" s="24">
        <v>33</v>
      </c>
      <c r="P566" s="24">
        <v>15510</v>
      </c>
      <c r="Q566" s="24">
        <v>25</v>
      </c>
      <c r="R566" s="24">
        <v>15075</v>
      </c>
      <c r="S566" s="24">
        <v>7</v>
      </c>
      <c r="T566" s="24">
        <v>3612</v>
      </c>
      <c r="U566" s="24">
        <v>37</v>
      </c>
      <c r="V566" s="24">
        <v>23754</v>
      </c>
      <c r="W566" s="24">
        <v>18</v>
      </c>
      <c r="X566" s="24">
        <v>11106</v>
      </c>
      <c r="Y566">
        <f t="shared" si="8"/>
        <v>171</v>
      </c>
    </row>
    <row r="567" spans="1:25" x14ac:dyDescent="0.4">
      <c r="A567" s="24" t="s">
        <v>2348</v>
      </c>
      <c r="B567" s="24" t="s">
        <v>2349</v>
      </c>
      <c r="C567" s="25">
        <v>42331</v>
      </c>
      <c r="D567" s="24" t="s">
        <v>2015</v>
      </c>
      <c r="E567" s="24" t="s">
        <v>2028</v>
      </c>
      <c r="F567" s="24" t="s">
        <v>2418</v>
      </c>
      <c r="G567" s="24">
        <v>1</v>
      </c>
      <c r="H567" s="24">
        <v>569</v>
      </c>
      <c r="I567" s="24">
        <v>3</v>
      </c>
      <c r="J567" s="24">
        <v>1740</v>
      </c>
      <c r="K567" s="24">
        <v>5</v>
      </c>
      <c r="L567" s="24">
        <v>2895</v>
      </c>
      <c r="M567" s="24">
        <v>1</v>
      </c>
      <c r="N567" s="24">
        <v>589</v>
      </c>
      <c r="O567" s="24">
        <v>1</v>
      </c>
      <c r="P567" s="24">
        <v>501</v>
      </c>
      <c r="Q567" s="24">
        <v>0</v>
      </c>
      <c r="R567" s="24">
        <v>0</v>
      </c>
      <c r="S567" s="24">
        <v>6</v>
      </c>
      <c r="T567" s="24">
        <v>3348</v>
      </c>
      <c r="U567" s="24">
        <v>14</v>
      </c>
      <c r="V567" s="24">
        <v>8904</v>
      </c>
      <c r="W567" s="24">
        <v>43</v>
      </c>
      <c r="X567" s="24">
        <v>24424</v>
      </c>
      <c r="Y567">
        <f t="shared" si="8"/>
        <v>74</v>
      </c>
    </row>
    <row r="568" spans="1:25" x14ac:dyDescent="0.4">
      <c r="A568" s="24" t="s">
        <v>2350</v>
      </c>
      <c r="B568" s="24" t="s">
        <v>2351</v>
      </c>
      <c r="C568" s="25">
        <v>43971</v>
      </c>
      <c r="D568" s="24" t="s">
        <v>2027</v>
      </c>
      <c r="E568" s="24" t="s">
        <v>2028</v>
      </c>
      <c r="F568" s="24" t="s">
        <v>2418</v>
      </c>
      <c r="G568" s="24">
        <v>9</v>
      </c>
      <c r="H568" s="24">
        <v>5382</v>
      </c>
      <c r="I568" s="24">
        <v>31</v>
      </c>
      <c r="J568" s="24">
        <v>18290</v>
      </c>
      <c r="K568" s="24">
        <v>0</v>
      </c>
      <c r="L568" s="24">
        <v>0</v>
      </c>
      <c r="M568" s="24">
        <v>5</v>
      </c>
      <c r="N568" s="24">
        <v>3095</v>
      </c>
      <c r="O568" s="24">
        <v>0</v>
      </c>
      <c r="P568" s="24">
        <v>0</v>
      </c>
      <c r="Q568" s="24">
        <v>9</v>
      </c>
      <c r="R568" s="24">
        <v>4284</v>
      </c>
      <c r="S568" s="24">
        <v>22</v>
      </c>
      <c r="T568" s="24">
        <v>12298</v>
      </c>
      <c r="U568" s="24">
        <v>15</v>
      </c>
      <c r="V568" s="24">
        <v>9525</v>
      </c>
      <c r="W568" s="24">
        <v>25</v>
      </c>
      <c r="X568" s="24">
        <v>13050</v>
      </c>
      <c r="Y568">
        <f t="shared" si="8"/>
        <v>116</v>
      </c>
    </row>
    <row r="569" spans="1:25" x14ac:dyDescent="0.4">
      <c r="A569" s="24" t="s">
        <v>2352</v>
      </c>
      <c r="B569" s="24" t="s">
        <v>2353</v>
      </c>
      <c r="C569" s="25">
        <v>43949</v>
      </c>
      <c r="D569" s="24" t="s">
        <v>2027</v>
      </c>
      <c r="E569" s="24" t="s">
        <v>2020</v>
      </c>
      <c r="F569" s="24" t="s">
        <v>2418</v>
      </c>
      <c r="G569" s="24">
        <v>4</v>
      </c>
      <c r="H569" s="24">
        <v>1924</v>
      </c>
      <c r="I569" s="24">
        <v>1</v>
      </c>
      <c r="J569" s="24">
        <v>573</v>
      </c>
      <c r="K569" s="24">
        <v>1</v>
      </c>
      <c r="L569" s="24">
        <v>452</v>
      </c>
      <c r="M569" s="24">
        <v>29</v>
      </c>
      <c r="N569" s="24">
        <v>16472</v>
      </c>
      <c r="O569" s="24">
        <v>11</v>
      </c>
      <c r="P569" s="24">
        <v>6237</v>
      </c>
      <c r="Q569" s="24">
        <v>6</v>
      </c>
      <c r="R569" s="24">
        <v>3834</v>
      </c>
      <c r="S569" s="24">
        <v>0</v>
      </c>
      <c r="T569" s="24">
        <v>0</v>
      </c>
      <c r="U569" s="24">
        <v>18</v>
      </c>
      <c r="V569" s="24">
        <v>9360</v>
      </c>
      <c r="W569" s="24">
        <v>71</v>
      </c>
      <c r="X569" s="24">
        <v>37914</v>
      </c>
      <c r="Y569">
        <f t="shared" si="8"/>
        <v>141</v>
      </c>
    </row>
    <row r="570" spans="1:25" x14ac:dyDescent="0.4">
      <c r="A570" s="24" t="s">
        <v>2354</v>
      </c>
      <c r="B570" s="24" t="s">
        <v>2355</v>
      </c>
      <c r="C570" s="25">
        <v>43345</v>
      </c>
      <c r="D570" s="24" t="s">
        <v>2015</v>
      </c>
      <c r="E570" s="24" t="s">
        <v>2028</v>
      </c>
      <c r="F570" s="24" t="s">
        <v>2418</v>
      </c>
      <c r="G570" s="24">
        <v>3</v>
      </c>
      <c r="H570" s="24">
        <v>1920</v>
      </c>
      <c r="I570" s="24">
        <v>14</v>
      </c>
      <c r="J570" s="24">
        <v>8778</v>
      </c>
      <c r="K570" s="24">
        <v>11</v>
      </c>
      <c r="L570" s="24">
        <v>4961</v>
      </c>
      <c r="M570" s="24">
        <v>6</v>
      </c>
      <c r="N570" s="24">
        <v>3150</v>
      </c>
      <c r="O570" s="24">
        <v>30</v>
      </c>
      <c r="P570" s="24">
        <v>14010</v>
      </c>
      <c r="Q570" s="24">
        <v>7</v>
      </c>
      <c r="R570" s="24">
        <v>3920</v>
      </c>
      <c r="S570" s="24">
        <v>9</v>
      </c>
      <c r="T570" s="24">
        <v>4356</v>
      </c>
      <c r="U570" s="24">
        <v>2</v>
      </c>
      <c r="V570" s="24">
        <v>952</v>
      </c>
      <c r="W570" s="24">
        <v>1</v>
      </c>
      <c r="X570" s="24">
        <v>474</v>
      </c>
      <c r="Y570">
        <f t="shared" si="8"/>
        <v>83</v>
      </c>
    </row>
    <row r="571" spans="1:25" x14ac:dyDescent="0.4">
      <c r="A571" s="24" t="s">
        <v>2356</v>
      </c>
      <c r="B571" s="24" t="s">
        <v>2357</v>
      </c>
      <c r="C571" s="25">
        <v>42419</v>
      </c>
      <c r="D571" s="24" t="s">
        <v>2027</v>
      </c>
      <c r="E571" s="24" t="s">
        <v>2028</v>
      </c>
      <c r="F571" s="24" t="s">
        <v>2418</v>
      </c>
      <c r="G571" s="24">
        <v>2</v>
      </c>
      <c r="H571" s="24">
        <v>922</v>
      </c>
      <c r="I571" s="24">
        <v>11</v>
      </c>
      <c r="J571" s="24">
        <v>5456</v>
      </c>
      <c r="K571" s="24">
        <v>11</v>
      </c>
      <c r="L571" s="24">
        <v>6490</v>
      </c>
      <c r="M571" s="24">
        <v>14</v>
      </c>
      <c r="N571" s="24">
        <v>6552</v>
      </c>
      <c r="O571" s="24">
        <v>6</v>
      </c>
      <c r="P571" s="24">
        <v>3780</v>
      </c>
      <c r="Q571" s="24">
        <v>3</v>
      </c>
      <c r="R571" s="24">
        <v>1845</v>
      </c>
      <c r="S571" s="24">
        <v>7</v>
      </c>
      <c r="T571" s="24">
        <v>4515</v>
      </c>
      <c r="U571" s="24">
        <v>53</v>
      </c>
      <c r="V571" s="24">
        <v>28673</v>
      </c>
      <c r="W571" s="24">
        <v>61</v>
      </c>
      <c r="X571" s="24">
        <v>30012</v>
      </c>
      <c r="Y571">
        <f t="shared" si="8"/>
        <v>168</v>
      </c>
    </row>
    <row r="572" spans="1:25" x14ac:dyDescent="0.4">
      <c r="A572" s="24" t="s">
        <v>2358</v>
      </c>
      <c r="B572" s="24" t="s">
        <v>2359</v>
      </c>
      <c r="C572" s="25">
        <v>42458</v>
      </c>
      <c r="D572" s="24" t="s">
        <v>2027</v>
      </c>
      <c r="E572" s="24" t="s">
        <v>2028</v>
      </c>
      <c r="F572" s="24" t="s">
        <v>2418</v>
      </c>
      <c r="G572" s="24">
        <v>0</v>
      </c>
      <c r="H572" s="24">
        <v>0</v>
      </c>
      <c r="I572" s="24">
        <v>12</v>
      </c>
      <c r="J572" s="24">
        <v>6852</v>
      </c>
      <c r="K572" s="24">
        <v>11</v>
      </c>
      <c r="L572" s="24">
        <v>6545</v>
      </c>
      <c r="M572" s="24">
        <v>0</v>
      </c>
      <c r="N572" s="24">
        <v>0</v>
      </c>
      <c r="O572" s="24">
        <v>1</v>
      </c>
      <c r="P572" s="24">
        <v>450</v>
      </c>
      <c r="Q572" s="24">
        <v>23</v>
      </c>
      <c r="R572" s="24">
        <v>13593</v>
      </c>
      <c r="S572" s="24">
        <v>14</v>
      </c>
      <c r="T572" s="24">
        <v>6846</v>
      </c>
      <c r="U572" s="24">
        <v>48</v>
      </c>
      <c r="V572" s="24">
        <v>22656</v>
      </c>
      <c r="W572" s="24">
        <v>1</v>
      </c>
      <c r="X572" s="24">
        <v>639</v>
      </c>
      <c r="Y572">
        <f t="shared" si="8"/>
        <v>110</v>
      </c>
    </row>
    <row r="573" spans="1:25" x14ac:dyDescent="0.4">
      <c r="A573" s="24" t="s">
        <v>2360</v>
      </c>
      <c r="B573" s="24" t="s">
        <v>2361</v>
      </c>
      <c r="C573" s="25">
        <v>43329</v>
      </c>
      <c r="D573" s="24" t="s">
        <v>2015</v>
      </c>
      <c r="E573" s="24" t="s">
        <v>2028</v>
      </c>
      <c r="F573" s="24" t="s">
        <v>2418</v>
      </c>
      <c r="G573" s="24">
        <v>1</v>
      </c>
      <c r="H573" s="24">
        <v>607</v>
      </c>
      <c r="I573" s="24">
        <v>5</v>
      </c>
      <c r="J573" s="24">
        <v>2965</v>
      </c>
      <c r="K573" s="24">
        <v>1</v>
      </c>
      <c r="L573" s="24">
        <v>550</v>
      </c>
      <c r="M573" s="24">
        <v>10</v>
      </c>
      <c r="N573" s="24">
        <v>6290</v>
      </c>
      <c r="O573" s="24">
        <v>7</v>
      </c>
      <c r="P573" s="24">
        <v>4011</v>
      </c>
      <c r="Q573" s="24">
        <v>22</v>
      </c>
      <c r="R573" s="24">
        <v>12826</v>
      </c>
      <c r="S573" s="24">
        <v>23</v>
      </c>
      <c r="T573" s="24">
        <v>11891</v>
      </c>
      <c r="U573" s="24">
        <v>14</v>
      </c>
      <c r="V573" s="24">
        <v>8386</v>
      </c>
      <c r="W573" s="24">
        <v>2</v>
      </c>
      <c r="X573" s="24">
        <v>1274</v>
      </c>
      <c r="Y573">
        <f t="shared" si="8"/>
        <v>85</v>
      </c>
    </row>
    <row r="574" spans="1:25" x14ac:dyDescent="0.4">
      <c r="A574" s="24" t="s">
        <v>2362</v>
      </c>
      <c r="B574" s="24" t="s">
        <v>2363</v>
      </c>
      <c r="C574" s="25">
        <v>43469</v>
      </c>
      <c r="D574" s="24" t="s">
        <v>2027</v>
      </c>
      <c r="E574" s="24" t="s">
        <v>2016</v>
      </c>
      <c r="F574" s="24" t="s">
        <v>2418</v>
      </c>
      <c r="G574" s="24">
        <v>14</v>
      </c>
      <c r="H574" s="24">
        <v>7910</v>
      </c>
      <c r="I574" s="24">
        <v>17</v>
      </c>
      <c r="J574" s="24">
        <v>8075</v>
      </c>
      <c r="K574" s="24">
        <v>0</v>
      </c>
      <c r="L574" s="24">
        <v>0</v>
      </c>
      <c r="M574" s="24">
        <v>2</v>
      </c>
      <c r="N574" s="24">
        <v>1016</v>
      </c>
      <c r="O574" s="24">
        <v>15</v>
      </c>
      <c r="P574" s="24">
        <v>8145</v>
      </c>
      <c r="Q574" s="24">
        <v>2</v>
      </c>
      <c r="R574" s="24">
        <v>1192</v>
      </c>
      <c r="S574" s="24">
        <v>10</v>
      </c>
      <c r="T574" s="24">
        <v>6130</v>
      </c>
      <c r="U574" s="24">
        <v>4</v>
      </c>
      <c r="V574" s="24">
        <v>2308</v>
      </c>
      <c r="W574" s="24">
        <v>0</v>
      </c>
      <c r="X574" s="24">
        <v>0</v>
      </c>
      <c r="Y574">
        <f t="shared" si="8"/>
        <v>64</v>
      </c>
    </row>
    <row r="575" spans="1:25" x14ac:dyDescent="0.4">
      <c r="A575" s="24" t="s">
        <v>2364</v>
      </c>
      <c r="B575" s="24" t="s">
        <v>2365</v>
      </c>
      <c r="C575" s="25">
        <v>43636</v>
      </c>
      <c r="D575" s="24" t="s">
        <v>2015</v>
      </c>
      <c r="E575" s="24" t="s">
        <v>2028</v>
      </c>
      <c r="F575" s="24" t="s">
        <v>2418</v>
      </c>
      <c r="G575" s="24">
        <v>11</v>
      </c>
      <c r="H575" s="24">
        <v>5445</v>
      </c>
      <c r="I575" s="24">
        <v>14</v>
      </c>
      <c r="J575" s="24">
        <v>7546</v>
      </c>
      <c r="K575" s="24">
        <v>0</v>
      </c>
      <c r="L575" s="24">
        <v>0</v>
      </c>
      <c r="M575" s="24">
        <v>1</v>
      </c>
      <c r="N575" s="24">
        <v>605</v>
      </c>
      <c r="O575" s="24">
        <v>28</v>
      </c>
      <c r="P575" s="24">
        <v>13972</v>
      </c>
      <c r="Q575" s="24">
        <v>76</v>
      </c>
      <c r="R575" s="24">
        <v>48488</v>
      </c>
      <c r="S575" s="24">
        <v>10</v>
      </c>
      <c r="T575" s="24">
        <v>6140</v>
      </c>
      <c r="U575" s="24">
        <v>51</v>
      </c>
      <c r="V575" s="24">
        <v>30651</v>
      </c>
      <c r="W575" s="24">
        <v>2</v>
      </c>
      <c r="X575" s="24">
        <v>1220</v>
      </c>
      <c r="Y575">
        <f t="shared" si="8"/>
        <v>193</v>
      </c>
    </row>
    <row r="576" spans="1:25" x14ac:dyDescent="0.4">
      <c r="A576" s="24" t="s">
        <v>2366</v>
      </c>
      <c r="B576" s="24" t="s">
        <v>2367</v>
      </c>
      <c r="C576" s="25">
        <v>43721</v>
      </c>
      <c r="D576" s="24" t="s">
        <v>2015</v>
      </c>
      <c r="E576" s="24" t="s">
        <v>2016</v>
      </c>
      <c r="F576" s="24" t="s">
        <v>2418</v>
      </c>
      <c r="G576" s="24">
        <v>13</v>
      </c>
      <c r="H576" s="24">
        <v>5928</v>
      </c>
      <c r="I576" s="24">
        <v>0</v>
      </c>
      <c r="J576" s="24">
        <v>0</v>
      </c>
      <c r="K576" s="24">
        <v>39</v>
      </c>
      <c r="L576" s="24">
        <v>19071</v>
      </c>
      <c r="M576" s="24">
        <v>26</v>
      </c>
      <c r="N576" s="24">
        <v>12610</v>
      </c>
      <c r="O576" s="24">
        <v>9</v>
      </c>
      <c r="P576" s="24">
        <v>4635</v>
      </c>
      <c r="Q576" s="24">
        <v>0</v>
      </c>
      <c r="R576" s="24">
        <v>0</v>
      </c>
      <c r="S576" s="24">
        <v>0</v>
      </c>
      <c r="T576" s="24">
        <v>0</v>
      </c>
      <c r="U576" s="24">
        <v>15</v>
      </c>
      <c r="V576" s="24">
        <v>8850</v>
      </c>
      <c r="W576" s="24">
        <v>4</v>
      </c>
      <c r="X576" s="24">
        <v>2060</v>
      </c>
      <c r="Y576">
        <f t="shared" si="8"/>
        <v>106</v>
      </c>
    </row>
    <row r="577" spans="1:25" x14ac:dyDescent="0.4">
      <c r="A577" s="24" t="s">
        <v>2368</v>
      </c>
      <c r="B577" s="24" t="s">
        <v>2369</v>
      </c>
      <c r="C577" s="25">
        <v>43140</v>
      </c>
      <c r="D577" s="24" t="s">
        <v>2015</v>
      </c>
      <c r="E577" s="24" t="s">
        <v>2028</v>
      </c>
      <c r="F577" s="24" t="s">
        <v>2418</v>
      </c>
      <c r="G577" s="24">
        <v>8</v>
      </c>
      <c r="H577" s="24">
        <v>4776</v>
      </c>
      <c r="I577" s="24">
        <v>27</v>
      </c>
      <c r="J577" s="24">
        <v>12771</v>
      </c>
      <c r="K577" s="24">
        <v>60</v>
      </c>
      <c r="L577" s="24">
        <v>33960</v>
      </c>
      <c r="M577" s="24">
        <v>3</v>
      </c>
      <c r="N577" s="24">
        <v>1479</v>
      </c>
      <c r="O577" s="24">
        <v>9</v>
      </c>
      <c r="P577" s="24">
        <v>5706</v>
      </c>
      <c r="Q577" s="24">
        <v>17</v>
      </c>
      <c r="R577" s="24">
        <v>8687</v>
      </c>
      <c r="S577" s="24">
        <v>46</v>
      </c>
      <c r="T577" s="24">
        <v>21896</v>
      </c>
      <c r="U577" s="24">
        <v>21</v>
      </c>
      <c r="V577" s="24">
        <v>12915</v>
      </c>
      <c r="W577" s="24">
        <v>25</v>
      </c>
      <c r="X577" s="24">
        <v>11525</v>
      </c>
      <c r="Y577">
        <f t="shared" si="8"/>
        <v>216</v>
      </c>
    </row>
    <row r="578" spans="1:25" x14ac:dyDescent="0.4">
      <c r="A578" s="24" t="s">
        <v>2358</v>
      </c>
      <c r="B578" s="24" t="s">
        <v>2370</v>
      </c>
      <c r="C578" s="25">
        <v>42642</v>
      </c>
      <c r="D578" s="24" t="s">
        <v>2027</v>
      </c>
      <c r="E578" s="24" t="s">
        <v>2016</v>
      </c>
      <c r="F578" s="24" t="s">
        <v>2418</v>
      </c>
      <c r="G578" s="24">
        <v>12</v>
      </c>
      <c r="H578" s="24">
        <v>6120</v>
      </c>
      <c r="I578" s="24">
        <v>5</v>
      </c>
      <c r="J578" s="24">
        <v>3000</v>
      </c>
      <c r="K578" s="24">
        <v>0</v>
      </c>
      <c r="L578" s="24">
        <v>0</v>
      </c>
      <c r="M578" s="24">
        <v>1</v>
      </c>
      <c r="N578" s="24">
        <v>547</v>
      </c>
      <c r="O578" s="24">
        <v>23</v>
      </c>
      <c r="P578" s="24">
        <v>14605</v>
      </c>
      <c r="Q578" s="24">
        <v>1</v>
      </c>
      <c r="R578" s="24">
        <v>489</v>
      </c>
      <c r="S578" s="24">
        <v>4</v>
      </c>
      <c r="T578" s="24">
        <v>2056</v>
      </c>
      <c r="U578" s="24">
        <v>6</v>
      </c>
      <c r="V578" s="24">
        <v>3588</v>
      </c>
      <c r="W578" s="24">
        <v>16</v>
      </c>
      <c r="X578" s="24">
        <v>8080</v>
      </c>
      <c r="Y578">
        <f t="shared" si="8"/>
        <v>68</v>
      </c>
    </row>
    <row r="579" spans="1:25" x14ac:dyDescent="0.4">
      <c r="A579" s="24" t="s">
        <v>2371</v>
      </c>
      <c r="B579" s="24" t="s">
        <v>2372</v>
      </c>
      <c r="C579" s="25">
        <v>43020</v>
      </c>
      <c r="D579" s="24" t="s">
        <v>2027</v>
      </c>
      <c r="E579" s="24" t="s">
        <v>2020</v>
      </c>
      <c r="F579" s="24" t="s">
        <v>2418</v>
      </c>
      <c r="G579" s="24">
        <v>0</v>
      </c>
      <c r="H579" s="24">
        <v>0</v>
      </c>
      <c r="I579" s="24">
        <v>25</v>
      </c>
      <c r="J579" s="24">
        <v>11425</v>
      </c>
      <c r="K579" s="24">
        <v>2</v>
      </c>
      <c r="L579" s="24">
        <v>1102</v>
      </c>
      <c r="M579" s="24">
        <v>1</v>
      </c>
      <c r="N579" s="24">
        <v>515</v>
      </c>
      <c r="O579" s="24">
        <v>13</v>
      </c>
      <c r="P579" s="24">
        <v>7592</v>
      </c>
      <c r="Q579" s="24">
        <v>3</v>
      </c>
      <c r="R579" s="24">
        <v>1704</v>
      </c>
      <c r="S579" s="24">
        <v>20</v>
      </c>
      <c r="T579" s="24">
        <v>9340</v>
      </c>
      <c r="U579" s="24">
        <v>2</v>
      </c>
      <c r="V579" s="24">
        <v>1162</v>
      </c>
      <c r="W579" s="24">
        <v>7</v>
      </c>
      <c r="X579" s="24">
        <v>4431</v>
      </c>
      <c r="Y579">
        <f t="shared" ref="Y579:Y601" si="9">SUMIF($G$1:$X$1,"Количество*",G579:X579)</f>
        <v>73</v>
      </c>
    </row>
    <row r="580" spans="1:25" x14ac:dyDescent="0.4">
      <c r="A580" s="24" t="s">
        <v>2373</v>
      </c>
      <c r="B580" s="24" t="s">
        <v>2374</v>
      </c>
      <c r="C580" s="25">
        <v>42235</v>
      </c>
      <c r="D580" s="24" t="s">
        <v>2015</v>
      </c>
      <c r="E580" s="24" t="s">
        <v>2020</v>
      </c>
      <c r="F580" s="24" t="s">
        <v>2418</v>
      </c>
      <c r="G580" s="24">
        <v>3</v>
      </c>
      <c r="H580" s="24">
        <v>1893</v>
      </c>
      <c r="I580" s="24">
        <v>35</v>
      </c>
      <c r="J580" s="24">
        <v>22295</v>
      </c>
      <c r="K580" s="24">
        <v>3</v>
      </c>
      <c r="L580" s="24">
        <v>1383</v>
      </c>
      <c r="M580" s="24">
        <v>20</v>
      </c>
      <c r="N580" s="24">
        <v>11680</v>
      </c>
      <c r="O580" s="24">
        <v>6</v>
      </c>
      <c r="P580" s="24">
        <v>3018</v>
      </c>
      <c r="Q580" s="24">
        <v>1</v>
      </c>
      <c r="R580" s="24">
        <v>486</v>
      </c>
      <c r="S580" s="24">
        <v>10</v>
      </c>
      <c r="T580" s="24">
        <v>4500</v>
      </c>
      <c r="U580" s="24">
        <v>7</v>
      </c>
      <c r="V580" s="24">
        <v>4032</v>
      </c>
      <c r="W580" s="24">
        <v>10</v>
      </c>
      <c r="X580" s="24">
        <v>4900</v>
      </c>
      <c r="Y580">
        <f t="shared" si="9"/>
        <v>95</v>
      </c>
    </row>
    <row r="581" spans="1:25" x14ac:dyDescent="0.4">
      <c r="A581" s="24" t="s">
        <v>2375</v>
      </c>
      <c r="B581" s="24" t="s">
        <v>2376</v>
      </c>
      <c r="C581" s="25">
        <v>42217</v>
      </c>
      <c r="D581" s="24" t="s">
        <v>2015</v>
      </c>
      <c r="E581" s="24" t="s">
        <v>2020</v>
      </c>
      <c r="F581" s="24" t="s">
        <v>2418</v>
      </c>
      <c r="G581" s="24">
        <v>1</v>
      </c>
      <c r="H581" s="24">
        <v>513</v>
      </c>
      <c r="I581" s="24">
        <v>5</v>
      </c>
      <c r="J581" s="24">
        <v>2585</v>
      </c>
      <c r="K581" s="24">
        <v>34</v>
      </c>
      <c r="L581" s="24">
        <v>21454</v>
      </c>
      <c r="M581" s="24">
        <v>9</v>
      </c>
      <c r="N581" s="24">
        <v>4761</v>
      </c>
      <c r="O581" s="24">
        <v>27</v>
      </c>
      <c r="P581" s="24">
        <v>13176</v>
      </c>
      <c r="Q581" s="24">
        <v>38</v>
      </c>
      <c r="R581" s="24">
        <v>18924</v>
      </c>
      <c r="S581" s="24">
        <v>7</v>
      </c>
      <c r="T581" s="24">
        <v>3500</v>
      </c>
      <c r="U581" s="24">
        <v>11</v>
      </c>
      <c r="V581" s="24">
        <v>4950</v>
      </c>
      <c r="W581" s="24">
        <v>11</v>
      </c>
      <c r="X581" s="24">
        <v>6160</v>
      </c>
      <c r="Y581">
        <f t="shared" si="9"/>
        <v>143</v>
      </c>
    </row>
    <row r="582" spans="1:25" x14ac:dyDescent="0.4">
      <c r="A582" s="24" t="s">
        <v>2377</v>
      </c>
      <c r="B582" s="24" t="s">
        <v>2378</v>
      </c>
      <c r="C582" s="25">
        <v>42728</v>
      </c>
      <c r="D582" s="24" t="s">
        <v>2015</v>
      </c>
      <c r="E582" s="24" t="s">
        <v>2028</v>
      </c>
      <c r="F582" s="24" t="s">
        <v>2418</v>
      </c>
      <c r="G582" s="24">
        <v>5</v>
      </c>
      <c r="H582" s="24">
        <v>2790</v>
      </c>
      <c r="I582" s="24">
        <v>21</v>
      </c>
      <c r="J582" s="24">
        <v>11571</v>
      </c>
      <c r="K582" s="24">
        <v>31</v>
      </c>
      <c r="L582" s="24">
        <v>15066</v>
      </c>
      <c r="M582" s="24">
        <v>4</v>
      </c>
      <c r="N582" s="24">
        <v>2396</v>
      </c>
      <c r="O582" s="24">
        <v>2</v>
      </c>
      <c r="P582" s="24">
        <v>1006</v>
      </c>
      <c r="Q582" s="24">
        <v>75</v>
      </c>
      <c r="R582" s="24">
        <v>37200</v>
      </c>
      <c r="S582" s="24">
        <v>3</v>
      </c>
      <c r="T582" s="24">
        <v>1701</v>
      </c>
      <c r="U582" s="24">
        <v>56</v>
      </c>
      <c r="V582" s="24">
        <v>26544</v>
      </c>
      <c r="W582" s="24">
        <v>4</v>
      </c>
      <c r="X582" s="24">
        <v>2324</v>
      </c>
      <c r="Y582">
        <f t="shared" si="9"/>
        <v>201</v>
      </c>
    </row>
    <row r="583" spans="1:25" x14ac:dyDescent="0.4">
      <c r="A583" s="24" t="s">
        <v>2379</v>
      </c>
      <c r="B583" s="24" t="s">
        <v>2380</v>
      </c>
      <c r="C583" s="25">
        <v>42908</v>
      </c>
      <c r="D583" s="24" t="s">
        <v>2027</v>
      </c>
      <c r="E583" s="24" t="s">
        <v>2028</v>
      </c>
      <c r="F583" s="24" t="s">
        <v>2418</v>
      </c>
      <c r="G583" s="24">
        <v>0</v>
      </c>
      <c r="H583" s="24">
        <v>0</v>
      </c>
      <c r="I583" s="24">
        <v>0</v>
      </c>
      <c r="J583" s="24">
        <v>0</v>
      </c>
      <c r="K583" s="24">
        <v>1</v>
      </c>
      <c r="L583" s="24">
        <v>636</v>
      </c>
      <c r="M583" s="24">
        <v>20</v>
      </c>
      <c r="N583" s="24">
        <v>9680</v>
      </c>
      <c r="O583" s="24">
        <v>26</v>
      </c>
      <c r="P583" s="24">
        <v>12220</v>
      </c>
      <c r="Q583" s="24">
        <v>6</v>
      </c>
      <c r="R583" s="24">
        <v>3180</v>
      </c>
      <c r="S583" s="24">
        <v>10</v>
      </c>
      <c r="T583" s="24">
        <v>5670</v>
      </c>
      <c r="U583" s="24">
        <v>7</v>
      </c>
      <c r="V583" s="24">
        <v>4452</v>
      </c>
      <c r="W583" s="24">
        <v>3</v>
      </c>
      <c r="X583" s="24">
        <v>1914</v>
      </c>
      <c r="Y583">
        <f t="shared" si="9"/>
        <v>73</v>
      </c>
    </row>
    <row r="584" spans="1:25" x14ac:dyDescent="0.4">
      <c r="A584" s="24" t="s">
        <v>2381</v>
      </c>
      <c r="B584" s="24" t="s">
        <v>2382</v>
      </c>
      <c r="C584" s="25">
        <v>43503</v>
      </c>
      <c r="D584" s="24" t="s">
        <v>2027</v>
      </c>
      <c r="E584" s="24" t="s">
        <v>2016</v>
      </c>
      <c r="F584" s="24" t="s">
        <v>2418</v>
      </c>
      <c r="G584" s="24">
        <v>15</v>
      </c>
      <c r="H584" s="24">
        <v>8385</v>
      </c>
      <c r="I584" s="24">
        <v>8</v>
      </c>
      <c r="J584" s="24">
        <v>4136</v>
      </c>
      <c r="K584" s="24">
        <v>7</v>
      </c>
      <c r="L584" s="24">
        <v>4368</v>
      </c>
      <c r="M584" s="24">
        <v>0</v>
      </c>
      <c r="N584" s="24">
        <v>0</v>
      </c>
      <c r="O584" s="24">
        <v>23</v>
      </c>
      <c r="P584" s="24">
        <v>12213</v>
      </c>
      <c r="Q584" s="24">
        <v>3</v>
      </c>
      <c r="R584" s="24">
        <v>1818</v>
      </c>
      <c r="S584" s="24">
        <v>23</v>
      </c>
      <c r="T584" s="24">
        <v>10465</v>
      </c>
      <c r="U584" s="24">
        <v>6</v>
      </c>
      <c r="V584" s="24">
        <v>2724</v>
      </c>
      <c r="W584" s="24">
        <v>0</v>
      </c>
      <c r="X584" s="24">
        <v>0</v>
      </c>
      <c r="Y584">
        <f t="shared" si="9"/>
        <v>85</v>
      </c>
    </row>
    <row r="585" spans="1:25" x14ac:dyDescent="0.4">
      <c r="A585" s="24" t="s">
        <v>2383</v>
      </c>
      <c r="B585" s="24" t="s">
        <v>2384</v>
      </c>
      <c r="C585" s="25">
        <v>42614</v>
      </c>
      <c r="D585" s="24" t="s">
        <v>2027</v>
      </c>
      <c r="E585" s="24" t="s">
        <v>2028</v>
      </c>
      <c r="F585" s="24" t="s">
        <v>2418</v>
      </c>
      <c r="G585" s="24">
        <v>2</v>
      </c>
      <c r="H585" s="24">
        <v>974</v>
      </c>
      <c r="I585" s="24">
        <v>1</v>
      </c>
      <c r="J585" s="24">
        <v>495</v>
      </c>
      <c r="K585" s="24">
        <v>8</v>
      </c>
      <c r="L585" s="24">
        <v>3600</v>
      </c>
      <c r="M585" s="24">
        <v>15</v>
      </c>
      <c r="N585" s="24">
        <v>6990</v>
      </c>
      <c r="O585" s="24">
        <v>1</v>
      </c>
      <c r="P585" s="24">
        <v>542</v>
      </c>
      <c r="Q585" s="24">
        <v>41</v>
      </c>
      <c r="R585" s="24">
        <v>21361</v>
      </c>
      <c r="S585" s="24">
        <v>4</v>
      </c>
      <c r="T585" s="24">
        <v>2200</v>
      </c>
      <c r="U585" s="24">
        <v>2</v>
      </c>
      <c r="V585" s="24">
        <v>986</v>
      </c>
      <c r="W585" s="24">
        <v>59</v>
      </c>
      <c r="X585" s="24">
        <v>30503</v>
      </c>
      <c r="Y585">
        <f t="shared" si="9"/>
        <v>133</v>
      </c>
    </row>
    <row r="586" spans="1:25" x14ac:dyDescent="0.4">
      <c r="A586" s="24" t="s">
        <v>2385</v>
      </c>
      <c r="B586" s="24" t="s">
        <v>2386</v>
      </c>
      <c r="C586" s="25">
        <v>43874</v>
      </c>
      <c r="D586" s="24" t="s">
        <v>2015</v>
      </c>
      <c r="E586" s="24" t="s">
        <v>2016</v>
      </c>
      <c r="F586" s="24" t="s">
        <v>2418</v>
      </c>
      <c r="G586" s="24">
        <v>2</v>
      </c>
      <c r="H586" s="24">
        <v>1126</v>
      </c>
      <c r="I586" s="24">
        <v>1</v>
      </c>
      <c r="J586" s="24">
        <v>550</v>
      </c>
      <c r="K586" s="24">
        <v>18</v>
      </c>
      <c r="L586" s="24">
        <v>11484</v>
      </c>
      <c r="M586" s="24">
        <v>14</v>
      </c>
      <c r="N586" s="24">
        <v>6944</v>
      </c>
      <c r="O586" s="24">
        <v>23</v>
      </c>
      <c r="P586" s="24">
        <v>14375</v>
      </c>
      <c r="Q586" s="24">
        <v>9</v>
      </c>
      <c r="R586" s="24">
        <v>5499</v>
      </c>
      <c r="S586" s="24">
        <v>6</v>
      </c>
      <c r="T586" s="24">
        <v>2772</v>
      </c>
      <c r="U586" s="24">
        <v>1</v>
      </c>
      <c r="V586" s="24">
        <v>465</v>
      </c>
      <c r="W586" s="24">
        <v>2</v>
      </c>
      <c r="X586" s="24">
        <v>950</v>
      </c>
      <c r="Y586">
        <f t="shared" si="9"/>
        <v>76</v>
      </c>
    </row>
    <row r="587" spans="1:25" x14ac:dyDescent="0.4">
      <c r="A587" s="24" t="s">
        <v>2387</v>
      </c>
      <c r="B587" s="24" t="s">
        <v>2388</v>
      </c>
      <c r="C587" s="25">
        <v>44148</v>
      </c>
      <c r="D587" s="24" t="s">
        <v>2027</v>
      </c>
      <c r="E587" s="24" t="s">
        <v>2020</v>
      </c>
      <c r="F587" s="24" t="s">
        <v>2418</v>
      </c>
      <c r="G587" s="24">
        <v>3</v>
      </c>
      <c r="H587" s="24">
        <v>1440</v>
      </c>
      <c r="I587" s="24">
        <v>4</v>
      </c>
      <c r="J587" s="24">
        <v>1832</v>
      </c>
      <c r="K587" s="24">
        <v>13</v>
      </c>
      <c r="L587" s="24">
        <v>8138</v>
      </c>
      <c r="M587" s="24">
        <v>39</v>
      </c>
      <c r="N587" s="24">
        <v>21801</v>
      </c>
      <c r="O587" s="24">
        <v>7</v>
      </c>
      <c r="P587" s="24">
        <v>3675</v>
      </c>
      <c r="Q587" s="24">
        <v>7</v>
      </c>
      <c r="R587" s="24">
        <v>4466</v>
      </c>
      <c r="S587" s="24">
        <v>9</v>
      </c>
      <c r="T587" s="24">
        <v>5490</v>
      </c>
      <c r="U587" s="24">
        <v>2</v>
      </c>
      <c r="V587" s="24">
        <v>1144</v>
      </c>
      <c r="W587" s="24">
        <v>23</v>
      </c>
      <c r="X587" s="24">
        <v>14329</v>
      </c>
      <c r="Y587">
        <f t="shared" si="9"/>
        <v>107</v>
      </c>
    </row>
    <row r="588" spans="1:25" x14ac:dyDescent="0.4">
      <c r="A588" s="24" t="s">
        <v>2389</v>
      </c>
      <c r="B588" s="24" t="s">
        <v>2390</v>
      </c>
      <c r="C588" s="25">
        <v>42254</v>
      </c>
      <c r="D588" s="24" t="s">
        <v>2015</v>
      </c>
      <c r="E588" s="24" t="s">
        <v>2028</v>
      </c>
      <c r="F588" s="24" t="s">
        <v>2418</v>
      </c>
      <c r="G588" s="24">
        <v>14</v>
      </c>
      <c r="H588" s="24">
        <v>8792</v>
      </c>
      <c r="I588" s="24">
        <v>5</v>
      </c>
      <c r="J588" s="24">
        <v>2715</v>
      </c>
      <c r="K588" s="24">
        <v>1</v>
      </c>
      <c r="L588" s="24">
        <v>470</v>
      </c>
      <c r="M588" s="24">
        <v>3</v>
      </c>
      <c r="N588" s="24">
        <v>1596</v>
      </c>
      <c r="O588" s="24">
        <v>26</v>
      </c>
      <c r="P588" s="24">
        <v>14924</v>
      </c>
      <c r="Q588" s="24">
        <v>19</v>
      </c>
      <c r="R588" s="24">
        <v>8721</v>
      </c>
      <c r="S588" s="24">
        <v>26</v>
      </c>
      <c r="T588" s="24">
        <v>13728</v>
      </c>
      <c r="U588" s="24">
        <v>0</v>
      </c>
      <c r="V588" s="24">
        <v>0</v>
      </c>
      <c r="W588" s="24">
        <v>0</v>
      </c>
      <c r="X588" s="24">
        <v>0</v>
      </c>
      <c r="Y588">
        <f t="shared" si="9"/>
        <v>94</v>
      </c>
    </row>
    <row r="589" spans="1:25" x14ac:dyDescent="0.4">
      <c r="A589" s="24" t="s">
        <v>2391</v>
      </c>
      <c r="B589" s="24" t="s">
        <v>2392</v>
      </c>
      <c r="C589" s="25">
        <v>42229</v>
      </c>
      <c r="D589" s="24" t="s">
        <v>2015</v>
      </c>
      <c r="E589" s="24" t="s">
        <v>2028</v>
      </c>
      <c r="F589" s="24" t="s">
        <v>2418</v>
      </c>
      <c r="G589" s="24">
        <v>47</v>
      </c>
      <c r="H589" s="24">
        <v>30080</v>
      </c>
      <c r="I589" s="24">
        <v>70</v>
      </c>
      <c r="J589" s="24">
        <v>33950</v>
      </c>
      <c r="K589" s="24">
        <v>5</v>
      </c>
      <c r="L589" s="24">
        <v>3105</v>
      </c>
      <c r="M589" s="24">
        <v>5</v>
      </c>
      <c r="N589" s="24">
        <v>2970</v>
      </c>
      <c r="O589" s="24">
        <v>0</v>
      </c>
      <c r="P589" s="24">
        <v>0</v>
      </c>
      <c r="Q589" s="24">
        <v>17</v>
      </c>
      <c r="R589" s="24">
        <v>7667</v>
      </c>
      <c r="S589" s="24">
        <v>3</v>
      </c>
      <c r="T589" s="24">
        <v>1620</v>
      </c>
      <c r="U589" s="24">
        <v>0</v>
      </c>
      <c r="V589" s="24">
        <v>0</v>
      </c>
      <c r="W589" s="24">
        <v>0</v>
      </c>
      <c r="X589" s="24">
        <v>0</v>
      </c>
      <c r="Y589">
        <f t="shared" si="9"/>
        <v>147</v>
      </c>
    </row>
    <row r="590" spans="1:25" x14ac:dyDescent="0.4">
      <c r="A590" s="24" t="s">
        <v>2393</v>
      </c>
      <c r="B590" s="24" t="s">
        <v>2394</v>
      </c>
      <c r="C590" s="25">
        <v>43074</v>
      </c>
      <c r="D590" s="24" t="s">
        <v>2027</v>
      </c>
      <c r="E590" s="24" t="s">
        <v>2020</v>
      </c>
      <c r="F590" s="24" t="s">
        <v>2418</v>
      </c>
      <c r="G590" s="24">
        <v>8</v>
      </c>
      <c r="H590" s="24">
        <v>3936</v>
      </c>
      <c r="I590" s="24">
        <v>21</v>
      </c>
      <c r="J590" s="24">
        <v>13587</v>
      </c>
      <c r="K590" s="24">
        <v>0</v>
      </c>
      <c r="L590" s="24">
        <v>0</v>
      </c>
      <c r="M590" s="24">
        <v>30</v>
      </c>
      <c r="N590" s="24">
        <v>17400</v>
      </c>
      <c r="O590" s="24">
        <v>65</v>
      </c>
      <c r="P590" s="24">
        <v>41665</v>
      </c>
      <c r="Q590" s="24">
        <v>27</v>
      </c>
      <c r="R590" s="24">
        <v>17496</v>
      </c>
      <c r="S590" s="24">
        <v>1</v>
      </c>
      <c r="T590" s="24">
        <v>647</v>
      </c>
      <c r="U590" s="24">
        <v>10</v>
      </c>
      <c r="V590" s="24">
        <v>6030</v>
      </c>
      <c r="W590" s="24">
        <v>18</v>
      </c>
      <c r="X590" s="24">
        <v>9126</v>
      </c>
      <c r="Y590">
        <f t="shared" si="9"/>
        <v>180</v>
      </c>
    </row>
    <row r="591" spans="1:25" x14ac:dyDescent="0.4">
      <c r="A591" s="24" t="s">
        <v>2395</v>
      </c>
      <c r="B591" s="24" t="s">
        <v>2396</v>
      </c>
      <c r="C591" s="25">
        <v>43492</v>
      </c>
      <c r="D591" s="24" t="s">
        <v>2027</v>
      </c>
      <c r="E591" s="24" t="s">
        <v>2028</v>
      </c>
      <c r="F591" s="24" t="s">
        <v>2418</v>
      </c>
      <c r="G591" s="24">
        <v>2</v>
      </c>
      <c r="H591" s="24">
        <v>1162</v>
      </c>
      <c r="I591" s="24">
        <v>11</v>
      </c>
      <c r="J591" s="24">
        <v>6138</v>
      </c>
      <c r="K591" s="24">
        <v>3</v>
      </c>
      <c r="L591" s="24">
        <v>1428</v>
      </c>
      <c r="M591" s="24">
        <v>0</v>
      </c>
      <c r="N591" s="24">
        <v>0</v>
      </c>
      <c r="O591" s="24">
        <v>36</v>
      </c>
      <c r="P591" s="24">
        <v>21384</v>
      </c>
      <c r="Q591" s="24">
        <v>11</v>
      </c>
      <c r="R591" s="24">
        <v>6061</v>
      </c>
      <c r="S591" s="24">
        <v>0</v>
      </c>
      <c r="T591" s="24">
        <v>0</v>
      </c>
      <c r="U591" s="24">
        <v>69</v>
      </c>
      <c r="V591" s="24">
        <v>32016</v>
      </c>
      <c r="W591" s="24">
        <v>8</v>
      </c>
      <c r="X591" s="24">
        <v>4152</v>
      </c>
      <c r="Y591">
        <f t="shared" si="9"/>
        <v>140</v>
      </c>
    </row>
    <row r="592" spans="1:25" x14ac:dyDescent="0.4">
      <c r="A592" s="24" t="s">
        <v>2397</v>
      </c>
      <c r="B592" s="24" t="s">
        <v>2398</v>
      </c>
      <c r="C592" s="25">
        <v>42648</v>
      </c>
      <c r="D592" s="24" t="s">
        <v>2027</v>
      </c>
      <c r="E592" s="24" t="s">
        <v>2028</v>
      </c>
      <c r="F592" s="24" t="s">
        <v>2418</v>
      </c>
      <c r="G592" s="24">
        <v>17</v>
      </c>
      <c r="H592" s="24">
        <v>7871</v>
      </c>
      <c r="I592" s="24">
        <v>6</v>
      </c>
      <c r="J592" s="24">
        <v>3252</v>
      </c>
      <c r="K592" s="24">
        <v>13</v>
      </c>
      <c r="L592" s="24">
        <v>7514</v>
      </c>
      <c r="M592" s="24">
        <v>6</v>
      </c>
      <c r="N592" s="24">
        <v>3102</v>
      </c>
      <c r="O592" s="24">
        <v>4</v>
      </c>
      <c r="P592" s="24">
        <v>2584</v>
      </c>
      <c r="Q592" s="24">
        <v>0</v>
      </c>
      <c r="R592" s="24">
        <v>0</v>
      </c>
      <c r="S592" s="24">
        <v>6</v>
      </c>
      <c r="T592" s="24">
        <v>3132</v>
      </c>
      <c r="U592" s="24">
        <v>0</v>
      </c>
      <c r="V592" s="24">
        <v>0</v>
      </c>
      <c r="W592" s="24">
        <v>9</v>
      </c>
      <c r="X592" s="24">
        <v>5337</v>
      </c>
      <c r="Y592">
        <f t="shared" si="9"/>
        <v>61</v>
      </c>
    </row>
    <row r="593" spans="1:25" x14ac:dyDescent="0.4">
      <c r="A593" s="24" t="s">
        <v>2399</v>
      </c>
      <c r="B593" s="24" t="s">
        <v>2400</v>
      </c>
      <c r="C593" s="25">
        <v>42048</v>
      </c>
      <c r="D593" s="24" t="s">
        <v>2015</v>
      </c>
      <c r="E593" s="24" t="s">
        <v>2016</v>
      </c>
      <c r="F593" s="24" t="s">
        <v>2418</v>
      </c>
      <c r="G593" s="24">
        <v>10</v>
      </c>
      <c r="H593" s="24">
        <v>5640</v>
      </c>
      <c r="I593" s="24">
        <v>30</v>
      </c>
      <c r="J593" s="24">
        <v>19440</v>
      </c>
      <c r="K593" s="24">
        <v>4</v>
      </c>
      <c r="L593" s="24">
        <v>2020</v>
      </c>
      <c r="M593" s="24">
        <v>9</v>
      </c>
      <c r="N593" s="24">
        <v>4959</v>
      </c>
      <c r="O593" s="24">
        <v>1</v>
      </c>
      <c r="P593" s="24">
        <v>456</v>
      </c>
      <c r="Q593" s="24">
        <v>19</v>
      </c>
      <c r="R593" s="24">
        <v>11324</v>
      </c>
      <c r="S593" s="24">
        <v>13</v>
      </c>
      <c r="T593" s="24">
        <v>7215</v>
      </c>
      <c r="U593" s="24">
        <v>4</v>
      </c>
      <c r="V593" s="24">
        <v>1960</v>
      </c>
      <c r="W593" s="24">
        <v>9</v>
      </c>
      <c r="X593" s="24">
        <v>4563</v>
      </c>
      <c r="Y593">
        <f t="shared" si="9"/>
        <v>99</v>
      </c>
    </row>
    <row r="594" spans="1:25" x14ac:dyDescent="0.4">
      <c r="A594" s="24" t="s">
        <v>2401</v>
      </c>
      <c r="B594" s="24" t="s">
        <v>2402</v>
      </c>
      <c r="C594" s="25">
        <v>43155</v>
      </c>
      <c r="D594" s="24" t="s">
        <v>2027</v>
      </c>
      <c r="E594" s="24" t="s">
        <v>2016</v>
      </c>
      <c r="F594" s="24" t="s">
        <v>2418</v>
      </c>
      <c r="G594" s="24">
        <v>43</v>
      </c>
      <c r="H594" s="24">
        <v>26832</v>
      </c>
      <c r="I594" s="24">
        <v>6</v>
      </c>
      <c r="J594" s="24">
        <v>3480</v>
      </c>
      <c r="K594" s="24">
        <v>0</v>
      </c>
      <c r="L594" s="24">
        <v>0</v>
      </c>
      <c r="M594" s="24">
        <v>6</v>
      </c>
      <c r="N594" s="24">
        <v>2700</v>
      </c>
      <c r="O594" s="24">
        <v>3</v>
      </c>
      <c r="P594" s="24">
        <v>1476</v>
      </c>
      <c r="Q594" s="24">
        <v>1</v>
      </c>
      <c r="R594" s="24">
        <v>509</v>
      </c>
      <c r="S594" s="24">
        <v>16</v>
      </c>
      <c r="T594" s="24">
        <v>8640</v>
      </c>
      <c r="U594" s="24">
        <v>3</v>
      </c>
      <c r="V594" s="24">
        <v>1542</v>
      </c>
      <c r="W594" s="24">
        <v>1</v>
      </c>
      <c r="X594" s="24">
        <v>511</v>
      </c>
      <c r="Y594">
        <f t="shared" si="9"/>
        <v>79</v>
      </c>
    </row>
    <row r="595" spans="1:25" x14ac:dyDescent="0.4">
      <c r="A595" s="24" t="s">
        <v>2403</v>
      </c>
      <c r="B595" s="24" t="s">
        <v>2404</v>
      </c>
      <c r="C595" s="25">
        <v>43041</v>
      </c>
      <c r="D595" s="24" t="s">
        <v>2027</v>
      </c>
      <c r="E595" s="24" t="s">
        <v>2028</v>
      </c>
      <c r="F595" s="24" t="s">
        <v>2418</v>
      </c>
      <c r="G595" s="24">
        <v>31</v>
      </c>
      <c r="H595" s="24">
        <v>15345</v>
      </c>
      <c r="I595" s="24">
        <v>1</v>
      </c>
      <c r="J595" s="24">
        <v>504</v>
      </c>
      <c r="K595" s="24">
        <v>0</v>
      </c>
      <c r="L595" s="24">
        <v>0</v>
      </c>
      <c r="M595" s="24">
        <v>1</v>
      </c>
      <c r="N595" s="24">
        <v>543</v>
      </c>
      <c r="O595" s="24">
        <v>17</v>
      </c>
      <c r="P595" s="24">
        <v>8653</v>
      </c>
      <c r="Q595" s="24">
        <v>2</v>
      </c>
      <c r="R595" s="24">
        <v>1130</v>
      </c>
      <c r="S595" s="24">
        <v>14</v>
      </c>
      <c r="T595" s="24">
        <v>8456</v>
      </c>
      <c r="U595" s="24">
        <v>1</v>
      </c>
      <c r="V595" s="24">
        <v>594</v>
      </c>
      <c r="W595" s="24">
        <v>8</v>
      </c>
      <c r="X595" s="24">
        <v>4368</v>
      </c>
      <c r="Y595">
        <f t="shared" si="9"/>
        <v>75</v>
      </c>
    </row>
    <row r="596" spans="1:25" x14ac:dyDescent="0.4">
      <c r="A596" s="24" t="s">
        <v>2405</v>
      </c>
      <c r="B596" s="24" t="s">
        <v>2406</v>
      </c>
      <c r="C596" s="25">
        <v>42412</v>
      </c>
      <c r="D596" s="24" t="s">
        <v>2015</v>
      </c>
      <c r="E596" s="24" t="s">
        <v>2028</v>
      </c>
      <c r="F596" s="24" t="s">
        <v>2418</v>
      </c>
      <c r="G596" s="24">
        <v>2</v>
      </c>
      <c r="H596" s="24">
        <v>1262</v>
      </c>
      <c r="I596" s="24">
        <v>5</v>
      </c>
      <c r="J596" s="24">
        <v>3070</v>
      </c>
      <c r="K596" s="24">
        <v>0</v>
      </c>
      <c r="L596" s="24">
        <v>0</v>
      </c>
      <c r="M596" s="24">
        <v>6</v>
      </c>
      <c r="N596" s="24">
        <v>3396</v>
      </c>
      <c r="O596" s="24">
        <v>8</v>
      </c>
      <c r="P596" s="24">
        <v>4472</v>
      </c>
      <c r="Q596" s="24">
        <v>27</v>
      </c>
      <c r="R596" s="24">
        <v>14013</v>
      </c>
      <c r="S596" s="24">
        <v>70</v>
      </c>
      <c r="T596" s="24">
        <v>33180</v>
      </c>
      <c r="U596" s="24">
        <v>24</v>
      </c>
      <c r="V596" s="24">
        <v>15120</v>
      </c>
      <c r="W596" s="24">
        <v>10</v>
      </c>
      <c r="X596" s="24">
        <v>5470</v>
      </c>
      <c r="Y596">
        <f t="shared" si="9"/>
        <v>152</v>
      </c>
    </row>
    <row r="597" spans="1:25" x14ac:dyDescent="0.4">
      <c r="A597" s="24" t="s">
        <v>2407</v>
      </c>
      <c r="B597" s="24" t="s">
        <v>2408</v>
      </c>
      <c r="C597" s="25">
        <v>44010</v>
      </c>
      <c r="D597" s="24" t="s">
        <v>2027</v>
      </c>
      <c r="E597" s="24" t="s">
        <v>2020</v>
      </c>
      <c r="F597" s="24" t="s">
        <v>2418</v>
      </c>
      <c r="G597" s="24">
        <v>10</v>
      </c>
      <c r="H597" s="24">
        <v>5990</v>
      </c>
      <c r="I597" s="24">
        <v>0</v>
      </c>
      <c r="J597" s="24">
        <v>0</v>
      </c>
      <c r="K597" s="24">
        <v>5</v>
      </c>
      <c r="L597" s="24">
        <v>2780</v>
      </c>
      <c r="M597" s="24">
        <v>11</v>
      </c>
      <c r="N597" s="24">
        <v>5137</v>
      </c>
      <c r="O597" s="24">
        <v>11</v>
      </c>
      <c r="P597" s="24">
        <v>5071</v>
      </c>
      <c r="Q597" s="24">
        <v>1</v>
      </c>
      <c r="R597" s="24">
        <v>486</v>
      </c>
      <c r="S597" s="24">
        <v>12</v>
      </c>
      <c r="T597" s="24">
        <v>7644</v>
      </c>
      <c r="U597" s="24">
        <v>1</v>
      </c>
      <c r="V597" s="24">
        <v>453</v>
      </c>
      <c r="W597" s="24">
        <v>6</v>
      </c>
      <c r="X597" s="24">
        <v>3840</v>
      </c>
      <c r="Y597">
        <f t="shared" si="9"/>
        <v>57</v>
      </c>
    </row>
    <row r="598" spans="1:25" x14ac:dyDescent="0.4">
      <c r="A598" s="24" t="s">
        <v>2409</v>
      </c>
      <c r="B598" s="24" t="s">
        <v>2410</v>
      </c>
      <c r="C598" s="25">
        <v>44131</v>
      </c>
      <c r="D598" s="24" t="s">
        <v>2027</v>
      </c>
      <c r="E598" s="24" t="s">
        <v>2020</v>
      </c>
      <c r="F598" s="24" t="s">
        <v>2418</v>
      </c>
      <c r="G598" s="24">
        <v>6</v>
      </c>
      <c r="H598" s="24">
        <v>2904</v>
      </c>
      <c r="I598" s="24">
        <v>6</v>
      </c>
      <c r="J598" s="24">
        <v>3864</v>
      </c>
      <c r="K598" s="24">
        <v>3</v>
      </c>
      <c r="L598" s="24">
        <v>1410</v>
      </c>
      <c r="M598" s="24">
        <v>12</v>
      </c>
      <c r="N598" s="24">
        <v>6588</v>
      </c>
      <c r="O598" s="24">
        <v>3</v>
      </c>
      <c r="P598" s="24">
        <v>1419</v>
      </c>
      <c r="Q598" s="24">
        <v>12</v>
      </c>
      <c r="R598" s="24">
        <v>6600</v>
      </c>
      <c r="S598" s="24">
        <v>9</v>
      </c>
      <c r="T598" s="24">
        <v>5202</v>
      </c>
      <c r="U598" s="24">
        <v>4</v>
      </c>
      <c r="V598" s="24">
        <v>2424</v>
      </c>
      <c r="W598" s="24">
        <v>9</v>
      </c>
      <c r="X598" s="24">
        <v>4446</v>
      </c>
      <c r="Y598">
        <f t="shared" si="9"/>
        <v>64</v>
      </c>
    </row>
    <row r="599" spans="1:25" x14ac:dyDescent="0.4">
      <c r="A599" s="24" t="s">
        <v>2411</v>
      </c>
      <c r="B599" s="24" t="s">
        <v>2412</v>
      </c>
      <c r="C599" s="25">
        <v>42869</v>
      </c>
      <c r="D599" s="24" t="s">
        <v>2015</v>
      </c>
      <c r="E599" s="24" t="s">
        <v>2028</v>
      </c>
      <c r="F599" s="24" t="s">
        <v>2418</v>
      </c>
      <c r="G599" s="24">
        <v>6</v>
      </c>
      <c r="H599" s="24">
        <v>2922</v>
      </c>
      <c r="I599" s="24">
        <v>25</v>
      </c>
      <c r="J599" s="24">
        <v>13775</v>
      </c>
      <c r="K599" s="24">
        <v>5</v>
      </c>
      <c r="L599" s="24">
        <v>2510</v>
      </c>
      <c r="M599" s="24">
        <v>19</v>
      </c>
      <c r="N599" s="24">
        <v>11020</v>
      </c>
      <c r="O599" s="24">
        <v>61</v>
      </c>
      <c r="P599" s="24">
        <v>32452</v>
      </c>
      <c r="Q599" s="24">
        <v>0</v>
      </c>
      <c r="R599" s="24">
        <v>0</v>
      </c>
      <c r="S599" s="24">
        <v>11</v>
      </c>
      <c r="T599" s="24">
        <v>5170</v>
      </c>
      <c r="U599" s="24">
        <v>1</v>
      </c>
      <c r="V599" s="24">
        <v>482</v>
      </c>
      <c r="W599" s="24">
        <v>14</v>
      </c>
      <c r="X599" s="24">
        <v>8456</v>
      </c>
      <c r="Y599">
        <f t="shared" si="9"/>
        <v>142</v>
      </c>
    </row>
    <row r="600" spans="1:25" x14ac:dyDescent="0.4">
      <c r="A600" s="24" t="s">
        <v>2413</v>
      </c>
      <c r="B600" s="24" t="s">
        <v>2414</v>
      </c>
      <c r="C600" s="25">
        <v>42923</v>
      </c>
      <c r="D600" s="24" t="s">
        <v>2015</v>
      </c>
      <c r="E600" s="24" t="s">
        <v>2028</v>
      </c>
      <c r="F600" s="24" t="s">
        <v>2418</v>
      </c>
      <c r="G600" s="24">
        <v>21</v>
      </c>
      <c r="H600" s="24">
        <v>12306</v>
      </c>
      <c r="I600" s="24">
        <v>11</v>
      </c>
      <c r="J600" s="24">
        <v>5852</v>
      </c>
      <c r="K600" s="24">
        <v>8</v>
      </c>
      <c r="L600" s="24">
        <v>4472</v>
      </c>
      <c r="M600" s="24">
        <v>1</v>
      </c>
      <c r="N600" s="24">
        <v>486</v>
      </c>
      <c r="O600" s="24">
        <v>2</v>
      </c>
      <c r="P600" s="24">
        <v>998</v>
      </c>
      <c r="Q600" s="24">
        <v>19</v>
      </c>
      <c r="R600" s="24">
        <v>8721</v>
      </c>
      <c r="S600" s="24">
        <v>1</v>
      </c>
      <c r="T600" s="24">
        <v>518</v>
      </c>
      <c r="U600" s="24">
        <v>5</v>
      </c>
      <c r="V600" s="24">
        <v>2340</v>
      </c>
      <c r="W600" s="24">
        <v>1</v>
      </c>
      <c r="X600" s="24">
        <v>546</v>
      </c>
      <c r="Y600">
        <f t="shared" si="9"/>
        <v>69</v>
      </c>
    </row>
    <row r="601" spans="1:25" x14ac:dyDescent="0.4">
      <c r="A601" s="24" t="s">
        <v>2415</v>
      </c>
      <c r="B601" s="24" t="s">
        <v>2416</v>
      </c>
      <c r="C601" s="25">
        <v>43312</v>
      </c>
      <c r="D601" s="24" t="s">
        <v>2027</v>
      </c>
      <c r="E601" s="24" t="s">
        <v>2016</v>
      </c>
      <c r="F601" s="24" t="s">
        <v>2418</v>
      </c>
      <c r="G601" s="24">
        <v>51</v>
      </c>
      <c r="H601" s="24">
        <v>29682</v>
      </c>
      <c r="I601" s="24">
        <v>25</v>
      </c>
      <c r="J601" s="24">
        <v>13125</v>
      </c>
      <c r="K601" s="24">
        <v>13</v>
      </c>
      <c r="L601" s="24">
        <v>6162</v>
      </c>
      <c r="M601" s="24">
        <v>12</v>
      </c>
      <c r="N601" s="24">
        <v>7608</v>
      </c>
      <c r="O601" s="24">
        <v>0</v>
      </c>
      <c r="P601" s="24">
        <v>0</v>
      </c>
      <c r="Q601" s="24">
        <v>9</v>
      </c>
      <c r="R601" s="24">
        <v>5112</v>
      </c>
      <c r="S601" s="24">
        <v>14</v>
      </c>
      <c r="T601" s="24">
        <v>6762</v>
      </c>
      <c r="U601" s="24">
        <v>1</v>
      </c>
      <c r="V601" s="24">
        <v>620</v>
      </c>
      <c r="W601" s="24">
        <v>21</v>
      </c>
      <c r="X601" s="24">
        <v>10815</v>
      </c>
      <c r="Y601">
        <f t="shared" si="9"/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Функции</vt:lpstr>
      <vt:lpstr>Остатки</vt:lpstr>
      <vt:lpstr>Выгрузка из 1С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Ренат Шагабутдинов</cp:lastModifiedBy>
  <dcterms:modified xsi:type="dcterms:W3CDTF">2020-11-13T15:45:30Z</dcterms:modified>
</cp:coreProperties>
</file>