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8\"/>
    </mc:Choice>
  </mc:AlternateContent>
  <xr:revisionPtr revIDLastSave="0" documentId="13_ncr:1_{37D5CBAA-44D3-49B2-8045-17B9DB07CA82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Регионы" sheetId="3" r:id="rId1"/>
    <sheet name="Зарплаты" sheetId="4" r:id="rId2"/>
    <sheet name="МАКСЕСЛИ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7" i="3"/>
  <c r="H3" i="5"/>
  <c r="H2" i="5"/>
  <c r="H4" i="4"/>
  <c r="H3" i="4"/>
  <c r="H2" i="4"/>
  <c r="J16" i="3" a="1"/>
  <c r="J16" i="3" s="1"/>
  <c r="J12" i="3"/>
  <c r="J11" i="3"/>
  <c r="J8" i="3"/>
  <c r="J7" i="3"/>
  <c r="J20" i="3" l="1"/>
  <c r="J19" i="3"/>
  <c r="J18" i="3"/>
  <c r="J17" i="3"/>
</calcChain>
</file>

<file path=xl/sharedStrings.xml><?xml version="1.0" encoding="utf-8"?>
<sst xmlns="http://schemas.openxmlformats.org/spreadsheetml/2006/main" count="874" uniqueCount="306">
  <si>
    <t>Владимирская область</t>
  </si>
  <si>
    <t>Воронежская область</t>
  </si>
  <si>
    <t>Ивановская область</t>
  </si>
  <si>
    <t>Калужская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</si>
  <si>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</si>
  <si>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</si>
  <si>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</si>
  <si>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</si>
  <si>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</si>
  <si>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</si>
  <si>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Тверская область</t>
  </si>
  <si>
    <t>Тульская область</t>
  </si>
  <si>
    <t>Республика Карелия</t>
  </si>
  <si>
    <t>Республика Коми</t>
  </si>
  <si>
    <t xml:space="preserve">Архангельская область </t>
  </si>
  <si>
    <t>Вологодская область</t>
  </si>
  <si>
    <t>Калининградская область</t>
  </si>
  <si>
    <t>Новгородская область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</si>
  <si>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</si>
  <si>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</si>
  <si>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</si>
  <si>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</si>
  <si>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</si>
  <si>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Республика Дагестан</t>
  </si>
  <si>
    <t>Республика Ингушетия</t>
  </si>
  <si>
    <t>Чеченская Республика</t>
  </si>
  <si>
    <t>Ставропольский край</t>
  </si>
  <si>
    <t>Республика Башкортостан</t>
  </si>
  <si>
    <t>Республика Мордовия</t>
  </si>
  <si>
    <t>Республика Татарстан</t>
  </si>
  <si>
    <t>Удмуртская Республика</t>
  </si>
  <si>
    <t xml:space="preserve">Пермский край </t>
  </si>
  <si>
    <t>Кировская область</t>
  </si>
  <si>
    <t>Оренбургская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</si>
  <si>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</si>
  <si>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</si>
  <si>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</si>
  <si>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</si>
  <si>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</si>
  <si>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</si>
  <si>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</si>
  <si>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</si>
  <si>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</si>
  <si>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</si>
  <si>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</si>
  <si>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</si>
  <si>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</si>
  <si>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</si>
  <si>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</si>
  <si>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</si>
  <si>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</si>
  <si>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</si>
  <si>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Приморский край</t>
  </si>
  <si>
    <t>Амурская область</t>
  </si>
  <si>
    <t xml:space="preserve">Белгородская область  </t>
  </si>
  <si>
    <t xml:space="preserve">Брянская область </t>
  </si>
  <si>
    <t xml:space="preserve">Костромская область </t>
  </si>
  <si>
    <t xml:space="preserve">Тамбовская область </t>
  </si>
  <si>
    <t xml:space="preserve">Ярославская область   </t>
  </si>
  <si>
    <t>г.Москва</t>
  </si>
  <si>
    <t xml:space="preserve">    Ненецкий авт.округ</t>
  </si>
  <si>
    <t xml:space="preserve">Архангельская область (без НАО)  </t>
  </si>
  <si>
    <t xml:space="preserve">Ленинградская область </t>
  </si>
  <si>
    <t xml:space="preserve">Мурманская область   </t>
  </si>
  <si>
    <t xml:space="preserve">Псковская область   </t>
  </si>
  <si>
    <t>г.Санкт-Петербург</t>
  </si>
  <si>
    <t xml:space="preserve">Республика Адыгея  </t>
  </si>
  <si>
    <t xml:space="preserve">Ростовская область </t>
  </si>
  <si>
    <t>г.Севастополь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</si>
  <si>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</si>
  <si>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</si>
  <si>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</si>
  <si>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 xml:space="preserve">Республика Марий Эл  </t>
  </si>
  <si>
    <t xml:space="preserve">Чувашская Республика </t>
  </si>
  <si>
    <t xml:space="preserve">Нижегородская область </t>
  </si>
  <si>
    <t xml:space="preserve">Пензенская область 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</si>
  <si>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</si>
  <si>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</si>
  <si>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</si>
  <si>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 xml:space="preserve">Красноярский край   </t>
  </si>
  <si>
    <t xml:space="preserve">Камчатский край   </t>
  </si>
  <si>
    <t xml:space="preserve">Хабаровский край 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</si>
  <si>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</si>
  <si>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</si>
  <si>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</si>
  <si>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</si>
  <si>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УРОВЕНЬ ДЕНЕЖНЫХ ДОХОДОВ НАСЕЛЕНИЯ В ЦЕЛОМ ПО РОССИИ И ПО СУБЪЕКТАМ РОССИЙСКОЙ ФЕДЕРАЦИИ ЗА 2018 ГОД</t>
  </si>
  <si>
    <t>Место в Российской Федерации</t>
  </si>
  <si>
    <t>Денежные доходы в расчете на душу населения, рублей в месяц</t>
  </si>
  <si>
    <t>Минимум</t>
  </si>
  <si>
    <t>Максимум</t>
  </si>
  <si>
    <t>Среднее</t>
  </si>
  <si>
    <t>Медиана</t>
  </si>
  <si>
    <t>Среднее без "выбросов"</t>
  </si>
  <si>
    <t>Распределение</t>
  </si>
  <si>
    <t>Должность</t>
  </si>
  <si>
    <t>Зарплата</t>
  </si>
  <si>
    <t>Гендиректор</t>
  </si>
  <si>
    <t>Руководитель</t>
  </si>
  <si>
    <t>Мода</t>
  </si>
  <si>
    <t>Специалист</t>
  </si>
  <si>
    <t>Стажер</t>
  </si>
  <si>
    <t>Заместитель</t>
  </si>
  <si>
    <t>Код операции</t>
  </si>
  <si>
    <t>Регион</t>
  </si>
  <si>
    <t>Категория</t>
  </si>
  <si>
    <t>Месяц</t>
  </si>
  <si>
    <t>Продажи</t>
  </si>
  <si>
    <t>68-pjilqwf</t>
  </si>
  <si>
    <t>Москва</t>
  </si>
  <si>
    <t>Смартфоны</t>
  </si>
  <si>
    <t>Январь</t>
  </si>
  <si>
    <t>88-jczlfyp</t>
  </si>
  <si>
    <t>Санкт-Петербург</t>
  </si>
  <si>
    <t>53-xuarohx</t>
  </si>
  <si>
    <t>Екатеринбург</t>
  </si>
  <si>
    <t>33-jhuswcx</t>
  </si>
  <si>
    <t>Новосибирск</t>
  </si>
  <si>
    <t>38-cakarwb</t>
  </si>
  <si>
    <t>Казань</t>
  </si>
  <si>
    <t>17-ghswlig</t>
  </si>
  <si>
    <t>Ноутбуки</t>
  </si>
  <si>
    <t>76-uiihjmy</t>
  </si>
  <si>
    <t>32-dbnrfhu</t>
  </si>
  <si>
    <t>51-jphbmwb</t>
  </si>
  <si>
    <t>17-nrjipai</t>
  </si>
  <si>
    <t>79-vvcrjpx</t>
  </si>
  <si>
    <t>Бытовая техника</t>
  </si>
  <si>
    <t>71-rkxhkkj</t>
  </si>
  <si>
    <t>27-uzkfywd</t>
  </si>
  <si>
    <t>59-atboabq</t>
  </si>
  <si>
    <t>63-vegnsif</t>
  </si>
  <si>
    <t>31-rszvver</t>
  </si>
  <si>
    <t>Февраль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</si>
  <si>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</si>
  <si>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</si>
  <si>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</si>
  <si>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</si>
  <si>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</si>
  <si>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</si>
  <si>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</si>
  <si>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</si>
  <si>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</si>
  <si>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</si>
  <si>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</si>
  <si>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</si>
  <si>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</si>
  <si>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</si>
  <si>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</si>
  <si>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Март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</si>
  <si>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</si>
  <si>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</si>
  <si>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</si>
  <si>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</si>
  <si>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</si>
  <si>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</si>
  <si>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</si>
  <si>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</si>
  <si>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</si>
  <si>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</si>
  <si>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</si>
  <si>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</si>
  <si>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</si>
  <si>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</si>
  <si>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</si>
  <si>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Апрель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</si>
  <si>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</si>
  <si>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</si>
  <si>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</si>
  <si>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</si>
  <si>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</si>
  <si>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</si>
  <si>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</si>
  <si>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</si>
  <si>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</si>
  <si>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</si>
  <si>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</si>
  <si>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</si>
  <si>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</si>
  <si>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</si>
  <si>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</si>
  <si>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Май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</si>
  <si>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</si>
  <si>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</si>
  <si>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</si>
  <si>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</si>
  <si>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</si>
  <si>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</si>
  <si>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</si>
  <si>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</si>
  <si>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</si>
  <si>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</si>
  <si>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</si>
  <si>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</si>
  <si>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</si>
  <si>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</si>
  <si>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</si>
  <si>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Июнь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</si>
  <si>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</si>
  <si>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</si>
  <si>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</si>
  <si>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</si>
  <si>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</si>
  <si>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</si>
  <si>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</si>
  <si>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</si>
  <si>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</si>
  <si>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</si>
  <si>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</si>
  <si>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</si>
  <si>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</si>
  <si>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</si>
  <si>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28-crblksz</t>
  </si>
  <si>
    <t>Июль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</si>
  <si>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</si>
  <si>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</si>
  <si>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</si>
  <si>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</si>
  <si>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</si>
  <si>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</si>
  <si>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</si>
  <si>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</si>
  <si>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</si>
  <si>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</si>
  <si>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</si>
  <si>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</si>
  <si>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</si>
  <si>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</si>
  <si>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Август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</si>
  <si>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</si>
  <si>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</si>
  <si>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</si>
  <si>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</si>
  <si>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</si>
  <si>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</si>
  <si>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</si>
  <si>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</si>
  <si>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</si>
  <si>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</si>
  <si>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</si>
  <si>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</si>
  <si>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</si>
  <si>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</si>
  <si>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</si>
  <si>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Сентябрь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</si>
  <si>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</si>
  <si>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</si>
  <si>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</si>
  <si>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</si>
  <si>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</si>
  <si>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</si>
  <si>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</si>
  <si>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</si>
  <si>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</si>
  <si>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</si>
  <si>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</si>
  <si>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</si>
  <si>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</si>
  <si>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</si>
  <si>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</si>
  <si>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Октябрь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</si>
  <si>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</si>
  <si>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</si>
  <si>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</si>
  <si>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</si>
  <si>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</si>
  <si>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</si>
  <si>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</si>
  <si>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</si>
  <si>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</si>
  <si>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</si>
  <si>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</si>
  <si>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</si>
  <si>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</si>
  <si>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</si>
  <si>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</si>
  <si>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Ноябрь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</si>
  <si>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</si>
  <si>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</si>
  <si>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</si>
  <si>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</si>
  <si>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</si>
  <si>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</si>
  <si>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</si>
  <si>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</si>
  <si>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</si>
  <si>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</si>
  <si>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</si>
  <si>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</si>
  <si>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</si>
  <si>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</si>
  <si>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</si>
  <si>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Декабрь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</si>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</sst>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_р_._-;\-* #,##0.00_р_._-;_-* &quot;-&quot;??_р_.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0"/>
      <name val="Arial"/>
      <family val="2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EAD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/>
    <xf numFmtId="0" fontId="3" fillId="0" borderId="0" xfId="0" applyFont="1"/>
    <xf numFmtId="0" fontId="0" fillId="0" borderId="0" xfId="0" applyBorder="1"/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center" wrapText="1"/>
    </xf>
    <xf numFmtId="0" fontId="8" fillId="0" borderId="0" xfId="0" applyFont="1" applyBorder="1" applyAlignment="1">
      <alignment wrapText="1"/>
    </xf>
    <xf numFmtId="0" fontId="8" fillId="0" borderId="0" xfId="0" applyFont="1" applyBorder="1" applyAlignment="1">
      <alignment horizontal="center" wrapText="1"/>
    </xf>
    <xf numFmtId="0" fontId="8" fillId="4" borderId="0" xfId="0" applyFont="1" applyFill="1" applyBorder="1" applyAlignment="1">
      <alignment horizontal="center" wrapText="1"/>
    </xf>
    <xf numFmtId="167" fontId="11" fillId="2" borderId="1" xfId="6" applyNumberFormat="1" applyFont="1" applyFill="1" applyBorder="1" applyAlignment="1">
      <alignment horizontal="center"/>
    </xf>
    <xf numFmtId="0" fontId="10" fillId="2" borderId="1" xfId="0" applyFont="1" applyFill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13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5" fillId="2" borderId="8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10" xfId="0" applyFont="1" applyFill="1" applyBorder="1" applyAlignment="1">
      <alignment wrapText="1"/>
    </xf>
    <xf numFmtId="167" fontId="0" fillId="0" borderId="0" xfId="6" applyNumberFormat="1" applyFont="1"/>
    <xf numFmtId="1" fontId="8" fillId="4" borderId="0" xfId="0" applyNumberFormat="1" applyFont="1" applyFill="1" applyBorder="1" applyAlignment="1">
      <alignment horizontal="center" wrapText="1"/>
    </xf>
  </cellXfs>
  <cellStyles count="7">
    <cellStyle name="Normal_GD4_14" xfId="2" xr:uid="{00000000-0005-0000-0000-000000000000}"/>
    <cellStyle name="Денежный 2" xfId="3" xr:uid="{00000000-0005-0000-0000-000001000000}"/>
    <cellStyle name="Обычный" xfId="0" builtinId="0"/>
    <cellStyle name="Обычный 2" xfId="1" xr:uid="{00000000-0005-0000-0000-000003000000}"/>
    <cellStyle name="Финансовый" xfId="6" builtinId="3"/>
    <cellStyle name="Финансовый 2" xfId="4" xr:uid="{00000000-0005-0000-0000-000004000000}"/>
    <cellStyle name="Финансовый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Регионы!$I$16:$I$20</c:f>
              <c:numCache>
                <c:formatCode>_-* #\ ##0_-;\-* #\ ##0_-;_-* "-"??_-;_-@_-</c:formatCode>
                <c:ptCount val="5"/>
                <c:pt idx="0">
                  <c:v>20000</c:v>
                </c:pt>
                <c:pt idx="1">
                  <c:v>30000</c:v>
                </c:pt>
                <c:pt idx="2">
                  <c:v>40000</c:v>
                </c:pt>
                <c:pt idx="3">
                  <c:v>55000</c:v>
                </c:pt>
              </c:numCache>
            </c:numRef>
          </c:cat>
          <c:val>
            <c:numRef>
              <c:f>Регионы!$J$16:$J$20</c:f>
              <c:numCache>
                <c:formatCode>General</c:formatCode>
                <c:ptCount val="5"/>
                <c:pt idx="0">
                  <c:v>8</c:v>
                </c:pt>
                <c:pt idx="1">
                  <c:v>54</c:v>
                </c:pt>
                <c:pt idx="2">
                  <c:v>13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1-41FE-ABB1-7D7FC5CCF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51792"/>
        <c:axId val="857170464"/>
      </c:barChart>
      <c:catAx>
        <c:axId val="46551792"/>
        <c:scaling>
          <c:orientation val="minMax"/>
        </c:scaling>
        <c:delete val="0"/>
        <c:axPos val="b"/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170464"/>
        <c:crosses val="autoZero"/>
        <c:auto val="1"/>
        <c:lblAlgn val="ctr"/>
        <c:lblOffset val="100"/>
        <c:noMultiLvlLbl val="0"/>
      </c:catAx>
      <c:valAx>
        <c:axId val="8571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5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481965</xdr:colOff>
      <xdr:row>22</xdr:row>
      <xdr:rowOff>11430</xdr:rowOff>
    </xdr:from>
    <xdr:to>
      <xdr:col>12</xdr:col>
      <xdr:colOff>116205</xdr:colOff>
      <xdr:row>34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9F54AA-8FFF-44CF-91A6-0F2C863CE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D28" sqref="D28"/>
    </sheetView>
  </sheetViews>
  <sheetFormatPr defaultRowHeight="14.4" x14ac:dyDescent="0.55000000000000004"/>
  <cols>
    <col min="1" max="1" width="5" style="1" customWidth="1"/>
    <col min="2" max="2" width="42.15625" customWidth="1"/>
    <col min="3" max="3" width="16.68359375" customWidth="1"/>
    <col min="4" max="4" width="15.83984375" customWidth="1"/>
    <col min="5" max="5" width="6.68359375" customWidth="1"/>
    <col min="9" max="9" width="24" bestFit="1" customWidth="1"/>
  </cols>
  <sheetData>
    <row r="1" spans="2:10" s="1" customFormat="1" ht="14.4" customHeight="1" x14ac:dyDescent="0.55000000000000004">
      <c r="B1" s="20" t="s">
        <v>86</v>
      </c>
      <c r="C1" s="21"/>
      <c r="D1" s="22"/>
    </row>
    <row r="2" spans="2:10" s="1" customFormat="1" ht="18" customHeight="1" x14ac:dyDescent="0.55000000000000004">
      <c r="B2" s="23"/>
      <c r="C2" s="24"/>
      <c r="D2" s="25"/>
    </row>
    <row r="3" spans="2:10" s="1" customFormat="1" ht="15" customHeight="1" x14ac:dyDescent="0.55000000000000004">
      <c r="B3" s="17"/>
      <c r="C3" s="16" t="s">
        <v>88</v>
      </c>
      <c r="D3" s="16" t="s">
        <v>87</v>
      </c>
    </row>
    <row r="4" spans="2:10" s="1" customFormat="1" x14ac:dyDescent="0.55000000000000004">
      <c r="B4" s="18"/>
      <c r="C4" s="16"/>
      <c r="D4" s="16"/>
    </row>
    <row r="5" spans="2:10" s="1" customFormat="1" x14ac:dyDescent="0.55000000000000004">
      <c r="B5" s="18"/>
      <c r="C5" s="16"/>
      <c r="D5" s="16"/>
    </row>
    <row r="6" spans="2:10" s="1" customFormat="1" ht="9.75" customHeight="1" x14ac:dyDescent="0.55000000000000004">
      <c r="B6" s="19"/>
      <c r="C6" s="16"/>
      <c r="D6" s="16"/>
    </row>
    <row r="7" spans="2:10" ht="17.7" x14ac:dyDescent="0.6">
      <c r="B7" s="10" t="s">
        <v>54</v>
      </c>
      <c r="C7" s="9">
        <v>30878</v>
      </c>
      <c r="D7" s="15">
        <f>_xlfn.RANK.EQ(C7,C7:C92,0)</f>
        <v>23</v>
      </c>
      <c r="I7" s="1" t="s">
        <v>89</v>
      </c>
      <c r="J7">
        <f>MIN(C:C)</f>
        <v>14379</v>
      </c>
    </row>
    <row r="8" spans="2:10" ht="17.7" x14ac:dyDescent="0.6">
      <c r="B8" s="10" t="s">
        <v>55</v>
      </c>
      <c r="C8" s="9">
        <v>27488</v>
      </c>
      <c r="D8" s="15">
        <f t="shared" ref="D8:D71" si="0">_xlfn.RANK.EQ(C8,C8:C93,0)</f>
        <v>35</v>
      </c>
      <c r="E8" s="1"/>
      <c r="I8" s="1" t="s">
        <v>90</v>
      </c>
      <c r="J8">
        <f>MAX(C:C)</f>
        <v>74559</v>
      </c>
    </row>
    <row r="9" spans="2:10" ht="17.7" x14ac:dyDescent="0.6">
      <c r="B9" s="10" t="s">
        <v>0</v>
      </c>
      <c r="C9" s="9">
        <v>24185</v>
      </c>
      <c r="D9" s="15">
        <f t="shared" si="0"/>
        <v>56</v>
      </c>
      <c r="E9" s="1"/>
      <c r="I9" s="1"/>
    </row>
    <row r="10" spans="2:10" ht="17.7" x14ac:dyDescent="0.6">
      <c r="B10" s="10" t="s">
        <v>1</v>
      </c>
      <c r="C10" s="9">
        <v>30487</v>
      </c>
      <c r="D10" s="15">
        <f t="shared" si="0"/>
        <v>23</v>
      </c>
      <c r="E10" s="1"/>
      <c r="I10" s="1"/>
    </row>
    <row r="11" spans="2:10" ht="17.7" x14ac:dyDescent="0.6">
      <c r="B11" s="10" t="s">
        <v>2</v>
      </c>
      <c r="C11" s="9">
        <v>24511</v>
      </c>
      <c r="D11" s="15">
        <f t="shared" si="0"/>
        <v>52</v>
      </c>
      <c r="E11" s="1"/>
      <c r="I11" t="s">
        <v>91</v>
      </c>
      <c r="J11" s="26">
        <f>AVERAGE(C:C)</f>
        <v>29523.89534883721</v>
      </c>
    </row>
    <row r="12" spans="2:10" ht="17.7" x14ac:dyDescent="0.6">
      <c r="B12" s="10" t="s">
        <v>3</v>
      </c>
      <c r="C12" s="9">
        <v>28364</v>
      </c>
      <c r="D12" s="15">
        <f t="shared" si="0"/>
        <v>30</v>
      </c>
      <c r="E12" s="1"/>
      <c r="I12" t="s">
        <v>93</v>
      </c>
      <c r="J12" s="26">
        <f>TRIMMEAN(C7:C92,0.2)</f>
        <v>27454.214285714286</v>
      </c>
    </row>
    <row r="13" spans="2:10" ht="17.7" x14ac:dyDescent="0.6">
      <c r="B13" s="10" t="s">
        <v>56</v>
      </c>
      <c r="C13" s="9">
        <v>23464</v>
      </c>
      <c r="D13" s="15">
        <f t="shared" si="0"/>
        <v>57</v>
      </c>
      <c r="E13" s="1"/>
    </row>
    <row r="14" spans="2:10" ht="17.7" x14ac:dyDescent="0.6">
      <c r="B14" s="10" t="s">
        <v>4</v>
      </c>
      <c r="C14" s="9">
        <v>27218</v>
      </c>
      <c r="D14" s="15">
        <f t="shared" si="0"/>
        <v>34</v>
      </c>
      <c r="E14" s="1"/>
      <c r="I14" t="s">
        <v>94</v>
      </c>
    </row>
    <row r="15" spans="2:10" ht="17.7" x14ac:dyDescent="0.6">
      <c r="B15" s="10" t="s">
        <v>5</v>
      </c>
      <c r="C15" s="9">
        <v>29921</v>
      </c>
      <c r="D15" s="15">
        <f t="shared" si="0"/>
        <v>23</v>
      </c>
      <c r="E15" s="1"/>
    </row>
    <row r="16" spans="2:10" ht="17.7" x14ac:dyDescent="0.6">
      <c r="B16" s="10" t="s">
        <v>6</v>
      </c>
      <c r="C16" s="9">
        <v>42814</v>
      </c>
      <c r="D16" s="15">
        <f t="shared" si="0"/>
        <v>10</v>
      </c>
      <c r="E16" s="1"/>
      <c r="I16" s="26">
        <v>20000</v>
      </c>
      <c r="J16">
        <f t="array" ref="J16:J20">FREQUENCY(C7:C92,I16:I19)</f>
        <v>8</v>
      </c>
    </row>
    <row r="17" spans="2:10" ht="17.7" x14ac:dyDescent="0.6">
      <c r="B17" s="10" t="s">
        <v>7</v>
      </c>
      <c r="C17" s="9">
        <v>24658</v>
      </c>
      <c r="D17" s="15">
        <f t="shared" si="0"/>
        <v>46</v>
      </c>
      <c r="E17" s="1"/>
      <c r="I17" s="26">
        <v>30000</v>
      </c>
      <c r="J17">
        <v>54</v>
      </c>
    </row>
    <row r="18" spans="2:10" ht="17.7" x14ac:dyDescent="0.6">
      <c r="B18" s="10" t="s">
        <v>8</v>
      </c>
      <c r="C18" s="9">
        <v>25751</v>
      </c>
      <c r="D18" s="15">
        <f t="shared" si="0"/>
        <v>39</v>
      </c>
      <c r="E18" s="1"/>
      <c r="I18" s="26">
        <v>40000</v>
      </c>
      <c r="J18">
        <v>13</v>
      </c>
    </row>
    <row r="19" spans="2:10" ht="17.7" x14ac:dyDescent="0.6">
      <c r="B19" s="10" t="s">
        <v>9</v>
      </c>
      <c r="C19" s="9">
        <v>26085</v>
      </c>
      <c r="D19" s="15">
        <f t="shared" si="0"/>
        <v>38</v>
      </c>
      <c r="E19" s="1"/>
      <c r="I19" s="26">
        <v>55000</v>
      </c>
      <c r="J19">
        <v>7</v>
      </c>
    </row>
    <row r="20" spans="2:10" ht="17.7" x14ac:dyDescent="0.6">
      <c r="B20" s="10" t="s">
        <v>57</v>
      </c>
      <c r="C20" s="9">
        <v>26233</v>
      </c>
      <c r="D20" s="15">
        <f t="shared" si="0"/>
        <v>36</v>
      </c>
      <c r="E20" s="1"/>
      <c r="I20" s="26"/>
      <c r="J20">
        <v>4</v>
      </c>
    </row>
    <row r="21" spans="2:10" ht="17.7" x14ac:dyDescent="0.6">
      <c r="B21" s="10" t="s">
        <v>10</v>
      </c>
      <c r="C21" s="9">
        <v>25467</v>
      </c>
      <c r="D21" s="15">
        <f t="shared" si="0"/>
        <v>37</v>
      </c>
      <c r="E21" s="1"/>
      <c r="I21" s="1"/>
    </row>
    <row r="22" spans="2:10" ht="17.7" x14ac:dyDescent="0.6">
      <c r="B22" s="10" t="s">
        <v>11</v>
      </c>
      <c r="C22" s="9">
        <v>27775</v>
      </c>
      <c r="D22" s="15">
        <f t="shared" si="0"/>
        <v>29</v>
      </c>
      <c r="E22" s="1"/>
      <c r="I22" s="1"/>
    </row>
    <row r="23" spans="2:10" ht="17.7" x14ac:dyDescent="0.6">
      <c r="B23" s="10" t="s">
        <v>58</v>
      </c>
      <c r="C23" s="9">
        <v>26610</v>
      </c>
      <c r="D23" s="15">
        <f t="shared" si="0"/>
        <v>33</v>
      </c>
      <c r="E23" s="1"/>
      <c r="I23" s="1"/>
    </row>
    <row r="24" spans="2:10" ht="17.7" x14ac:dyDescent="0.6">
      <c r="B24" s="10" t="s">
        <v>59</v>
      </c>
      <c r="C24" s="9">
        <v>62481</v>
      </c>
      <c r="D24" s="15">
        <f t="shared" si="0"/>
        <v>4</v>
      </c>
      <c r="E24" s="1"/>
      <c r="I24" s="1"/>
    </row>
    <row r="25" spans="2:10" ht="17.7" x14ac:dyDescent="0.6">
      <c r="B25" s="10" t="s">
        <v>12</v>
      </c>
      <c r="C25" s="9">
        <v>27846</v>
      </c>
      <c r="D25" s="15">
        <f t="shared" si="0"/>
        <v>27</v>
      </c>
      <c r="E25" s="1"/>
    </row>
    <row r="26" spans="2:10" ht="17.7" x14ac:dyDescent="0.6">
      <c r="B26" s="10" t="s">
        <v>13</v>
      </c>
      <c r="C26" s="9">
        <v>32125</v>
      </c>
      <c r="D26" s="15">
        <f t="shared" si="0"/>
        <v>17</v>
      </c>
      <c r="E26" s="1"/>
    </row>
    <row r="27" spans="2:10" s="1" customFormat="1" ht="17.7" x14ac:dyDescent="0.6">
      <c r="B27" s="10" t="s">
        <v>14</v>
      </c>
      <c r="C27" s="9">
        <v>33518</v>
      </c>
      <c r="D27" s="15">
        <f t="shared" si="0"/>
        <v>15</v>
      </c>
    </row>
    <row r="28" spans="2:10" ht="17.7" x14ac:dyDescent="0.6">
      <c r="B28" s="10" t="s">
        <v>60</v>
      </c>
      <c r="C28" s="9">
        <v>74559</v>
      </c>
      <c r="D28" s="15">
        <f t="shared" si="0"/>
        <v>1</v>
      </c>
      <c r="E28" s="1"/>
    </row>
    <row r="29" spans="2:10" ht="17.7" x14ac:dyDescent="0.6">
      <c r="B29" s="10" t="s">
        <v>61</v>
      </c>
      <c r="C29" s="9">
        <v>31888</v>
      </c>
      <c r="D29" s="15">
        <f t="shared" si="0"/>
        <v>15</v>
      </c>
      <c r="E29" s="1"/>
    </row>
    <row r="30" spans="2:10" ht="17.7" x14ac:dyDescent="0.6">
      <c r="B30" s="10" t="s">
        <v>15</v>
      </c>
      <c r="C30" s="9">
        <v>26730</v>
      </c>
      <c r="D30" s="15">
        <f t="shared" si="0"/>
        <v>26</v>
      </c>
      <c r="E30" s="1"/>
    </row>
    <row r="31" spans="2:10" ht="17.7" x14ac:dyDescent="0.6">
      <c r="B31" s="10" t="s">
        <v>16</v>
      </c>
      <c r="C31" s="9">
        <v>27219</v>
      </c>
      <c r="D31" s="15">
        <f t="shared" si="0"/>
        <v>24</v>
      </c>
      <c r="E31" s="1"/>
    </row>
    <row r="32" spans="2:10" ht="17.7" x14ac:dyDescent="0.6">
      <c r="B32" s="10" t="s">
        <v>62</v>
      </c>
      <c r="C32" s="9">
        <v>29532</v>
      </c>
      <c r="D32" s="15">
        <f t="shared" si="0"/>
        <v>17</v>
      </c>
      <c r="E32" s="1"/>
    </row>
    <row r="33" spans="2:5" ht="17.7" x14ac:dyDescent="0.6">
      <c r="B33" s="10" t="s">
        <v>63</v>
      </c>
      <c r="C33" s="9">
        <v>37077</v>
      </c>
      <c r="D33" s="15">
        <f t="shared" si="0"/>
        <v>10</v>
      </c>
      <c r="E33" s="1"/>
    </row>
    <row r="34" spans="2:5" ht="17.7" x14ac:dyDescent="0.6">
      <c r="B34" s="10" t="s">
        <v>17</v>
      </c>
      <c r="C34" s="9">
        <v>25198</v>
      </c>
      <c r="D34" s="15">
        <f t="shared" si="0"/>
        <v>27</v>
      </c>
      <c r="E34" s="1"/>
    </row>
    <row r="35" spans="2:5" ht="17.7" x14ac:dyDescent="0.6">
      <c r="B35" s="10" t="s">
        <v>64</v>
      </c>
      <c r="C35" s="9">
        <v>23500</v>
      </c>
      <c r="D35" s="15">
        <f t="shared" si="0"/>
        <v>35</v>
      </c>
      <c r="E35" s="1"/>
    </row>
    <row r="36" spans="2:5" ht="17.7" x14ac:dyDescent="0.6">
      <c r="B36" s="10" t="s">
        <v>65</v>
      </c>
      <c r="C36" s="9">
        <v>42823</v>
      </c>
      <c r="D36" s="15">
        <f t="shared" si="0"/>
        <v>7</v>
      </c>
      <c r="E36" s="1"/>
    </row>
    <row r="37" spans="2:5" s="2" customFormat="1" ht="17.7" x14ac:dyDescent="0.6">
      <c r="B37" s="10" t="s">
        <v>66</v>
      </c>
      <c r="C37" s="9">
        <v>26947</v>
      </c>
      <c r="D37" s="15">
        <f t="shared" si="0"/>
        <v>21</v>
      </c>
      <c r="E37" s="1"/>
    </row>
    <row r="38" spans="2:5" ht="17.7" x14ac:dyDescent="0.6">
      <c r="B38" s="10" t="s">
        <v>18</v>
      </c>
      <c r="C38" s="9">
        <v>16837</v>
      </c>
      <c r="D38" s="15">
        <f t="shared" si="0"/>
        <v>53</v>
      </c>
      <c r="E38" s="1"/>
    </row>
    <row r="39" spans="2:5" ht="17.7" x14ac:dyDescent="0.6">
      <c r="B39" s="10" t="s">
        <v>19</v>
      </c>
      <c r="C39" s="9">
        <v>22518</v>
      </c>
      <c r="D39" s="15">
        <f t="shared" si="0"/>
        <v>38</v>
      </c>
      <c r="E39" s="1"/>
    </row>
    <row r="40" spans="2:5" ht="17.7" x14ac:dyDescent="0.6">
      <c r="B40" s="10" t="s">
        <v>20</v>
      </c>
      <c r="C40" s="9">
        <v>33698</v>
      </c>
      <c r="D40" s="15">
        <f t="shared" si="0"/>
        <v>11</v>
      </c>
      <c r="E40" s="1"/>
    </row>
    <row r="41" spans="2:5" ht="17.7" x14ac:dyDescent="0.6">
      <c r="B41" s="10" t="s">
        <v>21</v>
      </c>
      <c r="C41" s="9">
        <v>23024</v>
      </c>
      <c r="D41" s="15">
        <f t="shared" si="0"/>
        <v>32</v>
      </c>
      <c r="E41" s="1"/>
    </row>
    <row r="42" spans="2:5" ht="17.7" x14ac:dyDescent="0.6">
      <c r="B42" s="10" t="s">
        <v>22</v>
      </c>
      <c r="C42" s="9">
        <v>22341</v>
      </c>
      <c r="D42" s="15">
        <f t="shared" si="0"/>
        <v>37</v>
      </c>
      <c r="E42" s="1"/>
    </row>
    <row r="43" spans="2:5" ht="17.7" x14ac:dyDescent="0.6">
      <c r="B43" s="10" t="s">
        <v>67</v>
      </c>
      <c r="C43" s="9">
        <v>28885</v>
      </c>
      <c r="D43" s="15">
        <f t="shared" si="0"/>
        <v>15</v>
      </c>
      <c r="E43" s="1"/>
    </row>
    <row r="44" spans="2:5" ht="17.7" x14ac:dyDescent="0.6">
      <c r="B44" s="10" t="s">
        <v>68</v>
      </c>
      <c r="C44" s="9">
        <v>26193</v>
      </c>
      <c r="D44" s="15">
        <f t="shared" si="0"/>
        <v>20</v>
      </c>
      <c r="E44" s="1"/>
    </row>
    <row r="45" spans="2:5" s="2" customFormat="1" ht="17.7" x14ac:dyDescent="0.6">
      <c r="B45" s="10" t="s">
        <v>23</v>
      </c>
      <c r="C45" s="9">
        <v>24988</v>
      </c>
      <c r="D45" s="15">
        <f t="shared" si="0"/>
        <v>22</v>
      </c>
      <c r="E45" s="1"/>
    </row>
    <row r="46" spans="2:5" ht="17.7" x14ac:dyDescent="0.6">
      <c r="B46" s="10" t="s">
        <v>24</v>
      </c>
      <c r="C46" s="9">
        <v>15751</v>
      </c>
      <c r="D46" s="15">
        <f t="shared" si="0"/>
        <v>46</v>
      </c>
      <c r="E46" s="1"/>
    </row>
    <row r="47" spans="2:5" ht="17.7" x14ac:dyDescent="0.6">
      <c r="B47" s="10" t="s">
        <v>69</v>
      </c>
      <c r="C47" s="9">
        <v>21371</v>
      </c>
      <c r="D47" s="15">
        <f t="shared" si="0"/>
        <v>38</v>
      </c>
      <c r="E47" s="1"/>
    </row>
    <row r="48" spans="2:5" ht="17.7" x14ac:dyDescent="0.6">
      <c r="B48" s="10" t="s">
        <v>70</v>
      </c>
      <c r="C48" s="9">
        <v>17397</v>
      </c>
      <c r="D48" s="15">
        <f t="shared" si="0"/>
        <v>44</v>
      </c>
      <c r="E48" s="1"/>
    </row>
    <row r="49" spans="2:5" ht="17.7" x14ac:dyDescent="0.6">
      <c r="B49" s="10" t="s">
        <v>71</v>
      </c>
      <c r="C49" s="9">
        <v>23005</v>
      </c>
      <c r="D49" s="15">
        <f t="shared" si="0"/>
        <v>30</v>
      </c>
      <c r="E49" s="1"/>
    </row>
    <row r="50" spans="2:5" ht="17.7" x14ac:dyDescent="0.6">
      <c r="B50" s="10" t="s">
        <v>25</v>
      </c>
      <c r="C50" s="9">
        <v>22802</v>
      </c>
      <c r="D50" s="15">
        <f t="shared" si="0"/>
        <v>31</v>
      </c>
      <c r="E50" s="1"/>
    </row>
    <row r="51" spans="2:5" ht="17.7" x14ac:dyDescent="0.6">
      <c r="B51" s="10" t="s">
        <v>26</v>
      </c>
      <c r="C51" s="9">
        <v>24202</v>
      </c>
      <c r="D51" s="15">
        <f t="shared" si="0"/>
        <v>25</v>
      </c>
      <c r="E51" s="1"/>
    </row>
    <row r="52" spans="2:5" s="2" customFormat="1" ht="17.7" x14ac:dyDescent="0.6">
      <c r="B52" s="10" t="s">
        <v>27</v>
      </c>
      <c r="C52" s="9">
        <v>28727</v>
      </c>
      <c r="D52" s="15">
        <f t="shared" si="0"/>
        <v>16</v>
      </c>
      <c r="E52" s="1"/>
    </row>
    <row r="53" spans="2:5" ht="17.7" x14ac:dyDescent="0.6">
      <c r="B53" s="10" t="s">
        <v>72</v>
      </c>
      <c r="C53" s="9">
        <v>19236</v>
      </c>
      <c r="D53" s="15">
        <f t="shared" si="0"/>
        <v>37</v>
      </c>
      <c r="E53" s="1"/>
    </row>
    <row r="54" spans="2:5" ht="17.7" x14ac:dyDescent="0.6">
      <c r="B54" s="10" t="s">
        <v>28</v>
      </c>
      <c r="C54" s="9">
        <v>18039</v>
      </c>
      <c r="D54" s="15">
        <f t="shared" si="0"/>
        <v>38</v>
      </c>
      <c r="E54" s="1"/>
    </row>
    <row r="55" spans="2:5" ht="17.7" x14ac:dyDescent="0.6">
      <c r="B55" s="10" t="s">
        <v>29</v>
      </c>
      <c r="C55" s="9">
        <v>33017</v>
      </c>
      <c r="D55" s="15">
        <f t="shared" si="0"/>
        <v>11</v>
      </c>
      <c r="E55" s="1"/>
    </row>
    <row r="56" spans="2:5" ht="17.7" x14ac:dyDescent="0.6">
      <c r="B56" s="10" t="s">
        <v>30</v>
      </c>
      <c r="C56" s="9">
        <v>24631</v>
      </c>
      <c r="D56" s="15">
        <f t="shared" si="0"/>
        <v>21</v>
      </c>
      <c r="E56" s="1"/>
    </row>
    <row r="57" spans="2:5" ht="17.7" x14ac:dyDescent="0.6">
      <c r="B57" s="10" t="s">
        <v>73</v>
      </c>
      <c r="C57" s="9">
        <v>18177</v>
      </c>
      <c r="D57" s="15">
        <f t="shared" si="0"/>
        <v>35</v>
      </c>
      <c r="E57" s="1"/>
    </row>
    <row r="58" spans="2:5" ht="17.7" x14ac:dyDescent="0.6">
      <c r="B58" s="10" t="s">
        <v>31</v>
      </c>
      <c r="C58" s="9">
        <v>28849</v>
      </c>
      <c r="D58" s="15">
        <f t="shared" si="0"/>
        <v>14</v>
      </c>
      <c r="E58" s="1"/>
    </row>
    <row r="59" spans="2:5" ht="17.7" x14ac:dyDescent="0.6">
      <c r="B59" s="10" t="s">
        <v>32</v>
      </c>
      <c r="C59" s="9">
        <v>22019</v>
      </c>
      <c r="D59" s="15">
        <f t="shared" si="0"/>
        <v>28</v>
      </c>
      <c r="E59" s="1"/>
    </row>
    <row r="60" spans="2:5" ht="17.7" x14ac:dyDescent="0.6">
      <c r="B60" s="10" t="s">
        <v>74</v>
      </c>
      <c r="C60" s="9">
        <v>31700</v>
      </c>
      <c r="D60" s="15">
        <f t="shared" si="0"/>
        <v>12</v>
      </c>
      <c r="E60" s="1"/>
    </row>
    <row r="61" spans="2:5" ht="17.7" x14ac:dyDescent="0.6">
      <c r="B61" s="10" t="s">
        <v>33</v>
      </c>
      <c r="C61" s="9">
        <v>23923</v>
      </c>
      <c r="D61" s="15">
        <f t="shared" si="0"/>
        <v>20</v>
      </c>
      <c r="E61" s="1"/>
    </row>
    <row r="62" spans="2:5" ht="17.7" x14ac:dyDescent="0.6">
      <c r="B62" s="10" t="s">
        <v>75</v>
      </c>
      <c r="C62" s="9">
        <v>21549</v>
      </c>
      <c r="D62" s="15">
        <f t="shared" si="0"/>
        <v>27</v>
      </c>
      <c r="E62" s="1"/>
    </row>
    <row r="63" spans="2:5" ht="17.7" x14ac:dyDescent="0.6">
      <c r="B63" s="10" t="s">
        <v>34</v>
      </c>
      <c r="C63" s="9">
        <v>27549</v>
      </c>
      <c r="D63" s="15">
        <f t="shared" si="0"/>
        <v>14</v>
      </c>
      <c r="E63" s="1"/>
    </row>
    <row r="64" spans="2:5" ht="17.7" x14ac:dyDescent="0.6">
      <c r="B64" s="10" t="s">
        <v>35</v>
      </c>
      <c r="C64" s="9">
        <v>20634</v>
      </c>
      <c r="D64" s="15">
        <f t="shared" si="0"/>
        <v>27</v>
      </c>
      <c r="E64" s="1"/>
    </row>
    <row r="65" spans="2:5" ht="17.7" x14ac:dyDescent="0.6">
      <c r="B65" s="10" t="s">
        <v>36</v>
      </c>
      <c r="C65" s="9">
        <v>23014</v>
      </c>
      <c r="D65" s="15">
        <f t="shared" si="0"/>
        <v>21</v>
      </c>
      <c r="E65" s="1"/>
    </row>
    <row r="66" spans="2:5" s="2" customFormat="1" ht="17.7" x14ac:dyDescent="0.6">
      <c r="B66" s="10" t="s">
        <v>37</v>
      </c>
      <c r="C66" s="9">
        <v>21006</v>
      </c>
      <c r="D66" s="15">
        <f t="shared" si="0"/>
        <v>25</v>
      </c>
      <c r="E66" s="1"/>
    </row>
    <row r="67" spans="2:5" ht="17.7" x14ac:dyDescent="0.6">
      <c r="B67" s="10" t="s">
        <v>38</v>
      </c>
      <c r="C67" s="9">
        <v>36284</v>
      </c>
      <c r="D67" s="15">
        <f t="shared" si="0"/>
        <v>9</v>
      </c>
      <c r="E67" s="1"/>
    </row>
    <row r="68" spans="2:5" ht="17.7" x14ac:dyDescent="0.6">
      <c r="B68" s="10" t="s">
        <v>76</v>
      </c>
      <c r="C68" s="9">
        <v>46258</v>
      </c>
      <c r="D68" s="15">
        <f t="shared" si="0"/>
        <v>5</v>
      </c>
      <c r="E68" s="1"/>
    </row>
    <row r="69" spans="2:5" ht="17.7" x14ac:dyDescent="0.6">
      <c r="B69" s="10" t="s">
        <v>77</v>
      </c>
      <c r="C69" s="9">
        <v>74304</v>
      </c>
      <c r="D69" s="15">
        <f t="shared" si="0"/>
        <v>1</v>
      </c>
      <c r="E69" s="1"/>
    </row>
    <row r="70" spans="2:5" ht="17.7" x14ac:dyDescent="0.6">
      <c r="B70" s="10" t="s">
        <v>78</v>
      </c>
      <c r="C70" s="9">
        <v>29460</v>
      </c>
      <c r="D70" s="15">
        <f t="shared" si="0"/>
        <v>9</v>
      </c>
      <c r="E70" s="1"/>
    </row>
    <row r="71" spans="2:5" ht="17.7" x14ac:dyDescent="0.6">
      <c r="B71" s="10" t="s">
        <v>39</v>
      </c>
      <c r="C71" s="9">
        <v>23868</v>
      </c>
      <c r="D71" s="15">
        <f t="shared" si="0"/>
        <v>15</v>
      </c>
      <c r="E71" s="1"/>
    </row>
    <row r="72" spans="2:5" s="2" customFormat="1" ht="17.7" x14ac:dyDescent="0.6">
      <c r="B72" s="10" t="s">
        <v>40</v>
      </c>
      <c r="C72" s="9">
        <v>19412</v>
      </c>
      <c r="D72" s="15">
        <f t="shared" ref="D72:D92" si="1">_xlfn.RANK.EQ(C72,C72:C157,0)</f>
        <v>20</v>
      </c>
      <c r="E72" s="1"/>
    </row>
    <row r="73" spans="2:5" ht="17.7" x14ac:dyDescent="0.6">
      <c r="B73" s="10" t="s">
        <v>42</v>
      </c>
      <c r="C73" s="9">
        <v>14379</v>
      </c>
      <c r="D73" s="15">
        <f t="shared" si="1"/>
        <v>20</v>
      </c>
      <c r="E73" s="1"/>
    </row>
    <row r="74" spans="2:5" ht="17.7" x14ac:dyDescent="0.6">
      <c r="B74" s="10" t="s">
        <v>43</v>
      </c>
      <c r="C74" s="9">
        <v>21826</v>
      </c>
      <c r="D74" s="15">
        <f t="shared" si="1"/>
        <v>19</v>
      </c>
      <c r="E74" s="1"/>
    </row>
    <row r="75" spans="2:5" ht="17.7" x14ac:dyDescent="0.6">
      <c r="B75" s="10" t="s">
        <v>44</v>
      </c>
      <c r="C75" s="9">
        <v>22483</v>
      </c>
      <c r="D75" s="15">
        <f t="shared" si="1"/>
        <v>17</v>
      </c>
      <c r="E75" s="1"/>
    </row>
    <row r="76" spans="2:5" ht="17.7" x14ac:dyDescent="0.6">
      <c r="B76" s="10" t="s">
        <v>79</v>
      </c>
      <c r="C76" s="9">
        <v>28561</v>
      </c>
      <c r="D76" s="15">
        <f t="shared" si="1"/>
        <v>9</v>
      </c>
      <c r="E76" s="1"/>
    </row>
    <row r="77" spans="2:5" ht="17.7" x14ac:dyDescent="0.6">
      <c r="B77" s="10" t="s">
        <v>46</v>
      </c>
      <c r="C77" s="9">
        <v>22891</v>
      </c>
      <c r="D77" s="15">
        <f t="shared" si="1"/>
        <v>15</v>
      </c>
      <c r="E77" s="1"/>
    </row>
    <row r="78" spans="2:5" ht="17.7" x14ac:dyDescent="0.6">
      <c r="B78" s="10" t="s">
        <v>47</v>
      </c>
      <c r="C78" s="9">
        <v>22208</v>
      </c>
      <c r="D78" s="15">
        <f t="shared" si="1"/>
        <v>15</v>
      </c>
      <c r="E78" s="1"/>
    </row>
    <row r="79" spans="2:5" ht="17.7" x14ac:dyDescent="0.6">
      <c r="B79" s="10" t="s">
        <v>48</v>
      </c>
      <c r="C79" s="9">
        <v>25461</v>
      </c>
      <c r="D79" s="15">
        <f t="shared" si="1"/>
        <v>10</v>
      </c>
      <c r="E79" s="1"/>
    </row>
    <row r="80" spans="2:5" ht="17.7" x14ac:dyDescent="0.6">
      <c r="B80" s="10" t="s">
        <v>49</v>
      </c>
      <c r="C80" s="9">
        <v>25268</v>
      </c>
      <c r="D80" s="15">
        <f t="shared" si="1"/>
        <v>10</v>
      </c>
      <c r="E80" s="1"/>
    </row>
    <row r="81" spans="2:5" ht="17.7" x14ac:dyDescent="0.6">
      <c r="B81" s="10" t="s">
        <v>50</v>
      </c>
      <c r="C81" s="9">
        <v>26320</v>
      </c>
      <c r="D81" s="15">
        <f t="shared" si="1"/>
        <v>9</v>
      </c>
      <c r="E81" s="1"/>
    </row>
    <row r="82" spans="2:5" s="2" customFormat="1" ht="17.7" x14ac:dyDescent="0.6">
      <c r="B82" s="10" t="s">
        <v>41</v>
      </c>
      <c r="C82" s="9">
        <v>24837</v>
      </c>
      <c r="D82" s="15">
        <f t="shared" si="1"/>
        <v>9</v>
      </c>
      <c r="E82" s="1"/>
    </row>
    <row r="83" spans="2:5" ht="17.7" x14ac:dyDescent="0.6">
      <c r="B83" s="10" t="s">
        <v>51</v>
      </c>
      <c r="C83" s="9">
        <v>42172</v>
      </c>
      <c r="D83" s="15">
        <f t="shared" si="1"/>
        <v>5</v>
      </c>
      <c r="E83" s="1"/>
    </row>
    <row r="84" spans="2:5" ht="17.7" x14ac:dyDescent="0.6">
      <c r="B84" s="10" t="s">
        <v>45</v>
      </c>
      <c r="C84" s="9">
        <v>24220</v>
      </c>
      <c r="D84" s="15">
        <f t="shared" si="1"/>
        <v>8</v>
      </c>
      <c r="E84" s="1"/>
    </row>
    <row r="85" spans="2:5" ht="17.7" x14ac:dyDescent="0.6">
      <c r="B85" s="10" t="s">
        <v>80</v>
      </c>
      <c r="C85" s="9">
        <v>45034</v>
      </c>
      <c r="D85" s="15">
        <f t="shared" si="1"/>
        <v>4</v>
      </c>
      <c r="E85" s="1"/>
    </row>
    <row r="86" spans="2:5" ht="17.7" x14ac:dyDescent="0.6">
      <c r="B86" s="10" t="s">
        <v>52</v>
      </c>
      <c r="C86" s="9">
        <v>34620</v>
      </c>
      <c r="D86" s="15">
        <f t="shared" si="1"/>
        <v>5</v>
      </c>
      <c r="E86" s="1"/>
    </row>
    <row r="87" spans="2:5" ht="17.7" x14ac:dyDescent="0.6">
      <c r="B87" s="10" t="s">
        <v>81</v>
      </c>
      <c r="C87" s="9">
        <v>39653</v>
      </c>
      <c r="D87" s="15">
        <f t="shared" si="1"/>
        <v>4</v>
      </c>
      <c r="E87" s="1"/>
    </row>
    <row r="88" spans="2:5" ht="17.7" x14ac:dyDescent="0.6">
      <c r="B88" s="10" t="s">
        <v>53</v>
      </c>
      <c r="C88" s="9">
        <v>31883</v>
      </c>
      <c r="D88" s="15">
        <f t="shared" si="1"/>
        <v>4</v>
      </c>
      <c r="E88" s="1"/>
    </row>
    <row r="89" spans="2:5" ht="17.7" x14ac:dyDescent="0.6">
      <c r="B89" s="10" t="s">
        <v>82</v>
      </c>
      <c r="C89" s="9">
        <v>53137</v>
      </c>
      <c r="D89" s="15">
        <f t="shared" si="1"/>
        <v>2</v>
      </c>
      <c r="E89" s="1"/>
    </row>
    <row r="90" spans="2:5" ht="17.7" x14ac:dyDescent="0.6">
      <c r="B90" s="10" t="s">
        <v>83</v>
      </c>
      <c r="C90" s="9">
        <v>49543</v>
      </c>
      <c r="D90" s="15">
        <f t="shared" si="1"/>
        <v>2</v>
      </c>
      <c r="E90" s="1"/>
    </row>
    <row r="91" spans="2:5" ht="17.7" x14ac:dyDescent="0.6">
      <c r="B91" s="10" t="s">
        <v>84</v>
      </c>
      <c r="C91" s="9">
        <v>23823</v>
      </c>
      <c r="D91" s="15">
        <f t="shared" si="1"/>
        <v>2</v>
      </c>
      <c r="E91" s="1"/>
    </row>
    <row r="92" spans="2:5" ht="17.7" x14ac:dyDescent="0.6">
      <c r="B92" s="10" t="s">
        <v>85</v>
      </c>
      <c r="C92" s="9">
        <v>72716</v>
      </c>
      <c r="D92" s="15">
        <f t="shared" si="1"/>
        <v>1</v>
      </c>
      <c r="E92" s="1"/>
    </row>
    <row r="93" spans="2:5" x14ac:dyDescent="0.55000000000000004">
      <c r="D93" s="1"/>
    </row>
    <row r="94" spans="2:5" x14ac:dyDescent="0.55000000000000004">
      <c r="D94" s="1"/>
    </row>
    <row r="95" spans="2:5" x14ac:dyDescent="0.55000000000000004">
      <c r="D95" s="1"/>
    </row>
    <row r="96" spans="2:5" x14ac:dyDescent="0.55000000000000004">
      <c r="D96" s="1"/>
    </row>
    <row r="97" spans="4:4" x14ac:dyDescent="0.55000000000000004">
      <c r="D97" s="1"/>
    </row>
    <row r="100" spans="4:4" s="2" customFormat="1" x14ac:dyDescent="0.55000000000000004"/>
    <row r="101" spans="4:4" s="2" customFormat="1" x14ac:dyDescent="0.55000000000000004"/>
    <row r="102" spans="4:4" s="2" customFormat="1" x14ac:dyDescent="0.55000000000000004"/>
    <row r="103" spans="4:4" s="2" customFormat="1" x14ac:dyDescent="0.55000000000000004"/>
    <row r="104" spans="4:4" s="2" customFormat="1" x14ac:dyDescent="0.55000000000000004"/>
    <row r="105" spans="4:4" s="2" customFormat="1" x14ac:dyDescent="0.55000000000000004"/>
    <row r="106" spans="4:4" s="2" customFormat="1" x14ac:dyDescent="0.55000000000000004"/>
    <row r="107" spans="4:4" s="2" customFormat="1" x14ac:dyDescent="0.55000000000000004"/>
    <row r="108" spans="4:4" s="2" customFormat="1" x14ac:dyDescent="0.55000000000000004"/>
  </sheetData>
  <sortState xmlns:xlrd2="http://schemas.microsoft.com/office/spreadsheetml/2017/richdata2" ref="A100:D107">
    <sortCondition descending="1" ref="C184"/>
  </sortState>
  <mergeCells count="3">
    <mergeCell ref="C3:C6"/>
    <mergeCell ref="D3:D6"/>
    <mergeCell ref="B3:B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0D43-8F89-47B8-A791-E287CAB372D5}">
  <dimension ref="A1:H59"/>
  <sheetViews>
    <sheetView workbookViewId="0">
      <pane ySplit="1" topLeftCell="A2" activePane="bottomLeft" state="frozen"/>
      <selection pane="bottomLeft" activeCell="H3" sqref="H3"/>
    </sheetView>
  </sheetViews>
  <sheetFormatPr defaultRowHeight="14.4" x14ac:dyDescent="0.55000000000000004"/>
  <cols>
    <col min="1" max="1" width="27.578125" style="3" customWidth="1"/>
    <col min="2" max="2" width="18.83984375" style="3" customWidth="1"/>
    <col min="3" max="3" width="9.15625" style="3" customWidth="1"/>
    <col min="4" max="6" width="9.15625" style="3"/>
    <col min="7" max="7" width="12" style="3" customWidth="1"/>
    <col min="8" max="8" width="13.5234375" style="3" bestFit="1" customWidth="1"/>
  </cols>
  <sheetData>
    <row r="1" spans="1:8" x14ac:dyDescent="0.55000000000000004">
      <c r="A1" s="4" t="s">
        <v>95</v>
      </c>
      <c r="B1" s="5" t="s">
        <v>96</v>
      </c>
      <c r="C1" s="6"/>
      <c r="D1" s="6"/>
    </row>
    <row r="2" spans="1:8" x14ac:dyDescent="0.55000000000000004">
      <c r="A2" s="6" t="s">
        <v>97</v>
      </c>
      <c r="B2" s="7">
        <v>700000</v>
      </c>
      <c r="G2" s="6" t="s">
        <v>91</v>
      </c>
      <c r="H2" s="27">
        <f>AVERAGE(B:B)</f>
        <v>14024.137931034482</v>
      </c>
    </row>
    <row r="3" spans="1:8" s="1" customFormat="1" x14ac:dyDescent="0.55000000000000004">
      <c r="A3" s="6" t="s">
        <v>102</v>
      </c>
      <c r="B3" s="7">
        <v>30000</v>
      </c>
      <c r="C3" s="3"/>
      <c r="D3" s="3"/>
      <c r="E3" s="3"/>
      <c r="F3" s="3"/>
      <c r="G3" s="6" t="s">
        <v>99</v>
      </c>
      <c r="H3" s="8">
        <f>_xlfn.MODE.SNGL(B2:B59)</f>
        <v>200</v>
      </c>
    </row>
    <row r="4" spans="1:8" x14ac:dyDescent="0.55000000000000004">
      <c r="A4" s="6" t="s">
        <v>98</v>
      </c>
      <c r="B4" s="7">
        <v>4500</v>
      </c>
      <c r="G4" s="6" t="s">
        <v>92</v>
      </c>
      <c r="H4" s="8">
        <f>MEDIAN(B2:B59)</f>
        <v>2000</v>
      </c>
    </row>
    <row r="5" spans="1:8" x14ac:dyDescent="0.55000000000000004">
      <c r="A5" s="6" t="s">
        <v>98</v>
      </c>
      <c r="B5" s="7">
        <v>4500</v>
      </c>
    </row>
    <row r="6" spans="1:8" x14ac:dyDescent="0.55000000000000004">
      <c r="A6" s="6" t="s">
        <v>98</v>
      </c>
      <c r="B6" s="7">
        <v>4500</v>
      </c>
      <c r="C6" s="6"/>
      <c r="D6" s="6"/>
    </row>
    <row r="7" spans="1:8" x14ac:dyDescent="0.55000000000000004">
      <c r="A7" s="6" t="s">
        <v>98</v>
      </c>
      <c r="B7" s="7">
        <v>4500</v>
      </c>
      <c r="C7" s="6"/>
      <c r="D7" s="6"/>
    </row>
    <row r="8" spans="1:8" x14ac:dyDescent="0.55000000000000004">
      <c r="A8" s="6" t="s">
        <v>98</v>
      </c>
      <c r="B8" s="7">
        <v>4500</v>
      </c>
      <c r="C8" s="6"/>
      <c r="D8" s="6"/>
    </row>
    <row r="9" spans="1:8" x14ac:dyDescent="0.55000000000000004">
      <c r="A9" s="6" t="s">
        <v>98</v>
      </c>
      <c r="B9" s="7">
        <v>4500</v>
      </c>
      <c r="C9" s="6"/>
      <c r="D9" s="6"/>
    </row>
    <row r="10" spans="1:8" x14ac:dyDescent="0.55000000000000004">
      <c r="A10" s="6" t="s">
        <v>98</v>
      </c>
      <c r="B10" s="7">
        <v>4500</v>
      </c>
      <c r="C10" s="6"/>
      <c r="D10" s="6"/>
    </row>
    <row r="11" spans="1:8" x14ac:dyDescent="0.55000000000000004">
      <c r="A11" s="6" t="s">
        <v>98</v>
      </c>
      <c r="B11" s="7">
        <v>4500</v>
      </c>
      <c r="C11" s="6"/>
      <c r="D11" s="6"/>
    </row>
    <row r="12" spans="1:8" x14ac:dyDescent="0.55000000000000004">
      <c r="A12" s="6" t="s">
        <v>100</v>
      </c>
      <c r="B12" s="7">
        <v>2000</v>
      </c>
      <c r="C12" s="6"/>
      <c r="D12" s="6"/>
    </row>
    <row r="13" spans="1:8" x14ac:dyDescent="0.55000000000000004">
      <c r="A13" s="6" t="s">
        <v>100</v>
      </c>
      <c r="B13" s="7">
        <v>2000</v>
      </c>
      <c r="C13" s="6"/>
      <c r="D13" s="6"/>
    </row>
    <row r="14" spans="1:8" x14ac:dyDescent="0.55000000000000004">
      <c r="A14" s="6" t="s">
        <v>100</v>
      </c>
      <c r="B14" s="7">
        <v>2000</v>
      </c>
      <c r="C14" s="6"/>
      <c r="D14" s="6"/>
    </row>
    <row r="15" spans="1:8" x14ac:dyDescent="0.55000000000000004">
      <c r="A15" s="6" t="s">
        <v>100</v>
      </c>
      <c r="B15" s="7">
        <v>2000</v>
      </c>
      <c r="C15" s="6"/>
      <c r="D15" s="6"/>
    </row>
    <row r="16" spans="1:8" x14ac:dyDescent="0.55000000000000004">
      <c r="A16" s="6" t="s">
        <v>100</v>
      </c>
      <c r="B16" s="7">
        <v>2000</v>
      </c>
      <c r="C16" s="6"/>
      <c r="D16" s="6"/>
    </row>
    <row r="17" spans="1:4" x14ac:dyDescent="0.55000000000000004">
      <c r="A17" s="6" t="s">
        <v>100</v>
      </c>
      <c r="B17" s="7">
        <v>2000</v>
      </c>
      <c r="C17" s="6"/>
      <c r="D17" s="6"/>
    </row>
    <row r="18" spans="1:4" x14ac:dyDescent="0.55000000000000004">
      <c r="A18" s="6" t="s">
        <v>100</v>
      </c>
      <c r="B18" s="7">
        <v>2000</v>
      </c>
      <c r="C18" s="6"/>
      <c r="D18" s="6"/>
    </row>
    <row r="19" spans="1:4" x14ac:dyDescent="0.55000000000000004">
      <c r="A19" s="6" t="s">
        <v>100</v>
      </c>
      <c r="B19" s="7">
        <v>2000</v>
      </c>
      <c r="C19" s="6"/>
      <c r="D19" s="6"/>
    </row>
    <row r="20" spans="1:4" x14ac:dyDescent="0.55000000000000004">
      <c r="A20" s="6" t="s">
        <v>100</v>
      </c>
      <c r="B20" s="7">
        <v>2000</v>
      </c>
      <c r="C20" s="6"/>
      <c r="D20" s="6"/>
    </row>
    <row r="21" spans="1:4" x14ac:dyDescent="0.55000000000000004">
      <c r="A21" s="6" t="s">
        <v>100</v>
      </c>
      <c r="B21" s="7">
        <v>2000</v>
      </c>
      <c r="C21" s="6"/>
      <c r="D21" s="6"/>
    </row>
    <row r="22" spans="1:4" x14ac:dyDescent="0.55000000000000004">
      <c r="A22" s="6" t="s">
        <v>100</v>
      </c>
      <c r="B22" s="7">
        <v>2000</v>
      </c>
      <c r="C22" s="6"/>
      <c r="D22" s="6"/>
    </row>
    <row r="23" spans="1:4" x14ac:dyDescent="0.55000000000000004">
      <c r="A23" s="6" t="s">
        <v>100</v>
      </c>
      <c r="B23" s="7">
        <v>2000</v>
      </c>
      <c r="C23" s="6"/>
      <c r="D23" s="6"/>
    </row>
    <row r="24" spans="1:4" x14ac:dyDescent="0.55000000000000004">
      <c r="A24" s="6" t="s">
        <v>100</v>
      </c>
      <c r="B24" s="7">
        <v>2000</v>
      </c>
      <c r="C24" s="6"/>
      <c r="D24" s="6"/>
    </row>
    <row r="25" spans="1:4" x14ac:dyDescent="0.55000000000000004">
      <c r="A25" s="6" t="s">
        <v>100</v>
      </c>
      <c r="B25" s="7">
        <v>2000</v>
      </c>
      <c r="C25" s="6"/>
      <c r="D25" s="6"/>
    </row>
    <row r="26" spans="1:4" x14ac:dyDescent="0.55000000000000004">
      <c r="A26" s="6" t="s">
        <v>100</v>
      </c>
      <c r="B26" s="7">
        <v>2000</v>
      </c>
      <c r="C26" s="6"/>
      <c r="D26" s="6"/>
    </row>
    <row r="27" spans="1:4" x14ac:dyDescent="0.55000000000000004">
      <c r="A27" s="6" t="s">
        <v>100</v>
      </c>
      <c r="B27" s="7">
        <v>2000</v>
      </c>
      <c r="C27" s="6"/>
      <c r="D27" s="6"/>
    </row>
    <row r="28" spans="1:4" x14ac:dyDescent="0.55000000000000004">
      <c r="A28" s="6" t="s">
        <v>100</v>
      </c>
      <c r="B28" s="7">
        <v>2000</v>
      </c>
      <c r="C28" s="6"/>
      <c r="D28" s="6"/>
    </row>
    <row r="29" spans="1:4" x14ac:dyDescent="0.55000000000000004">
      <c r="A29" s="6" t="s">
        <v>100</v>
      </c>
      <c r="B29" s="7">
        <v>2000</v>
      </c>
      <c r="C29" s="6"/>
      <c r="D29" s="6"/>
    </row>
    <row r="30" spans="1:4" x14ac:dyDescent="0.55000000000000004">
      <c r="A30" s="6" t="s">
        <v>100</v>
      </c>
      <c r="B30" s="7">
        <v>2000</v>
      </c>
      <c r="C30" s="6"/>
      <c r="D30" s="6"/>
    </row>
    <row r="31" spans="1:4" x14ac:dyDescent="0.55000000000000004">
      <c r="A31" s="6" t="s">
        <v>100</v>
      </c>
      <c r="B31" s="7">
        <v>2000</v>
      </c>
      <c r="C31" s="6"/>
      <c r="D31" s="6"/>
    </row>
    <row r="32" spans="1:4" x14ac:dyDescent="0.55000000000000004">
      <c r="A32" s="6" t="s">
        <v>100</v>
      </c>
      <c r="B32" s="7">
        <v>2000</v>
      </c>
      <c r="C32" s="6"/>
      <c r="D32" s="6"/>
    </row>
    <row r="33" spans="1:4" x14ac:dyDescent="0.55000000000000004">
      <c r="A33" s="6" t="s">
        <v>101</v>
      </c>
      <c r="B33" s="7">
        <v>200</v>
      </c>
      <c r="C33" s="6"/>
      <c r="D33" s="6"/>
    </row>
    <row r="34" spans="1:4" x14ac:dyDescent="0.55000000000000004">
      <c r="A34" s="6" t="s">
        <v>101</v>
      </c>
      <c r="B34" s="7">
        <v>200</v>
      </c>
      <c r="C34" s="6"/>
      <c r="D34" s="6"/>
    </row>
    <row r="35" spans="1:4" x14ac:dyDescent="0.55000000000000004">
      <c r="A35" s="6" t="s">
        <v>101</v>
      </c>
      <c r="B35" s="7">
        <v>200</v>
      </c>
      <c r="C35" s="6"/>
      <c r="D35" s="6"/>
    </row>
    <row r="36" spans="1:4" x14ac:dyDescent="0.55000000000000004">
      <c r="A36" s="6" t="s">
        <v>101</v>
      </c>
      <c r="B36" s="7">
        <v>200</v>
      </c>
      <c r="C36" s="6"/>
      <c r="D36" s="6"/>
    </row>
    <row r="37" spans="1:4" x14ac:dyDescent="0.55000000000000004">
      <c r="A37" s="6" t="s">
        <v>101</v>
      </c>
      <c r="B37" s="7">
        <v>200</v>
      </c>
      <c r="C37" s="6"/>
      <c r="D37" s="6"/>
    </row>
    <row r="38" spans="1:4" x14ac:dyDescent="0.55000000000000004">
      <c r="A38" s="6" t="s">
        <v>101</v>
      </c>
      <c r="B38" s="7">
        <v>200</v>
      </c>
      <c r="C38" s="6"/>
      <c r="D38" s="6"/>
    </row>
    <row r="39" spans="1:4" x14ac:dyDescent="0.55000000000000004">
      <c r="A39" s="6" t="s">
        <v>101</v>
      </c>
      <c r="B39" s="7">
        <v>200</v>
      </c>
      <c r="C39" s="6"/>
      <c r="D39" s="6"/>
    </row>
    <row r="40" spans="1:4" x14ac:dyDescent="0.55000000000000004">
      <c r="A40" s="6" t="s">
        <v>101</v>
      </c>
      <c r="B40" s="7">
        <v>200</v>
      </c>
      <c r="C40" s="6"/>
      <c r="D40" s="6"/>
    </row>
    <row r="41" spans="1:4" x14ac:dyDescent="0.55000000000000004">
      <c r="A41" s="6" t="s">
        <v>101</v>
      </c>
      <c r="B41" s="7">
        <v>200</v>
      </c>
      <c r="C41" s="6"/>
      <c r="D41" s="6"/>
    </row>
    <row r="42" spans="1:4" x14ac:dyDescent="0.55000000000000004">
      <c r="A42" s="6" t="s">
        <v>101</v>
      </c>
      <c r="B42" s="7">
        <v>200</v>
      </c>
      <c r="C42" s="6"/>
      <c r="D42" s="6"/>
    </row>
    <row r="43" spans="1:4" x14ac:dyDescent="0.55000000000000004">
      <c r="A43" s="6" t="s">
        <v>101</v>
      </c>
      <c r="B43" s="7">
        <v>200</v>
      </c>
      <c r="C43" s="6"/>
      <c r="D43" s="6"/>
    </row>
    <row r="44" spans="1:4" x14ac:dyDescent="0.55000000000000004">
      <c r="A44" s="6" t="s">
        <v>101</v>
      </c>
      <c r="B44" s="7">
        <v>200</v>
      </c>
      <c r="C44" s="6"/>
      <c r="D44" s="6"/>
    </row>
    <row r="45" spans="1:4" x14ac:dyDescent="0.55000000000000004">
      <c r="A45" s="6" t="s">
        <v>101</v>
      </c>
      <c r="B45" s="7">
        <v>200</v>
      </c>
      <c r="C45" s="6"/>
      <c r="D45" s="6"/>
    </row>
    <row r="46" spans="1:4" x14ac:dyDescent="0.55000000000000004">
      <c r="A46" s="6" t="s">
        <v>101</v>
      </c>
      <c r="B46" s="7">
        <v>200</v>
      </c>
      <c r="C46" s="6"/>
      <c r="D46" s="6"/>
    </row>
    <row r="47" spans="1:4" x14ac:dyDescent="0.55000000000000004">
      <c r="A47" s="6" t="s">
        <v>101</v>
      </c>
      <c r="B47" s="7">
        <v>200</v>
      </c>
      <c r="C47" s="6"/>
      <c r="D47" s="6"/>
    </row>
    <row r="48" spans="1:4" x14ac:dyDescent="0.55000000000000004">
      <c r="A48" s="6" t="s">
        <v>101</v>
      </c>
      <c r="B48" s="7">
        <v>200</v>
      </c>
      <c r="C48" s="6"/>
      <c r="D48" s="6"/>
    </row>
    <row r="49" spans="1:4" x14ac:dyDescent="0.55000000000000004">
      <c r="A49" s="6" t="s">
        <v>101</v>
      </c>
      <c r="B49" s="7">
        <v>200</v>
      </c>
      <c r="C49" s="6"/>
      <c r="D49" s="6"/>
    </row>
    <row r="50" spans="1:4" x14ac:dyDescent="0.55000000000000004">
      <c r="A50" s="6" t="s">
        <v>101</v>
      </c>
      <c r="B50" s="7">
        <v>200</v>
      </c>
      <c r="C50" s="6"/>
      <c r="D50" s="6"/>
    </row>
    <row r="51" spans="1:4" x14ac:dyDescent="0.55000000000000004">
      <c r="A51" s="6" t="s">
        <v>101</v>
      </c>
      <c r="B51" s="7">
        <v>200</v>
      </c>
      <c r="C51" s="6"/>
      <c r="D51" s="6"/>
    </row>
    <row r="52" spans="1:4" x14ac:dyDescent="0.55000000000000004">
      <c r="A52" s="6" t="s">
        <v>101</v>
      </c>
      <c r="B52" s="7">
        <v>200</v>
      </c>
      <c r="C52" s="6"/>
      <c r="D52" s="6"/>
    </row>
    <row r="53" spans="1:4" x14ac:dyDescent="0.55000000000000004">
      <c r="A53" s="6" t="s">
        <v>101</v>
      </c>
      <c r="B53" s="7">
        <v>200</v>
      </c>
      <c r="C53" s="6"/>
      <c r="D53" s="6"/>
    </row>
    <row r="54" spans="1:4" x14ac:dyDescent="0.55000000000000004">
      <c r="A54" s="6" t="s">
        <v>101</v>
      </c>
      <c r="B54" s="7">
        <v>200</v>
      </c>
      <c r="C54" s="6"/>
      <c r="D54" s="6"/>
    </row>
    <row r="55" spans="1:4" x14ac:dyDescent="0.55000000000000004">
      <c r="A55" s="6" t="s">
        <v>101</v>
      </c>
      <c r="B55" s="7">
        <v>200</v>
      </c>
      <c r="C55" s="6"/>
      <c r="D55" s="6"/>
    </row>
    <row r="56" spans="1:4" x14ac:dyDescent="0.55000000000000004">
      <c r="A56" s="6" t="s">
        <v>101</v>
      </c>
      <c r="B56" s="7">
        <v>200</v>
      </c>
      <c r="C56" s="6"/>
      <c r="D56" s="6"/>
    </row>
    <row r="57" spans="1:4" x14ac:dyDescent="0.55000000000000004">
      <c r="A57" s="6" t="s">
        <v>101</v>
      </c>
      <c r="B57" s="7">
        <v>200</v>
      </c>
      <c r="C57" s="6"/>
      <c r="D57" s="6"/>
    </row>
    <row r="58" spans="1:4" x14ac:dyDescent="0.55000000000000004">
      <c r="A58" s="6" t="s">
        <v>101</v>
      </c>
      <c r="B58" s="7">
        <v>200</v>
      </c>
      <c r="C58" s="6"/>
      <c r="D58" s="6"/>
    </row>
    <row r="59" spans="1:4" x14ac:dyDescent="0.55000000000000004">
      <c r="A59" s="6" t="s">
        <v>101</v>
      </c>
      <c r="B59" s="7">
        <v>200</v>
      </c>
      <c r="C59" s="6"/>
      <c r="D59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67C0-E2AF-4AE7-A632-424DEF86C612}">
  <dimension ref="A1:H179"/>
  <sheetViews>
    <sheetView workbookViewId="0">
      <selection activeCell="C29" sqref="C29"/>
    </sheetView>
  </sheetViews>
  <sheetFormatPr defaultRowHeight="14.4" x14ac:dyDescent="0.55000000000000004"/>
  <cols>
    <col min="1" max="1" width="14.26171875" bestFit="1" customWidth="1"/>
    <col min="2" max="2" width="15.26171875" bestFit="1" customWidth="1"/>
    <col min="3" max="3" width="15.578125" bestFit="1" customWidth="1"/>
  </cols>
  <sheetData>
    <row r="1" spans="1:8" x14ac:dyDescent="0.55000000000000004">
      <c r="A1" s="11" t="s">
        <v>103</v>
      </c>
      <c r="B1" s="11" t="s">
        <v>104</v>
      </c>
      <c r="C1" s="11" t="s">
        <v>105</v>
      </c>
      <c r="D1" s="11" t="s">
        <v>106</v>
      </c>
      <c r="E1" s="12" t="s">
        <v>107</v>
      </c>
    </row>
    <row r="2" spans="1:8" x14ac:dyDescent="0.55000000000000004">
      <c r="A2" s="13" t="s">
        <v>108</v>
      </c>
      <c r="B2" s="13" t="s">
        <v>109</v>
      </c>
      <c r="C2" s="13" t="s">
        <v>110</v>
      </c>
      <c r="D2" s="13" t="s">
        <v>111</v>
      </c>
      <c r="E2" s="14">
        <v>17917</v>
      </c>
      <c r="H2">
        <f>_xlfn.MAXIFS(E:E,C:C,C4,D:D,D18)</f>
        <v>40209</v>
      </c>
    </row>
    <row r="3" spans="1:8" x14ac:dyDescent="0.55000000000000004">
      <c r="A3" s="13" t="s">
        <v>112</v>
      </c>
      <c r="B3" s="13" t="s">
        <v>113</v>
      </c>
      <c r="C3" s="13" t="s">
        <v>110</v>
      </c>
      <c r="D3" s="13" t="s">
        <v>111</v>
      </c>
      <c r="E3" s="14">
        <v>25013</v>
      </c>
      <c r="H3">
        <f>MAX(E:E)</f>
        <v>50608</v>
      </c>
    </row>
    <row r="4" spans="1:8" x14ac:dyDescent="0.55000000000000004">
      <c r="A4" s="13" t="s">
        <v>114</v>
      </c>
      <c r="B4" s="13" t="s">
        <v>115</v>
      </c>
      <c r="C4" s="13" t="s">
        <v>110</v>
      </c>
      <c r="D4" s="13" t="s">
        <v>111</v>
      </c>
      <c r="E4" s="14">
        <v>18043</v>
      </c>
    </row>
    <row r="5" spans="1:8" x14ac:dyDescent="0.55000000000000004">
      <c r="A5" s="13" t="s">
        <v>116</v>
      </c>
      <c r="B5" s="13" t="s">
        <v>117</v>
      </c>
      <c r="C5" s="13" t="s">
        <v>110</v>
      </c>
      <c r="D5" s="13" t="s">
        <v>111</v>
      </c>
      <c r="E5" s="14">
        <v>17551</v>
      </c>
    </row>
    <row r="6" spans="1:8" x14ac:dyDescent="0.55000000000000004">
      <c r="A6" s="13" t="s">
        <v>118</v>
      </c>
      <c r="B6" s="13" t="s">
        <v>119</v>
      </c>
      <c r="C6" s="13" t="s">
        <v>110</v>
      </c>
      <c r="D6" s="13" t="s">
        <v>111</v>
      </c>
      <c r="E6" s="14">
        <v>44792</v>
      </c>
    </row>
    <row r="7" spans="1:8" x14ac:dyDescent="0.55000000000000004">
      <c r="A7" s="13" t="s">
        <v>120</v>
      </c>
      <c r="B7" s="13" t="s">
        <v>109</v>
      </c>
      <c r="C7" s="13" t="s">
        <v>121</v>
      </c>
      <c r="D7" s="13" t="s">
        <v>111</v>
      </c>
      <c r="E7" s="14">
        <v>37484</v>
      </c>
    </row>
    <row r="8" spans="1:8" x14ac:dyDescent="0.55000000000000004">
      <c r="A8" s="13" t="s">
        <v>122</v>
      </c>
      <c r="B8" s="13" t="s">
        <v>113</v>
      </c>
      <c r="C8" s="13" t="s">
        <v>121</v>
      </c>
      <c r="D8" s="13" t="s">
        <v>111</v>
      </c>
      <c r="E8" s="14">
        <v>12782</v>
      </c>
    </row>
    <row r="9" spans="1:8" x14ac:dyDescent="0.55000000000000004">
      <c r="A9" s="13" t="s">
        <v>123</v>
      </c>
      <c r="B9" s="13" t="s">
        <v>115</v>
      </c>
      <c r="C9" s="13" t="s">
        <v>121</v>
      </c>
      <c r="D9" s="13" t="s">
        <v>111</v>
      </c>
      <c r="E9" s="14">
        <v>30244</v>
      </c>
    </row>
    <row r="10" spans="1:8" x14ac:dyDescent="0.55000000000000004">
      <c r="A10" s="13" t="s">
        <v>124</v>
      </c>
      <c r="B10" s="13" t="s">
        <v>117</v>
      </c>
      <c r="C10" s="13" t="s">
        <v>121</v>
      </c>
      <c r="D10" s="13" t="s">
        <v>111</v>
      </c>
      <c r="E10" s="14">
        <v>37727</v>
      </c>
    </row>
    <row r="11" spans="1:8" x14ac:dyDescent="0.55000000000000004">
      <c r="A11" s="13" t="s">
        <v>125</v>
      </c>
      <c r="B11" s="13" t="s">
        <v>119</v>
      </c>
      <c r="C11" s="13" t="s">
        <v>121</v>
      </c>
      <c r="D11" s="13" t="s">
        <v>111</v>
      </c>
      <c r="E11" s="14">
        <v>42368</v>
      </c>
    </row>
    <row r="12" spans="1:8" x14ac:dyDescent="0.55000000000000004">
      <c r="A12" s="13" t="s">
        <v>126</v>
      </c>
      <c r="B12" s="13" t="s">
        <v>109</v>
      </c>
      <c r="C12" s="13" t="s">
        <v>127</v>
      </c>
      <c r="D12" s="13" t="s">
        <v>111</v>
      </c>
      <c r="E12" s="14">
        <v>18937</v>
      </c>
    </row>
    <row r="13" spans="1:8" x14ac:dyDescent="0.55000000000000004">
      <c r="A13" s="13" t="s">
        <v>128</v>
      </c>
      <c r="B13" s="13" t="s">
        <v>113</v>
      </c>
      <c r="C13" s="13" t="s">
        <v>127</v>
      </c>
      <c r="D13" s="13" t="s">
        <v>111</v>
      </c>
      <c r="E13" s="14">
        <v>42098</v>
      </c>
    </row>
    <row r="14" spans="1:8" x14ac:dyDescent="0.55000000000000004">
      <c r="A14" s="13" t="s">
        <v>129</v>
      </c>
      <c r="B14" s="13" t="s">
        <v>115</v>
      </c>
      <c r="C14" s="13" t="s">
        <v>127</v>
      </c>
      <c r="D14" s="13" t="s">
        <v>111</v>
      </c>
      <c r="E14" s="14">
        <v>40206</v>
      </c>
    </row>
    <row r="15" spans="1:8" x14ac:dyDescent="0.55000000000000004">
      <c r="A15" s="13" t="s">
        <v>130</v>
      </c>
      <c r="B15" s="13" t="s">
        <v>117</v>
      </c>
      <c r="C15" s="13" t="s">
        <v>127</v>
      </c>
      <c r="D15" s="13" t="s">
        <v>111</v>
      </c>
      <c r="E15" s="14">
        <v>18575</v>
      </c>
    </row>
    <row r="16" spans="1:8" x14ac:dyDescent="0.55000000000000004">
      <c r="A16" s="13" t="s">
        <v>131</v>
      </c>
      <c r="B16" s="13" t="s">
        <v>119</v>
      </c>
      <c r="C16" s="13" t="s">
        <v>127</v>
      </c>
      <c r="D16" s="13" t="s">
        <v>111</v>
      </c>
      <c r="E16" s="14">
        <v>29136</v>
      </c>
    </row>
    <row r="17" spans="1:5" x14ac:dyDescent="0.55000000000000004">
      <c r="A17" s="13" t="s">
        <v>132</v>
      </c>
      <c r="B17" s="13" t="s">
        <v>109</v>
      </c>
      <c r="C17" s="13" t="s">
        <v>110</v>
      </c>
      <c r="D17" s="13" t="s">
        <v>133</v>
      </c>
      <c r="E17" s="14">
        <v>30037</v>
      </c>
    </row>
    <row r="18" spans="1:5" x14ac:dyDescent="0.55000000000000004">
      <c r="A18" s="13" t="s">
        <v>134</v>
      </c>
      <c r="B18" s="13" t="s">
        <v>113</v>
      </c>
      <c r="C18" s="13" t="s">
        <v>110</v>
      </c>
      <c r="D18" s="13" t="s">
        <v>133</v>
      </c>
      <c r="E18" s="14">
        <v>23594</v>
      </c>
    </row>
    <row r="19" spans="1:5" x14ac:dyDescent="0.55000000000000004">
      <c r="A19" s="13" t="s">
        <v>135</v>
      </c>
      <c r="B19" s="13" t="s">
        <v>115</v>
      </c>
      <c r="C19" s="13" t="s">
        <v>110</v>
      </c>
      <c r="D19" s="13" t="s">
        <v>133</v>
      </c>
      <c r="E19" s="14">
        <v>23758</v>
      </c>
    </row>
    <row r="20" spans="1:5" x14ac:dyDescent="0.55000000000000004">
      <c r="A20" s="13" t="s">
        <v>136</v>
      </c>
      <c r="B20" s="13" t="s">
        <v>117</v>
      </c>
      <c r="C20" s="13" t="s">
        <v>110</v>
      </c>
      <c r="D20" s="13" t="s">
        <v>133</v>
      </c>
      <c r="E20" s="14">
        <v>11335</v>
      </c>
    </row>
    <row r="21" spans="1:5" x14ac:dyDescent="0.55000000000000004">
      <c r="A21" s="13" t="s">
        <v>137</v>
      </c>
      <c r="B21" s="13" t="s">
        <v>119</v>
      </c>
      <c r="C21" s="13" t="s">
        <v>110</v>
      </c>
      <c r="D21" s="13" t="s">
        <v>133</v>
      </c>
      <c r="E21" s="14">
        <v>40209</v>
      </c>
    </row>
    <row r="22" spans="1:5" x14ac:dyDescent="0.55000000000000004">
      <c r="A22" s="13" t="s">
        <v>138</v>
      </c>
      <c r="B22" s="13" t="s">
        <v>109</v>
      </c>
      <c r="C22" s="13" t="s">
        <v>121</v>
      </c>
      <c r="D22" s="13" t="s">
        <v>133</v>
      </c>
      <c r="E22" s="14">
        <v>34967</v>
      </c>
    </row>
    <row r="23" spans="1:5" x14ac:dyDescent="0.55000000000000004">
      <c r="A23" s="13" t="s">
        <v>139</v>
      </c>
      <c r="B23" s="13" t="s">
        <v>113</v>
      </c>
      <c r="C23" s="13" t="s">
        <v>121</v>
      </c>
      <c r="D23" s="13" t="s">
        <v>133</v>
      </c>
      <c r="E23" s="14">
        <v>49875</v>
      </c>
    </row>
    <row r="24" spans="1:5" x14ac:dyDescent="0.55000000000000004">
      <c r="A24" s="13" t="s">
        <v>140</v>
      </c>
      <c r="B24" s="13" t="s">
        <v>115</v>
      </c>
      <c r="C24" s="13" t="s">
        <v>121</v>
      </c>
      <c r="D24" s="13" t="s">
        <v>133</v>
      </c>
      <c r="E24" s="14">
        <v>45392</v>
      </c>
    </row>
    <row r="25" spans="1:5" x14ac:dyDescent="0.55000000000000004">
      <c r="A25" s="13" t="s">
        <v>141</v>
      </c>
      <c r="B25" s="13" t="s">
        <v>117</v>
      </c>
      <c r="C25" s="13" t="s">
        <v>121</v>
      </c>
      <c r="D25" s="13" t="s">
        <v>133</v>
      </c>
      <c r="E25" s="14">
        <v>41749</v>
      </c>
    </row>
    <row r="26" spans="1:5" x14ac:dyDescent="0.55000000000000004">
      <c r="A26" s="13" t="s">
        <v>142</v>
      </c>
      <c r="B26" s="13" t="s">
        <v>119</v>
      </c>
      <c r="C26" s="13" t="s">
        <v>121</v>
      </c>
      <c r="D26" s="13" t="s">
        <v>133</v>
      </c>
      <c r="E26" s="14">
        <v>17394</v>
      </c>
    </row>
    <row r="27" spans="1:5" x14ac:dyDescent="0.55000000000000004">
      <c r="A27" s="13" t="s">
        <v>143</v>
      </c>
      <c r="B27" s="13" t="s">
        <v>109</v>
      </c>
      <c r="C27" s="13" t="s">
        <v>127</v>
      </c>
      <c r="D27" s="13" t="s">
        <v>133</v>
      </c>
      <c r="E27" s="14">
        <v>42525</v>
      </c>
    </row>
    <row r="28" spans="1:5" x14ac:dyDescent="0.55000000000000004">
      <c r="A28" s="13" t="s">
        <v>144</v>
      </c>
      <c r="B28" s="13" t="s">
        <v>113</v>
      </c>
      <c r="C28" s="13" t="s">
        <v>127</v>
      </c>
      <c r="D28" s="13" t="s">
        <v>133</v>
      </c>
      <c r="E28" s="14">
        <v>27857</v>
      </c>
    </row>
    <row r="29" spans="1:5" x14ac:dyDescent="0.55000000000000004">
      <c r="A29" s="13" t="s">
        <v>145</v>
      </c>
      <c r="B29" s="13" t="s">
        <v>115</v>
      </c>
      <c r="C29" s="13" t="s">
        <v>127</v>
      </c>
      <c r="D29" s="13" t="s">
        <v>133</v>
      </c>
      <c r="E29" s="14">
        <v>39501</v>
      </c>
    </row>
    <row r="30" spans="1:5" x14ac:dyDescent="0.55000000000000004">
      <c r="A30" s="13" t="s">
        <v>146</v>
      </c>
      <c r="B30" s="13" t="s">
        <v>117</v>
      </c>
      <c r="C30" s="13" t="s">
        <v>127</v>
      </c>
      <c r="D30" s="13" t="s">
        <v>133</v>
      </c>
      <c r="E30" s="14">
        <v>40518</v>
      </c>
    </row>
    <row r="31" spans="1:5" x14ac:dyDescent="0.55000000000000004">
      <c r="A31" s="13" t="s">
        <v>147</v>
      </c>
      <c r="B31" s="13" t="s">
        <v>119</v>
      </c>
      <c r="C31" s="13" t="s">
        <v>127</v>
      </c>
      <c r="D31" s="13" t="s">
        <v>133</v>
      </c>
      <c r="E31" s="14">
        <v>44970</v>
      </c>
    </row>
    <row r="32" spans="1:5" x14ac:dyDescent="0.55000000000000004">
      <c r="A32" s="13" t="s">
        <v>148</v>
      </c>
      <c r="B32" s="13" t="s">
        <v>109</v>
      </c>
      <c r="C32" s="13" t="s">
        <v>110</v>
      </c>
      <c r="D32" s="13" t="s">
        <v>149</v>
      </c>
      <c r="E32" s="14">
        <v>15062</v>
      </c>
    </row>
    <row r="33" spans="1:5" x14ac:dyDescent="0.55000000000000004">
      <c r="A33" s="13" t="s">
        <v>150</v>
      </c>
      <c r="B33" s="13" t="s">
        <v>113</v>
      </c>
      <c r="C33" s="13" t="s">
        <v>110</v>
      </c>
      <c r="D33" s="13" t="s">
        <v>149</v>
      </c>
      <c r="E33" s="14">
        <v>16693</v>
      </c>
    </row>
    <row r="34" spans="1:5" x14ac:dyDescent="0.55000000000000004">
      <c r="A34" s="13" t="s">
        <v>151</v>
      </c>
      <c r="B34" s="13" t="s">
        <v>115</v>
      </c>
      <c r="C34" s="13" t="s">
        <v>110</v>
      </c>
      <c r="D34" s="13" t="s">
        <v>149</v>
      </c>
      <c r="E34" s="14">
        <v>16858</v>
      </c>
    </row>
    <row r="35" spans="1:5" x14ac:dyDescent="0.55000000000000004">
      <c r="A35" s="13" t="s">
        <v>152</v>
      </c>
      <c r="B35" s="13" t="s">
        <v>117</v>
      </c>
      <c r="C35" s="13" t="s">
        <v>110</v>
      </c>
      <c r="D35" s="13" t="s">
        <v>149</v>
      </c>
      <c r="E35" s="14">
        <v>31899</v>
      </c>
    </row>
    <row r="36" spans="1:5" x14ac:dyDescent="0.55000000000000004">
      <c r="A36" s="13" t="s">
        <v>153</v>
      </c>
      <c r="B36" s="13" t="s">
        <v>119</v>
      </c>
      <c r="C36" s="13" t="s">
        <v>110</v>
      </c>
      <c r="D36" s="13" t="s">
        <v>149</v>
      </c>
      <c r="E36" s="14">
        <v>13014</v>
      </c>
    </row>
    <row r="37" spans="1:5" x14ac:dyDescent="0.55000000000000004">
      <c r="A37" s="13" t="s">
        <v>154</v>
      </c>
      <c r="B37" s="13" t="s">
        <v>109</v>
      </c>
      <c r="C37" s="13" t="s">
        <v>121</v>
      </c>
      <c r="D37" s="13" t="s">
        <v>149</v>
      </c>
      <c r="E37" s="14">
        <v>36639</v>
      </c>
    </row>
    <row r="38" spans="1:5" x14ac:dyDescent="0.55000000000000004">
      <c r="A38" s="13" t="s">
        <v>155</v>
      </c>
      <c r="B38" s="13" t="s">
        <v>113</v>
      </c>
      <c r="C38" s="13" t="s">
        <v>121</v>
      </c>
      <c r="D38" s="13" t="s">
        <v>149</v>
      </c>
      <c r="E38" s="14">
        <v>24076</v>
      </c>
    </row>
    <row r="39" spans="1:5" x14ac:dyDescent="0.55000000000000004">
      <c r="A39" s="13" t="s">
        <v>156</v>
      </c>
      <c r="B39" s="13" t="s">
        <v>115</v>
      </c>
      <c r="C39" s="13" t="s">
        <v>121</v>
      </c>
      <c r="D39" s="13" t="s">
        <v>149</v>
      </c>
      <c r="E39" s="14">
        <v>44222</v>
      </c>
    </row>
    <row r="40" spans="1:5" x14ac:dyDescent="0.55000000000000004">
      <c r="A40" s="13" t="s">
        <v>157</v>
      </c>
      <c r="B40" s="13" t="s">
        <v>117</v>
      </c>
      <c r="C40" s="13" t="s">
        <v>121</v>
      </c>
      <c r="D40" s="13" t="s">
        <v>149</v>
      </c>
      <c r="E40" s="14">
        <v>23082</v>
      </c>
    </row>
    <row r="41" spans="1:5" x14ac:dyDescent="0.55000000000000004">
      <c r="A41" s="13" t="s">
        <v>158</v>
      </c>
      <c r="B41" s="13" t="s">
        <v>119</v>
      </c>
      <c r="C41" s="13" t="s">
        <v>121</v>
      </c>
      <c r="D41" s="13" t="s">
        <v>149</v>
      </c>
      <c r="E41" s="14">
        <v>47147</v>
      </c>
    </row>
    <row r="42" spans="1:5" x14ac:dyDescent="0.55000000000000004">
      <c r="A42" s="13" t="s">
        <v>159</v>
      </c>
      <c r="B42" s="13" t="s">
        <v>109</v>
      </c>
      <c r="C42" s="13" t="s">
        <v>127</v>
      </c>
      <c r="D42" s="13" t="s">
        <v>149</v>
      </c>
      <c r="E42" s="14">
        <v>24887</v>
      </c>
    </row>
    <row r="43" spans="1:5" x14ac:dyDescent="0.55000000000000004">
      <c r="A43" s="13" t="s">
        <v>160</v>
      </c>
      <c r="B43" s="13" t="s">
        <v>113</v>
      </c>
      <c r="C43" s="13" t="s">
        <v>127</v>
      </c>
      <c r="D43" s="13" t="s">
        <v>149</v>
      </c>
      <c r="E43" s="14">
        <v>24047</v>
      </c>
    </row>
    <row r="44" spans="1:5" x14ac:dyDescent="0.55000000000000004">
      <c r="A44" s="13" t="s">
        <v>161</v>
      </c>
      <c r="B44" s="13" t="s">
        <v>115</v>
      </c>
      <c r="C44" s="13" t="s">
        <v>127</v>
      </c>
      <c r="D44" s="13" t="s">
        <v>149</v>
      </c>
      <c r="E44" s="14">
        <v>18500</v>
      </c>
    </row>
    <row r="45" spans="1:5" x14ac:dyDescent="0.55000000000000004">
      <c r="A45" s="13" t="s">
        <v>162</v>
      </c>
      <c r="B45" s="13" t="s">
        <v>117</v>
      </c>
      <c r="C45" s="13" t="s">
        <v>127</v>
      </c>
      <c r="D45" s="13" t="s">
        <v>149</v>
      </c>
      <c r="E45" s="14">
        <v>46422</v>
      </c>
    </row>
    <row r="46" spans="1:5" x14ac:dyDescent="0.55000000000000004">
      <c r="A46" s="13" t="s">
        <v>163</v>
      </c>
      <c r="B46" s="13" t="s">
        <v>119</v>
      </c>
      <c r="C46" s="13" t="s">
        <v>127</v>
      </c>
      <c r="D46" s="13" t="s">
        <v>149</v>
      </c>
      <c r="E46" s="14">
        <v>25542</v>
      </c>
    </row>
    <row r="47" spans="1:5" x14ac:dyDescent="0.55000000000000004">
      <c r="A47" s="13" t="s">
        <v>164</v>
      </c>
      <c r="B47" s="13" t="s">
        <v>109</v>
      </c>
      <c r="C47" s="13" t="s">
        <v>110</v>
      </c>
      <c r="D47" s="13" t="s">
        <v>165</v>
      </c>
      <c r="E47" s="14">
        <v>35647</v>
      </c>
    </row>
    <row r="48" spans="1:5" x14ac:dyDescent="0.55000000000000004">
      <c r="A48" s="13" t="s">
        <v>166</v>
      </c>
      <c r="B48" s="13" t="s">
        <v>113</v>
      </c>
      <c r="C48" s="13" t="s">
        <v>110</v>
      </c>
      <c r="D48" s="13" t="s">
        <v>165</v>
      </c>
      <c r="E48" s="14">
        <v>25452</v>
      </c>
    </row>
    <row r="49" spans="1:5" x14ac:dyDescent="0.55000000000000004">
      <c r="A49" s="13" t="s">
        <v>167</v>
      </c>
      <c r="B49" s="13" t="s">
        <v>115</v>
      </c>
      <c r="C49" s="13" t="s">
        <v>110</v>
      </c>
      <c r="D49" s="13" t="s">
        <v>165</v>
      </c>
      <c r="E49" s="14">
        <v>26898</v>
      </c>
    </row>
    <row r="50" spans="1:5" x14ac:dyDescent="0.55000000000000004">
      <c r="A50" s="13" t="s">
        <v>168</v>
      </c>
      <c r="B50" s="13" t="s">
        <v>117</v>
      </c>
      <c r="C50" s="13" t="s">
        <v>110</v>
      </c>
      <c r="D50" s="13" t="s">
        <v>165</v>
      </c>
      <c r="E50" s="14">
        <v>45564</v>
      </c>
    </row>
    <row r="51" spans="1:5" x14ac:dyDescent="0.55000000000000004">
      <c r="A51" s="13" t="s">
        <v>169</v>
      </c>
      <c r="B51" s="13" t="s">
        <v>119</v>
      </c>
      <c r="C51" s="13" t="s">
        <v>110</v>
      </c>
      <c r="D51" s="13" t="s">
        <v>165</v>
      </c>
      <c r="E51" s="14">
        <v>16200</v>
      </c>
    </row>
    <row r="52" spans="1:5" x14ac:dyDescent="0.55000000000000004">
      <c r="A52" s="13" t="s">
        <v>170</v>
      </c>
      <c r="B52" s="13" t="s">
        <v>109</v>
      </c>
      <c r="C52" s="13" t="s">
        <v>121</v>
      </c>
      <c r="D52" s="13" t="s">
        <v>165</v>
      </c>
      <c r="E52" s="14">
        <v>37245</v>
      </c>
    </row>
    <row r="53" spans="1:5" x14ac:dyDescent="0.55000000000000004">
      <c r="A53" s="13" t="s">
        <v>171</v>
      </c>
      <c r="B53" s="13" t="s">
        <v>113</v>
      </c>
      <c r="C53" s="13" t="s">
        <v>121</v>
      </c>
      <c r="D53" s="13" t="s">
        <v>165</v>
      </c>
      <c r="E53" s="14">
        <v>28208</v>
      </c>
    </row>
    <row r="54" spans="1:5" x14ac:dyDescent="0.55000000000000004">
      <c r="A54" s="13" t="s">
        <v>172</v>
      </c>
      <c r="B54" s="13" t="s">
        <v>115</v>
      </c>
      <c r="C54" s="13" t="s">
        <v>121</v>
      </c>
      <c r="D54" s="13" t="s">
        <v>165</v>
      </c>
      <c r="E54" s="14">
        <v>14297</v>
      </c>
    </row>
    <row r="55" spans="1:5" x14ac:dyDescent="0.55000000000000004">
      <c r="A55" s="13" t="s">
        <v>173</v>
      </c>
      <c r="B55" s="13" t="s">
        <v>117</v>
      </c>
      <c r="C55" s="13" t="s">
        <v>121</v>
      </c>
      <c r="D55" s="13" t="s">
        <v>165</v>
      </c>
      <c r="E55" s="14">
        <v>36332</v>
      </c>
    </row>
    <row r="56" spans="1:5" x14ac:dyDescent="0.55000000000000004">
      <c r="A56" s="13" t="s">
        <v>174</v>
      </c>
      <c r="B56" s="13" t="s">
        <v>119</v>
      </c>
      <c r="C56" s="13" t="s">
        <v>121</v>
      </c>
      <c r="D56" s="13" t="s">
        <v>165</v>
      </c>
      <c r="E56" s="14">
        <v>45249</v>
      </c>
    </row>
    <row r="57" spans="1:5" x14ac:dyDescent="0.55000000000000004">
      <c r="A57" s="13" t="s">
        <v>175</v>
      </c>
      <c r="B57" s="13" t="s">
        <v>109</v>
      </c>
      <c r="C57" s="13" t="s">
        <v>127</v>
      </c>
      <c r="D57" s="13" t="s">
        <v>165</v>
      </c>
      <c r="E57" s="14">
        <v>21481</v>
      </c>
    </row>
    <row r="58" spans="1:5" x14ac:dyDescent="0.55000000000000004">
      <c r="A58" s="13" t="s">
        <v>176</v>
      </c>
      <c r="B58" s="13" t="s">
        <v>113</v>
      </c>
      <c r="C58" s="13" t="s">
        <v>127</v>
      </c>
      <c r="D58" s="13" t="s">
        <v>165</v>
      </c>
      <c r="E58" s="14">
        <v>43832</v>
      </c>
    </row>
    <row r="59" spans="1:5" x14ac:dyDescent="0.55000000000000004">
      <c r="A59" s="13" t="s">
        <v>177</v>
      </c>
      <c r="B59" s="13" t="s">
        <v>115</v>
      </c>
      <c r="C59" s="13" t="s">
        <v>127</v>
      </c>
      <c r="D59" s="13" t="s">
        <v>165</v>
      </c>
      <c r="E59" s="14">
        <v>27038</v>
      </c>
    </row>
    <row r="60" spans="1:5" x14ac:dyDescent="0.55000000000000004">
      <c r="A60" s="13" t="s">
        <v>178</v>
      </c>
      <c r="B60" s="13" t="s">
        <v>117</v>
      </c>
      <c r="C60" s="13" t="s">
        <v>127</v>
      </c>
      <c r="D60" s="13" t="s">
        <v>165</v>
      </c>
      <c r="E60" s="14">
        <v>30054</v>
      </c>
    </row>
    <row r="61" spans="1:5" x14ac:dyDescent="0.55000000000000004">
      <c r="A61" s="13" t="s">
        <v>179</v>
      </c>
      <c r="B61" s="13" t="s">
        <v>119</v>
      </c>
      <c r="C61" s="13" t="s">
        <v>127</v>
      </c>
      <c r="D61" s="13" t="s">
        <v>165</v>
      </c>
      <c r="E61" s="14">
        <v>45836</v>
      </c>
    </row>
    <row r="62" spans="1:5" x14ac:dyDescent="0.55000000000000004">
      <c r="A62" s="13" t="s">
        <v>180</v>
      </c>
      <c r="B62" s="13" t="s">
        <v>109</v>
      </c>
      <c r="C62" s="13" t="s">
        <v>110</v>
      </c>
      <c r="D62" s="13" t="s">
        <v>181</v>
      </c>
      <c r="E62" s="14">
        <v>14235</v>
      </c>
    </row>
    <row r="63" spans="1:5" x14ac:dyDescent="0.55000000000000004">
      <c r="A63" s="13" t="s">
        <v>182</v>
      </c>
      <c r="B63" s="13" t="s">
        <v>113</v>
      </c>
      <c r="C63" s="13" t="s">
        <v>110</v>
      </c>
      <c r="D63" s="13" t="s">
        <v>181</v>
      </c>
      <c r="E63" s="14">
        <v>29107</v>
      </c>
    </row>
    <row r="64" spans="1:5" x14ac:dyDescent="0.55000000000000004">
      <c r="A64" s="13" t="s">
        <v>183</v>
      </c>
      <c r="B64" s="13" t="s">
        <v>115</v>
      </c>
      <c r="C64" s="13" t="s">
        <v>110</v>
      </c>
      <c r="D64" s="13" t="s">
        <v>181</v>
      </c>
      <c r="E64" s="14">
        <v>12019</v>
      </c>
    </row>
    <row r="65" spans="1:5" x14ac:dyDescent="0.55000000000000004">
      <c r="A65" s="13" t="s">
        <v>184</v>
      </c>
      <c r="B65" s="13" t="s">
        <v>117</v>
      </c>
      <c r="C65" s="13" t="s">
        <v>110</v>
      </c>
      <c r="D65" s="13" t="s">
        <v>181</v>
      </c>
      <c r="E65" s="14">
        <v>12186</v>
      </c>
    </row>
    <row r="66" spans="1:5" x14ac:dyDescent="0.55000000000000004">
      <c r="A66" s="13" t="s">
        <v>185</v>
      </c>
      <c r="B66" s="13" t="s">
        <v>119</v>
      </c>
      <c r="C66" s="13" t="s">
        <v>110</v>
      </c>
      <c r="D66" s="13" t="s">
        <v>181</v>
      </c>
      <c r="E66" s="14">
        <v>28086</v>
      </c>
    </row>
    <row r="67" spans="1:5" x14ac:dyDescent="0.55000000000000004">
      <c r="A67" s="13" t="s">
        <v>186</v>
      </c>
      <c r="B67" s="13" t="s">
        <v>109</v>
      </c>
      <c r="C67" s="13" t="s">
        <v>121</v>
      </c>
      <c r="D67" s="13" t="s">
        <v>181</v>
      </c>
      <c r="E67" s="14">
        <v>40981</v>
      </c>
    </row>
    <row r="68" spans="1:5" x14ac:dyDescent="0.55000000000000004">
      <c r="A68" s="13" t="s">
        <v>187</v>
      </c>
      <c r="B68" s="13" t="s">
        <v>113</v>
      </c>
      <c r="C68" s="13" t="s">
        <v>121</v>
      </c>
      <c r="D68" s="13" t="s">
        <v>181</v>
      </c>
      <c r="E68" s="14">
        <v>30936</v>
      </c>
    </row>
    <row r="69" spans="1:5" x14ac:dyDescent="0.55000000000000004">
      <c r="A69" s="13" t="s">
        <v>188</v>
      </c>
      <c r="B69" s="13" t="s">
        <v>115</v>
      </c>
      <c r="C69" s="13" t="s">
        <v>121</v>
      </c>
      <c r="D69" s="13" t="s">
        <v>181</v>
      </c>
      <c r="E69" s="14">
        <v>32033</v>
      </c>
    </row>
    <row r="70" spans="1:5" x14ac:dyDescent="0.55000000000000004">
      <c r="A70" s="13" t="s">
        <v>189</v>
      </c>
      <c r="B70" s="13" t="s">
        <v>117</v>
      </c>
      <c r="C70" s="13" t="s">
        <v>121</v>
      </c>
      <c r="D70" s="13" t="s">
        <v>181</v>
      </c>
      <c r="E70" s="14">
        <v>32526</v>
      </c>
    </row>
    <row r="71" spans="1:5" x14ac:dyDescent="0.55000000000000004">
      <c r="A71" s="13" t="s">
        <v>190</v>
      </c>
      <c r="B71" s="13" t="s">
        <v>119</v>
      </c>
      <c r="C71" s="13" t="s">
        <v>121</v>
      </c>
      <c r="D71" s="13" t="s">
        <v>181</v>
      </c>
      <c r="E71" s="14">
        <v>27407</v>
      </c>
    </row>
    <row r="72" spans="1:5" x14ac:dyDescent="0.55000000000000004">
      <c r="A72" s="13" t="s">
        <v>191</v>
      </c>
      <c r="B72" s="13" t="s">
        <v>109</v>
      </c>
      <c r="C72" s="13" t="s">
        <v>127</v>
      </c>
      <c r="D72" s="13" t="s">
        <v>181</v>
      </c>
      <c r="E72" s="14">
        <v>27742</v>
      </c>
    </row>
    <row r="73" spans="1:5" x14ac:dyDescent="0.55000000000000004">
      <c r="A73" s="13" t="s">
        <v>192</v>
      </c>
      <c r="B73" s="13" t="s">
        <v>113</v>
      </c>
      <c r="C73" s="13" t="s">
        <v>127</v>
      </c>
      <c r="D73" s="13" t="s">
        <v>181</v>
      </c>
      <c r="E73" s="14">
        <v>42944</v>
      </c>
    </row>
    <row r="74" spans="1:5" x14ac:dyDescent="0.55000000000000004">
      <c r="A74" s="13" t="s">
        <v>193</v>
      </c>
      <c r="B74" s="13" t="s">
        <v>115</v>
      </c>
      <c r="C74" s="13" t="s">
        <v>127</v>
      </c>
      <c r="D74" s="13" t="s">
        <v>181</v>
      </c>
      <c r="E74" s="14">
        <v>15748</v>
      </c>
    </row>
    <row r="75" spans="1:5" x14ac:dyDescent="0.55000000000000004">
      <c r="A75" s="13" t="s">
        <v>194</v>
      </c>
      <c r="B75" s="13" t="s">
        <v>117</v>
      </c>
      <c r="C75" s="13" t="s">
        <v>127</v>
      </c>
      <c r="D75" s="13" t="s">
        <v>181</v>
      </c>
      <c r="E75" s="14">
        <v>19440</v>
      </c>
    </row>
    <row r="76" spans="1:5" x14ac:dyDescent="0.55000000000000004">
      <c r="A76" s="13" t="s">
        <v>195</v>
      </c>
      <c r="B76" s="13" t="s">
        <v>119</v>
      </c>
      <c r="C76" s="13" t="s">
        <v>127</v>
      </c>
      <c r="D76" s="13" t="s">
        <v>181</v>
      </c>
      <c r="E76" s="14">
        <v>28672</v>
      </c>
    </row>
    <row r="77" spans="1:5" x14ac:dyDescent="0.55000000000000004">
      <c r="A77" s="13" t="s">
        <v>196</v>
      </c>
      <c r="B77" s="13" t="s">
        <v>109</v>
      </c>
      <c r="C77" s="13" t="s">
        <v>110</v>
      </c>
      <c r="D77" s="13" t="s">
        <v>197</v>
      </c>
      <c r="E77" s="14">
        <v>49777</v>
      </c>
    </row>
    <row r="78" spans="1:5" x14ac:dyDescent="0.55000000000000004">
      <c r="A78" s="13" t="s">
        <v>198</v>
      </c>
      <c r="B78" s="13" t="s">
        <v>113</v>
      </c>
      <c r="C78" s="13" t="s">
        <v>110</v>
      </c>
      <c r="D78" s="13" t="s">
        <v>197</v>
      </c>
      <c r="E78" s="14">
        <v>25380</v>
      </c>
    </row>
    <row r="79" spans="1:5" x14ac:dyDescent="0.55000000000000004">
      <c r="A79" s="13" t="s">
        <v>199</v>
      </c>
      <c r="B79" s="13" t="s">
        <v>115</v>
      </c>
      <c r="C79" s="13" t="s">
        <v>110</v>
      </c>
      <c r="D79" s="13" t="s">
        <v>197</v>
      </c>
      <c r="E79" s="14">
        <v>44159</v>
      </c>
    </row>
    <row r="80" spans="1:5" x14ac:dyDescent="0.55000000000000004">
      <c r="A80" s="13" t="s">
        <v>200</v>
      </c>
      <c r="B80" s="13" t="s">
        <v>117</v>
      </c>
      <c r="C80" s="13" t="s">
        <v>110</v>
      </c>
      <c r="D80" s="13" t="s">
        <v>197</v>
      </c>
      <c r="E80" s="14">
        <v>28234</v>
      </c>
    </row>
    <row r="81" spans="1:5" x14ac:dyDescent="0.55000000000000004">
      <c r="A81" s="13" t="s">
        <v>201</v>
      </c>
      <c r="B81" s="13" t="s">
        <v>119</v>
      </c>
      <c r="C81" s="13" t="s">
        <v>110</v>
      </c>
      <c r="D81" s="13" t="s">
        <v>197</v>
      </c>
      <c r="E81" s="14">
        <v>14063</v>
      </c>
    </row>
    <row r="82" spans="1:5" x14ac:dyDescent="0.55000000000000004">
      <c r="A82" s="13" t="s">
        <v>202</v>
      </c>
      <c r="B82" s="13" t="s">
        <v>109</v>
      </c>
      <c r="C82" s="13" t="s">
        <v>121</v>
      </c>
      <c r="D82" s="13" t="s">
        <v>197</v>
      </c>
      <c r="E82" s="14">
        <v>15147</v>
      </c>
    </row>
    <row r="83" spans="1:5" x14ac:dyDescent="0.55000000000000004">
      <c r="A83" s="13" t="s">
        <v>203</v>
      </c>
      <c r="B83" s="13" t="s">
        <v>113</v>
      </c>
      <c r="C83" s="13" t="s">
        <v>121</v>
      </c>
      <c r="D83" s="13" t="s">
        <v>197</v>
      </c>
      <c r="E83" s="14">
        <v>18594</v>
      </c>
    </row>
    <row r="84" spans="1:5" x14ac:dyDescent="0.55000000000000004">
      <c r="A84" s="13" t="s">
        <v>204</v>
      </c>
      <c r="B84" s="13" t="s">
        <v>115</v>
      </c>
      <c r="C84" s="13" t="s">
        <v>121</v>
      </c>
      <c r="D84" s="13" t="s">
        <v>197</v>
      </c>
      <c r="E84" s="14">
        <v>46790</v>
      </c>
    </row>
    <row r="85" spans="1:5" x14ac:dyDescent="0.55000000000000004">
      <c r="A85" s="13" t="s">
        <v>205</v>
      </c>
      <c r="B85" s="13" t="s">
        <v>117</v>
      </c>
      <c r="C85" s="13" t="s">
        <v>121</v>
      </c>
      <c r="D85" s="13" t="s">
        <v>197</v>
      </c>
      <c r="E85" s="14">
        <v>40880</v>
      </c>
    </row>
    <row r="86" spans="1:5" x14ac:dyDescent="0.55000000000000004">
      <c r="A86" s="13" t="s">
        <v>206</v>
      </c>
      <c r="B86" s="13" t="s">
        <v>119</v>
      </c>
      <c r="C86" s="13" t="s">
        <v>121</v>
      </c>
      <c r="D86" s="13" t="s">
        <v>197</v>
      </c>
      <c r="E86" s="14">
        <v>13600</v>
      </c>
    </row>
    <row r="87" spans="1:5" x14ac:dyDescent="0.55000000000000004">
      <c r="A87" s="13" t="s">
        <v>207</v>
      </c>
      <c r="B87" s="13" t="s">
        <v>109</v>
      </c>
      <c r="C87" s="13" t="s">
        <v>127</v>
      </c>
      <c r="D87" s="13" t="s">
        <v>197</v>
      </c>
      <c r="E87" s="14">
        <v>19748</v>
      </c>
    </row>
    <row r="88" spans="1:5" x14ac:dyDescent="0.55000000000000004">
      <c r="A88" s="13" t="s">
        <v>208</v>
      </c>
      <c r="B88" s="13" t="s">
        <v>113</v>
      </c>
      <c r="C88" s="13" t="s">
        <v>127</v>
      </c>
      <c r="D88" s="13" t="s">
        <v>197</v>
      </c>
      <c r="E88" s="14">
        <v>43316</v>
      </c>
    </row>
    <row r="89" spans="1:5" x14ac:dyDescent="0.55000000000000004">
      <c r="A89" s="13" t="s">
        <v>209</v>
      </c>
      <c r="B89" s="13" t="s">
        <v>115</v>
      </c>
      <c r="C89" s="13" t="s">
        <v>127</v>
      </c>
      <c r="D89" s="13" t="s">
        <v>197</v>
      </c>
      <c r="E89" s="14">
        <v>14867</v>
      </c>
    </row>
    <row r="90" spans="1:5" x14ac:dyDescent="0.55000000000000004">
      <c r="A90" s="13" t="s">
        <v>210</v>
      </c>
      <c r="B90" s="13" t="s">
        <v>117</v>
      </c>
      <c r="C90" s="13" t="s">
        <v>127</v>
      </c>
      <c r="D90" s="13" t="s">
        <v>197</v>
      </c>
      <c r="E90" s="14">
        <v>49096</v>
      </c>
    </row>
    <row r="91" spans="1:5" x14ac:dyDescent="0.55000000000000004">
      <c r="A91" s="13" t="s">
        <v>211</v>
      </c>
      <c r="B91" s="13" t="s">
        <v>119</v>
      </c>
      <c r="C91" s="13" t="s">
        <v>127</v>
      </c>
      <c r="D91" s="13" t="s">
        <v>197</v>
      </c>
      <c r="E91" s="14">
        <v>17077</v>
      </c>
    </row>
    <row r="92" spans="1:5" x14ac:dyDescent="0.55000000000000004">
      <c r="A92" s="13" t="s">
        <v>212</v>
      </c>
      <c r="B92" s="13" t="s">
        <v>113</v>
      </c>
      <c r="C92" s="13" t="s">
        <v>110</v>
      </c>
      <c r="D92" s="13" t="s">
        <v>213</v>
      </c>
      <c r="E92" s="14">
        <v>17367</v>
      </c>
    </row>
    <row r="93" spans="1:5" x14ac:dyDescent="0.55000000000000004">
      <c r="A93" s="13" t="s">
        <v>214</v>
      </c>
      <c r="B93" s="13" t="s">
        <v>115</v>
      </c>
      <c r="C93" s="13" t="s">
        <v>110</v>
      </c>
      <c r="D93" s="13" t="s">
        <v>213</v>
      </c>
      <c r="E93" s="14">
        <v>39882</v>
      </c>
    </row>
    <row r="94" spans="1:5" x14ac:dyDescent="0.55000000000000004">
      <c r="A94" s="13" t="s">
        <v>215</v>
      </c>
      <c r="B94" s="13" t="s">
        <v>117</v>
      </c>
      <c r="C94" s="13" t="s">
        <v>110</v>
      </c>
      <c r="D94" s="13" t="s">
        <v>213</v>
      </c>
      <c r="E94" s="14">
        <v>20566</v>
      </c>
    </row>
    <row r="95" spans="1:5" x14ac:dyDescent="0.55000000000000004">
      <c r="A95" s="13" t="s">
        <v>216</v>
      </c>
      <c r="B95" s="13" t="s">
        <v>119</v>
      </c>
      <c r="C95" s="13" t="s">
        <v>110</v>
      </c>
      <c r="D95" s="13" t="s">
        <v>213</v>
      </c>
      <c r="E95" s="14">
        <v>43311</v>
      </c>
    </row>
    <row r="96" spans="1:5" x14ac:dyDescent="0.55000000000000004">
      <c r="A96" s="13" t="s">
        <v>217</v>
      </c>
      <c r="B96" s="13" t="s">
        <v>109</v>
      </c>
      <c r="C96" s="13" t="s">
        <v>121</v>
      </c>
      <c r="D96" s="13" t="s">
        <v>213</v>
      </c>
      <c r="E96" s="14">
        <v>15661</v>
      </c>
    </row>
    <row r="97" spans="1:5" x14ac:dyDescent="0.55000000000000004">
      <c r="A97" s="13" t="s">
        <v>218</v>
      </c>
      <c r="B97" s="13" t="s">
        <v>113</v>
      </c>
      <c r="C97" s="13" t="s">
        <v>121</v>
      </c>
      <c r="D97" s="13" t="s">
        <v>213</v>
      </c>
      <c r="E97" s="14">
        <v>50390</v>
      </c>
    </row>
    <row r="98" spans="1:5" x14ac:dyDescent="0.55000000000000004">
      <c r="A98" s="13" t="s">
        <v>219</v>
      </c>
      <c r="B98" s="13" t="s">
        <v>115</v>
      </c>
      <c r="C98" s="13" t="s">
        <v>121</v>
      </c>
      <c r="D98" s="13" t="s">
        <v>213</v>
      </c>
      <c r="E98" s="14">
        <v>24771</v>
      </c>
    </row>
    <row r="99" spans="1:5" x14ac:dyDescent="0.55000000000000004">
      <c r="A99" s="13" t="s">
        <v>220</v>
      </c>
      <c r="B99" s="13" t="s">
        <v>117</v>
      </c>
      <c r="C99" s="13" t="s">
        <v>121</v>
      </c>
      <c r="D99" s="13" t="s">
        <v>213</v>
      </c>
      <c r="E99" s="14">
        <v>44270</v>
      </c>
    </row>
    <row r="100" spans="1:5" x14ac:dyDescent="0.55000000000000004">
      <c r="A100" s="13" t="s">
        <v>221</v>
      </c>
      <c r="B100" s="13" t="s">
        <v>119</v>
      </c>
      <c r="C100" s="13" t="s">
        <v>121</v>
      </c>
      <c r="D100" s="13" t="s">
        <v>213</v>
      </c>
      <c r="E100" s="14">
        <v>23241</v>
      </c>
    </row>
    <row r="101" spans="1:5" x14ac:dyDescent="0.55000000000000004">
      <c r="A101" s="13" t="s">
        <v>222</v>
      </c>
      <c r="B101" s="13" t="s">
        <v>109</v>
      </c>
      <c r="C101" s="13" t="s">
        <v>127</v>
      </c>
      <c r="D101" s="13" t="s">
        <v>213</v>
      </c>
      <c r="E101" s="14">
        <v>25382</v>
      </c>
    </row>
    <row r="102" spans="1:5" x14ac:dyDescent="0.55000000000000004">
      <c r="A102" s="13" t="s">
        <v>223</v>
      </c>
      <c r="B102" s="13" t="s">
        <v>113</v>
      </c>
      <c r="C102" s="13" t="s">
        <v>127</v>
      </c>
      <c r="D102" s="13" t="s">
        <v>213</v>
      </c>
      <c r="E102" s="14">
        <v>27302</v>
      </c>
    </row>
    <row r="103" spans="1:5" x14ac:dyDescent="0.55000000000000004">
      <c r="A103" s="13" t="s">
        <v>224</v>
      </c>
      <c r="B103" s="13" t="s">
        <v>115</v>
      </c>
      <c r="C103" s="13" t="s">
        <v>127</v>
      </c>
      <c r="D103" s="13" t="s">
        <v>213</v>
      </c>
      <c r="E103" s="14">
        <v>36485</v>
      </c>
    </row>
    <row r="104" spans="1:5" x14ac:dyDescent="0.55000000000000004">
      <c r="A104" s="13" t="s">
        <v>225</v>
      </c>
      <c r="B104" s="13" t="s">
        <v>117</v>
      </c>
      <c r="C104" s="13" t="s">
        <v>127</v>
      </c>
      <c r="D104" s="13" t="s">
        <v>213</v>
      </c>
      <c r="E104" s="14">
        <v>32592</v>
      </c>
    </row>
    <row r="105" spans="1:5" x14ac:dyDescent="0.55000000000000004">
      <c r="A105" s="13" t="s">
        <v>226</v>
      </c>
      <c r="B105" s="13" t="s">
        <v>119</v>
      </c>
      <c r="C105" s="13" t="s">
        <v>127</v>
      </c>
      <c r="D105" s="13" t="s">
        <v>213</v>
      </c>
      <c r="E105" s="14">
        <v>35502</v>
      </c>
    </row>
    <row r="106" spans="1:5" x14ac:dyDescent="0.55000000000000004">
      <c r="A106" s="13" t="s">
        <v>227</v>
      </c>
      <c r="B106" s="13" t="s">
        <v>109</v>
      </c>
      <c r="C106" s="13" t="s">
        <v>110</v>
      </c>
      <c r="D106" s="13" t="s">
        <v>228</v>
      </c>
      <c r="E106" s="14">
        <v>22657</v>
      </c>
    </row>
    <row r="107" spans="1:5" x14ac:dyDescent="0.55000000000000004">
      <c r="A107" s="13" t="s">
        <v>229</v>
      </c>
      <c r="B107" s="13" t="s">
        <v>113</v>
      </c>
      <c r="C107" s="13" t="s">
        <v>110</v>
      </c>
      <c r="D107" s="13" t="s">
        <v>228</v>
      </c>
      <c r="E107" s="14">
        <v>13767</v>
      </c>
    </row>
    <row r="108" spans="1:5" x14ac:dyDescent="0.55000000000000004">
      <c r="A108" s="13" t="s">
        <v>230</v>
      </c>
      <c r="B108" s="13" t="s">
        <v>115</v>
      </c>
      <c r="C108" s="13" t="s">
        <v>110</v>
      </c>
      <c r="D108" s="13" t="s">
        <v>228</v>
      </c>
      <c r="E108" s="14">
        <v>43465</v>
      </c>
    </row>
    <row r="109" spans="1:5" x14ac:dyDescent="0.55000000000000004">
      <c r="A109" s="13" t="s">
        <v>231</v>
      </c>
      <c r="B109" s="13" t="s">
        <v>117</v>
      </c>
      <c r="C109" s="13" t="s">
        <v>110</v>
      </c>
      <c r="D109" s="13" t="s">
        <v>228</v>
      </c>
      <c r="E109" s="14">
        <v>32975</v>
      </c>
    </row>
    <row r="110" spans="1:5" x14ac:dyDescent="0.55000000000000004">
      <c r="A110" s="13" t="s">
        <v>232</v>
      </c>
      <c r="B110" s="13" t="s">
        <v>119</v>
      </c>
      <c r="C110" s="13" t="s">
        <v>110</v>
      </c>
      <c r="D110" s="13" t="s">
        <v>228</v>
      </c>
      <c r="E110" s="14">
        <v>42399</v>
      </c>
    </row>
    <row r="111" spans="1:5" x14ac:dyDescent="0.55000000000000004">
      <c r="A111" s="13" t="s">
        <v>233</v>
      </c>
      <c r="B111" s="13" t="s">
        <v>109</v>
      </c>
      <c r="C111" s="13" t="s">
        <v>121</v>
      </c>
      <c r="D111" s="13" t="s">
        <v>228</v>
      </c>
      <c r="E111" s="14">
        <v>22691</v>
      </c>
    </row>
    <row r="112" spans="1:5" x14ac:dyDescent="0.55000000000000004">
      <c r="A112" s="13" t="s">
        <v>234</v>
      </c>
      <c r="B112" s="13" t="s">
        <v>113</v>
      </c>
      <c r="C112" s="13" t="s">
        <v>121</v>
      </c>
      <c r="D112" s="13" t="s">
        <v>228</v>
      </c>
      <c r="E112" s="14">
        <v>48147</v>
      </c>
    </row>
    <row r="113" spans="1:5" x14ac:dyDescent="0.55000000000000004">
      <c r="A113" s="13" t="s">
        <v>235</v>
      </c>
      <c r="B113" s="13" t="s">
        <v>115</v>
      </c>
      <c r="C113" s="13" t="s">
        <v>121</v>
      </c>
      <c r="D113" s="13" t="s">
        <v>228</v>
      </c>
      <c r="E113" s="14">
        <v>47805</v>
      </c>
    </row>
    <row r="114" spans="1:5" x14ac:dyDescent="0.55000000000000004">
      <c r="A114" s="13" t="s">
        <v>236</v>
      </c>
      <c r="B114" s="13" t="s">
        <v>117</v>
      </c>
      <c r="C114" s="13" t="s">
        <v>121</v>
      </c>
      <c r="D114" s="13" t="s">
        <v>228</v>
      </c>
      <c r="E114" s="14">
        <v>43790</v>
      </c>
    </row>
    <row r="115" spans="1:5" x14ac:dyDescent="0.55000000000000004">
      <c r="A115" s="13" t="s">
        <v>237</v>
      </c>
      <c r="B115" s="13" t="s">
        <v>119</v>
      </c>
      <c r="C115" s="13" t="s">
        <v>121</v>
      </c>
      <c r="D115" s="13" t="s">
        <v>228</v>
      </c>
      <c r="E115" s="14">
        <v>22589</v>
      </c>
    </row>
    <row r="116" spans="1:5" x14ac:dyDescent="0.55000000000000004">
      <c r="A116" s="13" t="s">
        <v>238</v>
      </c>
      <c r="B116" s="13" t="s">
        <v>109</v>
      </c>
      <c r="C116" s="13" t="s">
        <v>127</v>
      </c>
      <c r="D116" s="13" t="s">
        <v>228</v>
      </c>
      <c r="E116" s="14">
        <v>46485</v>
      </c>
    </row>
    <row r="117" spans="1:5" x14ac:dyDescent="0.55000000000000004">
      <c r="A117" s="13" t="s">
        <v>239</v>
      </c>
      <c r="B117" s="13" t="s">
        <v>113</v>
      </c>
      <c r="C117" s="13" t="s">
        <v>127</v>
      </c>
      <c r="D117" s="13" t="s">
        <v>228</v>
      </c>
      <c r="E117" s="14">
        <v>16033</v>
      </c>
    </row>
    <row r="118" spans="1:5" x14ac:dyDescent="0.55000000000000004">
      <c r="A118" s="13" t="s">
        <v>240</v>
      </c>
      <c r="B118" s="13" t="s">
        <v>115</v>
      </c>
      <c r="C118" s="13" t="s">
        <v>127</v>
      </c>
      <c r="D118" s="13" t="s">
        <v>228</v>
      </c>
      <c r="E118" s="14">
        <v>17121</v>
      </c>
    </row>
    <row r="119" spans="1:5" x14ac:dyDescent="0.55000000000000004">
      <c r="A119" s="13" t="s">
        <v>241</v>
      </c>
      <c r="B119" s="13" t="s">
        <v>117</v>
      </c>
      <c r="C119" s="13" t="s">
        <v>127</v>
      </c>
      <c r="D119" s="13" t="s">
        <v>228</v>
      </c>
      <c r="E119" s="14">
        <v>12547</v>
      </c>
    </row>
    <row r="120" spans="1:5" x14ac:dyDescent="0.55000000000000004">
      <c r="A120" s="13" t="s">
        <v>242</v>
      </c>
      <c r="B120" s="13" t="s">
        <v>119</v>
      </c>
      <c r="C120" s="13" t="s">
        <v>127</v>
      </c>
      <c r="D120" s="13" t="s">
        <v>228</v>
      </c>
      <c r="E120" s="14">
        <v>15527</v>
      </c>
    </row>
    <row r="121" spans="1:5" x14ac:dyDescent="0.55000000000000004">
      <c r="A121" s="13" t="s">
        <v>243</v>
      </c>
      <c r="B121" s="13" t="s">
        <v>109</v>
      </c>
      <c r="C121" s="13" t="s">
        <v>110</v>
      </c>
      <c r="D121" s="13" t="s">
        <v>244</v>
      </c>
      <c r="E121" s="14">
        <v>13503</v>
      </c>
    </row>
    <row r="122" spans="1:5" x14ac:dyDescent="0.55000000000000004">
      <c r="A122" s="13" t="s">
        <v>245</v>
      </c>
      <c r="B122" s="13" t="s">
        <v>113</v>
      </c>
      <c r="C122" s="13" t="s">
        <v>110</v>
      </c>
      <c r="D122" s="13" t="s">
        <v>244</v>
      </c>
      <c r="E122" s="14">
        <v>42230</v>
      </c>
    </row>
    <row r="123" spans="1:5" x14ac:dyDescent="0.55000000000000004">
      <c r="A123" s="13" t="s">
        <v>246</v>
      </c>
      <c r="B123" s="13" t="s">
        <v>115</v>
      </c>
      <c r="C123" s="13" t="s">
        <v>110</v>
      </c>
      <c r="D123" s="13" t="s">
        <v>244</v>
      </c>
      <c r="E123" s="14">
        <v>16402</v>
      </c>
    </row>
    <row r="124" spans="1:5" x14ac:dyDescent="0.55000000000000004">
      <c r="A124" s="13" t="s">
        <v>247</v>
      </c>
      <c r="B124" s="13" t="s">
        <v>117</v>
      </c>
      <c r="C124" s="13" t="s">
        <v>110</v>
      </c>
      <c r="D124" s="13" t="s">
        <v>244</v>
      </c>
      <c r="E124" s="14">
        <v>39228</v>
      </c>
    </row>
    <row r="125" spans="1:5" x14ac:dyDescent="0.55000000000000004">
      <c r="A125" s="13" t="s">
        <v>248</v>
      </c>
      <c r="B125" s="13" t="s">
        <v>119</v>
      </c>
      <c r="C125" s="13" t="s">
        <v>110</v>
      </c>
      <c r="D125" s="13" t="s">
        <v>244</v>
      </c>
      <c r="E125" s="14">
        <v>21269</v>
      </c>
    </row>
    <row r="126" spans="1:5" x14ac:dyDescent="0.55000000000000004">
      <c r="A126" s="13" t="s">
        <v>249</v>
      </c>
      <c r="B126" s="13" t="s">
        <v>109</v>
      </c>
      <c r="C126" s="13" t="s">
        <v>121</v>
      </c>
      <c r="D126" s="13" t="s">
        <v>244</v>
      </c>
      <c r="E126" s="14">
        <v>25351</v>
      </c>
    </row>
    <row r="127" spans="1:5" x14ac:dyDescent="0.55000000000000004">
      <c r="A127" s="13" t="s">
        <v>250</v>
      </c>
      <c r="B127" s="13" t="s">
        <v>113</v>
      </c>
      <c r="C127" s="13" t="s">
        <v>121</v>
      </c>
      <c r="D127" s="13" t="s">
        <v>244</v>
      </c>
      <c r="E127" s="14">
        <v>11704</v>
      </c>
    </row>
    <row r="128" spans="1:5" x14ac:dyDescent="0.55000000000000004">
      <c r="A128" s="13" t="s">
        <v>251</v>
      </c>
      <c r="B128" s="13" t="s">
        <v>115</v>
      </c>
      <c r="C128" s="13" t="s">
        <v>121</v>
      </c>
      <c r="D128" s="13" t="s">
        <v>244</v>
      </c>
      <c r="E128" s="14">
        <v>14769</v>
      </c>
    </row>
    <row r="129" spans="1:5" x14ac:dyDescent="0.55000000000000004">
      <c r="A129" s="13" t="s">
        <v>252</v>
      </c>
      <c r="B129" s="13" t="s">
        <v>117</v>
      </c>
      <c r="C129" s="13" t="s">
        <v>121</v>
      </c>
      <c r="D129" s="13" t="s">
        <v>244</v>
      </c>
      <c r="E129" s="14">
        <v>26102</v>
      </c>
    </row>
    <row r="130" spans="1:5" x14ac:dyDescent="0.55000000000000004">
      <c r="A130" s="13" t="s">
        <v>253</v>
      </c>
      <c r="B130" s="13" t="s">
        <v>119</v>
      </c>
      <c r="C130" s="13" t="s">
        <v>121</v>
      </c>
      <c r="D130" s="13" t="s">
        <v>244</v>
      </c>
      <c r="E130" s="14">
        <v>42745</v>
      </c>
    </row>
    <row r="131" spans="1:5" x14ac:dyDescent="0.55000000000000004">
      <c r="A131" s="13" t="s">
        <v>254</v>
      </c>
      <c r="B131" s="13" t="s">
        <v>109</v>
      </c>
      <c r="C131" s="13" t="s">
        <v>127</v>
      </c>
      <c r="D131" s="13" t="s">
        <v>244</v>
      </c>
      <c r="E131" s="14">
        <v>19983</v>
      </c>
    </row>
    <row r="132" spans="1:5" x14ac:dyDescent="0.55000000000000004">
      <c r="A132" s="13" t="s">
        <v>255</v>
      </c>
      <c r="B132" s="13" t="s">
        <v>113</v>
      </c>
      <c r="C132" s="13" t="s">
        <v>127</v>
      </c>
      <c r="D132" s="13" t="s">
        <v>244</v>
      </c>
      <c r="E132" s="14">
        <v>19165</v>
      </c>
    </row>
    <row r="133" spans="1:5" x14ac:dyDescent="0.55000000000000004">
      <c r="A133" s="13" t="s">
        <v>256</v>
      </c>
      <c r="B133" s="13" t="s">
        <v>115</v>
      </c>
      <c r="C133" s="13" t="s">
        <v>127</v>
      </c>
      <c r="D133" s="13" t="s">
        <v>244</v>
      </c>
      <c r="E133" s="14">
        <v>23144</v>
      </c>
    </row>
    <row r="134" spans="1:5" x14ac:dyDescent="0.55000000000000004">
      <c r="A134" s="13" t="s">
        <v>257</v>
      </c>
      <c r="B134" s="13" t="s">
        <v>117</v>
      </c>
      <c r="C134" s="13" t="s">
        <v>127</v>
      </c>
      <c r="D134" s="13" t="s">
        <v>244</v>
      </c>
      <c r="E134" s="14">
        <v>46469</v>
      </c>
    </row>
    <row r="135" spans="1:5" x14ac:dyDescent="0.55000000000000004">
      <c r="A135" s="13" t="s">
        <v>258</v>
      </c>
      <c r="B135" s="13" t="s">
        <v>119</v>
      </c>
      <c r="C135" s="13" t="s">
        <v>127</v>
      </c>
      <c r="D135" s="13" t="s">
        <v>244</v>
      </c>
      <c r="E135" s="14">
        <v>42421</v>
      </c>
    </row>
    <row r="136" spans="1:5" x14ac:dyDescent="0.55000000000000004">
      <c r="A136" s="13" t="s">
        <v>259</v>
      </c>
      <c r="B136" s="13" t="s">
        <v>109</v>
      </c>
      <c r="C136" s="13" t="s">
        <v>110</v>
      </c>
      <c r="D136" s="13" t="s">
        <v>260</v>
      </c>
      <c r="E136" s="14">
        <v>26314</v>
      </c>
    </row>
    <row r="137" spans="1:5" x14ac:dyDescent="0.55000000000000004">
      <c r="A137" s="13" t="s">
        <v>261</v>
      </c>
      <c r="B137" s="13" t="s">
        <v>113</v>
      </c>
      <c r="C137" s="13" t="s">
        <v>110</v>
      </c>
      <c r="D137" s="13" t="s">
        <v>260</v>
      </c>
      <c r="E137" s="14">
        <v>18080</v>
      </c>
    </row>
    <row r="138" spans="1:5" x14ac:dyDescent="0.55000000000000004">
      <c r="A138" s="13" t="s">
        <v>262</v>
      </c>
      <c r="B138" s="13" t="s">
        <v>115</v>
      </c>
      <c r="C138" s="13" t="s">
        <v>110</v>
      </c>
      <c r="D138" s="13" t="s">
        <v>260</v>
      </c>
      <c r="E138" s="14">
        <v>39381</v>
      </c>
    </row>
    <row r="139" spans="1:5" x14ac:dyDescent="0.55000000000000004">
      <c r="A139" s="13" t="s">
        <v>263</v>
      </c>
      <c r="B139" s="13" t="s">
        <v>117</v>
      </c>
      <c r="C139" s="13" t="s">
        <v>110</v>
      </c>
      <c r="D139" s="13" t="s">
        <v>260</v>
      </c>
      <c r="E139" s="14">
        <v>25112</v>
      </c>
    </row>
    <row r="140" spans="1:5" x14ac:dyDescent="0.55000000000000004">
      <c r="A140" s="13" t="s">
        <v>264</v>
      </c>
      <c r="B140" s="13" t="s">
        <v>119</v>
      </c>
      <c r="C140" s="13" t="s">
        <v>110</v>
      </c>
      <c r="D140" s="13" t="s">
        <v>260</v>
      </c>
      <c r="E140" s="14">
        <v>42301</v>
      </c>
    </row>
    <row r="141" spans="1:5" x14ac:dyDescent="0.55000000000000004">
      <c r="A141" s="13" t="s">
        <v>265</v>
      </c>
      <c r="B141" s="13" t="s">
        <v>109</v>
      </c>
      <c r="C141" s="13" t="s">
        <v>121</v>
      </c>
      <c r="D141" s="13" t="s">
        <v>260</v>
      </c>
      <c r="E141" s="14">
        <v>19303</v>
      </c>
    </row>
    <row r="142" spans="1:5" x14ac:dyDescent="0.55000000000000004">
      <c r="A142" s="13" t="s">
        <v>266</v>
      </c>
      <c r="B142" s="13" t="s">
        <v>113</v>
      </c>
      <c r="C142" s="13" t="s">
        <v>121</v>
      </c>
      <c r="D142" s="13" t="s">
        <v>260</v>
      </c>
      <c r="E142" s="14">
        <v>46139</v>
      </c>
    </row>
    <row r="143" spans="1:5" x14ac:dyDescent="0.55000000000000004">
      <c r="A143" s="13" t="s">
        <v>267</v>
      </c>
      <c r="B143" s="13" t="s">
        <v>115</v>
      </c>
      <c r="C143" s="13" t="s">
        <v>121</v>
      </c>
      <c r="D143" s="13" t="s">
        <v>260</v>
      </c>
      <c r="E143" s="14">
        <v>43918</v>
      </c>
    </row>
    <row r="144" spans="1:5" x14ac:dyDescent="0.55000000000000004">
      <c r="A144" s="13" t="s">
        <v>268</v>
      </c>
      <c r="B144" s="13" t="s">
        <v>117</v>
      </c>
      <c r="C144" s="13" t="s">
        <v>121</v>
      </c>
      <c r="D144" s="13" t="s">
        <v>260</v>
      </c>
      <c r="E144" s="14">
        <v>49446</v>
      </c>
    </row>
    <row r="145" spans="1:5" x14ac:dyDescent="0.55000000000000004">
      <c r="A145" s="13" t="s">
        <v>269</v>
      </c>
      <c r="B145" s="13" t="s">
        <v>119</v>
      </c>
      <c r="C145" s="13" t="s">
        <v>121</v>
      </c>
      <c r="D145" s="13" t="s">
        <v>260</v>
      </c>
      <c r="E145" s="14">
        <v>39128</v>
      </c>
    </row>
    <row r="146" spans="1:5" x14ac:dyDescent="0.55000000000000004">
      <c r="A146" s="13" t="s">
        <v>270</v>
      </c>
      <c r="B146" s="13" t="s">
        <v>109</v>
      </c>
      <c r="C146" s="13" t="s">
        <v>127</v>
      </c>
      <c r="D146" s="13" t="s">
        <v>260</v>
      </c>
      <c r="E146" s="14">
        <v>31815</v>
      </c>
    </row>
    <row r="147" spans="1:5" x14ac:dyDescent="0.55000000000000004">
      <c r="A147" s="13" t="s">
        <v>271</v>
      </c>
      <c r="B147" s="13" t="s">
        <v>113</v>
      </c>
      <c r="C147" s="13" t="s">
        <v>127</v>
      </c>
      <c r="D147" s="13" t="s">
        <v>260</v>
      </c>
      <c r="E147" s="14">
        <v>45019</v>
      </c>
    </row>
    <row r="148" spans="1:5" x14ac:dyDescent="0.55000000000000004">
      <c r="A148" s="13" t="s">
        <v>272</v>
      </c>
      <c r="B148" s="13" t="s">
        <v>115</v>
      </c>
      <c r="C148" s="13" t="s">
        <v>127</v>
      </c>
      <c r="D148" s="13" t="s">
        <v>260</v>
      </c>
      <c r="E148" s="14">
        <v>33990</v>
      </c>
    </row>
    <row r="149" spans="1:5" x14ac:dyDescent="0.55000000000000004">
      <c r="A149" s="13" t="s">
        <v>273</v>
      </c>
      <c r="B149" s="13" t="s">
        <v>117</v>
      </c>
      <c r="C149" s="13" t="s">
        <v>127</v>
      </c>
      <c r="D149" s="13" t="s">
        <v>260</v>
      </c>
      <c r="E149" s="14">
        <v>24444</v>
      </c>
    </row>
    <row r="150" spans="1:5" x14ac:dyDescent="0.55000000000000004">
      <c r="A150" s="13" t="s">
        <v>274</v>
      </c>
      <c r="B150" s="13" t="s">
        <v>119</v>
      </c>
      <c r="C150" s="13" t="s">
        <v>127</v>
      </c>
      <c r="D150" s="13" t="s">
        <v>260</v>
      </c>
      <c r="E150" s="14">
        <v>11638</v>
      </c>
    </row>
    <row r="151" spans="1:5" x14ac:dyDescent="0.55000000000000004">
      <c r="A151" s="13" t="s">
        <v>275</v>
      </c>
      <c r="B151" s="13" t="s">
        <v>109</v>
      </c>
      <c r="C151" s="13" t="s">
        <v>110</v>
      </c>
      <c r="D151" s="13" t="s">
        <v>276</v>
      </c>
      <c r="E151" s="14">
        <v>19822</v>
      </c>
    </row>
    <row r="152" spans="1:5" x14ac:dyDescent="0.55000000000000004">
      <c r="A152" s="13" t="s">
        <v>277</v>
      </c>
      <c r="B152" s="13" t="s">
        <v>113</v>
      </c>
      <c r="C152" s="13" t="s">
        <v>110</v>
      </c>
      <c r="D152" s="13" t="s">
        <v>276</v>
      </c>
      <c r="E152" s="14">
        <v>14360</v>
      </c>
    </row>
    <row r="153" spans="1:5" x14ac:dyDescent="0.55000000000000004">
      <c r="A153" s="13" t="s">
        <v>278</v>
      </c>
      <c r="B153" s="13" t="s">
        <v>115</v>
      </c>
      <c r="C153" s="13" t="s">
        <v>110</v>
      </c>
      <c r="D153" s="13" t="s">
        <v>276</v>
      </c>
      <c r="E153" s="14">
        <v>38084</v>
      </c>
    </row>
    <row r="154" spans="1:5" x14ac:dyDescent="0.55000000000000004">
      <c r="A154" s="13" t="s">
        <v>279</v>
      </c>
      <c r="B154" s="13" t="s">
        <v>117</v>
      </c>
      <c r="C154" s="13" t="s">
        <v>110</v>
      </c>
      <c r="D154" s="13" t="s">
        <v>276</v>
      </c>
      <c r="E154" s="14">
        <v>49909</v>
      </c>
    </row>
    <row r="155" spans="1:5" x14ac:dyDescent="0.55000000000000004">
      <c r="A155" s="13" t="s">
        <v>280</v>
      </c>
      <c r="B155" s="13" t="s">
        <v>119</v>
      </c>
      <c r="C155" s="13" t="s">
        <v>110</v>
      </c>
      <c r="D155" s="13" t="s">
        <v>276</v>
      </c>
      <c r="E155" s="14">
        <v>50608</v>
      </c>
    </row>
    <row r="156" spans="1:5" x14ac:dyDescent="0.55000000000000004">
      <c r="A156" s="13" t="s">
        <v>281</v>
      </c>
      <c r="B156" s="13" t="s">
        <v>109</v>
      </c>
      <c r="C156" s="13" t="s">
        <v>121</v>
      </c>
      <c r="D156" s="13" t="s">
        <v>276</v>
      </c>
      <c r="E156" s="14">
        <v>17902</v>
      </c>
    </row>
    <row r="157" spans="1:5" x14ac:dyDescent="0.55000000000000004">
      <c r="A157" s="13" t="s">
        <v>282</v>
      </c>
      <c r="B157" s="13" t="s">
        <v>113</v>
      </c>
      <c r="C157" s="13" t="s">
        <v>121</v>
      </c>
      <c r="D157" s="13" t="s">
        <v>276</v>
      </c>
      <c r="E157" s="14">
        <v>50140</v>
      </c>
    </row>
    <row r="158" spans="1:5" x14ac:dyDescent="0.55000000000000004">
      <c r="A158" s="13" t="s">
        <v>283</v>
      </c>
      <c r="B158" s="13" t="s">
        <v>115</v>
      </c>
      <c r="C158" s="13" t="s">
        <v>121</v>
      </c>
      <c r="D158" s="13" t="s">
        <v>276</v>
      </c>
      <c r="E158" s="14">
        <v>16876</v>
      </c>
    </row>
    <row r="159" spans="1:5" x14ac:dyDescent="0.55000000000000004">
      <c r="A159" s="13" t="s">
        <v>284</v>
      </c>
      <c r="B159" s="13" t="s">
        <v>117</v>
      </c>
      <c r="C159" s="13" t="s">
        <v>121</v>
      </c>
      <c r="D159" s="13" t="s">
        <v>276</v>
      </c>
      <c r="E159" s="14">
        <v>15471</v>
      </c>
    </row>
    <row r="160" spans="1:5" x14ac:dyDescent="0.55000000000000004">
      <c r="A160" s="13" t="s">
        <v>285</v>
      </c>
      <c r="B160" s="13" t="s">
        <v>119</v>
      </c>
      <c r="C160" s="13" t="s">
        <v>121</v>
      </c>
      <c r="D160" s="13" t="s">
        <v>276</v>
      </c>
      <c r="E160" s="14">
        <v>30992</v>
      </c>
    </row>
    <row r="161" spans="1:5" x14ac:dyDescent="0.55000000000000004">
      <c r="A161" s="13" t="s">
        <v>286</v>
      </c>
      <c r="B161" s="13" t="s">
        <v>109</v>
      </c>
      <c r="C161" s="13" t="s">
        <v>127</v>
      </c>
      <c r="D161" s="13" t="s">
        <v>276</v>
      </c>
      <c r="E161" s="14">
        <v>25838</v>
      </c>
    </row>
    <row r="162" spans="1:5" x14ac:dyDescent="0.55000000000000004">
      <c r="A162" s="13" t="s">
        <v>287</v>
      </c>
      <c r="B162" s="13" t="s">
        <v>113</v>
      </c>
      <c r="C162" s="13" t="s">
        <v>127</v>
      </c>
      <c r="D162" s="13" t="s">
        <v>276</v>
      </c>
      <c r="E162" s="14">
        <v>15648</v>
      </c>
    </row>
    <row r="163" spans="1:5" x14ac:dyDescent="0.55000000000000004">
      <c r="A163" s="13" t="s">
        <v>288</v>
      </c>
      <c r="B163" s="13" t="s">
        <v>115</v>
      </c>
      <c r="C163" s="13" t="s">
        <v>127</v>
      </c>
      <c r="D163" s="13" t="s">
        <v>276</v>
      </c>
      <c r="E163" s="14">
        <v>36598</v>
      </c>
    </row>
    <row r="164" spans="1:5" x14ac:dyDescent="0.55000000000000004">
      <c r="A164" s="13" t="s">
        <v>289</v>
      </c>
      <c r="B164" s="13" t="s">
        <v>117</v>
      </c>
      <c r="C164" s="13" t="s">
        <v>127</v>
      </c>
      <c r="D164" s="13" t="s">
        <v>276</v>
      </c>
      <c r="E164" s="14">
        <v>12570</v>
      </c>
    </row>
    <row r="165" spans="1:5" x14ac:dyDescent="0.55000000000000004">
      <c r="A165" s="13" t="s">
        <v>290</v>
      </c>
      <c r="B165" s="13" t="s">
        <v>119</v>
      </c>
      <c r="C165" s="13" t="s">
        <v>127</v>
      </c>
      <c r="D165" s="13" t="s">
        <v>276</v>
      </c>
      <c r="E165" s="14">
        <v>11587</v>
      </c>
    </row>
    <row r="166" spans="1:5" x14ac:dyDescent="0.55000000000000004">
      <c r="A166" s="13" t="s">
        <v>291</v>
      </c>
      <c r="B166" s="13" t="s">
        <v>109</v>
      </c>
      <c r="C166" s="13" t="s">
        <v>110</v>
      </c>
      <c r="D166" s="13" t="s">
        <v>292</v>
      </c>
      <c r="E166" s="14">
        <v>30413</v>
      </c>
    </row>
    <row r="167" spans="1:5" x14ac:dyDescent="0.55000000000000004">
      <c r="A167" s="13" t="s">
        <v>293</v>
      </c>
      <c r="B167" s="13" t="s">
        <v>113</v>
      </c>
      <c r="C167" s="13" t="s">
        <v>110</v>
      </c>
      <c r="D167" s="13" t="s">
        <v>292</v>
      </c>
      <c r="E167" s="14">
        <v>35686</v>
      </c>
    </row>
    <row r="168" spans="1:5" x14ac:dyDescent="0.55000000000000004">
      <c r="A168" s="13" t="s">
        <v>294</v>
      </c>
      <c r="B168" s="13" t="s">
        <v>115</v>
      </c>
      <c r="C168" s="13" t="s">
        <v>110</v>
      </c>
      <c r="D168" s="13" t="s">
        <v>292</v>
      </c>
      <c r="E168" s="14">
        <v>46484</v>
      </c>
    </row>
    <row r="169" spans="1:5" x14ac:dyDescent="0.55000000000000004">
      <c r="A169" s="13" t="s">
        <v>295</v>
      </c>
      <c r="B169" s="13" t="s">
        <v>117</v>
      </c>
      <c r="C169" s="13" t="s">
        <v>110</v>
      </c>
      <c r="D169" s="13" t="s">
        <v>292</v>
      </c>
      <c r="E169" s="14">
        <v>21263</v>
      </c>
    </row>
    <row r="170" spans="1:5" x14ac:dyDescent="0.55000000000000004">
      <c r="A170" s="13" t="s">
        <v>296</v>
      </c>
      <c r="B170" s="13" t="s">
        <v>119</v>
      </c>
      <c r="C170" s="13" t="s">
        <v>110</v>
      </c>
      <c r="D170" s="13" t="s">
        <v>292</v>
      </c>
      <c r="E170" s="14">
        <v>32027</v>
      </c>
    </row>
    <row r="171" spans="1:5" x14ac:dyDescent="0.55000000000000004">
      <c r="A171" s="13" t="s">
        <v>297</v>
      </c>
      <c r="B171" s="13" t="s">
        <v>109</v>
      </c>
      <c r="C171" s="13" t="s">
        <v>121</v>
      </c>
      <c r="D171" s="13" t="s">
        <v>292</v>
      </c>
      <c r="E171" s="14">
        <v>30657</v>
      </c>
    </row>
    <row r="172" spans="1:5" x14ac:dyDescent="0.55000000000000004">
      <c r="A172" s="13" t="s">
        <v>298</v>
      </c>
      <c r="B172" s="13" t="s">
        <v>113</v>
      </c>
      <c r="C172" s="13" t="s">
        <v>121</v>
      </c>
      <c r="D172" s="13" t="s">
        <v>292</v>
      </c>
      <c r="E172" s="14">
        <v>10740</v>
      </c>
    </row>
    <row r="173" spans="1:5" x14ac:dyDescent="0.55000000000000004">
      <c r="A173" s="13" t="s">
        <v>299</v>
      </c>
      <c r="B173" s="13" t="s">
        <v>115</v>
      </c>
      <c r="C173" s="13" t="s">
        <v>121</v>
      </c>
      <c r="D173" s="13" t="s">
        <v>292</v>
      </c>
      <c r="E173" s="14">
        <v>26254</v>
      </c>
    </row>
    <row r="174" spans="1:5" x14ac:dyDescent="0.55000000000000004">
      <c r="A174" s="13" t="s">
        <v>300</v>
      </c>
      <c r="B174" s="13" t="s">
        <v>117</v>
      </c>
      <c r="C174" s="13" t="s">
        <v>121</v>
      </c>
      <c r="D174" s="13" t="s">
        <v>292</v>
      </c>
      <c r="E174" s="14">
        <v>41340</v>
      </c>
    </row>
    <row r="175" spans="1:5" x14ac:dyDescent="0.55000000000000004">
      <c r="A175" s="13" t="s">
        <v>301</v>
      </c>
      <c r="B175" s="13" t="s">
        <v>119</v>
      </c>
      <c r="C175" s="13" t="s">
        <v>121</v>
      </c>
      <c r="D175" s="13" t="s">
        <v>292</v>
      </c>
      <c r="E175" s="14">
        <v>22093</v>
      </c>
    </row>
    <row r="176" spans="1:5" x14ac:dyDescent="0.55000000000000004">
      <c r="A176" s="13" t="s">
        <v>302</v>
      </c>
      <c r="B176" s="13" t="s">
        <v>109</v>
      </c>
      <c r="C176" s="13" t="s">
        <v>127</v>
      </c>
      <c r="D176" s="13" t="s">
        <v>292</v>
      </c>
      <c r="E176" s="14">
        <v>33892</v>
      </c>
    </row>
    <row r="177" spans="1:5" x14ac:dyDescent="0.55000000000000004">
      <c r="A177" s="13" t="s">
        <v>303</v>
      </c>
      <c r="B177" s="13" t="s">
        <v>113</v>
      </c>
      <c r="C177" s="13" t="s">
        <v>127</v>
      </c>
      <c r="D177" s="13" t="s">
        <v>292</v>
      </c>
      <c r="E177" s="14">
        <v>33703</v>
      </c>
    </row>
    <row r="178" spans="1:5" x14ac:dyDescent="0.55000000000000004">
      <c r="A178" s="13" t="s">
        <v>304</v>
      </c>
      <c r="B178" s="13" t="s">
        <v>115</v>
      </c>
      <c r="C178" s="13" t="s">
        <v>127</v>
      </c>
      <c r="D178" s="13" t="s">
        <v>292</v>
      </c>
      <c r="E178" s="14">
        <v>49727</v>
      </c>
    </row>
    <row r="179" spans="1:5" x14ac:dyDescent="0.55000000000000004">
      <c r="A179" s="13" t="s">
        <v>305</v>
      </c>
      <c r="B179" s="13" t="s">
        <v>117</v>
      </c>
      <c r="C179" s="13" t="s">
        <v>127</v>
      </c>
      <c r="D179" s="13" t="s">
        <v>292</v>
      </c>
      <c r="E179" s="14">
        <v>33178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Регионы</vt:lpstr>
      <vt:lpstr>Зарплаты</vt:lpstr>
      <vt:lpstr>МАКСЕСЛИ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Лишанова Надежда Егоровна</dc:creator>
  <cp:lastModifiedBy>Ренат Шагабутдинов</cp:lastModifiedBy>
  <cp:lastPrinted>2019-07-30T09:19:25Z</cp:lastPrinted>
  <dcterms:created xsi:type="dcterms:W3CDTF">2018-07-02T08:13:52Z</dcterms:created>
  <dcterms:modified xsi:type="dcterms:W3CDTF">2020-11-13T16:15:20Z</dcterms:modified>
</cp:coreProperties>
</file>