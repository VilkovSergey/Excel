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E:\УЧЁБА\EXCEL\Excel\9_Модуль\"/>
    </mc:Choice>
  </mc:AlternateContent>
  <xr:revisionPtr revIDLastSave="0" documentId="8_{2BAA26DC-95EC-4A01-ACF9-6D977C0E8167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Скидка" sheetId="1" r:id="rId1"/>
    <sheet name="План" sheetId="2" r:id="rId2"/>
    <sheet name="Комиссия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3" l="1" a="1"/>
  <c r="G2" i="3" s="1"/>
  <c r="F2" i="3" a="1"/>
  <c r="F2" i="3" s="1"/>
  <c r="G3" i="3" a="1"/>
  <c r="G3" i="3" s="1"/>
  <c r="G4" i="3" a="1"/>
  <c r="G4" i="3" s="1"/>
  <c r="G5" i="3" a="1"/>
  <c r="G5" i="3"/>
  <c r="G6" i="3" a="1"/>
  <c r="G6" i="3"/>
  <c r="G7" i="3" a="1"/>
  <c r="G7" i="3" s="1"/>
  <c r="G8" i="3" a="1"/>
  <c r="G8" i="3" s="1"/>
  <c r="G9" i="3" a="1"/>
  <c r="G9" i="3"/>
  <c r="G10" i="3" a="1"/>
  <c r="G10" i="3"/>
  <c r="G11" i="3" a="1"/>
  <c r="G11" i="3" s="1"/>
  <c r="G12" i="3" a="1"/>
  <c r="G12" i="3" s="1"/>
  <c r="G13" i="3" a="1"/>
  <c r="G13" i="3"/>
  <c r="G14" i="3" a="1"/>
  <c r="G14" i="3"/>
  <c r="G15" i="3" a="1"/>
  <c r="G15" i="3" s="1"/>
  <c r="G16" i="3" a="1"/>
  <c r="G16" i="3" s="1"/>
  <c r="G17" i="3" a="1"/>
  <c r="G17" i="3"/>
  <c r="G18" i="3" a="1"/>
  <c r="G18" i="3"/>
  <c r="G19" i="3" a="1"/>
  <c r="G19" i="3" s="1"/>
  <c r="G20" i="3" a="1"/>
  <c r="G20" i="3" s="1"/>
  <c r="G21" i="3" a="1"/>
  <c r="G21" i="3"/>
  <c r="G22" i="3" a="1"/>
  <c r="G22" i="3"/>
  <c r="G23" i="3" a="1"/>
  <c r="G23" i="3" s="1"/>
  <c r="G24" i="3" a="1"/>
  <c r="G24" i="3" s="1"/>
  <c r="G25" i="3" a="1"/>
  <c r="G25" i="3"/>
  <c r="G26" i="3" a="1"/>
  <c r="G26" i="3"/>
  <c r="G27" i="3" a="1"/>
  <c r="G27" i="3" s="1"/>
  <c r="G28" i="3" a="1"/>
  <c r="G28" i="3" s="1"/>
  <c r="G29" i="3" a="1"/>
  <c r="G29" i="3"/>
  <c r="G30" i="3" a="1"/>
  <c r="G30" i="3"/>
  <c r="G31" i="3" a="1"/>
  <c r="G31" i="3" s="1"/>
  <c r="G32" i="3" a="1"/>
  <c r="G32" i="3" s="1"/>
  <c r="G33" i="3" a="1"/>
  <c r="G33" i="3"/>
  <c r="G34" i="3" a="1"/>
  <c r="G34" i="3"/>
  <c r="G35" i="3" a="1"/>
  <c r="G35" i="3" s="1"/>
  <c r="G36" i="3" a="1"/>
  <c r="G36" i="3" s="1"/>
  <c r="G37" i="3" a="1"/>
  <c r="G37" i="3"/>
  <c r="G38" i="3" a="1"/>
  <c r="G38" i="3"/>
  <c r="G39" i="3" a="1"/>
  <c r="G39" i="3" s="1"/>
  <c r="G40" i="3" a="1"/>
  <c r="G40" i="3" s="1"/>
  <c r="G41" i="3" a="1"/>
  <c r="G41" i="3"/>
  <c r="G42" i="3" a="1"/>
  <c r="G42" i="3"/>
  <c r="G43" i="3" a="1"/>
  <c r="G43" i="3" s="1"/>
  <c r="G44" i="3" a="1"/>
  <c r="G44" i="3" s="1"/>
  <c r="G45" i="3" a="1"/>
  <c r="G45" i="3"/>
  <c r="G46" i="3" a="1"/>
  <c r="G46" i="3"/>
  <c r="G47" i="3" a="1"/>
  <c r="G47" i="3" s="1"/>
  <c r="G48" i="3" a="1"/>
  <c r="G48" i="3" s="1"/>
  <c r="G49" i="3" a="1"/>
  <c r="G49" i="3"/>
  <c r="G50" i="3" a="1"/>
  <c r="G50" i="3"/>
  <c r="G51" i="3" a="1"/>
  <c r="G51" i="3" s="1"/>
  <c r="G52" i="3" a="1"/>
  <c r="G52" i="3" s="1"/>
  <c r="G53" i="3" a="1"/>
  <c r="G53" i="3"/>
  <c r="G54" i="3" a="1"/>
  <c r="G54" i="3"/>
  <c r="G55" i="3" a="1"/>
  <c r="G55" i="3" s="1"/>
  <c r="G56" i="3" a="1"/>
  <c r="G56" i="3" s="1"/>
  <c r="G57" i="3" a="1"/>
  <c r="G57" i="3"/>
  <c r="G58" i="3" a="1"/>
  <c r="G58" i="3"/>
  <c r="G59" i="3" a="1"/>
  <c r="G59" i="3" s="1"/>
  <c r="G60" i="3" a="1"/>
  <c r="G60" i="3" s="1"/>
  <c r="G61" i="3" a="1"/>
  <c r="G61" i="3"/>
  <c r="G62" i="3" a="1"/>
  <c r="G62" i="3"/>
  <c r="G63" i="3" a="1"/>
  <c r="G63" i="3" s="1"/>
  <c r="F3" i="3" a="1"/>
  <c r="F3" i="3" s="1"/>
  <c r="F4" i="3" a="1"/>
  <c r="F4" i="3" s="1"/>
  <c r="F5" i="3" a="1"/>
  <c r="F5" i="3" s="1"/>
  <c r="F6" i="3" a="1"/>
  <c r="F6" i="3"/>
  <c r="F7" i="3" a="1"/>
  <c r="F7" i="3" s="1"/>
  <c r="F8" i="3" a="1"/>
  <c r="F8" i="3" s="1"/>
  <c r="F9" i="3" a="1"/>
  <c r="F9" i="3" s="1"/>
  <c r="F10" i="3" a="1"/>
  <c r="F10" i="3"/>
  <c r="F11" i="3" a="1"/>
  <c r="F11" i="3" s="1"/>
  <c r="F12" i="3" a="1"/>
  <c r="F12" i="3" s="1"/>
  <c r="F13" i="3" a="1"/>
  <c r="F13" i="3" s="1"/>
  <c r="F14" i="3" a="1"/>
  <c r="F14" i="3"/>
  <c r="F15" i="3" a="1"/>
  <c r="F15" i="3" s="1"/>
  <c r="F16" i="3" a="1"/>
  <c r="F16" i="3" s="1"/>
  <c r="F17" i="3" a="1"/>
  <c r="F17" i="3" s="1"/>
  <c r="F18" i="3" a="1"/>
  <c r="F18" i="3"/>
  <c r="F19" i="3" a="1"/>
  <c r="F19" i="3" s="1"/>
  <c r="F20" i="3" a="1"/>
  <c r="F20" i="3" s="1"/>
  <c r="F21" i="3" a="1"/>
  <c r="F21" i="3" s="1"/>
  <c r="F22" i="3" a="1"/>
  <c r="F22" i="3"/>
  <c r="F23" i="3" a="1"/>
  <c r="F23" i="3" s="1"/>
  <c r="F24" i="3" a="1"/>
  <c r="F24" i="3" s="1"/>
  <c r="F25" i="3" a="1"/>
  <c r="F25" i="3" s="1"/>
  <c r="F26" i="3" a="1"/>
  <c r="F26" i="3"/>
  <c r="F27" i="3" a="1"/>
  <c r="F27" i="3" s="1"/>
  <c r="F28" i="3" a="1"/>
  <c r="F28" i="3" s="1"/>
  <c r="F29" i="3" a="1"/>
  <c r="F29" i="3" s="1"/>
  <c r="F30" i="3" a="1"/>
  <c r="F30" i="3"/>
  <c r="F31" i="3" a="1"/>
  <c r="F31" i="3" s="1"/>
  <c r="F32" i="3" a="1"/>
  <c r="F32" i="3" s="1"/>
  <c r="F33" i="3" a="1"/>
  <c r="F33" i="3" s="1"/>
  <c r="F34" i="3" a="1"/>
  <c r="F34" i="3"/>
  <c r="F35" i="3" a="1"/>
  <c r="F35" i="3" s="1"/>
  <c r="F36" i="3" a="1"/>
  <c r="F36" i="3" s="1"/>
  <c r="F37" i="3" a="1"/>
  <c r="F37" i="3" s="1"/>
  <c r="F38" i="3" a="1"/>
  <c r="F38" i="3"/>
  <c r="F39" i="3" a="1"/>
  <c r="F39" i="3" s="1"/>
  <c r="F40" i="3" a="1"/>
  <c r="F40" i="3" s="1"/>
  <c r="F41" i="3" a="1"/>
  <c r="F41" i="3" s="1"/>
  <c r="F42" i="3" a="1"/>
  <c r="F42" i="3"/>
  <c r="F43" i="3" a="1"/>
  <c r="F43" i="3" s="1"/>
  <c r="F44" i="3" a="1"/>
  <c r="F44" i="3" s="1"/>
  <c r="F45" i="3" a="1"/>
  <c r="F45" i="3" s="1"/>
  <c r="F46" i="3" a="1"/>
  <c r="F46" i="3"/>
  <c r="F47" i="3" a="1"/>
  <c r="F47" i="3" s="1"/>
  <c r="F48" i="3" a="1"/>
  <c r="F48" i="3" s="1"/>
  <c r="F49" i="3" a="1"/>
  <c r="F49" i="3" s="1"/>
  <c r="F50" i="3" a="1"/>
  <c r="F50" i="3"/>
  <c r="F51" i="3" a="1"/>
  <c r="F51" i="3" s="1"/>
  <c r="F52" i="3" a="1"/>
  <c r="F52" i="3" s="1"/>
  <c r="F53" i="3" a="1"/>
  <c r="F53" i="3" s="1"/>
  <c r="F54" i="3" a="1"/>
  <c r="F54" i="3"/>
  <c r="F55" i="3" a="1"/>
  <c r="F55" i="3" s="1"/>
  <c r="F56" i="3" a="1"/>
  <c r="F56" i="3" s="1"/>
  <c r="F57" i="3" a="1"/>
  <c r="F57" i="3" s="1"/>
  <c r="F58" i="3" a="1"/>
  <c r="F58" i="3"/>
  <c r="F59" i="3" a="1"/>
  <c r="F59" i="3" s="1"/>
  <c r="F60" i="3" a="1"/>
  <c r="F60" i="3" s="1"/>
  <c r="F61" i="3" a="1"/>
  <c r="F61" i="3" s="1"/>
  <c r="F62" i="3" a="1"/>
  <c r="F62" i="3"/>
  <c r="F63" i="3" a="1"/>
  <c r="F63" i="3" s="1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2" i="3"/>
  <c r="G5" i="2"/>
  <c r="G3" i="2"/>
  <c r="G4" i="2"/>
  <c r="G6" i="2"/>
  <c r="G7" i="2"/>
  <c r="G8" i="2"/>
  <c r="G9" i="2"/>
  <c r="G10" i="2"/>
  <c r="G11" i="2"/>
  <c r="G12" i="2"/>
  <c r="G13" i="2"/>
  <c r="G2" i="2"/>
  <c r="F3" i="2"/>
  <c r="F4" i="2"/>
  <c r="F5" i="2"/>
  <c r="F6" i="2"/>
  <c r="F7" i="2"/>
  <c r="F8" i="2"/>
  <c r="F9" i="2"/>
  <c r="F10" i="2"/>
  <c r="F11" i="2"/>
  <c r="F12" i="2"/>
  <c r="F13" i="2"/>
  <c r="F2" i="2"/>
  <c r="E3" i="2"/>
  <c r="E4" i="2"/>
  <c r="E5" i="2"/>
  <c r="E6" i="2"/>
  <c r="E7" i="2"/>
  <c r="E8" i="2"/>
  <c r="E9" i="2"/>
  <c r="E10" i="2"/>
  <c r="E11" i="2"/>
  <c r="E12" i="2"/>
  <c r="E13" i="2"/>
  <c r="E2" i="2"/>
  <c r="D3" i="2"/>
  <c r="D4" i="2"/>
  <c r="D5" i="2"/>
  <c r="D6" i="2"/>
  <c r="D7" i="2"/>
  <c r="D8" i="2"/>
  <c r="D9" i="2"/>
  <c r="D10" i="2"/>
  <c r="D11" i="2"/>
  <c r="D12" i="2"/>
  <c r="D13" i="2"/>
  <c r="D2" i="2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F1" authorId="0" shapeId="0" xr:uid="{503183AA-8CA9-49AD-BE6E-5C307F24E05A}">
      <text>
        <r>
          <rPr>
            <b/>
            <sz val="9"/>
            <color indexed="81"/>
            <rFont val="Tahoma"/>
            <charset val="1"/>
          </rPr>
          <t>Разница, если план не выполнен.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<sst xmlns="http://schemas.openxmlformats.org/spreadsheetml/2006/main" count="96" uniqueCount="33">
  <si>
    <t>Сумма сделки</t>
  </si>
  <si>
    <t>Сумма скидки</t>
  </si>
  <si>
    <t>Месяц</t>
  </si>
  <si>
    <t>План</t>
  </si>
  <si>
    <t>Факт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</si>
  <si>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</si>
  <si>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</si>
  <si>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</si>
  <si>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</si>
  <si>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</si>
  <si>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</si>
  <si>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</si>
  <si>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</si>
  <si>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</si>
  <si>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</si>
  <si>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</si>
  <si>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</si>
  <si>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Сетка</t>
  </si>
  <si>
    <t>Столы</t>
  </si>
  <si>
    <t>Стулья</t>
  </si>
  <si>
    <t>Тумбы</t>
  </si>
  <si>
    <t>Дата</t>
  </si>
  <si>
    <t>Продукт</t>
  </si>
  <si>
    <t>Стоимость</t>
  </si>
  <si>
    <t>Комиссия</t>
  </si>
  <si>
    <t>Другое</t>
  </si>
  <si>
    <t>Больше -&gt;</t>
  </si>
  <si>
    <t>ЕСЛИМН</t>
  </si>
  <si>
    <t>Скидка  -&gt;</t>
  </si>
  <si>
    <t>Разница:</t>
  </si>
  <si>
    <t>Есть ли план:
Выполнен ли он:</t>
  </si>
  <si>
    <t>Комиссия_2</t>
  </si>
  <si>
    <t>ЕСЛИМН_2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</si>
</sst>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b/>
      <sz val="9"/>
      <color indexed="81"/>
      <name val="Tahoma"/>
      <charset val="1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</cellStyleXfs>
  <cellXfs count="21">
    <xf numFmtId="0" fontId="0" fillId="0" borderId="0" xfId="0"/>
    <xf numFmtId="3" fontId="0" fillId="0" borderId="0" xfId="0" applyNumberFormat="1" applyAlignment="1">
      <alignment horizontal="center"/>
    </xf>
    <xf numFmtId="9" fontId="0" fillId="0" borderId="0" xfId="0" applyNumberFormat="1"/>
    <xf numFmtId="164" fontId="3" fillId="0" borderId="0" xfId="1" applyNumberFormat="1" applyFont="1" applyAlignment="1">
      <alignment horizontal="center" vertical="center"/>
    </xf>
    <xf numFmtId="14" fontId="0" fillId="0" borderId="0" xfId="0" applyNumberFormat="1"/>
    <xf numFmtId="0" fontId="5" fillId="0" borderId="2" xfId="4"/>
    <xf numFmtId="0" fontId="4" fillId="0" borderId="1" xfId="3"/>
    <xf numFmtId="0" fontId="4" fillId="0" borderId="1" xfId="3" applyAlignment="1">
      <alignment horizontal="center" vertical="center"/>
    </xf>
    <xf numFmtId="164" fontId="0" fillId="0" borderId="0" xfId="1" applyNumberFormat="1" applyFont="1"/>
    <xf numFmtId="1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2" fillId="2" borderId="0" xfId="2" applyAlignment="1">
      <alignment horizontal="center"/>
    </xf>
    <xf numFmtId="164" fontId="7" fillId="0" borderId="0" xfId="1" applyNumberFormat="1" applyFont="1" applyAlignment="1">
      <alignment vertical="center"/>
    </xf>
    <xf numFmtId="0" fontId="7" fillId="0" borderId="0" xfId="0" applyFont="1" applyAlignment="1">
      <alignment wrapText="1"/>
    </xf>
    <xf numFmtId="0" fontId="0" fillId="0" borderId="0" xfId="0" applyBorder="1"/>
    <xf numFmtId="164" fontId="5" fillId="0" borderId="2" xfId="1" applyNumberFormat="1" applyFont="1" applyBorder="1"/>
    <xf numFmtId="14" fontId="0" fillId="3" borderId="0" xfId="0" applyNumberFormat="1" applyFill="1"/>
    <xf numFmtId="0" fontId="0" fillId="3" borderId="0" xfId="0" applyFill="1" applyBorder="1"/>
    <xf numFmtId="164" fontId="0" fillId="3" borderId="0" xfId="1" applyNumberFormat="1" applyFont="1" applyFill="1"/>
    <xf numFmtId="2" fontId="5" fillId="0" borderId="0" xfId="4" applyNumberFormat="1" applyFill="1" applyBorder="1"/>
    <xf numFmtId="2" fontId="0" fillId="0" borderId="0" xfId="0" applyNumberFormat="1"/>
  </cellXfs>
  <cellStyles count="5">
    <cellStyle name="Заголовок 2" xfId="3" builtinId="17"/>
    <cellStyle name="Заголовок 3" xfId="4" builtinId="18"/>
    <cellStyle name="Нейтральный" xfId="2" builtinId="28"/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workbookViewId="0">
      <selection activeCell="G14" sqref="G14"/>
    </sheetView>
  </sheetViews>
  <sheetFormatPr defaultRowHeight="14.4" x14ac:dyDescent="0.3"/>
  <cols>
    <col min="1" max="1" width="10.109375" bestFit="1" customWidth="1"/>
    <col min="2" max="2" width="16.44140625" bestFit="1" customWidth="1"/>
    <col min="3" max="3" width="19.44140625" bestFit="1" customWidth="1"/>
    <col min="6" max="6" width="8.88671875" customWidth="1"/>
  </cols>
  <sheetData>
    <row r="1" spans="1:7" ht="18" thickBot="1" x14ac:dyDescent="0.4">
      <c r="A1" s="6" t="s">
        <v>21</v>
      </c>
      <c r="B1" s="6" t="s">
        <v>0</v>
      </c>
      <c r="C1" s="6" t="s">
        <v>1</v>
      </c>
    </row>
    <row r="2" spans="1:7" ht="16.2" thickTop="1" x14ac:dyDescent="0.3">
      <c r="A2" s="9">
        <v>43881</v>
      </c>
      <c r="B2" s="3">
        <v>10127</v>
      </c>
      <c r="C2" s="10">
        <f>IF(B2&gt;$F$2,$F$3*B2,0)</f>
        <v>0</v>
      </c>
      <c r="E2" t="s">
        <v>26</v>
      </c>
      <c r="F2">
        <v>15000</v>
      </c>
    </row>
    <row r="3" spans="1:7" ht="15.6" x14ac:dyDescent="0.3">
      <c r="A3" s="9">
        <v>43890</v>
      </c>
      <c r="B3" s="3">
        <v>15304</v>
      </c>
      <c r="C3" s="10">
        <f t="shared" ref="C3:C18" si="0">IF(B3&gt;$F$2,$F$3*B3,0)</f>
        <v>306.08</v>
      </c>
      <c r="E3" t="s">
        <v>28</v>
      </c>
      <c r="F3" s="2">
        <v>0.02</v>
      </c>
      <c r="G3" s="2"/>
    </row>
    <row r="4" spans="1:7" ht="15.6" x14ac:dyDescent="0.3">
      <c r="A4" s="9">
        <v>44086</v>
      </c>
      <c r="B4" s="3">
        <v>15866</v>
      </c>
      <c r="C4" s="10">
        <f t="shared" si="0"/>
        <v>317.32</v>
      </c>
      <c r="G4" s="2"/>
    </row>
    <row r="5" spans="1:7" ht="15.6" x14ac:dyDescent="0.3">
      <c r="A5" s="9">
        <v>43998</v>
      </c>
      <c r="B5" s="3">
        <v>15012</v>
      </c>
      <c r="C5" s="10">
        <f t="shared" si="0"/>
        <v>300.24</v>
      </c>
    </row>
    <row r="6" spans="1:7" ht="15.6" x14ac:dyDescent="0.3">
      <c r="A6" s="9">
        <v>44007</v>
      </c>
      <c r="B6" s="3">
        <v>11618</v>
      </c>
      <c r="C6" s="10">
        <f t="shared" si="0"/>
        <v>0</v>
      </c>
    </row>
    <row r="7" spans="1:7" ht="15.6" x14ac:dyDescent="0.3">
      <c r="A7" s="9">
        <v>43947</v>
      </c>
      <c r="B7" s="3">
        <v>15768</v>
      </c>
      <c r="C7" s="10">
        <f t="shared" si="0"/>
        <v>315.36</v>
      </c>
    </row>
    <row r="8" spans="1:7" ht="15.6" x14ac:dyDescent="0.3">
      <c r="A8" s="9">
        <v>43857</v>
      </c>
      <c r="B8" s="3">
        <v>10974</v>
      </c>
      <c r="C8" s="10">
        <f t="shared" si="0"/>
        <v>0</v>
      </c>
    </row>
    <row r="9" spans="1:7" ht="15.6" x14ac:dyDescent="0.3">
      <c r="A9" s="9">
        <v>43919</v>
      </c>
      <c r="B9" s="3">
        <v>15017</v>
      </c>
      <c r="C9" s="10">
        <f t="shared" si="0"/>
        <v>300.34000000000003</v>
      </c>
    </row>
    <row r="10" spans="1:7" ht="15.6" x14ac:dyDescent="0.3">
      <c r="A10" s="9">
        <v>43932</v>
      </c>
      <c r="B10" s="3">
        <v>19835</v>
      </c>
      <c r="C10" s="10">
        <f t="shared" si="0"/>
        <v>396.7</v>
      </c>
    </row>
    <row r="11" spans="1:7" ht="15.6" x14ac:dyDescent="0.3">
      <c r="A11" s="9">
        <v>43947</v>
      </c>
      <c r="B11" s="3">
        <v>26426</v>
      </c>
      <c r="C11" s="10">
        <f t="shared" si="0"/>
        <v>528.52</v>
      </c>
    </row>
    <row r="12" spans="1:7" ht="15.6" x14ac:dyDescent="0.3">
      <c r="A12" s="9">
        <v>43939</v>
      </c>
      <c r="B12" s="3">
        <v>11288</v>
      </c>
      <c r="C12" s="10">
        <f t="shared" si="0"/>
        <v>0</v>
      </c>
    </row>
    <row r="13" spans="1:7" ht="15.6" x14ac:dyDescent="0.3">
      <c r="A13" s="9">
        <v>44118</v>
      </c>
      <c r="B13" s="3">
        <v>15945</v>
      </c>
      <c r="C13" s="10">
        <f t="shared" si="0"/>
        <v>318.90000000000003</v>
      </c>
    </row>
    <row r="14" spans="1:7" ht="15.6" x14ac:dyDescent="0.3">
      <c r="A14" s="9">
        <v>43937</v>
      </c>
      <c r="B14" s="3">
        <v>19721</v>
      </c>
      <c r="C14" s="10">
        <f t="shared" si="0"/>
        <v>394.42</v>
      </c>
    </row>
    <row r="15" spans="1:7" ht="15.6" x14ac:dyDescent="0.3">
      <c r="A15" s="9">
        <v>44030</v>
      </c>
      <c r="B15" s="3">
        <v>16408</v>
      </c>
      <c r="C15" s="10">
        <f t="shared" si="0"/>
        <v>328.16</v>
      </c>
    </row>
    <row r="16" spans="1:7" ht="15.6" x14ac:dyDescent="0.3">
      <c r="A16" s="9">
        <v>44058</v>
      </c>
      <c r="B16" s="3">
        <v>27712</v>
      </c>
      <c r="C16" s="10">
        <f t="shared" si="0"/>
        <v>554.24</v>
      </c>
    </row>
    <row r="17" spans="1:3" ht="15.6" x14ac:dyDescent="0.3">
      <c r="A17" s="9">
        <v>43983</v>
      </c>
      <c r="B17" s="3">
        <v>15834</v>
      </c>
      <c r="C17" s="10">
        <f t="shared" si="0"/>
        <v>316.68</v>
      </c>
    </row>
    <row r="18" spans="1:3" ht="15.6" x14ac:dyDescent="0.3">
      <c r="A18" s="9">
        <v>44027</v>
      </c>
      <c r="B18" s="3">
        <v>16261</v>
      </c>
      <c r="C18" s="10">
        <f t="shared" si="0"/>
        <v>325.22000000000003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DEDB6-5305-41A2-9702-4C998E618FED}">
  <dimension ref="A1:G13"/>
  <sheetViews>
    <sheetView workbookViewId="0">
      <selection activeCell="J10" sqref="J10"/>
    </sheetView>
  </sheetViews>
  <sheetFormatPr defaultRowHeight="14.4" x14ac:dyDescent="0.3"/>
  <cols>
    <col min="4" max="4" width="17.109375" customWidth="1"/>
    <col min="5" max="5" width="14.5546875" bestFit="1" customWidth="1"/>
    <col min="6" max="6" width="16.88671875" style="8" bestFit="1" customWidth="1"/>
    <col min="7" max="7" width="21.6640625" customWidth="1"/>
  </cols>
  <sheetData>
    <row r="1" spans="1:7" ht="29.4" thickBot="1" x14ac:dyDescent="0.35">
      <c r="A1" s="7" t="s">
        <v>2</v>
      </c>
      <c r="B1" s="7" t="s">
        <v>3</v>
      </c>
      <c r="C1" s="7" t="s">
        <v>4</v>
      </c>
      <c r="F1" s="12" t="s">
        <v>29</v>
      </c>
      <c r="G1" s="13" t="s">
        <v>30</v>
      </c>
    </row>
    <row r="2" spans="1:7" ht="15" thickTop="1" x14ac:dyDescent="0.3">
      <c r="A2" t="s">
        <v>5</v>
      </c>
      <c r="B2" s="1">
        <v>20000</v>
      </c>
      <c r="C2" s="1">
        <v>22834</v>
      </c>
      <c r="D2" t="str">
        <f>IF(C2&gt;B2,"План выполнен","Не выполнен")</f>
        <v>План выполнен</v>
      </c>
      <c r="E2" t="str">
        <f>IF(C2&gt;B2,"План выполнен","")</f>
        <v>План выполнен</v>
      </c>
      <c r="F2" s="8" t="str">
        <f>IF(C2&gt;B2,"План выполнен",B2-C2)</f>
        <v>План выполнен</v>
      </c>
      <c r="G2" t="str">
        <f>IF(ISBLANK(B2),"План не введен",IF(C2&gt;B2,"План выполнен","План не выполнен"))</f>
        <v>План выполнен</v>
      </c>
    </row>
    <row r="3" spans="1:7" x14ac:dyDescent="0.3">
      <c r="A3" t="s">
        <v>6</v>
      </c>
      <c r="B3" s="1">
        <v>20000</v>
      </c>
      <c r="C3" s="1">
        <v>20897</v>
      </c>
      <c r="D3" t="str">
        <f t="shared" ref="D3:D13" si="0">IF(C3&gt;B3,"План выполнен","Не выполнен")</f>
        <v>План выполнен</v>
      </c>
      <c r="E3" t="str">
        <f t="shared" ref="E3:E13" si="1">IF(C3&gt;B3,"План выполнен","")</f>
        <v>План выполнен</v>
      </c>
      <c r="F3" s="8" t="str">
        <f t="shared" ref="F3:F13" si="2">IF(C3&gt;B3,"План выполнен",B3-C3)</f>
        <v>План выполнен</v>
      </c>
      <c r="G3" t="str">
        <f t="shared" ref="G3:G13" si="3">IF(ISBLANK(B3),"План не введен",IF(C3&gt;B3,"План выполнен","План не выполнен"))</f>
        <v>План выполнен</v>
      </c>
    </row>
    <row r="4" spans="1:7" x14ac:dyDescent="0.3">
      <c r="A4" t="s">
        <v>7</v>
      </c>
      <c r="B4" s="1">
        <v>25000</v>
      </c>
      <c r="C4" s="1">
        <v>21177</v>
      </c>
      <c r="D4" t="str">
        <f t="shared" si="0"/>
        <v>Не выполнен</v>
      </c>
      <c r="E4" t="str">
        <f t="shared" si="1"/>
        <v/>
      </c>
      <c r="F4" s="8">
        <f t="shared" si="2"/>
        <v>3823</v>
      </c>
      <c r="G4" t="str">
        <f t="shared" si="3"/>
        <v>План не выполнен</v>
      </c>
    </row>
    <row r="5" spans="1:7" x14ac:dyDescent="0.3">
      <c r="A5" t="s">
        <v>8</v>
      </c>
      <c r="B5" s="1">
        <v>30000</v>
      </c>
      <c r="C5" s="1">
        <v>28610</v>
      </c>
      <c r="D5" t="str">
        <f t="shared" si="0"/>
        <v>Не выполнен</v>
      </c>
      <c r="E5" t="str">
        <f t="shared" si="1"/>
        <v/>
      </c>
      <c r="F5" s="8">
        <f t="shared" si="2"/>
        <v>1390</v>
      </c>
      <c r="G5" t="str">
        <f>IF(ISBLANK(B5),"План не введен",IF(C5&gt;B5,"План выполнен","План не выполнен"))</f>
        <v>План не выполнен</v>
      </c>
    </row>
    <row r="6" spans="1:7" x14ac:dyDescent="0.3">
      <c r="A6" t="s">
        <v>9</v>
      </c>
      <c r="B6" s="1"/>
      <c r="C6" s="1">
        <v>29355</v>
      </c>
      <c r="D6" t="str">
        <f t="shared" si="0"/>
        <v>План выполнен</v>
      </c>
      <c r="E6" t="str">
        <f t="shared" si="1"/>
        <v>План выполнен</v>
      </c>
      <c r="F6" s="8" t="str">
        <f t="shared" si="2"/>
        <v>План выполнен</v>
      </c>
      <c r="G6" t="str">
        <f t="shared" si="3"/>
        <v>План не введен</v>
      </c>
    </row>
    <row r="7" spans="1:7" x14ac:dyDescent="0.3">
      <c r="A7" t="s">
        <v>10</v>
      </c>
      <c r="B7" s="1">
        <v>25000</v>
      </c>
      <c r="C7" s="1">
        <v>22589</v>
      </c>
      <c r="D7" t="str">
        <f t="shared" si="0"/>
        <v>Не выполнен</v>
      </c>
      <c r="E7" t="str">
        <f t="shared" si="1"/>
        <v/>
      </c>
      <c r="F7" s="8">
        <f t="shared" si="2"/>
        <v>2411</v>
      </c>
      <c r="G7" t="str">
        <f t="shared" si="3"/>
        <v>План не выполнен</v>
      </c>
    </row>
    <row r="8" spans="1:7" x14ac:dyDescent="0.3">
      <c r="A8" t="s">
        <v>11</v>
      </c>
      <c r="B8" s="1">
        <v>25000</v>
      </c>
      <c r="C8" s="1">
        <v>28084</v>
      </c>
      <c r="D8" t="str">
        <f t="shared" si="0"/>
        <v>План выполнен</v>
      </c>
      <c r="E8" t="str">
        <f t="shared" si="1"/>
        <v>План выполнен</v>
      </c>
      <c r="F8" s="8" t="str">
        <f t="shared" si="2"/>
        <v>План выполнен</v>
      </c>
      <c r="G8" t="str">
        <f t="shared" si="3"/>
        <v>План выполнен</v>
      </c>
    </row>
    <row r="9" spans="1:7" x14ac:dyDescent="0.3">
      <c r="A9" t="s">
        <v>12</v>
      </c>
      <c r="B9" s="1">
        <v>30000</v>
      </c>
      <c r="C9" s="1">
        <v>31857</v>
      </c>
      <c r="D9" t="str">
        <f t="shared" si="0"/>
        <v>План выполнен</v>
      </c>
      <c r="E9" t="str">
        <f t="shared" si="1"/>
        <v>План выполнен</v>
      </c>
      <c r="F9" s="8" t="str">
        <f t="shared" si="2"/>
        <v>План выполнен</v>
      </c>
      <c r="G9" t="str">
        <f t="shared" si="3"/>
        <v>План выполнен</v>
      </c>
    </row>
    <row r="10" spans="1:7" x14ac:dyDescent="0.3">
      <c r="A10" t="s">
        <v>13</v>
      </c>
      <c r="B10" s="1">
        <v>45000</v>
      </c>
      <c r="C10" s="1">
        <v>43288</v>
      </c>
      <c r="D10" t="str">
        <f t="shared" si="0"/>
        <v>Не выполнен</v>
      </c>
      <c r="E10" t="str">
        <f t="shared" si="1"/>
        <v/>
      </c>
      <c r="F10" s="8">
        <f t="shared" si="2"/>
        <v>1712</v>
      </c>
      <c r="G10" t="str">
        <f t="shared" si="3"/>
        <v>План не выполнен</v>
      </c>
    </row>
    <row r="11" spans="1:7" x14ac:dyDescent="0.3">
      <c r="A11" t="s">
        <v>14</v>
      </c>
      <c r="B11" s="1"/>
      <c r="C11" s="1">
        <v>48352</v>
      </c>
      <c r="D11" t="str">
        <f t="shared" si="0"/>
        <v>План выполнен</v>
      </c>
      <c r="E11" t="str">
        <f t="shared" si="1"/>
        <v>План выполнен</v>
      </c>
      <c r="F11" s="8" t="str">
        <f t="shared" si="2"/>
        <v>План выполнен</v>
      </c>
      <c r="G11" t="str">
        <f t="shared" si="3"/>
        <v>План не введен</v>
      </c>
    </row>
    <row r="12" spans="1:7" x14ac:dyDescent="0.3">
      <c r="A12" t="s">
        <v>15</v>
      </c>
      <c r="B12" s="1">
        <v>50000</v>
      </c>
      <c r="C12" s="1">
        <v>53224</v>
      </c>
      <c r="D12" t="str">
        <f t="shared" si="0"/>
        <v>План выполнен</v>
      </c>
      <c r="E12" t="str">
        <f t="shared" si="1"/>
        <v>План выполнен</v>
      </c>
      <c r="F12" s="8" t="str">
        <f t="shared" si="2"/>
        <v>План выполнен</v>
      </c>
      <c r="G12" t="str">
        <f t="shared" si="3"/>
        <v>План выполнен</v>
      </c>
    </row>
    <row r="13" spans="1:7" x14ac:dyDescent="0.3">
      <c r="A13" t="s">
        <v>16</v>
      </c>
      <c r="B13" s="1">
        <v>40000</v>
      </c>
      <c r="C13" s="1">
        <v>38485</v>
      </c>
      <c r="D13" t="str">
        <f t="shared" si="0"/>
        <v>Не выполнен</v>
      </c>
      <c r="E13" t="str">
        <f t="shared" si="1"/>
        <v/>
      </c>
      <c r="F13" s="8">
        <f t="shared" si="2"/>
        <v>1515</v>
      </c>
      <c r="G13" t="str">
        <f t="shared" si="3"/>
        <v>План не выполнен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D93FD-4467-4762-B9AD-3034FC30DBAD}">
  <dimension ref="A1:M63"/>
  <sheetViews>
    <sheetView tabSelected="1" workbookViewId="0">
      <pane ySplit="1" topLeftCell="A2" activePane="bottomLeft" state="frozen"/>
      <selection pane="bottomLeft" activeCell="I11" sqref="I11"/>
    </sheetView>
  </sheetViews>
  <sheetFormatPr defaultRowHeight="14.4" x14ac:dyDescent="0.3"/>
  <cols>
    <col min="1" max="1" width="14.109375" customWidth="1"/>
    <col min="2" max="2" width="12.6640625" customWidth="1"/>
    <col min="3" max="3" width="10.88671875" customWidth="1"/>
    <col min="4" max="4" width="11.44140625" customWidth="1"/>
    <col min="5" max="5" width="13.6640625" bestFit="1" customWidth="1"/>
    <col min="6" max="6" width="13.6640625" style="8" bestFit="1" customWidth="1"/>
    <col min="7" max="7" width="12.88671875" style="20" customWidth="1"/>
    <col min="12" max="12" width="11.44140625" customWidth="1"/>
    <col min="13" max="13" width="11" customWidth="1"/>
  </cols>
  <sheetData>
    <row r="1" spans="1:13" ht="15" thickBot="1" x14ac:dyDescent="0.35">
      <c r="A1" s="5" t="s">
        <v>21</v>
      </c>
      <c r="B1" s="5" t="s">
        <v>22</v>
      </c>
      <c r="C1" s="5" t="s">
        <v>23</v>
      </c>
      <c r="D1" s="5" t="s">
        <v>24</v>
      </c>
      <c r="E1" s="5" t="s">
        <v>31</v>
      </c>
      <c r="F1" s="15" t="s">
        <v>27</v>
      </c>
      <c r="G1" s="19" t="s">
        <v>32</v>
      </c>
    </row>
    <row r="2" spans="1:13" x14ac:dyDescent="0.3">
      <c r="A2" s="4">
        <v>44007</v>
      </c>
      <c r="B2" t="s">
        <v>20</v>
      </c>
      <c r="C2" s="8">
        <v>31636</v>
      </c>
      <c r="D2" s="8">
        <f>IF(B2=$L$3,$M$3*C2,IF(B2=$L$4,$M$4*C2,$M$5*C2))</f>
        <v>632.72</v>
      </c>
      <c r="E2" s="8">
        <f>IF(B2=$L$3,$M$3*C2,IF(B2=$L$4,$M$4*C2,IF(B2=$L$5,$M$5*C2,"Нет продукта")))</f>
        <v>632.72</v>
      </c>
      <c r="F2" s="8" cm="1">
        <f t="array" ref="F2">_xlfn.IFS(B2=$L$3,$M$3*C2,B2=$L$4,$M$4*C2,B2=$L$5,$M$5*C2,B2=$L$6,"Нет продукта")</f>
        <v>632.72</v>
      </c>
      <c r="G2" s="8" cm="1">
        <f t="array" ref="G2">IFERROR(_xlfn.IFS(B2=$L$3,$M$3*C2,B2=$L$4,$M$4*C2,B2=$L$5,$M$5*C2),"Нет продукта")</f>
        <v>632.72</v>
      </c>
      <c r="L2" s="11" t="s">
        <v>17</v>
      </c>
      <c r="M2" s="11"/>
    </row>
    <row r="3" spans="1:13" x14ac:dyDescent="0.3">
      <c r="A3" s="4">
        <v>43982</v>
      </c>
      <c r="B3" t="s">
        <v>19</v>
      </c>
      <c r="C3" s="8">
        <v>30486</v>
      </c>
      <c r="D3" s="8">
        <f t="shared" ref="D3:D63" si="0">IF(B3=$L$3,$M$3*C3,IF(B3=$L$4,$M$4*C3,$M$5*C3))</f>
        <v>1829.1599999999999</v>
      </c>
      <c r="E3" s="8">
        <f t="shared" ref="E3:E63" si="1">IF(B3=$L$3,$M$3*C3,IF(B3=$L$4,$M$4*C3,IF(B3=$L$5,$M$5*C3,"Нет продукта")))</f>
        <v>1829.1599999999999</v>
      </c>
      <c r="F3" s="8" cm="1">
        <f t="array" ref="F3">_xlfn.IFS(B3=$L$3,$M$3*C3,B3=$L$4,$M$4*C3,B3=$L$5,$M$5*C3,B3=$L$6,"Нет продукта")</f>
        <v>1829.1599999999999</v>
      </c>
      <c r="G3" s="8" cm="1">
        <f t="array" ref="G3">IFERROR(_xlfn.IFS(B3=$L$3,$M$3*C3,B3=$L$4,$M$4*C3,B3=$L$5,$M$5*C3),"Нет продукта")</f>
        <v>1829.1599999999999</v>
      </c>
      <c r="L3" t="s">
        <v>18</v>
      </c>
      <c r="M3" s="2">
        <v>0.12</v>
      </c>
    </row>
    <row r="4" spans="1:13" x14ac:dyDescent="0.3">
      <c r="A4" s="4">
        <v>44031</v>
      </c>
      <c r="B4" t="s">
        <v>19</v>
      </c>
      <c r="C4" s="8">
        <v>44581</v>
      </c>
      <c r="D4" s="8">
        <f t="shared" si="0"/>
        <v>2674.86</v>
      </c>
      <c r="E4" s="8">
        <f t="shared" si="1"/>
        <v>2674.86</v>
      </c>
      <c r="F4" s="8" cm="1">
        <f t="array" ref="F4">_xlfn.IFS(B4=$L$3,$M$3*C4,B4=$L$4,$M$4*C4,B4=$L$5,$M$5*C4,B4=$L$6,"Нет продукта")</f>
        <v>2674.86</v>
      </c>
      <c r="G4" s="8" cm="1">
        <f t="array" ref="G4">IFERROR(_xlfn.IFS(B4=$L$3,$M$3*C4,B4=$L$4,$M$4*C4,B4=$L$5,$M$5*C4),"Нет продукта")</f>
        <v>2674.86</v>
      </c>
      <c r="L4" t="s">
        <v>19</v>
      </c>
      <c r="M4" s="2">
        <v>0.06</v>
      </c>
    </row>
    <row r="5" spans="1:13" x14ac:dyDescent="0.3">
      <c r="A5" s="4">
        <v>44070</v>
      </c>
      <c r="B5" t="s">
        <v>19</v>
      </c>
      <c r="C5" s="8">
        <v>20360</v>
      </c>
      <c r="D5" s="8">
        <f t="shared" si="0"/>
        <v>1221.5999999999999</v>
      </c>
      <c r="E5" s="8">
        <f t="shared" si="1"/>
        <v>1221.5999999999999</v>
      </c>
      <c r="F5" s="8" cm="1">
        <f t="array" ref="F5">_xlfn.IFS(B5=$L$3,$M$3*C5,B5=$L$4,$M$4*C5,B5=$L$5,$M$5*C5,B5=$L$6,"Нет продукта")</f>
        <v>1221.5999999999999</v>
      </c>
      <c r="G5" s="8" cm="1">
        <f t="array" ref="G5">IFERROR(_xlfn.IFS(B5=$L$3,$M$3*C5,B5=$L$4,$M$4*C5,B5=$L$5,$M$5*C5),"Нет продукта")</f>
        <v>1221.5999999999999</v>
      </c>
      <c r="L5" t="s">
        <v>20</v>
      </c>
      <c r="M5" s="2">
        <v>0.02</v>
      </c>
    </row>
    <row r="6" spans="1:13" x14ac:dyDescent="0.3">
      <c r="A6" s="4">
        <v>43882</v>
      </c>
      <c r="B6" t="s">
        <v>19</v>
      </c>
      <c r="C6" s="8">
        <v>47630</v>
      </c>
      <c r="D6" s="8">
        <f t="shared" si="0"/>
        <v>2857.7999999999997</v>
      </c>
      <c r="E6" s="8">
        <f t="shared" si="1"/>
        <v>2857.7999999999997</v>
      </c>
      <c r="F6" s="8" cm="1">
        <f t="array" ref="F6">_xlfn.IFS(B6=$L$3,$M$3*C6,B6=$L$4,$M$4*C6,B6=$L$5,$M$5*C6,B6=$L$6,"Нет продукта")</f>
        <v>2857.7999999999997</v>
      </c>
      <c r="G6" s="8" cm="1">
        <f t="array" ref="G6">IFERROR(_xlfn.IFS(B6=$L$3,$M$3*C6,B6=$L$4,$M$4*C6,B6=$L$5,$M$5*C6),"Нет продукта")</f>
        <v>2857.7999999999997</v>
      </c>
      <c r="L6" t="s">
        <v>25</v>
      </c>
    </row>
    <row r="7" spans="1:13" x14ac:dyDescent="0.3">
      <c r="A7" s="4">
        <v>43911</v>
      </c>
      <c r="B7" t="s">
        <v>18</v>
      </c>
      <c r="C7" s="8">
        <v>18909</v>
      </c>
      <c r="D7" s="8">
        <f t="shared" si="0"/>
        <v>2269.08</v>
      </c>
      <c r="E7" s="8">
        <f t="shared" si="1"/>
        <v>2269.08</v>
      </c>
      <c r="F7" s="8" cm="1">
        <f t="array" ref="F7">_xlfn.IFS(B7=$L$3,$M$3*C7,B7=$L$4,$M$4*C7,B7=$L$5,$M$5*C7,B7=$L$6,"Нет продукта")</f>
        <v>2269.08</v>
      </c>
      <c r="G7" s="8" cm="1">
        <f t="array" ref="G7">IFERROR(_xlfn.IFS(B7=$L$3,$M$3*C7,B7=$L$4,$M$4*C7,B7=$L$5,$M$5*C7),"Нет продукта")</f>
        <v>2269.08</v>
      </c>
    </row>
    <row r="8" spans="1:13" x14ac:dyDescent="0.3">
      <c r="A8" s="4">
        <v>44106</v>
      </c>
      <c r="B8" t="s">
        <v>19</v>
      </c>
      <c r="C8" s="8">
        <v>39349</v>
      </c>
      <c r="D8" s="8">
        <f t="shared" si="0"/>
        <v>2360.94</v>
      </c>
      <c r="E8" s="8">
        <f t="shared" si="1"/>
        <v>2360.94</v>
      </c>
      <c r="F8" s="8" cm="1">
        <f t="array" ref="F8">_xlfn.IFS(B8=$L$3,$M$3*C8,B8=$L$4,$M$4*C8,B8=$L$5,$M$5*C8,B8=$L$6,"Нет продукта")</f>
        <v>2360.94</v>
      </c>
      <c r="G8" s="8" cm="1">
        <f t="array" ref="G8">IFERROR(_xlfn.IFS(B8=$L$3,$M$3*C8,B8=$L$4,$M$4*C8,B8=$L$5,$M$5*C8),"Нет продукта")</f>
        <v>2360.94</v>
      </c>
    </row>
    <row r="9" spans="1:13" x14ac:dyDescent="0.3">
      <c r="A9" s="4">
        <v>44109</v>
      </c>
      <c r="B9" t="s">
        <v>18</v>
      </c>
      <c r="C9" s="8">
        <v>48438</v>
      </c>
      <c r="D9" s="8">
        <f t="shared" si="0"/>
        <v>5812.5599999999995</v>
      </c>
      <c r="E9" s="8">
        <f t="shared" si="1"/>
        <v>5812.5599999999995</v>
      </c>
      <c r="F9" s="8" cm="1">
        <f t="array" ref="F9">_xlfn.IFS(B9=$L$3,$M$3*C9,B9=$L$4,$M$4*C9,B9=$L$5,$M$5*C9,B9=$L$6,"Нет продукта")</f>
        <v>5812.5599999999995</v>
      </c>
      <c r="G9" s="8" cm="1">
        <f t="array" ref="G9">IFERROR(_xlfn.IFS(B9=$L$3,$M$3*C9,B9=$L$4,$M$4*C9,B9=$L$5,$M$5*C9),"Нет продукта")</f>
        <v>5812.5599999999995</v>
      </c>
    </row>
    <row r="10" spans="1:13" x14ac:dyDescent="0.3">
      <c r="A10" s="4">
        <v>44096</v>
      </c>
      <c r="B10" t="s">
        <v>20</v>
      </c>
      <c r="C10" s="8">
        <v>22173</v>
      </c>
      <c r="D10" s="8">
        <f t="shared" si="0"/>
        <v>443.46000000000004</v>
      </c>
      <c r="E10" s="8">
        <f t="shared" si="1"/>
        <v>443.46000000000004</v>
      </c>
      <c r="F10" s="8" cm="1">
        <f t="array" ref="F10">_xlfn.IFS(B10=$L$3,$M$3*C10,B10=$L$4,$M$4*C10,B10=$L$5,$M$5*C10,B10=$L$6,"Нет продукта")</f>
        <v>443.46000000000004</v>
      </c>
      <c r="G10" s="8" cm="1">
        <f t="array" ref="G10">IFERROR(_xlfn.IFS(B10=$L$3,$M$3*C10,B10=$L$4,$M$4*C10,B10=$L$5,$M$5*C10),"Нет продукта")</f>
        <v>443.46000000000004</v>
      </c>
    </row>
    <row r="11" spans="1:13" x14ac:dyDescent="0.3">
      <c r="A11" s="4">
        <v>43902</v>
      </c>
      <c r="B11" t="s">
        <v>20</v>
      </c>
      <c r="C11" s="8">
        <v>42173</v>
      </c>
      <c r="D11" s="8">
        <f t="shared" si="0"/>
        <v>843.46</v>
      </c>
      <c r="E11" s="8">
        <f t="shared" si="1"/>
        <v>843.46</v>
      </c>
      <c r="F11" s="8" cm="1">
        <f t="array" ref="F11">_xlfn.IFS(B11=$L$3,$M$3*C11,B11=$L$4,$M$4*C11,B11=$L$5,$M$5*C11,B11=$L$6,"Нет продукта")</f>
        <v>843.46</v>
      </c>
      <c r="G11" s="8" cm="1">
        <f t="array" ref="G11">IFERROR(_xlfn.IFS(B11=$L$3,$M$3*C11,B11=$L$4,$M$4*C11,B11=$L$5,$M$5*C11),"Нет продукта")</f>
        <v>843.46</v>
      </c>
    </row>
    <row r="12" spans="1:13" x14ac:dyDescent="0.3">
      <c r="A12" s="4">
        <v>43875</v>
      </c>
      <c r="B12" t="s">
        <v>19</v>
      </c>
      <c r="C12" s="8">
        <v>14513</v>
      </c>
      <c r="D12" s="8">
        <f t="shared" si="0"/>
        <v>870.78</v>
      </c>
      <c r="E12" s="8">
        <f t="shared" si="1"/>
        <v>870.78</v>
      </c>
      <c r="F12" s="8" cm="1">
        <f t="array" ref="F12">_xlfn.IFS(B12=$L$3,$M$3*C12,B12=$L$4,$M$4*C12,B12=$L$5,$M$5*C12,B12=$L$6,"Нет продукта")</f>
        <v>870.78</v>
      </c>
      <c r="G12" s="8" cm="1">
        <f t="array" ref="G12">IFERROR(_xlfn.IFS(B12=$L$3,$M$3*C12,B12=$L$4,$M$4*C12,B12=$L$5,$M$5*C12),"Нет продукта")</f>
        <v>870.78</v>
      </c>
    </row>
    <row r="13" spans="1:13" x14ac:dyDescent="0.3">
      <c r="A13" s="4">
        <v>43875</v>
      </c>
      <c r="B13" t="s">
        <v>19</v>
      </c>
      <c r="C13" s="8">
        <v>19503</v>
      </c>
      <c r="D13" s="8">
        <f t="shared" si="0"/>
        <v>1170.18</v>
      </c>
      <c r="E13" s="8">
        <f t="shared" si="1"/>
        <v>1170.18</v>
      </c>
      <c r="F13" s="8" cm="1">
        <f t="array" ref="F13">_xlfn.IFS(B13=$L$3,$M$3*C13,B13=$L$4,$M$4*C13,B13=$L$5,$M$5*C13,B13=$L$6,"Нет продукта")</f>
        <v>1170.18</v>
      </c>
      <c r="G13" s="8" cm="1">
        <f t="array" ref="G13">IFERROR(_xlfn.IFS(B13=$L$3,$M$3*C13,B13=$L$4,$M$4*C13,B13=$L$5,$M$5*C13),"Нет продукта")</f>
        <v>1170.18</v>
      </c>
    </row>
    <row r="14" spans="1:13" x14ac:dyDescent="0.3">
      <c r="A14" s="4">
        <v>44107</v>
      </c>
      <c r="B14" t="s">
        <v>18</v>
      </c>
      <c r="C14" s="8">
        <v>13621</v>
      </c>
      <c r="D14" s="8">
        <f t="shared" si="0"/>
        <v>1634.52</v>
      </c>
      <c r="E14" s="8">
        <f t="shared" si="1"/>
        <v>1634.52</v>
      </c>
      <c r="F14" s="8" cm="1">
        <f t="array" ref="F14">_xlfn.IFS(B14=$L$3,$M$3*C14,B14=$L$4,$M$4*C14,B14=$L$5,$M$5*C14,B14=$L$6,"Нет продукта")</f>
        <v>1634.52</v>
      </c>
      <c r="G14" s="8" cm="1">
        <f t="array" ref="G14">IFERROR(_xlfn.IFS(B14=$L$3,$M$3*C14,B14=$L$4,$M$4*C14,B14=$L$5,$M$5*C14),"Нет продукта")</f>
        <v>1634.52</v>
      </c>
    </row>
    <row r="15" spans="1:13" x14ac:dyDescent="0.3">
      <c r="A15" s="4">
        <v>43876</v>
      </c>
      <c r="B15" t="s">
        <v>19</v>
      </c>
      <c r="C15" s="8">
        <v>13867</v>
      </c>
      <c r="D15" s="8">
        <f t="shared" si="0"/>
        <v>832.02</v>
      </c>
      <c r="E15" s="8">
        <f t="shared" si="1"/>
        <v>832.02</v>
      </c>
      <c r="F15" s="8" cm="1">
        <f t="array" ref="F15">_xlfn.IFS(B15=$L$3,$M$3*C15,B15=$L$4,$M$4*C15,B15=$L$5,$M$5*C15,B15=$L$6,"Нет продукта")</f>
        <v>832.02</v>
      </c>
      <c r="G15" s="8" cm="1">
        <f t="array" ref="G15">IFERROR(_xlfn.IFS(B15=$L$3,$M$3*C15,B15=$L$4,$M$4*C15,B15=$L$5,$M$5*C15),"Нет продукта")</f>
        <v>832.02</v>
      </c>
    </row>
    <row r="16" spans="1:13" x14ac:dyDescent="0.3">
      <c r="A16" s="4">
        <v>43870</v>
      </c>
      <c r="B16" t="s">
        <v>19</v>
      </c>
      <c r="C16" s="8">
        <v>36509</v>
      </c>
      <c r="D16" s="8">
        <f t="shared" si="0"/>
        <v>2190.54</v>
      </c>
      <c r="E16" s="8">
        <f t="shared" si="1"/>
        <v>2190.54</v>
      </c>
      <c r="F16" s="8" cm="1">
        <f t="array" ref="F16">_xlfn.IFS(B16=$L$3,$M$3*C16,B16=$L$4,$M$4*C16,B16=$L$5,$M$5*C16,B16=$L$6,"Нет продукта")</f>
        <v>2190.54</v>
      </c>
      <c r="G16" s="8" cm="1">
        <f t="array" ref="G16">IFERROR(_xlfn.IFS(B16=$L$3,$M$3*C16,B16=$L$4,$M$4*C16,B16=$L$5,$M$5*C16),"Нет продукта")</f>
        <v>2190.54</v>
      </c>
    </row>
    <row r="17" spans="1:7" x14ac:dyDescent="0.3">
      <c r="A17" s="4">
        <v>44007</v>
      </c>
      <c r="B17" t="s">
        <v>19</v>
      </c>
      <c r="C17" s="8">
        <v>28426</v>
      </c>
      <c r="D17" s="8">
        <f t="shared" si="0"/>
        <v>1705.56</v>
      </c>
      <c r="E17" s="8">
        <f t="shared" si="1"/>
        <v>1705.56</v>
      </c>
      <c r="F17" s="8" cm="1">
        <f t="array" ref="F17">_xlfn.IFS(B17=$L$3,$M$3*C17,B17=$L$4,$M$4*C17,B17=$L$5,$M$5*C17,B17=$L$6,"Нет продукта")</f>
        <v>1705.56</v>
      </c>
      <c r="G17" s="8" cm="1">
        <f t="array" ref="G17">IFERROR(_xlfn.IFS(B17=$L$3,$M$3*C17,B17=$L$4,$M$4*C17,B17=$L$5,$M$5*C17),"Нет продукта")</f>
        <v>1705.56</v>
      </c>
    </row>
    <row r="18" spans="1:7" x14ac:dyDescent="0.3">
      <c r="A18" s="4">
        <v>44070</v>
      </c>
      <c r="B18" t="s">
        <v>19</v>
      </c>
      <c r="C18" s="8">
        <v>32901</v>
      </c>
      <c r="D18" s="8">
        <f t="shared" si="0"/>
        <v>1974.06</v>
      </c>
      <c r="E18" s="8">
        <f t="shared" si="1"/>
        <v>1974.06</v>
      </c>
      <c r="F18" s="8" cm="1">
        <f t="array" ref="F18">_xlfn.IFS(B18=$L$3,$M$3*C18,B18=$L$4,$M$4*C18,B18=$L$5,$M$5*C18,B18=$L$6,"Нет продукта")</f>
        <v>1974.06</v>
      </c>
      <c r="G18" s="8" cm="1">
        <f t="array" ref="G18">IFERROR(_xlfn.IFS(B18=$L$3,$M$3*C18,B18=$L$4,$M$4*C18,B18=$L$5,$M$5*C18),"Нет продукта")</f>
        <v>1974.06</v>
      </c>
    </row>
    <row r="19" spans="1:7" x14ac:dyDescent="0.3">
      <c r="A19" s="4">
        <v>44058</v>
      </c>
      <c r="B19" t="s">
        <v>18</v>
      </c>
      <c r="C19" s="8">
        <v>23693</v>
      </c>
      <c r="D19" s="8">
        <f t="shared" si="0"/>
        <v>2843.16</v>
      </c>
      <c r="E19" s="8">
        <f t="shared" si="1"/>
        <v>2843.16</v>
      </c>
      <c r="F19" s="8" cm="1">
        <f t="array" ref="F19">_xlfn.IFS(B19=$L$3,$M$3*C19,B19=$L$4,$M$4*C19,B19=$L$5,$M$5*C19,B19=$L$6,"Нет продукта")</f>
        <v>2843.16</v>
      </c>
      <c r="G19" s="8" cm="1">
        <f t="array" ref="G19">IFERROR(_xlfn.IFS(B19=$L$3,$M$3*C19,B19=$L$4,$M$4*C19,B19=$L$5,$M$5*C19),"Нет продукта")</f>
        <v>2843.16</v>
      </c>
    </row>
    <row r="20" spans="1:7" x14ac:dyDescent="0.3">
      <c r="A20" s="4">
        <v>43881</v>
      </c>
      <c r="B20" t="s">
        <v>19</v>
      </c>
      <c r="C20" s="8">
        <v>32585</v>
      </c>
      <c r="D20" s="8">
        <f t="shared" si="0"/>
        <v>1955.1</v>
      </c>
      <c r="E20" s="8">
        <f t="shared" si="1"/>
        <v>1955.1</v>
      </c>
      <c r="F20" s="8" cm="1">
        <f t="array" ref="F20">_xlfn.IFS(B20=$L$3,$M$3*C20,B20=$L$4,$M$4*C20,B20=$L$5,$M$5*C20,B20=$L$6,"Нет продукта")</f>
        <v>1955.1</v>
      </c>
      <c r="G20" s="8" cm="1">
        <f t="array" ref="G20">IFERROR(_xlfn.IFS(B20=$L$3,$M$3*C20,B20=$L$4,$M$4*C20,B20=$L$5,$M$5*C20),"Нет продукта")</f>
        <v>1955.1</v>
      </c>
    </row>
    <row r="21" spans="1:7" x14ac:dyDescent="0.3">
      <c r="A21" s="4">
        <v>44039</v>
      </c>
      <c r="B21" t="s">
        <v>20</v>
      </c>
      <c r="C21" s="8">
        <v>26027</v>
      </c>
      <c r="D21" s="8">
        <f t="shared" si="0"/>
        <v>520.54</v>
      </c>
      <c r="E21" s="8">
        <f t="shared" si="1"/>
        <v>520.54</v>
      </c>
      <c r="F21" s="8" cm="1">
        <f t="array" ref="F21">_xlfn.IFS(B21=$L$3,$M$3*C21,B21=$L$4,$M$4*C21,B21=$L$5,$M$5*C21,B21=$L$6,"Нет продукта")</f>
        <v>520.54</v>
      </c>
      <c r="G21" s="8" cm="1">
        <f t="array" ref="G21">IFERROR(_xlfn.IFS(B21=$L$3,$M$3*C21,B21=$L$4,$M$4*C21,B21=$L$5,$M$5*C21),"Нет продукта")</f>
        <v>520.54</v>
      </c>
    </row>
    <row r="22" spans="1:7" x14ac:dyDescent="0.3">
      <c r="A22" s="4">
        <v>44091</v>
      </c>
      <c r="B22" t="s">
        <v>19</v>
      </c>
      <c r="C22" s="8">
        <v>37913</v>
      </c>
      <c r="D22" s="8">
        <f t="shared" si="0"/>
        <v>2274.7799999999997</v>
      </c>
      <c r="E22" s="8">
        <f t="shared" si="1"/>
        <v>2274.7799999999997</v>
      </c>
      <c r="F22" s="8" cm="1">
        <f t="array" ref="F22">_xlfn.IFS(B22=$L$3,$M$3*C22,B22=$L$4,$M$4*C22,B22=$L$5,$M$5*C22,B22=$L$6,"Нет продукта")</f>
        <v>2274.7799999999997</v>
      </c>
      <c r="G22" s="8" cm="1">
        <f t="array" ref="G22">IFERROR(_xlfn.IFS(B22=$L$3,$M$3*C22,B22=$L$4,$M$4*C22,B22=$L$5,$M$5*C22),"Нет продукта")</f>
        <v>2274.7799999999997</v>
      </c>
    </row>
    <row r="23" spans="1:7" x14ac:dyDescent="0.3">
      <c r="A23" s="4">
        <v>44090</v>
      </c>
      <c r="B23" t="s">
        <v>19</v>
      </c>
      <c r="C23" s="8">
        <v>37983</v>
      </c>
      <c r="D23" s="8">
        <f t="shared" si="0"/>
        <v>2278.98</v>
      </c>
      <c r="E23" s="8">
        <f t="shared" si="1"/>
        <v>2278.98</v>
      </c>
      <c r="F23" s="8" cm="1">
        <f t="array" ref="F23">_xlfn.IFS(B23=$L$3,$M$3*C23,B23=$L$4,$M$4*C23,B23=$L$5,$M$5*C23,B23=$L$6,"Нет продукта")</f>
        <v>2278.98</v>
      </c>
      <c r="G23" s="8" cm="1">
        <f t="array" ref="G23">IFERROR(_xlfn.IFS(B23=$L$3,$M$3*C23,B23=$L$4,$M$4*C23,B23=$L$5,$M$5*C23),"Нет продукта")</f>
        <v>2278.98</v>
      </c>
    </row>
    <row r="24" spans="1:7" x14ac:dyDescent="0.3">
      <c r="A24" s="4">
        <v>43891</v>
      </c>
      <c r="B24" t="s">
        <v>19</v>
      </c>
      <c r="C24" s="8">
        <v>32376</v>
      </c>
      <c r="D24" s="8">
        <f t="shared" si="0"/>
        <v>1942.56</v>
      </c>
      <c r="E24" s="8">
        <f t="shared" si="1"/>
        <v>1942.56</v>
      </c>
      <c r="F24" s="8" cm="1">
        <f t="array" ref="F24">_xlfn.IFS(B24=$L$3,$M$3*C24,B24=$L$4,$M$4*C24,B24=$L$5,$M$5*C24,B24=$L$6,"Нет продукта")</f>
        <v>1942.56</v>
      </c>
      <c r="G24" s="8" cm="1">
        <f t="array" ref="G24">IFERROR(_xlfn.IFS(B24=$L$3,$M$3*C24,B24=$L$4,$M$4*C24,B24=$L$5,$M$5*C24),"Нет продукта")</f>
        <v>1942.56</v>
      </c>
    </row>
    <row r="25" spans="1:7" x14ac:dyDescent="0.3">
      <c r="A25" s="4">
        <v>44007</v>
      </c>
      <c r="B25" t="s">
        <v>18</v>
      </c>
      <c r="C25" s="8">
        <v>32290</v>
      </c>
      <c r="D25" s="8">
        <f t="shared" si="0"/>
        <v>3874.7999999999997</v>
      </c>
      <c r="E25" s="8">
        <f t="shared" si="1"/>
        <v>3874.7999999999997</v>
      </c>
      <c r="F25" s="8" cm="1">
        <f t="array" ref="F25">_xlfn.IFS(B25=$L$3,$M$3*C25,B25=$L$4,$M$4*C25,B25=$L$5,$M$5*C25,B25=$L$6,"Нет продукта")</f>
        <v>3874.7999999999997</v>
      </c>
      <c r="G25" s="8" cm="1">
        <f t="array" ref="G25">IFERROR(_xlfn.IFS(B25=$L$3,$M$3*C25,B25=$L$4,$M$4*C25,B25=$L$5,$M$5*C25),"Нет продукта")</f>
        <v>3874.7999999999997</v>
      </c>
    </row>
    <row r="26" spans="1:7" x14ac:dyDescent="0.3">
      <c r="A26" s="4">
        <v>43995</v>
      </c>
      <c r="B26" t="s">
        <v>18</v>
      </c>
      <c r="C26" s="8">
        <v>20835</v>
      </c>
      <c r="D26" s="8">
        <f t="shared" si="0"/>
        <v>2500.1999999999998</v>
      </c>
      <c r="E26" s="8">
        <f t="shared" si="1"/>
        <v>2500.1999999999998</v>
      </c>
      <c r="F26" s="8" cm="1">
        <f t="array" ref="F26">_xlfn.IFS(B26=$L$3,$M$3*C26,B26=$L$4,$M$4*C26,B26=$L$5,$M$5*C26,B26=$L$6,"Нет продукта")</f>
        <v>2500.1999999999998</v>
      </c>
      <c r="G26" s="8" cm="1">
        <f t="array" ref="G26">IFERROR(_xlfn.IFS(B26=$L$3,$M$3*C26,B26=$L$4,$M$4*C26,B26=$L$5,$M$5*C26),"Нет продукта")</f>
        <v>2500.1999999999998</v>
      </c>
    </row>
    <row r="27" spans="1:7" x14ac:dyDescent="0.3">
      <c r="A27" s="4">
        <v>43847</v>
      </c>
      <c r="B27" t="s">
        <v>19</v>
      </c>
      <c r="C27" s="8">
        <v>14760</v>
      </c>
      <c r="D27" s="8">
        <f t="shared" si="0"/>
        <v>885.6</v>
      </c>
      <c r="E27" s="8">
        <f t="shared" si="1"/>
        <v>885.6</v>
      </c>
      <c r="F27" s="8" cm="1">
        <f t="array" ref="F27">_xlfn.IFS(B27=$L$3,$M$3*C27,B27=$L$4,$M$4*C27,B27=$L$5,$M$5*C27,B27=$L$6,"Нет продукта")</f>
        <v>885.6</v>
      </c>
      <c r="G27" s="8" cm="1">
        <f t="array" ref="G27">IFERROR(_xlfn.IFS(B27=$L$3,$M$3*C27,B27=$L$4,$M$4*C27,B27=$L$5,$M$5*C27),"Нет продукта")</f>
        <v>885.6</v>
      </c>
    </row>
    <row r="28" spans="1:7" x14ac:dyDescent="0.3">
      <c r="A28" s="4">
        <v>43851</v>
      </c>
      <c r="B28" t="s">
        <v>18</v>
      </c>
      <c r="C28" s="8">
        <v>21045</v>
      </c>
      <c r="D28" s="8">
        <f t="shared" si="0"/>
        <v>2525.4</v>
      </c>
      <c r="E28" s="8">
        <f t="shared" si="1"/>
        <v>2525.4</v>
      </c>
      <c r="F28" s="8" cm="1">
        <f t="array" ref="F28">_xlfn.IFS(B28=$L$3,$M$3*C28,B28=$L$4,$M$4*C28,B28=$L$5,$M$5*C28,B28=$L$6,"Нет продукта")</f>
        <v>2525.4</v>
      </c>
      <c r="G28" s="8" cm="1">
        <f t="array" ref="G28">IFERROR(_xlfn.IFS(B28=$L$3,$M$3*C28,B28=$L$4,$M$4*C28,B28=$L$5,$M$5*C28),"Нет продукта")</f>
        <v>2525.4</v>
      </c>
    </row>
    <row r="29" spans="1:7" x14ac:dyDescent="0.3">
      <c r="A29" s="4">
        <v>44099</v>
      </c>
      <c r="B29" t="s">
        <v>19</v>
      </c>
      <c r="C29" s="8">
        <v>32345</v>
      </c>
      <c r="D29" s="8">
        <f t="shared" si="0"/>
        <v>1940.6999999999998</v>
      </c>
      <c r="E29" s="8">
        <f t="shared" si="1"/>
        <v>1940.6999999999998</v>
      </c>
      <c r="F29" s="8" cm="1">
        <f t="array" ref="F29">_xlfn.IFS(B29=$L$3,$M$3*C29,B29=$L$4,$M$4*C29,B29=$L$5,$M$5*C29,B29=$L$6,"Нет продукта")</f>
        <v>1940.6999999999998</v>
      </c>
      <c r="G29" s="8" cm="1">
        <f t="array" ref="G29">IFERROR(_xlfn.IFS(B29=$L$3,$M$3*C29,B29=$L$4,$M$4*C29,B29=$L$5,$M$5*C29),"Нет продукта")</f>
        <v>1940.6999999999998</v>
      </c>
    </row>
    <row r="30" spans="1:7" x14ac:dyDescent="0.3">
      <c r="A30" s="4">
        <v>43955</v>
      </c>
      <c r="B30" t="s">
        <v>18</v>
      </c>
      <c r="C30" s="8">
        <v>25056</v>
      </c>
      <c r="D30" s="8">
        <f t="shared" si="0"/>
        <v>3006.72</v>
      </c>
      <c r="E30" s="8">
        <f t="shared" si="1"/>
        <v>3006.72</v>
      </c>
      <c r="F30" s="8" cm="1">
        <f t="array" ref="F30">_xlfn.IFS(B30=$L$3,$M$3*C30,B30=$L$4,$M$4*C30,B30=$L$5,$M$5*C30,B30=$L$6,"Нет продукта")</f>
        <v>3006.72</v>
      </c>
      <c r="G30" s="8" cm="1">
        <f t="array" ref="G30">IFERROR(_xlfn.IFS(B30=$L$3,$M$3*C30,B30=$L$4,$M$4*C30,B30=$L$5,$M$5*C30),"Нет продукта")</f>
        <v>3006.72</v>
      </c>
    </row>
    <row r="31" spans="1:7" x14ac:dyDescent="0.3">
      <c r="A31" s="4">
        <v>43861</v>
      </c>
      <c r="B31" t="s">
        <v>19</v>
      </c>
      <c r="C31" s="8">
        <v>28872</v>
      </c>
      <c r="D31" s="8">
        <f t="shared" si="0"/>
        <v>1732.32</v>
      </c>
      <c r="E31" s="8">
        <f t="shared" si="1"/>
        <v>1732.32</v>
      </c>
      <c r="F31" s="8" cm="1">
        <f t="array" ref="F31">_xlfn.IFS(B31=$L$3,$M$3*C31,B31=$L$4,$M$4*C31,B31=$L$5,$M$5*C31,B31=$L$6,"Нет продукта")</f>
        <v>1732.32</v>
      </c>
      <c r="G31" s="8" cm="1">
        <f t="array" ref="G31">IFERROR(_xlfn.IFS(B31=$L$3,$M$3*C31,B31=$L$4,$M$4*C31,B31=$L$5,$M$5*C31),"Нет продукта")</f>
        <v>1732.32</v>
      </c>
    </row>
    <row r="32" spans="1:7" x14ac:dyDescent="0.3">
      <c r="A32" s="4">
        <v>43884</v>
      </c>
      <c r="B32" t="s">
        <v>18</v>
      </c>
      <c r="C32" s="8">
        <v>48919</v>
      </c>
      <c r="D32" s="8">
        <f t="shared" si="0"/>
        <v>5870.28</v>
      </c>
      <c r="E32" s="8">
        <f t="shared" si="1"/>
        <v>5870.28</v>
      </c>
      <c r="F32" s="8" cm="1">
        <f t="array" ref="F32">_xlfn.IFS(B32=$L$3,$M$3*C32,B32=$L$4,$M$4*C32,B32=$L$5,$M$5*C32,B32=$L$6,"Нет продукта")</f>
        <v>5870.28</v>
      </c>
      <c r="G32" s="8" cm="1">
        <f t="array" ref="G32">IFERROR(_xlfn.IFS(B32=$L$3,$M$3*C32,B32=$L$4,$M$4*C32,B32=$L$5,$M$5*C32),"Нет продукта")</f>
        <v>5870.28</v>
      </c>
    </row>
    <row r="33" spans="1:7" x14ac:dyDescent="0.3">
      <c r="A33" s="4">
        <v>43947</v>
      </c>
      <c r="B33" t="s">
        <v>19</v>
      </c>
      <c r="C33" s="8">
        <v>14157</v>
      </c>
      <c r="D33" s="8">
        <f t="shared" si="0"/>
        <v>849.42</v>
      </c>
      <c r="E33" s="8">
        <f t="shared" si="1"/>
        <v>849.42</v>
      </c>
      <c r="F33" s="8" cm="1">
        <f t="array" ref="F33">_xlfn.IFS(B33=$L$3,$M$3*C33,B33=$L$4,$M$4*C33,B33=$L$5,$M$5*C33,B33=$L$6,"Нет продукта")</f>
        <v>849.42</v>
      </c>
      <c r="G33" s="8" cm="1">
        <f t="array" ref="G33">IFERROR(_xlfn.IFS(B33=$L$3,$M$3*C33,B33=$L$4,$M$4*C33,B33=$L$5,$M$5*C33),"Нет продукта")</f>
        <v>849.42</v>
      </c>
    </row>
    <row r="34" spans="1:7" x14ac:dyDescent="0.3">
      <c r="A34" s="4">
        <v>43929</v>
      </c>
      <c r="B34" t="s">
        <v>20</v>
      </c>
      <c r="C34" s="8">
        <v>28595</v>
      </c>
      <c r="D34" s="8">
        <f t="shared" si="0"/>
        <v>571.9</v>
      </c>
      <c r="E34" s="8">
        <f t="shared" si="1"/>
        <v>571.9</v>
      </c>
      <c r="F34" s="8" cm="1">
        <f t="array" ref="F34">_xlfn.IFS(B34=$L$3,$M$3*C34,B34=$L$4,$M$4*C34,B34=$L$5,$M$5*C34,B34=$L$6,"Нет продукта")</f>
        <v>571.9</v>
      </c>
      <c r="G34" s="8" cm="1">
        <f t="array" ref="G34">IFERROR(_xlfn.IFS(B34=$L$3,$M$3*C34,B34=$L$4,$M$4*C34,B34=$L$5,$M$5*C34),"Нет продукта")</f>
        <v>571.9</v>
      </c>
    </row>
    <row r="35" spans="1:7" x14ac:dyDescent="0.3">
      <c r="A35" s="4">
        <v>44047</v>
      </c>
      <c r="B35" t="s">
        <v>19</v>
      </c>
      <c r="C35" s="8">
        <v>26762</v>
      </c>
      <c r="D35" s="8">
        <f t="shared" si="0"/>
        <v>1605.72</v>
      </c>
      <c r="E35" s="8">
        <f t="shared" si="1"/>
        <v>1605.72</v>
      </c>
      <c r="F35" s="8" cm="1">
        <f t="array" ref="F35">_xlfn.IFS(B35=$L$3,$M$3*C35,B35=$L$4,$M$4*C35,B35=$L$5,$M$5*C35,B35=$L$6,"Нет продукта")</f>
        <v>1605.72</v>
      </c>
      <c r="G35" s="8" cm="1">
        <f t="array" ref="G35">IFERROR(_xlfn.IFS(B35=$L$3,$M$3*C35,B35=$L$4,$M$4*C35,B35=$L$5,$M$5*C35),"Нет продукта")</f>
        <v>1605.72</v>
      </c>
    </row>
    <row r="36" spans="1:7" x14ac:dyDescent="0.3">
      <c r="A36" s="4">
        <v>44071</v>
      </c>
      <c r="B36" t="s">
        <v>20</v>
      </c>
      <c r="C36" s="8">
        <v>16956</v>
      </c>
      <c r="D36" s="8">
        <f t="shared" si="0"/>
        <v>339.12</v>
      </c>
      <c r="E36" s="8">
        <f t="shared" si="1"/>
        <v>339.12</v>
      </c>
      <c r="F36" s="8" cm="1">
        <f t="array" ref="F36">_xlfn.IFS(B36=$L$3,$M$3*C36,B36=$L$4,$M$4*C36,B36=$L$5,$M$5*C36,B36=$L$6,"Нет продукта")</f>
        <v>339.12</v>
      </c>
      <c r="G36" s="8" cm="1">
        <f t="array" ref="G36">IFERROR(_xlfn.IFS(B36=$L$3,$M$3*C36,B36=$L$4,$M$4*C36,B36=$L$5,$M$5*C36),"Нет продукта")</f>
        <v>339.12</v>
      </c>
    </row>
    <row r="37" spans="1:7" x14ac:dyDescent="0.3">
      <c r="A37" s="4">
        <v>43990</v>
      </c>
      <c r="B37" t="s">
        <v>19</v>
      </c>
      <c r="C37" s="8">
        <v>45124</v>
      </c>
      <c r="D37" s="8">
        <f t="shared" si="0"/>
        <v>2707.44</v>
      </c>
      <c r="E37" s="8">
        <f t="shared" si="1"/>
        <v>2707.44</v>
      </c>
      <c r="F37" s="8" cm="1">
        <f t="array" ref="F37">_xlfn.IFS(B37=$L$3,$M$3*C37,B37=$L$4,$M$4*C37,B37=$L$5,$M$5*C37,B37=$L$6,"Нет продукта")</f>
        <v>2707.44</v>
      </c>
      <c r="G37" s="8" cm="1">
        <f t="array" ref="G37">IFERROR(_xlfn.IFS(B37=$L$3,$M$3*C37,B37=$L$4,$M$4*C37,B37=$L$5,$M$5*C37),"Нет продукта")</f>
        <v>2707.44</v>
      </c>
    </row>
    <row r="38" spans="1:7" x14ac:dyDescent="0.3">
      <c r="A38" s="4">
        <v>44059</v>
      </c>
      <c r="B38" t="s">
        <v>18</v>
      </c>
      <c r="C38" s="8">
        <v>33818</v>
      </c>
      <c r="D38" s="8">
        <f t="shared" si="0"/>
        <v>4058.16</v>
      </c>
      <c r="E38" s="8">
        <f t="shared" si="1"/>
        <v>4058.16</v>
      </c>
      <c r="F38" s="8" cm="1">
        <f t="array" ref="F38">_xlfn.IFS(B38=$L$3,$M$3*C38,B38=$L$4,$M$4*C38,B38=$L$5,$M$5*C38,B38=$L$6,"Нет продукта")</f>
        <v>4058.16</v>
      </c>
      <c r="G38" s="8" cm="1">
        <f t="array" ref="G38">IFERROR(_xlfn.IFS(B38=$L$3,$M$3*C38,B38=$L$4,$M$4*C38,B38=$L$5,$M$5*C38),"Нет продукта")</f>
        <v>4058.16</v>
      </c>
    </row>
    <row r="39" spans="1:7" x14ac:dyDescent="0.3">
      <c r="A39" s="4">
        <v>44009</v>
      </c>
      <c r="B39" t="s">
        <v>19</v>
      </c>
      <c r="C39" s="8">
        <v>19210</v>
      </c>
      <c r="D39" s="8">
        <f t="shared" si="0"/>
        <v>1152.5999999999999</v>
      </c>
      <c r="E39" s="8">
        <f t="shared" si="1"/>
        <v>1152.5999999999999</v>
      </c>
      <c r="F39" s="8" cm="1">
        <f t="array" ref="F39">_xlfn.IFS(B39=$L$3,$M$3*C39,B39=$L$4,$M$4*C39,B39=$L$5,$M$5*C39,B39=$L$6,"Нет продукта")</f>
        <v>1152.5999999999999</v>
      </c>
      <c r="G39" s="8" cm="1">
        <f t="array" ref="G39">IFERROR(_xlfn.IFS(B39=$L$3,$M$3*C39,B39=$L$4,$M$4*C39,B39=$L$5,$M$5*C39),"Нет продукта")</f>
        <v>1152.5999999999999</v>
      </c>
    </row>
    <row r="40" spans="1:7" x14ac:dyDescent="0.3">
      <c r="A40" s="4">
        <v>44019</v>
      </c>
      <c r="B40" t="s">
        <v>18</v>
      </c>
      <c r="C40" s="8">
        <v>38489</v>
      </c>
      <c r="D40" s="8">
        <f t="shared" si="0"/>
        <v>4618.6799999999994</v>
      </c>
      <c r="E40" s="8">
        <f t="shared" si="1"/>
        <v>4618.6799999999994</v>
      </c>
      <c r="F40" s="8" cm="1">
        <f t="array" ref="F40">_xlfn.IFS(B40=$L$3,$M$3*C40,B40=$L$4,$M$4*C40,B40=$L$5,$M$5*C40,B40=$L$6,"Нет продукта")</f>
        <v>4618.6799999999994</v>
      </c>
      <c r="G40" s="8" cm="1">
        <f t="array" ref="G40">IFERROR(_xlfn.IFS(B40=$L$3,$M$3*C40,B40=$L$4,$M$4*C40,B40=$L$5,$M$5*C40),"Нет продукта")</f>
        <v>4618.6799999999994</v>
      </c>
    </row>
    <row r="41" spans="1:7" x14ac:dyDescent="0.3">
      <c r="A41" s="4">
        <v>43861</v>
      </c>
      <c r="B41" t="s">
        <v>19</v>
      </c>
      <c r="C41" s="8">
        <v>46701</v>
      </c>
      <c r="D41" s="8">
        <f t="shared" si="0"/>
        <v>2802.06</v>
      </c>
      <c r="E41" s="8">
        <f t="shared" si="1"/>
        <v>2802.06</v>
      </c>
      <c r="F41" s="8" cm="1">
        <f t="array" ref="F41">_xlfn.IFS(B41=$L$3,$M$3*C41,B41=$L$4,$M$4*C41,B41=$L$5,$M$5*C41,B41=$L$6,"Нет продукта")</f>
        <v>2802.06</v>
      </c>
      <c r="G41" s="8" cm="1">
        <f t="array" ref="G41">IFERROR(_xlfn.IFS(B41=$L$3,$M$3*C41,B41=$L$4,$M$4*C41,B41=$L$5,$M$5*C41),"Нет продукта")</f>
        <v>2802.06</v>
      </c>
    </row>
    <row r="42" spans="1:7" x14ac:dyDescent="0.3">
      <c r="A42" s="4">
        <v>43913</v>
      </c>
      <c r="B42" t="s">
        <v>18</v>
      </c>
      <c r="C42" s="8">
        <v>18950</v>
      </c>
      <c r="D42" s="8">
        <f t="shared" si="0"/>
        <v>2274</v>
      </c>
      <c r="E42" s="8">
        <f t="shared" si="1"/>
        <v>2274</v>
      </c>
      <c r="F42" s="8" cm="1">
        <f t="array" ref="F42">_xlfn.IFS(B42=$L$3,$M$3*C42,B42=$L$4,$M$4*C42,B42=$L$5,$M$5*C42,B42=$L$6,"Нет продукта")</f>
        <v>2274</v>
      </c>
      <c r="G42" s="8" cm="1">
        <f t="array" ref="G42">IFERROR(_xlfn.IFS(B42=$L$3,$M$3*C42,B42=$L$4,$M$4*C42,B42=$L$5,$M$5*C42),"Нет продукта")</f>
        <v>2274</v>
      </c>
    </row>
    <row r="43" spans="1:7" x14ac:dyDescent="0.3">
      <c r="A43" s="4">
        <v>43913</v>
      </c>
      <c r="B43" t="s">
        <v>18</v>
      </c>
      <c r="C43" s="8">
        <v>27004</v>
      </c>
      <c r="D43" s="8">
        <f t="shared" si="0"/>
        <v>3240.48</v>
      </c>
      <c r="E43" s="8">
        <f t="shared" si="1"/>
        <v>3240.48</v>
      </c>
      <c r="F43" s="8" cm="1">
        <f t="array" ref="F43">_xlfn.IFS(B43=$L$3,$M$3*C43,B43=$L$4,$M$4*C43,B43=$L$5,$M$5*C43,B43=$L$6,"Нет продукта")</f>
        <v>3240.48</v>
      </c>
      <c r="G43" s="8" cm="1">
        <f t="array" ref="G43">IFERROR(_xlfn.IFS(B43=$L$3,$M$3*C43,B43=$L$4,$M$4*C43,B43=$L$5,$M$5*C43),"Нет продукта")</f>
        <v>3240.48</v>
      </c>
    </row>
    <row r="44" spans="1:7" x14ac:dyDescent="0.3">
      <c r="A44" s="4">
        <v>43916</v>
      </c>
      <c r="B44" t="s">
        <v>19</v>
      </c>
      <c r="C44" s="8">
        <v>49711</v>
      </c>
      <c r="D44" s="8">
        <f t="shared" si="0"/>
        <v>2982.66</v>
      </c>
      <c r="E44" s="8">
        <f t="shared" si="1"/>
        <v>2982.66</v>
      </c>
      <c r="F44" s="8" cm="1">
        <f t="array" ref="F44">_xlfn.IFS(B44=$L$3,$M$3*C44,B44=$L$4,$M$4*C44,B44=$L$5,$M$5*C44,B44=$L$6,"Нет продукта")</f>
        <v>2982.66</v>
      </c>
      <c r="G44" s="8" cm="1">
        <f t="array" ref="G44">IFERROR(_xlfn.IFS(B44=$L$3,$M$3*C44,B44=$L$4,$M$4*C44,B44=$L$5,$M$5*C44),"Нет продукта")</f>
        <v>2982.66</v>
      </c>
    </row>
    <row r="45" spans="1:7" x14ac:dyDescent="0.3">
      <c r="A45" s="4">
        <v>43872</v>
      </c>
      <c r="B45" t="s">
        <v>18</v>
      </c>
      <c r="C45" s="8">
        <v>48835</v>
      </c>
      <c r="D45" s="8">
        <f t="shared" si="0"/>
        <v>5860.2</v>
      </c>
      <c r="E45" s="8">
        <f t="shared" si="1"/>
        <v>5860.2</v>
      </c>
      <c r="F45" s="8" cm="1">
        <f t="array" ref="F45">_xlfn.IFS(B45=$L$3,$M$3*C45,B45=$L$4,$M$4*C45,B45=$L$5,$M$5*C45,B45=$L$6,"Нет продукта")</f>
        <v>5860.2</v>
      </c>
      <c r="G45" s="8" cm="1">
        <f t="array" ref="G45">IFERROR(_xlfn.IFS(B45=$L$3,$M$3*C45,B45=$L$4,$M$4*C45,B45=$L$5,$M$5*C45),"Нет продукта")</f>
        <v>5860.2</v>
      </c>
    </row>
    <row r="46" spans="1:7" x14ac:dyDescent="0.3">
      <c r="A46" s="4">
        <v>43982</v>
      </c>
      <c r="B46" t="s">
        <v>20</v>
      </c>
      <c r="C46" s="8">
        <v>41438</v>
      </c>
      <c r="D46" s="8">
        <f t="shared" si="0"/>
        <v>828.76</v>
      </c>
      <c r="E46" s="8">
        <f t="shared" si="1"/>
        <v>828.76</v>
      </c>
      <c r="F46" s="8" cm="1">
        <f t="array" ref="F46">_xlfn.IFS(B46=$L$3,$M$3*C46,B46=$L$4,$M$4*C46,B46=$L$5,$M$5*C46,B46=$L$6,"Нет продукта")</f>
        <v>828.76</v>
      </c>
      <c r="G46" s="8" cm="1">
        <f t="array" ref="G46">IFERROR(_xlfn.IFS(B46=$L$3,$M$3*C46,B46=$L$4,$M$4*C46,B46=$L$5,$M$5*C46),"Нет продукта")</f>
        <v>828.76</v>
      </c>
    </row>
    <row r="47" spans="1:7" x14ac:dyDescent="0.3">
      <c r="A47" s="4">
        <v>44103</v>
      </c>
      <c r="B47" t="s">
        <v>18</v>
      </c>
      <c r="C47" s="8">
        <v>44189</v>
      </c>
      <c r="D47" s="8">
        <f t="shared" si="0"/>
        <v>5302.6799999999994</v>
      </c>
      <c r="E47" s="8">
        <f t="shared" si="1"/>
        <v>5302.6799999999994</v>
      </c>
      <c r="F47" s="8" cm="1">
        <f t="array" ref="F47">_xlfn.IFS(B47=$L$3,$M$3*C47,B47=$L$4,$M$4*C47,B47=$L$5,$M$5*C47,B47=$L$6,"Нет продукта")</f>
        <v>5302.6799999999994</v>
      </c>
      <c r="G47" s="8" cm="1">
        <f t="array" ref="G47">IFERROR(_xlfn.IFS(B47=$L$3,$M$3*C47,B47=$L$4,$M$4*C47,B47=$L$5,$M$5*C47),"Нет продукта")</f>
        <v>5302.6799999999994</v>
      </c>
    </row>
    <row r="48" spans="1:7" x14ac:dyDescent="0.3">
      <c r="A48" s="4">
        <v>43916</v>
      </c>
      <c r="B48" t="s">
        <v>20</v>
      </c>
      <c r="C48" s="8">
        <v>41349</v>
      </c>
      <c r="D48" s="8">
        <f t="shared" si="0"/>
        <v>826.98</v>
      </c>
      <c r="E48" s="8">
        <f t="shared" si="1"/>
        <v>826.98</v>
      </c>
      <c r="F48" s="8" cm="1">
        <f t="array" ref="F48">_xlfn.IFS(B48=$L$3,$M$3*C48,B48=$L$4,$M$4*C48,B48=$L$5,$M$5*C48,B48=$L$6,"Нет продукта")</f>
        <v>826.98</v>
      </c>
      <c r="G48" s="8" cm="1">
        <f t="array" ref="G48">IFERROR(_xlfn.IFS(B48=$L$3,$M$3*C48,B48=$L$4,$M$4*C48,B48=$L$5,$M$5*C48),"Нет продукта")</f>
        <v>826.98</v>
      </c>
    </row>
    <row r="49" spans="1:7" x14ac:dyDescent="0.3">
      <c r="A49" s="4">
        <v>43973</v>
      </c>
      <c r="B49" t="s">
        <v>19</v>
      </c>
      <c r="C49" s="8">
        <v>24017</v>
      </c>
      <c r="D49" s="8">
        <f t="shared" si="0"/>
        <v>1441.02</v>
      </c>
      <c r="E49" s="8">
        <f t="shared" si="1"/>
        <v>1441.02</v>
      </c>
      <c r="F49" s="8" cm="1">
        <f t="array" ref="F49">_xlfn.IFS(B49=$L$3,$M$3*C49,B49=$L$4,$M$4*C49,B49=$L$5,$M$5*C49,B49=$L$6,"Нет продукта")</f>
        <v>1441.02</v>
      </c>
      <c r="G49" s="8" cm="1">
        <f t="array" ref="G49">IFERROR(_xlfn.IFS(B49=$L$3,$M$3*C49,B49=$L$4,$M$4*C49,B49=$L$5,$M$5*C49),"Нет продукта")</f>
        <v>1441.02</v>
      </c>
    </row>
    <row r="50" spans="1:7" x14ac:dyDescent="0.3">
      <c r="A50" s="4">
        <v>43971</v>
      </c>
      <c r="B50" t="s">
        <v>20</v>
      </c>
      <c r="C50" s="8">
        <v>39386</v>
      </c>
      <c r="D50" s="8">
        <f t="shared" si="0"/>
        <v>787.72</v>
      </c>
      <c r="E50" s="8">
        <f t="shared" si="1"/>
        <v>787.72</v>
      </c>
      <c r="F50" s="8" cm="1">
        <f t="array" ref="F50">_xlfn.IFS(B50=$L$3,$M$3*C50,B50=$L$4,$M$4*C50,B50=$L$5,$M$5*C50,B50=$L$6,"Нет продукта")</f>
        <v>787.72</v>
      </c>
      <c r="G50" s="8" cm="1">
        <f t="array" ref="G50">IFERROR(_xlfn.IFS(B50=$L$3,$M$3*C50,B50=$L$4,$M$4*C50,B50=$L$5,$M$5*C50),"Нет продукта")</f>
        <v>787.72</v>
      </c>
    </row>
    <row r="51" spans="1:7" x14ac:dyDescent="0.3">
      <c r="A51" s="4">
        <v>44035</v>
      </c>
      <c r="B51" t="s">
        <v>20</v>
      </c>
      <c r="C51" s="8">
        <v>43394</v>
      </c>
      <c r="D51" s="8">
        <f t="shared" si="0"/>
        <v>867.88</v>
      </c>
      <c r="E51" s="8">
        <f t="shared" si="1"/>
        <v>867.88</v>
      </c>
      <c r="F51" s="8" cm="1">
        <f t="array" ref="F51">_xlfn.IFS(B51=$L$3,$M$3*C51,B51=$L$4,$M$4*C51,B51=$L$5,$M$5*C51,B51=$L$6,"Нет продукта")</f>
        <v>867.88</v>
      </c>
      <c r="G51" s="8" cm="1">
        <f t="array" ref="G51">IFERROR(_xlfn.IFS(B51=$L$3,$M$3*C51,B51=$L$4,$M$4*C51,B51=$L$5,$M$5*C51),"Нет продукта")</f>
        <v>867.88</v>
      </c>
    </row>
    <row r="52" spans="1:7" x14ac:dyDescent="0.3">
      <c r="A52" s="4">
        <v>44111</v>
      </c>
      <c r="B52" t="s">
        <v>18</v>
      </c>
      <c r="C52" s="8">
        <v>40491</v>
      </c>
      <c r="D52" s="8">
        <f t="shared" si="0"/>
        <v>4858.92</v>
      </c>
      <c r="E52" s="8">
        <f t="shared" si="1"/>
        <v>4858.92</v>
      </c>
      <c r="F52" s="8" cm="1">
        <f t="array" ref="F52">_xlfn.IFS(B52=$L$3,$M$3*C52,B52=$L$4,$M$4*C52,B52=$L$5,$M$5*C52,B52=$L$6,"Нет продукта")</f>
        <v>4858.92</v>
      </c>
      <c r="G52" s="8" cm="1">
        <f t="array" ref="G52">IFERROR(_xlfn.IFS(B52=$L$3,$M$3*C52,B52=$L$4,$M$4*C52,B52=$L$5,$M$5*C52),"Нет продукта")</f>
        <v>4858.92</v>
      </c>
    </row>
    <row r="53" spans="1:7" x14ac:dyDescent="0.3">
      <c r="A53" s="4">
        <v>43934</v>
      </c>
      <c r="B53" t="s">
        <v>20</v>
      </c>
      <c r="C53" s="8">
        <v>11076</v>
      </c>
      <c r="D53" s="8">
        <f t="shared" si="0"/>
        <v>221.52</v>
      </c>
      <c r="E53" s="8">
        <f t="shared" si="1"/>
        <v>221.52</v>
      </c>
      <c r="F53" s="8" cm="1">
        <f t="array" ref="F53">_xlfn.IFS(B53=$L$3,$M$3*C53,B53=$L$4,$M$4*C53,B53=$L$5,$M$5*C53,B53=$L$6,"Нет продукта")</f>
        <v>221.52</v>
      </c>
      <c r="G53" s="8" cm="1">
        <f t="array" ref="G53">IFERROR(_xlfn.IFS(B53=$L$3,$M$3*C53,B53=$L$4,$M$4*C53,B53=$L$5,$M$5*C53),"Нет продукта")</f>
        <v>221.52</v>
      </c>
    </row>
    <row r="54" spans="1:7" x14ac:dyDescent="0.3">
      <c r="A54" s="4">
        <v>44089</v>
      </c>
      <c r="B54" t="s">
        <v>18</v>
      </c>
      <c r="C54" s="8">
        <v>13241</v>
      </c>
      <c r="D54" s="8">
        <f t="shared" si="0"/>
        <v>1588.9199999999998</v>
      </c>
      <c r="E54" s="8">
        <f t="shared" si="1"/>
        <v>1588.9199999999998</v>
      </c>
      <c r="F54" s="8" cm="1">
        <f t="array" ref="F54">_xlfn.IFS(B54=$L$3,$M$3*C54,B54=$L$4,$M$4*C54,B54=$L$5,$M$5*C54,B54=$L$6,"Нет продукта")</f>
        <v>1588.9199999999998</v>
      </c>
      <c r="G54" s="8" cm="1">
        <f t="array" ref="G54">IFERROR(_xlfn.IFS(B54=$L$3,$M$3*C54,B54=$L$4,$M$4*C54,B54=$L$5,$M$5*C54),"Нет продукта")</f>
        <v>1588.9199999999998</v>
      </c>
    </row>
    <row r="55" spans="1:7" x14ac:dyDescent="0.3">
      <c r="A55" s="4">
        <v>43856</v>
      </c>
      <c r="B55" t="s">
        <v>20</v>
      </c>
      <c r="C55" s="8">
        <v>41985</v>
      </c>
      <c r="D55" s="8">
        <f t="shared" si="0"/>
        <v>839.7</v>
      </c>
      <c r="E55" s="8">
        <f t="shared" si="1"/>
        <v>839.7</v>
      </c>
      <c r="F55" s="8" cm="1">
        <f t="array" ref="F55">_xlfn.IFS(B55=$L$3,$M$3*C55,B55=$L$4,$M$4*C55,B55=$L$5,$M$5*C55,B55=$L$6,"Нет продукта")</f>
        <v>839.7</v>
      </c>
      <c r="G55" s="8" cm="1">
        <f t="array" ref="G55">IFERROR(_xlfn.IFS(B55=$L$3,$M$3*C55,B55=$L$4,$M$4*C55,B55=$L$5,$M$5*C55),"Нет продукта")</f>
        <v>839.7</v>
      </c>
    </row>
    <row r="56" spans="1:7" x14ac:dyDescent="0.3">
      <c r="A56" s="4">
        <v>43925</v>
      </c>
      <c r="B56" s="14" t="s">
        <v>20</v>
      </c>
      <c r="C56" s="8">
        <v>38178</v>
      </c>
      <c r="D56" s="8">
        <f t="shared" si="0"/>
        <v>763.56000000000006</v>
      </c>
      <c r="E56" s="8">
        <f t="shared" si="1"/>
        <v>763.56000000000006</v>
      </c>
      <c r="F56" s="8" cm="1">
        <f t="array" ref="F56">_xlfn.IFS(B56=$L$3,$M$3*C56,B56=$L$4,$M$4*C56,B56=$L$5,$M$5*C56,B56=$L$6,"Нет продукта")</f>
        <v>763.56000000000006</v>
      </c>
      <c r="G56" s="8" cm="1">
        <f t="array" ref="G56">IFERROR(_xlfn.IFS(B56=$L$3,$M$3*C56,B56=$L$4,$M$4*C56,B56=$L$5,$M$5*C56),"Нет продукта")</f>
        <v>763.56000000000006</v>
      </c>
    </row>
    <row r="57" spans="1:7" x14ac:dyDescent="0.3">
      <c r="A57" s="16">
        <v>43952</v>
      </c>
      <c r="B57" s="17" t="s">
        <v>25</v>
      </c>
      <c r="C57" s="18">
        <v>45406</v>
      </c>
      <c r="D57" s="18">
        <f t="shared" si="0"/>
        <v>908.12</v>
      </c>
      <c r="E57" s="18" t="str">
        <f t="shared" si="1"/>
        <v>Нет продукта</v>
      </c>
      <c r="F57" s="18" t="str" cm="1">
        <f t="array" ref="F57">_xlfn.IFS(B57=$L$3,$M$3*C57,B57=$L$4,$M$4*C57,B57=$L$5,$M$5*C57,B57=$L$6,"Нет продукта")</f>
        <v>Нет продукта</v>
      </c>
      <c r="G57" s="18" t="str" cm="1">
        <f t="array" ref="G57">IFERROR(_xlfn.IFS(B57=$L$3,$M$3*C57,B57=$L$4,$M$4*C57,B57=$L$5,$M$5*C57),"Нет продукта")</f>
        <v>Нет продукта</v>
      </c>
    </row>
    <row r="58" spans="1:7" x14ac:dyDescent="0.3">
      <c r="A58" s="4">
        <v>43967</v>
      </c>
      <c r="B58" s="14" t="s">
        <v>18</v>
      </c>
      <c r="C58" s="8">
        <v>28121</v>
      </c>
      <c r="D58" s="8">
        <f t="shared" si="0"/>
        <v>3374.52</v>
      </c>
      <c r="E58" s="8">
        <f t="shared" si="1"/>
        <v>3374.52</v>
      </c>
      <c r="F58" s="8" cm="1">
        <f t="array" ref="F58">_xlfn.IFS(B58=$L$3,$M$3*C58,B58=$L$4,$M$4*C58,B58=$L$5,$M$5*C58,B58=$L$6,"Нет продукта")</f>
        <v>3374.52</v>
      </c>
      <c r="G58" s="8" cm="1">
        <f t="array" ref="G58">IFERROR(_xlfn.IFS(B58=$L$3,$M$3*C58,B58=$L$4,$M$4*C58,B58=$L$5,$M$5*C58),"Нет продукта")</f>
        <v>3374.52</v>
      </c>
    </row>
    <row r="59" spans="1:7" x14ac:dyDescent="0.3">
      <c r="A59" s="4">
        <v>44045</v>
      </c>
      <c r="B59" s="14" t="s">
        <v>18</v>
      </c>
      <c r="C59" s="8">
        <v>33774</v>
      </c>
      <c r="D59" s="8">
        <f t="shared" si="0"/>
        <v>4052.8799999999997</v>
      </c>
      <c r="E59" s="8">
        <f t="shared" si="1"/>
        <v>4052.8799999999997</v>
      </c>
      <c r="F59" s="8" cm="1">
        <f t="array" ref="F59">_xlfn.IFS(B59=$L$3,$M$3*C59,B59=$L$4,$M$4*C59,B59=$L$5,$M$5*C59,B59=$L$6,"Нет продукта")</f>
        <v>4052.8799999999997</v>
      </c>
      <c r="G59" s="8" cm="1">
        <f t="array" ref="G59">IFERROR(_xlfn.IFS(B59=$L$3,$M$3*C59,B59=$L$4,$M$4*C59,B59=$L$5,$M$5*C59),"Нет продукта")</f>
        <v>4052.8799999999997</v>
      </c>
    </row>
    <row r="60" spans="1:7" x14ac:dyDescent="0.3">
      <c r="A60" s="4">
        <v>44065</v>
      </c>
      <c r="B60" t="s">
        <v>18</v>
      </c>
      <c r="C60" s="8">
        <v>13951</v>
      </c>
      <c r="D60" s="8">
        <f t="shared" si="0"/>
        <v>1674.12</v>
      </c>
      <c r="E60" s="8">
        <f t="shared" si="1"/>
        <v>1674.12</v>
      </c>
      <c r="F60" s="8" cm="1">
        <f t="array" ref="F60">_xlfn.IFS(B60=$L$3,$M$3*C60,B60=$L$4,$M$4*C60,B60=$L$5,$M$5*C60,B60=$L$6,"Нет продукта")</f>
        <v>1674.12</v>
      </c>
      <c r="G60" s="8" cm="1">
        <f t="array" ref="G60">IFERROR(_xlfn.IFS(B60=$L$3,$M$3*C60,B60=$L$4,$M$4*C60,B60=$L$5,$M$5*C60),"Нет продукта")</f>
        <v>1674.12</v>
      </c>
    </row>
    <row r="61" spans="1:7" x14ac:dyDescent="0.3">
      <c r="A61" s="4">
        <v>43888</v>
      </c>
      <c r="B61" t="s">
        <v>18</v>
      </c>
      <c r="C61" s="8">
        <v>29983</v>
      </c>
      <c r="D61" s="8">
        <f t="shared" si="0"/>
        <v>3597.96</v>
      </c>
      <c r="E61" s="8">
        <f t="shared" si="1"/>
        <v>3597.96</v>
      </c>
      <c r="F61" s="8" cm="1">
        <f t="array" ref="F61">_xlfn.IFS(B61=$L$3,$M$3*C61,B61=$L$4,$M$4*C61,B61=$L$5,$M$5*C61,B61=$L$6,"Нет продукта")</f>
        <v>3597.96</v>
      </c>
      <c r="G61" s="8" cm="1">
        <f t="array" ref="G61">IFERROR(_xlfn.IFS(B61=$L$3,$M$3*C61,B61=$L$4,$M$4*C61,B61=$L$5,$M$5*C61),"Нет продукта")</f>
        <v>3597.96</v>
      </c>
    </row>
    <row r="62" spans="1:7" x14ac:dyDescent="0.3">
      <c r="A62" s="4">
        <v>43875</v>
      </c>
      <c r="B62" t="s">
        <v>19</v>
      </c>
      <c r="C62" s="8">
        <v>44711</v>
      </c>
      <c r="D62" s="8">
        <f t="shared" si="0"/>
        <v>2682.66</v>
      </c>
      <c r="E62" s="8">
        <f t="shared" si="1"/>
        <v>2682.66</v>
      </c>
      <c r="F62" s="8" cm="1">
        <f t="array" ref="F62">_xlfn.IFS(B62=$L$3,$M$3*C62,B62=$L$4,$M$4*C62,B62=$L$5,$M$5*C62,B62=$L$6,"Нет продукта")</f>
        <v>2682.66</v>
      </c>
      <c r="G62" s="8" cm="1">
        <f t="array" ref="G62">IFERROR(_xlfn.IFS(B62=$L$3,$M$3*C62,B62=$L$4,$M$4*C62,B62=$L$5,$M$5*C62),"Нет продукта")</f>
        <v>2682.66</v>
      </c>
    </row>
    <row r="63" spans="1:7" x14ac:dyDescent="0.3">
      <c r="A63" s="4">
        <v>43867</v>
      </c>
      <c r="B63" t="s">
        <v>20</v>
      </c>
      <c r="C63" s="8">
        <v>27466</v>
      </c>
      <c r="D63" s="8">
        <f t="shared" si="0"/>
        <v>549.32000000000005</v>
      </c>
      <c r="E63" s="8">
        <f t="shared" si="1"/>
        <v>549.32000000000005</v>
      </c>
      <c r="F63" s="8" cm="1">
        <f t="array" ref="F63">_xlfn.IFS(B63=$L$3,$M$3*C63,B63=$L$4,$M$4*C63,B63=$L$5,$M$5*C63,B63=$L$6,"Нет продукта")</f>
        <v>549.32000000000005</v>
      </c>
      <c r="G63" s="8" cm="1">
        <f t="array" ref="G63">IFERROR(_xlfn.IFS(B63=$L$3,$M$3*C63,B63=$L$4,$M$4*C63,B63=$L$5,$M$5*C63),"Нет продукта")</f>
        <v>549.32000000000005</v>
      </c>
    </row>
  </sheetData>
  <mergeCells count="1">
    <mergeCell ref="L2:M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Скидка</vt:lpstr>
      <vt:lpstr>План</vt:lpstr>
      <vt:lpstr>Комиссия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Ренат Шагабутдинов</dc:creator>
  <cp:lastModifiedBy>Sergey Vilkov</cp:lastModifiedBy>
  <dcterms:created xsi:type="dcterms:W3CDTF">2015-06-05T18:17:20Z</dcterms:created>
  <dcterms:modified xsi:type="dcterms:W3CDTF">2023-11-28T16:10:50Z</dcterms:modified>
</cp:coreProperties>
</file>