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9\"/>
    </mc:Choice>
  </mc:AlternateContent>
  <xr:revisionPtr revIDLastSave="0" documentId="13_ncr:1_{D6EDDD94-688F-4DC9-B74C-B7260DE0AB9C}" xr6:coauthVersionLast="45" xr6:coauthVersionMax="45" xr10:uidLastSave="{00000000-0000-0000-0000-000000000000}"/>
  <bookViews>
    <workbookView xWindow="-96" yWindow="-96" windowWidth="23232" windowHeight="13152" xr2:uid="{00000000-000D-0000-FFFF-FFFF00000000}"/>
  </bookViews>
  <sheets>
    <sheet name="Скидка" sheetId="1" r:id="rId1"/>
    <sheet name="План" sheetId="2" r:id="rId2"/>
    <sheet name="Комиссия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3" l="1" a="1"/>
  <c r="E2" i="3" s="1"/>
  <c r="E3" i="3" a="1"/>
  <c r="E3" i="3" s="1"/>
  <c r="E4" i="3" a="1"/>
  <c r="E4" i="3" s="1"/>
  <c r="E5" i="3" a="1"/>
  <c r="E5" i="3"/>
  <c r="E6" i="3" a="1"/>
  <c r="E6" i="3"/>
  <c r="E7" i="3" a="1"/>
  <c r="E7" i="3" s="1"/>
  <c r="E8" i="3" a="1"/>
  <c r="E8" i="3" s="1"/>
  <c r="E9" i="3" a="1"/>
  <c r="E9" i="3"/>
  <c r="E10" i="3" a="1"/>
  <c r="E10" i="3"/>
  <c r="E11" i="3" a="1"/>
  <c r="E11" i="3" s="1"/>
  <c r="E12" i="3" a="1"/>
  <c r="E12" i="3" s="1"/>
  <c r="E13" i="3" a="1"/>
  <c r="E13" i="3"/>
  <c r="E14" i="3" a="1"/>
  <c r="E14" i="3"/>
  <c r="E15" i="3" a="1"/>
  <c r="E15" i="3" s="1"/>
  <c r="E16" i="3" a="1"/>
  <c r="E16" i="3" s="1"/>
  <c r="E17" i="3" a="1"/>
  <c r="E17" i="3"/>
  <c r="E18" i="3" a="1"/>
  <c r="E18" i="3"/>
  <c r="E19" i="3" a="1"/>
  <c r="E19" i="3" s="1"/>
  <c r="E20" i="3" a="1"/>
  <c r="E20" i="3" s="1"/>
  <c r="E21" i="3" a="1"/>
  <c r="E21" i="3"/>
  <c r="E22" i="3" a="1"/>
  <c r="E22" i="3"/>
  <c r="E23" i="3" a="1"/>
  <c r="E23" i="3" s="1"/>
  <c r="E24" i="3" a="1"/>
  <c r="E24" i="3" s="1"/>
  <c r="E25" i="3" a="1"/>
  <c r="E25" i="3"/>
  <c r="E26" i="3" a="1"/>
  <c r="E26" i="3"/>
  <c r="E27" i="3" a="1"/>
  <c r="E27" i="3" s="1"/>
  <c r="E28" i="3" a="1"/>
  <c r="E28" i="3" s="1"/>
  <c r="E29" i="3" a="1"/>
  <c r="E29" i="3"/>
  <c r="E30" i="3" a="1"/>
  <c r="E30" i="3"/>
  <c r="E31" i="3" a="1"/>
  <c r="E31" i="3" s="1"/>
  <c r="E32" i="3" a="1"/>
  <c r="E32" i="3" s="1"/>
  <c r="E33" i="3" a="1"/>
  <c r="E33" i="3"/>
  <c r="E34" i="3" a="1"/>
  <c r="E34" i="3"/>
  <c r="E35" i="3" a="1"/>
  <c r="E35" i="3" s="1"/>
  <c r="E36" i="3" a="1"/>
  <c r="E36" i="3" s="1"/>
  <c r="E37" i="3" a="1"/>
  <c r="E37" i="3"/>
  <c r="E38" i="3" a="1"/>
  <c r="E38" i="3"/>
  <c r="E39" i="3" a="1"/>
  <c r="E39" i="3" s="1"/>
  <c r="E40" i="3" a="1"/>
  <c r="E40" i="3" s="1"/>
  <c r="E41" i="3" a="1"/>
  <c r="E41" i="3"/>
  <c r="E42" i="3" a="1"/>
  <c r="E42" i="3"/>
  <c r="E43" i="3" a="1"/>
  <c r="E43" i="3" s="1"/>
  <c r="E44" i="3" a="1"/>
  <c r="E44" i="3" s="1"/>
  <c r="E45" i="3" a="1"/>
  <c r="E45" i="3"/>
  <c r="E46" i="3" a="1"/>
  <c r="E46" i="3"/>
  <c r="E47" i="3" a="1"/>
  <c r="E47" i="3" s="1"/>
  <c r="E48" i="3" a="1"/>
  <c r="E48" i="3" s="1"/>
  <c r="E49" i="3" a="1"/>
  <c r="E49" i="3"/>
  <c r="E50" i="3" a="1"/>
  <c r="E50" i="3"/>
  <c r="E51" i="3" a="1"/>
  <c r="E51" i="3" s="1"/>
  <c r="E52" i="3" a="1"/>
  <c r="E52" i="3" s="1"/>
  <c r="E53" i="3" a="1"/>
  <c r="E53" i="3"/>
  <c r="E54" i="3" a="1"/>
  <c r="E54" i="3"/>
  <c r="E55" i="3" a="1"/>
  <c r="E55" i="3" s="1"/>
  <c r="E56" i="3" a="1"/>
  <c r="E56" i="3" s="1"/>
  <c r="E57" i="3" a="1"/>
  <c r="E57" i="3"/>
  <c r="E58" i="3" a="1"/>
  <c r="E58" i="3"/>
  <c r="E59" i="3" a="1"/>
  <c r="E59" i="3" s="1"/>
  <c r="E60" i="3" a="1"/>
  <c r="E60" i="3" s="1"/>
  <c r="E61" i="3" a="1"/>
  <c r="E61" i="3"/>
  <c r="E62" i="3" a="1"/>
  <c r="E62" i="3"/>
  <c r="E63" i="3" a="1"/>
  <c r="E63" i="3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2" i="3"/>
  <c r="F6" i="2"/>
  <c r="F3" i="2"/>
  <c r="F4" i="2"/>
  <c r="F5" i="2"/>
  <c r="F7" i="2"/>
  <c r="F8" i="2"/>
  <c r="F9" i="2"/>
  <c r="F10" i="2"/>
  <c r="F11" i="2"/>
  <c r="F12" i="2"/>
  <c r="F13" i="2"/>
  <c r="F2" i="2"/>
  <c r="D3" i="2"/>
  <c r="D4" i="2"/>
  <c r="D5" i="2"/>
  <c r="D6" i="2"/>
  <c r="D7" i="2"/>
  <c r="D8" i="2"/>
  <c r="D9" i="2"/>
  <c r="D10" i="2"/>
  <c r="D11" i="2"/>
  <c r="D12" i="2"/>
  <c r="D13" i="2"/>
  <c r="D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<sst xmlns="http://schemas.openxmlformats.org/spreadsheetml/2006/main" count="91" uniqueCount="29">
  <si>
    <t>Сумма сделки</t>
  </si>
  <si>
    <t>Сумма скидки</t>
  </si>
  <si>
    <t>Месяц</t>
  </si>
  <si>
    <t>План</t>
  </si>
  <si>
    <t>Факт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</si>
  <si>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</si>
  <si>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</si>
  <si>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</si>
  <si>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</si>
  <si>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</si>
  <si>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</si>
  <si>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</si>
  <si>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</si>
  <si>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</si>
  <si>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</si>
  <si>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</si>
  <si>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</si>
  <si>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Сетка</t>
  </si>
  <si>
    <t>Столы</t>
  </si>
  <si>
    <t>Стулья</t>
  </si>
  <si>
    <t>Тумбы</t>
  </si>
  <si>
    <t>Дата</t>
  </si>
  <si>
    <t>Продукт</t>
  </si>
  <si>
    <t>Стоимость</t>
  </si>
  <si>
    <t>Комиссия</t>
  </si>
  <si>
    <t>Другое</t>
  </si>
  <si>
    <t>Больше -&gt;</t>
  </si>
  <si>
    <t>Скидка -&gt;</t>
  </si>
  <si>
    <t>ЕСЛИМН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</si>
</sst>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</cellStyleXfs>
  <cellXfs count="19">
    <xf numFmtId="0" fontId="0" fillId="0" borderId="0" xfId="0"/>
    <xf numFmtId="3" fontId="0" fillId="0" borderId="0" xfId="0" applyNumberFormat="1" applyAlignment="1">
      <alignment horizontal="center"/>
    </xf>
    <xf numFmtId="9" fontId="0" fillId="0" borderId="0" xfId="0" applyNumberFormat="1"/>
    <xf numFmtId="0" fontId="0" fillId="0" borderId="0" xfId="0" applyAlignment="1"/>
    <xf numFmtId="164" fontId="3" fillId="0" borderId="0" xfId="1" applyNumberFormat="1" applyFont="1" applyAlignment="1">
      <alignment horizontal="center" vertical="center"/>
    </xf>
    <xf numFmtId="0" fontId="0" fillId="0" borderId="0" xfId="0" applyBorder="1"/>
    <xf numFmtId="14" fontId="0" fillId="0" borderId="0" xfId="0" applyNumberFormat="1"/>
    <xf numFmtId="0" fontId="5" fillId="0" borderId="2" xfId="4"/>
    <xf numFmtId="0" fontId="4" fillId="0" borderId="1" xfId="3"/>
    <xf numFmtId="0" fontId="4" fillId="0" borderId="1" xfId="3" applyAlignment="1">
      <alignment horizontal="center" vertical="center"/>
    </xf>
    <xf numFmtId="164" fontId="0" fillId="0" borderId="0" xfId="1" applyNumberFormat="1" applyFont="1"/>
    <xf numFmtId="9" fontId="0" fillId="0" borderId="0" xfId="0" applyNumberFormat="1" applyBorder="1"/>
    <xf numFmtId="14" fontId="0" fillId="0" borderId="0" xfId="0" applyNumberFormat="1" applyAlignment="1">
      <alignment horizontal="center"/>
    </xf>
    <xf numFmtId="0" fontId="0" fillId="0" borderId="0" xfId="0" applyFill="1" applyBorder="1"/>
    <xf numFmtId="0" fontId="0" fillId="3" borderId="0" xfId="0" applyFill="1"/>
    <xf numFmtId="0" fontId="2" fillId="2" borderId="0" xfId="2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5">
    <cellStyle name="Заголовок 2" xfId="3" builtinId="17"/>
    <cellStyle name="Заголовок 3" xfId="4" builtinId="18"/>
    <cellStyle name="Нейтральный" xfId="2" builtinId="28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C11" sqref="C11"/>
    </sheetView>
  </sheetViews>
  <sheetFormatPr defaultRowHeight="14.4" x14ac:dyDescent="0.55000000000000004"/>
  <cols>
    <col min="1" max="1" width="10.15625" bestFit="1" customWidth="1"/>
    <col min="2" max="2" width="16.41796875" bestFit="1" customWidth="1"/>
    <col min="3" max="3" width="19.41796875" bestFit="1" customWidth="1"/>
    <col min="6" max="6" width="8.83984375" customWidth="1"/>
  </cols>
  <sheetData>
    <row r="1" spans="1:13" ht="17.100000000000001" thickBot="1" x14ac:dyDescent="0.7">
      <c r="A1" s="8" t="s">
        <v>21</v>
      </c>
      <c r="B1" s="8" t="s">
        <v>0</v>
      </c>
      <c r="C1" s="8" t="s">
        <v>1</v>
      </c>
      <c r="F1" s="5"/>
      <c r="G1" s="13"/>
      <c r="H1" s="5"/>
      <c r="I1" s="5"/>
      <c r="J1" s="5"/>
      <c r="K1" s="5"/>
      <c r="L1" s="5"/>
      <c r="M1" s="5"/>
    </row>
    <row r="2" spans="1:13" ht="15.9" thickTop="1" x14ac:dyDescent="0.55000000000000004">
      <c r="A2" s="12">
        <v>43881</v>
      </c>
      <c r="B2" s="4">
        <v>10127</v>
      </c>
      <c r="C2" s="17">
        <f>IF(B2&gt;$F$2,$F$3*B2,0)</f>
        <v>0</v>
      </c>
      <c r="E2" t="s">
        <v>26</v>
      </c>
      <c r="F2" s="5">
        <v>18000</v>
      </c>
      <c r="G2" s="5"/>
      <c r="H2" s="5"/>
      <c r="I2" s="5"/>
      <c r="J2" s="5"/>
      <c r="K2" s="5"/>
      <c r="L2" s="5"/>
      <c r="M2" s="5"/>
    </row>
    <row r="3" spans="1:13" ht="15.6" x14ac:dyDescent="0.55000000000000004">
      <c r="A3" s="12">
        <v>43890</v>
      </c>
      <c r="B3" s="4">
        <v>15304</v>
      </c>
      <c r="C3" s="17">
        <f t="shared" ref="C3:C18" si="0">IF(B3&gt;$F$2,$F$3*B3,0)</f>
        <v>0</v>
      </c>
      <c r="E3" t="s">
        <v>27</v>
      </c>
      <c r="F3" s="2">
        <v>0.04</v>
      </c>
      <c r="G3" s="2"/>
      <c r="H3" s="5"/>
      <c r="I3" s="5"/>
      <c r="J3" s="5"/>
      <c r="K3" s="5"/>
      <c r="L3" s="5"/>
      <c r="M3" s="5"/>
    </row>
    <row r="4" spans="1:13" ht="15.6" x14ac:dyDescent="0.55000000000000004">
      <c r="A4" s="12">
        <v>44086</v>
      </c>
      <c r="B4" s="4">
        <v>15866</v>
      </c>
      <c r="C4" s="17">
        <f t="shared" si="0"/>
        <v>0</v>
      </c>
      <c r="F4" s="5"/>
      <c r="G4" s="11"/>
      <c r="H4" s="5"/>
      <c r="I4" s="5"/>
      <c r="J4" s="5"/>
      <c r="K4" s="5"/>
      <c r="L4" s="5"/>
      <c r="M4" s="5"/>
    </row>
    <row r="5" spans="1:13" ht="15.6" x14ac:dyDescent="0.55000000000000004">
      <c r="A5" s="12">
        <v>43998</v>
      </c>
      <c r="B5" s="4">
        <v>15012</v>
      </c>
      <c r="C5" s="17">
        <f t="shared" si="0"/>
        <v>0</v>
      </c>
      <c r="F5" s="5"/>
      <c r="G5" s="5"/>
      <c r="H5" s="5"/>
      <c r="I5" s="5"/>
      <c r="J5" s="5"/>
      <c r="K5" s="5"/>
      <c r="L5" s="5"/>
      <c r="M5" s="5"/>
    </row>
    <row r="6" spans="1:13" ht="15.6" x14ac:dyDescent="0.55000000000000004">
      <c r="A6" s="12">
        <v>44007</v>
      </c>
      <c r="B6" s="4">
        <v>11618</v>
      </c>
      <c r="C6" s="17">
        <f t="shared" si="0"/>
        <v>0</v>
      </c>
      <c r="F6" s="5"/>
      <c r="G6" s="5"/>
      <c r="H6" s="5"/>
      <c r="I6" s="5"/>
      <c r="J6" s="5"/>
      <c r="K6" s="5"/>
      <c r="L6" s="5"/>
      <c r="M6" s="5"/>
    </row>
    <row r="7" spans="1:13" ht="15.6" x14ac:dyDescent="0.55000000000000004">
      <c r="A7" s="12">
        <v>43947</v>
      </c>
      <c r="B7" s="4">
        <v>15768</v>
      </c>
      <c r="C7" s="17">
        <f t="shared" si="0"/>
        <v>0</v>
      </c>
      <c r="F7" s="5"/>
      <c r="G7" s="5"/>
      <c r="H7" s="5"/>
      <c r="I7" s="5"/>
      <c r="J7" s="5"/>
      <c r="K7" s="5"/>
      <c r="L7" s="5"/>
      <c r="M7" s="5"/>
    </row>
    <row r="8" spans="1:13" ht="15.6" x14ac:dyDescent="0.55000000000000004">
      <c r="A8" s="12">
        <v>43857</v>
      </c>
      <c r="B8" s="4">
        <v>10974</v>
      </c>
      <c r="C8" s="17">
        <f t="shared" si="0"/>
        <v>0</v>
      </c>
      <c r="F8" s="5"/>
      <c r="G8" s="5"/>
      <c r="H8" s="5"/>
      <c r="I8" s="5"/>
      <c r="J8" s="5"/>
      <c r="K8" s="5"/>
      <c r="L8" s="5"/>
      <c r="M8" s="5"/>
    </row>
    <row r="9" spans="1:13" ht="15.6" x14ac:dyDescent="0.55000000000000004">
      <c r="A9" s="12">
        <v>43919</v>
      </c>
      <c r="B9" s="4">
        <v>15017</v>
      </c>
      <c r="C9" s="17">
        <f t="shared" si="0"/>
        <v>0</v>
      </c>
      <c r="F9" s="5"/>
      <c r="G9" s="5"/>
      <c r="H9" s="5"/>
      <c r="I9" s="5"/>
      <c r="J9" s="5"/>
      <c r="K9" s="5"/>
      <c r="L9" s="5"/>
      <c r="M9" s="5"/>
    </row>
    <row r="10" spans="1:13" ht="15.6" x14ac:dyDescent="0.55000000000000004">
      <c r="A10" s="12">
        <v>43932</v>
      </c>
      <c r="B10" s="4">
        <v>19835</v>
      </c>
      <c r="C10" s="17">
        <f t="shared" si="0"/>
        <v>793.4</v>
      </c>
      <c r="F10" s="5"/>
      <c r="G10" s="5"/>
      <c r="H10" s="5"/>
      <c r="I10" s="5"/>
      <c r="J10" s="5"/>
      <c r="K10" s="5"/>
      <c r="L10" s="5"/>
      <c r="M10" s="5"/>
    </row>
    <row r="11" spans="1:13" ht="15.6" x14ac:dyDescent="0.55000000000000004">
      <c r="A11" s="12">
        <v>43947</v>
      </c>
      <c r="B11" s="4">
        <v>26426</v>
      </c>
      <c r="C11" s="17">
        <f t="shared" si="0"/>
        <v>1057.04</v>
      </c>
      <c r="F11" s="5"/>
      <c r="G11" s="5"/>
      <c r="H11" s="5"/>
      <c r="I11" s="5"/>
      <c r="J11" s="5"/>
      <c r="K11" s="5"/>
      <c r="L11" s="5"/>
      <c r="M11" s="5"/>
    </row>
    <row r="12" spans="1:13" ht="15.6" x14ac:dyDescent="0.55000000000000004">
      <c r="A12" s="12">
        <v>43939</v>
      </c>
      <c r="B12" s="4">
        <v>11288</v>
      </c>
      <c r="C12" s="17">
        <f t="shared" si="0"/>
        <v>0</v>
      </c>
    </row>
    <row r="13" spans="1:13" ht="15.6" x14ac:dyDescent="0.55000000000000004">
      <c r="A13" s="12">
        <v>44118</v>
      </c>
      <c r="B13" s="4">
        <v>15945</v>
      </c>
      <c r="C13" s="17">
        <f t="shared" si="0"/>
        <v>0</v>
      </c>
    </row>
    <row r="14" spans="1:13" ht="15.6" x14ac:dyDescent="0.55000000000000004">
      <c r="A14" s="12">
        <v>43937</v>
      </c>
      <c r="B14" s="4">
        <v>19721</v>
      </c>
      <c r="C14" s="17">
        <f t="shared" si="0"/>
        <v>788.84</v>
      </c>
    </row>
    <row r="15" spans="1:13" ht="15.6" x14ac:dyDescent="0.55000000000000004">
      <c r="A15" s="12">
        <v>44030</v>
      </c>
      <c r="B15" s="4">
        <v>16408</v>
      </c>
      <c r="C15" s="17">
        <f t="shared" si="0"/>
        <v>0</v>
      </c>
    </row>
    <row r="16" spans="1:13" ht="15.6" x14ac:dyDescent="0.55000000000000004">
      <c r="A16" s="12">
        <v>44058</v>
      </c>
      <c r="B16" s="4">
        <v>27712</v>
      </c>
      <c r="C16" s="17">
        <f t="shared" si="0"/>
        <v>1108.48</v>
      </c>
    </row>
    <row r="17" spans="1:3" ht="15.6" x14ac:dyDescent="0.55000000000000004">
      <c r="A17" s="12">
        <v>43983</v>
      </c>
      <c r="B17" s="4">
        <v>15834</v>
      </c>
      <c r="C17" s="17">
        <f t="shared" si="0"/>
        <v>0</v>
      </c>
    </row>
    <row r="18" spans="1:3" ht="15.6" x14ac:dyDescent="0.55000000000000004">
      <c r="A18" s="12">
        <v>44027</v>
      </c>
      <c r="B18" s="4">
        <v>16261</v>
      </c>
      <c r="C18" s="17">
        <f t="shared" si="0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DEDB6-5305-41A2-9702-4C998E618FED}">
  <dimension ref="A1:F13"/>
  <sheetViews>
    <sheetView workbookViewId="0">
      <selection activeCell="F7" sqref="F7"/>
    </sheetView>
  </sheetViews>
  <sheetFormatPr defaultRowHeight="14.4" x14ac:dyDescent="0.55000000000000004"/>
  <cols>
    <col min="4" max="4" width="17.15625" customWidth="1"/>
    <col min="6" max="6" width="16.83984375" bestFit="1" customWidth="1"/>
  </cols>
  <sheetData>
    <row r="1" spans="1:6" ht="17.100000000000001" thickBot="1" x14ac:dyDescent="0.6">
      <c r="A1" s="9" t="s">
        <v>2</v>
      </c>
      <c r="B1" s="9" t="s">
        <v>3</v>
      </c>
      <c r="C1" s="9" t="s">
        <v>4</v>
      </c>
    </row>
    <row r="2" spans="1:6" ht="14.7" thickTop="1" x14ac:dyDescent="0.55000000000000004">
      <c r="A2" t="s">
        <v>5</v>
      </c>
      <c r="B2" s="1">
        <v>20000</v>
      </c>
      <c r="C2" s="1">
        <v>22834</v>
      </c>
      <c r="D2">
        <f>IF(B2&gt;C2,"План не выполнен!",C2-B2)</f>
        <v>2834</v>
      </c>
      <c r="F2" s="16">
        <f>IF(ISBLANK(B2),"План не введен!",IF(B2&gt;C2,"План не выполнен!",C2-B2))</f>
        <v>2834</v>
      </c>
    </row>
    <row r="3" spans="1:6" x14ac:dyDescent="0.55000000000000004">
      <c r="A3" t="s">
        <v>6</v>
      </c>
      <c r="B3" s="1">
        <v>20000</v>
      </c>
      <c r="C3" s="1">
        <v>20897</v>
      </c>
      <c r="D3">
        <f t="shared" ref="D3:D13" si="0">IF(B3&gt;C3,"План не выполнен!",C3-B3)</f>
        <v>897</v>
      </c>
      <c r="F3" s="16">
        <f t="shared" ref="F3:F13" si="1">IF(ISBLANK(B3),"План не введен!",IF(B3&gt;C3,"План не выполнен!",C3-B3))</f>
        <v>897</v>
      </c>
    </row>
    <row r="4" spans="1:6" x14ac:dyDescent="0.55000000000000004">
      <c r="A4" t="s">
        <v>7</v>
      </c>
      <c r="B4" s="1">
        <v>25000</v>
      </c>
      <c r="C4" s="1">
        <v>21177</v>
      </c>
      <c r="D4" t="str">
        <f t="shared" si="0"/>
        <v>План не выполнен!</v>
      </c>
      <c r="F4" s="16" t="str">
        <f t="shared" si="1"/>
        <v>План не выполнен!</v>
      </c>
    </row>
    <row r="5" spans="1:6" x14ac:dyDescent="0.55000000000000004">
      <c r="A5" t="s">
        <v>8</v>
      </c>
      <c r="B5" s="1">
        <v>30000</v>
      </c>
      <c r="C5" s="1">
        <v>28610</v>
      </c>
      <c r="D5" t="str">
        <f t="shared" si="0"/>
        <v>План не выполнен!</v>
      </c>
      <c r="F5" s="16" t="str">
        <f t="shared" si="1"/>
        <v>План не выполнен!</v>
      </c>
    </row>
    <row r="6" spans="1:6" x14ac:dyDescent="0.55000000000000004">
      <c r="A6" t="s">
        <v>9</v>
      </c>
      <c r="B6" s="1"/>
      <c r="C6" s="1">
        <v>29355</v>
      </c>
      <c r="D6">
        <f t="shared" si="0"/>
        <v>29355</v>
      </c>
      <c r="F6" s="16" t="str">
        <f>IF(ISBLANK(B6),"План не введен!",IF(B6&gt;C6,"План не выполнен!",C6-B6))</f>
        <v>План не введен!</v>
      </c>
    </row>
    <row r="7" spans="1:6" x14ac:dyDescent="0.55000000000000004">
      <c r="A7" t="s">
        <v>10</v>
      </c>
      <c r="B7" s="1">
        <v>25000</v>
      </c>
      <c r="C7" s="1">
        <v>22589</v>
      </c>
      <c r="D7" t="str">
        <f t="shared" si="0"/>
        <v>План не выполнен!</v>
      </c>
      <c r="F7" s="16" t="str">
        <f t="shared" si="1"/>
        <v>План не выполнен!</v>
      </c>
    </row>
    <row r="8" spans="1:6" x14ac:dyDescent="0.55000000000000004">
      <c r="A8" t="s">
        <v>11</v>
      </c>
      <c r="B8" s="1">
        <v>25000</v>
      </c>
      <c r="C8" s="1">
        <v>28084</v>
      </c>
      <c r="D8">
        <f t="shared" si="0"/>
        <v>3084</v>
      </c>
      <c r="F8" s="16">
        <f t="shared" si="1"/>
        <v>3084</v>
      </c>
    </row>
    <row r="9" spans="1:6" x14ac:dyDescent="0.55000000000000004">
      <c r="A9" t="s">
        <v>12</v>
      </c>
      <c r="B9" s="1">
        <v>30000</v>
      </c>
      <c r="C9" s="1">
        <v>31857</v>
      </c>
      <c r="D9">
        <f t="shared" si="0"/>
        <v>1857</v>
      </c>
      <c r="F9" s="16">
        <f t="shared" si="1"/>
        <v>1857</v>
      </c>
    </row>
    <row r="10" spans="1:6" x14ac:dyDescent="0.55000000000000004">
      <c r="A10" t="s">
        <v>13</v>
      </c>
      <c r="B10" s="1">
        <v>45000</v>
      </c>
      <c r="C10" s="1">
        <v>43288</v>
      </c>
      <c r="D10" t="str">
        <f t="shared" si="0"/>
        <v>План не выполнен!</v>
      </c>
      <c r="F10" s="16" t="str">
        <f t="shared" si="1"/>
        <v>План не выполнен!</v>
      </c>
    </row>
    <row r="11" spans="1:6" x14ac:dyDescent="0.55000000000000004">
      <c r="A11" t="s">
        <v>14</v>
      </c>
      <c r="B11" s="1">
        <v>45000</v>
      </c>
      <c r="C11" s="1">
        <v>48352</v>
      </c>
      <c r="D11">
        <f t="shared" si="0"/>
        <v>3352</v>
      </c>
      <c r="F11" s="16">
        <f t="shared" si="1"/>
        <v>3352</v>
      </c>
    </row>
    <row r="12" spans="1:6" x14ac:dyDescent="0.55000000000000004">
      <c r="A12" t="s">
        <v>15</v>
      </c>
      <c r="B12" s="1">
        <v>50000</v>
      </c>
      <c r="C12" s="1">
        <v>53224</v>
      </c>
      <c r="D12">
        <f t="shared" si="0"/>
        <v>3224</v>
      </c>
      <c r="F12" s="16">
        <f t="shared" si="1"/>
        <v>3224</v>
      </c>
    </row>
    <row r="13" spans="1:6" x14ac:dyDescent="0.55000000000000004">
      <c r="A13" t="s">
        <v>16</v>
      </c>
      <c r="B13" s="1">
        <v>40000</v>
      </c>
      <c r="C13" s="1">
        <v>38485</v>
      </c>
      <c r="D13" t="str">
        <f t="shared" si="0"/>
        <v>План не выполнен!</v>
      </c>
      <c r="F13" s="16" t="str">
        <f t="shared" si="1"/>
        <v>План не выполнен!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D93FD-4467-4762-B9AD-3034FC30DBAD}">
  <dimension ref="A1:M63"/>
  <sheetViews>
    <sheetView workbookViewId="0">
      <pane ySplit="1" topLeftCell="A32" activePane="bottomLeft" state="frozen"/>
      <selection pane="bottomLeft" activeCell="A59" sqref="A59"/>
    </sheetView>
  </sheetViews>
  <sheetFormatPr defaultRowHeight="14.4" x14ac:dyDescent="0.55000000000000004"/>
  <cols>
    <col min="1" max="1" width="14.15625" customWidth="1"/>
    <col min="2" max="2" width="12.68359375" customWidth="1"/>
    <col min="3" max="3" width="10.83984375" customWidth="1"/>
    <col min="4" max="4" width="11.41796875" customWidth="1"/>
    <col min="5" max="5" width="11.734375" customWidth="1"/>
    <col min="6" max="6" width="10.15625" bestFit="1" customWidth="1"/>
    <col min="11" max="11" width="11.41796875" customWidth="1"/>
    <col min="12" max="12" width="11" customWidth="1"/>
  </cols>
  <sheetData>
    <row r="1" spans="1:13" ht="14.7" thickBot="1" x14ac:dyDescent="0.6">
      <c r="A1" s="7" t="s">
        <v>21</v>
      </c>
      <c r="B1" s="7" t="s">
        <v>22</v>
      </c>
      <c r="C1" s="7" t="s">
        <v>23</v>
      </c>
      <c r="D1" s="7" t="s">
        <v>24</v>
      </c>
      <c r="E1" s="7" t="s">
        <v>28</v>
      </c>
    </row>
    <row r="2" spans="1:13" x14ac:dyDescent="0.55000000000000004">
      <c r="A2" s="6">
        <v>44007</v>
      </c>
      <c r="B2" t="s">
        <v>20</v>
      </c>
      <c r="C2" s="10">
        <v>31636</v>
      </c>
      <c r="D2" s="10">
        <f>IF(B2=$K$3,$L$3*C2,IF(B2=$K$4,$L$4*C2,IF(B2=$K$5,$L$5*C2,0)))</f>
        <v>632.72</v>
      </c>
      <c r="E2" s="18" cm="1">
        <f t="array" ref="E2">_xlfn.IFS(B2="Столы",C2*$L$3,B2="Стулья",$L$4*C2,B2="Тумбы",$L$5*C2)</f>
        <v>632.72</v>
      </c>
      <c r="F2" s="6"/>
      <c r="K2" s="15" t="s">
        <v>17</v>
      </c>
      <c r="L2" s="15"/>
      <c r="M2" s="3"/>
    </row>
    <row r="3" spans="1:13" x14ac:dyDescent="0.55000000000000004">
      <c r="A3" s="6">
        <v>43982</v>
      </c>
      <c r="B3" t="s">
        <v>19</v>
      </c>
      <c r="C3" s="10">
        <v>30486</v>
      </c>
      <c r="D3" s="10">
        <f t="shared" ref="D3:D63" si="0">IF(B3=$K$3,$L$3*C3,IF(B3=$K$4,$L$4*C3,IF(B3=$K$5,$L$5*C3,0)))</f>
        <v>1829.1599999999999</v>
      </c>
      <c r="E3" s="18" cm="1">
        <f t="array" ref="E3">_xlfn.IFS(B3="Столы",C3*$L$3,B3="Стулья",$L$4*C3,B3="Тумбы",$L$5*C3)</f>
        <v>1829.1599999999999</v>
      </c>
      <c r="F3" s="6"/>
      <c r="K3" t="s">
        <v>18</v>
      </c>
      <c r="L3" s="2">
        <v>0.12</v>
      </c>
    </row>
    <row r="4" spans="1:13" x14ac:dyDescent="0.55000000000000004">
      <c r="A4" s="6">
        <v>44031</v>
      </c>
      <c r="B4" t="s">
        <v>19</v>
      </c>
      <c r="C4" s="10">
        <v>44581</v>
      </c>
      <c r="D4" s="10">
        <f t="shared" si="0"/>
        <v>2674.86</v>
      </c>
      <c r="E4" s="18" cm="1">
        <f t="array" ref="E4">_xlfn.IFS(B4="Столы",C4*$L$3,B4="Стулья",$L$4*C4,B4="Тумбы",$L$5*C4)</f>
        <v>2674.86</v>
      </c>
      <c r="K4" t="s">
        <v>19</v>
      </c>
      <c r="L4" s="2">
        <v>0.06</v>
      </c>
    </row>
    <row r="5" spans="1:13" x14ac:dyDescent="0.55000000000000004">
      <c r="A5" s="6">
        <v>44070</v>
      </c>
      <c r="B5" t="s">
        <v>19</v>
      </c>
      <c r="C5" s="10">
        <v>20360</v>
      </c>
      <c r="D5" s="10">
        <f t="shared" si="0"/>
        <v>1221.5999999999999</v>
      </c>
      <c r="E5" s="18" cm="1">
        <f t="array" ref="E5">_xlfn.IFS(B5="Столы",C5*$L$3,B5="Стулья",$L$4*C5,B5="Тумбы",$L$5*C5)</f>
        <v>1221.5999999999999</v>
      </c>
      <c r="K5" t="s">
        <v>20</v>
      </c>
      <c r="L5" s="2">
        <v>0.02</v>
      </c>
    </row>
    <row r="6" spans="1:13" x14ac:dyDescent="0.55000000000000004">
      <c r="A6" s="6">
        <v>43882</v>
      </c>
      <c r="B6" t="s">
        <v>19</v>
      </c>
      <c r="C6" s="10">
        <v>47630</v>
      </c>
      <c r="D6" s="10">
        <f t="shared" si="0"/>
        <v>2857.7999999999997</v>
      </c>
      <c r="E6" s="18" cm="1">
        <f t="array" ref="E6">_xlfn.IFS(B6="Столы",C6*$L$3,B6="Стулья",$L$4*C6,B6="Тумбы",$L$5*C6)</f>
        <v>2857.7999999999997</v>
      </c>
    </row>
    <row r="7" spans="1:13" x14ac:dyDescent="0.55000000000000004">
      <c r="A7" s="6">
        <v>43911</v>
      </c>
      <c r="B7" t="s">
        <v>18</v>
      </c>
      <c r="C7" s="10">
        <v>18909</v>
      </c>
      <c r="D7" s="10">
        <f t="shared" si="0"/>
        <v>2269.08</v>
      </c>
      <c r="E7" s="18" cm="1">
        <f t="array" ref="E7">_xlfn.IFS(B7="Столы",C7*$L$3,B7="Стулья",$L$4*C7,B7="Тумбы",$L$5*C7)</f>
        <v>2269.08</v>
      </c>
    </row>
    <row r="8" spans="1:13" x14ac:dyDescent="0.55000000000000004">
      <c r="A8" s="6">
        <v>44106</v>
      </c>
      <c r="B8" t="s">
        <v>19</v>
      </c>
      <c r="C8" s="10">
        <v>39349</v>
      </c>
      <c r="D8" s="10">
        <f t="shared" si="0"/>
        <v>2360.94</v>
      </c>
      <c r="E8" s="18" cm="1">
        <f t="array" ref="E8">_xlfn.IFS(B8="Столы",C8*$L$3,B8="Стулья",$L$4*C8,B8="Тумбы",$L$5*C8)</f>
        <v>2360.94</v>
      </c>
    </row>
    <row r="9" spans="1:13" x14ac:dyDescent="0.55000000000000004">
      <c r="A9" s="6">
        <v>44109</v>
      </c>
      <c r="B9" t="s">
        <v>18</v>
      </c>
      <c r="C9" s="10">
        <v>48438</v>
      </c>
      <c r="D9" s="10">
        <f t="shared" si="0"/>
        <v>5812.5599999999995</v>
      </c>
      <c r="E9" s="18" cm="1">
        <f t="array" ref="E9">_xlfn.IFS(B9="Столы",C9*$L$3,B9="Стулья",$L$4*C9,B9="Тумбы",$L$5*C9)</f>
        <v>5812.5599999999995</v>
      </c>
    </row>
    <row r="10" spans="1:13" x14ac:dyDescent="0.55000000000000004">
      <c r="A10" s="6">
        <v>44096</v>
      </c>
      <c r="B10" t="s">
        <v>20</v>
      </c>
      <c r="C10" s="10">
        <v>22173</v>
      </c>
      <c r="D10" s="10">
        <f t="shared" si="0"/>
        <v>443.46000000000004</v>
      </c>
      <c r="E10" s="18" cm="1">
        <f t="array" ref="E10">_xlfn.IFS(B10="Столы",C10*$L$3,B10="Стулья",$L$4*C10,B10="Тумбы",$L$5*C10)</f>
        <v>443.46000000000004</v>
      </c>
    </row>
    <row r="11" spans="1:13" x14ac:dyDescent="0.55000000000000004">
      <c r="A11" s="6">
        <v>43902</v>
      </c>
      <c r="B11" t="s">
        <v>20</v>
      </c>
      <c r="C11" s="10">
        <v>42173</v>
      </c>
      <c r="D11" s="10">
        <f t="shared" si="0"/>
        <v>843.46</v>
      </c>
      <c r="E11" s="18" cm="1">
        <f t="array" ref="E11">_xlfn.IFS(B11="Столы",C11*$L$3,B11="Стулья",$L$4*C11,B11="Тумбы",$L$5*C11)</f>
        <v>843.46</v>
      </c>
    </row>
    <row r="12" spans="1:13" x14ac:dyDescent="0.55000000000000004">
      <c r="A12" s="6">
        <v>43875</v>
      </c>
      <c r="B12" t="s">
        <v>19</v>
      </c>
      <c r="C12" s="10">
        <v>14513</v>
      </c>
      <c r="D12" s="10">
        <f t="shared" si="0"/>
        <v>870.78</v>
      </c>
      <c r="E12" s="18" cm="1">
        <f t="array" ref="E12">_xlfn.IFS(B12="Столы",C12*$L$3,B12="Стулья",$L$4*C12,B12="Тумбы",$L$5*C12)</f>
        <v>870.78</v>
      </c>
    </row>
    <row r="13" spans="1:13" x14ac:dyDescent="0.55000000000000004">
      <c r="A13" s="6">
        <v>43875</v>
      </c>
      <c r="B13" t="s">
        <v>19</v>
      </c>
      <c r="C13" s="10">
        <v>19503</v>
      </c>
      <c r="D13" s="10">
        <f t="shared" si="0"/>
        <v>1170.18</v>
      </c>
      <c r="E13" s="18" cm="1">
        <f t="array" ref="E13">_xlfn.IFS(B13="Столы",C13*$L$3,B13="Стулья",$L$4*C13,B13="Тумбы",$L$5*C13)</f>
        <v>1170.18</v>
      </c>
    </row>
    <row r="14" spans="1:13" x14ac:dyDescent="0.55000000000000004">
      <c r="A14" s="6">
        <v>44107</v>
      </c>
      <c r="B14" t="s">
        <v>18</v>
      </c>
      <c r="C14" s="10">
        <v>13621</v>
      </c>
      <c r="D14" s="10">
        <f t="shared" si="0"/>
        <v>1634.52</v>
      </c>
      <c r="E14" s="18" cm="1">
        <f t="array" ref="E14">_xlfn.IFS(B14="Столы",C14*$L$3,B14="Стулья",$L$4*C14,B14="Тумбы",$L$5*C14)</f>
        <v>1634.52</v>
      </c>
    </row>
    <row r="15" spans="1:13" x14ac:dyDescent="0.55000000000000004">
      <c r="A15" s="6">
        <v>43876</v>
      </c>
      <c r="B15" t="s">
        <v>19</v>
      </c>
      <c r="C15" s="10">
        <v>13867</v>
      </c>
      <c r="D15" s="10">
        <f t="shared" si="0"/>
        <v>832.02</v>
      </c>
      <c r="E15" s="18" cm="1">
        <f t="array" ref="E15">_xlfn.IFS(B15="Столы",C15*$L$3,B15="Стулья",$L$4*C15,B15="Тумбы",$L$5*C15)</f>
        <v>832.02</v>
      </c>
    </row>
    <row r="16" spans="1:13" x14ac:dyDescent="0.55000000000000004">
      <c r="A16" s="6">
        <v>43870</v>
      </c>
      <c r="B16" t="s">
        <v>19</v>
      </c>
      <c r="C16" s="10">
        <v>36509</v>
      </c>
      <c r="D16" s="10">
        <f t="shared" si="0"/>
        <v>2190.54</v>
      </c>
      <c r="E16" s="18" cm="1">
        <f t="array" ref="E16">_xlfn.IFS(B16="Столы",C16*$L$3,B16="Стулья",$L$4*C16,B16="Тумбы",$L$5*C16)</f>
        <v>2190.54</v>
      </c>
    </row>
    <row r="17" spans="1:5" x14ac:dyDescent="0.55000000000000004">
      <c r="A17" s="6">
        <v>44007</v>
      </c>
      <c r="B17" t="s">
        <v>19</v>
      </c>
      <c r="C17" s="10">
        <v>28426</v>
      </c>
      <c r="D17" s="10">
        <f t="shared" si="0"/>
        <v>1705.56</v>
      </c>
      <c r="E17" s="18" cm="1">
        <f t="array" ref="E17">_xlfn.IFS(B17="Столы",C17*$L$3,B17="Стулья",$L$4*C17,B17="Тумбы",$L$5*C17)</f>
        <v>1705.56</v>
      </c>
    </row>
    <row r="18" spans="1:5" x14ac:dyDescent="0.55000000000000004">
      <c r="A18" s="6">
        <v>44070</v>
      </c>
      <c r="B18" t="s">
        <v>19</v>
      </c>
      <c r="C18" s="10">
        <v>32901</v>
      </c>
      <c r="D18" s="10">
        <f t="shared" si="0"/>
        <v>1974.06</v>
      </c>
      <c r="E18" s="18" cm="1">
        <f t="array" ref="E18">_xlfn.IFS(B18="Столы",C18*$L$3,B18="Стулья",$L$4*C18,B18="Тумбы",$L$5*C18)</f>
        <v>1974.06</v>
      </c>
    </row>
    <row r="19" spans="1:5" x14ac:dyDescent="0.55000000000000004">
      <c r="A19" s="6">
        <v>44058</v>
      </c>
      <c r="B19" t="s">
        <v>18</v>
      </c>
      <c r="C19" s="10">
        <v>23693</v>
      </c>
      <c r="D19" s="10">
        <f t="shared" si="0"/>
        <v>2843.16</v>
      </c>
      <c r="E19" s="18" cm="1">
        <f t="array" ref="E19">_xlfn.IFS(B19="Столы",C19*$L$3,B19="Стулья",$L$4*C19,B19="Тумбы",$L$5*C19)</f>
        <v>2843.16</v>
      </c>
    </row>
    <row r="20" spans="1:5" x14ac:dyDescent="0.55000000000000004">
      <c r="A20" s="6">
        <v>43881</v>
      </c>
      <c r="B20" t="s">
        <v>19</v>
      </c>
      <c r="C20" s="10">
        <v>32585</v>
      </c>
      <c r="D20" s="10">
        <f t="shared" si="0"/>
        <v>1955.1</v>
      </c>
      <c r="E20" s="18" cm="1">
        <f t="array" ref="E20">_xlfn.IFS(B20="Столы",C20*$L$3,B20="Стулья",$L$4*C20,B20="Тумбы",$L$5*C20)</f>
        <v>1955.1</v>
      </c>
    </row>
    <row r="21" spans="1:5" x14ac:dyDescent="0.55000000000000004">
      <c r="A21" s="6">
        <v>44039</v>
      </c>
      <c r="B21" t="s">
        <v>20</v>
      </c>
      <c r="C21" s="10">
        <v>26027</v>
      </c>
      <c r="D21" s="10">
        <f t="shared" si="0"/>
        <v>520.54</v>
      </c>
      <c r="E21" s="18" cm="1">
        <f t="array" ref="E21">_xlfn.IFS(B21="Столы",C21*$L$3,B21="Стулья",$L$4*C21,B21="Тумбы",$L$5*C21)</f>
        <v>520.54</v>
      </c>
    </row>
    <row r="22" spans="1:5" x14ac:dyDescent="0.55000000000000004">
      <c r="A22" s="6">
        <v>44091</v>
      </c>
      <c r="B22" t="s">
        <v>19</v>
      </c>
      <c r="C22" s="10">
        <v>37913</v>
      </c>
      <c r="D22" s="10">
        <f t="shared" si="0"/>
        <v>2274.7799999999997</v>
      </c>
      <c r="E22" s="18" cm="1">
        <f t="array" ref="E22">_xlfn.IFS(B22="Столы",C22*$L$3,B22="Стулья",$L$4*C22,B22="Тумбы",$L$5*C22)</f>
        <v>2274.7799999999997</v>
      </c>
    </row>
    <row r="23" spans="1:5" x14ac:dyDescent="0.55000000000000004">
      <c r="A23" s="6">
        <v>44090</v>
      </c>
      <c r="B23" t="s">
        <v>19</v>
      </c>
      <c r="C23" s="10">
        <v>37983</v>
      </c>
      <c r="D23" s="10">
        <f t="shared" si="0"/>
        <v>2278.98</v>
      </c>
      <c r="E23" s="18" cm="1">
        <f t="array" ref="E23">_xlfn.IFS(B23="Столы",C23*$L$3,B23="Стулья",$L$4*C23,B23="Тумбы",$L$5*C23)</f>
        <v>2278.98</v>
      </c>
    </row>
    <row r="24" spans="1:5" x14ac:dyDescent="0.55000000000000004">
      <c r="A24" s="6">
        <v>43891</v>
      </c>
      <c r="B24" t="s">
        <v>19</v>
      </c>
      <c r="C24" s="10">
        <v>32376</v>
      </c>
      <c r="D24" s="10">
        <f t="shared" si="0"/>
        <v>1942.56</v>
      </c>
      <c r="E24" s="18" cm="1">
        <f t="array" ref="E24">_xlfn.IFS(B24="Столы",C24*$L$3,B24="Стулья",$L$4*C24,B24="Тумбы",$L$5*C24)</f>
        <v>1942.56</v>
      </c>
    </row>
    <row r="25" spans="1:5" x14ac:dyDescent="0.55000000000000004">
      <c r="A25" s="6">
        <v>44007</v>
      </c>
      <c r="B25" t="s">
        <v>18</v>
      </c>
      <c r="C25" s="10">
        <v>32290</v>
      </c>
      <c r="D25" s="10">
        <f t="shared" si="0"/>
        <v>3874.7999999999997</v>
      </c>
      <c r="E25" s="18" cm="1">
        <f t="array" ref="E25">_xlfn.IFS(B25="Столы",C25*$L$3,B25="Стулья",$L$4*C25,B25="Тумбы",$L$5*C25)</f>
        <v>3874.7999999999997</v>
      </c>
    </row>
    <row r="26" spans="1:5" x14ac:dyDescent="0.55000000000000004">
      <c r="A26" s="6">
        <v>43995</v>
      </c>
      <c r="B26" t="s">
        <v>18</v>
      </c>
      <c r="C26" s="10">
        <v>20835</v>
      </c>
      <c r="D26" s="10">
        <f t="shared" si="0"/>
        <v>2500.1999999999998</v>
      </c>
      <c r="E26" s="18" cm="1">
        <f t="array" ref="E26">_xlfn.IFS(B26="Столы",C26*$L$3,B26="Стулья",$L$4*C26,B26="Тумбы",$L$5*C26)</f>
        <v>2500.1999999999998</v>
      </c>
    </row>
    <row r="27" spans="1:5" x14ac:dyDescent="0.55000000000000004">
      <c r="A27" s="6">
        <v>43847</v>
      </c>
      <c r="B27" t="s">
        <v>19</v>
      </c>
      <c r="C27" s="10">
        <v>14760</v>
      </c>
      <c r="D27" s="10">
        <f t="shared" si="0"/>
        <v>885.6</v>
      </c>
      <c r="E27" s="18" cm="1">
        <f t="array" ref="E27">_xlfn.IFS(B27="Столы",C27*$L$3,B27="Стулья",$L$4*C27,B27="Тумбы",$L$5*C27)</f>
        <v>885.6</v>
      </c>
    </row>
    <row r="28" spans="1:5" x14ac:dyDescent="0.55000000000000004">
      <c r="A28" s="6">
        <v>43851</v>
      </c>
      <c r="B28" t="s">
        <v>18</v>
      </c>
      <c r="C28" s="10">
        <v>21045</v>
      </c>
      <c r="D28" s="10">
        <f t="shared" si="0"/>
        <v>2525.4</v>
      </c>
      <c r="E28" s="18" cm="1">
        <f t="array" ref="E28">_xlfn.IFS(B28="Столы",C28*$L$3,B28="Стулья",$L$4*C28,B28="Тумбы",$L$5*C28)</f>
        <v>2525.4</v>
      </c>
    </row>
    <row r="29" spans="1:5" x14ac:dyDescent="0.55000000000000004">
      <c r="A29" s="6">
        <v>44099</v>
      </c>
      <c r="B29" t="s">
        <v>19</v>
      </c>
      <c r="C29" s="10">
        <v>32345</v>
      </c>
      <c r="D29" s="10">
        <f t="shared" si="0"/>
        <v>1940.6999999999998</v>
      </c>
      <c r="E29" s="18" cm="1">
        <f t="array" ref="E29">_xlfn.IFS(B29="Столы",C29*$L$3,B29="Стулья",$L$4*C29,B29="Тумбы",$L$5*C29)</f>
        <v>1940.6999999999998</v>
      </c>
    </row>
    <row r="30" spans="1:5" x14ac:dyDescent="0.55000000000000004">
      <c r="A30" s="6">
        <v>43955</v>
      </c>
      <c r="B30" t="s">
        <v>18</v>
      </c>
      <c r="C30" s="10">
        <v>25056</v>
      </c>
      <c r="D30" s="10">
        <f t="shared" si="0"/>
        <v>3006.72</v>
      </c>
      <c r="E30" s="18" cm="1">
        <f t="array" ref="E30">_xlfn.IFS(B30="Столы",C30*$L$3,B30="Стулья",$L$4*C30,B30="Тумбы",$L$5*C30)</f>
        <v>3006.72</v>
      </c>
    </row>
    <row r="31" spans="1:5" x14ac:dyDescent="0.55000000000000004">
      <c r="A31" s="6">
        <v>43861</v>
      </c>
      <c r="B31" t="s">
        <v>19</v>
      </c>
      <c r="C31" s="10">
        <v>28872</v>
      </c>
      <c r="D31" s="10">
        <f t="shared" si="0"/>
        <v>1732.32</v>
      </c>
      <c r="E31" s="18" cm="1">
        <f t="array" ref="E31">_xlfn.IFS(B31="Столы",C31*$L$3,B31="Стулья",$L$4*C31,B31="Тумбы",$L$5*C31)</f>
        <v>1732.32</v>
      </c>
    </row>
    <row r="32" spans="1:5" x14ac:dyDescent="0.55000000000000004">
      <c r="A32" s="6">
        <v>43884</v>
      </c>
      <c r="B32" t="s">
        <v>18</v>
      </c>
      <c r="C32" s="10">
        <v>48919</v>
      </c>
      <c r="D32" s="10">
        <f t="shared" si="0"/>
        <v>5870.28</v>
      </c>
      <c r="E32" s="18" cm="1">
        <f t="array" ref="E32">_xlfn.IFS(B32="Столы",C32*$L$3,B32="Стулья",$L$4*C32,B32="Тумбы",$L$5*C32)</f>
        <v>5870.28</v>
      </c>
    </row>
    <row r="33" spans="1:5" x14ac:dyDescent="0.55000000000000004">
      <c r="A33" s="6">
        <v>43947</v>
      </c>
      <c r="B33" t="s">
        <v>19</v>
      </c>
      <c r="C33" s="10">
        <v>14157</v>
      </c>
      <c r="D33" s="10">
        <f t="shared" si="0"/>
        <v>849.42</v>
      </c>
      <c r="E33" s="18" cm="1">
        <f t="array" ref="E33">_xlfn.IFS(B33="Столы",C33*$L$3,B33="Стулья",$L$4*C33,B33="Тумбы",$L$5*C33)</f>
        <v>849.42</v>
      </c>
    </row>
    <row r="34" spans="1:5" x14ac:dyDescent="0.55000000000000004">
      <c r="A34" s="6">
        <v>43929</v>
      </c>
      <c r="B34" t="s">
        <v>20</v>
      </c>
      <c r="C34" s="10">
        <v>28595</v>
      </c>
      <c r="D34" s="10">
        <f t="shared" si="0"/>
        <v>571.9</v>
      </c>
      <c r="E34" s="18" cm="1">
        <f t="array" ref="E34">_xlfn.IFS(B34="Столы",C34*$L$3,B34="Стулья",$L$4*C34,B34="Тумбы",$L$5*C34)</f>
        <v>571.9</v>
      </c>
    </row>
    <row r="35" spans="1:5" x14ac:dyDescent="0.55000000000000004">
      <c r="A35" s="6">
        <v>44047</v>
      </c>
      <c r="B35" t="s">
        <v>19</v>
      </c>
      <c r="C35" s="10">
        <v>26762</v>
      </c>
      <c r="D35" s="10">
        <f t="shared" si="0"/>
        <v>1605.72</v>
      </c>
      <c r="E35" s="18" cm="1">
        <f t="array" ref="E35">_xlfn.IFS(B35="Столы",C35*$L$3,B35="Стулья",$L$4*C35,B35="Тумбы",$L$5*C35)</f>
        <v>1605.72</v>
      </c>
    </row>
    <row r="36" spans="1:5" x14ac:dyDescent="0.55000000000000004">
      <c r="A36" s="6">
        <v>44071</v>
      </c>
      <c r="B36" t="s">
        <v>20</v>
      </c>
      <c r="C36" s="10">
        <v>16956</v>
      </c>
      <c r="D36" s="10">
        <f t="shared" si="0"/>
        <v>339.12</v>
      </c>
      <c r="E36" s="18" cm="1">
        <f t="array" ref="E36">_xlfn.IFS(B36="Столы",C36*$L$3,B36="Стулья",$L$4*C36,B36="Тумбы",$L$5*C36)</f>
        <v>339.12</v>
      </c>
    </row>
    <row r="37" spans="1:5" x14ac:dyDescent="0.55000000000000004">
      <c r="A37" s="6">
        <v>43990</v>
      </c>
      <c r="B37" t="s">
        <v>19</v>
      </c>
      <c r="C37" s="10">
        <v>45124</v>
      </c>
      <c r="D37" s="10">
        <f t="shared" si="0"/>
        <v>2707.44</v>
      </c>
      <c r="E37" s="18" cm="1">
        <f t="array" ref="E37">_xlfn.IFS(B37="Столы",C37*$L$3,B37="Стулья",$L$4*C37,B37="Тумбы",$L$5*C37)</f>
        <v>2707.44</v>
      </c>
    </row>
    <row r="38" spans="1:5" x14ac:dyDescent="0.55000000000000004">
      <c r="A38" s="6">
        <v>44059</v>
      </c>
      <c r="B38" t="s">
        <v>18</v>
      </c>
      <c r="C38" s="10">
        <v>33818</v>
      </c>
      <c r="D38" s="10">
        <f t="shared" si="0"/>
        <v>4058.16</v>
      </c>
      <c r="E38" s="18" cm="1">
        <f t="array" ref="E38">_xlfn.IFS(B38="Столы",C38*$L$3,B38="Стулья",$L$4*C38,B38="Тумбы",$L$5*C38)</f>
        <v>4058.16</v>
      </c>
    </row>
    <row r="39" spans="1:5" x14ac:dyDescent="0.55000000000000004">
      <c r="A39" s="6">
        <v>44009</v>
      </c>
      <c r="B39" t="s">
        <v>19</v>
      </c>
      <c r="C39" s="10">
        <v>19210</v>
      </c>
      <c r="D39" s="10">
        <f t="shared" si="0"/>
        <v>1152.5999999999999</v>
      </c>
      <c r="E39" s="18" cm="1">
        <f t="array" ref="E39">_xlfn.IFS(B39="Столы",C39*$L$3,B39="Стулья",$L$4*C39,B39="Тумбы",$L$5*C39)</f>
        <v>1152.5999999999999</v>
      </c>
    </row>
    <row r="40" spans="1:5" x14ac:dyDescent="0.55000000000000004">
      <c r="A40" s="6">
        <v>44019</v>
      </c>
      <c r="B40" t="s">
        <v>18</v>
      </c>
      <c r="C40" s="10">
        <v>38489</v>
      </c>
      <c r="D40" s="10">
        <f t="shared" si="0"/>
        <v>4618.6799999999994</v>
      </c>
      <c r="E40" s="18" cm="1">
        <f t="array" ref="E40">_xlfn.IFS(B40="Столы",C40*$L$3,B40="Стулья",$L$4*C40,B40="Тумбы",$L$5*C40)</f>
        <v>4618.6799999999994</v>
      </c>
    </row>
    <row r="41" spans="1:5" x14ac:dyDescent="0.55000000000000004">
      <c r="A41" s="6">
        <v>43861</v>
      </c>
      <c r="B41" t="s">
        <v>19</v>
      </c>
      <c r="C41" s="10">
        <v>46701</v>
      </c>
      <c r="D41" s="10">
        <f t="shared" si="0"/>
        <v>2802.06</v>
      </c>
      <c r="E41" s="18" cm="1">
        <f t="array" ref="E41">_xlfn.IFS(B41="Столы",C41*$L$3,B41="Стулья",$L$4*C41,B41="Тумбы",$L$5*C41)</f>
        <v>2802.06</v>
      </c>
    </row>
    <row r="42" spans="1:5" x14ac:dyDescent="0.55000000000000004">
      <c r="A42" s="6">
        <v>43913</v>
      </c>
      <c r="B42" t="s">
        <v>18</v>
      </c>
      <c r="C42" s="10">
        <v>18950</v>
      </c>
      <c r="D42" s="10">
        <f t="shared" si="0"/>
        <v>2274</v>
      </c>
      <c r="E42" s="18" cm="1">
        <f t="array" ref="E42">_xlfn.IFS(B42="Столы",C42*$L$3,B42="Стулья",$L$4*C42,B42="Тумбы",$L$5*C42)</f>
        <v>2274</v>
      </c>
    </row>
    <row r="43" spans="1:5" x14ac:dyDescent="0.55000000000000004">
      <c r="A43" s="6">
        <v>43913</v>
      </c>
      <c r="B43" t="s">
        <v>18</v>
      </c>
      <c r="C43" s="10">
        <v>27004</v>
      </c>
      <c r="D43" s="10">
        <f t="shared" si="0"/>
        <v>3240.48</v>
      </c>
      <c r="E43" s="18" cm="1">
        <f t="array" ref="E43">_xlfn.IFS(B43="Столы",C43*$L$3,B43="Стулья",$L$4*C43,B43="Тумбы",$L$5*C43)</f>
        <v>3240.48</v>
      </c>
    </row>
    <row r="44" spans="1:5" x14ac:dyDescent="0.55000000000000004">
      <c r="A44" s="6">
        <v>43916</v>
      </c>
      <c r="B44" t="s">
        <v>19</v>
      </c>
      <c r="C44" s="10">
        <v>49711</v>
      </c>
      <c r="D44" s="10">
        <f t="shared" si="0"/>
        <v>2982.66</v>
      </c>
      <c r="E44" s="18" cm="1">
        <f t="array" ref="E44">_xlfn.IFS(B44="Столы",C44*$L$3,B44="Стулья",$L$4*C44,B44="Тумбы",$L$5*C44)</f>
        <v>2982.66</v>
      </c>
    </row>
    <row r="45" spans="1:5" x14ac:dyDescent="0.55000000000000004">
      <c r="A45" s="6">
        <v>43872</v>
      </c>
      <c r="B45" t="s">
        <v>18</v>
      </c>
      <c r="C45" s="10">
        <v>48835</v>
      </c>
      <c r="D45" s="10">
        <f t="shared" si="0"/>
        <v>5860.2</v>
      </c>
      <c r="E45" s="18" cm="1">
        <f t="array" ref="E45">_xlfn.IFS(B45="Столы",C45*$L$3,B45="Стулья",$L$4*C45,B45="Тумбы",$L$5*C45)</f>
        <v>5860.2</v>
      </c>
    </row>
    <row r="46" spans="1:5" x14ac:dyDescent="0.55000000000000004">
      <c r="A46" s="6">
        <v>43982</v>
      </c>
      <c r="B46" t="s">
        <v>20</v>
      </c>
      <c r="C46" s="10">
        <v>41438</v>
      </c>
      <c r="D46" s="10">
        <f t="shared" si="0"/>
        <v>828.76</v>
      </c>
      <c r="E46" s="18" cm="1">
        <f t="array" ref="E46">_xlfn.IFS(B46="Столы",C46*$L$3,B46="Стулья",$L$4*C46,B46="Тумбы",$L$5*C46)</f>
        <v>828.76</v>
      </c>
    </row>
    <row r="47" spans="1:5" x14ac:dyDescent="0.55000000000000004">
      <c r="A47" s="6">
        <v>44103</v>
      </c>
      <c r="B47" t="s">
        <v>18</v>
      </c>
      <c r="C47" s="10">
        <v>44189</v>
      </c>
      <c r="D47" s="10">
        <f t="shared" si="0"/>
        <v>5302.6799999999994</v>
      </c>
      <c r="E47" s="18" cm="1">
        <f t="array" ref="E47">_xlfn.IFS(B47="Столы",C47*$L$3,B47="Стулья",$L$4*C47,B47="Тумбы",$L$5*C47)</f>
        <v>5302.6799999999994</v>
      </c>
    </row>
    <row r="48" spans="1:5" x14ac:dyDescent="0.55000000000000004">
      <c r="A48" s="6">
        <v>43916</v>
      </c>
      <c r="B48" t="s">
        <v>20</v>
      </c>
      <c r="C48" s="10">
        <v>41349</v>
      </c>
      <c r="D48" s="10">
        <f t="shared" si="0"/>
        <v>826.98</v>
      </c>
      <c r="E48" s="18" cm="1">
        <f t="array" ref="E48">_xlfn.IFS(B48="Столы",C48*$L$3,B48="Стулья",$L$4*C48,B48="Тумбы",$L$5*C48)</f>
        <v>826.98</v>
      </c>
    </row>
    <row r="49" spans="1:5" x14ac:dyDescent="0.55000000000000004">
      <c r="A49" s="6">
        <v>43973</v>
      </c>
      <c r="B49" t="s">
        <v>19</v>
      </c>
      <c r="C49" s="10">
        <v>24017</v>
      </c>
      <c r="D49" s="10">
        <f t="shared" si="0"/>
        <v>1441.02</v>
      </c>
      <c r="E49" s="18" cm="1">
        <f t="array" ref="E49">_xlfn.IFS(B49="Столы",C49*$L$3,B49="Стулья",$L$4*C49,B49="Тумбы",$L$5*C49)</f>
        <v>1441.02</v>
      </c>
    </row>
    <row r="50" spans="1:5" x14ac:dyDescent="0.55000000000000004">
      <c r="A50" s="6">
        <v>43971</v>
      </c>
      <c r="B50" t="s">
        <v>20</v>
      </c>
      <c r="C50" s="10">
        <v>39386</v>
      </c>
      <c r="D50" s="10">
        <f t="shared" si="0"/>
        <v>787.72</v>
      </c>
      <c r="E50" s="18" cm="1">
        <f t="array" ref="E50">_xlfn.IFS(B50="Столы",C50*$L$3,B50="Стулья",$L$4*C50,B50="Тумбы",$L$5*C50)</f>
        <v>787.72</v>
      </c>
    </row>
    <row r="51" spans="1:5" x14ac:dyDescent="0.55000000000000004">
      <c r="A51" s="6">
        <v>44035</v>
      </c>
      <c r="B51" t="s">
        <v>20</v>
      </c>
      <c r="C51" s="10">
        <v>43394</v>
      </c>
      <c r="D51" s="10">
        <f t="shared" si="0"/>
        <v>867.88</v>
      </c>
      <c r="E51" s="18" cm="1">
        <f t="array" ref="E51">_xlfn.IFS(B51="Столы",C51*$L$3,B51="Стулья",$L$4*C51,B51="Тумбы",$L$5*C51)</f>
        <v>867.88</v>
      </c>
    </row>
    <row r="52" spans="1:5" x14ac:dyDescent="0.55000000000000004">
      <c r="A52" s="6">
        <v>44111</v>
      </c>
      <c r="B52" t="s">
        <v>18</v>
      </c>
      <c r="C52" s="10">
        <v>40491</v>
      </c>
      <c r="D52" s="10">
        <f t="shared" si="0"/>
        <v>4858.92</v>
      </c>
      <c r="E52" s="18" cm="1">
        <f t="array" ref="E52">_xlfn.IFS(B52="Столы",C52*$L$3,B52="Стулья",$L$4*C52,B52="Тумбы",$L$5*C52)</f>
        <v>4858.92</v>
      </c>
    </row>
    <row r="53" spans="1:5" x14ac:dyDescent="0.55000000000000004">
      <c r="A53" s="6">
        <v>43934</v>
      </c>
      <c r="B53" t="s">
        <v>20</v>
      </c>
      <c r="C53" s="10">
        <v>11076</v>
      </c>
      <c r="D53" s="10">
        <f t="shared" si="0"/>
        <v>221.52</v>
      </c>
      <c r="E53" s="18" cm="1">
        <f t="array" ref="E53">_xlfn.IFS(B53="Столы",C53*$L$3,B53="Стулья",$L$4*C53,B53="Тумбы",$L$5*C53)</f>
        <v>221.52</v>
      </c>
    </row>
    <row r="54" spans="1:5" x14ac:dyDescent="0.55000000000000004">
      <c r="A54" s="6">
        <v>44089</v>
      </c>
      <c r="B54" t="s">
        <v>18</v>
      </c>
      <c r="C54" s="10">
        <v>13241</v>
      </c>
      <c r="D54" s="10">
        <f t="shared" si="0"/>
        <v>1588.9199999999998</v>
      </c>
      <c r="E54" s="18" cm="1">
        <f t="array" ref="E54">_xlfn.IFS(B54="Столы",C54*$L$3,B54="Стулья",$L$4*C54,B54="Тумбы",$L$5*C54)</f>
        <v>1588.9199999999998</v>
      </c>
    </row>
    <row r="55" spans="1:5" x14ac:dyDescent="0.55000000000000004">
      <c r="A55" s="6">
        <v>43856</v>
      </c>
      <c r="B55" t="s">
        <v>20</v>
      </c>
      <c r="C55" s="10">
        <v>41985</v>
      </c>
      <c r="D55" s="10">
        <f t="shared" si="0"/>
        <v>839.7</v>
      </c>
      <c r="E55" s="18" cm="1">
        <f t="array" ref="E55">_xlfn.IFS(B55="Столы",C55*$L$3,B55="Стулья",$L$4*C55,B55="Тумбы",$L$5*C55)</f>
        <v>839.7</v>
      </c>
    </row>
    <row r="56" spans="1:5" x14ac:dyDescent="0.55000000000000004">
      <c r="A56" s="6">
        <v>43925</v>
      </c>
      <c r="B56" t="s">
        <v>20</v>
      </c>
      <c r="C56" s="10">
        <v>38178</v>
      </c>
      <c r="D56" s="10">
        <f t="shared" si="0"/>
        <v>763.56000000000006</v>
      </c>
      <c r="E56" s="18" cm="1">
        <f t="array" ref="E56">_xlfn.IFS(B56="Столы",C56*$L$3,B56="Стулья",$L$4*C56,B56="Тумбы",$L$5*C56)</f>
        <v>763.56000000000006</v>
      </c>
    </row>
    <row r="57" spans="1:5" x14ac:dyDescent="0.55000000000000004">
      <c r="A57" s="6">
        <v>43952</v>
      </c>
      <c r="B57" s="14" t="s">
        <v>25</v>
      </c>
      <c r="C57" s="10">
        <v>45406</v>
      </c>
      <c r="D57" s="10">
        <f t="shared" si="0"/>
        <v>0</v>
      </c>
      <c r="E57" s="18" t="e" cm="1">
        <f t="array" ref="E57">_xlfn.IFS(B57="Столы",C57*$L$3,B57="Стулья",$L$4*C57,B57="Тумбы",$L$5*C57)</f>
        <v>#N/A</v>
      </c>
    </row>
    <row r="58" spans="1:5" x14ac:dyDescent="0.55000000000000004">
      <c r="A58" s="6">
        <v>43967</v>
      </c>
      <c r="B58" t="s">
        <v>18</v>
      </c>
      <c r="C58" s="10">
        <v>28121</v>
      </c>
      <c r="D58" s="10">
        <f t="shared" si="0"/>
        <v>3374.52</v>
      </c>
      <c r="E58" s="18" cm="1">
        <f t="array" ref="E58">_xlfn.IFS(B58="Столы",C58*$L$3,B58="Стулья",$L$4*C58,B58="Тумбы",$L$5*C58)</f>
        <v>3374.52</v>
      </c>
    </row>
    <row r="59" spans="1:5" x14ac:dyDescent="0.55000000000000004">
      <c r="A59" s="6">
        <v>44045</v>
      </c>
      <c r="B59" t="s">
        <v>18</v>
      </c>
      <c r="C59" s="10">
        <v>33774</v>
      </c>
      <c r="D59" s="10">
        <f t="shared" si="0"/>
        <v>4052.8799999999997</v>
      </c>
      <c r="E59" s="18" cm="1">
        <f t="array" ref="E59">_xlfn.IFS(B59="Столы",C59*$L$3,B59="Стулья",$L$4*C59,B59="Тумбы",$L$5*C59)</f>
        <v>4052.8799999999997</v>
      </c>
    </row>
    <row r="60" spans="1:5" x14ac:dyDescent="0.55000000000000004">
      <c r="A60" s="6">
        <v>44065</v>
      </c>
      <c r="B60" t="s">
        <v>18</v>
      </c>
      <c r="C60" s="10">
        <v>13951</v>
      </c>
      <c r="D60" s="10">
        <f t="shared" si="0"/>
        <v>1674.12</v>
      </c>
      <c r="E60" s="18" cm="1">
        <f t="array" ref="E60">_xlfn.IFS(B60="Столы",C60*$L$3,B60="Стулья",$L$4*C60,B60="Тумбы",$L$5*C60)</f>
        <v>1674.12</v>
      </c>
    </row>
    <row r="61" spans="1:5" x14ac:dyDescent="0.55000000000000004">
      <c r="A61" s="6">
        <v>43888</v>
      </c>
      <c r="B61" t="s">
        <v>18</v>
      </c>
      <c r="C61" s="10">
        <v>29983</v>
      </c>
      <c r="D61" s="10">
        <f t="shared" si="0"/>
        <v>3597.96</v>
      </c>
      <c r="E61" s="18" cm="1">
        <f t="array" ref="E61">_xlfn.IFS(B61="Столы",C61*$L$3,B61="Стулья",$L$4*C61,B61="Тумбы",$L$5*C61)</f>
        <v>3597.96</v>
      </c>
    </row>
    <row r="62" spans="1:5" x14ac:dyDescent="0.55000000000000004">
      <c r="A62" s="6">
        <v>43875</v>
      </c>
      <c r="B62" t="s">
        <v>19</v>
      </c>
      <c r="C62" s="10">
        <v>44711</v>
      </c>
      <c r="D62" s="10">
        <f t="shared" si="0"/>
        <v>2682.66</v>
      </c>
      <c r="E62" s="18" cm="1">
        <f t="array" ref="E62">_xlfn.IFS(B62="Столы",C62*$L$3,B62="Стулья",$L$4*C62,B62="Тумбы",$L$5*C62)</f>
        <v>2682.66</v>
      </c>
    </row>
    <row r="63" spans="1:5" x14ac:dyDescent="0.55000000000000004">
      <c r="A63" s="6">
        <v>43867</v>
      </c>
      <c r="B63" t="s">
        <v>20</v>
      </c>
      <c r="C63" s="10">
        <v>27466</v>
      </c>
      <c r="D63" s="10">
        <f t="shared" si="0"/>
        <v>549.32000000000005</v>
      </c>
      <c r="E63" s="18" cm="1">
        <f t="array" ref="E63">_xlfn.IFS(B63="Столы",C63*$L$3,B63="Стулья",$L$4*C63,B63="Тумбы",$L$5*C63)</f>
        <v>549.32000000000005</v>
      </c>
    </row>
  </sheetData>
  <mergeCells count="1">
    <mergeCell ref="K2:L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Скидка</vt:lpstr>
      <vt:lpstr>План</vt:lpstr>
      <vt:lpstr>Комиссия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2020-11-20T16:29:22Z</dcterms:modified>
</cp:coreProperties>
</file>