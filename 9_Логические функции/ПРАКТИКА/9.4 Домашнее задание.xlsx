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9_Модуль\ПРАКТИКА\"/>
    </mc:Choice>
  </mc:AlternateContent>
  <xr:revisionPtr revIDLastSave="0" documentId="13_ncr:1_{2704E4D9-17E6-4BBB-8CF4-F747563F19C5}" xr6:coauthVersionLast="47" xr6:coauthVersionMax="47" xr10:uidLastSave="{00000000-0000-0000-0000-000000000000}"/>
  <bookViews>
    <workbookView xWindow="-108" yWindow="-108" windowWidth="23256" windowHeight="12576" activeTab="1" xr2:uid="{0A95A732-5BCA-444D-8815-7F37AC8A3610}"/>
  </bookViews>
  <sheets>
    <sheet name="Задание 1" sheetId="8" r:id="rId1"/>
    <sheet name="Задание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2" i="8"/>
  <c r="J2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2" i="8"/>
</calcChain>
</file>

<file path=xl/sharedStrings.xml><?xml version="1.0" encoding="utf-8"?>
<sst xmlns="http://schemas.openxmlformats.org/spreadsheetml/2006/main" count="218" uniqueCount="190">
  <si>
    <t>Дата рождения</t>
  </si>
  <si>
    <t>Александровск-Сахалинский</t>
  </si>
  <si>
    <t>Печора</t>
  </si>
  <si>
    <t>Имя и фамилия</t>
  </si>
  <si>
    <t>Дата выхода на работу</t>
  </si>
  <si>
    <t>Должность</t>
  </si>
  <si>
    <t>Режим</t>
  </si>
  <si>
    <t>Оклад</t>
  </si>
  <si>
    <t>Обухов Вацлав</t>
  </si>
  <si>
    <t>Генеральный директор</t>
  </si>
  <si>
    <t>Офис</t>
  </si>
  <si>
    <t>Каверин Георгий</t>
  </si>
  <si>
    <t>Офис-менеджер</t>
  </si>
  <si>
    <t>Грибоедов Никанор</t>
  </si>
  <si>
    <t>PR-менеджер</t>
  </si>
  <si>
    <t>Удаленка</t>
  </si>
  <si>
    <t>Бендлин Наум</t>
  </si>
  <si>
    <t>SMM-менеджер</t>
  </si>
  <si>
    <t>Кудряшов Родион</t>
  </si>
  <si>
    <t>Главный бухгалтер</t>
  </si>
  <si>
    <t>Казьмина Агния</t>
  </si>
  <si>
    <t>Хромченко Эльвира</t>
  </si>
  <si>
    <t>Дизайнер</t>
  </si>
  <si>
    <t>Нюхтилина Эмма</t>
  </si>
  <si>
    <t>Месяц Наум</t>
  </si>
  <si>
    <t>Редактор</t>
  </si>
  <si>
    <t>Радченко Светлана</t>
  </si>
  <si>
    <t>Фламин Аким</t>
  </si>
  <si>
    <t>Колесникова Фаина</t>
  </si>
  <si>
    <t>Копирайтер</t>
  </si>
  <si>
    <t>Гоминова Полина</t>
  </si>
  <si>
    <t>Феднова Елизавета</t>
  </si>
  <si>
    <t>Программист</t>
  </si>
  <si>
    <t>Богун Ярослав</t>
  </si>
  <si>
    <t>Талызина Ева</t>
  </si>
  <si>
    <t>Базарова Светлана</t>
  </si>
  <si>
    <t>Тестировшик</t>
  </si>
  <si>
    <t>Косицкий Мартын</t>
  </si>
  <si>
    <t>Камалова Регина</t>
  </si>
  <si>
    <t>Эвентова Элеонора</t>
  </si>
  <si>
    <t>Город</t>
  </si>
  <si>
    <t>Температура самого холодного месяца, °C</t>
  </si>
  <si>
    <t>Средняя годовая температура, °C</t>
  </si>
  <si>
    <t>Температура самого тёплого месяца, °C</t>
  </si>
  <si>
    <t>Среднее годовое количество осадков, мм</t>
  </si>
  <si>
    <t>Абакан</t>
  </si>
  <si>
    <t>Алдан</t>
  </si>
  <si>
    <t>Александров Гай</t>
  </si>
  <si>
    <t>Анадырь</t>
  </si>
  <si>
    <t>Анапа</t>
  </si>
  <si>
    <t>Архангельск</t>
  </si>
  <si>
    <t>Астрахань</t>
  </si>
  <si>
    <t>Аян</t>
  </si>
  <si>
    <t>Балтийск</t>
  </si>
  <si>
    <t>Барнаул</t>
  </si>
  <si>
    <t>Белгород</t>
  </si>
  <si>
    <t>Березники</t>
  </si>
  <si>
    <t>Биробиджан</t>
  </si>
  <si>
    <t>Благовещенск</t>
  </si>
  <si>
    <t>Богучаны</t>
  </si>
  <si>
    <t>Бор</t>
  </si>
  <si>
    <t>Борзя</t>
  </si>
  <si>
    <t>Брянск</t>
  </si>
  <si>
    <t>Ванавара</t>
  </si>
  <si>
    <t>Великие Луки</t>
  </si>
  <si>
    <t>Великий Новгород</t>
  </si>
  <si>
    <t>Верхоянск</t>
  </si>
  <si>
    <t>Вилюйск</t>
  </si>
  <si>
    <t>Владивосток</t>
  </si>
  <si>
    <t>Владикавказ</t>
  </si>
  <si>
    <t>Владимир</t>
  </si>
  <si>
    <t>Волгоград</t>
  </si>
  <si>
    <t>Вологда</t>
  </si>
  <si>
    <t>Воркута</t>
  </si>
  <si>
    <t>Воронеж</t>
  </si>
  <si>
    <t>Выборг</t>
  </si>
  <si>
    <t>Горно-Алтайск</t>
  </si>
  <si>
    <t>Грозный</t>
  </si>
  <si>
    <t>Дербент</t>
  </si>
  <si>
    <t>Диксон</t>
  </si>
  <si>
    <t>Дудинка</t>
  </si>
  <si>
    <t>Евпатория</t>
  </si>
  <si>
    <t>Екатеринбург</t>
  </si>
  <si>
    <t>Елатьма</t>
  </si>
  <si>
    <t>Елец</t>
  </si>
  <si>
    <t>Ербогачён</t>
  </si>
  <si>
    <t>Иваново</t>
  </si>
  <si>
    <t>Ижевск</t>
  </si>
  <si>
    <t>Иркутск</t>
  </si>
  <si>
    <t>Ича</t>
  </si>
  <si>
    <t>Казань</t>
  </si>
  <si>
    <t>Калевала</t>
  </si>
  <si>
    <t>Калининград</t>
  </si>
  <si>
    <t>Камышин</t>
  </si>
  <si>
    <t>Кандалакша</t>
  </si>
  <si>
    <t>Канин Нос</t>
  </si>
  <si>
    <t>Кемерово</t>
  </si>
  <si>
    <t>Кингисепп</t>
  </si>
  <si>
    <t>Киренск</t>
  </si>
  <si>
    <t>Киров</t>
  </si>
  <si>
    <t>Ключи</t>
  </si>
  <si>
    <t>Койнас</t>
  </si>
  <si>
    <t>Кострома</t>
  </si>
  <si>
    <t>Котлас</t>
  </si>
  <si>
    <t>Краснодар</t>
  </si>
  <si>
    <t>Красноярск</t>
  </si>
  <si>
    <t>Курган</t>
  </si>
  <si>
    <t>Курск</t>
  </si>
  <si>
    <t>Кызыл</t>
  </si>
  <si>
    <t>Магадан</t>
  </si>
  <si>
    <t>Магнитогорск</t>
  </si>
  <si>
    <t>Малые Кармакулы</t>
  </si>
  <si>
    <t>Махачкала</t>
  </si>
  <si>
    <t>Минеральные Воды</t>
  </si>
  <si>
    <t>Москва</t>
  </si>
  <si>
    <t>Мурманск</t>
  </si>
  <si>
    <t>Нарьян-Мар</t>
  </si>
  <si>
    <t>Находка</t>
  </si>
  <si>
    <t>Нерюнгри</t>
  </si>
  <si>
    <t>Нижнеудинск</t>
  </si>
  <si>
    <t>Нижний Новгород</t>
  </si>
  <si>
    <t>Николаевск-на-Амуре</t>
  </si>
  <si>
    <t>Новокузнецк</t>
  </si>
  <si>
    <t>Новосибирск</t>
  </si>
  <si>
    <t>Норильск</t>
  </si>
  <si>
    <t>Няксимволь</t>
  </si>
  <si>
    <t>Оймякон</t>
  </si>
  <si>
    <t>Олёкминск</t>
  </si>
  <si>
    <t>Омск</t>
  </si>
  <si>
    <t>Онега</t>
  </si>
  <si>
    <t>Оренбург</t>
  </si>
  <si>
    <t>Орёл</t>
  </si>
  <si>
    <t>Охотск</t>
  </si>
  <si>
    <t>Певек</t>
  </si>
  <si>
    <t>Пенза</t>
  </si>
  <si>
    <t>Пермь</t>
  </si>
  <si>
    <t>Петрозаводск</t>
  </si>
  <si>
    <t>Петропавловск-Камчатский</t>
  </si>
  <si>
    <t>Псков</t>
  </si>
  <si>
    <t>Ростов-на-Дону</t>
  </si>
  <si>
    <t>Рыбинск</t>
  </si>
  <si>
    <t>Рязань</t>
  </si>
  <si>
    <t>Салехард</t>
  </si>
  <si>
    <t>Самара</t>
  </si>
  <si>
    <t>Санкт-Петербург</t>
  </si>
  <si>
    <t>Саранск</t>
  </si>
  <si>
    <t>Саратов</t>
  </si>
  <si>
    <t>Северо-Курильск</t>
  </si>
  <si>
    <t>Симушир</t>
  </si>
  <si>
    <t>Смоленск</t>
  </si>
  <si>
    <t>Сочи</t>
  </si>
  <si>
    <t>Ставрополь</t>
  </si>
  <si>
    <t>Сургут</t>
  </si>
  <si>
    <t>Сыктывкар</t>
  </si>
  <si>
    <t>Тамбов</t>
  </si>
  <si>
    <t>Тверь</t>
  </si>
  <si>
    <t>Тикси</t>
  </si>
  <si>
    <t>Тобольск</t>
  </si>
  <si>
    <t>Томск</t>
  </si>
  <si>
    <t>Тула</t>
  </si>
  <si>
    <t>Тура</t>
  </si>
  <si>
    <t>Тюмень</t>
  </si>
  <si>
    <t>Улан-Удэ</t>
  </si>
  <si>
    <t>Ульяновск</t>
  </si>
  <si>
    <t>Уфа</t>
  </si>
  <si>
    <t>Ухта</t>
  </si>
  <si>
    <t>Хабаровск</t>
  </si>
  <si>
    <t>Ханты-Мансийск</t>
  </si>
  <si>
    <t>Хатанга</t>
  </si>
  <si>
    <t>Холмск</t>
  </si>
  <si>
    <t>Чара</t>
  </si>
  <si>
    <t>Чебоксары</t>
  </si>
  <si>
    <t>Челябинск</t>
  </si>
  <si>
    <t>Череповец</t>
  </si>
  <si>
    <t>Чита</t>
  </si>
  <si>
    <t>Чокурдах</t>
  </si>
  <si>
    <t>Экимчан</t>
  </si>
  <si>
    <t>Элиста</t>
  </si>
  <si>
    <t>Южно-Курильск</t>
  </si>
  <si>
    <t>Южно-Сахалинск</t>
  </si>
  <si>
    <t>Южно-Сухокумск</t>
  </si>
  <si>
    <t>Якутск</t>
  </si>
  <si>
    <t>Яшкуль</t>
  </si>
  <si>
    <t>Ялта</t>
  </si>
  <si>
    <t>Симферополь</t>
  </si>
  <si>
    <t>Севастополь</t>
  </si>
  <si>
    <t>Плюсовая температура самого холодного месяца</t>
  </si>
  <si>
    <t>Среднее кол-во осадков по всем регионам:</t>
  </si>
  <si>
    <t>Среднее годовое кол-во осадков выше общего среднего</t>
  </si>
  <si>
    <t>Премия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</si>
</sst>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[$₽-419]_-;\-* #,##0\ [$₽-419]_-;_-* &quot;-&quot;??\ [$₽-419]_-;_-@_-"/>
    <numFmt numFmtId="171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1" applyAlignment="1">
      <alignment horizontal="center" vertical="center"/>
    </xf>
    <xf numFmtId="0" fontId="2" fillId="0" borderId="1" xfId="1" applyAlignment="1">
      <alignment horizontal="center" vertical="center" wrapText="1"/>
    </xf>
    <xf numFmtId="164" fontId="0" fillId="0" borderId="0" xfId="2" applyNumberFormat="1" applyFont="1"/>
    <xf numFmtId="0" fontId="3" fillId="2" borderId="0" xfId="3" applyAlignment="1">
      <alignment horizontal="center" vertical="center"/>
    </xf>
    <xf numFmtId="0" fontId="3" fillId="2" borderId="0" xfId="3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top" wrapText="1"/>
    </xf>
    <xf numFmtId="1" fontId="0" fillId="3" borderId="0" xfId="0" applyNumberFormat="1" applyFill="1" applyAlignment="1">
      <alignment horizontal="center" vertical="center"/>
    </xf>
    <xf numFmtId="171" fontId="2" fillId="0" borderId="0" xfId="4" applyNumberFormat="1" applyFont="1" applyFill="1" applyBorder="1" applyAlignment="1">
      <alignment horizontal="center" vertical="center"/>
    </xf>
    <xf numFmtId="171" fontId="0" fillId="0" borderId="0" xfId="4" applyNumberFormat="1" applyFont="1"/>
  </cellXfs>
  <cellStyles count="5">
    <cellStyle name="Денежный" xfId="2" builtinId="4"/>
    <cellStyle name="Заголовок 3" xfId="1" builtinId="18"/>
    <cellStyle name="Обычный" xfId="0" builtinId="0"/>
    <cellStyle name="Финансовый" xfId="4" builtinId="3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219075</xdr:colOff>
      <xdr:row>4</xdr:row>
      <xdr:rowOff>47625</xdr:rowOff>
    </xdr:from>
    <xdr:ext cx="5610225" cy="27146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F4AB94-2B36-4D9D-B85F-3446F8C405ED}"/>
            </a:ext>
          </a:extLst>
        </xdr:cNvPr>
        <xdr:cNvSpPr txBox="1"/>
      </xdr:nvSpPr>
      <xdr:spPr>
        <a:xfrm>
          <a:off x="8591550" y="1381125"/>
          <a:ext cx="5610225" cy="27146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9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Логические функции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 Добавьте к таблице два столбца. В одном с помощью формулы для каждого города необходимо вывести текст "Всегда плюс", если температура самого холодного месяца выше нуля (если температура меньше нуля - ячейка должна остаться пустой).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В другом столбце необходимо выводить текст "Много осадков", если среднее количество осадков выше среднего по всем регионам.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 baseline="0"/>
            <a:t>Источник -- </a:t>
          </a:r>
          <a:r>
            <a:rPr lang="en-US" sz="1100" i="1" baseline="0"/>
            <a:t>https://ru.wikipedia.org/wiki/</a:t>
          </a:r>
          <a:r>
            <a:rPr lang="ru-RU" sz="1100" i="1" baseline="0"/>
            <a:t>Климат_России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6</xdr:row>
      <xdr:rowOff>19049</xdr:rowOff>
    </xdr:from>
    <xdr:ext cx="5610225" cy="27146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8726805" y="1123949"/>
          <a:ext cx="5610225" cy="27146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9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Логические функции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Выполните данное задание с таблицей, которую сформировали в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рамках выполнения задания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 модулю 7 ("Вычисления и формулы") (в этом файле она в исходном виде приведена для примера).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Добавьте столбец "Премия", сумма в котором будет рассчитываться формулой по следующему алгоритму: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- 5% от оклада всем, кто работает в офисе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- 6% дизайнерам и копирайтерам на удаленке.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C5A6-CA4D-4261-80BD-04BEB9565D8C}">
  <dimension ref="A1:J145"/>
  <sheetViews>
    <sheetView topLeftCell="C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27.88671875" bestFit="1" customWidth="1"/>
    <col min="2" max="5" width="15.33203125" customWidth="1"/>
    <col min="6" max="6" width="11.77734375" bestFit="1" customWidth="1"/>
    <col min="7" max="7" width="16.5546875" customWidth="1"/>
    <col min="9" max="9" width="10.6640625" customWidth="1"/>
  </cols>
  <sheetData>
    <row r="1" spans="1:7" ht="100.8" x14ac:dyDescent="0.3">
      <c r="A1" s="6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186</v>
      </c>
      <c r="G1" s="7" t="s">
        <v>188</v>
      </c>
    </row>
    <row r="2" spans="1:7" x14ac:dyDescent="0.3">
      <c r="A2" t="s">
        <v>45</v>
      </c>
      <c r="B2" s="2">
        <v>-18.399999999999999</v>
      </c>
      <c r="C2" s="2">
        <v>1.4</v>
      </c>
      <c r="D2" s="2">
        <v>19.899999999999999</v>
      </c>
      <c r="E2" s="2">
        <v>323</v>
      </c>
      <c r="F2" t="str">
        <f>IF(B2&gt;0,"Всегда плюс","")</f>
        <v/>
      </c>
      <c r="G2" t="str">
        <f>IF(E2&gt;$J$22,"Много осадков","")</f>
        <v/>
      </c>
    </row>
    <row r="3" spans="1:7" x14ac:dyDescent="0.3">
      <c r="A3" t="s">
        <v>46</v>
      </c>
      <c r="B3" s="2">
        <v>-26.3</v>
      </c>
      <c r="C3" s="2">
        <v>-5.5</v>
      </c>
      <c r="D3" s="2">
        <v>16.600000000000001</v>
      </c>
      <c r="E3" s="2">
        <v>717</v>
      </c>
      <c r="F3" t="str">
        <f t="shared" ref="F3:F66" si="0">IF(B3&gt;0,"Всегда плюс","")</f>
        <v/>
      </c>
      <c r="G3" t="str">
        <f t="shared" ref="G3:G66" si="1">IF(E3&gt;$J$22,"Много осадков","")</f>
        <v>Много осадков</v>
      </c>
    </row>
    <row r="4" spans="1:7" x14ac:dyDescent="0.3">
      <c r="A4" t="s">
        <v>47</v>
      </c>
      <c r="B4" s="2">
        <v>-8.6999999999999993</v>
      </c>
      <c r="C4" s="2">
        <v>7.4</v>
      </c>
      <c r="D4" s="2">
        <v>24.2</v>
      </c>
      <c r="E4" s="2">
        <v>329</v>
      </c>
      <c r="F4" t="str">
        <f t="shared" si="0"/>
        <v/>
      </c>
      <c r="G4" t="str">
        <f t="shared" si="1"/>
        <v/>
      </c>
    </row>
    <row r="5" spans="1:7" x14ac:dyDescent="0.3">
      <c r="A5" t="s">
        <v>1</v>
      </c>
      <c r="B5" s="2">
        <v>-16.3</v>
      </c>
      <c r="C5" s="2">
        <v>0.9</v>
      </c>
      <c r="D5" s="2">
        <v>16.600000000000001</v>
      </c>
      <c r="E5" s="2">
        <v>679</v>
      </c>
      <c r="F5" t="str">
        <f t="shared" si="0"/>
        <v/>
      </c>
      <c r="G5" t="str">
        <f t="shared" si="1"/>
        <v>Много осадков</v>
      </c>
    </row>
    <row r="6" spans="1:7" x14ac:dyDescent="0.3">
      <c r="A6" t="s">
        <v>48</v>
      </c>
      <c r="B6" s="2">
        <v>-22.6</v>
      </c>
      <c r="C6" s="2">
        <v>-6.9</v>
      </c>
      <c r="D6" s="2">
        <v>11.6</v>
      </c>
      <c r="E6" s="2">
        <v>384</v>
      </c>
      <c r="F6" t="str">
        <f t="shared" si="0"/>
        <v/>
      </c>
      <c r="G6" t="str">
        <f t="shared" si="1"/>
        <v/>
      </c>
    </row>
    <row r="7" spans="1:7" x14ac:dyDescent="0.3">
      <c r="A7" t="s">
        <v>49</v>
      </c>
      <c r="B7" s="2">
        <v>2.4</v>
      </c>
      <c r="C7" s="2">
        <v>12.2</v>
      </c>
      <c r="D7" s="2">
        <v>23.2</v>
      </c>
      <c r="E7" s="2">
        <v>564</v>
      </c>
      <c r="F7" t="str">
        <f t="shared" si="0"/>
        <v>Всегда плюс</v>
      </c>
      <c r="G7" t="str">
        <f t="shared" si="1"/>
        <v>Много осадков</v>
      </c>
    </row>
    <row r="8" spans="1:7" x14ac:dyDescent="0.3">
      <c r="A8" t="s">
        <v>50</v>
      </c>
      <c r="B8" s="2">
        <v>-12.8</v>
      </c>
      <c r="C8" s="2">
        <v>1.3</v>
      </c>
      <c r="D8" s="2">
        <v>16.3</v>
      </c>
      <c r="E8" s="2">
        <v>606</v>
      </c>
      <c r="F8" t="str">
        <f t="shared" si="0"/>
        <v/>
      </c>
      <c r="G8" t="str">
        <f t="shared" si="1"/>
        <v>Много осадков</v>
      </c>
    </row>
    <row r="9" spans="1:7" x14ac:dyDescent="0.3">
      <c r="A9" t="s">
        <v>51</v>
      </c>
      <c r="B9" s="2">
        <v>-3.7</v>
      </c>
      <c r="C9" s="2">
        <v>10.5</v>
      </c>
      <c r="D9" s="2">
        <v>25.6</v>
      </c>
      <c r="E9" s="2">
        <v>233</v>
      </c>
      <c r="F9" t="str">
        <f t="shared" si="0"/>
        <v/>
      </c>
      <c r="G9" t="str">
        <f t="shared" si="1"/>
        <v/>
      </c>
    </row>
    <row r="10" spans="1:7" x14ac:dyDescent="0.3">
      <c r="A10" t="s">
        <v>52</v>
      </c>
      <c r="B10" s="2">
        <v>-17.8</v>
      </c>
      <c r="C10" s="2">
        <v>-2.2999999999999998</v>
      </c>
      <c r="D10" s="2">
        <v>13.7</v>
      </c>
      <c r="E10" s="2">
        <v>923</v>
      </c>
      <c r="F10" t="str">
        <f t="shared" si="0"/>
        <v/>
      </c>
      <c r="G10" t="str">
        <f t="shared" si="1"/>
        <v>Много осадков</v>
      </c>
    </row>
    <row r="11" spans="1:7" x14ac:dyDescent="0.3">
      <c r="A11" t="s">
        <v>53</v>
      </c>
      <c r="B11" s="2">
        <v>0.3</v>
      </c>
      <c r="C11" s="2">
        <v>8.6999999999999993</v>
      </c>
      <c r="D11" s="2">
        <v>18.399999999999999</v>
      </c>
      <c r="E11" s="2">
        <v>752</v>
      </c>
      <c r="F11" t="str">
        <f t="shared" si="0"/>
        <v>Всегда плюс</v>
      </c>
      <c r="G11" t="str">
        <f t="shared" si="1"/>
        <v>Много осадков</v>
      </c>
    </row>
    <row r="12" spans="1:7" x14ac:dyDescent="0.3">
      <c r="A12" t="s">
        <v>54</v>
      </c>
      <c r="B12" s="2">
        <v>-15.5</v>
      </c>
      <c r="C12" s="2">
        <v>2.6</v>
      </c>
      <c r="D12" s="2">
        <v>19.899999999999999</v>
      </c>
      <c r="E12" s="2">
        <v>431</v>
      </c>
      <c r="F12" t="str">
        <f t="shared" si="0"/>
        <v/>
      </c>
      <c r="G12" t="str">
        <f t="shared" si="1"/>
        <v/>
      </c>
    </row>
    <row r="13" spans="1:7" x14ac:dyDescent="0.3">
      <c r="A13" t="s">
        <v>55</v>
      </c>
      <c r="B13" s="2">
        <v>-6.1</v>
      </c>
      <c r="C13" s="2">
        <v>7.7</v>
      </c>
      <c r="D13" s="2">
        <v>21.8</v>
      </c>
      <c r="E13" s="2">
        <v>605</v>
      </c>
      <c r="F13" t="str">
        <f t="shared" si="0"/>
        <v/>
      </c>
      <c r="G13" t="str">
        <f t="shared" si="1"/>
        <v>Много осадков</v>
      </c>
    </row>
    <row r="14" spans="1:7" x14ac:dyDescent="0.3">
      <c r="A14" t="s">
        <v>56</v>
      </c>
      <c r="B14" s="2">
        <v>-15.2</v>
      </c>
      <c r="C14" s="2">
        <v>1.6</v>
      </c>
      <c r="D14" s="2">
        <v>17.399999999999999</v>
      </c>
      <c r="E14" s="2">
        <v>656</v>
      </c>
      <c r="F14" t="str">
        <f t="shared" si="0"/>
        <v/>
      </c>
      <c r="G14" t="str">
        <f t="shared" si="1"/>
        <v>Много осадков</v>
      </c>
    </row>
    <row r="15" spans="1:7" x14ac:dyDescent="0.3">
      <c r="A15" t="s">
        <v>57</v>
      </c>
      <c r="B15" s="2">
        <v>-22.2</v>
      </c>
      <c r="C15" s="2">
        <v>1.9</v>
      </c>
      <c r="D15" s="2">
        <v>21.1</v>
      </c>
      <c r="E15" s="2">
        <v>682</v>
      </c>
      <c r="F15" t="str">
        <f t="shared" si="0"/>
        <v/>
      </c>
      <c r="G15" t="str">
        <f t="shared" si="1"/>
        <v>Много осадков</v>
      </c>
    </row>
    <row r="16" spans="1:7" x14ac:dyDescent="0.3">
      <c r="A16" t="s">
        <v>58</v>
      </c>
      <c r="B16" s="2">
        <v>-21.5</v>
      </c>
      <c r="C16" s="2">
        <v>1.6</v>
      </c>
      <c r="D16" s="2">
        <v>21.8</v>
      </c>
      <c r="E16" s="2">
        <v>543</v>
      </c>
      <c r="F16" t="str">
        <f t="shared" si="0"/>
        <v/>
      </c>
      <c r="G16" t="str">
        <f t="shared" si="1"/>
        <v/>
      </c>
    </row>
    <row r="17" spans="1:10" x14ac:dyDescent="0.3">
      <c r="A17" t="s">
        <v>59</v>
      </c>
      <c r="B17" s="2">
        <v>-23.3</v>
      </c>
      <c r="C17" s="2">
        <v>-1.5</v>
      </c>
      <c r="D17" s="2">
        <v>19.100000000000001</v>
      </c>
      <c r="E17" s="2">
        <v>361</v>
      </c>
      <c r="F17" t="str">
        <f t="shared" si="0"/>
        <v/>
      </c>
      <c r="G17" t="str">
        <f t="shared" si="1"/>
        <v/>
      </c>
    </row>
    <row r="18" spans="1:10" x14ac:dyDescent="0.3">
      <c r="A18" t="s">
        <v>60</v>
      </c>
      <c r="B18" s="2">
        <v>-23.6</v>
      </c>
      <c r="C18" s="2">
        <v>-3.1</v>
      </c>
      <c r="D18" s="2">
        <v>18.2</v>
      </c>
      <c r="E18" s="2">
        <v>595</v>
      </c>
      <c r="F18" t="str">
        <f t="shared" si="0"/>
        <v/>
      </c>
      <c r="G18" t="str">
        <f t="shared" si="1"/>
        <v>Много осадков</v>
      </c>
    </row>
    <row r="19" spans="1:10" x14ac:dyDescent="0.3">
      <c r="A19" t="s">
        <v>61</v>
      </c>
      <c r="B19" s="2">
        <v>-27.2</v>
      </c>
      <c r="C19" s="2">
        <v>-2.4</v>
      </c>
      <c r="D19" s="2">
        <v>19.399999999999999</v>
      </c>
      <c r="E19" s="2">
        <v>295</v>
      </c>
      <c r="F19" t="str">
        <f t="shared" si="0"/>
        <v/>
      </c>
      <c r="G19" t="str">
        <f t="shared" si="1"/>
        <v/>
      </c>
    </row>
    <row r="20" spans="1:10" x14ac:dyDescent="0.3">
      <c r="A20" t="s">
        <v>62</v>
      </c>
      <c r="B20" s="2">
        <v>-6.1</v>
      </c>
      <c r="C20" s="2">
        <v>6.1</v>
      </c>
      <c r="D20" s="2">
        <v>19</v>
      </c>
      <c r="E20" s="2">
        <v>671</v>
      </c>
      <c r="F20" t="str">
        <f t="shared" si="0"/>
        <v/>
      </c>
      <c r="G20" t="str">
        <f t="shared" si="1"/>
        <v>Много осадков</v>
      </c>
    </row>
    <row r="21" spans="1:10" x14ac:dyDescent="0.3">
      <c r="A21" t="s">
        <v>63</v>
      </c>
      <c r="B21" s="2">
        <v>-28.6</v>
      </c>
      <c r="C21" s="2">
        <v>-5.0999999999999996</v>
      </c>
      <c r="D21" s="2">
        <v>17.8</v>
      </c>
      <c r="E21" s="2">
        <v>422</v>
      </c>
      <c r="F21" t="str">
        <f t="shared" si="0"/>
        <v/>
      </c>
      <c r="G21" t="str">
        <f t="shared" si="1"/>
        <v/>
      </c>
    </row>
    <row r="22" spans="1:10" ht="86.4" x14ac:dyDescent="0.3">
      <c r="A22" s="11" t="s">
        <v>64</v>
      </c>
      <c r="B22" s="2">
        <v>-6</v>
      </c>
      <c r="C22" s="2">
        <v>5.7</v>
      </c>
      <c r="D22" s="2">
        <v>18</v>
      </c>
      <c r="E22" s="2">
        <v>639</v>
      </c>
      <c r="F22" t="str">
        <f t="shared" si="0"/>
        <v/>
      </c>
      <c r="G22" s="10" t="str">
        <f t="shared" si="1"/>
        <v>Много осадков</v>
      </c>
      <c r="I22" s="12" t="s">
        <v>187</v>
      </c>
      <c r="J22" s="13">
        <f>AVERAGE(E2:E144)</f>
        <v>556.66433566433568</v>
      </c>
    </row>
    <row r="23" spans="1:10" x14ac:dyDescent="0.3">
      <c r="A23" t="s">
        <v>65</v>
      </c>
      <c r="B23" s="2">
        <v>-9.1999999999999993</v>
      </c>
      <c r="C23" s="2">
        <v>4.3</v>
      </c>
      <c r="D23" s="2">
        <v>17.3</v>
      </c>
      <c r="E23" s="2">
        <v>550</v>
      </c>
      <c r="F23" t="str">
        <f t="shared" si="0"/>
        <v/>
      </c>
      <c r="G23" t="str">
        <f t="shared" si="1"/>
        <v/>
      </c>
    </row>
    <row r="24" spans="1:10" x14ac:dyDescent="0.3">
      <c r="A24" t="s">
        <v>66</v>
      </c>
      <c r="B24" s="2">
        <v>-45.4</v>
      </c>
      <c r="C24" s="2">
        <v>-14.5</v>
      </c>
      <c r="D24" s="2">
        <v>16.5</v>
      </c>
      <c r="E24" s="2">
        <v>178</v>
      </c>
      <c r="F24" t="str">
        <f t="shared" si="0"/>
        <v/>
      </c>
      <c r="G24" t="str">
        <f t="shared" si="1"/>
        <v/>
      </c>
    </row>
    <row r="25" spans="1:10" x14ac:dyDescent="0.3">
      <c r="A25" t="s">
        <v>67</v>
      </c>
      <c r="B25" s="2">
        <v>-35.799999999999997</v>
      </c>
      <c r="C25" s="2">
        <v>-8.1999999999999993</v>
      </c>
      <c r="D25" s="2">
        <v>18.7</v>
      </c>
      <c r="E25" s="2">
        <v>285</v>
      </c>
      <c r="F25" t="str">
        <f t="shared" si="0"/>
        <v/>
      </c>
      <c r="G25" t="str">
        <f t="shared" si="1"/>
        <v/>
      </c>
    </row>
    <row r="26" spans="1:10" x14ac:dyDescent="0.3">
      <c r="A26" t="s">
        <v>68</v>
      </c>
      <c r="B26" s="2">
        <v>-12.3</v>
      </c>
      <c r="C26" s="2">
        <v>4.9000000000000004</v>
      </c>
      <c r="D26" s="2">
        <v>19.8</v>
      </c>
      <c r="E26" s="2">
        <v>818</v>
      </c>
      <c r="F26" t="str">
        <f t="shared" si="0"/>
        <v/>
      </c>
      <c r="G26" t="str">
        <f t="shared" si="1"/>
        <v>Много осадков</v>
      </c>
    </row>
    <row r="27" spans="1:10" x14ac:dyDescent="0.3">
      <c r="A27" t="s">
        <v>69</v>
      </c>
      <c r="B27" s="2">
        <v>-1.9</v>
      </c>
      <c r="C27" s="2">
        <v>9.1999999999999993</v>
      </c>
      <c r="D27" s="2">
        <v>20.6</v>
      </c>
      <c r="E27" s="2">
        <v>929</v>
      </c>
      <c r="F27" t="str">
        <f t="shared" si="0"/>
        <v/>
      </c>
      <c r="G27" t="str">
        <f t="shared" si="1"/>
        <v>Много осадков</v>
      </c>
    </row>
    <row r="28" spans="1:10" x14ac:dyDescent="0.3">
      <c r="A28" t="s">
        <v>70</v>
      </c>
      <c r="B28" s="2">
        <v>-8.6999999999999993</v>
      </c>
      <c r="C28" s="2">
        <v>4.7</v>
      </c>
      <c r="D28" s="2">
        <v>18</v>
      </c>
      <c r="E28" s="2">
        <v>584</v>
      </c>
      <c r="F28" t="str">
        <f t="shared" si="0"/>
        <v/>
      </c>
      <c r="G28" t="str">
        <f t="shared" si="1"/>
        <v>Много осадков</v>
      </c>
    </row>
    <row r="29" spans="1:10" x14ac:dyDescent="0.3">
      <c r="A29" t="s">
        <v>71</v>
      </c>
      <c r="B29" s="2">
        <v>-3.7</v>
      </c>
      <c r="C29" s="2">
        <v>10.4</v>
      </c>
      <c r="D29" s="2">
        <v>26</v>
      </c>
      <c r="E29" s="2">
        <v>347</v>
      </c>
      <c r="F29" t="str">
        <f t="shared" si="0"/>
        <v/>
      </c>
      <c r="G29" t="str">
        <f t="shared" si="1"/>
        <v/>
      </c>
    </row>
    <row r="30" spans="1:10" x14ac:dyDescent="0.3">
      <c r="A30" t="s">
        <v>72</v>
      </c>
      <c r="B30" s="2">
        <v>-10.8</v>
      </c>
      <c r="C30" s="2">
        <v>3.1</v>
      </c>
      <c r="D30" s="2">
        <v>17.5</v>
      </c>
      <c r="E30" s="2">
        <v>565</v>
      </c>
      <c r="F30" t="str">
        <f t="shared" si="0"/>
        <v/>
      </c>
      <c r="G30" t="str">
        <f t="shared" si="1"/>
        <v>Много осадков</v>
      </c>
    </row>
    <row r="31" spans="1:10" x14ac:dyDescent="0.3">
      <c r="A31" t="s">
        <v>73</v>
      </c>
      <c r="B31" s="2">
        <v>-19.7</v>
      </c>
      <c r="C31" s="2">
        <v>-5.3</v>
      </c>
      <c r="D31" s="2">
        <v>13.1</v>
      </c>
      <c r="E31" s="2">
        <v>531</v>
      </c>
      <c r="F31" t="str">
        <f t="shared" si="0"/>
        <v/>
      </c>
      <c r="G31" t="str">
        <f t="shared" si="1"/>
        <v/>
      </c>
    </row>
    <row r="32" spans="1:10" x14ac:dyDescent="0.3">
      <c r="A32" t="s">
        <v>74</v>
      </c>
      <c r="B32" s="2">
        <v>-6.5</v>
      </c>
      <c r="C32" s="2">
        <v>6.9</v>
      </c>
      <c r="D32" s="2">
        <v>20.5</v>
      </c>
      <c r="E32" s="2">
        <v>587</v>
      </c>
      <c r="F32" t="str">
        <f t="shared" si="0"/>
        <v/>
      </c>
      <c r="G32" t="str">
        <f t="shared" si="1"/>
        <v>Много осадков</v>
      </c>
    </row>
    <row r="33" spans="1:7" x14ac:dyDescent="0.3">
      <c r="A33" t="s">
        <v>75</v>
      </c>
      <c r="B33" s="2">
        <v>-7.2</v>
      </c>
      <c r="C33" s="2">
        <v>4.8</v>
      </c>
      <c r="D33" s="2">
        <v>18.3</v>
      </c>
      <c r="E33" s="2">
        <v>677</v>
      </c>
      <c r="F33" t="str">
        <f t="shared" si="0"/>
        <v/>
      </c>
      <c r="G33" t="str">
        <f t="shared" si="1"/>
        <v>Много осадков</v>
      </c>
    </row>
    <row r="34" spans="1:7" x14ac:dyDescent="0.3">
      <c r="A34" t="s">
        <v>76</v>
      </c>
      <c r="B34" s="2">
        <v>-13.7</v>
      </c>
      <c r="C34" s="2">
        <v>2.8</v>
      </c>
      <c r="D34" s="2">
        <v>18.899999999999999</v>
      </c>
      <c r="E34" s="2">
        <v>731</v>
      </c>
      <c r="F34" t="str">
        <f t="shared" si="0"/>
        <v/>
      </c>
      <c r="G34" t="str">
        <f t="shared" si="1"/>
        <v>Много осадков</v>
      </c>
    </row>
    <row r="35" spans="1:7" x14ac:dyDescent="0.3">
      <c r="A35" t="s">
        <v>77</v>
      </c>
      <c r="B35" s="2">
        <v>-3.2</v>
      </c>
      <c r="C35" s="2">
        <v>10.4</v>
      </c>
      <c r="D35" s="2">
        <v>23.9</v>
      </c>
      <c r="E35" s="2">
        <v>439</v>
      </c>
      <c r="F35" t="str">
        <f t="shared" si="0"/>
        <v/>
      </c>
      <c r="G35" t="str">
        <f t="shared" si="1"/>
        <v/>
      </c>
    </row>
    <row r="36" spans="1:7" x14ac:dyDescent="0.3">
      <c r="A36" t="s">
        <v>78</v>
      </c>
      <c r="B36" s="2">
        <v>2</v>
      </c>
      <c r="C36" s="2">
        <v>14</v>
      </c>
      <c r="D36" s="2">
        <v>26</v>
      </c>
      <c r="E36" s="2">
        <v>377</v>
      </c>
      <c r="F36" t="str">
        <f t="shared" si="0"/>
        <v>Всегда плюс</v>
      </c>
      <c r="G36" t="str">
        <f t="shared" si="1"/>
        <v/>
      </c>
    </row>
    <row r="37" spans="1:7" x14ac:dyDescent="0.3">
      <c r="A37" t="s">
        <v>79</v>
      </c>
      <c r="B37" s="2">
        <v>-26</v>
      </c>
      <c r="C37" s="2">
        <v>-11.4</v>
      </c>
      <c r="D37" s="2">
        <v>4.8</v>
      </c>
      <c r="E37" s="2">
        <v>233</v>
      </c>
      <c r="F37" t="str">
        <f t="shared" si="0"/>
        <v/>
      </c>
      <c r="G37" t="str">
        <f t="shared" si="1"/>
        <v/>
      </c>
    </row>
    <row r="38" spans="1:7" x14ac:dyDescent="0.3">
      <c r="A38" t="s">
        <v>80</v>
      </c>
      <c r="B38" s="2">
        <v>-26.8</v>
      </c>
      <c r="C38" s="2">
        <v>-9.4</v>
      </c>
      <c r="D38" s="2">
        <v>13.8</v>
      </c>
      <c r="E38" s="2">
        <v>522</v>
      </c>
      <c r="F38" t="str">
        <f t="shared" si="0"/>
        <v/>
      </c>
      <c r="G38" t="str">
        <f t="shared" si="1"/>
        <v/>
      </c>
    </row>
    <row r="39" spans="1:7" x14ac:dyDescent="0.3">
      <c r="A39" t="s">
        <v>81</v>
      </c>
      <c r="B39" s="2">
        <v>2.5</v>
      </c>
      <c r="C39" s="2">
        <v>12.7</v>
      </c>
      <c r="D39" s="2">
        <v>24.3</v>
      </c>
      <c r="E39" s="2">
        <v>421</v>
      </c>
      <c r="F39" t="str">
        <f t="shared" si="0"/>
        <v>Всегда плюс</v>
      </c>
      <c r="G39" t="str">
        <f t="shared" si="1"/>
        <v/>
      </c>
    </row>
    <row r="40" spans="1:7" x14ac:dyDescent="0.3">
      <c r="A40" t="s">
        <v>82</v>
      </c>
      <c r="B40" s="2">
        <v>-12.6</v>
      </c>
      <c r="C40" s="2">
        <v>3</v>
      </c>
      <c r="D40" s="2">
        <v>19</v>
      </c>
      <c r="E40" s="2">
        <v>537</v>
      </c>
      <c r="F40" t="str">
        <f t="shared" si="0"/>
        <v/>
      </c>
      <c r="G40" t="str">
        <f t="shared" si="1"/>
        <v/>
      </c>
    </row>
    <row r="41" spans="1:7" x14ac:dyDescent="0.3">
      <c r="A41" t="s">
        <v>83</v>
      </c>
      <c r="B41" s="2">
        <v>-8.6999999999999993</v>
      </c>
      <c r="C41" s="2">
        <v>5</v>
      </c>
      <c r="D41" s="2">
        <v>19.3</v>
      </c>
      <c r="E41" s="2">
        <v>629</v>
      </c>
      <c r="F41" t="str">
        <f t="shared" si="0"/>
        <v/>
      </c>
      <c r="G41" t="str">
        <f t="shared" si="1"/>
        <v>Много осадков</v>
      </c>
    </row>
    <row r="42" spans="1:7" x14ac:dyDescent="0.3">
      <c r="A42" t="s">
        <v>84</v>
      </c>
      <c r="B42" s="2">
        <v>-7.4</v>
      </c>
      <c r="C42" s="2">
        <v>6.2</v>
      </c>
      <c r="D42" s="2">
        <v>20</v>
      </c>
      <c r="E42" s="2">
        <v>589</v>
      </c>
      <c r="F42" t="str">
        <f t="shared" si="0"/>
        <v/>
      </c>
      <c r="G42" t="str">
        <f t="shared" si="1"/>
        <v>Много осадков</v>
      </c>
    </row>
    <row r="43" spans="1:7" x14ac:dyDescent="0.3">
      <c r="A43" t="s">
        <v>85</v>
      </c>
      <c r="B43" s="2">
        <v>-30.1</v>
      </c>
      <c r="C43" s="2">
        <v>-6.2</v>
      </c>
      <c r="D43" s="2">
        <v>17.5</v>
      </c>
      <c r="E43" s="2">
        <v>345</v>
      </c>
      <c r="F43" t="str">
        <f t="shared" si="0"/>
        <v/>
      </c>
      <c r="G43" t="str">
        <f t="shared" si="1"/>
        <v/>
      </c>
    </row>
    <row r="44" spans="1:7" x14ac:dyDescent="0.3">
      <c r="A44" t="s">
        <v>86</v>
      </c>
      <c r="B44" s="2">
        <v>-12.1</v>
      </c>
      <c r="C44" s="2">
        <v>3.6</v>
      </c>
      <c r="D44" s="2">
        <v>18.100000000000001</v>
      </c>
      <c r="E44" s="2">
        <v>612</v>
      </c>
      <c r="F44" t="str">
        <f t="shared" si="0"/>
        <v/>
      </c>
      <c r="G44" t="str">
        <f t="shared" si="1"/>
        <v>Много осадков</v>
      </c>
    </row>
    <row r="45" spans="1:7" x14ac:dyDescent="0.3">
      <c r="A45" t="s">
        <v>87</v>
      </c>
      <c r="B45" s="2">
        <v>-12.4</v>
      </c>
      <c r="C45" s="2">
        <v>3</v>
      </c>
      <c r="D45" s="2">
        <v>19</v>
      </c>
      <c r="E45" s="2">
        <v>510</v>
      </c>
      <c r="F45" t="str">
        <f t="shared" si="0"/>
        <v/>
      </c>
      <c r="G45" t="str">
        <f t="shared" si="1"/>
        <v/>
      </c>
    </row>
    <row r="46" spans="1:7" x14ac:dyDescent="0.3">
      <c r="A46" t="s">
        <v>88</v>
      </c>
      <c r="B46" s="2">
        <v>-17.899999999999999</v>
      </c>
      <c r="C46" s="2">
        <v>0.9</v>
      </c>
      <c r="D46" s="2">
        <v>18.2</v>
      </c>
      <c r="E46" s="2">
        <v>477</v>
      </c>
      <c r="F46" t="str">
        <f t="shared" si="0"/>
        <v/>
      </c>
      <c r="G46" t="str">
        <f t="shared" si="1"/>
        <v/>
      </c>
    </row>
    <row r="47" spans="1:7" x14ac:dyDescent="0.3">
      <c r="A47" t="s">
        <v>89</v>
      </c>
      <c r="B47" s="2">
        <v>-12.7</v>
      </c>
      <c r="C47" s="2">
        <v>-0.2</v>
      </c>
      <c r="D47" s="2">
        <v>11.7</v>
      </c>
      <c r="E47" s="2">
        <v>642</v>
      </c>
      <c r="F47" t="str">
        <f t="shared" si="0"/>
        <v/>
      </c>
      <c r="G47" t="str">
        <f t="shared" si="1"/>
        <v>Много осадков</v>
      </c>
    </row>
    <row r="48" spans="1:7" x14ac:dyDescent="0.3">
      <c r="A48" t="s">
        <v>90</v>
      </c>
      <c r="B48" s="2">
        <v>-10.4</v>
      </c>
      <c r="C48" s="2">
        <v>4.5999999999999996</v>
      </c>
      <c r="D48" s="2">
        <v>20.2</v>
      </c>
      <c r="E48" s="2">
        <v>558</v>
      </c>
      <c r="F48" t="str">
        <f t="shared" si="0"/>
        <v/>
      </c>
      <c r="G48" t="str">
        <f t="shared" si="1"/>
        <v>Много осадков</v>
      </c>
    </row>
    <row r="49" spans="1:7" x14ac:dyDescent="0.3">
      <c r="A49" t="s">
        <v>91</v>
      </c>
      <c r="B49" s="2">
        <v>-12.2</v>
      </c>
      <c r="C49" s="2">
        <v>1.1000000000000001</v>
      </c>
      <c r="D49" s="2">
        <v>15.7</v>
      </c>
      <c r="E49" s="2">
        <v>564</v>
      </c>
      <c r="F49" t="str">
        <f t="shared" si="0"/>
        <v/>
      </c>
      <c r="G49" t="str">
        <f t="shared" si="1"/>
        <v>Много осадков</v>
      </c>
    </row>
    <row r="50" spans="1:7" x14ac:dyDescent="0.3">
      <c r="A50" t="s">
        <v>92</v>
      </c>
      <c r="B50" s="2">
        <v>-1.5</v>
      </c>
      <c r="C50" s="2">
        <v>7.9</v>
      </c>
      <c r="D50" s="2">
        <v>18.100000000000001</v>
      </c>
      <c r="E50" s="2">
        <v>818</v>
      </c>
      <c r="F50" t="str">
        <f t="shared" si="0"/>
        <v/>
      </c>
      <c r="G50" t="str">
        <f t="shared" si="1"/>
        <v>Много осадков</v>
      </c>
    </row>
    <row r="51" spans="1:7" x14ac:dyDescent="0.3">
      <c r="A51" t="s">
        <v>93</v>
      </c>
      <c r="B51" s="2">
        <v>-7.8</v>
      </c>
      <c r="C51" s="2">
        <v>7.6</v>
      </c>
      <c r="D51" s="2">
        <v>23.7</v>
      </c>
      <c r="E51" s="2">
        <v>389</v>
      </c>
      <c r="F51" t="str">
        <f t="shared" si="0"/>
        <v/>
      </c>
      <c r="G51" t="str">
        <f t="shared" si="1"/>
        <v/>
      </c>
    </row>
    <row r="52" spans="1:7" x14ac:dyDescent="0.3">
      <c r="A52" t="s">
        <v>94</v>
      </c>
      <c r="B52" s="2">
        <v>-12.2</v>
      </c>
      <c r="C52" s="2">
        <v>0.4</v>
      </c>
      <c r="D52" s="2">
        <v>14.6</v>
      </c>
      <c r="E52" s="2">
        <v>543</v>
      </c>
      <c r="F52" t="str">
        <f t="shared" si="0"/>
        <v/>
      </c>
      <c r="G52" t="str">
        <f t="shared" si="1"/>
        <v/>
      </c>
    </row>
    <row r="53" spans="1:7" x14ac:dyDescent="0.3">
      <c r="A53" t="s">
        <v>95</v>
      </c>
      <c r="B53" s="2">
        <v>-9</v>
      </c>
      <c r="C53" s="2">
        <v>-0.5</v>
      </c>
      <c r="D53" s="2">
        <v>9</v>
      </c>
      <c r="E53" s="2">
        <v>436</v>
      </c>
      <c r="F53" t="str">
        <f t="shared" si="0"/>
        <v/>
      </c>
      <c r="G53" t="str">
        <f t="shared" si="1"/>
        <v/>
      </c>
    </row>
    <row r="54" spans="1:7" x14ac:dyDescent="0.3">
      <c r="A54" t="s">
        <v>96</v>
      </c>
      <c r="B54" s="2">
        <v>-17</v>
      </c>
      <c r="C54" s="2">
        <v>1.3</v>
      </c>
      <c r="D54" s="2">
        <v>19</v>
      </c>
      <c r="E54" s="2">
        <v>505</v>
      </c>
      <c r="F54" t="str">
        <f t="shared" si="0"/>
        <v/>
      </c>
      <c r="G54" t="str">
        <f t="shared" si="1"/>
        <v/>
      </c>
    </row>
    <row r="55" spans="1:7" x14ac:dyDescent="0.3">
      <c r="A55" t="s">
        <v>97</v>
      </c>
      <c r="B55" s="2">
        <v>-6</v>
      </c>
      <c r="C55" s="2">
        <v>5.4</v>
      </c>
      <c r="D55" s="2">
        <v>18.100000000000001</v>
      </c>
      <c r="E55" s="2">
        <v>743</v>
      </c>
      <c r="F55" t="str">
        <f t="shared" si="0"/>
        <v/>
      </c>
      <c r="G55" t="str">
        <f t="shared" si="1"/>
        <v>Много осадков</v>
      </c>
    </row>
    <row r="56" spans="1:7" x14ac:dyDescent="0.3">
      <c r="A56" t="s">
        <v>98</v>
      </c>
      <c r="B56" s="2">
        <v>-26.6</v>
      </c>
      <c r="C56" s="2">
        <v>-3.5</v>
      </c>
      <c r="D56" s="2">
        <v>18.3</v>
      </c>
      <c r="E56" s="2">
        <v>397</v>
      </c>
      <c r="F56" t="str">
        <f t="shared" si="0"/>
        <v/>
      </c>
      <c r="G56" t="str">
        <f t="shared" si="1"/>
        <v/>
      </c>
    </row>
    <row r="57" spans="1:7" x14ac:dyDescent="0.3">
      <c r="A57" t="s">
        <v>99</v>
      </c>
      <c r="B57" s="2">
        <v>-11.9</v>
      </c>
      <c r="C57" s="2">
        <v>3.1</v>
      </c>
      <c r="D57" s="2">
        <v>18.899999999999999</v>
      </c>
      <c r="E57" s="2">
        <v>676</v>
      </c>
      <c r="F57" t="str">
        <f t="shared" si="0"/>
        <v/>
      </c>
      <c r="G57" t="str">
        <f t="shared" si="1"/>
        <v>Много осадков</v>
      </c>
    </row>
    <row r="58" spans="1:7" x14ac:dyDescent="0.3">
      <c r="A58" t="s">
        <v>100</v>
      </c>
      <c r="B58" s="2">
        <v>-16.7</v>
      </c>
      <c r="C58" s="2">
        <v>-0.1</v>
      </c>
      <c r="D58" s="2">
        <v>15.6</v>
      </c>
      <c r="E58" s="2">
        <v>628</v>
      </c>
      <c r="F58" t="str">
        <f t="shared" si="0"/>
        <v/>
      </c>
      <c r="G58" t="str">
        <f t="shared" si="1"/>
        <v>Много осадков</v>
      </c>
    </row>
    <row r="59" spans="1:7" x14ac:dyDescent="0.3">
      <c r="A59" t="s">
        <v>101</v>
      </c>
      <c r="B59" s="2">
        <v>-16.3</v>
      </c>
      <c r="C59" s="2">
        <v>-0.3</v>
      </c>
      <c r="D59" s="2">
        <v>16.3</v>
      </c>
      <c r="E59" s="2">
        <v>581</v>
      </c>
      <c r="F59" t="str">
        <f t="shared" si="0"/>
        <v/>
      </c>
      <c r="G59" t="str">
        <f t="shared" si="1"/>
        <v>Много осадков</v>
      </c>
    </row>
    <row r="60" spans="1:7" x14ac:dyDescent="0.3">
      <c r="A60" t="s">
        <v>102</v>
      </c>
      <c r="B60" s="2">
        <v>-9.4</v>
      </c>
      <c r="C60" s="2">
        <v>4.2</v>
      </c>
      <c r="D60" s="2">
        <v>18.7</v>
      </c>
      <c r="E60" s="2">
        <v>625</v>
      </c>
      <c r="F60" t="str">
        <f t="shared" si="0"/>
        <v/>
      </c>
      <c r="G60" t="str">
        <f t="shared" si="1"/>
        <v>Много осадков</v>
      </c>
    </row>
    <row r="61" spans="1:7" x14ac:dyDescent="0.3">
      <c r="A61" t="s">
        <v>103</v>
      </c>
      <c r="B61" s="2">
        <v>-13</v>
      </c>
      <c r="C61" s="2">
        <v>2</v>
      </c>
      <c r="D61" s="2">
        <v>17.600000000000001</v>
      </c>
      <c r="E61" s="2">
        <v>576</v>
      </c>
      <c r="F61" t="str">
        <f t="shared" si="0"/>
        <v/>
      </c>
      <c r="G61" t="str">
        <f t="shared" si="1"/>
        <v>Много осадков</v>
      </c>
    </row>
    <row r="62" spans="1:7" x14ac:dyDescent="0.3">
      <c r="A62" t="s">
        <v>104</v>
      </c>
      <c r="B62" s="2">
        <v>0.3</v>
      </c>
      <c r="C62" s="2">
        <v>11.9</v>
      </c>
      <c r="D62" s="2">
        <v>24</v>
      </c>
      <c r="E62" s="2">
        <v>718</v>
      </c>
      <c r="F62" t="str">
        <f t="shared" si="0"/>
        <v>Всегда плюс</v>
      </c>
      <c r="G62" t="str">
        <f t="shared" si="1"/>
        <v>Много осадков</v>
      </c>
    </row>
    <row r="63" spans="1:7" x14ac:dyDescent="0.3">
      <c r="A63" t="s">
        <v>105</v>
      </c>
      <c r="B63" s="2">
        <v>-15.5</v>
      </c>
      <c r="C63" s="2">
        <v>1.6</v>
      </c>
      <c r="D63" s="2">
        <v>18.7</v>
      </c>
      <c r="E63" s="2">
        <v>491</v>
      </c>
      <c r="F63" t="str">
        <f t="shared" si="0"/>
        <v/>
      </c>
      <c r="G63" t="str">
        <f t="shared" si="1"/>
        <v/>
      </c>
    </row>
    <row r="64" spans="1:7" x14ac:dyDescent="0.3">
      <c r="A64" t="s">
        <v>106</v>
      </c>
      <c r="B64" s="2">
        <v>-15.2</v>
      </c>
      <c r="C64" s="2">
        <v>2.7</v>
      </c>
      <c r="D64" s="2">
        <v>19.8</v>
      </c>
      <c r="E64" s="2">
        <v>406</v>
      </c>
      <c r="F64" t="str">
        <f t="shared" si="0"/>
        <v/>
      </c>
      <c r="G64" t="str">
        <f t="shared" si="1"/>
        <v/>
      </c>
    </row>
    <row r="65" spans="1:7" x14ac:dyDescent="0.3">
      <c r="A65" t="s">
        <v>107</v>
      </c>
      <c r="B65" s="2">
        <v>-6.2</v>
      </c>
      <c r="C65" s="2">
        <v>6.5</v>
      </c>
      <c r="D65" s="2">
        <v>19.600000000000001</v>
      </c>
      <c r="E65" s="2">
        <v>648</v>
      </c>
      <c r="F65" t="str">
        <f t="shared" si="0"/>
        <v/>
      </c>
      <c r="G65" t="str">
        <f t="shared" si="1"/>
        <v>Много осадков</v>
      </c>
    </row>
    <row r="66" spans="1:7" x14ac:dyDescent="0.3">
      <c r="A66" t="s">
        <v>108</v>
      </c>
      <c r="B66" s="2">
        <v>-28.6</v>
      </c>
      <c r="C66" s="2">
        <v>-1.3</v>
      </c>
      <c r="D66" s="2">
        <v>20.399999999999999</v>
      </c>
      <c r="E66" s="2">
        <v>217</v>
      </c>
      <c r="F66" t="str">
        <f t="shared" si="0"/>
        <v/>
      </c>
      <c r="G66" t="str">
        <f t="shared" si="1"/>
        <v/>
      </c>
    </row>
    <row r="67" spans="1:7" x14ac:dyDescent="0.3">
      <c r="A67" t="s">
        <v>109</v>
      </c>
      <c r="B67" s="2">
        <v>-16.399999999999999</v>
      </c>
      <c r="C67" s="2">
        <v>-2.7</v>
      </c>
      <c r="D67" s="2">
        <v>12</v>
      </c>
      <c r="E67" s="2">
        <v>559</v>
      </c>
      <c r="F67" t="str">
        <f t="shared" ref="F67:F130" si="2">IF(B67&gt;0,"Всегда плюс","")</f>
        <v/>
      </c>
      <c r="G67" t="str">
        <f t="shared" ref="G67:G130" si="3">IF(E67&gt;$J$22,"Много осадков","")</f>
        <v>Много осадков</v>
      </c>
    </row>
    <row r="68" spans="1:7" x14ac:dyDescent="0.3">
      <c r="A68" t="s">
        <v>110</v>
      </c>
      <c r="B68" s="2">
        <v>-14.1</v>
      </c>
      <c r="C68" s="2">
        <v>2.8</v>
      </c>
      <c r="D68" s="2">
        <v>19.100000000000001</v>
      </c>
      <c r="E68" s="2">
        <v>353</v>
      </c>
      <c r="F68" t="str">
        <f t="shared" si="2"/>
        <v/>
      </c>
      <c r="G68" t="str">
        <f t="shared" si="3"/>
        <v/>
      </c>
    </row>
    <row r="69" spans="1:7" x14ac:dyDescent="0.3">
      <c r="A69" t="s">
        <v>111</v>
      </c>
      <c r="B69" s="2">
        <v>-14.6</v>
      </c>
      <c r="C69" s="2">
        <v>-4.5</v>
      </c>
      <c r="D69" s="2">
        <v>7.1</v>
      </c>
      <c r="E69" s="2">
        <v>333</v>
      </c>
      <c r="F69" t="str">
        <f t="shared" si="2"/>
        <v/>
      </c>
      <c r="G69" t="str">
        <f t="shared" si="3"/>
        <v/>
      </c>
    </row>
    <row r="70" spans="1:7" x14ac:dyDescent="0.3">
      <c r="A70" t="s">
        <v>112</v>
      </c>
      <c r="B70" s="2">
        <v>1.2</v>
      </c>
      <c r="C70" s="2">
        <v>12.4</v>
      </c>
      <c r="D70" s="2">
        <v>24.7</v>
      </c>
      <c r="E70" s="2">
        <v>340</v>
      </c>
      <c r="F70" t="str">
        <f t="shared" si="2"/>
        <v>Всегда плюс</v>
      </c>
      <c r="G70" t="str">
        <f t="shared" si="3"/>
        <v/>
      </c>
    </row>
    <row r="71" spans="1:7" x14ac:dyDescent="0.3">
      <c r="A71" t="s">
        <v>113</v>
      </c>
      <c r="B71" s="2">
        <v>-2.5</v>
      </c>
      <c r="C71" s="2">
        <v>9.6999999999999993</v>
      </c>
      <c r="D71" s="2">
        <v>22.7</v>
      </c>
      <c r="E71" s="2">
        <v>556</v>
      </c>
      <c r="F71" t="str">
        <f t="shared" si="2"/>
        <v/>
      </c>
      <c r="G71" t="str">
        <f t="shared" si="3"/>
        <v/>
      </c>
    </row>
    <row r="72" spans="1:7" x14ac:dyDescent="0.3">
      <c r="A72" t="s">
        <v>114</v>
      </c>
      <c r="B72" s="2">
        <v>-6.7</v>
      </c>
      <c r="C72" s="2">
        <v>5.8</v>
      </c>
      <c r="D72" s="2">
        <v>19.2</v>
      </c>
      <c r="E72" s="2">
        <v>707</v>
      </c>
      <c r="F72" t="str">
        <f t="shared" si="2"/>
        <v/>
      </c>
      <c r="G72" t="str">
        <f t="shared" si="3"/>
        <v>Много осадков</v>
      </c>
    </row>
    <row r="73" spans="1:7" x14ac:dyDescent="0.3">
      <c r="A73" t="s">
        <v>115</v>
      </c>
      <c r="B73" s="2">
        <v>-10</v>
      </c>
      <c r="C73" s="2">
        <v>0.6</v>
      </c>
      <c r="D73" s="2">
        <v>12.9</v>
      </c>
      <c r="E73" s="2">
        <v>494</v>
      </c>
      <c r="F73" t="str">
        <f t="shared" si="2"/>
        <v/>
      </c>
      <c r="G73" t="str">
        <f t="shared" si="3"/>
        <v/>
      </c>
    </row>
    <row r="74" spans="1:7" x14ac:dyDescent="0.3">
      <c r="A74" t="s">
        <v>116</v>
      </c>
      <c r="B74" s="2">
        <v>-17</v>
      </c>
      <c r="C74" s="2">
        <v>-3</v>
      </c>
      <c r="D74" s="2">
        <v>13.5</v>
      </c>
      <c r="E74" s="2">
        <v>504</v>
      </c>
      <c r="F74" t="str">
        <f t="shared" si="2"/>
        <v/>
      </c>
      <c r="G74" t="str">
        <f t="shared" si="3"/>
        <v/>
      </c>
    </row>
    <row r="75" spans="1:7" x14ac:dyDescent="0.3">
      <c r="A75" t="s">
        <v>117</v>
      </c>
      <c r="B75" s="2">
        <v>-9.3000000000000007</v>
      </c>
      <c r="C75" s="2">
        <v>6.8</v>
      </c>
      <c r="D75" s="2">
        <v>20.6</v>
      </c>
      <c r="E75" s="2">
        <v>860</v>
      </c>
      <c r="F75" t="str">
        <f t="shared" si="2"/>
        <v/>
      </c>
      <c r="G75" t="str">
        <f t="shared" si="3"/>
        <v>Много осадков</v>
      </c>
    </row>
    <row r="76" spans="1:7" x14ac:dyDescent="0.3">
      <c r="A76" t="s">
        <v>118</v>
      </c>
      <c r="B76" s="2">
        <v>-30.4</v>
      </c>
      <c r="C76" s="2">
        <v>-6.9</v>
      </c>
      <c r="D76" s="2">
        <v>16.100000000000001</v>
      </c>
      <c r="E76" s="2">
        <v>583</v>
      </c>
      <c r="F76" t="str">
        <f t="shared" si="2"/>
        <v/>
      </c>
      <c r="G76" t="str">
        <f t="shared" si="3"/>
        <v>Много осадков</v>
      </c>
    </row>
    <row r="77" spans="1:7" x14ac:dyDescent="0.3">
      <c r="A77" t="s">
        <v>119</v>
      </c>
      <c r="B77" s="2">
        <v>-20.6</v>
      </c>
      <c r="C77" s="2">
        <v>-0.4</v>
      </c>
      <c r="D77" s="2">
        <v>17.899999999999999</v>
      </c>
      <c r="E77" s="2">
        <v>410</v>
      </c>
      <c r="F77" t="str">
        <f t="shared" si="2"/>
        <v/>
      </c>
      <c r="G77" t="str">
        <f t="shared" si="3"/>
        <v/>
      </c>
    </row>
    <row r="78" spans="1:7" x14ac:dyDescent="0.3">
      <c r="A78" t="s">
        <v>120</v>
      </c>
      <c r="B78" s="2">
        <v>-8.9</v>
      </c>
      <c r="C78" s="2">
        <v>4.8</v>
      </c>
      <c r="D78" s="2">
        <v>19.399999999999999</v>
      </c>
      <c r="E78" s="2">
        <v>648</v>
      </c>
      <c r="F78" t="str">
        <f t="shared" si="2"/>
        <v/>
      </c>
      <c r="G78" t="str">
        <f t="shared" si="3"/>
        <v>Много осадков</v>
      </c>
    </row>
    <row r="79" spans="1:7" x14ac:dyDescent="0.3">
      <c r="A79" t="s">
        <v>121</v>
      </c>
      <c r="B79" s="2">
        <v>-21.8</v>
      </c>
      <c r="C79" s="2">
        <v>-1.8</v>
      </c>
      <c r="D79" s="2">
        <v>16.5</v>
      </c>
      <c r="E79" s="2">
        <v>660</v>
      </c>
      <c r="F79" t="str">
        <f t="shared" si="2"/>
        <v/>
      </c>
      <c r="G79" t="str">
        <f t="shared" si="3"/>
        <v>Много осадков</v>
      </c>
    </row>
    <row r="80" spans="1:7" x14ac:dyDescent="0.3">
      <c r="A80" t="s">
        <v>122</v>
      </c>
      <c r="B80" s="2">
        <v>-15</v>
      </c>
      <c r="C80" s="2">
        <v>2.1</v>
      </c>
      <c r="D80" s="2">
        <v>18.8</v>
      </c>
      <c r="E80" s="2">
        <v>447</v>
      </c>
      <c r="F80" t="str">
        <f t="shared" si="2"/>
        <v/>
      </c>
      <c r="G80" t="str">
        <f t="shared" si="3"/>
        <v/>
      </c>
    </row>
    <row r="81" spans="1:7" x14ac:dyDescent="0.3">
      <c r="A81" t="s">
        <v>123</v>
      </c>
      <c r="B81" s="2">
        <v>-16.100000000000001</v>
      </c>
      <c r="C81" s="2">
        <v>1.8</v>
      </c>
      <c r="D81" s="2">
        <v>19.2</v>
      </c>
      <c r="E81" s="2">
        <v>448</v>
      </c>
      <c r="F81" t="str">
        <f t="shared" si="2"/>
        <v/>
      </c>
      <c r="G81" t="str">
        <f t="shared" si="3"/>
        <v/>
      </c>
    </row>
    <row r="82" spans="1:7" x14ac:dyDescent="0.3">
      <c r="A82" t="s">
        <v>124</v>
      </c>
      <c r="B82" s="2">
        <v>-27.2</v>
      </c>
      <c r="C82" s="2">
        <v>-9.6</v>
      </c>
      <c r="D82" s="2">
        <v>14.3</v>
      </c>
      <c r="E82" s="2">
        <v>341</v>
      </c>
      <c r="F82" t="str">
        <f t="shared" si="2"/>
        <v/>
      </c>
      <c r="G82" t="str">
        <f t="shared" si="3"/>
        <v/>
      </c>
    </row>
    <row r="83" spans="1:7" x14ac:dyDescent="0.3">
      <c r="A83" t="s">
        <v>125</v>
      </c>
      <c r="B83" s="2">
        <v>-19.399999999999999</v>
      </c>
      <c r="C83" s="2">
        <v>-1.2</v>
      </c>
      <c r="D83" s="2">
        <v>17.399999999999999</v>
      </c>
      <c r="E83" s="2">
        <v>536</v>
      </c>
      <c r="F83" t="str">
        <f t="shared" si="2"/>
        <v/>
      </c>
      <c r="G83" t="str">
        <f t="shared" si="3"/>
        <v/>
      </c>
    </row>
    <row r="84" spans="1:7" x14ac:dyDescent="0.3">
      <c r="A84" t="s">
        <v>126</v>
      </c>
      <c r="B84" s="2">
        <v>-46.4</v>
      </c>
      <c r="C84" s="2">
        <v>-15.5</v>
      </c>
      <c r="D84" s="2">
        <v>14.9</v>
      </c>
      <c r="E84" s="2">
        <v>212</v>
      </c>
      <c r="F84" t="str">
        <f t="shared" si="2"/>
        <v/>
      </c>
      <c r="G84" t="str">
        <f t="shared" si="3"/>
        <v/>
      </c>
    </row>
    <row r="85" spans="1:7" x14ac:dyDescent="0.3">
      <c r="A85" t="s">
        <v>127</v>
      </c>
      <c r="B85" s="2">
        <v>-30.7</v>
      </c>
      <c r="C85" s="2">
        <v>-5.7</v>
      </c>
      <c r="D85" s="2">
        <v>18.399999999999999</v>
      </c>
      <c r="E85" s="2">
        <v>326</v>
      </c>
      <c r="F85" t="str">
        <f t="shared" si="2"/>
        <v/>
      </c>
      <c r="G85" t="str">
        <f t="shared" si="3"/>
        <v/>
      </c>
    </row>
    <row r="86" spans="1:7" x14ac:dyDescent="0.3">
      <c r="A86" t="s">
        <v>128</v>
      </c>
      <c r="B86" s="2">
        <v>-16.3</v>
      </c>
      <c r="C86" s="2">
        <v>2.1</v>
      </c>
      <c r="D86" s="2">
        <v>19.600000000000001</v>
      </c>
      <c r="E86" s="2">
        <v>415</v>
      </c>
      <c r="F86" t="str">
        <f t="shared" si="2"/>
        <v/>
      </c>
      <c r="G86" t="str">
        <f t="shared" si="3"/>
        <v/>
      </c>
    </row>
    <row r="87" spans="1:7" x14ac:dyDescent="0.3">
      <c r="A87" t="s">
        <v>129</v>
      </c>
      <c r="B87" s="2">
        <v>-11.4</v>
      </c>
      <c r="C87" s="2">
        <v>2.2000000000000002</v>
      </c>
      <c r="D87" s="2">
        <v>16.899999999999999</v>
      </c>
      <c r="E87" s="2">
        <v>617</v>
      </c>
      <c r="F87" t="str">
        <f t="shared" si="2"/>
        <v/>
      </c>
      <c r="G87" t="str">
        <f t="shared" si="3"/>
        <v>Много осадков</v>
      </c>
    </row>
    <row r="88" spans="1:7" x14ac:dyDescent="0.3">
      <c r="A88" t="s">
        <v>130</v>
      </c>
      <c r="B88" s="2">
        <v>-11.8</v>
      </c>
      <c r="C88" s="2">
        <v>5.3</v>
      </c>
      <c r="D88" s="2">
        <v>22.3</v>
      </c>
      <c r="E88" s="2">
        <v>364</v>
      </c>
      <c r="F88" t="str">
        <f t="shared" si="2"/>
        <v/>
      </c>
      <c r="G88" t="str">
        <f t="shared" si="3"/>
        <v/>
      </c>
    </row>
    <row r="89" spans="1:7" x14ac:dyDescent="0.3">
      <c r="A89" t="s">
        <v>131</v>
      </c>
      <c r="B89" s="2">
        <v>-6.7</v>
      </c>
      <c r="C89" s="2">
        <v>6.2</v>
      </c>
      <c r="D89" s="2">
        <v>19.399999999999999</v>
      </c>
      <c r="E89" s="2">
        <v>601</v>
      </c>
      <c r="F89" t="str">
        <f t="shared" si="2"/>
        <v/>
      </c>
      <c r="G89" t="str">
        <f t="shared" si="3"/>
        <v>Много осадков</v>
      </c>
    </row>
    <row r="90" spans="1:7" x14ac:dyDescent="0.3">
      <c r="A90" t="s">
        <v>132</v>
      </c>
      <c r="B90" s="2">
        <v>-20.7</v>
      </c>
      <c r="C90" s="2">
        <v>-3.8</v>
      </c>
      <c r="D90" s="2">
        <v>13.5</v>
      </c>
      <c r="E90" s="2">
        <v>500</v>
      </c>
      <c r="F90" t="str">
        <f t="shared" si="2"/>
        <v/>
      </c>
      <c r="G90" t="str">
        <f t="shared" si="3"/>
        <v/>
      </c>
    </row>
    <row r="91" spans="1:7" x14ac:dyDescent="0.3">
      <c r="A91" t="s">
        <v>133</v>
      </c>
      <c r="B91" s="2">
        <v>-27.5</v>
      </c>
      <c r="C91" s="2">
        <v>-9.5</v>
      </c>
      <c r="D91" s="2">
        <v>8.6999999999999993</v>
      </c>
      <c r="E91" s="2">
        <v>221</v>
      </c>
      <c r="F91" t="str">
        <f t="shared" si="2"/>
        <v/>
      </c>
      <c r="G91" t="str">
        <f t="shared" si="3"/>
        <v/>
      </c>
    </row>
    <row r="92" spans="1:7" x14ac:dyDescent="0.3">
      <c r="A92" t="s">
        <v>134</v>
      </c>
      <c r="B92" s="2">
        <v>-9.3000000000000007</v>
      </c>
      <c r="C92" s="2">
        <v>5.2</v>
      </c>
      <c r="D92" s="2">
        <v>19.899999999999999</v>
      </c>
      <c r="E92" s="2">
        <v>521</v>
      </c>
      <c r="F92" t="str">
        <f t="shared" si="2"/>
        <v/>
      </c>
      <c r="G92" t="str">
        <f t="shared" si="3"/>
        <v/>
      </c>
    </row>
    <row r="93" spans="1:7" x14ac:dyDescent="0.3">
      <c r="A93" t="s">
        <v>135</v>
      </c>
      <c r="B93" s="2">
        <v>-12.8</v>
      </c>
      <c r="C93" s="2">
        <v>2.7</v>
      </c>
      <c r="D93" s="2">
        <v>18.7</v>
      </c>
      <c r="E93" s="2">
        <v>657</v>
      </c>
      <c r="F93" t="str">
        <f t="shared" si="2"/>
        <v/>
      </c>
      <c r="G93" t="str">
        <f t="shared" si="3"/>
        <v>Много осадков</v>
      </c>
    </row>
    <row r="94" spans="1:7" x14ac:dyDescent="0.3">
      <c r="A94" t="s">
        <v>136</v>
      </c>
      <c r="B94" s="2">
        <v>-9.3000000000000007</v>
      </c>
      <c r="C94" s="2">
        <v>3.1</v>
      </c>
      <c r="D94" s="2">
        <v>17</v>
      </c>
      <c r="E94" s="2">
        <v>611</v>
      </c>
      <c r="F94" t="str">
        <f t="shared" si="2"/>
        <v/>
      </c>
      <c r="G94" t="str">
        <f t="shared" si="3"/>
        <v>Много осадков</v>
      </c>
    </row>
    <row r="95" spans="1:7" x14ac:dyDescent="0.3">
      <c r="A95" t="s">
        <v>137</v>
      </c>
      <c r="B95" s="2">
        <v>-7</v>
      </c>
      <c r="C95" s="2">
        <v>2.8</v>
      </c>
      <c r="D95" s="2">
        <v>13.4</v>
      </c>
      <c r="E95" s="2">
        <v>1177</v>
      </c>
      <c r="F95" t="str">
        <f t="shared" si="2"/>
        <v/>
      </c>
      <c r="G95" t="str">
        <f t="shared" si="3"/>
        <v>Много осадков</v>
      </c>
    </row>
    <row r="96" spans="1:7" x14ac:dyDescent="0.3">
      <c r="A96" t="s">
        <v>2</v>
      </c>
      <c r="B96" s="2">
        <v>-18.399999999999999</v>
      </c>
      <c r="C96" s="2">
        <v>-1.9</v>
      </c>
      <c r="D96" s="2">
        <v>16.100000000000001</v>
      </c>
      <c r="E96" s="2">
        <v>623</v>
      </c>
      <c r="F96" t="str">
        <f t="shared" si="2"/>
        <v/>
      </c>
      <c r="G96" t="str">
        <f t="shared" si="3"/>
        <v>Много осадков</v>
      </c>
    </row>
    <row r="97" spans="1:7" x14ac:dyDescent="0.3">
      <c r="A97" t="s">
        <v>138</v>
      </c>
      <c r="B97" s="2">
        <v>-5.7</v>
      </c>
      <c r="C97" s="2">
        <v>5.9</v>
      </c>
      <c r="D97" s="2">
        <v>18.3</v>
      </c>
      <c r="E97" s="2">
        <v>702</v>
      </c>
      <c r="F97" t="str">
        <f t="shared" si="2"/>
        <v/>
      </c>
      <c r="G97" t="str">
        <f t="shared" si="3"/>
        <v>Много осадков</v>
      </c>
    </row>
    <row r="98" spans="1:7" x14ac:dyDescent="0.3">
      <c r="A98" t="s">
        <v>139</v>
      </c>
      <c r="B98" s="2">
        <v>-3.1</v>
      </c>
      <c r="C98" s="2">
        <v>9.9</v>
      </c>
      <c r="D98" s="2">
        <v>23.3</v>
      </c>
      <c r="E98" s="2">
        <v>643</v>
      </c>
      <c r="F98" t="str">
        <f t="shared" si="2"/>
        <v/>
      </c>
      <c r="G98" t="str">
        <f t="shared" si="3"/>
        <v>Много осадков</v>
      </c>
    </row>
    <row r="99" spans="1:7" x14ac:dyDescent="0.3">
      <c r="A99" t="s">
        <v>140</v>
      </c>
      <c r="B99" s="2">
        <v>-8.8000000000000007</v>
      </c>
      <c r="C99" s="2">
        <v>4.4000000000000004</v>
      </c>
      <c r="D99" s="2">
        <v>18.8</v>
      </c>
      <c r="E99" s="2">
        <v>660</v>
      </c>
      <c r="F99" t="str">
        <f t="shared" si="2"/>
        <v/>
      </c>
      <c r="G99" t="str">
        <f t="shared" si="3"/>
        <v>Много осадков</v>
      </c>
    </row>
    <row r="100" spans="1:7" x14ac:dyDescent="0.3">
      <c r="A100" t="s">
        <v>141</v>
      </c>
      <c r="B100" s="2">
        <v>-7.9</v>
      </c>
      <c r="C100" s="2">
        <v>5.4</v>
      </c>
      <c r="D100" s="2">
        <v>19.2</v>
      </c>
      <c r="E100" s="2">
        <v>575</v>
      </c>
      <c r="F100" t="str">
        <f t="shared" si="2"/>
        <v/>
      </c>
      <c r="G100" t="str">
        <f t="shared" si="3"/>
        <v>Много осадков</v>
      </c>
    </row>
    <row r="101" spans="1:7" x14ac:dyDescent="0.3">
      <c r="A101" t="s">
        <v>142</v>
      </c>
      <c r="B101" s="2">
        <v>-23.2</v>
      </c>
      <c r="C101" s="2">
        <v>-5.7</v>
      </c>
      <c r="D101" s="2">
        <v>14.8</v>
      </c>
      <c r="E101" s="2">
        <v>450</v>
      </c>
      <c r="F101" t="str">
        <f t="shared" si="2"/>
        <v/>
      </c>
      <c r="G101" t="str">
        <f t="shared" si="3"/>
        <v/>
      </c>
    </row>
    <row r="102" spans="1:7" x14ac:dyDescent="0.3">
      <c r="A102" t="s">
        <v>143</v>
      </c>
      <c r="B102" s="2">
        <v>-10.1</v>
      </c>
      <c r="C102" s="2">
        <v>5.6</v>
      </c>
      <c r="D102" s="2">
        <v>21.4</v>
      </c>
      <c r="E102" s="2">
        <v>557</v>
      </c>
      <c r="F102" t="str">
        <f t="shared" si="2"/>
        <v/>
      </c>
      <c r="G102" t="str">
        <f t="shared" si="3"/>
        <v>Много осадков</v>
      </c>
    </row>
    <row r="103" spans="1:7" x14ac:dyDescent="0.3">
      <c r="A103" t="s">
        <v>144</v>
      </c>
      <c r="B103" s="2">
        <v>-5.8</v>
      </c>
      <c r="C103" s="2">
        <v>5.8</v>
      </c>
      <c r="D103" s="2">
        <v>18.8</v>
      </c>
      <c r="E103" s="2">
        <v>662</v>
      </c>
      <c r="F103" t="str">
        <f t="shared" si="2"/>
        <v/>
      </c>
      <c r="G103" t="str">
        <f t="shared" si="3"/>
        <v>Много осадков</v>
      </c>
    </row>
    <row r="104" spans="1:7" x14ac:dyDescent="0.3">
      <c r="A104" t="s">
        <v>145</v>
      </c>
      <c r="B104" s="2">
        <v>-11.8</v>
      </c>
      <c r="C104" s="2">
        <v>4.3</v>
      </c>
      <c r="D104" s="2">
        <v>19.3</v>
      </c>
      <c r="E104" s="2">
        <v>510</v>
      </c>
      <c r="F104" t="str">
        <f t="shared" si="2"/>
        <v/>
      </c>
      <c r="G104" t="str">
        <f t="shared" si="3"/>
        <v/>
      </c>
    </row>
    <row r="105" spans="1:7" x14ac:dyDescent="0.3">
      <c r="A105" t="s">
        <v>146</v>
      </c>
      <c r="B105" s="2">
        <v>-8.1</v>
      </c>
      <c r="C105" s="2">
        <v>6.9</v>
      </c>
      <c r="D105" s="2">
        <v>22.4</v>
      </c>
      <c r="E105" s="2">
        <v>476</v>
      </c>
      <c r="F105" t="str">
        <f t="shared" si="2"/>
        <v/>
      </c>
      <c r="G105" t="str">
        <f t="shared" si="3"/>
        <v/>
      </c>
    </row>
    <row r="106" spans="1:7" x14ac:dyDescent="0.3">
      <c r="A106" t="s">
        <v>185</v>
      </c>
      <c r="B106" s="2">
        <v>2.8</v>
      </c>
      <c r="C106" s="2">
        <v>12.1</v>
      </c>
      <c r="D106" s="2">
        <v>22.4</v>
      </c>
      <c r="E106" s="2">
        <v>379</v>
      </c>
      <c r="F106" t="str">
        <f t="shared" si="2"/>
        <v>Всегда плюс</v>
      </c>
      <c r="G106" t="str">
        <f t="shared" si="3"/>
        <v/>
      </c>
    </row>
    <row r="107" spans="1:7" x14ac:dyDescent="0.3">
      <c r="A107" t="s">
        <v>147</v>
      </c>
      <c r="B107" s="2">
        <v>-4.9000000000000004</v>
      </c>
      <c r="C107" s="2">
        <v>2.8</v>
      </c>
      <c r="D107" s="2">
        <v>11.5</v>
      </c>
      <c r="E107" s="2">
        <v>1842</v>
      </c>
      <c r="F107" t="str">
        <f t="shared" si="2"/>
        <v/>
      </c>
      <c r="G107" t="str">
        <f t="shared" si="3"/>
        <v>Много осадков</v>
      </c>
    </row>
    <row r="108" spans="1:7" x14ac:dyDescent="0.3">
      <c r="A108" t="s">
        <v>148</v>
      </c>
      <c r="B108" s="2">
        <v>-4.4000000000000004</v>
      </c>
      <c r="C108" s="2">
        <v>3.3</v>
      </c>
      <c r="D108" s="2">
        <v>11.1</v>
      </c>
      <c r="E108" s="2">
        <v>1570</v>
      </c>
      <c r="F108" t="str">
        <f t="shared" si="2"/>
        <v/>
      </c>
      <c r="G108" t="str">
        <f t="shared" si="3"/>
        <v>Много осадков</v>
      </c>
    </row>
    <row r="109" spans="1:7" x14ac:dyDescent="0.3">
      <c r="A109" t="s">
        <v>184</v>
      </c>
      <c r="B109" s="2">
        <v>1.8</v>
      </c>
      <c r="C109" s="2">
        <v>10.8</v>
      </c>
      <c r="D109" s="2">
        <v>22.3</v>
      </c>
      <c r="E109" s="2">
        <v>515</v>
      </c>
      <c r="F109" t="str">
        <f t="shared" si="2"/>
        <v>Всегда плюс</v>
      </c>
      <c r="G109" t="str">
        <f t="shared" si="3"/>
        <v/>
      </c>
    </row>
    <row r="110" spans="1:7" x14ac:dyDescent="0.3">
      <c r="A110" t="s">
        <v>149</v>
      </c>
      <c r="B110" s="2">
        <v>-6.4</v>
      </c>
      <c r="C110" s="2">
        <v>5.4</v>
      </c>
      <c r="D110" s="2">
        <v>17.899999999999999</v>
      </c>
      <c r="E110" s="2">
        <v>739</v>
      </c>
      <c r="F110" t="str">
        <f t="shared" si="2"/>
        <v/>
      </c>
      <c r="G110" t="str">
        <f t="shared" si="3"/>
        <v>Много осадков</v>
      </c>
    </row>
    <row r="111" spans="1:7" x14ac:dyDescent="0.3">
      <c r="A111" t="s">
        <v>150</v>
      </c>
      <c r="B111" s="2">
        <v>6</v>
      </c>
      <c r="C111" s="2">
        <v>14.2</v>
      </c>
      <c r="D111" s="2">
        <v>23.6</v>
      </c>
      <c r="E111" s="2">
        <v>1684</v>
      </c>
      <c r="F111" t="str">
        <f t="shared" si="2"/>
        <v>Всегда плюс</v>
      </c>
      <c r="G111" t="str">
        <f t="shared" si="3"/>
        <v>Много осадков</v>
      </c>
    </row>
    <row r="112" spans="1:7" x14ac:dyDescent="0.3">
      <c r="A112" t="s">
        <v>151</v>
      </c>
      <c r="B112" s="2">
        <v>-2.9</v>
      </c>
      <c r="C112" s="2">
        <v>9.3000000000000007</v>
      </c>
      <c r="D112" s="2">
        <v>22</v>
      </c>
      <c r="E112" s="2">
        <v>556</v>
      </c>
      <c r="F112" t="str">
        <f t="shared" si="2"/>
        <v/>
      </c>
      <c r="G112" t="str">
        <f t="shared" si="3"/>
        <v/>
      </c>
    </row>
    <row r="113" spans="1:7" x14ac:dyDescent="0.3">
      <c r="A113" t="s">
        <v>152</v>
      </c>
      <c r="B113" s="2">
        <v>-20</v>
      </c>
      <c r="C113" s="2">
        <v>-1.7</v>
      </c>
      <c r="D113" s="2">
        <v>18.2</v>
      </c>
      <c r="E113" s="2">
        <v>580</v>
      </c>
      <c r="F113" t="str">
        <f t="shared" si="2"/>
        <v/>
      </c>
      <c r="G113" t="str">
        <f t="shared" si="3"/>
        <v>Много осадков</v>
      </c>
    </row>
    <row r="114" spans="1:7" x14ac:dyDescent="0.3">
      <c r="A114" t="s">
        <v>153</v>
      </c>
      <c r="B114" s="2">
        <v>-14.2</v>
      </c>
      <c r="C114" s="2">
        <v>1.3</v>
      </c>
      <c r="D114" s="2">
        <v>17.5</v>
      </c>
      <c r="E114" s="2">
        <v>621</v>
      </c>
      <c r="F114" t="str">
        <f t="shared" si="2"/>
        <v/>
      </c>
      <c r="G114" t="str">
        <f t="shared" si="3"/>
        <v>Много осадков</v>
      </c>
    </row>
    <row r="115" spans="1:7" x14ac:dyDescent="0.3">
      <c r="A115" t="s">
        <v>154</v>
      </c>
      <c r="B115" s="2">
        <v>-7.8</v>
      </c>
      <c r="C115" s="2">
        <v>6.1</v>
      </c>
      <c r="D115" s="2">
        <v>20.399999999999999</v>
      </c>
      <c r="E115" s="2">
        <v>518</v>
      </c>
      <c r="F115" t="str">
        <f t="shared" si="2"/>
        <v/>
      </c>
      <c r="G115" t="str">
        <f t="shared" si="3"/>
        <v/>
      </c>
    </row>
    <row r="116" spans="1:7" x14ac:dyDescent="0.3">
      <c r="A116" t="s">
        <v>155</v>
      </c>
      <c r="B116" s="2">
        <v>-7.6</v>
      </c>
      <c r="C116" s="2">
        <v>5.0999999999999996</v>
      </c>
      <c r="D116" s="2">
        <v>18.8</v>
      </c>
      <c r="E116" s="2">
        <v>653</v>
      </c>
      <c r="F116" t="str">
        <f t="shared" si="2"/>
        <v/>
      </c>
      <c r="G116" t="str">
        <f t="shared" si="3"/>
        <v>Много осадков</v>
      </c>
    </row>
    <row r="117" spans="1:7" x14ac:dyDescent="0.3">
      <c r="A117" t="s">
        <v>156</v>
      </c>
      <c r="B117" s="2">
        <v>-30.2</v>
      </c>
      <c r="C117" s="2">
        <v>-12.6</v>
      </c>
      <c r="D117" s="2">
        <v>7.7</v>
      </c>
      <c r="E117" s="2">
        <v>322</v>
      </c>
      <c r="F117" t="str">
        <f t="shared" si="2"/>
        <v/>
      </c>
      <c r="G117" t="str">
        <f t="shared" si="3"/>
        <v/>
      </c>
    </row>
    <row r="118" spans="1:7" x14ac:dyDescent="0.3">
      <c r="A118" t="s">
        <v>157</v>
      </c>
      <c r="B118" s="2">
        <v>-17.100000000000001</v>
      </c>
      <c r="C118" s="2">
        <v>0.9</v>
      </c>
      <c r="D118" s="2">
        <v>18.7</v>
      </c>
      <c r="E118" s="2">
        <v>476</v>
      </c>
      <c r="F118" t="str">
        <f t="shared" si="2"/>
        <v/>
      </c>
      <c r="G118" t="str">
        <f t="shared" si="3"/>
        <v/>
      </c>
    </row>
    <row r="119" spans="1:7" x14ac:dyDescent="0.3">
      <c r="A119" t="s">
        <v>158</v>
      </c>
      <c r="B119" s="2">
        <v>-17.100000000000001</v>
      </c>
      <c r="C119" s="2">
        <v>0.9</v>
      </c>
      <c r="D119" s="2">
        <v>18.7</v>
      </c>
      <c r="E119" s="2">
        <v>568</v>
      </c>
      <c r="F119" t="str">
        <f t="shared" si="2"/>
        <v/>
      </c>
      <c r="G119" t="str">
        <f t="shared" si="3"/>
        <v>Много осадков</v>
      </c>
    </row>
    <row r="120" spans="1:7" x14ac:dyDescent="0.3">
      <c r="A120" t="s">
        <v>159</v>
      </c>
      <c r="B120" s="2">
        <v>-7.3</v>
      </c>
      <c r="C120" s="2">
        <v>5.7</v>
      </c>
      <c r="D120" s="2">
        <v>19.399999999999999</v>
      </c>
      <c r="E120" s="2">
        <v>614</v>
      </c>
      <c r="F120" t="str">
        <f t="shared" si="2"/>
        <v/>
      </c>
      <c r="G120" t="str">
        <f t="shared" si="3"/>
        <v>Много осадков</v>
      </c>
    </row>
    <row r="121" spans="1:7" x14ac:dyDescent="0.3">
      <c r="A121" t="s">
        <v>160</v>
      </c>
      <c r="B121" s="2">
        <v>-34.9</v>
      </c>
      <c r="C121" s="2">
        <v>-8.4</v>
      </c>
      <c r="D121" s="2">
        <v>16.899999999999999</v>
      </c>
      <c r="E121" s="2">
        <v>369</v>
      </c>
      <c r="F121" t="str">
        <f t="shared" si="2"/>
        <v/>
      </c>
      <c r="G121" t="str">
        <f t="shared" si="3"/>
        <v/>
      </c>
    </row>
    <row r="122" spans="1:7" x14ac:dyDescent="0.3">
      <c r="A122" t="s">
        <v>161</v>
      </c>
      <c r="B122" s="2">
        <v>-14.9</v>
      </c>
      <c r="C122" s="2">
        <v>2.2000000000000002</v>
      </c>
      <c r="D122" s="2">
        <v>18.8</v>
      </c>
      <c r="E122" s="2">
        <v>478</v>
      </c>
      <c r="F122" t="str">
        <f t="shared" si="2"/>
        <v/>
      </c>
      <c r="G122" t="str">
        <f t="shared" si="3"/>
        <v/>
      </c>
    </row>
    <row r="123" spans="1:7" x14ac:dyDescent="0.3">
      <c r="A123" t="s">
        <v>162</v>
      </c>
      <c r="B123" s="2">
        <v>-23.4</v>
      </c>
      <c r="C123" s="2">
        <v>-0.1</v>
      </c>
      <c r="D123" s="2">
        <v>19.8</v>
      </c>
      <c r="E123" s="2">
        <v>265</v>
      </c>
      <c r="F123" t="str">
        <f t="shared" si="2"/>
        <v/>
      </c>
      <c r="G123" t="str">
        <f t="shared" si="3"/>
        <v/>
      </c>
    </row>
    <row r="124" spans="1:7" x14ac:dyDescent="0.3">
      <c r="A124" t="s">
        <v>163</v>
      </c>
      <c r="B124" s="2">
        <v>-10.3</v>
      </c>
      <c r="C124" s="2">
        <v>5</v>
      </c>
      <c r="D124" s="2">
        <v>20.2</v>
      </c>
      <c r="E124" s="2">
        <v>470</v>
      </c>
      <c r="F124" t="str">
        <f t="shared" si="2"/>
        <v/>
      </c>
      <c r="G124" t="str">
        <f t="shared" si="3"/>
        <v/>
      </c>
    </row>
    <row r="125" spans="1:7" x14ac:dyDescent="0.3">
      <c r="A125" t="s">
        <v>164</v>
      </c>
      <c r="B125" s="2">
        <v>-12.6</v>
      </c>
      <c r="C125" s="2">
        <v>3.8</v>
      </c>
      <c r="D125" s="2">
        <v>19.600000000000001</v>
      </c>
      <c r="E125" s="2">
        <v>589</v>
      </c>
      <c r="F125" t="str">
        <f t="shared" si="2"/>
        <v/>
      </c>
      <c r="G125" t="str">
        <f t="shared" si="3"/>
        <v>Много осадков</v>
      </c>
    </row>
    <row r="126" spans="1:7" x14ac:dyDescent="0.3">
      <c r="A126" t="s">
        <v>165</v>
      </c>
      <c r="B126" s="2">
        <v>-16.5</v>
      </c>
      <c r="C126" s="2">
        <v>-0.3</v>
      </c>
      <c r="D126" s="2">
        <v>16.5</v>
      </c>
      <c r="E126" s="2">
        <v>553</v>
      </c>
      <c r="F126" t="str">
        <f t="shared" si="2"/>
        <v/>
      </c>
      <c r="G126" t="str">
        <f t="shared" si="3"/>
        <v/>
      </c>
    </row>
    <row r="127" spans="1:7" x14ac:dyDescent="0.3">
      <c r="A127" t="s">
        <v>166</v>
      </c>
      <c r="B127" s="2">
        <v>-19.899999999999999</v>
      </c>
      <c r="C127" s="2">
        <v>2.4</v>
      </c>
      <c r="D127" s="2">
        <v>21.3</v>
      </c>
      <c r="E127" s="2">
        <v>684</v>
      </c>
      <c r="F127" t="str">
        <f t="shared" si="2"/>
        <v/>
      </c>
      <c r="G127" t="str">
        <f t="shared" si="3"/>
        <v>Много осадков</v>
      </c>
    </row>
    <row r="128" spans="1:7" x14ac:dyDescent="0.3">
      <c r="A128" t="s">
        <v>167</v>
      </c>
      <c r="B128" s="2">
        <v>-18.899999999999999</v>
      </c>
      <c r="C128" s="2">
        <v>-0.8</v>
      </c>
      <c r="D128" s="2">
        <v>18.399999999999999</v>
      </c>
      <c r="E128" s="2">
        <v>530</v>
      </c>
      <c r="F128" t="str">
        <f t="shared" si="2"/>
        <v/>
      </c>
      <c r="G128" t="str">
        <f t="shared" si="3"/>
        <v/>
      </c>
    </row>
    <row r="129" spans="1:7" x14ac:dyDescent="0.3">
      <c r="A129" t="s">
        <v>168</v>
      </c>
      <c r="B129" s="2">
        <v>-31.7</v>
      </c>
      <c r="C129" s="2">
        <v>-12.5</v>
      </c>
      <c r="D129" s="2">
        <v>12.4</v>
      </c>
      <c r="E129" s="2">
        <v>280</v>
      </c>
      <c r="F129" t="str">
        <f t="shared" si="2"/>
        <v/>
      </c>
      <c r="G129" t="str">
        <f t="shared" si="3"/>
        <v/>
      </c>
    </row>
    <row r="130" spans="1:7" x14ac:dyDescent="0.3">
      <c r="A130" t="s">
        <v>169</v>
      </c>
      <c r="B130" s="2">
        <v>-7.6</v>
      </c>
      <c r="C130" s="2">
        <v>5.0999999999999996</v>
      </c>
      <c r="D130" s="2">
        <v>18.7</v>
      </c>
      <c r="E130" s="2">
        <v>823</v>
      </c>
      <c r="F130" t="str">
        <f t="shared" si="2"/>
        <v/>
      </c>
      <c r="G130" t="str">
        <f t="shared" si="3"/>
        <v>Много осадков</v>
      </c>
    </row>
    <row r="131" spans="1:7" x14ac:dyDescent="0.3">
      <c r="A131" t="s">
        <v>170</v>
      </c>
      <c r="B131" s="2">
        <v>-32.4</v>
      </c>
      <c r="C131" s="2">
        <v>-6.9</v>
      </c>
      <c r="D131" s="2">
        <v>16.5</v>
      </c>
      <c r="E131" s="2">
        <v>369</v>
      </c>
      <c r="F131" t="str">
        <f t="shared" ref="F131:F144" si="4">IF(B131&gt;0,"Всегда плюс","")</f>
        <v/>
      </c>
      <c r="G131" t="str">
        <f t="shared" ref="G131:G144" si="5">IF(E131&gt;$J$22,"Много осадков","")</f>
        <v/>
      </c>
    </row>
    <row r="132" spans="1:7" x14ac:dyDescent="0.3">
      <c r="A132" t="s">
        <v>171</v>
      </c>
      <c r="B132" s="2">
        <v>-12.9</v>
      </c>
      <c r="C132" s="2">
        <v>3.5</v>
      </c>
      <c r="D132" s="2">
        <v>18.8</v>
      </c>
      <c r="E132" s="2">
        <v>499</v>
      </c>
      <c r="F132" t="str">
        <f t="shared" si="4"/>
        <v/>
      </c>
      <c r="G132" t="str">
        <f t="shared" si="5"/>
        <v/>
      </c>
    </row>
    <row r="133" spans="1:7" x14ac:dyDescent="0.3">
      <c r="A133" t="s">
        <v>172</v>
      </c>
      <c r="B133" s="2">
        <v>-14.1</v>
      </c>
      <c r="C133" s="2">
        <v>3.2</v>
      </c>
      <c r="D133" s="2">
        <v>19.3</v>
      </c>
      <c r="E133" s="2">
        <v>430</v>
      </c>
      <c r="F133" t="str">
        <f t="shared" si="4"/>
        <v/>
      </c>
      <c r="G133" t="str">
        <f t="shared" si="5"/>
        <v/>
      </c>
    </row>
    <row r="134" spans="1:7" x14ac:dyDescent="0.3">
      <c r="A134" t="s">
        <v>173</v>
      </c>
      <c r="B134" s="2">
        <v>-10.199999999999999</v>
      </c>
      <c r="C134" s="2">
        <v>3.3</v>
      </c>
      <c r="D134" s="2">
        <v>17.600000000000001</v>
      </c>
      <c r="E134" s="2">
        <v>647</v>
      </c>
      <c r="F134" t="str">
        <f t="shared" si="4"/>
        <v/>
      </c>
      <c r="G134" t="str">
        <f t="shared" si="5"/>
        <v>Много осадков</v>
      </c>
    </row>
    <row r="135" spans="1:7" x14ac:dyDescent="0.3">
      <c r="A135" t="s">
        <v>174</v>
      </c>
      <c r="B135" s="2">
        <v>-25.1</v>
      </c>
      <c r="C135" s="2">
        <v>-1.4</v>
      </c>
      <c r="D135" s="2">
        <v>18.7</v>
      </c>
      <c r="E135" s="2">
        <v>350</v>
      </c>
      <c r="F135" t="str">
        <f t="shared" si="4"/>
        <v/>
      </c>
      <c r="G135" t="str">
        <f t="shared" si="5"/>
        <v/>
      </c>
    </row>
    <row r="136" spans="1:7" x14ac:dyDescent="0.3">
      <c r="A136" t="s">
        <v>175</v>
      </c>
      <c r="B136" s="2">
        <v>-33.9</v>
      </c>
      <c r="C136" s="2">
        <v>-13.4</v>
      </c>
      <c r="D136" s="2">
        <v>10.6</v>
      </c>
      <c r="E136" s="2">
        <v>203</v>
      </c>
      <c r="F136" t="str">
        <f t="shared" si="4"/>
        <v/>
      </c>
      <c r="G136" t="str">
        <f t="shared" si="5"/>
        <v/>
      </c>
    </row>
    <row r="137" spans="1:7" x14ac:dyDescent="0.3">
      <c r="A137" t="s">
        <v>176</v>
      </c>
      <c r="B137" s="2">
        <v>-30</v>
      </c>
      <c r="C137" s="2">
        <v>-4.7</v>
      </c>
      <c r="D137" s="2">
        <v>17.5</v>
      </c>
      <c r="E137" s="2">
        <v>694</v>
      </c>
      <c r="F137" t="str">
        <f t="shared" si="4"/>
        <v/>
      </c>
      <c r="G137" t="str">
        <f t="shared" si="5"/>
        <v>Много осадков</v>
      </c>
    </row>
    <row r="138" spans="1:7" x14ac:dyDescent="0.3">
      <c r="A138" t="s">
        <v>177</v>
      </c>
      <c r="B138" s="2">
        <v>-4.0999999999999996</v>
      </c>
      <c r="C138" s="2">
        <v>9.8000000000000007</v>
      </c>
      <c r="D138" s="2">
        <v>24.9</v>
      </c>
      <c r="E138" s="2">
        <v>349</v>
      </c>
      <c r="F138" t="str">
        <f t="shared" si="4"/>
        <v/>
      </c>
      <c r="G138" t="str">
        <f t="shared" si="5"/>
        <v/>
      </c>
    </row>
    <row r="139" spans="1:7" x14ac:dyDescent="0.3">
      <c r="A139" t="s">
        <v>178</v>
      </c>
      <c r="B139" s="2">
        <v>-5.3</v>
      </c>
      <c r="C139" s="2">
        <v>5.0999999999999996</v>
      </c>
      <c r="D139" s="2">
        <v>15.9</v>
      </c>
      <c r="E139" s="2">
        <v>1251</v>
      </c>
      <c r="F139" t="str">
        <f t="shared" si="4"/>
        <v/>
      </c>
      <c r="G139" t="str">
        <f t="shared" si="5"/>
        <v>Много осадков</v>
      </c>
    </row>
    <row r="140" spans="1:7" x14ac:dyDescent="0.3">
      <c r="A140" t="s">
        <v>179</v>
      </c>
      <c r="B140" s="2">
        <v>-12.2</v>
      </c>
      <c r="C140" s="2">
        <v>2.8</v>
      </c>
      <c r="D140" s="2">
        <v>17.3</v>
      </c>
      <c r="E140" s="2">
        <v>864</v>
      </c>
      <c r="F140" t="str">
        <f t="shared" si="4"/>
        <v/>
      </c>
      <c r="G140" t="str">
        <f t="shared" si="5"/>
        <v>Много осадков</v>
      </c>
    </row>
    <row r="141" spans="1:7" x14ac:dyDescent="0.3">
      <c r="A141" t="s">
        <v>180</v>
      </c>
      <c r="B141" s="2">
        <v>0.2</v>
      </c>
      <c r="C141" s="2">
        <v>14.8</v>
      </c>
      <c r="D141" s="2">
        <v>28.6</v>
      </c>
      <c r="E141" s="2">
        <v>247</v>
      </c>
      <c r="F141" t="str">
        <f t="shared" si="4"/>
        <v>Всегда плюс</v>
      </c>
      <c r="G141" t="str">
        <f t="shared" si="5"/>
        <v/>
      </c>
    </row>
    <row r="142" spans="1:7" x14ac:dyDescent="0.3">
      <c r="A142" t="s">
        <v>181</v>
      </c>
      <c r="B142" s="2">
        <v>-38.6</v>
      </c>
      <c r="C142" s="2">
        <v>-8.8000000000000007</v>
      </c>
      <c r="D142" s="2">
        <v>19.5</v>
      </c>
      <c r="E142" s="2">
        <v>237</v>
      </c>
      <c r="F142" t="str">
        <f t="shared" si="4"/>
        <v/>
      </c>
      <c r="G142" t="str">
        <f t="shared" si="5"/>
        <v/>
      </c>
    </row>
    <row r="143" spans="1:7" x14ac:dyDescent="0.3">
      <c r="A143" t="s">
        <v>183</v>
      </c>
      <c r="B143" s="2">
        <v>4</v>
      </c>
      <c r="C143" s="2">
        <v>14.2</v>
      </c>
      <c r="D143" s="2">
        <v>24.1</v>
      </c>
      <c r="E143" s="2">
        <v>612</v>
      </c>
      <c r="F143" t="str">
        <f t="shared" si="4"/>
        <v>Всегда плюс</v>
      </c>
      <c r="G143" t="str">
        <f t="shared" si="5"/>
        <v>Много осадков</v>
      </c>
    </row>
    <row r="144" spans="1:7" x14ac:dyDescent="0.3">
      <c r="A144" t="s">
        <v>182</v>
      </c>
      <c r="B144" s="2">
        <v>-3.3</v>
      </c>
      <c r="C144" s="2">
        <v>10.8</v>
      </c>
      <c r="D144" s="2">
        <v>30.6</v>
      </c>
      <c r="E144" s="2">
        <v>270</v>
      </c>
      <c r="F144" t="str">
        <f t="shared" si="4"/>
        <v/>
      </c>
      <c r="G144" t="str">
        <f t="shared" si="5"/>
        <v/>
      </c>
    </row>
    <row r="145" spans="1:5" x14ac:dyDescent="0.3">
      <c r="A145" s="9"/>
      <c r="E14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G21"/>
  <sheetViews>
    <sheetView tabSelected="1" workbookViewId="0">
      <pane ySplit="1" topLeftCell="A5" activePane="bottomLeft" state="frozen"/>
      <selection pane="bottomLeft" activeCell="G2" sqref="G2"/>
    </sheetView>
  </sheetViews>
  <sheetFormatPr defaultRowHeight="14.4" x14ac:dyDescent="0.3"/>
  <cols>
    <col min="1" max="1" width="19.5546875" bestFit="1" customWidth="1"/>
    <col min="2" max="2" width="22.44140625" bestFit="1" customWidth="1"/>
    <col min="3" max="3" width="15.44140625" bestFit="1" customWidth="1"/>
    <col min="4" max="4" width="22.88671875" bestFit="1" customWidth="1"/>
    <col min="5" max="5" width="9.6640625" bestFit="1" customWidth="1"/>
    <col min="6" max="6" width="10.44140625" bestFit="1" customWidth="1"/>
    <col min="7" max="7" width="9.21875" style="15" bestFit="1" customWidth="1"/>
  </cols>
  <sheetData>
    <row r="1" spans="1:7" ht="15" thickBot="1" x14ac:dyDescent="0.35">
      <c r="A1" s="3" t="s">
        <v>3</v>
      </c>
      <c r="B1" s="4" t="s">
        <v>4</v>
      </c>
      <c r="C1" s="3" t="s">
        <v>0</v>
      </c>
      <c r="D1" s="3" t="s">
        <v>5</v>
      </c>
      <c r="E1" s="3" t="s">
        <v>6</v>
      </c>
      <c r="F1" s="3" t="s">
        <v>7</v>
      </c>
      <c r="G1" s="14" t="s">
        <v>189</v>
      </c>
    </row>
    <row r="2" spans="1:7" x14ac:dyDescent="0.3">
      <c r="A2" t="s">
        <v>8</v>
      </c>
      <c r="B2" s="1">
        <v>43767</v>
      </c>
      <c r="C2" s="1">
        <v>26089</v>
      </c>
      <c r="D2" t="s">
        <v>9</v>
      </c>
      <c r="E2" t="s">
        <v>10</v>
      </c>
      <c r="F2" s="5">
        <v>100000</v>
      </c>
      <c r="G2" s="15">
        <f>IF(AND(E2="Офис"),0.05*F2,IF(OR(D2="Дизайнер",D2="Копирайтер")*AND(E2="Удаленка"),0.06*F2,""))</f>
        <v>5000</v>
      </c>
    </row>
    <row r="3" spans="1:7" x14ac:dyDescent="0.3">
      <c r="A3" t="s">
        <v>11</v>
      </c>
      <c r="B3" s="1">
        <v>42665</v>
      </c>
      <c r="C3" s="1">
        <v>23230</v>
      </c>
      <c r="D3" t="s">
        <v>12</v>
      </c>
      <c r="E3" t="s">
        <v>10</v>
      </c>
      <c r="F3" s="5">
        <v>60000</v>
      </c>
      <c r="G3" s="15">
        <f t="shared" ref="G3:G21" si="0">IF(AND(E3="Офис"),0.05*F3,IF(OR(D3="Дизайнер",D3="Копирайтер")*AND(E3="Удаленка"),0.06*F3,""))</f>
        <v>3000</v>
      </c>
    </row>
    <row r="4" spans="1:7" x14ac:dyDescent="0.3">
      <c r="A4" t="s">
        <v>13</v>
      </c>
      <c r="B4" s="1">
        <v>43661</v>
      </c>
      <c r="C4" s="1">
        <v>34326</v>
      </c>
      <c r="D4" t="s">
        <v>14</v>
      </c>
      <c r="E4" t="s">
        <v>15</v>
      </c>
      <c r="F4" s="5">
        <v>50000</v>
      </c>
      <c r="G4" s="15" t="str">
        <f t="shared" si="0"/>
        <v/>
      </c>
    </row>
    <row r="5" spans="1:7" x14ac:dyDescent="0.3">
      <c r="A5" t="s">
        <v>16</v>
      </c>
      <c r="B5" s="1">
        <v>42980</v>
      </c>
      <c r="C5" s="1">
        <v>33929</v>
      </c>
      <c r="D5" t="s">
        <v>17</v>
      </c>
      <c r="E5" t="s">
        <v>15</v>
      </c>
      <c r="F5" s="5">
        <v>45000</v>
      </c>
      <c r="G5" s="15" t="str">
        <f t="shared" si="0"/>
        <v/>
      </c>
    </row>
    <row r="6" spans="1:7" x14ac:dyDescent="0.3">
      <c r="A6" t="s">
        <v>18</v>
      </c>
      <c r="B6" s="1">
        <v>43868</v>
      </c>
      <c r="C6" s="1">
        <v>26119</v>
      </c>
      <c r="D6" t="s">
        <v>19</v>
      </c>
      <c r="E6" t="s">
        <v>10</v>
      </c>
      <c r="F6" s="5">
        <v>80000</v>
      </c>
      <c r="G6" s="15">
        <f t="shared" si="0"/>
        <v>4000</v>
      </c>
    </row>
    <row r="7" spans="1:7" x14ac:dyDescent="0.3">
      <c r="A7" t="s">
        <v>20</v>
      </c>
      <c r="B7" s="1">
        <v>43882</v>
      </c>
      <c r="C7" s="1">
        <v>34516</v>
      </c>
      <c r="D7" t="s">
        <v>17</v>
      </c>
      <c r="E7" t="s">
        <v>15</v>
      </c>
      <c r="F7" s="5">
        <v>45000</v>
      </c>
      <c r="G7" s="15" t="str">
        <f t="shared" si="0"/>
        <v/>
      </c>
    </row>
    <row r="8" spans="1:7" x14ac:dyDescent="0.3">
      <c r="A8" t="s">
        <v>21</v>
      </c>
      <c r="B8" s="1">
        <v>41569</v>
      </c>
      <c r="C8" s="1">
        <v>26461</v>
      </c>
      <c r="D8" t="s">
        <v>22</v>
      </c>
      <c r="E8" t="s">
        <v>10</v>
      </c>
      <c r="F8" s="5">
        <v>60000</v>
      </c>
      <c r="G8" s="15">
        <f t="shared" si="0"/>
        <v>3000</v>
      </c>
    </row>
    <row r="9" spans="1:7" x14ac:dyDescent="0.3">
      <c r="A9" t="s">
        <v>23</v>
      </c>
      <c r="B9" s="1">
        <v>41953</v>
      </c>
      <c r="C9" s="1">
        <v>36192</v>
      </c>
      <c r="D9" t="s">
        <v>22</v>
      </c>
      <c r="E9" t="s">
        <v>15</v>
      </c>
      <c r="F9" s="5">
        <v>60000</v>
      </c>
      <c r="G9" s="15">
        <f t="shared" si="0"/>
        <v>3600</v>
      </c>
    </row>
    <row r="10" spans="1:7" x14ac:dyDescent="0.3">
      <c r="A10" t="s">
        <v>24</v>
      </c>
      <c r="B10" s="1">
        <v>43511</v>
      </c>
      <c r="C10" s="1">
        <v>26547</v>
      </c>
      <c r="D10" t="s">
        <v>25</v>
      </c>
      <c r="E10" t="s">
        <v>10</v>
      </c>
      <c r="F10" s="5">
        <v>50000</v>
      </c>
      <c r="G10" s="15">
        <f t="shared" si="0"/>
        <v>2500</v>
      </c>
    </row>
    <row r="11" spans="1:7" x14ac:dyDescent="0.3">
      <c r="A11" t="s">
        <v>26</v>
      </c>
      <c r="B11" s="1">
        <v>42571</v>
      </c>
      <c r="C11" s="1">
        <v>34026</v>
      </c>
      <c r="D11" t="s">
        <v>17</v>
      </c>
      <c r="E11" t="s">
        <v>15</v>
      </c>
      <c r="F11" s="5">
        <v>45000</v>
      </c>
      <c r="G11" s="15" t="str">
        <f t="shared" si="0"/>
        <v/>
      </c>
    </row>
    <row r="12" spans="1:7" x14ac:dyDescent="0.3">
      <c r="A12" t="s">
        <v>27</v>
      </c>
      <c r="B12" s="1">
        <v>42869</v>
      </c>
      <c r="C12" s="1">
        <v>32422</v>
      </c>
      <c r="D12" t="s">
        <v>22</v>
      </c>
      <c r="E12" t="s">
        <v>10</v>
      </c>
      <c r="F12" s="5">
        <v>60000</v>
      </c>
      <c r="G12" s="15">
        <f t="shared" si="0"/>
        <v>3000</v>
      </c>
    </row>
    <row r="13" spans="1:7" x14ac:dyDescent="0.3">
      <c r="A13" t="s">
        <v>28</v>
      </c>
      <c r="B13" s="1">
        <v>43315</v>
      </c>
      <c r="C13" s="1">
        <v>23489</v>
      </c>
      <c r="D13" t="s">
        <v>29</v>
      </c>
      <c r="E13" t="s">
        <v>10</v>
      </c>
      <c r="F13" s="5">
        <v>30000</v>
      </c>
      <c r="G13" s="15">
        <f t="shared" si="0"/>
        <v>1500</v>
      </c>
    </row>
    <row r="14" spans="1:7" x14ac:dyDescent="0.3">
      <c r="A14" t="s">
        <v>30</v>
      </c>
      <c r="B14" s="1">
        <v>43881</v>
      </c>
      <c r="C14" s="1">
        <v>35644</v>
      </c>
      <c r="D14" t="s">
        <v>22</v>
      </c>
      <c r="E14" t="s">
        <v>10</v>
      </c>
      <c r="F14" s="5">
        <v>60000</v>
      </c>
      <c r="G14" s="15">
        <f t="shared" si="0"/>
        <v>3000</v>
      </c>
    </row>
    <row r="15" spans="1:7" x14ac:dyDescent="0.3">
      <c r="A15" t="s">
        <v>31</v>
      </c>
      <c r="B15" s="1">
        <v>43628</v>
      </c>
      <c r="C15" s="1">
        <v>29419</v>
      </c>
      <c r="D15" t="s">
        <v>32</v>
      </c>
      <c r="E15" t="s">
        <v>15</v>
      </c>
      <c r="F15" s="5">
        <v>70000</v>
      </c>
      <c r="G15" s="15" t="str">
        <f t="shared" si="0"/>
        <v/>
      </c>
    </row>
    <row r="16" spans="1:7" x14ac:dyDescent="0.3">
      <c r="A16" t="s">
        <v>33</v>
      </c>
      <c r="B16" s="1">
        <v>43956</v>
      </c>
      <c r="C16" s="1">
        <v>30024</v>
      </c>
      <c r="D16" t="s">
        <v>32</v>
      </c>
      <c r="E16" t="s">
        <v>15</v>
      </c>
      <c r="F16" s="5">
        <v>70000</v>
      </c>
      <c r="G16" s="15" t="str">
        <f t="shared" si="0"/>
        <v/>
      </c>
    </row>
    <row r="17" spans="1:7" x14ac:dyDescent="0.3">
      <c r="A17" t="s">
        <v>34</v>
      </c>
      <c r="B17" s="1">
        <v>44138</v>
      </c>
      <c r="C17" s="1">
        <v>24182</v>
      </c>
      <c r="D17" t="s">
        <v>29</v>
      </c>
      <c r="E17" t="s">
        <v>15</v>
      </c>
      <c r="F17" s="5">
        <v>30000</v>
      </c>
      <c r="G17" s="15">
        <f t="shared" si="0"/>
        <v>1800</v>
      </c>
    </row>
    <row r="18" spans="1:7" x14ac:dyDescent="0.3">
      <c r="A18" t="s">
        <v>35</v>
      </c>
      <c r="B18" s="1">
        <v>42376</v>
      </c>
      <c r="C18" s="1">
        <v>32115</v>
      </c>
      <c r="D18" t="s">
        <v>36</v>
      </c>
      <c r="E18" t="s">
        <v>15</v>
      </c>
      <c r="F18" s="5">
        <v>65000</v>
      </c>
      <c r="G18" s="15" t="str">
        <f t="shared" si="0"/>
        <v/>
      </c>
    </row>
    <row r="19" spans="1:7" x14ac:dyDescent="0.3">
      <c r="A19" t="s">
        <v>37</v>
      </c>
      <c r="B19" s="1">
        <v>42695</v>
      </c>
      <c r="C19" s="1">
        <v>30433</v>
      </c>
      <c r="D19" t="s">
        <v>22</v>
      </c>
      <c r="E19" t="s">
        <v>15</v>
      </c>
      <c r="F19" s="5">
        <v>60000</v>
      </c>
      <c r="G19" s="15">
        <f t="shared" si="0"/>
        <v>3600</v>
      </c>
    </row>
    <row r="20" spans="1:7" x14ac:dyDescent="0.3">
      <c r="A20" t="s">
        <v>38</v>
      </c>
      <c r="B20" s="1">
        <v>41287</v>
      </c>
      <c r="C20" s="1">
        <v>29236</v>
      </c>
      <c r="D20" t="s">
        <v>25</v>
      </c>
      <c r="E20" t="s">
        <v>10</v>
      </c>
      <c r="F20" s="5">
        <v>50000</v>
      </c>
      <c r="G20" s="15">
        <f t="shared" si="0"/>
        <v>2500</v>
      </c>
    </row>
    <row r="21" spans="1:7" x14ac:dyDescent="0.3">
      <c r="A21" t="s">
        <v>39</v>
      </c>
      <c r="B21" s="1">
        <v>43184</v>
      </c>
      <c r="C21" s="1">
        <v>32298</v>
      </c>
      <c r="D21" t="s">
        <v>25</v>
      </c>
      <c r="E21" t="s">
        <v>10</v>
      </c>
      <c r="F21" s="5">
        <v>50000</v>
      </c>
      <c r="G21" s="15">
        <f t="shared" si="0"/>
        <v>2500</v>
      </c>
    </row>
  </sheetData>
  <dataValidations count="4">
    <dataValidation type="list" allowBlank="1" showInputMessage="1" showErrorMessage="1" sqref="D2:D21" xr:uid="{7F639235-C591-4C5B-9B9E-D522DE0C1917}">
      <formula1>#REF!</formula1>
    </dataValidation>
    <dataValidation type="date" operator="greaterThan" allowBlank="1" showInputMessage="1" showErrorMessage="1" sqref="B2:C21" xr:uid="{A5A0843C-60ED-404F-BF23-24209537E412}">
      <formula1>10959</formula1>
    </dataValidation>
    <dataValidation type="decimal" operator="greaterThan" allowBlank="1" showInputMessage="1" showErrorMessage="1" sqref="F2:F21" xr:uid="{0870CF72-6CC7-4C49-910F-4BF3B70CAB56}">
      <formula1>0</formula1>
    </dataValidation>
    <dataValidation type="list" allowBlank="1" showInputMessage="1" showErrorMessage="1" sqref="E2:E21" xr:uid="{DB6B5B3E-3EA5-44FB-80D3-AF37B7CE50D1}">
      <formula1>"Офис,Удаленка"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2023-11-29T15:20:06Z</dcterms:modified>
</cp:coreProperties>
</file>