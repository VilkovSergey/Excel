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"/>
    </mc:Choice>
  </mc:AlternateContent>
  <xr:revisionPtr revIDLastSave="0" documentId="13_ncr:1_{58D8CF6E-CEF8-4C91-9094-2EFEC5F10FC9}" xr6:coauthVersionLast="45" xr6:coauthVersionMax="45" xr10:uidLastSave="{00000000-0000-0000-0000-000000000000}"/>
  <bookViews>
    <workbookView xWindow="-96" yWindow="-96" windowWidth="23232" windowHeight="13152" activeTab="3" xr2:uid="{00000000-000D-0000-FFFF-FFFF00000000}"/>
  </bookViews>
  <sheets>
    <sheet name="Спорт-квалификация" sheetId="1" r:id="rId1"/>
    <sheet name="И" sheetId="3" r:id="rId2"/>
    <sheet name="ИЛИ" sheetId="4" r:id="rId3"/>
    <sheet name="Комиссия" sheetId="2" r:id="rId4"/>
  </sheets>
  <definedNames>
    <definedName name="_xlnm._FilterDatabase" localSheetId="3" hidden="1">Комиссия!$A$1:$D$63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F3" i="1"/>
  <c r="F4" i="1"/>
  <c r="F5" i="1"/>
  <c r="F6" i="1"/>
  <c r="F2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<sst xmlns="http://schemas.openxmlformats.org/spreadsheetml/2006/main" count="243" uniqueCount="52">
  <si>
    <t>Попытка 1</t>
  </si>
  <si>
    <t>Попытка 2</t>
  </si>
  <si>
    <t>Попытка 3</t>
  </si>
  <si>
    <t>Пройден ли отбор (все)</t>
  </si>
  <si>
    <t>Пройден ли отбор (одна из)</t>
  </si>
  <si>
    <t>Брынскиха</t>
  </si>
  <si>
    <t>Пелёвина</t>
  </si>
  <si>
    <t>Дата</t>
  </si>
  <si>
    <t>Продукт</t>
  </si>
  <si>
    <t>Стоимость</t>
  </si>
  <si>
    <t>Комиссия</t>
  </si>
  <si>
    <t>Тумбы</t>
  </si>
  <si>
    <t>Стулья</t>
  </si>
  <si>
    <t>Столы</t>
  </si>
  <si>
    <t>Столы и тумбы от 30 000</t>
  </si>
  <si>
    <t>Дата отправки КП</t>
  </si>
  <si>
    <t>Компания-клиент</t>
  </si>
  <si>
    <t>Канал</t>
  </si>
  <si>
    <t>Коммерческое предложение</t>
  </si>
  <si>
    <t>ТМК</t>
  </si>
  <si>
    <t>Другое</t>
  </si>
  <si>
    <t>Славнефть</t>
  </si>
  <si>
    <t>МФУ</t>
  </si>
  <si>
    <t>Выставка</t>
  </si>
  <si>
    <t>Содружество</t>
  </si>
  <si>
    <t>IP-телефония</t>
  </si>
  <si>
    <t>Холодный звонок</t>
  </si>
  <si>
    <t>О'КЕЙ</t>
  </si>
  <si>
    <t>Ташир</t>
  </si>
  <si>
    <t>Сайт</t>
  </si>
  <si>
    <t>АВТОВАЗ</t>
  </si>
  <si>
    <t>Ноутбуки</t>
  </si>
  <si>
    <t>РУСЭНЕРГОСБЫТ</t>
  </si>
  <si>
    <t>ТНС ЭНЕРГО</t>
  </si>
  <si>
    <t>MERLION</t>
  </si>
  <si>
    <t>ЮниКредит Банк</t>
  </si>
  <si>
    <t>Рассылка</t>
  </si>
  <si>
    <t>Уралвагонзавод, научно-производственная корпорация</t>
  </si>
  <si>
    <t>Полюс</t>
  </si>
  <si>
    <t>Проктер энд Гэмбл дистрибьюторская компания</t>
  </si>
  <si>
    <t>Нестле Россия</t>
  </si>
  <si>
    <t>Фольксваген Груп Рус</t>
  </si>
  <si>
    <t>ТАИФ-НК</t>
  </si>
  <si>
    <t>PepsiCo Россия</t>
  </si>
  <si>
    <t>Иркутскэнерго, электроугольная компания</t>
  </si>
  <si>
    <t>ГАЗ</t>
  </si>
  <si>
    <t>СОГАЗ</t>
  </si>
  <si>
    <t>Alliance Oil Company Ltd</t>
  </si>
  <si>
    <t>Расходники</t>
  </si>
  <si>
    <t>Набокина</t>
  </si>
  <si>
    <t>Углицкая</t>
  </si>
  <si>
    <t>Шеркова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</si>
</sst>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6" fillId="0" borderId="0" xfId="0" applyFont="1"/>
    <xf numFmtId="3" fontId="0" fillId="0" borderId="0" xfId="0" applyNumberFormat="1"/>
    <xf numFmtId="0" fontId="7" fillId="3" borderId="0" xfId="3" applyAlignment="1">
      <alignment horizontal="center"/>
    </xf>
    <xf numFmtId="0" fontId="8" fillId="4" borderId="0" xfId="4" applyAlignment="1">
      <alignment horizontal="center"/>
    </xf>
    <xf numFmtId="0" fontId="8" fillId="4" borderId="0" xfId="4"/>
    <xf numFmtId="0" fontId="0" fillId="0" borderId="0" xfId="0" applyFill="1"/>
  </cellXfs>
  <cellStyles count="5">
    <cellStyle name="Заголовок 3" xfId="2" builtinId="18"/>
    <cellStyle name="Нейтральный" xfId="4" builtinId="28"/>
    <cellStyle name="Обычный" xfId="0" builtinId="0"/>
    <cellStyle name="Финансовый" xfId="1" builtinId="3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15" zoomScaleNormal="115" workbookViewId="0">
      <selection activeCell="F2" sqref="F2:F6"/>
    </sheetView>
  </sheetViews>
  <sheetFormatPr defaultRowHeight="14.4" x14ac:dyDescent="0.55000000000000004"/>
  <cols>
    <col min="1" max="1" width="10.83984375" bestFit="1" customWidth="1"/>
    <col min="2" max="3" width="10.26171875" bestFit="1" customWidth="1"/>
    <col min="4" max="4" width="10.26171875" customWidth="1"/>
    <col min="5" max="5" width="23" bestFit="1" customWidth="1"/>
    <col min="6" max="6" width="27" bestFit="1" customWidth="1"/>
  </cols>
  <sheetData>
    <row r="1" spans="1:8" x14ac:dyDescent="0.55000000000000004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H1" s="15">
        <v>4.8</v>
      </c>
    </row>
    <row r="2" spans="1:8" x14ac:dyDescent="0.55000000000000004">
      <c r="A2" t="s">
        <v>51</v>
      </c>
      <c r="B2" s="1">
        <v>4.95</v>
      </c>
      <c r="C2" s="1">
        <v>4.97</v>
      </c>
      <c r="D2" s="1">
        <v>4.47</v>
      </c>
      <c r="E2" s="2" t="b">
        <f>AND(B2&gt;$H$1,C2&gt;$H$1,D2&gt;$H$1)</f>
        <v>0</v>
      </c>
      <c r="F2" t="b">
        <f>OR(B2&gt;$H$1,C2&gt;$H$1,D2&gt;$H$1)</f>
        <v>1</v>
      </c>
    </row>
    <row r="3" spans="1:8" x14ac:dyDescent="0.55000000000000004">
      <c r="A3" t="s">
        <v>49</v>
      </c>
      <c r="B3" s="1">
        <v>5.01</v>
      </c>
      <c r="C3" s="1">
        <v>5.03</v>
      </c>
      <c r="D3" s="1">
        <v>4.9800000000000004</v>
      </c>
      <c r="E3" s="2" t="b">
        <f t="shared" ref="E3:E6" si="0">AND(B3&gt;$H$1,C3&gt;$H$1,D3&gt;$H$1)</f>
        <v>1</v>
      </c>
      <c r="F3" t="b">
        <f t="shared" ref="F3:F6" si="1">OR(B3&gt;$H$1,C3&gt;$H$1,D3&gt;$H$1)</f>
        <v>1</v>
      </c>
    </row>
    <row r="4" spans="1:8" x14ac:dyDescent="0.55000000000000004">
      <c r="A4" t="s">
        <v>5</v>
      </c>
      <c r="B4" s="1">
        <v>4.78</v>
      </c>
      <c r="C4" s="1">
        <v>4.87</v>
      </c>
      <c r="D4" s="1">
        <v>4.8899999999999997</v>
      </c>
      <c r="E4" s="2" t="b">
        <f t="shared" si="0"/>
        <v>0</v>
      </c>
      <c r="F4" t="b">
        <f t="shared" si="1"/>
        <v>1</v>
      </c>
    </row>
    <row r="5" spans="1:8" x14ac:dyDescent="0.55000000000000004">
      <c r="A5" t="s">
        <v>6</v>
      </c>
      <c r="B5" s="1">
        <v>4.7699999999999996</v>
      </c>
      <c r="C5" s="1">
        <v>4.76</v>
      </c>
      <c r="D5" s="1">
        <v>4.6900000000000004</v>
      </c>
      <c r="E5" s="2" t="b">
        <f t="shared" si="0"/>
        <v>0</v>
      </c>
      <c r="F5" t="b">
        <f t="shared" si="1"/>
        <v>0</v>
      </c>
    </row>
    <row r="6" spans="1:8" x14ac:dyDescent="0.55000000000000004">
      <c r="A6" t="s">
        <v>50</v>
      </c>
      <c r="B6" s="1">
        <v>5.01</v>
      </c>
      <c r="C6" s="1">
        <v>4.92</v>
      </c>
      <c r="D6" s="1">
        <v>4.79</v>
      </c>
      <c r="E6" s="2" t="b">
        <f t="shared" si="0"/>
        <v>0</v>
      </c>
      <c r="F6" t="b">
        <f t="shared" si="1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EDC-ADBE-43E5-A215-637014D57512}">
  <dimension ref="A1:I26"/>
  <sheetViews>
    <sheetView zoomScale="115" zoomScaleNormal="115" workbookViewId="0">
      <selection activeCell="F2" sqref="F2:F26"/>
    </sheetView>
  </sheetViews>
  <sheetFormatPr defaultRowHeight="14.4" x14ac:dyDescent="0.55000000000000004"/>
  <cols>
    <col min="1" max="1" width="18" bestFit="1" customWidth="1"/>
    <col min="2" max="2" width="50" bestFit="1" customWidth="1"/>
    <col min="3" max="3" width="13.68359375" customWidth="1"/>
    <col min="4" max="4" width="15.83984375" bestFit="1" customWidth="1"/>
    <col min="5" max="5" width="28.68359375" bestFit="1" customWidth="1"/>
    <col min="6" max="6" width="10.26171875" customWidth="1"/>
  </cols>
  <sheetData>
    <row r="1" spans="1:9" x14ac:dyDescent="0.55000000000000004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6" t="s">
        <v>22</v>
      </c>
    </row>
    <row r="2" spans="1:9" x14ac:dyDescent="0.55000000000000004">
      <c r="A2" s="10">
        <v>43986</v>
      </c>
      <c r="B2" s="11" t="s">
        <v>19</v>
      </c>
      <c r="C2" s="11" t="s">
        <v>20</v>
      </c>
      <c r="D2" s="11" t="s">
        <v>20</v>
      </c>
      <c r="E2" s="12">
        <v>1132185</v>
      </c>
      <c r="F2" s="14" t="str">
        <f>IF(AND(C2=$I$1,D2=$I$2),0.02*E2,"")</f>
        <v/>
      </c>
      <c r="I2" s="16" t="s">
        <v>29</v>
      </c>
    </row>
    <row r="3" spans="1:9" x14ac:dyDescent="0.55000000000000004">
      <c r="A3" s="10">
        <v>43999</v>
      </c>
      <c r="B3" s="11" t="s">
        <v>21</v>
      </c>
      <c r="C3" s="11" t="s">
        <v>22</v>
      </c>
      <c r="D3" s="11" t="s">
        <v>23</v>
      </c>
      <c r="E3" s="12">
        <v>129108</v>
      </c>
      <c r="F3" s="14" t="str">
        <f t="shared" ref="F3:F26" si="0">IF(AND(C3=$I$1,D3=$I$2),0.02*E3,"")</f>
        <v/>
      </c>
    </row>
    <row r="4" spans="1:9" x14ac:dyDescent="0.55000000000000004">
      <c r="A4" s="10">
        <v>43847</v>
      </c>
      <c r="B4" s="11" t="s">
        <v>24</v>
      </c>
      <c r="C4" s="11" t="s">
        <v>22</v>
      </c>
      <c r="D4" s="11" t="s">
        <v>26</v>
      </c>
      <c r="E4" s="12">
        <v>428901</v>
      </c>
      <c r="F4" s="14" t="str">
        <f t="shared" si="0"/>
        <v/>
      </c>
    </row>
    <row r="5" spans="1:9" x14ac:dyDescent="0.55000000000000004">
      <c r="A5" s="10">
        <v>44050</v>
      </c>
      <c r="B5" s="11" t="s">
        <v>27</v>
      </c>
      <c r="C5" s="11" t="s">
        <v>20</v>
      </c>
      <c r="D5" s="11" t="s">
        <v>26</v>
      </c>
      <c r="E5" s="12">
        <v>1151842</v>
      </c>
      <c r="F5" s="14" t="str">
        <f t="shared" si="0"/>
        <v/>
      </c>
    </row>
    <row r="6" spans="1:9" x14ac:dyDescent="0.55000000000000004">
      <c r="A6" s="10">
        <v>43982</v>
      </c>
      <c r="B6" s="11" t="s">
        <v>28</v>
      </c>
      <c r="C6" s="11" t="s">
        <v>20</v>
      </c>
      <c r="D6" s="11" t="s">
        <v>29</v>
      </c>
      <c r="E6" s="12">
        <v>1722502</v>
      </c>
      <c r="F6" s="14" t="str">
        <f t="shared" si="0"/>
        <v/>
      </c>
    </row>
    <row r="7" spans="1:9" x14ac:dyDescent="0.55000000000000004">
      <c r="A7" s="10">
        <v>43981</v>
      </c>
      <c r="B7" s="11" t="s">
        <v>30</v>
      </c>
      <c r="C7" s="11" t="s">
        <v>31</v>
      </c>
      <c r="D7" s="11" t="s">
        <v>20</v>
      </c>
      <c r="E7" s="12">
        <v>1565894</v>
      </c>
      <c r="F7" s="14" t="str">
        <f t="shared" si="0"/>
        <v/>
      </c>
    </row>
    <row r="8" spans="1:9" x14ac:dyDescent="0.55000000000000004">
      <c r="A8" s="10">
        <v>43981</v>
      </c>
      <c r="B8" s="11" t="s">
        <v>32</v>
      </c>
      <c r="C8" s="11" t="s">
        <v>22</v>
      </c>
      <c r="D8" s="11" t="s">
        <v>29</v>
      </c>
      <c r="E8" s="12">
        <v>1348991</v>
      </c>
      <c r="F8" s="14">
        <f t="shared" si="0"/>
        <v>26979.82</v>
      </c>
    </row>
    <row r="9" spans="1:9" x14ac:dyDescent="0.55000000000000004">
      <c r="A9" s="10">
        <v>43935</v>
      </c>
      <c r="B9" s="13" t="s">
        <v>33</v>
      </c>
      <c r="C9" s="11" t="s">
        <v>22</v>
      </c>
      <c r="D9" s="11" t="s">
        <v>29</v>
      </c>
      <c r="E9" s="12">
        <v>628284</v>
      </c>
      <c r="F9" s="14">
        <f t="shared" si="0"/>
        <v>12565.68</v>
      </c>
    </row>
    <row r="10" spans="1:9" x14ac:dyDescent="0.55000000000000004">
      <c r="A10" s="10">
        <v>43980</v>
      </c>
      <c r="B10" s="11" t="s">
        <v>34</v>
      </c>
      <c r="C10" s="11" t="s">
        <v>20</v>
      </c>
      <c r="D10" s="11" t="s">
        <v>23</v>
      </c>
      <c r="E10" s="12">
        <v>2440037</v>
      </c>
      <c r="F10" s="14" t="str">
        <f t="shared" si="0"/>
        <v/>
      </c>
    </row>
    <row r="11" spans="1:9" x14ac:dyDescent="0.55000000000000004">
      <c r="A11" s="10">
        <v>43969</v>
      </c>
      <c r="B11" s="11" t="s">
        <v>35</v>
      </c>
      <c r="C11" s="11" t="s">
        <v>22</v>
      </c>
      <c r="D11" s="11" t="s">
        <v>36</v>
      </c>
      <c r="E11" s="12">
        <v>1598964</v>
      </c>
      <c r="F11" s="14" t="str">
        <f t="shared" si="0"/>
        <v/>
      </c>
    </row>
    <row r="12" spans="1:9" x14ac:dyDescent="0.55000000000000004">
      <c r="A12" s="10">
        <v>43909</v>
      </c>
      <c r="B12" s="11" t="s">
        <v>37</v>
      </c>
      <c r="C12" s="11" t="s">
        <v>22</v>
      </c>
      <c r="D12" s="11" t="s">
        <v>20</v>
      </c>
      <c r="E12" s="12">
        <v>394633</v>
      </c>
      <c r="F12" s="14" t="str">
        <f t="shared" si="0"/>
        <v/>
      </c>
    </row>
    <row r="13" spans="1:9" x14ac:dyDescent="0.55000000000000004">
      <c r="A13" s="10">
        <v>44132</v>
      </c>
      <c r="B13" s="11" t="s">
        <v>19</v>
      </c>
      <c r="C13" s="11" t="s">
        <v>22</v>
      </c>
      <c r="D13" s="11" t="s">
        <v>29</v>
      </c>
      <c r="E13" s="12">
        <v>861272</v>
      </c>
      <c r="F13" s="14">
        <f t="shared" si="0"/>
        <v>17225.439999999999</v>
      </c>
    </row>
    <row r="14" spans="1:9" x14ac:dyDescent="0.55000000000000004">
      <c r="A14" s="10">
        <v>44117</v>
      </c>
      <c r="B14" s="11" t="s">
        <v>38</v>
      </c>
      <c r="C14" s="11" t="s">
        <v>20</v>
      </c>
      <c r="D14" s="11" t="s">
        <v>20</v>
      </c>
      <c r="E14" s="12">
        <v>1480750</v>
      </c>
      <c r="F14" s="14" t="str">
        <f t="shared" si="0"/>
        <v/>
      </c>
    </row>
    <row r="15" spans="1:9" x14ac:dyDescent="0.55000000000000004">
      <c r="A15" s="10">
        <v>44079</v>
      </c>
      <c r="B15" s="11" t="s">
        <v>39</v>
      </c>
      <c r="C15" s="11" t="s">
        <v>31</v>
      </c>
      <c r="D15" s="11" t="s">
        <v>23</v>
      </c>
      <c r="E15" s="12">
        <v>1301667</v>
      </c>
      <c r="F15" s="14" t="str">
        <f t="shared" si="0"/>
        <v/>
      </c>
    </row>
    <row r="16" spans="1:9" x14ac:dyDescent="0.55000000000000004">
      <c r="A16" s="10">
        <v>44036</v>
      </c>
      <c r="B16" s="11" t="s">
        <v>40</v>
      </c>
      <c r="C16" s="11" t="s">
        <v>22</v>
      </c>
      <c r="D16" s="11" t="s">
        <v>29</v>
      </c>
      <c r="E16" s="12">
        <v>2338961</v>
      </c>
      <c r="F16" s="14">
        <f t="shared" si="0"/>
        <v>46779.22</v>
      </c>
    </row>
    <row r="17" spans="1:6" x14ac:dyDescent="0.55000000000000004">
      <c r="A17" s="10">
        <v>44002</v>
      </c>
      <c r="B17" s="11" t="s">
        <v>41</v>
      </c>
      <c r="C17" s="11" t="s">
        <v>22</v>
      </c>
      <c r="D17" s="11" t="s">
        <v>23</v>
      </c>
      <c r="E17" s="12">
        <v>1662054</v>
      </c>
      <c r="F17" s="14" t="str">
        <f t="shared" si="0"/>
        <v/>
      </c>
    </row>
    <row r="18" spans="1:6" x14ac:dyDescent="0.55000000000000004">
      <c r="A18" s="10">
        <v>44061</v>
      </c>
      <c r="B18" s="11" t="s">
        <v>24</v>
      </c>
      <c r="C18" s="11" t="s">
        <v>31</v>
      </c>
      <c r="D18" s="11" t="s">
        <v>23</v>
      </c>
      <c r="E18" s="12">
        <v>1535645</v>
      </c>
      <c r="F18" s="14" t="str">
        <f t="shared" si="0"/>
        <v/>
      </c>
    </row>
    <row r="19" spans="1:6" x14ac:dyDescent="0.55000000000000004">
      <c r="A19" s="10">
        <v>43873</v>
      </c>
      <c r="B19" s="11" t="s">
        <v>37</v>
      </c>
      <c r="C19" s="11" t="s">
        <v>25</v>
      </c>
      <c r="D19" s="11" t="s">
        <v>23</v>
      </c>
      <c r="E19" s="12">
        <v>472810</v>
      </c>
      <c r="F19" s="14" t="str">
        <f t="shared" si="0"/>
        <v/>
      </c>
    </row>
    <row r="20" spans="1:6" x14ac:dyDescent="0.55000000000000004">
      <c r="A20" s="10">
        <v>43947</v>
      </c>
      <c r="B20" s="11" t="s">
        <v>42</v>
      </c>
      <c r="C20" s="11" t="s">
        <v>22</v>
      </c>
      <c r="D20" s="11" t="s">
        <v>29</v>
      </c>
      <c r="E20" s="12">
        <v>641147</v>
      </c>
      <c r="F20" s="14">
        <f t="shared" si="0"/>
        <v>12822.94</v>
      </c>
    </row>
    <row r="21" spans="1:6" x14ac:dyDescent="0.55000000000000004">
      <c r="A21" s="10">
        <v>44112</v>
      </c>
      <c r="B21" s="11" t="s">
        <v>43</v>
      </c>
      <c r="C21" s="11" t="s">
        <v>20</v>
      </c>
      <c r="D21" s="11" t="s">
        <v>20</v>
      </c>
      <c r="E21" s="12">
        <v>1545018</v>
      </c>
      <c r="F21" s="14" t="str">
        <f t="shared" si="0"/>
        <v/>
      </c>
    </row>
    <row r="22" spans="1:6" x14ac:dyDescent="0.55000000000000004">
      <c r="A22" s="10">
        <v>44190</v>
      </c>
      <c r="B22" s="11" t="s">
        <v>44</v>
      </c>
      <c r="C22" s="11" t="s">
        <v>20</v>
      </c>
      <c r="D22" s="11" t="s">
        <v>36</v>
      </c>
      <c r="E22" s="12">
        <v>1017386</v>
      </c>
      <c r="F22" s="14" t="str">
        <f t="shared" si="0"/>
        <v/>
      </c>
    </row>
    <row r="23" spans="1:6" x14ac:dyDescent="0.55000000000000004">
      <c r="A23" s="10">
        <v>43926</v>
      </c>
      <c r="B23" s="11" t="s">
        <v>39</v>
      </c>
      <c r="C23" s="11" t="s">
        <v>31</v>
      </c>
      <c r="D23" s="11" t="s">
        <v>23</v>
      </c>
      <c r="E23" s="12">
        <v>1020143</v>
      </c>
      <c r="F23" s="14" t="str">
        <f t="shared" si="0"/>
        <v/>
      </c>
    </row>
    <row r="24" spans="1:6" x14ac:dyDescent="0.55000000000000004">
      <c r="A24" s="10">
        <v>44035</v>
      </c>
      <c r="B24" s="11" t="s">
        <v>45</v>
      </c>
      <c r="C24" s="11" t="s">
        <v>20</v>
      </c>
      <c r="D24" s="11" t="s">
        <v>29</v>
      </c>
      <c r="E24" s="12">
        <v>1152212</v>
      </c>
      <c r="F24" s="14" t="str">
        <f t="shared" si="0"/>
        <v/>
      </c>
    </row>
    <row r="25" spans="1:6" x14ac:dyDescent="0.55000000000000004">
      <c r="A25" s="10">
        <v>43860</v>
      </c>
      <c r="B25" s="11" t="s">
        <v>46</v>
      </c>
      <c r="C25" s="11" t="s">
        <v>22</v>
      </c>
      <c r="D25" s="11" t="s">
        <v>20</v>
      </c>
      <c r="E25" s="12">
        <v>622174</v>
      </c>
      <c r="F25" s="14" t="str">
        <f t="shared" si="0"/>
        <v/>
      </c>
    </row>
    <row r="26" spans="1:6" x14ac:dyDescent="0.55000000000000004">
      <c r="A26" s="10">
        <v>44162</v>
      </c>
      <c r="B26" s="11" t="s">
        <v>47</v>
      </c>
      <c r="C26" s="11" t="s">
        <v>22</v>
      </c>
      <c r="D26" s="11" t="s">
        <v>26</v>
      </c>
      <c r="E26" s="12">
        <v>667962</v>
      </c>
      <c r="F26" s="14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7972-F55A-41D0-B27F-39B77D931AC1}">
  <dimension ref="A1:I26"/>
  <sheetViews>
    <sheetView zoomScale="115" zoomScaleNormal="115" workbookViewId="0">
      <selection activeCell="F3" sqref="F2:F26"/>
    </sheetView>
  </sheetViews>
  <sheetFormatPr defaultRowHeight="14.4" x14ac:dyDescent="0.55000000000000004"/>
  <cols>
    <col min="1" max="1" width="18" bestFit="1" customWidth="1"/>
    <col min="2" max="2" width="50" bestFit="1" customWidth="1"/>
    <col min="3" max="3" width="12.26171875" bestFit="1" customWidth="1"/>
    <col min="4" max="4" width="15.83984375" bestFit="1" customWidth="1"/>
    <col min="5" max="5" width="28.68359375" bestFit="1" customWidth="1"/>
    <col min="6" max="6" width="10" bestFit="1" customWidth="1"/>
    <col min="9" max="9" width="11.83984375" customWidth="1"/>
  </cols>
  <sheetData>
    <row r="1" spans="1:9" x14ac:dyDescent="0.55000000000000004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7" t="s">
        <v>22</v>
      </c>
    </row>
    <row r="2" spans="1:9" x14ac:dyDescent="0.55000000000000004">
      <c r="A2" s="10">
        <v>43961</v>
      </c>
      <c r="B2" s="11" t="s">
        <v>19</v>
      </c>
      <c r="C2" s="11" t="s">
        <v>20</v>
      </c>
      <c r="D2" s="11" t="s">
        <v>20</v>
      </c>
      <c r="E2" s="12">
        <v>1132185</v>
      </c>
      <c r="F2" s="14" t="str">
        <f>IF(OR(C2=$I$1,C2=$I$2),0.02*E2,"")</f>
        <v/>
      </c>
      <c r="I2" s="17" t="s">
        <v>48</v>
      </c>
    </row>
    <row r="3" spans="1:9" x14ac:dyDescent="0.55000000000000004">
      <c r="A3" s="10">
        <v>43833</v>
      </c>
      <c r="B3" s="11" t="s">
        <v>21</v>
      </c>
      <c r="C3" s="11" t="s">
        <v>22</v>
      </c>
      <c r="D3" s="11" t="s">
        <v>23</v>
      </c>
      <c r="E3" s="12">
        <v>129108</v>
      </c>
      <c r="F3" s="14">
        <f t="shared" ref="F3:F26" si="0">IF(OR(C3=$I$1,C3=$I$2),0.02*E3,"")</f>
        <v>2582.16</v>
      </c>
    </row>
    <row r="4" spans="1:9" x14ac:dyDescent="0.55000000000000004">
      <c r="A4" s="10">
        <v>43867</v>
      </c>
      <c r="B4" s="11" t="s">
        <v>24</v>
      </c>
      <c r="C4" s="11" t="s">
        <v>48</v>
      </c>
      <c r="D4" s="11" t="s">
        <v>26</v>
      </c>
      <c r="E4" s="12">
        <v>428901</v>
      </c>
      <c r="F4" s="14">
        <f t="shared" si="0"/>
        <v>8578.02</v>
      </c>
    </row>
    <row r="5" spans="1:9" x14ac:dyDescent="0.55000000000000004">
      <c r="A5" s="10">
        <v>44085</v>
      </c>
      <c r="B5" s="11" t="s">
        <v>27</v>
      </c>
      <c r="C5" s="11" t="s">
        <v>20</v>
      </c>
      <c r="D5" s="11" t="s">
        <v>26</v>
      </c>
      <c r="E5" s="12">
        <v>1151842</v>
      </c>
      <c r="F5" s="14" t="str">
        <f t="shared" si="0"/>
        <v/>
      </c>
    </row>
    <row r="6" spans="1:9" x14ac:dyDescent="0.55000000000000004">
      <c r="A6" s="10">
        <v>44111</v>
      </c>
      <c r="B6" s="11" t="s">
        <v>28</v>
      </c>
      <c r="C6" s="11" t="s">
        <v>20</v>
      </c>
      <c r="D6" s="11" t="s">
        <v>29</v>
      </c>
      <c r="E6" s="12">
        <v>1722502</v>
      </c>
      <c r="F6" s="14" t="str">
        <f t="shared" si="0"/>
        <v/>
      </c>
    </row>
    <row r="7" spans="1:9" x14ac:dyDescent="0.55000000000000004">
      <c r="A7" s="10">
        <v>43998</v>
      </c>
      <c r="B7" s="11" t="s">
        <v>30</v>
      </c>
      <c r="C7" s="11" t="s">
        <v>31</v>
      </c>
      <c r="D7" s="11" t="s">
        <v>29</v>
      </c>
      <c r="E7" s="12">
        <v>1565894</v>
      </c>
      <c r="F7" s="14" t="str">
        <f t="shared" si="0"/>
        <v/>
      </c>
    </row>
    <row r="8" spans="1:9" x14ac:dyDescent="0.55000000000000004">
      <c r="A8" s="10">
        <v>43952</v>
      </c>
      <c r="B8" s="11" t="s">
        <v>32</v>
      </c>
      <c r="C8" s="11" t="s">
        <v>48</v>
      </c>
      <c r="D8" s="11" t="s">
        <v>20</v>
      </c>
      <c r="E8" s="12">
        <v>1348991</v>
      </c>
      <c r="F8" s="14">
        <f t="shared" si="0"/>
        <v>26979.82</v>
      </c>
    </row>
    <row r="9" spans="1:9" x14ac:dyDescent="0.55000000000000004">
      <c r="A9" s="10">
        <v>44009</v>
      </c>
      <c r="B9" s="13" t="s">
        <v>33</v>
      </c>
      <c r="C9" s="11" t="s">
        <v>31</v>
      </c>
      <c r="D9" s="11" t="s">
        <v>29</v>
      </c>
      <c r="E9" s="12">
        <v>628284</v>
      </c>
      <c r="F9" s="14" t="str">
        <f t="shared" si="0"/>
        <v/>
      </c>
    </row>
    <row r="10" spans="1:9" x14ac:dyDescent="0.55000000000000004">
      <c r="A10" s="10">
        <v>44059</v>
      </c>
      <c r="B10" s="11" t="s">
        <v>34</v>
      </c>
      <c r="C10" s="11" t="s">
        <v>20</v>
      </c>
      <c r="D10" s="11" t="s">
        <v>23</v>
      </c>
      <c r="E10" s="12">
        <v>2440037</v>
      </c>
      <c r="F10" s="14" t="str">
        <f t="shared" si="0"/>
        <v/>
      </c>
    </row>
    <row r="11" spans="1:9" x14ac:dyDescent="0.55000000000000004">
      <c r="A11" s="10">
        <v>43898</v>
      </c>
      <c r="B11" s="11" t="s">
        <v>35</v>
      </c>
      <c r="C11" s="11" t="s">
        <v>48</v>
      </c>
      <c r="D11" s="11" t="s">
        <v>36</v>
      </c>
      <c r="E11" s="12">
        <v>1598964</v>
      </c>
      <c r="F11" s="14">
        <f t="shared" si="0"/>
        <v>31979.280000000002</v>
      </c>
    </row>
    <row r="12" spans="1:9" x14ac:dyDescent="0.55000000000000004">
      <c r="A12" s="10">
        <v>44100</v>
      </c>
      <c r="B12" s="11" t="s">
        <v>37</v>
      </c>
      <c r="C12" s="11" t="s">
        <v>48</v>
      </c>
      <c r="D12" s="11" t="s">
        <v>20</v>
      </c>
      <c r="E12" s="12">
        <v>394633</v>
      </c>
      <c r="F12" s="14">
        <f t="shared" si="0"/>
        <v>7892.66</v>
      </c>
    </row>
    <row r="13" spans="1:9" x14ac:dyDescent="0.55000000000000004">
      <c r="A13" s="10">
        <v>44082</v>
      </c>
      <c r="B13" s="11" t="s">
        <v>19</v>
      </c>
      <c r="C13" s="11" t="s">
        <v>48</v>
      </c>
      <c r="D13" s="11" t="s">
        <v>29</v>
      </c>
      <c r="E13" s="12">
        <v>861272</v>
      </c>
      <c r="F13" s="14">
        <f t="shared" si="0"/>
        <v>17225.439999999999</v>
      </c>
    </row>
    <row r="14" spans="1:9" x14ac:dyDescent="0.55000000000000004">
      <c r="A14" s="10">
        <v>43931</v>
      </c>
      <c r="B14" s="11" t="s">
        <v>38</v>
      </c>
      <c r="C14" s="11" t="s">
        <v>20</v>
      </c>
      <c r="D14" s="11" t="s">
        <v>20</v>
      </c>
      <c r="E14" s="12">
        <v>1480750</v>
      </c>
      <c r="F14" s="14" t="str">
        <f t="shared" si="0"/>
        <v/>
      </c>
    </row>
    <row r="15" spans="1:9" x14ac:dyDescent="0.55000000000000004">
      <c r="A15" s="10">
        <v>44025</v>
      </c>
      <c r="B15" s="11" t="s">
        <v>39</v>
      </c>
      <c r="C15" s="11" t="s">
        <v>31</v>
      </c>
      <c r="D15" s="11" t="s">
        <v>23</v>
      </c>
      <c r="E15" s="12">
        <v>1301667</v>
      </c>
      <c r="F15" s="14" t="str">
        <f t="shared" si="0"/>
        <v/>
      </c>
    </row>
    <row r="16" spans="1:9" x14ac:dyDescent="0.55000000000000004">
      <c r="A16" s="10">
        <v>43937</v>
      </c>
      <c r="B16" s="11" t="s">
        <v>40</v>
      </c>
      <c r="C16" s="11" t="s">
        <v>20</v>
      </c>
      <c r="D16" s="11" t="s">
        <v>29</v>
      </c>
      <c r="E16" s="12">
        <v>2338961</v>
      </c>
      <c r="F16" s="14" t="str">
        <f t="shared" si="0"/>
        <v/>
      </c>
    </row>
    <row r="17" spans="1:6" x14ac:dyDescent="0.55000000000000004">
      <c r="A17" s="10">
        <v>44102</v>
      </c>
      <c r="B17" s="11" t="s">
        <v>41</v>
      </c>
      <c r="C17" s="11" t="s">
        <v>20</v>
      </c>
      <c r="D17" s="11" t="s">
        <v>23</v>
      </c>
      <c r="E17" s="12">
        <v>1662054</v>
      </c>
      <c r="F17" s="14" t="str">
        <f t="shared" si="0"/>
        <v/>
      </c>
    </row>
    <row r="18" spans="1:6" x14ac:dyDescent="0.55000000000000004">
      <c r="A18" s="10">
        <v>44097</v>
      </c>
      <c r="B18" s="11" t="s">
        <v>24</v>
      </c>
      <c r="C18" s="11" t="s">
        <v>31</v>
      </c>
      <c r="D18" s="11" t="s">
        <v>23</v>
      </c>
      <c r="E18" s="12">
        <v>1535645</v>
      </c>
      <c r="F18" s="14" t="str">
        <f t="shared" si="0"/>
        <v/>
      </c>
    </row>
    <row r="19" spans="1:6" x14ac:dyDescent="0.55000000000000004">
      <c r="A19" s="10">
        <v>43917</v>
      </c>
      <c r="B19" s="11" t="s">
        <v>37</v>
      </c>
      <c r="C19" s="11" t="s">
        <v>48</v>
      </c>
      <c r="D19" s="11" t="s">
        <v>23</v>
      </c>
      <c r="E19" s="12">
        <v>472810</v>
      </c>
      <c r="F19" s="14">
        <f t="shared" si="0"/>
        <v>9456.2000000000007</v>
      </c>
    </row>
    <row r="20" spans="1:6" x14ac:dyDescent="0.55000000000000004">
      <c r="A20" s="10">
        <v>44002</v>
      </c>
      <c r="B20" s="11" t="s">
        <v>42</v>
      </c>
      <c r="C20" s="11" t="s">
        <v>22</v>
      </c>
      <c r="D20" s="11" t="s">
        <v>29</v>
      </c>
      <c r="E20" s="12">
        <v>641147</v>
      </c>
      <c r="F20" s="14">
        <f t="shared" si="0"/>
        <v>12822.94</v>
      </c>
    </row>
    <row r="21" spans="1:6" x14ac:dyDescent="0.55000000000000004">
      <c r="A21" s="10">
        <v>44037</v>
      </c>
      <c r="B21" s="11" t="s">
        <v>43</v>
      </c>
      <c r="C21" s="11" t="s">
        <v>20</v>
      </c>
      <c r="D21" s="11" t="s">
        <v>20</v>
      </c>
      <c r="E21" s="12">
        <v>1545018</v>
      </c>
      <c r="F21" s="14" t="str">
        <f t="shared" si="0"/>
        <v/>
      </c>
    </row>
    <row r="22" spans="1:6" x14ac:dyDescent="0.55000000000000004">
      <c r="A22" s="10">
        <v>43916</v>
      </c>
      <c r="B22" s="11" t="s">
        <v>44</v>
      </c>
      <c r="C22" s="11" t="s">
        <v>20</v>
      </c>
      <c r="D22" s="11" t="s">
        <v>36</v>
      </c>
      <c r="E22" s="12">
        <v>1017386</v>
      </c>
      <c r="F22" s="14" t="str">
        <f t="shared" si="0"/>
        <v/>
      </c>
    </row>
    <row r="23" spans="1:6" x14ac:dyDescent="0.55000000000000004">
      <c r="A23" s="10">
        <v>43974</v>
      </c>
      <c r="B23" s="11" t="s">
        <v>39</v>
      </c>
      <c r="C23" s="11" t="s">
        <v>31</v>
      </c>
      <c r="D23" s="11" t="s">
        <v>23</v>
      </c>
      <c r="E23" s="12">
        <v>1020143</v>
      </c>
      <c r="F23" s="14" t="str">
        <f t="shared" si="0"/>
        <v/>
      </c>
    </row>
    <row r="24" spans="1:6" x14ac:dyDescent="0.55000000000000004">
      <c r="A24" s="10">
        <v>43984</v>
      </c>
      <c r="B24" s="11" t="s">
        <v>45</v>
      </c>
      <c r="C24" s="11" t="s">
        <v>20</v>
      </c>
      <c r="D24" s="11" t="s">
        <v>29</v>
      </c>
      <c r="E24" s="12">
        <v>1152212</v>
      </c>
      <c r="F24" s="14" t="str">
        <f t="shared" si="0"/>
        <v/>
      </c>
    </row>
    <row r="25" spans="1:6" x14ac:dyDescent="0.55000000000000004">
      <c r="A25" s="10">
        <v>44108</v>
      </c>
      <c r="B25" s="11" t="s">
        <v>46</v>
      </c>
      <c r="C25" s="11" t="s">
        <v>48</v>
      </c>
      <c r="D25" s="11" t="s">
        <v>20</v>
      </c>
      <c r="E25" s="12">
        <v>622174</v>
      </c>
      <c r="F25" s="14">
        <f t="shared" si="0"/>
        <v>12443.48</v>
      </c>
    </row>
    <row r="26" spans="1:6" x14ac:dyDescent="0.55000000000000004">
      <c r="A26" s="10">
        <v>44027</v>
      </c>
      <c r="B26" s="11" t="s">
        <v>47</v>
      </c>
      <c r="C26" s="11" t="s">
        <v>48</v>
      </c>
      <c r="D26" s="11" t="s">
        <v>26</v>
      </c>
      <c r="E26" s="12">
        <v>667962</v>
      </c>
      <c r="F26" s="14">
        <f t="shared" si="0"/>
        <v>13359.24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500F-F272-4AEB-B1AA-71F144AD72CF}">
  <dimension ref="A1:J63"/>
  <sheetViews>
    <sheetView tabSelected="1" zoomScale="130" zoomScaleNormal="130" workbookViewId="0">
      <selection activeCell="D2" sqref="D2:D63"/>
    </sheetView>
  </sheetViews>
  <sheetFormatPr defaultRowHeight="14.4" x14ac:dyDescent="0.55000000000000004"/>
  <cols>
    <col min="1" max="1" width="10.15625" bestFit="1" customWidth="1"/>
    <col min="2" max="2" width="9.578125" customWidth="1"/>
    <col min="3" max="3" width="10.68359375" bestFit="1" customWidth="1"/>
    <col min="4" max="4" width="9.83984375" bestFit="1" customWidth="1"/>
    <col min="9" max="9" width="23.26171875" bestFit="1" customWidth="1"/>
  </cols>
  <sheetData>
    <row r="1" spans="1:10" ht="14.7" thickBot="1" x14ac:dyDescent="0.6">
      <c r="A1" s="4" t="s">
        <v>7</v>
      </c>
      <c r="B1" s="4" t="s">
        <v>8</v>
      </c>
      <c r="C1" s="4" t="s">
        <v>9</v>
      </c>
      <c r="D1" s="4" t="s">
        <v>10</v>
      </c>
    </row>
    <row r="2" spans="1:10" x14ac:dyDescent="0.55000000000000004">
      <c r="A2" s="5">
        <v>44007</v>
      </c>
      <c r="B2" t="s">
        <v>11</v>
      </c>
      <c r="C2" s="6">
        <v>31636</v>
      </c>
      <c r="D2">
        <f>IF(AND(C2&gt;30000,OR(B2="Тумбы",B2="Столы")),$J$2*C2,0)</f>
        <v>1581.8000000000002</v>
      </c>
      <c r="I2" t="s">
        <v>14</v>
      </c>
      <c r="J2" s="7">
        <v>0.05</v>
      </c>
    </row>
    <row r="3" spans="1:10" x14ac:dyDescent="0.55000000000000004">
      <c r="A3" s="5">
        <v>43982</v>
      </c>
      <c r="B3" t="s">
        <v>12</v>
      </c>
      <c r="C3" s="6">
        <v>30486</v>
      </c>
      <c r="D3">
        <f t="shared" ref="D3:D63" si="0">IF(AND(C3&gt;30000,OR(B3="Тумбы",B3="Столы")),$J$2*C3,0)</f>
        <v>0</v>
      </c>
    </row>
    <row r="4" spans="1:10" x14ac:dyDescent="0.55000000000000004">
      <c r="A4" s="5">
        <v>44031</v>
      </c>
      <c r="B4" t="s">
        <v>12</v>
      </c>
      <c r="C4" s="6">
        <v>44581</v>
      </c>
      <c r="D4">
        <f t="shared" si="0"/>
        <v>0</v>
      </c>
      <c r="I4" s="18"/>
    </row>
    <row r="5" spans="1:10" x14ac:dyDescent="0.55000000000000004">
      <c r="A5" s="5">
        <v>44070</v>
      </c>
      <c r="B5" t="s">
        <v>12</v>
      </c>
      <c r="C5" s="6">
        <v>20360</v>
      </c>
      <c r="D5">
        <f t="shared" si="0"/>
        <v>0</v>
      </c>
      <c r="I5" s="18"/>
    </row>
    <row r="6" spans="1:10" x14ac:dyDescent="0.55000000000000004">
      <c r="A6" s="5">
        <v>43882</v>
      </c>
      <c r="B6" t="s">
        <v>12</v>
      </c>
      <c r="C6" s="6">
        <v>47630</v>
      </c>
      <c r="D6">
        <f t="shared" si="0"/>
        <v>0</v>
      </c>
      <c r="I6" s="18"/>
    </row>
    <row r="7" spans="1:10" x14ac:dyDescent="0.55000000000000004">
      <c r="A7" s="5">
        <v>43911</v>
      </c>
      <c r="B7" t="s">
        <v>13</v>
      </c>
      <c r="C7" s="6">
        <v>18909</v>
      </c>
      <c r="D7">
        <f t="shared" si="0"/>
        <v>0</v>
      </c>
      <c r="I7" s="18"/>
    </row>
    <row r="8" spans="1:10" x14ac:dyDescent="0.55000000000000004">
      <c r="A8" s="5">
        <v>44106</v>
      </c>
      <c r="B8" t="s">
        <v>12</v>
      </c>
      <c r="C8" s="6">
        <v>39349</v>
      </c>
      <c r="D8">
        <f t="shared" si="0"/>
        <v>0</v>
      </c>
    </row>
    <row r="9" spans="1:10" x14ac:dyDescent="0.55000000000000004">
      <c r="A9" s="5">
        <v>44109</v>
      </c>
      <c r="B9" t="s">
        <v>13</v>
      </c>
      <c r="C9" s="6">
        <v>48438</v>
      </c>
      <c r="D9">
        <f t="shared" si="0"/>
        <v>2421.9</v>
      </c>
    </row>
    <row r="10" spans="1:10" x14ac:dyDescent="0.55000000000000004">
      <c r="A10" s="5">
        <v>44096</v>
      </c>
      <c r="B10" t="s">
        <v>11</v>
      </c>
      <c r="C10" s="6">
        <v>22173</v>
      </c>
      <c r="D10">
        <f t="shared" si="0"/>
        <v>0</v>
      </c>
    </row>
    <row r="11" spans="1:10" x14ac:dyDescent="0.55000000000000004">
      <c r="A11" s="5">
        <v>43902</v>
      </c>
      <c r="B11" t="s">
        <v>11</v>
      </c>
      <c r="C11" s="6">
        <v>42173</v>
      </c>
      <c r="D11">
        <f t="shared" si="0"/>
        <v>2108.65</v>
      </c>
    </row>
    <row r="12" spans="1:10" x14ac:dyDescent="0.55000000000000004">
      <c r="A12" s="5">
        <v>43875</v>
      </c>
      <c r="B12" t="s">
        <v>12</v>
      </c>
      <c r="C12" s="6">
        <v>14513</v>
      </c>
      <c r="D12">
        <f t="shared" si="0"/>
        <v>0</v>
      </c>
    </row>
    <row r="13" spans="1:10" x14ac:dyDescent="0.55000000000000004">
      <c r="A13" s="5">
        <v>43875</v>
      </c>
      <c r="B13" t="s">
        <v>12</v>
      </c>
      <c r="C13" s="6">
        <v>19503</v>
      </c>
      <c r="D13">
        <f t="shared" si="0"/>
        <v>0</v>
      </c>
    </row>
    <row r="14" spans="1:10" x14ac:dyDescent="0.55000000000000004">
      <c r="A14" s="5">
        <v>44107</v>
      </c>
      <c r="B14" t="s">
        <v>13</v>
      </c>
      <c r="C14" s="6">
        <v>13621</v>
      </c>
      <c r="D14">
        <f t="shared" si="0"/>
        <v>0</v>
      </c>
    </row>
    <row r="15" spans="1:10" x14ac:dyDescent="0.55000000000000004">
      <c r="A15" s="5">
        <v>43876</v>
      </c>
      <c r="B15" t="s">
        <v>12</v>
      </c>
      <c r="C15" s="6">
        <v>13867</v>
      </c>
      <c r="D15">
        <f t="shared" si="0"/>
        <v>0</v>
      </c>
    </row>
    <row r="16" spans="1:10" x14ac:dyDescent="0.55000000000000004">
      <c r="A16" s="5">
        <v>43870</v>
      </c>
      <c r="B16" t="s">
        <v>12</v>
      </c>
      <c r="C16" s="6">
        <v>36509</v>
      </c>
      <c r="D16">
        <f t="shared" si="0"/>
        <v>0</v>
      </c>
    </row>
    <row r="17" spans="1:4" x14ac:dyDescent="0.55000000000000004">
      <c r="A17" s="5">
        <v>44007</v>
      </c>
      <c r="B17" t="s">
        <v>12</v>
      </c>
      <c r="C17" s="6">
        <v>28426</v>
      </c>
      <c r="D17">
        <f t="shared" si="0"/>
        <v>0</v>
      </c>
    </row>
    <row r="18" spans="1:4" x14ac:dyDescent="0.55000000000000004">
      <c r="A18" s="5">
        <v>44070</v>
      </c>
      <c r="B18" t="s">
        <v>12</v>
      </c>
      <c r="C18" s="6">
        <v>32901</v>
      </c>
      <c r="D18">
        <f t="shared" si="0"/>
        <v>0</v>
      </c>
    </row>
    <row r="19" spans="1:4" x14ac:dyDescent="0.55000000000000004">
      <c r="A19" s="5">
        <v>44058</v>
      </c>
      <c r="B19" t="s">
        <v>13</v>
      </c>
      <c r="C19" s="6">
        <v>23693</v>
      </c>
      <c r="D19">
        <f t="shared" si="0"/>
        <v>0</v>
      </c>
    </row>
    <row r="20" spans="1:4" x14ac:dyDescent="0.55000000000000004">
      <c r="A20" s="5">
        <v>43881</v>
      </c>
      <c r="B20" t="s">
        <v>12</v>
      </c>
      <c r="C20" s="6">
        <v>32585</v>
      </c>
      <c r="D20">
        <f t="shared" si="0"/>
        <v>0</v>
      </c>
    </row>
    <row r="21" spans="1:4" x14ac:dyDescent="0.55000000000000004">
      <c r="A21" s="5">
        <v>44039</v>
      </c>
      <c r="B21" t="s">
        <v>11</v>
      </c>
      <c r="C21" s="6">
        <v>26027</v>
      </c>
      <c r="D21">
        <f t="shared" si="0"/>
        <v>0</v>
      </c>
    </row>
    <row r="22" spans="1:4" x14ac:dyDescent="0.55000000000000004">
      <c r="A22" s="5">
        <v>44091</v>
      </c>
      <c r="B22" t="s">
        <v>12</v>
      </c>
      <c r="C22" s="6">
        <v>37913</v>
      </c>
      <c r="D22">
        <f t="shared" si="0"/>
        <v>0</v>
      </c>
    </row>
    <row r="23" spans="1:4" x14ac:dyDescent="0.55000000000000004">
      <c r="A23" s="5">
        <v>44090</v>
      </c>
      <c r="B23" t="s">
        <v>12</v>
      </c>
      <c r="C23" s="6">
        <v>37983</v>
      </c>
      <c r="D23">
        <f t="shared" si="0"/>
        <v>0</v>
      </c>
    </row>
    <row r="24" spans="1:4" x14ac:dyDescent="0.55000000000000004">
      <c r="A24" s="5">
        <v>43891</v>
      </c>
      <c r="B24" t="s">
        <v>12</v>
      </c>
      <c r="C24" s="6">
        <v>32376</v>
      </c>
      <c r="D24">
        <f t="shared" si="0"/>
        <v>0</v>
      </c>
    </row>
    <row r="25" spans="1:4" x14ac:dyDescent="0.55000000000000004">
      <c r="A25" s="5">
        <v>44007</v>
      </c>
      <c r="B25" t="s">
        <v>13</v>
      </c>
      <c r="C25" s="6">
        <v>32290</v>
      </c>
      <c r="D25">
        <f t="shared" si="0"/>
        <v>1614.5</v>
      </c>
    </row>
    <row r="26" spans="1:4" x14ac:dyDescent="0.55000000000000004">
      <c r="A26" s="5">
        <v>43995</v>
      </c>
      <c r="B26" t="s">
        <v>13</v>
      </c>
      <c r="C26" s="6">
        <v>20835</v>
      </c>
      <c r="D26">
        <f t="shared" si="0"/>
        <v>0</v>
      </c>
    </row>
    <row r="27" spans="1:4" x14ac:dyDescent="0.55000000000000004">
      <c r="A27" s="5">
        <v>43847</v>
      </c>
      <c r="B27" t="s">
        <v>12</v>
      </c>
      <c r="C27" s="6">
        <v>14760</v>
      </c>
      <c r="D27">
        <f t="shared" si="0"/>
        <v>0</v>
      </c>
    </row>
    <row r="28" spans="1:4" x14ac:dyDescent="0.55000000000000004">
      <c r="A28" s="5">
        <v>43851</v>
      </c>
      <c r="B28" t="s">
        <v>13</v>
      </c>
      <c r="C28" s="6">
        <v>21045</v>
      </c>
      <c r="D28">
        <f t="shared" si="0"/>
        <v>0</v>
      </c>
    </row>
    <row r="29" spans="1:4" x14ac:dyDescent="0.55000000000000004">
      <c r="A29" s="5">
        <v>44099</v>
      </c>
      <c r="B29" t="s">
        <v>12</v>
      </c>
      <c r="C29" s="6">
        <v>32345</v>
      </c>
      <c r="D29">
        <f t="shared" si="0"/>
        <v>0</v>
      </c>
    </row>
    <row r="30" spans="1:4" x14ac:dyDescent="0.55000000000000004">
      <c r="A30" s="5">
        <v>43955</v>
      </c>
      <c r="B30" t="s">
        <v>13</v>
      </c>
      <c r="C30" s="6">
        <v>25056</v>
      </c>
      <c r="D30">
        <f t="shared" si="0"/>
        <v>0</v>
      </c>
    </row>
    <row r="31" spans="1:4" x14ac:dyDescent="0.55000000000000004">
      <c r="A31" s="5">
        <v>43861</v>
      </c>
      <c r="B31" t="s">
        <v>12</v>
      </c>
      <c r="C31" s="6">
        <v>28872</v>
      </c>
      <c r="D31">
        <f t="shared" si="0"/>
        <v>0</v>
      </c>
    </row>
    <row r="32" spans="1:4" x14ac:dyDescent="0.55000000000000004">
      <c r="A32" s="5">
        <v>43884</v>
      </c>
      <c r="B32" t="s">
        <v>13</v>
      </c>
      <c r="C32" s="6">
        <v>48919</v>
      </c>
      <c r="D32">
        <f t="shared" si="0"/>
        <v>2445.9500000000003</v>
      </c>
    </row>
    <row r="33" spans="1:4" x14ac:dyDescent="0.55000000000000004">
      <c r="A33" s="5">
        <v>43947</v>
      </c>
      <c r="B33" t="s">
        <v>12</v>
      </c>
      <c r="C33" s="6">
        <v>14157</v>
      </c>
      <c r="D33">
        <f t="shared" si="0"/>
        <v>0</v>
      </c>
    </row>
    <row r="34" spans="1:4" x14ac:dyDescent="0.55000000000000004">
      <c r="A34" s="5">
        <v>43929</v>
      </c>
      <c r="B34" t="s">
        <v>11</v>
      </c>
      <c r="C34" s="6">
        <v>28595</v>
      </c>
      <c r="D34">
        <f t="shared" si="0"/>
        <v>0</v>
      </c>
    </row>
    <row r="35" spans="1:4" x14ac:dyDescent="0.55000000000000004">
      <c r="A35" s="5">
        <v>44047</v>
      </c>
      <c r="B35" t="s">
        <v>12</v>
      </c>
      <c r="C35" s="6">
        <v>26762</v>
      </c>
      <c r="D35">
        <f t="shared" si="0"/>
        <v>0</v>
      </c>
    </row>
    <row r="36" spans="1:4" x14ac:dyDescent="0.55000000000000004">
      <c r="A36" s="5">
        <v>44071</v>
      </c>
      <c r="B36" t="s">
        <v>11</v>
      </c>
      <c r="C36" s="6">
        <v>16956</v>
      </c>
      <c r="D36">
        <f t="shared" si="0"/>
        <v>0</v>
      </c>
    </row>
    <row r="37" spans="1:4" x14ac:dyDescent="0.55000000000000004">
      <c r="A37" s="5">
        <v>43990</v>
      </c>
      <c r="B37" t="s">
        <v>12</v>
      </c>
      <c r="C37" s="6">
        <v>45124</v>
      </c>
      <c r="D37">
        <f t="shared" si="0"/>
        <v>0</v>
      </c>
    </row>
    <row r="38" spans="1:4" x14ac:dyDescent="0.55000000000000004">
      <c r="A38" s="5">
        <v>44059</v>
      </c>
      <c r="B38" t="s">
        <v>13</v>
      </c>
      <c r="C38" s="6">
        <v>33818</v>
      </c>
      <c r="D38">
        <f t="shared" si="0"/>
        <v>1690.9</v>
      </c>
    </row>
    <row r="39" spans="1:4" x14ac:dyDescent="0.55000000000000004">
      <c r="A39" s="5">
        <v>44009</v>
      </c>
      <c r="B39" t="s">
        <v>12</v>
      </c>
      <c r="C39" s="6">
        <v>19210</v>
      </c>
      <c r="D39">
        <f t="shared" si="0"/>
        <v>0</v>
      </c>
    </row>
    <row r="40" spans="1:4" x14ac:dyDescent="0.55000000000000004">
      <c r="A40" s="5">
        <v>44019</v>
      </c>
      <c r="B40" t="s">
        <v>13</v>
      </c>
      <c r="C40" s="6">
        <v>38489</v>
      </c>
      <c r="D40">
        <f t="shared" si="0"/>
        <v>1924.45</v>
      </c>
    </row>
    <row r="41" spans="1:4" x14ac:dyDescent="0.55000000000000004">
      <c r="A41" s="5">
        <v>43861</v>
      </c>
      <c r="B41" t="s">
        <v>12</v>
      </c>
      <c r="C41" s="6">
        <v>46701</v>
      </c>
      <c r="D41">
        <f t="shared" si="0"/>
        <v>0</v>
      </c>
    </row>
    <row r="42" spans="1:4" x14ac:dyDescent="0.55000000000000004">
      <c r="A42" s="5">
        <v>43913</v>
      </c>
      <c r="B42" t="s">
        <v>13</v>
      </c>
      <c r="C42" s="6">
        <v>18950</v>
      </c>
      <c r="D42">
        <f t="shared" si="0"/>
        <v>0</v>
      </c>
    </row>
    <row r="43" spans="1:4" x14ac:dyDescent="0.55000000000000004">
      <c r="A43" s="5">
        <v>43913</v>
      </c>
      <c r="B43" t="s">
        <v>13</v>
      </c>
      <c r="C43" s="6">
        <v>27004</v>
      </c>
      <c r="D43">
        <f t="shared" si="0"/>
        <v>0</v>
      </c>
    </row>
    <row r="44" spans="1:4" x14ac:dyDescent="0.55000000000000004">
      <c r="A44" s="5">
        <v>43916</v>
      </c>
      <c r="B44" t="s">
        <v>12</v>
      </c>
      <c r="C44" s="6">
        <v>49711</v>
      </c>
      <c r="D44">
        <f t="shared" si="0"/>
        <v>0</v>
      </c>
    </row>
    <row r="45" spans="1:4" x14ac:dyDescent="0.55000000000000004">
      <c r="A45" s="5">
        <v>43872</v>
      </c>
      <c r="B45" t="s">
        <v>13</v>
      </c>
      <c r="C45" s="6">
        <v>48835</v>
      </c>
      <c r="D45">
        <f t="shared" si="0"/>
        <v>2441.75</v>
      </c>
    </row>
    <row r="46" spans="1:4" x14ac:dyDescent="0.55000000000000004">
      <c r="A46" s="5">
        <v>43982</v>
      </c>
      <c r="B46" t="s">
        <v>11</v>
      </c>
      <c r="C46" s="6">
        <v>41438</v>
      </c>
      <c r="D46">
        <f t="shared" si="0"/>
        <v>2071.9</v>
      </c>
    </row>
    <row r="47" spans="1:4" x14ac:dyDescent="0.55000000000000004">
      <c r="A47" s="5">
        <v>44103</v>
      </c>
      <c r="B47" t="s">
        <v>13</v>
      </c>
      <c r="C47" s="6">
        <v>44189</v>
      </c>
      <c r="D47">
        <f t="shared" si="0"/>
        <v>2209.4500000000003</v>
      </c>
    </row>
    <row r="48" spans="1:4" x14ac:dyDescent="0.55000000000000004">
      <c r="A48" s="5">
        <v>43916</v>
      </c>
      <c r="B48" t="s">
        <v>11</v>
      </c>
      <c r="C48" s="6">
        <v>41349</v>
      </c>
      <c r="D48">
        <f t="shared" si="0"/>
        <v>2067.4500000000003</v>
      </c>
    </row>
    <row r="49" spans="1:4" x14ac:dyDescent="0.55000000000000004">
      <c r="A49" s="5">
        <v>43973</v>
      </c>
      <c r="B49" t="s">
        <v>12</v>
      </c>
      <c r="C49" s="6">
        <v>24017</v>
      </c>
      <c r="D49">
        <f t="shared" si="0"/>
        <v>0</v>
      </c>
    </row>
    <row r="50" spans="1:4" x14ac:dyDescent="0.55000000000000004">
      <c r="A50" s="5">
        <v>43971</v>
      </c>
      <c r="B50" t="s">
        <v>11</v>
      </c>
      <c r="C50" s="6">
        <v>39386</v>
      </c>
      <c r="D50">
        <f t="shared" si="0"/>
        <v>1969.3000000000002</v>
      </c>
    </row>
    <row r="51" spans="1:4" x14ac:dyDescent="0.55000000000000004">
      <c r="A51" s="5">
        <v>44035</v>
      </c>
      <c r="B51" t="s">
        <v>11</v>
      </c>
      <c r="C51" s="6">
        <v>43394</v>
      </c>
      <c r="D51">
        <f t="shared" si="0"/>
        <v>2169.7000000000003</v>
      </c>
    </row>
    <row r="52" spans="1:4" x14ac:dyDescent="0.55000000000000004">
      <c r="A52" s="5">
        <v>44111</v>
      </c>
      <c r="B52" t="s">
        <v>13</v>
      </c>
      <c r="C52" s="6">
        <v>40491</v>
      </c>
      <c r="D52">
        <f t="shared" si="0"/>
        <v>2024.5500000000002</v>
      </c>
    </row>
    <row r="53" spans="1:4" x14ac:dyDescent="0.55000000000000004">
      <c r="A53" s="5">
        <v>43934</v>
      </c>
      <c r="B53" t="s">
        <v>11</v>
      </c>
      <c r="C53" s="6">
        <v>11076</v>
      </c>
      <c r="D53">
        <f t="shared" si="0"/>
        <v>0</v>
      </c>
    </row>
    <row r="54" spans="1:4" x14ac:dyDescent="0.55000000000000004">
      <c r="A54" s="5">
        <v>44089</v>
      </c>
      <c r="B54" t="s">
        <v>13</v>
      </c>
      <c r="C54" s="6">
        <v>13241</v>
      </c>
      <c r="D54">
        <f t="shared" si="0"/>
        <v>0</v>
      </c>
    </row>
    <row r="55" spans="1:4" x14ac:dyDescent="0.55000000000000004">
      <c r="A55" s="5">
        <v>43856</v>
      </c>
      <c r="B55" t="s">
        <v>11</v>
      </c>
      <c r="C55" s="6">
        <v>41985</v>
      </c>
      <c r="D55">
        <f t="shared" si="0"/>
        <v>2099.25</v>
      </c>
    </row>
    <row r="56" spans="1:4" x14ac:dyDescent="0.55000000000000004">
      <c r="A56" s="5">
        <v>43925</v>
      </c>
      <c r="B56" t="s">
        <v>11</v>
      </c>
      <c r="C56" s="6">
        <v>38178</v>
      </c>
      <c r="D56">
        <f t="shared" si="0"/>
        <v>1908.9</v>
      </c>
    </row>
    <row r="57" spans="1:4" x14ac:dyDescent="0.55000000000000004">
      <c r="A57" s="5">
        <v>43952</v>
      </c>
      <c r="B57" t="s">
        <v>12</v>
      </c>
      <c r="C57" s="6">
        <v>45406</v>
      </c>
      <c r="D57">
        <f t="shared" si="0"/>
        <v>0</v>
      </c>
    </row>
    <row r="58" spans="1:4" x14ac:dyDescent="0.55000000000000004">
      <c r="A58" s="5">
        <v>43967</v>
      </c>
      <c r="B58" t="s">
        <v>13</v>
      </c>
      <c r="C58" s="6">
        <v>28121</v>
      </c>
      <c r="D58">
        <f t="shared" si="0"/>
        <v>0</v>
      </c>
    </row>
    <row r="59" spans="1:4" x14ac:dyDescent="0.55000000000000004">
      <c r="A59" s="5">
        <v>44045</v>
      </c>
      <c r="B59" t="s">
        <v>13</v>
      </c>
      <c r="C59" s="6">
        <v>33774</v>
      </c>
      <c r="D59">
        <f t="shared" si="0"/>
        <v>1688.7</v>
      </c>
    </row>
    <row r="60" spans="1:4" x14ac:dyDescent="0.55000000000000004">
      <c r="A60" s="5">
        <v>44065</v>
      </c>
      <c r="B60" t="s">
        <v>13</v>
      </c>
      <c r="C60" s="6">
        <v>13951</v>
      </c>
      <c r="D60">
        <f t="shared" si="0"/>
        <v>0</v>
      </c>
    </row>
    <row r="61" spans="1:4" x14ac:dyDescent="0.55000000000000004">
      <c r="A61" s="5">
        <v>43888</v>
      </c>
      <c r="B61" t="s">
        <v>13</v>
      </c>
      <c r="C61" s="6">
        <v>29983</v>
      </c>
      <c r="D61">
        <f t="shared" si="0"/>
        <v>0</v>
      </c>
    </row>
    <row r="62" spans="1:4" x14ac:dyDescent="0.55000000000000004">
      <c r="A62" s="5">
        <v>43875</v>
      </c>
      <c r="B62" t="s">
        <v>12</v>
      </c>
      <c r="C62" s="6">
        <v>44711</v>
      </c>
      <c r="D62">
        <f t="shared" si="0"/>
        <v>0</v>
      </c>
    </row>
    <row r="63" spans="1:4" x14ac:dyDescent="0.55000000000000004">
      <c r="A63" s="5">
        <v>43867</v>
      </c>
      <c r="B63" t="s">
        <v>11</v>
      </c>
      <c r="C63" s="6">
        <v>27466</v>
      </c>
      <c r="D63">
        <f t="shared" si="0"/>
        <v>0</v>
      </c>
    </row>
  </sheetData>
  <autoFilter ref="A1:D63" xr:uid="{E3B144B9-DF11-4CA9-AFA5-F423D8A4D5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Спорт-квалификация</vt:lpstr>
      <vt:lpstr>И</vt:lpstr>
      <vt:lpstr>ИЛИ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2020-11-20T17:04:48Z</dcterms:modified>
</cp:coreProperties>
</file>